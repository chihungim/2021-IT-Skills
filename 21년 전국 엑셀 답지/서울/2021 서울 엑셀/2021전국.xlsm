
<file path=[Content_Types].xml><?xml version="1.0" encoding="utf-8"?>
<Types xmlns="http://schemas.openxmlformats.org/package/2006/content-types">
  <Default Extension="png" ContentType="image/png"/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7.xml" ContentType="application/vnd.ms-office.activeX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8.xml" ContentType="application/vnd.ms-office.activeX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activeX/activeX9.xml" ContentType="application/vnd.ms-office.activeX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drawings/drawing9.xml" ContentType="application/vnd.openxmlformats-officedocument.drawing+xml"/>
  <Override PartName="/xl/activeX/activeX12.xml" ContentType="application/vnd.ms-office.activeX+xml"/>
  <Override PartName="/xl/tables/table6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엑셀\서울\2021 서울 엑셀\"/>
    </mc:Choice>
  </mc:AlternateContent>
  <bookViews>
    <workbookView xWindow="0" yWindow="0" windowWidth="28800" windowHeight="11925" firstSheet="1" activeTab="7"/>
  </bookViews>
  <sheets>
    <sheet name="로딩" sheetId="1" state="hidden" r:id="rId1"/>
    <sheet name="Main" sheetId="2" r:id="rId2"/>
    <sheet name="회원" sheetId="3" r:id="rId3"/>
    <sheet name="상세정보" sheetId="4" r:id="rId4"/>
    <sheet name="음식" sheetId="5" r:id="rId5"/>
    <sheet name="접근금지구역" sheetId="6" r:id="rId6"/>
    <sheet name="주문 내역" sheetId="7" r:id="rId7"/>
    <sheet name="맛집파인더" sheetId="8" r:id="rId8"/>
    <sheet name="리뷰" sheetId="12" r:id="rId9"/>
    <sheet name="데이터" sheetId="13" r:id="rId10"/>
  </sheets>
  <functionGroups builtInGroupCount="18"/>
  <externalReferences>
    <externalReference r:id="rId11"/>
  </externalReferences>
  <definedNames>
    <definedName name="_xlnm._FilterDatabase" localSheetId="8" hidden="1">리뷰!$A$1:$H$186</definedName>
    <definedName name="_xlnm._FilterDatabase" localSheetId="3" hidden="1">상세정보!$A$1:$F$139</definedName>
    <definedName name="_xlnm._FilterDatabase" localSheetId="4" hidden="1">음식!$A$1:$E$1311</definedName>
    <definedName name="_xlnm._FilterDatabase" localSheetId="6" hidden="1">'주문 내역'!$A$1:$H$298</definedName>
    <definedName name="_xlnm.Criteria" localSheetId="8">리뷰!$N$1:$N$2</definedName>
    <definedName name="_xlnm.Criteria" localSheetId="3">상세정보!$I$1:$M$2</definedName>
    <definedName name="_xlnm.Criteria" localSheetId="4">음식!$J$1:$J$2</definedName>
    <definedName name="_xlnm.Criteria" localSheetId="6">'주문 내역'!$M$1:$O$2</definedName>
    <definedName name="_xlnm.Extract" localSheetId="8">리뷰!$P$1:$T$1</definedName>
    <definedName name="_xlnm.Extract" localSheetId="3">상세정보!$O$1:$S$1</definedName>
    <definedName name="_xlnm.Extract" localSheetId="4">음식!$L$1</definedName>
    <definedName name="_xlnm.Extract" localSheetId="6">'주문 내역'!$Q$1:$S$1</definedName>
    <definedName name="등급">데이터!$F$1</definedName>
    <definedName name="맵">맛집파인더!$G$4:$DB$103</definedName>
    <definedName name="번호">[1]디자인!$A$1</definedName>
    <definedName name="수">데이터!$H$1</definedName>
    <definedName name="유저명">데이터!$B$1</definedName>
    <definedName name="유저번호">데이터!$A$1</definedName>
    <definedName name="총">데이터!$G$1</definedName>
    <definedName name="타입">데이터!$I$1</definedName>
    <definedName name="트리거">맛집파인더!$DE$3</definedName>
    <definedName name="판매자번호">맛집파인더!$A$1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7" l="1"/>
  <c r="O2" i="7"/>
  <c r="M2" i="12"/>
  <c r="I1" i="13" l="1"/>
  <c r="O1" i="13"/>
  <c r="J2" i="5" l="1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D5" i="4"/>
  <c r="D2" i="4"/>
  <c r="D3" i="4"/>
  <c r="D4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G50" i="3"/>
  <c r="H50" i="3"/>
  <c r="I50" i="3"/>
  <c r="J50" i="3"/>
  <c r="F50" i="3"/>
  <c r="K50" i="3" l="1"/>
  <c r="G2" i="3" l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I2" i="3"/>
  <c r="I3" i="3"/>
  <c r="K3" i="3" s="1"/>
  <c r="I4" i="3"/>
  <c r="K4" i="3" s="1"/>
  <c r="I5" i="3"/>
  <c r="K5" i="3" s="1"/>
  <c r="I6" i="3"/>
  <c r="K6" i="3" s="1"/>
  <c r="I7" i="3"/>
  <c r="K7" i="3" s="1"/>
  <c r="I8" i="3"/>
  <c r="K8" i="3" s="1"/>
  <c r="I9" i="3"/>
  <c r="K9" i="3" s="1"/>
  <c r="I10" i="3"/>
  <c r="K10" i="3" s="1"/>
  <c r="I11" i="3"/>
  <c r="K11" i="3" s="1"/>
  <c r="I12" i="3"/>
  <c r="K12" i="3" s="1"/>
  <c r="I13" i="3"/>
  <c r="K13" i="3" s="1"/>
  <c r="I14" i="3"/>
  <c r="K14" i="3" s="1"/>
  <c r="I15" i="3"/>
  <c r="K15" i="3" s="1"/>
  <c r="I16" i="3"/>
  <c r="K16" i="3" s="1"/>
  <c r="I17" i="3"/>
  <c r="K17" i="3" s="1"/>
  <c r="I18" i="3"/>
  <c r="K18" i="3" s="1"/>
  <c r="I19" i="3"/>
  <c r="K19" i="3" s="1"/>
  <c r="I20" i="3"/>
  <c r="I21" i="3"/>
  <c r="K21" i="3" s="1"/>
  <c r="I22" i="3"/>
  <c r="K22" i="3" s="1"/>
  <c r="I23" i="3"/>
  <c r="K23" i="3" s="1"/>
  <c r="I24" i="3"/>
  <c r="K24" i="3" s="1"/>
  <c r="I25" i="3"/>
  <c r="K25" i="3" s="1"/>
  <c r="I26" i="3"/>
  <c r="K26" i="3" s="1"/>
  <c r="I27" i="3"/>
  <c r="K27" i="3" s="1"/>
  <c r="I28" i="3"/>
  <c r="K28" i="3" s="1"/>
  <c r="I29" i="3"/>
  <c r="K29" i="3" s="1"/>
  <c r="I30" i="3"/>
  <c r="K30" i="3" s="1"/>
  <c r="I31" i="3"/>
  <c r="K31" i="3" s="1"/>
  <c r="I32" i="3"/>
  <c r="K32" i="3" s="1"/>
  <c r="I33" i="3"/>
  <c r="K33" i="3" s="1"/>
  <c r="I34" i="3"/>
  <c r="K34" i="3" s="1"/>
  <c r="I35" i="3"/>
  <c r="K35" i="3" s="1"/>
  <c r="I36" i="3"/>
  <c r="K36" i="3" s="1"/>
  <c r="I37" i="3"/>
  <c r="K37" i="3" s="1"/>
  <c r="I38" i="3"/>
  <c r="K38" i="3" s="1"/>
  <c r="I39" i="3"/>
  <c r="K39" i="3" s="1"/>
  <c r="I40" i="3"/>
  <c r="K40" i="3" s="1"/>
  <c r="I41" i="3"/>
  <c r="K41" i="3" s="1"/>
  <c r="I42" i="3"/>
  <c r="K42" i="3" s="1"/>
  <c r="I43" i="3"/>
  <c r="K43" i="3" s="1"/>
  <c r="I44" i="3"/>
  <c r="K44" i="3" s="1"/>
  <c r="I45" i="3"/>
  <c r="K45" i="3" s="1"/>
  <c r="I46" i="3"/>
  <c r="K46" i="3" s="1"/>
  <c r="I47" i="3"/>
  <c r="K47" i="3" s="1"/>
  <c r="I48" i="3"/>
  <c r="K48" i="3" s="1"/>
  <c r="I49" i="3"/>
  <c r="K49" i="3" s="1"/>
  <c r="I51" i="3"/>
  <c r="K51" i="3" s="1"/>
  <c r="I52" i="3"/>
  <c r="K52" i="3" s="1"/>
  <c r="I53" i="3"/>
  <c r="K53" i="3" s="1"/>
  <c r="I54" i="3"/>
  <c r="K54" i="3" s="1"/>
  <c r="I55" i="3"/>
  <c r="K55" i="3" s="1"/>
  <c r="I56" i="3"/>
  <c r="K56" i="3" s="1"/>
  <c r="I57" i="3"/>
  <c r="K57" i="3" s="1"/>
  <c r="I58" i="3"/>
  <c r="K58" i="3" s="1"/>
  <c r="I59" i="3"/>
  <c r="K59" i="3" s="1"/>
  <c r="I60" i="3"/>
  <c r="K60" i="3" s="1"/>
  <c r="I61" i="3"/>
  <c r="K61" i="3" s="1"/>
  <c r="I62" i="3"/>
  <c r="K62" i="3" s="1"/>
  <c r="I63" i="3"/>
  <c r="K63" i="3" s="1"/>
  <c r="I64" i="3"/>
  <c r="K64" i="3" s="1"/>
  <c r="I65" i="3"/>
  <c r="K65" i="3" s="1"/>
  <c r="I66" i="3"/>
  <c r="K66" i="3" s="1"/>
  <c r="I67" i="3"/>
  <c r="K67" i="3" s="1"/>
  <c r="I68" i="3"/>
  <c r="K68" i="3" s="1"/>
  <c r="I69" i="3"/>
  <c r="K69" i="3" s="1"/>
  <c r="I70" i="3"/>
  <c r="K70" i="3" s="1"/>
  <c r="I71" i="3"/>
  <c r="K71" i="3" s="1"/>
  <c r="I72" i="3"/>
  <c r="K72" i="3" s="1"/>
  <c r="I73" i="3"/>
  <c r="K73" i="3" s="1"/>
  <c r="I74" i="3"/>
  <c r="K74" i="3" s="1"/>
  <c r="I75" i="3"/>
  <c r="K75" i="3" s="1"/>
  <c r="I76" i="3"/>
  <c r="K76" i="3" s="1"/>
  <c r="I77" i="3"/>
  <c r="K77" i="3" s="1"/>
  <c r="I78" i="3"/>
  <c r="K78" i="3" s="1"/>
  <c r="I79" i="3"/>
  <c r="K79" i="3" s="1"/>
  <c r="I80" i="3"/>
  <c r="K80" i="3" s="1"/>
  <c r="I81" i="3"/>
  <c r="K81" i="3" s="1"/>
  <c r="I82" i="3"/>
  <c r="K82" i="3" s="1"/>
  <c r="I83" i="3"/>
  <c r="K83" i="3" s="1"/>
  <c r="I84" i="3"/>
  <c r="K84" i="3" s="1"/>
  <c r="I85" i="3"/>
  <c r="K85" i="3" s="1"/>
  <c r="I86" i="3"/>
  <c r="K86" i="3" s="1"/>
  <c r="I87" i="3"/>
  <c r="K87" i="3" s="1"/>
  <c r="I88" i="3"/>
  <c r="K88" i="3" s="1"/>
  <c r="I89" i="3"/>
  <c r="K89" i="3" s="1"/>
  <c r="I90" i="3"/>
  <c r="K90" i="3" s="1"/>
  <c r="I91" i="3"/>
  <c r="K91" i="3" s="1"/>
  <c r="I92" i="3"/>
  <c r="K92" i="3" s="1"/>
  <c r="I93" i="3"/>
  <c r="K93" i="3" s="1"/>
  <c r="I94" i="3"/>
  <c r="K94" i="3" s="1"/>
  <c r="I95" i="3"/>
  <c r="K95" i="3" s="1"/>
  <c r="I96" i="3"/>
  <c r="K96" i="3" s="1"/>
  <c r="I97" i="3"/>
  <c r="K97" i="3" s="1"/>
  <c r="I98" i="3"/>
  <c r="K98" i="3" s="1"/>
  <c r="I99" i="3"/>
  <c r="K99" i="3" s="1"/>
  <c r="I100" i="3"/>
  <c r="K100" i="3" s="1"/>
  <c r="I101" i="3"/>
  <c r="K101" i="3" s="1"/>
  <c r="I102" i="3"/>
  <c r="K102" i="3" s="1"/>
  <c r="I103" i="3"/>
  <c r="K103" i="3" s="1"/>
  <c r="I104" i="3"/>
  <c r="K104" i="3" s="1"/>
  <c r="I105" i="3"/>
  <c r="K105" i="3" s="1"/>
  <c r="I106" i="3"/>
  <c r="K106" i="3" s="1"/>
  <c r="I107" i="3"/>
  <c r="K107" i="3" s="1"/>
  <c r="I108" i="3"/>
  <c r="K108" i="3" s="1"/>
  <c r="I109" i="3"/>
  <c r="K109" i="3" s="1"/>
  <c r="I110" i="3"/>
  <c r="K110" i="3" s="1"/>
  <c r="I111" i="3"/>
  <c r="K111" i="3" s="1"/>
  <c r="I112" i="3"/>
  <c r="K112" i="3" s="1"/>
  <c r="I113" i="3"/>
  <c r="K113" i="3" s="1"/>
  <c r="I114" i="3"/>
  <c r="K114" i="3" s="1"/>
  <c r="I115" i="3"/>
  <c r="K115" i="3" s="1"/>
  <c r="I116" i="3"/>
  <c r="K116" i="3" s="1"/>
  <c r="I117" i="3"/>
  <c r="K117" i="3" s="1"/>
  <c r="I118" i="3"/>
  <c r="K118" i="3" s="1"/>
  <c r="I119" i="3"/>
  <c r="K119" i="3" s="1"/>
  <c r="I120" i="3"/>
  <c r="K120" i="3" s="1"/>
  <c r="I121" i="3"/>
  <c r="K121" i="3" s="1"/>
  <c r="I122" i="3"/>
  <c r="K122" i="3" s="1"/>
  <c r="I123" i="3"/>
  <c r="K123" i="3" s="1"/>
  <c r="I124" i="3"/>
  <c r="K124" i="3" s="1"/>
  <c r="I125" i="3"/>
  <c r="K125" i="3" s="1"/>
  <c r="I126" i="3"/>
  <c r="K126" i="3" s="1"/>
  <c r="I127" i="3"/>
  <c r="K127" i="3" s="1"/>
  <c r="I128" i="3"/>
  <c r="K128" i="3" s="1"/>
  <c r="I129" i="3"/>
  <c r="K129" i="3" s="1"/>
  <c r="I130" i="3"/>
  <c r="K130" i="3" s="1"/>
  <c r="I131" i="3"/>
  <c r="K131" i="3" s="1"/>
  <c r="I132" i="3"/>
  <c r="K132" i="3" s="1"/>
  <c r="I133" i="3"/>
  <c r="K133" i="3" s="1"/>
  <c r="I134" i="3"/>
  <c r="K134" i="3" s="1"/>
  <c r="I135" i="3"/>
  <c r="K135" i="3" s="1"/>
  <c r="I136" i="3"/>
  <c r="K136" i="3" s="1"/>
  <c r="I137" i="3"/>
  <c r="K137" i="3" s="1"/>
  <c r="I138" i="3"/>
  <c r="K138" i="3" s="1"/>
  <c r="I139" i="3"/>
  <c r="K139" i="3" s="1"/>
  <c r="I140" i="3"/>
  <c r="K140" i="3" s="1"/>
  <c r="I141" i="3"/>
  <c r="K141" i="3" s="1"/>
  <c r="I142" i="3"/>
  <c r="I143" i="3"/>
  <c r="K143" i="3" s="1"/>
  <c r="I144" i="3"/>
  <c r="K144" i="3" s="1"/>
  <c r="I145" i="3"/>
  <c r="K145" i="3" s="1"/>
  <c r="I146" i="3"/>
  <c r="I147" i="3"/>
  <c r="K147" i="3" s="1"/>
  <c r="I148" i="3"/>
  <c r="K148" i="3" s="1"/>
  <c r="I149" i="3"/>
  <c r="K149" i="3" s="1"/>
  <c r="I150" i="3"/>
  <c r="I151" i="3"/>
  <c r="K151" i="3" s="1"/>
  <c r="I152" i="3"/>
  <c r="K152" i="3" s="1"/>
  <c r="I153" i="3"/>
  <c r="K153" i="3" s="1"/>
  <c r="I154" i="3"/>
  <c r="I155" i="3"/>
  <c r="K155" i="3" s="1"/>
  <c r="I156" i="3"/>
  <c r="K156" i="3" s="1"/>
  <c r="I157" i="3"/>
  <c r="I158" i="3"/>
  <c r="I159" i="3"/>
  <c r="K159" i="3" s="1"/>
  <c r="I160" i="3"/>
  <c r="K160" i="3" s="1"/>
  <c r="I161" i="3"/>
  <c r="I162" i="3"/>
  <c r="I163" i="3"/>
  <c r="K163" i="3" s="1"/>
  <c r="I164" i="3"/>
  <c r="I165" i="3"/>
  <c r="I166" i="3"/>
  <c r="I167" i="3"/>
  <c r="K167" i="3" s="1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C131" i="4"/>
  <c r="C132" i="4"/>
  <c r="C133" i="4"/>
  <c r="C134" i="4"/>
  <c r="C135" i="4"/>
  <c r="C136" i="4"/>
  <c r="C137" i="4"/>
  <c r="C138" i="4"/>
  <c r="C139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2" i="4"/>
  <c r="E1" i="13"/>
  <c r="D1" i="13"/>
  <c r="C1" i="13"/>
  <c r="B1" i="13"/>
  <c r="F32" i="3"/>
  <c r="F51" i="3"/>
  <c r="F63" i="3"/>
  <c r="F127" i="3"/>
  <c r="F13" i="3"/>
  <c r="F11" i="3"/>
  <c r="F76" i="3"/>
  <c r="F140" i="3"/>
  <c r="F58" i="3"/>
  <c r="F20" i="3"/>
  <c r="F85" i="3"/>
  <c r="F149" i="3"/>
  <c r="F78" i="3"/>
  <c r="F14" i="3"/>
  <c r="F83" i="3"/>
  <c r="F147" i="3"/>
  <c r="F74" i="3"/>
  <c r="F31" i="3"/>
  <c r="F96" i="3"/>
  <c r="F160" i="3"/>
  <c r="F162" i="3"/>
  <c r="F57" i="3"/>
  <c r="F121" i="3"/>
  <c r="F185" i="3"/>
  <c r="F23" i="3"/>
  <c r="F16" i="3"/>
  <c r="F66" i="3"/>
  <c r="F18" i="3"/>
  <c r="F87" i="3"/>
  <c r="F151" i="3"/>
  <c r="F86" i="3"/>
  <c r="F35" i="3"/>
  <c r="F100" i="3"/>
  <c r="F164" i="3"/>
  <c r="F130" i="3"/>
  <c r="F44" i="3"/>
  <c r="F109" i="3"/>
  <c r="F173" i="3"/>
  <c r="F154" i="3"/>
  <c r="F59" i="3"/>
  <c r="F123" i="3"/>
  <c r="F187" i="3"/>
  <c r="F39" i="3"/>
  <c r="F104" i="3"/>
  <c r="F94" i="3"/>
  <c r="F129" i="3"/>
  <c r="F12" i="3"/>
  <c r="F22" i="3"/>
  <c r="F72" i="3"/>
  <c r="F21" i="3"/>
  <c r="F81" i="3"/>
  <c r="F97" i="3"/>
  <c r="F10" i="3"/>
  <c r="F79" i="3"/>
  <c r="F143" i="3"/>
  <c r="F62" i="3"/>
  <c r="F27" i="3"/>
  <c r="F92" i="3"/>
  <c r="F156" i="3"/>
  <c r="F106" i="3"/>
  <c r="F36" i="3"/>
  <c r="F101" i="3"/>
  <c r="F165" i="3"/>
  <c r="F126" i="3"/>
  <c r="F30" i="3"/>
  <c r="F99" i="3"/>
  <c r="F163" i="3"/>
  <c r="F122" i="3"/>
  <c r="F47" i="3"/>
  <c r="F112" i="3"/>
  <c r="F176" i="3"/>
  <c r="F8" i="3"/>
  <c r="F73" i="3"/>
  <c r="F137" i="3"/>
  <c r="F90" i="3"/>
  <c r="F120" i="3"/>
  <c r="F65" i="3"/>
  <c r="F17" i="3"/>
  <c r="F34" i="3"/>
  <c r="F103" i="3"/>
  <c r="F167" i="3"/>
  <c r="F134" i="3"/>
  <c r="F52" i="3"/>
  <c r="F116" i="3"/>
  <c r="F180" i="3"/>
  <c r="F174" i="3"/>
  <c r="F61" i="3"/>
  <c r="F125" i="3"/>
  <c r="F9" i="3"/>
  <c r="F6" i="3"/>
  <c r="F75" i="3"/>
  <c r="F139" i="3"/>
  <c r="F49" i="3"/>
  <c r="F56" i="3"/>
  <c r="F136" i="3"/>
  <c r="F186" i="3"/>
  <c r="F145" i="3"/>
  <c r="F132" i="3"/>
  <c r="F77" i="3"/>
  <c r="F54" i="3"/>
  <c r="F91" i="3"/>
  <c r="F98" i="3"/>
  <c r="F48" i="3"/>
  <c r="F184" i="3"/>
  <c r="F166" i="3"/>
  <c r="F7" i="3"/>
  <c r="F177" i="3"/>
  <c r="F26" i="3"/>
  <c r="F95" i="3"/>
  <c r="F159" i="3"/>
  <c r="F110" i="3"/>
  <c r="F43" i="3"/>
  <c r="F108" i="3"/>
  <c r="F172" i="3"/>
  <c r="F150" i="3"/>
  <c r="F53" i="3"/>
  <c r="F117" i="3"/>
  <c r="F181" i="3"/>
  <c r="F178" i="3"/>
  <c r="F46" i="3"/>
  <c r="F115" i="3"/>
  <c r="F179" i="3"/>
  <c r="F170" i="3"/>
  <c r="F64" i="3"/>
  <c r="F128" i="3"/>
  <c r="F70" i="3"/>
  <c r="F24" i="3"/>
  <c r="F89" i="3"/>
  <c r="F153" i="3"/>
  <c r="F142" i="3"/>
  <c r="F168" i="3"/>
  <c r="F113" i="3"/>
  <c r="F45" i="3"/>
  <c r="F55" i="3"/>
  <c r="F119" i="3"/>
  <c r="F183" i="3"/>
  <c r="F182" i="3"/>
  <c r="F68" i="3"/>
  <c r="F29" i="3"/>
  <c r="F141" i="3"/>
  <c r="F155" i="3"/>
  <c r="F152" i="3"/>
  <c r="F41" i="3"/>
  <c r="F114" i="3"/>
  <c r="F42" i="3"/>
  <c r="F111" i="3"/>
  <c r="F175" i="3"/>
  <c r="F158" i="3"/>
  <c r="F60" i="3"/>
  <c r="F124" i="3"/>
  <c r="F188" i="3"/>
  <c r="F4" i="3"/>
  <c r="F69" i="3"/>
  <c r="F133" i="3"/>
  <c r="F33" i="3"/>
  <c r="F2" i="3"/>
  <c r="F67" i="3"/>
  <c r="F131" i="3"/>
  <c r="F25" i="3"/>
  <c r="F15" i="3"/>
  <c r="F80" i="3"/>
  <c r="F144" i="3"/>
  <c r="F118" i="3"/>
  <c r="F40" i="3"/>
  <c r="F105" i="3"/>
  <c r="F169" i="3"/>
  <c r="F5" i="3"/>
  <c r="F138" i="3"/>
  <c r="F161" i="3"/>
  <c r="F3" i="3"/>
  <c r="F71" i="3"/>
  <c r="F135" i="3"/>
  <c r="F37" i="3"/>
  <c r="F19" i="3"/>
  <c r="F84" i="3"/>
  <c r="F148" i="3"/>
  <c r="F82" i="3"/>
  <c r="F28" i="3"/>
  <c r="F93" i="3"/>
  <c r="F157" i="3"/>
  <c r="F102" i="3"/>
  <c r="F38" i="3"/>
  <c r="F107" i="3"/>
  <c r="F171" i="3"/>
  <c r="F146" i="3"/>
  <c r="F88" i="3"/>
  <c r="K154" i="3" l="1"/>
  <c r="K150" i="3"/>
  <c r="K146" i="3"/>
  <c r="K142" i="3"/>
  <c r="K157" i="3"/>
  <c r="K182" i="3"/>
  <c r="K178" i="3"/>
  <c r="K174" i="3"/>
  <c r="K170" i="3"/>
  <c r="K166" i="3"/>
  <c r="K162" i="3"/>
  <c r="K158" i="3"/>
  <c r="K168" i="3"/>
  <c r="K164" i="3"/>
  <c r="K176" i="3"/>
  <c r="K172" i="3"/>
  <c r="K186" i="3"/>
  <c r="K185" i="3"/>
  <c r="K181" i="3"/>
  <c r="K177" i="3"/>
  <c r="K173" i="3"/>
  <c r="K169" i="3"/>
  <c r="K165" i="3"/>
  <c r="K161" i="3"/>
  <c r="K180" i="3"/>
  <c r="K188" i="3"/>
  <c r="K184" i="3"/>
  <c r="K187" i="3"/>
  <c r="K183" i="3"/>
  <c r="K179" i="3"/>
  <c r="K175" i="3"/>
  <c r="K171" i="3"/>
  <c r="H1" i="13"/>
  <c r="G1" i="13"/>
  <c r="F39" i="4"/>
  <c r="F97" i="4"/>
  <c r="F122" i="4"/>
  <c r="F58" i="4"/>
  <c r="F53" i="4"/>
  <c r="F108" i="4"/>
  <c r="F44" i="4"/>
  <c r="F33" i="4"/>
  <c r="F99" i="4"/>
  <c r="F35" i="4"/>
  <c r="F86" i="4"/>
  <c r="F22" i="4"/>
  <c r="F112" i="4"/>
  <c r="F89" i="4"/>
  <c r="F120" i="4"/>
  <c r="F56" i="4"/>
  <c r="F69" i="4"/>
  <c r="F95" i="4"/>
  <c r="F31" i="4"/>
  <c r="F82" i="4"/>
  <c r="F18" i="4"/>
  <c r="F84" i="4"/>
  <c r="F20" i="4"/>
  <c r="F139" i="4"/>
  <c r="F75" i="4"/>
  <c r="F11" i="4"/>
  <c r="F109" i="4"/>
  <c r="F126" i="4"/>
  <c r="F62" i="4"/>
  <c r="F65" i="4"/>
  <c r="F103" i="4"/>
  <c r="F106" i="4"/>
  <c r="F92" i="4"/>
  <c r="F19" i="4"/>
  <c r="F133" i="4"/>
  <c r="F134" i="4"/>
  <c r="F70" i="4"/>
  <c r="F6" i="4"/>
  <c r="F64" i="4"/>
  <c r="F119" i="4"/>
  <c r="F93" i="4"/>
  <c r="F104" i="4"/>
  <c r="F40" i="4"/>
  <c r="F21" i="4"/>
  <c r="F79" i="4"/>
  <c r="F15" i="4"/>
  <c r="F121" i="4"/>
  <c r="F130" i="4"/>
  <c r="F66" i="4"/>
  <c r="F129" i="4"/>
  <c r="F132" i="4"/>
  <c r="F68" i="4"/>
  <c r="F4" i="4"/>
  <c r="F101" i="4"/>
  <c r="F123" i="4"/>
  <c r="F59" i="4"/>
  <c r="F61" i="4"/>
  <c r="F110" i="4"/>
  <c r="F46" i="4"/>
  <c r="F128" i="4"/>
  <c r="F117" i="4"/>
  <c r="F135" i="4"/>
  <c r="F49" i="4"/>
  <c r="F42" i="4"/>
  <c r="F5" i="4"/>
  <c r="F28" i="4"/>
  <c r="F83" i="4"/>
  <c r="F96" i="4"/>
  <c r="F137" i="4"/>
  <c r="F87" i="4"/>
  <c r="F7" i="4"/>
  <c r="F90" i="4"/>
  <c r="F26" i="4"/>
  <c r="F76" i="4"/>
  <c r="F12" i="4"/>
  <c r="F125" i="4"/>
  <c r="F131" i="4"/>
  <c r="F67" i="4"/>
  <c r="F3" i="4"/>
  <c r="F85" i="4"/>
  <c r="F118" i="4"/>
  <c r="F54" i="4"/>
  <c r="F16" i="4"/>
  <c r="F71" i="4"/>
  <c r="F41" i="4"/>
  <c r="F88" i="4"/>
  <c r="F24" i="4"/>
  <c r="F127" i="4"/>
  <c r="F63" i="4"/>
  <c r="F73" i="4"/>
  <c r="F114" i="4"/>
  <c r="F50" i="4"/>
  <c r="F77" i="4"/>
  <c r="F116" i="4"/>
  <c r="F52" i="4"/>
  <c r="F57" i="4"/>
  <c r="F107" i="4"/>
  <c r="F43" i="4"/>
  <c r="F13" i="4"/>
  <c r="F94" i="4"/>
  <c r="F30" i="4"/>
  <c r="F48" i="4"/>
  <c r="F32" i="4"/>
  <c r="F23" i="4"/>
  <c r="F80" i="4"/>
  <c r="F45" i="4"/>
  <c r="F55" i="4"/>
  <c r="F138" i="4"/>
  <c r="F74" i="4"/>
  <c r="F10" i="4"/>
  <c r="F105" i="4"/>
  <c r="F124" i="4"/>
  <c r="F60" i="4"/>
  <c r="F81" i="4"/>
  <c r="F115" i="4"/>
  <c r="F51" i="4"/>
  <c r="F37" i="4"/>
  <c r="F102" i="4"/>
  <c r="F38" i="4"/>
  <c r="F17" i="4"/>
  <c r="F136" i="4"/>
  <c r="F72" i="4"/>
  <c r="F8" i="4"/>
  <c r="F113" i="4"/>
  <c r="F111" i="4"/>
  <c r="F47" i="4"/>
  <c r="F25" i="4"/>
  <c r="F98" i="4"/>
  <c r="F34" i="4"/>
  <c r="F29" i="4"/>
  <c r="F100" i="4"/>
  <c r="F36" i="4"/>
  <c r="F9" i="4"/>
  <c r="F91" i="4"/>
  <c r="F27" i="4"/>
  <c r="F78" i="4"/>
  <c r="F14" i="4"/>
  <c r="F2" i="4"/>
  <c r="K20" i="3"/>
  <c r="K2" i="3"/>
  <c r="F1" i="13"/>
</calcChain>
</file>

<file path=xl/sharedStrings.xml><?xml version="1.0" encoding="utf-8"?>
<sst xmlns="http://schemas.openxmlformats.org/spreadsheetml/2006/main" count="10617" uniqueCount="3659">
  <si>
    <t>dv</t>
    <phoneticPr fontId="1" type="noConversion"/>
  </si>
  <si>
    <t>번호</t>
  </si>
  <si>
    <t>이름</t>
  </si>
  <si>
    <t>좌표</t>
  </si>
  <si>
    <t>아이디</t>
  </si>
  <si>
    <t>비밀번호</t>
  </si>
  <si>
    <t>등급</t>
  </si>
  <si>
    <t>A001</t>
  </si>
  <si>
    <t>강동원</t>
  </si>
  <si>
    <t>user01</t>
  </si>
  <si>
    <t>user01!</t>
  </si>
  <si>
    <t>A002</t>
  </si>
  <si>
    <t>강해효</t>
  </si>
  <si>
    <t>94,0</t>
  </si>
  <si>
    <t>user02</t>
  </si>
  <si>
    <t>user02!</t>
  </si>
  <si>
    <t>A003</t>
  </si>
  <si>
    <t>강희준</t>
  </si>
  <si>
    <t>47,71</t>
  </si>
  <si>
    <t>user03</t>
  </si>
  <si>
    <t>user03!</t>
  </si>
  <si>
    <t>A004</t>
  </si>
  <si>
    <t>권동준</t>
  </si>
  <si>
    <t>user04</t>
  </si>
  <si>
    <t>user04!</t>
  </si>
  <si>
    <t>A005</t>
  </si>
  <si>
    <t>권순범</t>
  </si>
  <si>
    <t>76,21</t>
  </si>
  <si>
    <t>user05</t>
  </si>
  <si>
    <t>user05!</t>
  </si>
  <si>
    <t>A006</t>
  </si>
  <si>
    <t>권지용</t>
  </si>
  <si>
    <t>60,87</t>
  </si>
  <si>
    <t>user06</t>
  </si>
  <si>
    <t>user06!</t>
  </si>
  <si>
    <t>A007</t>
  </si>
  <si>
    <t>김건호</t>
  </si>
  <si>
    <t>99,13</t>
  </si>
  <si>
    <t>user07</t>
  </si>
  <si>
    <t>user07!</t>
  </si>
  <si>
    <t>A008</t>
  </si>
  <si>
    <t>김기범</t>
  </si>
  <si>
    <t>83,37</t>
  </si>
  <si>
    <t>user08</t>
  </si>
  <si>
    <t>user08!</t>
  </si>
  <si>
    <t>A009</t>
  </si>
  <si>
    <t>김영한</t>
  </si>
  <si>
    <t>46,70</t>
  </si>
  <si>
    <t>user09</t>
  </si>
  <si>
    <t>user09!</t>
  </si>
  <si>
    <t>A010</t>
  </si>
  <si>
    <t>김영희</t>
  </si>
  <si>
    <t>73,87</t>
  </si>
  <si>
    <t>user10</t>
  </si>
  <si>
    <t>user10!</t>
  </si>
  <si>
    <t>A011</t>
  </si>
  <si>
    <t>김지영</t>
  </si>
  <si>
    <t>94,37</t>
  </si>
  <si>
    <t>user11</t>
  </si>
  <si>
    <t>user11!</t>
  </si>
  <si>
    <t>A012</t>
  </si>
  <si>
    <t>김지용</t>
  </si>
  <si>
    <t>64,31</t>
  </si>
  <si>
    <t>user12</t>
  </si>
  <si>
    <t>user12!</t>
  </si>
  <si>
    <t>A013</t>
  </si>
  <si>
    <t>20,35</t>
  </si>
  <si>
    <t>user13</t>
  </si>
  <si>
    <t>user13!</t>
  </si>
  <si>
    <t>A014</t>
  </si>
  <si>
    <t>김철수</t>
  </si>
  <si>
    <t>10,30</t>
  </si>
  <si>
    <t>user14</t>
  </si>
  <si>
    <t>user14!</t>
  </si>
  <si>
    <t>A015</t>
  </si>
  <si>
    <t>김해솔</t>
  </si>
  <si>
    <t>10,27</t>
  </si>
  <si>
    <t>user15</t>
  </si>
  <si>
    <t>user15!</t>
  </si>
  <si>
    <t>A016</t>
  </si>
  <si>
    <t>김희년</t>
  </si>
  <si>
    <t>55,77</t>
  </si>
  <si>
    <t>user16</t>
  </si>
  <si>
    <t>user16!</t>
  </si>
  <si>
    <t>A017</t>
  </si>
  <si>
    <t>김희준</t>
  </si>
  <si>
    <t>83,22</t>
  </si>
  <si>
    <t>user17</t>
  </si>
  <si>
    <t>user17!</t>
  </si>
  <si>
    <t>A018</t>
  </si>
  <si>
    <t>노정환</t>
  </si>
  <si>
    <t>38,87</t>
  </si>
  <si>
    <t>user18</t>
  </si>
  <si>
    <t>user18!</t>
  </si>
  <si>
    <t>A019</t>
  </si>
  <si>
    <t>노지후</t>
  </si>
  <si>
    <t>34,7</t>
  </si>
  <si>
    <t>user19</t>
  </si>
  <si>
    <t>user19!</t>
  </si>
  <si>
    <t>A020</t>
  </si>
  <si>
    <t>류현준</t>
  </si>
  <si>
    <t>31,74</t>
  </si>
  <si>
    <t>user20</t>
  </si>
  <si>
    <t>user20!</t>
  </si>
  <si>
    <t>A021</t>
  </si>
  <si>
    <t>문지훈</t>
  </si>
  <si>
    <t>11,89</t>
  </si>
  <si>
    <t>user21</t>
  </si>
  <si>
    <t>user21!</t>
  </si>
  <si>
    <t>A022</t>
  </si>
  <si>
    <t>박두칠</t>
  </si>
  <si>
    <t>23,27</t>
  </si>
  <si>
    <t>user22</t>
  </si>
  <si>
    <t>user22!</t>
  </si>
  <si>
    <t>A023</t>
  </si>
  <si>
    <t>박찬호</t>
  </si>
  <si>
    <t>19,71</t>
  </si>
  <si>
    <t>user23</t>
  </si>
  <si>
    <t>user23!</t>
  </si>
  <si>
    <t>A024</t>
  </si>
  <si>
    <t>배용원</t>
  </si>
  <si>
    <t>0,55</t>
  </si>
  <si>
    <t>user24</t>
  </si>
  <si>
    <t>user24!</t>
  </si>
  <si>
    <t>A025</t>
  </si>
  <si>
    <t>석호필</t>
  </si>
  <si>
    <t>19,46</t>
  </si>
  <si>
    <t>user25</t>
  </si>
  <si>
    <t>user25!</t>
  </si>
  <si>
    <t>A026</t>
  </si>
  <si>
    <t>손이현</t>
  </si>
  <si>
    <t>77,68</t>
  </si>
  <si>
    <t>user26</t>
  </si>
  <si>
    <t>user26!</t>
  </si>
  <si>
    <t>A027</t>
  </si>
  <si>
    <t>양기탁</t>
  </si>
  <si>
    <t>97,54</t>
  </si>
  <si>
    <t>user27</t>
  </si>
  <si>
    <t>user27!</t>
  </si>
  <si>
    <t>A028</t>
  </si>
  <si>
    <t>여환섭</t>
  </si>
  <si>
    <t>63,27</t>
  </si>
  <si>
    <t>user28</t>
  </si>
  <si>
    <t>user28!</t>
  </si>
  <si>
    <t>A029</t>
  </si>
  <si>
    <t>유재석</t>
  </si>
  <si>
    <t>39,18</t>
  </si>
  <si>
    <t>user29</t>
  </si>
  <si>
    <t>user29!</t>
  </si>
  <si>
    <t>A030</t>
  </si>
  <si>
    <t>이가</t>
  </si>
  <si>
    <t>79,21</t>
  </si>
  <si>
    <t>user30</t>
  </si>
  <si>
    <t>user30!</t>
  </si>
  <si>
    <t>A031</t>
  </si>
  <si>
    <t>이기영</t>
  </si>
  <si>
    <t>51,99</t>
  </si>
  <si>
    <t>user31</t>
  </si>
  <si>
    <t>user31!</t>
  </si>
  <si>
    <t>A032</t>
  </si>
  <si>
    <t>이기철</t>
  </si>
  <si>
    <t>3,42</t>
  </si>
  <si>
    <t>user32</t>
  </si>
  <si>
    <t>user32!</t>
  </si>
  <si>
    <t>A033</t>
  </si>
  <si>
    <t>이두봉</t>
  </si>
  <si>
    <t>36,0</t>
  </si>
  <si>
    <t>user33</t>
  </si>
  <si>
    <t>user33!</t>
  </si>
  <si>
    <t>A034</t>
  </si>
  <si>
    <t>이서준</t>
  </si>
  <si>
    <t>16,78</t>
  </si>
  <si>
    <t>user34</t>
  </si>
  <si>
    <t>user34!</t>
  </si>
  <si>
    <t>A035</t>
  </si>
  <si>
    <t>이수권</t>
  </si>
  <si>
    <t>21,33</t>
  </si>
  <si>
    <t>user35</t>
  </si>
  <si>
    <t>user35!</t>
  </si>
  <si>
    <t>A036</t>
  </si>
  <si>
    <t>이지금</t>
  </si>
  <si>
    <t>11,4</t>
  </si>
  <si>
    <t>user36</t>
  </si>
  <si>
    <t>user36!</t>
  </si>
  <si>
    <t>A037</t>
  </si>
  <si>
    <t>이지동</t>
  </si>
  <si>
    <t>80,64</t>
  </si>
  <si>
    <t>user37</t>
  </si>
  <si>
    <t>user37!</t>
  </si>
  <si>
    <t>A038</t>
  </si>
  <si>
    <t>이지은</t>
  </si>
  <si>
    <t>25,0</t>
  </si>
  <si>
    <t>user38</t>
  </si>
  <si>
    <t>user38!</t>
  </si>
  <si>
    <t>A039</t>
  </si>
  <si>
    <t>전인환</t>
  </si>
  <si>
    <t>93,90</t>
  </si>
  <si>
    <t>user39</t>
  </si>
  <si>
    <t>user39!</t>
  </si>
  <si>
    <t>A040</t>
  </si>
  <si>
    <t>조규필</t>
  </si>
  <si>
    <t>26,77</t>
  </si>
  <si>
    <t>user40</t>
  </si>
  <si>
    <t>user40!</t>
  </si>
  <si>
    <t>A041</t>
  </si>
  <si>
    <t>조재연</t>
  </si>
  <si>
    <t>54,84</t>
  </si>
  <si>
    <t>user41</t>
  </si>
  <si>
    <t>user41!</t>
  </si>
  <si>
    <t>A042</t>
  </si>
  <si>
    <t>조종태</t>
  </si>
  <si>
    <t>74,63</t>
  </si>
  <si>
    <t>user42</t>
  </si>
  <si>
    <t>user42!</t>
  </si>
  <si>
    <t>A043</t>
  </si>
  <si>
    <t>최경규</t>
  </si>
  <si>
    <t>48,70</t>
  </si>
  <si>
    <t>user43</t>
  </si>
  <si>
    <t>user43!</t>
  </si>
  <si>
    <t>A044</t>
  </si>
  <si>
    <t>한요한</t>
  </si>
  <si>
    <t>3,35</t>
  </si>
  <si>
    <t>user44</t>
  </si>
  <si>
    <t>user44!</t>
  </si>
  <si>
    <t>A045</t>
  </si>
  <si>
    <t>홍기</t>
  </si>
  <si>
    <t>33,66</t>
  </si>
  <si>
    <t>user45</t>
  </si>
  <si>
    <t>user45!</t>
  </si>
  <si>
    <t>A046</t>
  </si>
  <si>
    <t>홍삼</t>
  </si>
  <si>
    <t>60,35</t>
  </si>
  <si>
    <t>A047</t>
  </si>
  <si>
    <t>홍이현</t>
  </si>
  <si>
    <t>51,48</t>
  </si>
  <si>
    <t>A048</t>
  </si>
  <si>
    <t>홍동묵</t>
  </si>
  <si>
    <t>54,67</t>
  </si>
  <si>
    <t>Z001</t>
  </si>
  <si>
    <t>미가미</t>
  </si>
  <si>
    <t>99,99</t>
  </si>
  <si>
    <t>store1</t>
  </si>
  <si>
    <t>store1!</t>
  </si>
  <si>
    <t>Z002</t>
  </si>
  <si>
    <t>이춘복스시</t>
  </si>
  <si>
    <t>19,5</t>
  </si>
  <si>
    <t>store2</t>
  </si>
  <si>
    <t>store2!</t>
  </si>
  <si>
    <t>Z003</t>
  </si>
  <si>
    <t>The Park(뷔페식당)</t>
  </si>
  <si>
    <t>92,20</t>
  </si>
  <si>
    <t>store3</t>
  </si>
  <si>
    <t>store3!</t>
  </si>
  <si>
    <t>Z004</t>
  </si>
  <si>
    <t>가나식당</t>
  </si>
  <si>
    <t>97,85</t>
  </si>
  <si>
    <t>store4</t>
  </si>
  <si>
    <t>store4!</t>
  </si>
  <si>
    <t>Z005</t>
  </si>
  <si>
    <t>갈비식당</t>
  </si>
  <si>
    <t>15,15</t>
  </si>
  <si>
    <t>store5</t>
  </si>
  <si>
    <t>store5!</t>
  </si>
  <si>
    <t>Z006</t>
  </si>
  <si>
    <t>강남역 파스타</t>
  </si>
  <si>
    <t>0,20</t>
  </si>
  <si>
    <t>store6</t>
  </si>
  <si>
    <t>store6!</t>
  </si>
  <si>
    <t>Z007</t>
  </si>
  <si>
    <t>강식당</t>
  </si>
  <si>
    <t>22,82</t>
  </si>
  <si>
    <t>store7</t>
  </si>
  <si>
    <t>store7!</t>
  </si>
  <si>
    <t>Z008</t>
  </si>
  <si>
    <t>거만한식당</t>
  </si>
  <si>
    <t>68,69</t>
  </si>
  <si>
    <t>store8</t>
  </si>
  <si>
    <t>store8!</t>
  </si>
  <si>
    <t>Z009</t>
  </si>
  <si>
    <t>계절식당</t>
  </si>
  <si>
    <t>96,34</t>
  </si>
  <si>
    <t>store9</t>
  </si>
  <si>
    <t>store9!</t>
  </si>
  <si>
    <t>Z010</t>
  </si>
  <si>
    <t>공리</t>
  </si>
  <si>
    <t>9,84</t>
  </si>
  <si>
    <t>store10</t>
  </si>
  <si>
    <t>store10!</t>
  </si>
  <si>
    <t>Z011</t>
  </si>
  <si>
    <t>구이마마</t>
  </si>
  <si>
    <t>77,14</t>
  </si>
  <si>
    <t>store11</t>
  </si>
  <si>
    <t>store11!</t>
  </si>
  <si>
    <t>Z012</t>
  </si>
  <si>
    <t>국수명가</t>
  </si>
  <si>
    <t>11,43</t>
  </si>
  <si>
    <t>store12</t>
  </si>
  <si>
    <t>store12!</t>
  </si>
  <si>
    <t>Z013</t>
  </si>
  <si>
    <t>금홍</t>
  </si>
  <si>
    <t>0,84</t>
  </si>
  <si>
    <t>store13</t>
  </si>
  <si>
    <t>store13!</t>
  </si>
  <si>
    <t>Z014</t>
  </si>
  <si>
    <t>기사식당</t>
  </si>
  <si>
    <t>21,0</t>
  </si>
  <si>
    <t>store14</t>
  </si>
  <si>
    <t>store14!</t>
  </si>
  <si>
    <t>Z015</t>
  </si>
  <si>
    <t>나나마구로</t>
  </si>
  <si>
    <t>36,62</t>
  </si>
  <si>
    <t>store15</t>
  </si>
  <si>
    <t>store15!</t>
  </si>
  <si>
    <t>Z016</t>
  </si>
  <si>
    <t>나나식당</t>
  </si>
  <si>
    <t>61,76</t>
  </si>
  <si>
    <t>store16</t>
  </si>
  <si>
    <t>store16!</t>
  </si>
  <si>
    <t>Z017</t>
  </si>
  <si>
    <t>남도미락</t>
  </si>
  <si>
    <t>24,2</t>
  </si>
  <si>
    <t>store17</t>
  </si>
  <si>
    <t>store17!</t>
  </si>
  <si>
    <t>Z018</t>
  </si>
  <si>
    <t>남식당</t>
  </si>
  <si>
    <t>62,85</t>
  </si>
  <si>
    <t>store18</t>
  </si>
  <si>
    <t>store18!</t>
  </si>
  <si>
    <t>Z019</t>
  </si>
  <si>
    <t>노독일처</t>
  </si>
  <si>
    <t>9,45</t>
  </si>
  <si>
    <t>store19</t>
  </si>
  <si>
    <t>store19!</t>
  </si>
  <si>
    <t>Z020</t>
  </si>
  <si>
    <t>노인식당</t>
  </si>
  <si>
    <t>67,43</t>
  </si>
  <si>
    <t>store20</t>
  </si>
  <si>
    <t>store20!</t>
  </si>
  <si>
    <t>Z021</t>
  </si>
  <si>
    <t>누룽누룽</t>
  </si>
  <si>
    <t>1,83</t>
  </si>
  <si>
    <t>store21</t>
  </si>
  <si>
    <t>store21!</t>
  </si>
  <si>
    <t>Z022</t>
  </si>
  <si>
    <t>다피타(da pitta)</t>
  </si>
  <si>
    <t>38,43</t>
  </si>
  <si>
    <t>store22</t>
  </si>
  <si>
    <t>store22!</t>
  </si>
  <si>
    <t>Z023</t>
  </si>
  <si>
    <t>대찬횟집</t>
  </si>
  <si>
    <t>99,0</t>
  </si>
  <si>
    <t>store23</t>
  </si>
  <si>
    <t>store23!</t>
  </si>
  <si>
    <t>Z024</t>
  </si>
  <si>
    <t>댓짱돈까스</t>
  </si>
  <si>
    <t>81,93</t>
  </si>
  <si>
    <t>store24</t>
  </si>
  <si>
    <t>store24!</t>
  </si>
  <si>
    <t>Z025</t>
  </si>
  <si>
    <t>더가든 키친</t>
  </si>
  <si>
    <t>8,2</t>
  </si>
  <si>
    <t>store25</t>
  </si>
  <si>
    <t>store25!</t>
  </si>
  <si>
    <t>Z026</t>
  </si>
  <si>
    <t>더구어</t>
  </si>
  <si>
    <t>81,17</t>
  </si>
  <si>
    <t>store26</t>
  </si>
  <si>
    <t>store26!</t>
  </si>
  <si>
    <t>Z027</t>
  </si>
  <si>
    <t>델리세</t>
  </si>
  <si>
    <t>38,63</t>
  </si>
  <si>
    <t>store27</t>
  </si>
  <si>
    <t>store27!</t>
  </si>
  <si>
    <t>Z028</t>
  </si>
  <si>
    <t>도쿄하나 사당점</t>
  </si>
  <si>
    <t>98,37</t>
  </si>
  <si>
    <t>store28</t>
  </si>
  <si>
    <t>store28!</t>
  </si>
  <si>
    <t>Z029</t>
  </si>
  <si>
    <t>독식당</t>
  </si>
  <si>
    <t>62,76</t>
  </si>
  <si>
    <t>store29</t>
  </si>
  <si>
    <t>store29!</t>
  </si>
  <si>
    <t>Z030</t>
  </si>
  <si>
    <t>동신참치양재직영점</t>
  </si>
  <si>
    <t>8,71</t>
  </si>
  <si>
    <t>store30</t>
  </si>
  <si>
    <t>store30!</t>
  </si>
  <si>
    <t>Z031</t>
  </si>
  <si>
    <t>디오디아(DIODIA)</t>
  </si>
  <si>
    <t>58,75</t>
  </si>
  <si>
    <t>store31</t>
  </si>
  <si>
    <t>store31!</t>
  </si>
  <si>
    <t>Z032</t>
  </si>
  <si>
    <t>딸기식당</t>
  </si>
  <si>
    <t>76,1</t>
  </si>
  <si>
    <t>store32</t>
  </si>
  <si>
    <t>store32!</t>
  </si>
  <si>
    <t>Z033</t>
  </si>
  <si>
    <t>또봇식당</t>
  </si>
  <si>
    <t>23,93</t>
  </si>
  <si>
    <t>store33</t>
  </si>
  <si>
    <t>store33!</t>
  </si>
  <si>
    <t>Z034</t>
  </si>
  <si>
    <t>러식당</t>
  </si>
  <si>
    <t>59,70</t>
  </si>
  <si>
    <t>store34</t>
  </si>
  <si>
    <t>store34!</t>
  </si>
  <si>
    <t>Z035</t>
  </si>
  <si>
    <t>레몬식당</t>
  </si>
  <si>
    <t>30,5</t>
  </si>
  <si>
    <t>store35</t>
  </si>
  <si>
    <t>store35!</t>
  </si>
  <si>
    <t>Z036</t>
  </si>
  <si>
    <t>롯데식당</t>
  </si>
  <si>
    <t>26,27</t>
  </si>
  <si>
    <t>store36</t>
  </si>
  <si>
    <t>store36!</t>
  </si>
  <si>
    <t>Z037</t>
  </si>
  <si>
    <t>루안</t>
  </si>
  <si>
    <t>26,45</t>
  </si>
  <si>
    <t>store37</t>
  </si>
  <si>
    <t>store37!</t>
  </si>
  <si>
    <t>Z038</t>
  </si>
  <si>
    <t>리밍</t>
  </si>
  <si>
    <t>73,69</t>
  </si>
  <si>
    <t>store38</t>
  </si>
  <si>
    <t>store38!</t>
  </si>
  <si>
    <t>Z039</t>
  </si>
  <si>
    <t>리아식당</t>
  </si>
  <si>
    <t>78,16</t>
  </si>
  <si>
    <t>store39</t>
  </si>
  <si>
    <t>store39!</t>
  </si>
  <si>
    <t>Z040</t>
  </si>
  <si>
    <t>리향</t>
  </si>
  <si>
    <t>10,49</t>
  </si>
  <si>
    <t>store40</t>
  </si>
  <si>
    <t>store40!</t>
  </si>
  <si>
    <t>Z041</t>
  </si>
  <si>
    <t>마초셰프</t>
  </si>
  <si>
    <t>45,30</t>
  </si>
  <si>
    <t>store41</t>
  </si>
  <si>
    <t>store41!</t>
  </si>
  <si>
    <t>Z042</t>
  </si>
  <si>
    <t>만다린</t>
  </si>
  <si>
    <t>51,75</t>
  </si>
  <si>
    <t>store42</t>
  </si>
  <si>
    <t>store42!</t>
  </si>
  <si>
    <t>Z043</t>
  </si>
  <si>
    <t>맥도식당</t>
  </si>
  <si>
    <t>72,26</t>
  </si>
  <si>
    <t>store43</t>
  </si>
  <si>
    <t>store43!</t>
  </si>
  <si>
    <t>Z044</t>
  </si>
  <si>
    <t>멜론식당</t>
  </si>
  <si>
    <t>41,97</t>
  </si>
  <si>
    <t>store44</t>
  </si>
  <si>
    <t>store44!</t>
  </si>
  <si>
    <t>Z045</t>
  </si>
  <si>
    <t>묘오또</t>
  </si>
  <si>
    <t>45,23</t>
  </si>
  <si>
    <t>store45</t>
  </si>
  <si>
    <t>store45!</t>
  </si>
  <si>
    <t>Z046</t>
  </si>
  <si>
    <t>물조은선주회집</t>
  </si>
  <si>
    <t>21,3</t>
  </si>
  <si>
    <t>store46</t>
  </si>
  <si>
    <t>store46!</t>
  </si>
  <si>
    <t>Z047</t>
  </si>
  <si>
    <t>미나토</t>
  </si>
  <si>
    <t>3,76</t>
  </si>
  <si>
    <t>store47</t>
  </si>
  <si>
    <t>store47!</t>
  </si>
  <si>
    <t>Z048</t>
  </si>
  <si>
    <t>미식당</t>
  </si>
  <si>
    <t>49,66</t>
  </si>
  <si>
    <t>store48</t>
  </si>
  <si>
    <t>store48!</t>
  </si>
  <si>
    <t>Z049</t>
  </si>
  <si>
    <t>미유끼</t>
  </si>
  <si>
    <t>42,82</t>
  </si>
  <si>
    <t>store49</t>
  </si>
  <si>
    <t>store49!</t>
  </si>
  <si>
    <t>Z050</t>
  </si>
  <si>
    <t>미타니야</t>
  </si>
  <si>
    <t>63,97</t>
  </si>
  <si>
    <t>store50</t>
  </si>
  <si>
    <t>store50!</t>
  </si>
  <si>
    <t>Z051</t>
  </si>
  <si>
    <t>반포면옥</t>
  </si>
  <si>
    <t>75,35</t>
  </si>
  <si>
    <t>store51</t>
  </si>
  <si>
    <t>store51!</t>
  </si>
  <si>
    <t>Z052</t>
  </si>
  <si>
    <t>밥식당</t>
  </si>
  <si>
    <t>89,46</t>
  </si>
  <si>
    <t>store52</t>
  </si>
  <si>
    <t>store52!</t>
  </si>
  <si>
    <t>Z053</t>
  </si>
  <si>
    <t>버거식당</t>
  </si>
  <si>
    <t>55,4</t>
  </si>
  <si>
    <t>store53</t>
  </si>
  <si>
    <t>store53!</t>
  </si>
  <si>
    <t>Z054</t>
  </si>
  <si>
    <t>복숭아식당</t>
  </si>
  <si>
    <t>46,0</t>
  </si>
  <si>
    <t>store54</t>
  </si>
  <si>
    <t>store54!</t>
  </si>
  <si>
    <t>Z055</t>
  </si>
  <si>
    <t>봉스구</t>
  </si>
  <si>
    <t>62,84</t>
  </si>
  <si>
    <t>store55</t>
  </si>
  <si>
    <t>store55!</t>
  </si>
  <si>
    <t>Z056</t>
  </si>
  <si>
    <t>북경</t>
  </si>
  <si>
    <t>68,72</t>
  </si>
  <si>
    <t>store56</t>
  </si>
  <si>
    <t>store56!</t>
  </si>
  <si>
    <t>Z057</t>
  </si>
  <si>
    <t>북해도</t>
  </si>
  <si>
    <t>67,15</t>
  </si>
  <si>
    <t>store57</t>
  </si>
  <si>
    <t>store57!</t>
  </si>
  <si>
    <t>Z058</t>
  </si>
  <si>
    <t>빕수식당</t>
  </si>
  <si>
    <t>67,55</t>
  </si>
  <si>
    <t>store58</t>
  </si>
  <si>
    <t>store58!</t>
  </si>
  <si>
    <t>Z059</t>
  </si>
  <si>
    <t>사과식당</t>
  </si>
  <si>
    <t>30,43</t>
  </si>
  <si>
    <t>store59</t>
  </si>
  <si>
    <t>store59!</t>
  </si>
  <si>
    <t>Z060</t>
  </si>
  <si>
    <t>사조참치(사당역점)</t>
  </si>
  <si>
    <t>95,9</t>
  </si>
  <si>
    <t>store60</t>
  </si>
  <si>
    <t>store60!</t>
  </si>
  <si>
    <t>Z061</t>
  </si>
  <si>
    <t>삼대나주곰탕</t>
  </si>
  <si>
    <t>86,72</t>
  </si>
  <si>
    <t>store61</t>
  </si>
  <si>
    <t>store61!</t>
  </si>
  <si>
    <t>Z062</t>
  </si>
  <si>
    <t>삼성각</t>
  </si>
  <si>
    <t>25,71</t>
  </si>
  <si>
    <t>store62</t>
  </si>
  <si>
    <t>store62!</t>
  </si>
  <si>
    <t>Z063</t>
  </si>
  <si>
    <t>생고기전문점</t>
  </si>
  <si>
    <t>32,18</t>
  </si>
  <si>
    <t>store63</t>
  </si>
  <si>
    <t>store63!</t>
  </si>
  <si>
    <t>Z064</t>
  </si>
  <si>
    <t>서래면옥</t>
  </si>
  <si>
    <t>84,3</t>
  </si>
  <si>
    <t>store64</t>
  </si>
  <si>
    <t>store64!</t>
  </si>
  <si>
    <t>Z065</t>
  </si>
  <si>
    <t>서래횟집</t>
  </si>
  <si>
    <t>63,67</t>
  </si>
  <si>
    <t>store65</t>
  </si>
  <si>
    <t>store65!</t>
  </si>
  <si>
    <t>Z066</t>
  </si>
  <si>
    <t>서초갈비</t>
  </si>
  <si>
    <t>69,44</t>
  </si>
  <si>
    <t>store66</t>
  </si>
  <si>
    <t>store66!</t>
  </si>
  <si>
    <t>Z067</t>
  </si>
  <si>
    <t>서초보쌈</t>
  </si>
  <si>
    <t>70,21</t>
  </si>
  <si>
    <t>store67</t>
  </si>
  <si>
    <t>store67!</t>
  </si>
  <si>
    <t>Z068</t>
  </si>
  <si>
    <t>서초정육식당</t>
  </si>
  <si>
    <t>72,47</t>
  </si>
  <si>
    <t>store68</t>
  </si>
  <si>
    <t>store68!</t>
  </si>
  <si>
    <t>Z069</t>
  </si>
  <si>
    <t>선궁</t>
  </si>
  <si>
    <t>89,8</t>
  </si>
  <si>
    <t>store69</t>
  </si>
  <si>
    <t>store69!</t>
  </si>
  <si>
    <t>Z070</t>
  </si>
  <si>
    <t>설국</t>
  </si>
  <si>
    <t>15,10</t>
  </si>
  <si>
    <t>store70</t>
  </si>
  <si>
    <t>store70!</t>
  </si>
  <si>
    <t>Z071</t>
  </si>
  <si>
    <t>성민양꼬치</t>
  </si>
  <si>
    <t>86,41</t>
  </si>
  <si>
    <t>store71</t>
  </si>
  <si>
    <t>store71!</t>
  </si>
  <si>
    <t>Z072</t>
  </si>
  <si>
    <t>송쉐프</t>
  </si>
  <si>
    <t>71,69</t>
  </si>
  <si>
    <t>store72</t>
  </si>
  <si>
    <t>store72!</t>
  </si>
  <si>
    <t>Z073</t>
  </si>
  <si>
    <t>송학횟집</t>
  </si>
  <si>
    <t>8,21</t>
  </si>
  <si>
    <t>store73</t>
  </si>
  <si>
    <t>store73!</t>
  </si>
  <si>
    <t>Z074</t>
  </si>
  <si>
    <t>수라빔</t>
  </si>
  <si>
    <t>45,45</t>
  </si>
  <si>
    <t>store74</t>
  </si>
  <si>
    <t>store74!</t>
  </si>
  <si>
    <t>Z075</t>
  </si>
  <si>
    <t>수박식당</t>
  </si>
  <si>
    <t>42,37</t>
  </si>
  <si>
    <t>store75</t>
  </si>
  <si>
    <t>store75!</t>
  </si>
  <si>
    <t>Z076</t>
  </si>
  <si>
    <t>스시 다미선</t>
  </si>
  <si>
    <t>55,87</t>
  </si>
  <si>
    <t>store76</t>
  </si>
  <si>
    <t>store76!</t>
  </si>
  <si>
    <t>Z077</t>
  </si>
  <si>
    <t>스시가</t>
  </si>
  <si>
    <t>43,25</t>
  </si>
  <si>
    <t>store77</t>
  </si>
  <si>
    <t>store77!</t>
  </si>
  <si>
    <t>Z078</t>
  </si>
  <si>
    <t>식도원</t>
  </si>
  <si>
    <t>11,16</t>
  </si>
  <si>
    <t>store78</t>
  </si>
  <si>
    <t>store78!</t>
  </si>
  <si>
    <t>Z079</t>
  </si>
  <si>
    <t>식식식당</t>
  </si>
  <si>
    <t>17,67</t>
  </si>
  <si>
    <t>store79</t>
  </si>
  <si>
    <t>store79!</t>
  </si>
  <si>
    <t>Z080</t>
  </si>
  <si>
    <t>신촌설렁탕</t>
  </si>
  <si>
    <t>29,78</t>
  </si>
  <si>
    <t>store80</t>
  </si>
  <si>
    <t>store80!</t>
  </si>
  <si>
    <t>Z081</t>
  </si>
  <si>
    <t>신태평양</t>
  </si>
  <si>
    <t>76,36</t>
  </si>
  <si>
    <t>store81</t>
  </si>
  <si>
    <t>store81!</t>
  </si>
  <si>
    <t>Z082</t>
  </si>
  <si>
    <t>양쓰부</t>
  </si>
  <si>
    <t>19,33</t>
  </si>
  <si>
    <t>store82</t>
  </si>
  <si>
    <t>store82!</t>
  </si>
  <si>
    <t>Z083</t>
  </si>
  <si>
    <t>어른식당</t>
  </si>
  <si>
    <t>69,95</t>
  </si>
  <si>
    <t>store83</t>
  </si>
  <si>
    <t>store83!</t>
  </si>
  <si>
    <t>Z084</t>
  </si>
  <si>
    <t>엉터리생고기</t>
  </si>
  <si>
    <t>93,19</t>
  </si>
  <si>
    <t>store84</t>
  </si>
  <si>
    <t>store84!</t>
  </si>
  <si>
    <t>Z085</t>
  </si>
  <si>
    <t>엉터리식당</t>
  </si>
  <si>
    <t>37,78</t>
  </si>
  <si>
    <t>store85</t>
  </si>
  <si>
    <t>store85!</t>
  </si>
  <si>
    <t>Z086</t>
  </si>
  <si>
    <t>연화산</t>
  </si>
  <si>
    <t>91,52</t>
  </si>
  <si>
    <t>store86</t>
  </si>
  <si>
    <t>store86!</t>
  </si>
  <si>
    <t>Z087</t>
  </si>
  <si>
    <t>영변</t>
  </si>
  <si>
    <t>3,36</t>
  </si>
  <si>
    <t>store87</t>
  </si>
  <si>
    <t>store87!</t>
  </si>
  <si>
    <t>Z088</t>
  </si>
  <si>
    <t>영식당</t>
  </si>
  <si>
    <t>77,79</t>
  </si>
  <si>
    <t>store88</t>
  </si>
  <si>
    <t>store88!</t>
  </si>
  <si>
    <t>Z089</t>
  </si>
  <si>
    <t>오렌지식당</t>
  </si>
  <si>
    <t>72,43</t>
  </si>
  <si>
    <t>store89</t>
  </si>
  <si>
    <t>store89!</t>
  </si>
  <si>
    <t>Z090</t>
  </si>
  <si>
    <t>오발탄</t>
  </si>
  <si>
    <t>41,93</t>
  </si>
  <si>
    <t>store90</t>
  </si>
  <si>
    <t>store90!</t>
  </si>
  <si>
    <t>Z091</t>
  </si>
  <si>
    <t>오선채</t>
  </si>
  <si>
    <t>28,69</t>
  </si>
  <si>
    <t>store91</t>
  </si>
  <si>
    <t>store91!</t>
  </si>
  <si>
    <t>Z092</t>
  </si>
  <si>
    <t>용봉대반점</t>
  </si>
  <si>
    <t>23,24</t>
  </si>
  <si>
    <t>store92</t>
  </si>
  <si>
    <t>store92!</t>
  </si>
  <si>
    <t>Z093</t>
  </si>
  <si>
    <t>우리식당</t>
  </si>
  <si>
    <t>62,1</t>
  </si>
  <si>
    <t>store93</t>
  </si>
  <si>
    <t>store93!</t>
  </si>
  <si>
    <t>Z094</t>
  </si>
  <si>
    <t>우밀면옥</t>
  </si>
  <si>
    <t>72,10</t>
  </si>
  <si>
    <t>store94</t>
  </si>
  <si>
    <t>store94!</t>
  </si>
  <si>
    <t>Z095</t>
  </si>
  <si>
    <t>유다까 회전초밥전문점</t>
  </si>
  <si>
    <t>99,6</t>
  </si>
  <si>
    <t>store95</t>
  </si>
  <si>
    <t>store95!</t>
  </si>
  <si>
    <t>Z096</t>
  </si>
  <si>
    <t>윤식당</t>
  </si>
  <si>
    <t>35,40</t>
  </si>
  <si>
    <t>store96</t>
  </si>
  <si>
    <t>store96!</t>
  </si>
  <si>
    <t>Z097</t>
  </si>
  <si>
    <t>이복춘참치</t>
  </si>
  <si>
    <t>58,63</t>
  </si>
  <si>
    <t>store97</t>
  </si>
  <si>
    <t>store97!</t>
  </si>
  <si>
    <t>Z098</t>
  </si>
  <si>
    <t>이삭식당</t>
  </si>
  <si>
    <t>75,46</t>
  </si>
  <si>
    <t>store98</t>
  </si>
  <si>
    <t>store98!</t>
  </si>
  <si>
    <t>Z099</t>
  </si>
  <si>
    <t>이자카야 나무</t>
  </si>
  <si>
    <t>80,65</t>
  </si>
  <si>
    <t>store99</t>
  </si>
  <si>
    <t>store99!</t>
  </si>
  <si>
    <t>Z100</t>
  </si>
  <si>
    <t>일식당</t>
  </si>
  <si>
    <t>48,0</t>
  </si>
  <si>
    <t>store100</t>
  </si>
  <si>
    <t>store100!</t>
  </si>
  <si>
    <t>Z101</t>
  </si>
  <si>
    <t>일일향</t>
  </si>
  <si>
    <t>86,1</t>
  </si>
  <si>
    <t>store101</t>
  </si>
  <si>
    <t>store101!</t>
  </si>
  <si>
    <t>Z102</t>
  </si>
  <si>
    <t>일품헌</t>
  </si>
  <si>
    <t>75,66</t>
  </si>
  <si>
    <t>store102</t>
  </si>
  <si>
    <t>store102!</t>
  </si>
  <si>
    <t>Z103</t>
  </si>
  <si>
    <t>임광루</t>
  </si>
  <si>
    <t>90,32</t>
  </si>
  <si>
    <t>store103</t>
  </si>
  <si>
    <t>store103!</t>
  </si>
  <si>
    <t>Z104</t>
  </si>
  <si>
    <t>작은식당</t>
  </si>
  <si>
    <t>4,42</t>
  </si>
  <si>
    <t>store104</t>
  </si>
  <si>
    <t>store104!</t>
  </si>
  <si>
    <t>Z105</t>
  </si>
  <si>
    <t>정보식당</t>
  </si>
  <si>
    <t>59,96</t>
  </si>
  <si>
    <t>store105</t>
  </si>
  <si>
    <t>store105!</t>
  </si>
  <si>
    <t>Z106</t>
  </si>
  <si>
    <t>정여사 손칼국수</t>
  </si>
  <si>
    <t>66,16</t>
  </si>
  <si>
    <t>store106</t>
  </si>
  <si>
    <t>store106!</t>
  </si>
  <si>
    <t>Z107</t>
  </si>
  <si>
    <t>조선횟집</t>
  </si>
  <si>
    <t>48,25</t>
  </si>
  <si>
    <t>store107</t>
  </si>
  <si>
    <t>store107!</t>
  </si>
  <si>
    <t>Z108</t>
  </si>
  <si>
    <t>주미요</t>
  </si>
  <si>
    <t>27,8</t>
  </si>
  <si>
    <t>store108</t>
  </si>
  <si>
    <t>store108!</t>
  </si>
  <si>
    <t>Z109</t>
  </si>
  <si>
    <t>중식당</t>
  </si>
  <si>
    <t>23,15</t>
  </si>
  <si>
    <t>store109</t>
  </si>
  <si>
    <t>store109!</t>
  </si>
  <si>
    <t>Z110</t>
  </si>
  <si>
    <t>진도울돌목가는길</t>
  </si>
  <si>
    <t>44,6</t>
  </si>
  <si>
    <t>store110</t>
  </si>
  <si>
    <t>store110!</t>
  </si>
  <si>
    <t>Z111</t>
  </si>
  <si>
    <t>진동둔횟집</t>
  </si>
  <si>
    <t>66,71</t>
  </si>
  <si>
    <t>store111</t>
  </si>
  <si>
    <t>store111!</t>
  </si>
  <si>
    <t>Z112</t>
  </si>
  <si>
    <t>진상샤브샤브</t>
  </si>
  <si>
    <t>0,70</t>
  </si>
  <si>
    <t>store112</t>
  </si>
  <si>
    <t>store112!</t>
  </si>
  <si>
    <t>Z113</t>
  </si>
  <si>
    <t>짝꿍 떡볶이</t>
  </si>
  <si>
    <t>79,41</t>
  </si>
  <si>
    <t>store113</t>
  </si>
  <si>
    <t>store113!</t>
  </si>
  <si>
    <t>Z114</t>
  </si>
  <si>
    <t>짱돈까스</t>
  </si>
  <si>
    <t>9,63</t>
  </si>
  <si>
    <t>store114</t>
  </si>
  <si>
    <t>store114!</t>
  </si>
  <si>
    <t>Z115</t>
  </si>
  <si>
    <t>천국식당</t>
  </si>
  <si>
    <t>61,25</t>
  </si>
  <si>
    <t>store115</t>
  </si>
  <si>
    <t>store115!</t>
  </si>
  <si>
    <t>Z116</t>
  </si>
  <si>
    <t>청년식당</t>
  </si>
  <si>
    <t>13,1</t>
  </si>
  <si>
    <t>store116</t>
  </si>
  <si>
    <t>store116!</t>
  </si>
  <si>
    <t>Z117</t>
  </si>
  <si>
    <t>청정해참치</t>
  </si>
  <si>
    <t>66,15</t>
  </si>
  <si>
    <t>store117</t>
  </si>
  <si>
    <t>store117!</t>
  </si>
  <si>
    <t>Z118</t>
  </si>
  <si>
    <t>청정횟집</t>
  </si>
  <si>
    <t>11,79</t>
  </si>
  <si>
    <t>store118</t>
  </si>
  <si>
    <t>store118!</t>
  </si>
  <si>
    <t>Z119</t>
  </si>
  <si>
    <t>초서사리원</t>
  </si>
  <si>
    <t>82,52</t>
  </si>
  <si>
    <t>store119</t>
  </si>
  <si>
    <t>store119!</t>
  </si>
  <si>
    <t>Z120</t>
  </si>
  <si>
    <t>초선과여포</t>
  </si>
  <si>
    <t>30,16</t>
  </si>
  <si>
    <t>store120</t>
  </si>
  <si>
    <t>store120!</t>
  </si>
  <si>
    <t>Z121</t>
  </si>
  <si>
    <t>킹콩식당</t>
  </si>
  <si>
    <t>90,24</t>
  </si>
  <si>
    <t>store121</t>
  </si>
  <si>
    <t>store121!</t>
  </si>
  <si>
    <t>Z122</t>
  </si>
  <si>
    <t>태평양</t>
  </si>
  <si>
    <t>77,12</t>
  </si>
  <si>
    <t>store122</t>
  </si>
  <si>
    <t>store122!</t>
  </si>
  <si>
    <t>Z123</t>
  </si>
  <si>
    <t>토마토식당</t>
  </si>
  <si>
    <t>7,77</t>
  </si>
  <si>
    <t>store123</t>
  </si>
  <si>
    <t>store123!</t>
  </si>
  <si>
    <t>Z124</t>
  </si>
  <si>
    <t>톰볼라</t>
  </si>
  <si>
    <t>9,34</t>
  </si>
  <si>
    <t>store124</t>
  </si>
  <si>
    <t>store124!</t>
  </si>
  <si>
    <t>Z125</t>
  </si>
  <si>
    <t>팝빙식당</t>
  </si>
  <si>
    <t>83,90</t>
  </si>
  <si>
    <t>store125</t>
  </si>
  <si>
    <t>store125!</t>
  </si>
  <si>
    <t>Z126</t>
  </si>
  <si>
    <t>피제리아 하이웨이트립</t>
  </si>
  <si>
    <t>99,89</t>
  </si>
  <si>
    <t>store126</t>
  </si>
  <si>
    <t>store126!</t>
  </si>
  <si>
    <t>Z127</t>
  </si>
  <si>
    <t>하루</t>
  </si>
  <si>
    <t>11,96</t>
  </si>
  <si>
    <t>store127</t>
  </si>
  <si>
    <t>store127!</t>
  </si>
  <si>
    <t>Z128</t>
  </si>
  <si>
    <t>하루하루</t>
  </si>
  <si>
    <t>47,92</t>
  </si>
  <si>
    <t>store128</t>
  </si>
  <si>
    <t>store128!</t>
  </si>
  <si>
    <t>Z129</t>
  </si>
  <si>
    <t>하우스(HOUSE)</t>
  </si>
  <si>
    <t>51,55</t>
  </si>
  <si>
    <t>store129</t>
  </si>
  <si>
    <t>store129!</t>
  </si>
  <si>
    <t>Z130</t>
  </si>
  <si>
    <t>학생식당</t>
  </si>
  <si>
    <t>43,1</t>
  </si>
  <si>
    <t>store130</t>
  </si>
  <si>
    <t>store130!</t>
  </si>
  <si>
    <t>Z131</t>
  </si>
  <si>
    <t>한국회관</t>
  </si>
  <si>
    <t>75,79</t>
  </si>
  <si>
    <t>store131</t>
  </si>
  <si>
    <t>store131!</t>
  </si>
  <si>
    <t>Z132</t>
  </si>
  <si>
    <t>한라담</t>
  </si>
  <si>
    <t>76,8</t>
  </si>
  <si>
    <t>store132</t>
  </si>
  <si>
    <t>store132!</t>
  </si>
  <si>
    <t>Z133</t>
  </si>
  <si>
    <t>한식식당</t>
  </si>
  <si>
    <t>27,45</t>
  </si>
  <si>
    <t>store133</t>
  </si>
  <si>
    <t>store133!</t>
  </si>
  <si>
    <t>Z134</t>
  </si>
  <si>
    <t>한지박</t>
  </si>
  <si>
    <t>3,80</t>
  </si>
  <si>
    <t>store134</t>
  </si>
  <si>
    <t>store134!</t>
  </si>
  <si>
    <t>Z135</t>
  </si>
  <si>
    <t>해우담</t>
  </si>
  <si>
    <t>37,68</t>
  </si>
  <si>
    <t>store135</t>
  </si>
  <si>
    <t>store135!</t>
  </si>
  <si>
    <t>Z136</t>
  </si>
  <si>
    <t>화담</t>
  </si>
  <si>
    <t>56,67</t>
  </si>
  <si>
    <t>store136</t>
  </si>
  <si>
    <t>store136!</t>
  </si>
  <si>
    <t>Z137</t>
  </si>
  <si>
    <t>황궁</t>
  </si>
  <si>
    <t>59,40</t>
  </si>
  <si>
    <t>store137</t>
  </si>
  <si>
    <t>store137!</t>
  </si>
  <si>
    <t>Z138</t>
  </si>
  <si>
    <t>황제</t>
  </si>
  <si>
    <t>0,59</t>
  </si>
  <si>
    <t>store138</t>
  </si>
  <si>
    <t>store138!</t>
  </si>
  <si>
    <t>카테고리</t>
  </si>
  <si>
    <t>평균 별점</t>
  </si>
  <si>
    <t>일식</t>
  </si>
  <si>
    <t>뷔페식</t>
  </si>
  <si>
    <t>피자</t>
  </si>
  <si>
    <t>한식</t>
  </si>
  <si>
    <t>양식</t>
  </si>
  <si>
    <t>중식</t>
  </si>
  <si>
    <t>분식</t>
  </si>
  <si>
    <t>치킨</t>
  </si>
  <si>
    <t>디저트</t>
  </si>
  <si>
    <t>햄버거</t>
  </si>
  <si>
    <t>순번</t>
  </si>
  <si>
    <t>판매자 번호</t>
  </si>
  <si>
    <t>음식</t>
  </si>
  <si>
    <t xml:space="preserve"> 상품 설명 </t>
  </si>
  <si>
    <t xml:space="preserve"> 가격 </t>
  </si>
  <si>
    <t>초밥</t>
  </si>
  <si>
    <t xml:space="preserve"> 스시는 소금과 식초, 설탕으로 간을 한 밥 위에 얇게 저민 생선이나 김, 달걀, 채소 등을 얹거나 말아 만드는 일본의 대표 요리이다. </t>
  </si>
  <si>
    <t>우동</t>
  </si>
  <si>
    <t>일본의 전통적이고 가장 대중적인 면 요리</t>
  </si>
  <si>
    <t>모둠회</t>
  </si>
  <si>
    <t xml:space="preserve"> 제철의 생선들을 싱싱하게 썰은 한 접시 </t>
  </si>
  <si>
    <t>새우튀김</t>
  </si>
  <si>
    <t>주로 보리새우의 껍질을 까서 튀김옷을 입힌 뒤 튀기는 요리다.</t>
  </si>
  <si>
    <t>알밥</t>
  </si>
  <si>
    <t>생선알을 주재료로 하여 단무지, 김치, 무순, 김가루 등을 넣은, 일종의 비빔밥이다.</t>
  </si>
  <si>
    <t>돈코츠 라멘</t>
  </si>
  <si>
    <t xml:space="preserve"> 돼지뼈로 우려낸 국물에 맛있는 차슈가 들어간 라멘 </t>
  </si>
  <si>
    <t>낫토</t>
  </si>
  <si>
    <t>일본의 전통음식 중 하나</t>
  </si>
  <si>
    <t>차슈덮밥</t>
  </si>
  <si>
    <t>돼지고기를 양념장에 약 3일 정도 재운 요리</t>
  </si>
  <si>
    <t>유부국</t>
  </si>
  <si>
    <t>유부장국은 일본된장인 미소에 추가한다</t>
  </si>
  <si>
    <t>콜라</t>
  </si>
  <si>
    <t xml:space="preserve"> 음료 </t>
  </si>
  <si>
    <t>사이다</t>
  </si>
  <si>
    <t>티본 스테이크</t>
  </si>
  <si>
    <t>부드러운 안심과 풍미가 진한 등심을 함께 즐길 수 있는 피렌체 오리지널 스타일의 스테이크</t>
  </si>
  <si>
    <t>양송이 스프</t>
  </si>
  <si>
    <t>신선한 재료로 6시간 이상 끓여내는 홈메이드 수프</t>
  </si>
  <si>
    <t>토마호크 스테이크</t>
  </si>
  <si>
    <t>오직 황제만이 즐길 수 있었던 블랙 앵거스의 단1%의 부위 3cm 이상의 두께에서 뿜어져 나오는 압도적인 풍미가 가득한 예술적 스테이크</t>
  </si>
  <si>
    <t>투움바 파스타</t>
  </si>
  <si>
    <t>최고급 파마산 치즈와 새우, 양송이를 함께 볶아 깊고 진한 크림소스 파스타</t>
  </si>
  <si>
    <t>부시맨 브레드</t>
  </si>
  <si>
    <t>허니망고버터와 함께 먹는 갈색의 고소한 빵</t>
  </si>
  <si>
    <t>오지치즈후라이</t>
  </si>
  <si>
    <t>두툼한 감자튀김에 체다치즈, 잭치즈를 듬뿍 녹여 베이컨을 뿌린 메뉴</t>
  </si>
  <si>
    <t>서로인 스테이크</t>
  </si>
  <si>
    <t>무난무난한 스테이크</t>
  </si>
  <si>
    <t>치킨 텐더 샐러드</t>
  </si>
  <si>
    <t>부드럽고 고소한 닭 안심 튀김을 올린 샐러드</t>
  </si>
  <si>
    <t>고구마피자</t>
  </si>
  <si>
    <t>달콤한 고구마 무스가 들어간 피자</t>
  </si>
  <si>
    <t>치즈피자</t>
  </si>
  <si>
    <t>근본 그자체 치즈만 넣은 피자</t>
  </si>
  <si>
    <t>고르곤졸라피자</t>
  </si>
  <si>
    <t>고르곤졸라치즈와 꿀의 조합</t>
  </si>
  <si>
    <t>스테이크피자</t>
  </si>
  <si>
    <t>두툼한 스테이크가 올라간 피자</t>
  </si>
  <si>
    <t>쉬림프피자</t>
  </si>
  <si>
    <t>통통한 새우가 들어간 피자</t>
  </si>
  <si>
    <t>김치찜</t>
  </si>
  <si>
    <t>김치와 돼지고기를 쪄서 만든 음식</t>
  </si>
  <si>
    <t>돼지갈비</t>
  </si>
  <si>
    <t>돼지갈비에 양념을 재워 구워먹는 환상적인 음식</t>
  </si>
  <si>
    <t>갈비탕</t>
  </si>
  <si>
    <t>큼지막한 갈비를 사골육수에 끓여 만든 요리</t>
  </si>
  <si>
    <t>김치찌개</t>
  </si>
  <si>
    <t>김치와 돼지고기가 들어간 밥과 궁합이 잘맞는 찌개</t>
  </si>
  <si>
    <t>된장찌개</t>
  </si>
  <si>
    <t>된장을 주재료로 끓인 전통 요리</t>
  </si>
  <si>
    <t>잡채</t>
  </si>
  <si>
    <t>당면과 다양한 재료를 볶아 만든 음식</t>
  </si>
  <si>
    <t>모둠전</t>
  </si>
  <si>
    <t>다양한 전을 모은 음식</t>
  </si>
  <si>
    <t>비빔밥</t>
  </si>
  <si>
    <t>여러 채소와 고기 그리고 고추장과 함께 비벼먹는 음식</t>
  </si>
  <si>
    <t>족발</t>
  </si>
  <si>
    <t>돼지의 다리를 양념한 국물에 푹 삶아낸 음식</t>
  </si>
  <si>
    <t>불고기 덮밥</t>
  </si>
  <si>
    <t>맛있는 불고기를 밥에 가득담은 덮밥</t>
  </si>
  <si>
    <t>제육볶음</t>
  </si>
  <si>
    <t>돼지고기를 맛있는 양념에 볶은 음식</t>
  </si>
  <si>
    <t>까르보나라</t>
  </si>
  <si>
    <t>관찰레를 볶아 기름을 낸 뒤 달걀 노른자에 치즈와 후추를 섞은 소스를 면과 함께 버무린 파스타 요리이다.</t>
  </si>
  <si>
    <t>토마토 파스타</t>
  </si>
  <si>
    <t>잘 만든 토마토 소스는 그냥 이것만 있어도 훌륭한 파스타 소스가 된다.</t>
  </si>
  <si>
    <t>알리오 올리오</t>
  </si>
  <si>
    <t>마늘을 편썰거나 다진 것을 올리브유에 볶아 향을 우려내고, 이에 면수를 더해 유화시킨 소스를 면에 버무려 먹는다.</t>
  </si>
  <si>
    <t>리조또</t>
  </si>
  <si>
    <t>이탈리아 요리 중 하나로, 쌀을 주재료로 사용해서 만든다.</t>
  </si>
  <si>
    <t>커틀렛</t>
  </si>
  <si>
    <t>얇게 저민 돼지, 소, 닭고기 등을 빵가루에 묻혀 굽거나 튀겨낸 서양 음식</t>
  </si>
  <si>
    <t>오믈렛</t>
  </si>
  <si>
    <t>프랑스의 계란 요리</t>
  </si>
  <si>
    <t>음료</t>
  </si>
  <si>
    <t>짜장면</t>
  </si>
  <si>
    <t> 춘장과 야채·고기를 식용유에 볶아서 만든 것을 국수에 비벼 먹는 한국식 중화 요리</t>
  </si>
  <si>
    <t>짬뽕</t>
  </si>
  <si>
    <t>해산물과 채소를 볶아 육수로 끓여낸 매운 국물에 국수를 넣어 만든 한국식 중국 면요리의 일종.</t>
  </si>
  <si>
    <t>간짜장</t>
  </si>
  <si>
    <t>짜장면의 일종으로, 물이나 육수를 붓지 않고 만든 짜장</t>
  </si>
  <si>
    <t>탕수육</t>
  </si>
  <si>
    <t>돼지고기에 녹말을 묻혀서 기름에 튀긴 튀김에 설탕과 식초, 야채, 녹말물을 주재료로 만든 새콤달콤한 소스를 곁들여 먹는 한국식 중화 요리</t>
  </si>
  <si>
    <t>볶음밥</t>
  </si>
  <si>
    <t>밥을 다른 재료와 함께 넣고 기름에 볶아 만든 음식</t>
  </si>
  <si>
    <t>군만두</t>
  </si>
  <si>
    <t>얇은 만두피에 고기, 부추, 당면 등을 넣어 감싼 후 기름에 구워서 먹는 요리</t>
  </si>
  <si>
    <t>떡볶이</t>
  </si>
  <si>
    <t>떡과 부재료를 양념에 볶거나 끓여서 먹는 음식</t>
  </si>
  <si>
    <t>순대</t>
  </si>
  <si>
    <t>돼지 창자에 숙주, 우거지, 찹쌀 등과 돼지 선지를 섞어서 된장으로 간한 것을 채워서 삶은 음식</t>
  </si>
  <si>
    <t>김말이</t>
  </si>
  <si>
    <t>간이 된 삶은 당면과 후추가 들어있고 야채는 맛에 영향이 거의 없을 정도로 미세하게 들어있거나 아예 없다.</t>
  </si>
  <si>
    <t>오징어튀김</t>
  </si>
  <si>
    <t>오징어를 튀김반죽을 묻혀서 기름에 튀겨 낸 음식이다.</t>
  </si>
  <si>
    <t>고추튀김</t>
  </si>
  <si>
    <t>고추를 튀기는 요리</t>
  </si>
  <si>
    <t>샐러드</t>
  </si>
  <si>
    <t>베이컨, 파마산 치즈가 잘 어우려진 신선한 로메인에 부드러운 시저 드레싱을 결들인 샐러드</t>
  </si>
  <si>
    <t>배이비백립</t>
  </si>
  <si>
    <t>부드러운 돼지갈비에 특제 소스를 빌라 구워낸 바비규 요리</t>
  </si>
  <si>
    <t xml:space="preserve"> 김치와 돼지고기를 쪄서 만든 음식 </t>
  </si>
  <si>
    <t xml:space="preserve"> 큼지막한 갈비를 사골육수에 끓여 만든 요리 </t>
  </si>
  <si>
    <t xml:space="preserve"> 당면과 다양한 재료를 볶아 만든 음식 </t>
  </si>
  <si>
    <t>보쌈</t>
  </si>
  <si>
    <t>돼지고기를 삶은 수육에 배춧잎 또는 겉절이에 싸먹는 음식</t>
  </si>
  <si>
    <t>어묵</t>
  </si>
  <si>
    <t>일본에서 유래한 어육 가공 음식. 으깬 생선살과 밀가루를 뭉쳐서 열을 가해 묵처럼 굳혀 만든 덩어리</t>
  </si>
  <si>
    <t>김밥</t>
  </si>
  <si>
    <t>밥을 김으로 감싸 둥글게 만 뒤 잘라낸 음식</t>
  </si>
  <si>
    <t>라면</t>
  </si>
  <si>
    <t>국수를 증기로 익힌 뒤 기름에 튀겨 말린 것에 분말 스프를 별도로 첨부한 즉석 식품</t>
  </si>
  <si>
    <t>양장피</t>
  </si>
  <si>
    <t>양장피와 야채 등을 곁들여 겨자소스를 부어 섞어 먹는 중국요리</t>
  </si>
  <si>
    <t>마라탕</t>
  </si>
  <si>
    <t>혀가 저리게 매운 맛이 나는 탕 요리</t>
  </si>
  <si>
    <t>유린기</t>
  </si>
  <si>
    <t>기름을 뿌린 닭고기'라는 뜻이며, 양상추, 양파 따위 아삭한 식감을 가진 채소 위에 튀긴 닭고기를 얹은 뒤 청고추와 홍고추를 곁들인 간장 양념을 부어먹는 요리다</t>
  </si>
  <si>
    <t xml:space="preserve"> 일본에서 유래한 어육 가공 음식. 으깬 생선살과 밀가루를 뭉쳐서 열을 가해 묵처럼 굳혀 만든 덩어리 </t>
  </si>
  <si>
    <t xml:space="preserve"> 고추를 튀기는 요리 </t>
  </si>
  <si>
    <t xml:space="preserve"> 일본의 전통적이고 가장 대중적인 면 요리 </t>
  </si>
  <si>
    <t>제철의 생선들을 싱싱하게 썰은 한 접시</t>
  </si>
  <si>
    <t>돼지뼈로 우려낸 국물에 맛있는 차슈가 들어간 라멘</t>
  </si>
  <si>
    <t>후라이드 치킨</t>
  </si>
  <si>
    <t>닭고기를 튀기기만 하면 되는 매우 단순한 발상과 조리법</t>
  </si>
  <si>
    <t>양념치킨</t>
  </si>
  <si>
    <t>프라이드 치킨에 한국인의 입맛에 맞는 매콤달콤한 양념을 버무려 탄생한 요리</t>
  </si>
  <si>
    <t>간장치킨</t>
  </si>
  <si>
    <t>후라이드에 간장 소스를 바르고 깐풍기처럼 한 번 더 볶거나 아예 빠뜨리고 끓여서 만든다.</t>
  </si>
  <si>
    <t>구운치킨</t>
  </si>
  <si>
    <t>로스트 치킨이라고도 불린다. 영국에서는 로스트 디너 중 하나로 애용되는 음식이다.</t>
  </si>
  <si>
    <t>마늘치킨</t>
  </si>
  <si>
    <t>알싸한 마늘이 발라진 치킨</t>
  </si>
  <si>
    <t>파채치킨</t>
  </si>
  <si>
    <t>치킨 위에 파채가 무수히 많이 올라간 치킨</t>
  </si>
  <si>
    <t>카레치킨</t>
  </si>
  <si>
    <t xml:space="preserve"> 카레의 향이 느껴져 맛이 좋은 치킨 </t>
  </si>
  <si>
    <t xml:space="preserve"> 돼지갈비에 양념을 재워 구워먹는 환상적인 음식 </t>
  </si>
  <si>
    <t xml:space="preserve"> 된장을 주재료로 끓인 전통 요리 </t>
  </si>
  <si>
    <t>참치파스타</t>
  </si>
  <si>
    <t>참치 캔을 이용하여 간단하게 만드는 즉석 파스타</t>
  </si>
  <si>
    <t>스테이크</t>
  </si>
  <si>
    <t>단어의 어원은 '구운 요리'를 뜻하는 고대 노르드어 단어</t>
  </si>
  <si>
    <t>에이드</t>
  </si>
  <si>
    <t>설탕 등의 단 성분과 과일즙을 넣어 만드는 시원한 음료</t>
  </si>
  <si>
    <t>스시는 소금과 식초, 설탕으로 간을 한 밥 위에 얇게 저민 생선이나 김, 달걀, 채소 등을 얹거나 말아 만드는 일본의 대표 요리이다.</t>
  </si>
  <si>
    <t>포테이토피자</t>
  </si>
  <si>
    <t>포테이토와 베이컨이 들어간 피자</t>
  </si>
  <si>
    <t>페페로니피자</t>
  </si>
  <si>
    <t>오로지 페페로니만을 넣은 피자</t>
  </si>
  <si>
    <t xml:space="preserve"> Z030</t>
  </si>
  <si>
    <t>마카롱</t>
  </si>
  <si>
    <t> 마카롱 특유의 카사삭 부서지는 독특한 식감이 도드라지는 달콤한 디져트</t>
  </si>
  <si>
    <t>티라미수</t>
  </si>
  <si>
    <t>치즈, 크림, 커피, 코코아 파우더를 주재료로 사용하는 디저트</t>
  </si>
  <si>
    <t>베이글</t>
  </si>
  <si>
    <t>맛있는 베이글 빵에 크림치즈를 발라먹는 음식</t>
  </si>
  <si>
    <t>바닐라 아이스크림</t>
  </si>
  <si>
    <t>시원한 아이스크림에 바닐라맛이 추가된 아이스크림</t>
  </si>
  <si>
    <t>초코 아이스크림</t>
  </si>
  <si>
    <t>시원한 아이스크림에 초콜릿맛이 추가된 아이스크림</t>
  </si>
  <si>
    <t>아포가토</t>
  </si>
  <si>
    <t>바닐라 아이스크림 위에 커피를 타서 먹는 디저트</t>
  </si>
  <si>
    <t>아메리카노</t>
  </si>
  <si>
    <t>가장 기본적인 커피</t>
  </si>
  <si>
    <t>카라멜 마끼아또</t>
  </si>
  <si>
    <t>라떼 마키아토에 캐러멜 소스를 첨가한 것</t>
  </si>
  <si>
    <t>딸기 스무디</t>
  </si>
  <si>
    <t>딸기와 얼을음 믹서에 넣어 갈아 걸쭉하게 만든 음료</t>
  </si>
  <si>
    <t>카레의 향이 느껴져 맛이 좋은 치킨</t>
  </si>
  <si>
    <t>B001</t>
  </si>
  <si>
    <t>60,54</t>
  </si>
  <si>
    <t>B002</t>
  </si>
  <si>
    <t>61,54</t>
  </si>
  <si>
    <t>B003</t>
  </si>
  <si>
    <t>62,54</t>
  </si>
  <si>
    <t>B004</t>
  </si>
  <si>
    <t>63,54</t>
  </si>
  <si>
    <t>B005</t>
  </si>
  <si>
    <t>64,54</t>
  </si>
  <si>
    <t>B006</t>
  </si>
  <si>
    <t>69,51</t>
  </si>
  <si>
    <t>B007</t>
  </si>
  <si>
    <t>70,51</t>
  </si>
  <si>
    <t>B008</t>
  </si>
  <si>
    <t>70,52</t>
  </si>
  <si>
    <t>B009</t>
  </si>
  <si>
    <t>70,53</t>
  </si>
  <si>
    <t>B010</t>
  </si>
  <si>
    <t>76,42</t>
  </si>
  <si>
    <t>B011</t>
  </si>
  <si>
    <t>76,43</t>
  </si>
  <si>
    <t>B012</t>
  </si>
  <si>
    <t>76,44</t>
  </si>
  <si>
    <t>B013</t>
  </si>
  <si>
    <t>76,45</t>
  </si>
  <si>
    <t>B014</t>
  </si>
  <si>
    <t>76,46</t>
  </si>
  <si>
    <t>B015</t>
  </si>
  <si>
    <t>75,36</t>
  </si>
  <si>
    <t>B016</t>
  </si>
  <si>
    <t>77,36</t>
  </si>
  <si>
    <t>B017</t>
  </si>
  <si>
    <t>78,36</t>
  </si>
  <si>
    <t>B018</t>
  </si>
  <si>
    <t>76,39</t>
  </si>
  <si>
    <t>B019</t>
  </si>
  <si>
    <t>77,39</t>
  </si>
  <si>
    <t>B020</t>
  </si>
  <si>
    <t>78,39</t>
  </si>
  <si>
    <t>B021</t>
  </si>
  <si>
    <t>79,39</t>
  </si>
  <si>
    <t>B022</t>
  </si>
  <si>
    <t>81,47</t>
  </si>
  <si>
    <t>B023</t>
  </si>
  <si>
    <t>81,48</t>
  </si>
  <si>
    <t>B024</t>
  </si>
  <si>
    <t>81,49</t>
  </si>
  <si>
    <t>B025</t>
  </si>
  <si>
    <t>81,50</t>
  </si>
  <si>
    <t>B026</t>
  </si>
  <si>
    <t>55,43</t>
  </si>
  <si>
    <t>B027</t>
  </si>
  <si>
    <t>56,43</t>
  </si>
  <si>
    <t>B028</t>
  </si>
  <si>
    <t>57,43</t>
  </si>
  <si>
    <t>B029</t>
  </si>
  <si>
    <t>63,38</t>
  </si>
  <si>
    <t>B030</t>
  </si>
  <si>
    <t>63,39</t>
  </si>
  <si>
    <t>B031</t>
  </si>
  <si>
    <t>63,40</t>
  </si>
  <si>
    <t>B032</t>
  </si>
  <si>
    <t>63,41</t>
  </si>
  <si>
    <t>B033</t>
  </si>
  <si>
    <t>56,35</t>
  </si>
  <si>
    <t>B034</t>
  </si>
  <si>
    <t>49,35</t>
  </si>
  <si>
    <t>B035</t>
  </si>
  <si>
    <t>50,35</t>
  </si>
  <si>
    <t>B036</t>
  </si>
  <si>
    <t>51,35</t>
  </si>
  <si>
    <t>B037</t>
  </si>
  <si>
    <t>52,35</t>
  </si>
  <si>
    <t>B038</t>
  </si>
  <si>
    <t>72,31</t>
  </si>
  <si>
    <t>B039</t>
  </si>
  <si>
    <t>73,31</t>
  </si>
  <si>
    <t>B040</t>
  </si>
  <si>
    <t>74,31</t>
  </si>
  <si>
    <t>B041</t>
  </si>
  <si>
    <t>46,31</t>
  </si>
  <si>
    <t>B042</t>
  </si>
  <si>
    <t>47,31</t>
  </si>
  <si>
    <t>B043</t>
  </si>
  <si>
    <t>48,31</t>
  </si>
  <si>
    <t>B044</t>
  </si>
  <si>
    <t>49,31</t>
  </si>
  <si>
    <t>B045</t>
  </si>
  <si>
    <t>40,35</t>
  </si>
  <si>
    <t>B046</t>
  </si>
  <si>
    <t>41,35</t>
  </si>
  <si>
    <t>B047</t>
  </si>
  <si>
    <t>42,35</t>
  </si>
  <si>
    <t>B048</t>
  </si>
  <si>
    <t>43,35</t>
  </si>
  <si>
    <t>B049</t>
  </si>
  <si>
    <t>44,35</t>
  </si>
  <si>
    <t>B050</t>
  </si>
  <si>
    <t>33,41</t>
  </si>
  <si>
    <t>B051</t>
  </si>
  <si>
    <t>33,42</t>
  </si>
  <si>
    <t>B052</t>
  </si>
  <si>
    <t>33,43</t>
  </si>
  <si>
    <t>B053</t>
  </si>
  <si>
    <t>33,44</t>
  </si>
  <si>
    <t>B054</t>
  </si>
  <si>
    <t>31,39</t>
  </si>
  <si>
    <t>B055</t>
  </si>
  <si>
    <t>32,39</t>
  </si>
  <si>
    <t>B056</t>
  </si>
  <si>
    <t>33,39</t>
  </si>
  <si>
    <t>B057</t>
  </si>
  <si>
    <t>34,39</t>
  </si>
  <si>
    <t>B058</t>
  </si>
  <si>
    <t>36,42</t>
  </si>
  <si>
    <t>B059</t>
  </si>
  <si>
    <t>36,43</t>
  </si>
  <si>
    <t>B060</t>
  </si>
  <si>
    <t>36,44</t>
  </si>
  <si>
    <t>B061</t>
  </si>
  <si>
    <t>30,39</t>
  </si>
  <si>
    <t>B062</t>
  </si>
  <si>
    <t>26,37</t>
  </si>
  <si>
    <t>B063</t>
  </si>
  <si>
    <t>27,37</t>
  </si>
  <si>
    <t>B064</t>
  </si>
  <si>
    <t>28,37</t>
  </si>
  <si>
    <t>B065</t>
  </si>
  <si>
    <t>27,32</t>
  </si>
  <si>
    <t>B066</t>
  </si>
  <si>
    <t>28,32</t>
  </si>
  <si>
    <t>B067</t>
  </si>
  <si>
    <t>29,32</t>
  </si>
  <si>
    <t>B068</t>
  </si>
  <si>
    <t>30,32</t>
  </si>
  <si>
    <t>B069</t>
  </si>
  <si>
    <t>17,37</t>
  </si>
  <si>
    <t>B070</t>
  </si>
  <si>
    <t>18,37</t>
  </si>
  <si>
    <t>B071</t>
  </si>
  <si>
    <t>19,37</t>
  </si>
  <si>
    <t>B072</t>
  </si>
  <si>
    <t>20,37</t>
  </si>
  <si>
    <t>B073</t>
  </si>
  <si>
    <t>14,35</t>
  </si>
  <si>
    <t>B074</t>
  </si>
  <si>
    <t>15,35</t>
  </si>
  <si>
    <t>B075</t>
  </si>
  <si>
    <t>16,35</t>
  </si>
  <si>
    <t>B076</t>
  </si>
  <si>
    <t>17,35</t>
  </si>
  <si>
    <t>B077</t>
  </si>
  <si>
    <t>11,47</t>
  </si>
  <si>
    <t>B078</t>
  </si>
  <si>
    <t>10,51</t>
  </si>
  <si>
    <t>B079</t>
  </si>
  <si>
    <t>11,51</t>
  </si>
  <si>
    <t>B080</t>
  </si>
  <si>
    <t>7,38</t>
  </si>
  <si>
    <t>B081</t>
  </si>
  <si>
    <t>8,38</t>
  </si>
  <si>
    <t>B082</t>
  </si>
  <si>
    <t>9,38</t>
  </si>
  <si>
    <t>B083</t>
  </si>
  <si>
    <t>10,38</t>
  </si>
  <si>
    <t>B084</t>
  </si>
  <si>
    <t>11,38</t>
  </si>
  <si>
    <t>B085</t>
  </si>
  <si>
    <t>2,41</t>
  </si>
  <si>
    <t>B086</t>
  </si>
  <si>
    <t>2,42</t>
  </si>
  <si>
    <t>B087</t>
  </si>
  <si>
    <t>2,43</t>
  </si>
  <si>
    <t>B088</t>
  </si>
  <si>
    <t>4,46</t>
  </si>
  <si>
    <t>B089</t>
  </si>
  <si>
    <t>5,46</t>
  </si>
  <si>
    <t>B090</t>
  </si>
  <si>
    <t>6,46</t>
  </si>
  <si>
    <t>B091</t>
  </si>
  <si>
    <t>7,46</t>
  </si>
  <si>
    <t>B092</t>
  </si>
  <si>
    <t>5,49</t>
  </si>
  <si>
    <t>B093</t>
  </si>
  <si>
    <t>5,50</t>
  </si>
  <si>
    <t>B094</t>
  </si>
  <si>
    <t>5,51</t>
  </si>
  <si>
    <t>B095</t>
  </si>
  <si>
    <t>2,32</t>
  </si>
  <si>
    <t>B096</t>
  </si>
  <si>
    <t>3,32</t>
  </si>
  <si>
    <t>B097</t>
  </si>
  <si>
    <t>4,32</t>
  </si>
  <si>
    <t>B098</t>
  </si>
  <si>
    <t>5,32</t>
  </si>
  <si>
    <t>B099</t>
  </si>
  <si>
    <t>6,32</t>
  </si>
  <si>
    <t>B100</t>
  </si>
  <si>
    <t>7,32</t>
  </si>
  <si>
    <t>B101</t>
  </si>
  <si>
    <t>7,33</t>
  </si>
  <si>
    <t>B102</t>
  </si>
  <si>
    <t>19,11</t>
  </si>
  <si>
    <t>B103</t>
  </si>
  <si>
    <t>20,11</t>
  </si>
  <si>
    <t>B104</t>
  </si>
  <si>
    <t>18,17</t>
  </si>
  <si>
    <t>B105</t>
  </si>
  <si>
    <t>19,17</t>
  </si>
  <si>
    <t>B106</t>
  </si>
  <si>
    <t>20,17</t>
  </si>
  <si>
    <t>B107</t>
  </si>
  <si>
    <t>14,15</t>
  </si>
  <si>
    <t>B108</t>
  </si>
  <si>
    <t>14,16</t>
  </si>
  <si>
    <t>B109</t>
  </si>
  <si>
    <t>20,15</t>
  </si>
  <si>
    <t>B110</t>
  </si>
  <si>
    <t>24,14</t>
  </si>
  <si>
    <t>B111</t>
  </si>
  <si>
    <t>24,15</t>
  </si>
  <si>
    <t>B112</t>
  </si>
  <si>
    <t>28,5</t>
  </si>
  <si>
    <t>B113</t>
  </si>
  <si>
    <t>32,5</t>
  </si>
  <si>
    <t>B114</t>
  </si>
  <si>
    <t>32,6</t>
  </si>
  <si>
    <t>B115</t>
  </si>
  <si>
    <t>32,7</t>
  </si>
  <si>
    <t>B116</t>
  </si>
  <si>
    <t>32,8</t>
  </si>
  <si>
    <t>B117</t>
  </si>
  <si>
    <t>29,1</t>
  </si>
  <si>
    <t>B118</t>
  </si>
  <si>
    <t>32,3</t>
  </si>
  <si>
    <t>B119</t>
  </si>
  <si>
    <t>17,3</t>
  </si>
  <si>
    <t>B120</t>
  </si>
  <si>
    <t>18,3</t>
  </si>
  <si>
    <t>B121</t>
  </si>
  <si>
    <t>19,3</t>
  </si>
  <si>
    <t>B122</t>
  </si>
  <si>
    <t>20,3</t>
  </si>
  <si>
    <t>B123</t>
  </si>
  <si>
    <t>23,6</t>
  </si>
  <si>
    <t>B124</t>
  </si>
  <si>
    <t>23,7</t>
  </si>
  <si>
    <t>B125</t>
  </si>
  <si>
    <t>15,1</t>
  </si>
  <si>
    <t>B126</t>
  </si>
  <si>
    <t>15,2</t>
  </si>
  <si>
    <t>B127</t>
  </si>
  <si>
    <t>15,3</t>
  </si>
  <si>
    <t>B128</t>
  </si>
  <si>
    <t>5,2</t>
  </si>
  <si>
    <t>B129</t>
  </si>
  <si>
    <t>6,2</t>
  </si>
  <si>
    <t>B130</t>
  </si>
  <si>
    <t>7,2</t>
  </si>
  <si>
    <t>B131</t>
  </si>
  <si>
    <t>1,0</t>
  </si>
  <si>
    <t>B132</t>
  </si>
  <si>
    <t>2,0</t>
  </si>
  <si>
    <t>B133</t>
  </si>
  <si>
    <t>1,1</t>
  </si>
  <si>
    <t>B134</t>
  </si>
  <si>
    <t>2,1</t>
  </si>
  <si>
    <t>B135</t>
  </si>
  <si>
    <t>2,11</t>
  </si>
  <si>
    <t>B136</t>
  </si>
  <si>
    <t>2,12</t>
  </si>
  <si>
    <t>B137</t>
  </si>
  <si>
    <t>4,22</t>
  </si>
  <si>
    <t>B138</t>
  </si>
  <si>
    <t>25,22</t>
  </si>
  <si>
    <t>B139</t>
  </si>
  <si>
    <t>26,22</t>
  </si>
  <si>
    <t>B140</t>
  </si>
  <si>
    <t>27,22</t>
  </si>
  <si>
    <t>B141</t>
  </si>
  <si>
    <t>28,22</t>
  </si>
  <si>
    <t>B142</t>
  </si>
  <si>
    <t>27,28</t>
  </si>
  <si>
    <t>B143</t>
  </si>
  <si>
    <t>27,29</t>
  </si>
  <si>
    <t>B144</t>
  </si>
  <si>
    <t>7,28</t>
  </si>
  <si>
    <t>B145</t>
  </si>
  <si>
    <t>7,29</t>
  </si>
  <si>
    <t>B146</t>
  </si>
  <si>
    <t>7,24</t>
  </si>
  <si>
    <t>B147</t>
  </si>
  <si>
    <t>0,56</t>
  </si>
  <si>
    <t>B148</t>
  </si>
  <si>
    <t>1,56</t>
  </si>
  <si>
    <t>B149</t>
  </si>
  <si>
    <t>64,29</t>
  </si>
  <si>
    <t>B150</t>
  </si>
  <si>
    <t>65,29</t>
  </si>
  <si>
    <t>B151</t>
  </si>
  <si>
    <t>66,29</t>
  </si>
  <si>
    <t>B152</t>
  </si>
  <si>
    <t>68,25</t>
  </si>
  <si>
    <t>B153</t>
  </si>
  <si>
    <t>69,25</t>
  </si>
  <si>
    <t>B154</t>
  </si>
  <si>
    <t>70,25</t>
  </si>
  <si>
    <t>B155</t>
  </si>
  <si>
    <t>80,28</t>
  </si>
  <si>
    <t>B156</t>
  </si>
  <si>
    <t>80,29</t>
  </si>
  <si>
    <t>B157</t>
  </si>
  <si>
    <t>80,30</t>
  </si>
  <si>
    <t>B158</t>
  </si>
  <si>
    <t>88,29</t>
  </si>
  <si>
    <t>B159</t>
  </si>
  <si>
    <t>89,29</t>
  </si>
  <si>
    <t>B160</t>
  </si>
  <si>
    <t>88,30</t>
  </si>
  <si>
    <t>B161</t>
  </si>
  <si>
    <t>89,30</t>
  </si>
  <si>
    <t>B162</t>
  </si>
  <si>
    <t>87,34</t>
  </si>
  <si>
    <t>B163</t>
  </si>
  <si>
    <t>88,34</t>
  </si>
  <si>
    <t>B164</t>
  </si>
  <si>
    <t>89,34</t>
  </si>
  <si>
    <t>B165</t>
  </si>
  <si>
    <t>90,34</t>
  </si>
  <si>
    <t>B166</t>
  </si>
  <si>
    <t>84,41</t>
  </si>
  <si>
    <t>B167</t>
  </si>
  <si>
    <t>85,41</t>
  </si>
  <si>
    <t>B168</t>
  </si>
  <si>
    <t>90,43</t>
  </si>
  <si>
    <t>B169</t>
  </si>
  <si>
    <t>91,43</t>
  </si>
  <si>
    <t>B170</t>
  </si>
  <si>
    <t>92,43</t>
  </si>
  <si>
    <t>B171</t>
  </si>
  <si>
    <t>84,46</t>
  </si>
  <si>
    <t>B172</t>
  </si>
  <si>
    <t>84,47</t>
  </si>
  <si>
    <t>B173</t>
  </si>
  <si>
    <t>83,52</t>
  </si>
  <si>
    <t>B174</t>
  </si>
  <si>
    <t>84,52</t>
  </si>
  <si>
    <t>B175</t>
  </si>
  <si>
    <t>75,87</t>
  </si>
  <si>
    <t>B176</t>
  </si>
  <si>
    <t>76,87</t>
  </si>
  <si>
    <t>B177</t>
  </si>
  <si>
    <t>77,87</t>
  </si>
  <si>
    <t>B178</t>
  </si>
  <si>
    <t>72,90</t>
  </si>
  <si>
    <t>B179</t>
  </si>
  <si>
    <t>73,90</t>
  </si>
  <si>
    <t>B180</t>
  </si>
  <si>
    <t>74,90</t>
  </si>
  <si>
    <t>B181</t>
  </si>
  <si>
    <t>77,90</t>
  </si>
  <si>
    <t>B182</t>
  </si>
  <si>
    <t>75,97</t>
  </si>
  <si>
    <t>B183</t>
  </si>
  <si>
    <t>78,98</t>
  </si>
  <si>
    <t>B184</t>
  </si>
  <si>
    <t>79,98</t>
  </si>
  <si>
    <t>B185</t>
  </si>
  <si>
    <t>84,91</t>
  </si>
  <si>
    <t>B186</t>
  </si>
  <si>
    <t>84,92</t>
  </si>
  <si>
    <t>B187</t>
  </si>
  <si>
    <t>70,85</t>
  </si>
  <si>
    <t>B188</t>
  </si>
  <si>
    <t>70,86</t>
  </si>
  <si>
    <t>B189</t>
  </si>
  <si>
    <t>75,85</t>
  </si>
  <si>
    <t>B190</t>
  </si>
  <si>
    <t>88,86</t>
  </si>
  <si>
    <t>B191</t>
  </si>
  <si>
    <t>88,87</t>
  </si>
  <si>
    <t>B192</t>
  </si>
  <si>
    <t>89,87</t>
  </si>
  <si>
    <t>B193</t>
  </si>
  <si>
    <t>95,83</t>
  </si>
  <si>
    <t>B194</t>
  </si>
  <si>
    <t>96,83</t>
  </si>
  <si>
    <t>B195</t>
  </si>
  <si>
    <t>95,85</t>
  </si>
  <si>
    <t>B196</t>
  </si>
  <si>
    <t>95,86</t>
  </si>
  <si>
    <t>B197</t>
  </si>
  <si>
    <t>77,65</t>
  </si>
  <si>
    <t>B198</t>
  </si>
  <si>
    <t>77,66</t>
  </si>
  <si>
    <t>B199</t>
  </si>
  <si>
    <t>77,61</t>
  </si>
  <si>
    <t>B200</t>
  </si>
  <si>
    <t>77,69</t>
  </si>
  <si>
    <t>B201</t>
  </si>
  <si>
    <t>78,69</t>
  </si>
  <si>
    <t>B202</t>
  </si>
  <si>
    <t>79,69</t>
  </si>
  <si>
    <t>B203</t>
  </si>
  <si>
    <t>75,72</t>
  </si>
  <si>
    <t>B204</t>
  </si>
  <si>
    <t>75,73</t>
  </si>
  <si>
    <t>B205</t>
  </si>
  <si>
    <t>75,74</t>
  </si>
  <si>
    <t>B206</t>
  </si>
  <si>
    <t>67,74</t>
  </si>
  <si>
    <t>B207</t>
  </si>
  <si>
    <t>68,74</t>
  </si>
  <si>
    <t>B208</t>
  </si>
  <si>
    <t>70,72</t>
  </si>
  <si>
    <t>B209</t>
  </si>
  <si>
    <t>66,63</t>
  </si>
  <si>
    <t>B210</t>
  </si>
  <si>
    <t>67,63</t>
  </si>
  <si>
    <t>B211</t>
  </si>
  <si>
    <t>68,63</t>
  </si>
  <si>
    <t>B212</t>
  </si>
  <si>
    <t>63,60</t>
  </si>
  <si>
    <t>B213</t>
  </si>
  <si>
    <t>64,60</t>
  </si>
  <si>
    <t>B214</t>
  </si>
  <si>
    <t>57,61</t>
  </si>
  <si>
    <t>B215</t>
  </si>
  <si>
    <t>58,61</t>
  </si>
  <si>
    <t>B216</t>
  </si>
  <si>
    <t>59,61</t>
  </si>
  <si>
    <t>B217</t>
  </si>
  <si>
    <t>59,79</t>
  </si>
  <si>
    <t>B218</t>
  </si>
  <si>
    <t>56,80</t>
  </si>
  <si>
    <t>B219</t>
  </si>
  <si>
    <t>57,80</t>
  </si>
  <si>
    <t>B220</t>
  </si>
  <si>
    <t>58,80</t>
  </si>
  <si>
    <t>B221</t>
  </si>
  <si>
    <t>59,80</t>
  </si>
  <si>
    <t>B222</t>
  </si>
  <si>
    <t>51,78</t>
  </si>
  <si>
    <t>B223</t>
  </si>
  <si>
    <t>51,79</t>
  </si>
  <si>
    <t>B224</t>
  </si>
  <si>
    <t>34,64</t>
  </si>
  <si>
    <t>B225</t>
  </si>
  <si>
    <t>34,65</t>
  </si>
  <si>
    <t>B226</t>
  </si>
  <si>
    <t>30,69</t>
  </si>
  <si>
    <t>B227</t>
  </si>
  <si>
    <t>30,70</t>
  </si>
  <si>
    <t>B228</t>
  </si>
  <si>
    <t>31,70</t>
  </si>
  <si>
    <t>B229</t>
  </si>
  <si>
    <t>32,70</t>
  </si>
  <si>
    <t>B230</t>
  </si>
  <si>
    <t>33,70</t>
  </si>
  <si>
    <t>B231</t>
  </si>
  <si>
    <t>26,76</t>
  </si>
  <si>
    <t>B232</t>
  </si>
  <si>
    <t>27,76</t>
  </si>
  <si>
    <t>B233</t>
  </si>
  <si>
    <t>35,92</t>
  </si>
  <si>
    <t>B234</t>
  </si>
  <si>
    <t>36,92</t>
  </si>
  <si>
    <t>B235</t>
  </si>
  <si>
    <t>37,92</t>
  </si>
  <si>
    <t>B236</t>
  </si>
  <si>
    <t>33,95</t>
  </si>
  <si>
    <t>B237</t>
  </si>
  <si>
    <t>33,96</t>
  </si>
  <si>
    <t>B238</t>
  </si>
  <si>
    <t>38,95</t>
  </si>
  <si>
    <t>B239</t>
  </si>
  <si>
    <t>42,92</t>
  </si>
  <si>
    <t>B240</t>
  </si>
  <si>
    <t>43,92</t>
  </si>
  <si>
    <t>B241</t>
  </si>
  <si>
    <t>44,92</t>
  </si>
  <si>
    <t>B242</t>
  </si>
  <si>
    <t>45,92</t>
  </si>
  <si>
    <t>B243</t>
  </si>
  <si>
    <t>49,86</t>
  </si>
  <si>
    <t>B244</t>
  </si>
  <si>
    <t>50,86</t>
  </si>
  <si>
    <t>B245</t>
  </si>
  <si>
    <t>51,86</t>
  </si>
  <si>
    <t>B246</t>
  </si>
  <si>
    <t>47,93</t>
  </si>
  <si>
    <t>B247</t>
  </si>
  <si>
    <t>47,94</t>
  </si>
  <si>
    <t>B248</t>
  </si>
  <si>
    <t>51,95</t>
  </si>
  <si>
    <t>B249</t>
  </si>
  <si>
    <t>52,95</t>
  </si>
  <si>
    <t>B250</t>
  </si>
  <si>
    <t>53,95</t>
  </si>
  <si>
    <t>B251</t>
  </si>
  <si>
    <t>58,92</t>
  </si>
  <si>
    <t>B252</t>
  </si>
  <si>
    <t>58,88</t>
  </si>
  <si>
    <t>B253</t>
  </si>
  <si>
    <t>62,90</t>
  </si>
  <si>
    <t>B254</t>
  </si>
  <si>
    <t>63,90</t>
  </si>
  <si>
    <t>B255</t>
  </si>
  <si>
    <t>60,94</t>
  </si>
  <si>
    <t>B256</t>
  </si>
  <si>
    <t>63,99</t>
  </si>
  <si>
    <t>B257</t>
  </si>
  <si>
    <t>78,56</t>
  </si>
  <si>
    <t>B258</t>
  </si>
  <si>
    <t>79,56</t>
  </si>
  <si>
    <t>B259</t>
  </si>
  <si>
    <t>80,56</t>
  </si>
  <si>
    <t>B260</t>
  </si>
  <si>
    <t>88,54</t>
  </si>
  <si>
    <t>B261</t>
  </si>
  <si>
    <t>89,54</t>
  </si>
  <si>
    <t>B262</t>
  </si>
  <si>
    <t>90,54</t>
  </si>
  <si>
    <t>B263</t>
  </si>
  <si>
    <t>90,62</t>
  </si>
  <si>
    <t>B264</t>
  </si>
  <si>
    <t>91,62</t>
  </si>
  <si>
    <t>B265</t>
  </si>
  <si>
    <t>65,99</t>
  </si>
  <si>
    <t>B266</t>
  </si>
  <si>
    <t>66,99</t>
  </si>
  <si>
    <t>B267</t>
  </si>
  <si>
    <t>67,99</t>
  </si>
  <si>
    <t>B268</t>
  </si>
  <si>
    <t>68,99</t>
  </si>
  <si>
    <t>B269</t>
  </si>
  <si>
    <t>28,97</t>
  </si>
  <si>
    <t>B270</t>
  </si>
  <si>
    <t>28,98</t>
  </si>
  <si>
    <t>B271</t>
  </si>
  <si>
    <t>28,99</t>
  </si>
  <si>
    <t>B272</t>
  </si>
  <si>
    <t>20,83</t>
  </si>
  <si>
    <t>B273</t>
  </si>
  <si>
    <t>21,83</t>
  </si>
  <si>
    <t>B274</t>
  </si>
  <si>
    <t>19,79</t>
  </si>
  <si>
    <t>B275</t>
  </si>
  <si>
    <t>32,57</t>
  </si>
  <si>
    <t>B276</t>
  </si>
  <si>
    <t>33,57</t>
  </si>
  <si>
    <t>B277</t>
  </si>
  <si>
    <t>34,57</t>
  </si>
  <si>
    <t>B278</t>
  </si>
  <si>
    <t>24,59</t>
  </si>
  <si>
    <t>B279</t>
  </si>
  <si>
    <t>25,59</t>
  </si>
  <si>
    <t>B280</t>
  </si>
  <si>
    <t>24,60</t>
  </si>
  <si>
    <t>B281</t>
  </si>
  <si>
    <t>23,67</t>
  </si>
  <si>
    <t>B282</t>
  </si>
  <si>
    <t>24,67</t>
  </si>
  <si>
    <t>B283</t>
  </si>
  <si>
    <t>23,68</t>
  </si>
  <si>
    <t>B284</t>
  </si>
  <si>
    <t>23,69</t>
  </si>
  <si>
    <t>B285</t>
  </si>
  <si>
    <t>24,69</t>
  </si>
  <si>
    <t>B286</t>
  </si>
  <si>
    <t>21,69</t>
  </si>
  <si>
    <t>B287</t>
  </si>
  <si>
    <t>21,70</t>
  </si>
  <si>
    <t>B288</t>
  </si>
  <si>
    <t>9,69</t>
  </si>
  <si>
    <t>B289</t>
  </si>
  <si>
    <t>10,69</t>
  </si>
  <si>
    <t>B290</t>
  </si>
  <si>
    <t>11,69</t>
  </si>
  <si>
    <t>B291</t>
  </si>
  <si>
    <t>2,69</t>
  </si>
  <si>
    <t>B292</t>
  </si>
  <si>
    <t>2,70</t>
  </si>
  <si>
    <t>B293</t>
  </si>
  <si>
    <t>4,63</t>
  </si>
  <si>
    <t>B294</t>
  </si>
  <si>
    <t>7,62</t>
  </si>
  <si>
    <t>B295</t>
  </si>
  <si>
    <t>8,62</t>
  </si>
  <si>
    <t>B296</t>
  </si>
  <si>
    <t>9,62</t>
  </si>
  <si>
    <t>B297</t>
  </si>
  <si>
    <t>13,91</t>
  </si>
  <si>
    <t>B298</t>
  </si>
  <si>
    <t>13,92</t>
  </si>
  <si>
    <t>B299</t>
  </si>
  <si>
    <t>9,77</t>
  </si>
  <si>
    <t>B300</t>
  </si>
  <si>
    <t>19,73</t>
  </si>
  <si>
    <t>B301</t>
  </si>
  <si>
    <t>20,73</t>
  </si>
  <si>
    <t>B302</t>
  </si>
  <si>
    <t>19,74</t>
  </si>
  <si>
    <t>B303</t>
  </si>
  <si>
    <t>19,75</t>
  </si>
  <si>
    <t>B304</t>
  </si>
  <si>
    <t>94,46</t>
  </si>
  <si>
    <t>B305</t>
  </si>
  <si>
    <t>95,46</t>
  </si>
  <si>
    <t>B306</t>
  </si>
  <si>
    <t>96,46</t>
  </si>
  <si>
    <t>B307</t>
  </si>
  <si>
    <t>94,47</t>
  </si>
  <si>
    <t>B308</t>
  </si>
  <si>
    <t>95,47</t>
  </si>
  <si>
    <t>B309</t>
  </si>
  <si>
    <t>96,47</t>
  </si>
  <si>
    <t>B310</t>
  </si>
  <si>
    <t>89,48</t>
  </si>
  <si>
    <t>B311</t>
  </si>
  <si>
    <t>90,48</t>
  </si>
  <si>
    <t>B312</t>
  </si>
  <si>
    <t>97,40</t>
  </si>
  <si>
    <t>B313</t>
  </si>
  <si>
    <t>98,40</t>
  </si>
  <si>
    <t>B314</t>
  </si>
  <si>
    <t>97,41</t>
  </si>
  <si>
    <t>B315</t>
  </si>
  <si>
    <t>98,41</t>
  </si>
  <si>
    <t>B316</t>
  </si>
  <si>
    <t>96,28</t>
  </si>
  <si>
    <t>B317</t>
  </si>
  <si>
    <t>97,28</t>
  </si>
  <si>
    <t>B318</t>
  </si>
  <si>
    <t>98,28</t>
  </si>
  <si>
    <t>B319</t>
  </si>
  <si>
    <t>94,36</t>
  </si>
  <si>
    <t>B320</t>
  </si>
  <si>
    <t>95,36</t>
  </si>
  <si>
    <t>B321</t>
  </si>
  <si>
    <t>95,37</t>
  </si>
  <si>
    <t>B322</t>
  </si>
  <si>
    <t>86,21</t>
  </si>
  <si>
    <t>B323</t>
  </si>
  <si>
    <t>87,21</t>
  </si>
  <si>
    <t>B324</t>
  </si>
  <si>
    <t>83,24</t>
  </si>
  <si>
    <t>B325</t>
  </si>
  <si>
    <t>84,24</t>
  </si>
  <si>
    <t>B326</t>
  </si>
  <si>
    <t>85,24</t>
  </si>
  <si>
    <t>B327</t>
  </si>
  <si>
    <t>92,16</t>
  </si>
  <si>
    <t>B328</t>
  </si>
  <si>
    <t>93,16</t>
  </si>
  <si>
    <t>B329</t>
  </si>
  <si>
    <t>92,17</t>
  </si>
  <si>
    <t>B330</t>
  </si>
  <si>
    <t>93,17</t>
  </si>
  <si>
    <t>B331</t>
  </si>
  <si>
    <t>92,18</t>
  </si>
  <si>
    <t>B332</t>
  </si>
  <si>
    <t>93,18</t>
  </si>
  <si>
    <t>B333</t>
  </si>
  <si>
    <t>75,23</t>
  </si>
  <si>
    <t>B334</t>
  </si>
  <si>
    <t>76,23</t>
  </si>
  <si>
    <t>B335</t>
  </si>
  <si>
    <t>77,23</t>
  </si>
  <si>
    <t>B336</t>
  </si>
  <si>
    <t>78,23</t>
  </si>
  <si>
    <t>B337</t>
  </si>
  <si>
    <t>71,22</t>
  </si>
  <si>
    <t>B338</t>
  </si>
  <si>
    <t>72,22</t>
  </si>
  <si>
    <t>B339</t>
  </si>
  <si>
    <t>73,22</t>
  </si>
  <si>
    <t>B340</t>
  </si>
  <si>
    <t>77,10</t>
  </si>
  <si>
    <t>B341</t>
  </si>
  <si>
    <t>78,10</t>
  </si>
  <si>
    <t>B342</t>
  </si>
  <si>
    <t>79,10</t>
  </si>
  <si>
    <t>B343</t>
  </si>
  <si>
    <t>78,5</t>
  </si>
  <si>
    <t>B344</t>
  </si>
  <si>
    <t>79,5</t>
  </si>
  <si>
    <t>B345</t>
  </si>
  <si>
    <t>78,6</t>
  </si>
  <si>
    <t>B346</t>
  </si>
  <si>
    <t>79,6</t>
  </si>
  <si>
    <t>B347</t>
  </si>
  <si>
    <t>71,6</t>
  </si>
  <si>
    <t>B348</t>
  </si>
  <si>
    <t>72,6</t>
  </si>
  <si>
    <t>B349</t>
  </si>
  <si>
    <t>69,10</t>
  </si>
  <si>
    <t>B350</t>
  </si>
  <si>
    <t>70,10</t>
  </si>
  <si>
    <t>B351</t>
  </si>
  <si>
    <t>71,10</t>
  </si>
  <si>
    <t>B352</t>
  </si>
  <si>
    <t>69,11</t>
  </si>
  <si>
    <t>B353</t>
  </si>
  <si>
    <t>70,11</t>
  </si>
  <si>
    <t>B354</t>
  </si>
  <si>
    <t>71,11</t>
  </si>
  <si>
    <t>B355</t>
  </si>
  <si>
    <t>63,6</t>
  </si>
  <si>
    <t>B356</t>
  </si>
  <si>
    <t>64,6</t>
  </si>
  <si>
    <t>B357</t>
  </si>
  <si>
    <t>65,6</t>
  </si>
  <si>
    <t>B358</t>
  </si>
  <si>
    <t>66,6</t>
  </si>
  <si>
    <t>B359</t>
  </si>
  <si>
    <t>63,7</t>
  </si>
  <si>
    <t>B360</t>
  </si>
  <si>
    <t>64,7</t>
  </si>
  <si>
    <t>B361</t>
  </si>
  <si>
    <t>65,7</t>
  </si>
  <si>
    <t>B362</t>
  </si>
  <si>
    <t>66,7</t>
  </si>
  <si>
    <t>B363</t>
  </si>
  <si>
    <t>40,10</t>
  </si>
  <si>
    <t>B364</t>
  </si>
  <si>
    <t>40,21</t>
  </si>
  <si>
    <t>B365</t>
  </si>
  <si>
    <t>46,21</t>
  </si>
  <si>
    <t>B366</t>
  </si>
  <si>
    <t>47,21</t>
  </si>
  <si>
    <t>B367</t>
  </si>
  <si>
    <t>48,21</t>
  </si>
  <si>
    <t>B368</t>
  </si>
  <si>
    <t>46,22</t>
  </si>
  <si>
    <t>B369</t>
  </si>
  <si>
    <t>48,18</t>
  </si>
  <si>
    <t>B370</t>
  </si>
  <si>
    <t>49,18</t>
  </si>
  <si>
    <t>B371</t>
  </si>
  <si>
    <t>46,26</t>
  </si>
  <si>
    <t>B372</t>
  </si>
  <si>
    <t>37,27</t>
  </si>
  <si>
    <t>B373</t>
  </si>
  <si>
    <t>35,24</t>
  </si>
  <si>
    <t>B374</t>
  </si>
  <si>
    <t>35,25</t>
  </si>
  <si>
    <t>B375</t>
  </si>
  <si>
    <t>35,26</t>
  </si>
  <si>
    <t>B376</t>
  </si>
  <si>
    <t>92,2</t>
  </si>
  <si>
    <t>B377</t>
  </si>
  <si>
    <t>93,2</t>
  </si>
  <si>
    <t>B378</t>
  </si>
  <si>
    <t>94,2</t>
  </si>
  <si>
    <t>B379</t>
  </si>
  <si>
    <t>92,3</t>
  </si>
  <si>
    <t>B380</t>
  </si>
  <si>
    <t>93,3</t>
  </si>
  <si>
    <t>B381</t>
  </si>
  <si>
    <t>94,3</t>
  </si>
  <si>
    <t>B382</t>
  </si>
  <si>
    <t>66,51</t>
  </si>
  <si>
    <t>B383</t>
  </si>
  <si>
    <t>67,51</t>
  </si>
  <si>
    <t>B384</t>
  </si>
  <si>
    <t>27,40</t>
  </si>
  <si>
    <t>B385</t>
  </si>
  <si>
    <t>28,40</t>
  </si>
  <si>
    <t>B386</t>
  </si>
  <si>
    <t>27,42</t>
  </si>
  <si>
    <t>B387</t>
  </si>
  <si>
    <t>27,43</t>
  </si>
  <si>
    <t>B388</t>
  </si>
  <si>
    <t>27,44</t>
  </si>
  <si>
    <t>B389</t>
  </si>
  <si>
    <t>27,46</t>
  </si>
  <si>
    <t>B390</t>
  </si>
  <si>
    <t>27,47</t>
  </si>
  <si>
    <t>B391</t>
  </si>
  <si>
    <t>27,48</t>
  </si>
  <si>
    <t>B392</t>
  </si>
  <si>
    <t>27,49</t>
  </si>
  <si>
    <t>B393</t>
  </si>
  <si>
    <t>27,50</t>
  </si>
  <si>
    <t>B394</t>
  </si>
  <si>
    <t>27,51</t>
  </si>
  <si>
    <t>B395</t>
  </si>
  <si>
    <t>27,52</t>
  </si>
  <si>
    <t>B396</t>
  </si>
  <si>
    <t>27,53</t>
  </si>
  <si>
    <t>B397</t>
  </si>
  <si>
    <t>27,54</t>
  </si>
  <si>
    <t>B398</t>
  </si>
  <si>
    <t>27,55</t>
  </si>
  <si>
    <t>B399</t>
  </si>
  <si>
    <t>27,56</t>
  </si>
  <si>
    <t>B400</t>
  </si>
  <si>
    <t>27,57</t>
  </si>
  <si>
    <t>B401</t>
  </si>
  <si>
    <t>28,57</t>
  </si>
  <si>
    <t>B402</t>
  </si>
  <si>
    <t>29,57</t>
  </si>
  <si>
    <t>B403</t>
  </si>
  <si>
    <t>30,57</t>
  </si>
  <si>
    <t>B404</t>
  </si>
  <si>
    <t>31,57</t>
  </si>
  <si>
    <t>B405</t>
  </si>
  <si>
    <t>35,57</t>
  </si>
  <si>
    <t>B406</t>
  </si>
  <si>
    <t>36,57</t>
  </si>
  <si>
    <t>B407</t>
  </si>
  <si>
    <t>37,57</t>
  </si>
  <si>
    <t>B408</t>
  </si>
  <si>
    <t>37,47</t>
  </si>
  <si>
    <t>B409</t>
  </si>
  <si>
    <t>37,48</t>
  </si>
  <si>
    <t>B410</t>
  </si>
  <si>
    <t>37,49</t>
  </si>
  <si>
    <t>B411</t>
  </si>
  <si>
    <t>37,50</t>
  </si>
  <si>
    <t>B412</t>
  </si>
  <si>
    <t>37,51</t>
  </si>
  <si>
    <t>B413</t>
  </si>
  <si>
    <t>37,52</t>
  </si>
  <si>
    <t>B414</t>
  </si>
  <si>
    <t>37,53</t>
  </si>
  <si>
    <t>B415</t>
  </si>
  <si>
    <t>37,54</t>
  </si>
  <si>
    <t>B416</t>
  </si>
  <si>
    <t>37,55</t>
  </si>
  <si>
    <t>B417</t>
  </si>
  <si>
    <t>37,56</t>
  </si>
  <si>
    <t>B418</t>
  </si>
  <si>
    <t>35,39</t>
  </si>
  <si>
    <t>B419</t>
  </si>
  <si>
    <t>36,39</t>
  </si>
  <si>
    <t>B420</t>
  </si>
  <si>
    <t>37,39</t>
  </si>
  <si>
    <t>B421</t>
  </si>
  <si>
    <t>33,40</t>
  </si>
  <si>
    <t>B422</t>
  </si>
  <si>
    <t>33,45</t>
  </si>
  <si>
    <t>B423</t>
  </si>
  <si>
    <t>36,40</t>
  </si>
  <si>
    <t>B424</t>
  </si>
  <si>
    <t>36,41</t>
  </si>
  <si>
    <t>B425</t>
  </si>
  <si>
    <t>36,45</t>
  </si>
  <si>
    <t>B426</t>
  </si>
  <si>
    <t>39,35</t>
  </si>
  <si>
    <t>B427</t>
  </si>
  <si>
    <t>45,31</t>
  </si>
  <si>
    <t>B428</t>
  </si>
  <si>
    <t>45,32</t>
  </si>
  <si>
    <t>B429</t>
  </si>
  <si>
    <t>45,33</t>
  </si>
  <si>
    <t>B430</t>
  </si>
  <si>
    <t>45,34</t>
  </si>
  <si>
    <t>B431</t>
  </si>
  <si>
    <t>45,35</t>
  </si>
  <si>
    <t>B432</t>
  </si>
  <si>
    <t>49,32</t>
  </si>
  <si>
    <t>B433</t>
  </si>
  <si>
    <t>49,33</t>
  </si>
  <si>
    <t>B434</t>
  </si>
  <si>
    <t>49,34</t>
  </si>
  <si>
    <t>B435</t>
  </si>
  <si>
    <t>38,39</t>
  </si>
  <si>
    <t>B436</t>
  </si>
  <si>
    <t>39,39</t>
  </si>
  <si>
    <t>B437</t>
  </si>
  <si>
    <t>39,36</t>
  </si>
  <si>
    <t>B438</t>
  </si>
  <si>
    <t>39,37</t>
  </si>
  <si>
    <t>B439</t>
  </si>
  <si>
    <t>39,38</t>
  </si>
  <si>
    <t>B440</t>
  </si>
  <si>
    <t>53,35</t>
  </si>
  <si>
    <t>B441</t>
  </si>
  <si>
    <t>53,36</t>
  </si>
  <si>
    <t>B442</t>
  </si>
  <si>
    <t>53,37</t>
  </si>
  <si>
    <t>B443</t>
  </si>
  <si>
    <t>54,35</t>
  </si>
  <si>
    <t>B444</t>
  </si>
  <si>
    <t>55,35</t>
  </si>
  <si>
    <t>B445</t>
  </si>
  <si>
    <t>57,35</t>
  </si>
  <si>
    <t>B446</t>
  </si>
  <si>
    <t>57,36</t>
  </si>
  <si>
    <t>B447</t>
  </si>
  <si>
    <t>57,37</t>
  </si>
  <si>
    <t>B448</t>
  </si>
  <si>
    <t>57,38</t>
  </si>
  <si>
    <t>B449</t>
  </si>
  <si>
    <t>57,39</t>
  </si>
  <si>
    <t>B450</t>
  </si>
  <si>
    <t>57,40</t>
  </si>
  <si>
    <t>B451</t>
  </si>
  <si>
    <t>57,41</t>
  </si>
  <si>
    <t>B452</t>
  </si>
  <si>
    <t>57,42</t>
  </si>
  <si>
    <t>B453</t>
  </si>
  <si>
    <t>57,44</t>
  </si>
  <si>
    <t>B454</t>
  </si>
  <si>
    <t>57,45</t>
  </si>
  <si>
    <t>B455</t>
  </si>
  <si>
    <t>34,58</t>
  </si>
  <si>
    <t>B456</t>
  </si>
  <si>
    <t>34,59</t>
  </si>
  <si>
    <t>B457</t>
  </si>
  <si>
    <t>34,60</t>
  </si>
  <si>
    <t>B458</t>
  </si>
  <si>
    <t>34,61</t>
  </si>
  <si>
    <t>B459</t>
  </si>
  <si>
    <t>34,62</t>
  </si>
  <si>
    <t>B460</t>
  </si>
  <si>
    <t>34,63</t>
  </si>
  <si>
    <t>B461</t>
  </si>
  <si>
    <t>27,58</t>
  </si>
  <si>
    <t>B462</t>
  </si>
  <si>
    <t>26,59</t>
  </si>
  <si>
    <t>B463</t>
  </si>
  <si>
    <t>27,59</t>
  </si>
  <si>
    <t>B464</t>
  </si>
  <si>
    <t>24,61</t>
  </si>
  <si>
    <t>B465</t>
  </si>
  <si>
    <t>24,62</t>
  </si>
  <si>
    <t>B466</t>
  </si>
  <si>
    <t>24,63</t>
  </si>
  <si>
    <t>B467</t>
  </si>
  <si>
    <t>24,64</t>
  </si>
  <si>
    <t>B468</t>
  </si>
  <si>
    <t>24,65</t>
  </si>
  <si>
    <t>B469</t>
  </si>
  <si>
    <t>24,66</t>
  </si>
  <si>
    <t>B470</t>
  </si>
  <si>
    <t>22,70</t>
  </si>
  <si>
    <t>B471</t>
  </si>
  <si>
    <t>23,70</t>
  </si>
  <si>
    <t>B472</t>
  </si>
  <si>
    <t>25,69</t>
  </si>
  <si>
    <t>B473</t>
  </si>
  <si>
    <t>26,69</t>
  </si>
  <si>
    <t>B474</t>
  </si>
  <si>
    <t>27,69</t>
  </si>
  <si>
    <t>B475</t>
  </si>
  <si>
    <t>29,69</t>
  </si>
  <si>
    <t>B476</t>
  </si>
  <si>
    <t>26,70</t>
  </si>
  <si>
    <t>B477</t>
  </si>
  <si>
    <t>26,71</t>
  </si>
  <si>
    <t>B478</t>
  </si>
  <si>
    <t>26,72</t>
  </si>
  <si>
    <t>B479</t>
  </si>
  <si>
    <t>26,73</t>
  </si>
  <si>
    <t>B480</t>
  </si>
  <si>
    <t>26,74</t>
  </si>
  <si>
    <t>B481</t>
  </si>
  <si>
    <t>26,75</t>
  </si>
  <si>
    <t>B482</t>
  </si>
  <si>
    <t>34,66</t>
  </si>
  <si>
    <t>B483</t>
  </si>
  <si>
    <t>34,67</t>
  </si>
  <si>
    <t>B484</t>
  </si>
  <si>
    <t>34,68</t>
  </si>
  <si>
    <t>B485</t>
  </si>
  <si>
    <t>34,69</t>
  </si>
  <si>
    <t>B486</t>
  </si>
  <si>
    <t>21,71</t>
  </si>
  <si>
    <t>B487</t>
  </si>
  <si>
    <t>21,72</t>
  </si>
  <si>
    <t>B488</t>
  </si>
  <si>
    <t>21,73</t>
  </si>
  <si>
    <t>B489</t>
  </si>
  <si>
    <t>19,76</t>
  </si>
  <si>
    <t>B490</t>
  </si>
  <si>
    <t>19,77</t>
  </si>
  <si>
    <t>B491</t>
  </si>
  <si>
    <t>19,78</t>
  </si>
  <si>
    <t>B492</t>
  </si>
  <si>
    <t>20,79</t>
  </si>
  <si>
    <t>B493</t>
  </si>
  <si>
    <t>21,79</t>
  </si>
  <si>
    <t>B494</t>
  </si>
  <si>
    <t>22,79</t>
  </si>
  <si>
    <t>B495</t>
  </si>
  <si>
    <t>23,79</t>
  </si>
  <si>
    <t>B496</t>
  </si>
  <si>
    <t>24,79</t>
  </si>
  <si>
    <t>B497</t>
  </si>
  <si>
    <t>25,79</t>
  </si>
  <si>
    <t>B498</t>
  </si>
  <si>
    <t>25,80</t>
  </si>
  <si>
    <t>B499</t>
  </si>
  <si>
    <t>25,81</t>
  </si>
  <si>
    <t>B500</t>
  </si>
  <si>
    <t>25,82</t>
  </si>
  <si>
    <t>B501</t>
  </si>
  <si>
    <t>25,83</t>
  </si>
  <si>
    <t>B502</t>
  </si>
  <si>
    <t>22,83</t>
  </si>
  <si>
    <t>B503</t>
  </si>
  <si>
    <t>23,83</t>
  </si>
  <si>
    <t>B504</t>
  </si>
  <si>
    <t>24,83</t>
  </si>
  <si>
    <t>B505</t>
  </si>
  <si>
    <t>11,83</t>
  </si>
  <si>
    <t>B506</t>
  </si>
  <si>
    <t>12,83</t>
  </si>
  <si>
    <t>B507</t>
  </si>
  <si>
    <t>13,83</t>
  </si>
  <si>
    <t>B508</t>
  </si>
  <si>
    <t>14,83</t>
  </si>
  <si>
    <t>B509</t>
  </si>
  <si>
    <t>15,83</t>
  </si>
  <si>
    <t>B510</t>
  </si>
  <si>
    <t>16,83</t>
  </si>
  <si>
    <t>B511</t>
  </si>
  <si>
    <t>17,83</t>
  </si>
  <si>
    <t>B512</t>
  </si>
  <si>
    <t>18,83</t>
  </si>
  <si>
    <t>B513</t>
  </si>
  <si>
    <t>19,83</t>
  </si>
  <si>
    <t>B514</t>
  </si>
  <si>
    <t>11,84</t>
  </si>
  <si>
    <t>B515</t>
  </si>
  <si>
    <t>11,85</t>
  </si>
  <si>
    <t>B516</t>
  </si>
  <si>
    <t>10,77</t>
  </si>
  <si>
    <t>B517</t>
  </si>
  <si>
    <t>11,77</t>
  </si>
  <si>
    <t>B518</t>
  </si>
  <si>
    <t>11,78</t>
  </si>
  <si>
    <t>B519</t>
  </si>
  <si>
    <t>11,80</t>
  </si>
  <si>
    <t>B520</t>
  </si>
  <si>
    <t>11,81</t>
  </si>
  <si>
    <t>B521</t>
  </si>
  <si>
    <t>11,82</t>
  </si>
  <si>
    <t>B522</t>
  </si>
  <si>
    <t>11,70</t>
  </si>
  <si>
    <t>B523</t>
  </si>
  <si>
    <t>11,71</t>
  </si>
  <si>
    <t>B524</t>
  </si>
  <si>
    <t>11,72</t>
  </si>
  <si>
    <t>B525</t>
  </si>
  <si>
    <t>11,73</t>
  </si>
  <si>
    <t>B526</t>
  </si>
  <si>
    <t>11,74</t>
  </si>
  <si>
    <t>B527</t>
  </si>
  <si>
    <t>11,75</t>
  </si>
  <si>
    <t>B528</t>
  </si>
  <si>
    <t>11,76</t>
  </si>
  <si>
    <t>B529</t>
  </si>
  <si>
    <t>9,64</t>
  </si>
  <si>
    <t>B530</t>
  </si>
  <si>
    <t>9,65</t>
  </si>
  <si>
    <t>B531</t>
  </si>
  <si>
    <t>9,66</t>
  </si>
  <si>
    <t>B532</t>
  </si>
  <si>
    <t>9,67</t>
  </si>
  <si>
    <t>B533</t>
  </si>
  <si>
    <t>9,68</t>
  </si>
  <si>
    <t>B534</t>
  </si>
  <si>
    <t>7,59</t>
  </si>
  <si>
    <t>B535</t>
  </si>
  <si>
    <t>7,60</t>
  </si>
  <si>
    <t>B536</t>
  </si>
  <si>
    <t>7,61</t>
  </si>
  <si>
    <t>B537</t>
  </si>
  <si>
    <t>4,59</t>
  </si>
  <si>
    <t>B538</t>
  </si>
  <si>
    <t>5,59</t>
  </si>
  <si>
    <t>B539</t>
  </si>
  <si>
    <t>6,59</t>
  </si>
  <si>
    <t>B540</t>
  </si>
  <si>
    <t>7,63</t>
  </si>
  <si>
    <t>B541</t>
  </si>
  <si>
    <t>7,64</t>
  </si>
  <si>
    <t>B542</t>
  </si>
  <si>
    <t>4,64</t>
  </si>
  <si>
    <t>B543</t>
  </si>
  <si>
    <t>5,64</t>
  </si>
  <si>
    <t>B544</t>
  </si>
  <si>
    <t>6,64</t>
  </si>
  <si>
    <t>B545</t>
  </si>
  <si>
    <t>2,59</t>
  </si>
  <si>
    <t>B546</t>
  </si>
  <si>
    <t>3,59</t>
  </si>
  <si>
    <t>B547</t>
  </si>
  <si>
    <t>2,56</t>
  </si>
  <si>
    <t>B548</t>
  </si>
  <si>
    <t>2,57</t>
  </si>
  <si>
    <t>B549</t>
  </si>
  <si>
    <t>2,58</t>
  </si>
  <si>
    <t>B550</t>
  </si>
  <si>
    <t>3,69</t>
  </si>
  <si>
    <t>B551</t>
  </si>
  <si>
    <t>4,69</t>
  </si>
  <si>
    <t>B552</t>
  </si>
  <si>
    <t>5,69</t>
  </si>
  <si>
    <t>B553</t>
  </si>
  <si>
    <t>6,69</t>
  </si>
  <si>
    <t>B554</t>
  </si>
  <si>
    <t>7,69</t>
  </si>
  <si>
    <t>B555</t>
  </si>
  <si>
    <t>8,69</t>
  </si>
  <si>
    <t>B556</t>
  </si>
  <si>
    <t>34,70</t>
  </si>
  <si>
    <t>B557</t>
  </si>
  <si>
    <t>60,47</t>
  </si>
  <si>
    <t>B558</t>
  </si>
  <si>
    <t>60,48</t>
  </si>
  <si>
    <t>B559</t>
  </si>
  <si>
    <t>60,49</t>
  </si>
  <si>
    <t>B560</t>
  </si>
  <si>
    <t>60,50</t>
  </si>
  <si>
    <t>B561</t>
  </si>
  <si>
    <t>60,51</t>
  </si>
  <si>
    <t>B562</t>
  </si>
  <si>
    <t>60,52</t>
  </si>
  <si>
    <t>B563</t>
  </si>
  <si>
    <t>60,53</t>
  </si>
  <si>
    <t>B564</t>
  </si>
  <si>
    <t>64,51</t>
  </si>
  <si>
    <t>B565</t>
  </si>
  <si>
    <t>64,52</t>
  </si>
  <si>
    <t>B566</t>
  </si>
  <si>
    <t>64,53</t>
  </si>
  <si>
    <t>B567</t>
  </si>
  <si>
    <t>65,51</t>
  </si>
  <si>
    <t>B568</t>
  </si>
  <si>
    <t>68,51</t>
  </si>
  <si>
    <t>B569</t>
  </si>
  <si>
    <t>70,54</t>
  </si>
  <si>
    <t>B570</t>
  </si>
  <si>
    <t>60,55</t>
  </si>
  <si>
    <t>B571</t>
  </si>
  <si>
    <t>60,56</t>
  </si>
  <si>
    <t>B572</t>
  </si>
  <si>
    <t>60,57</t>
  </si>
  <si>
    <t>B573</t>
  </si>
  <si>
    <t>60,58</t>
  </si>
  <si>
    <t>B574</t>
  </si>
  <si>
    <t>60,59</t>
  </si>
  <si>
    <t>B575</t>
  </si>
  <si>
    <t>60,60</t>
  </si>
  <si>
    <t>B576</t>
  </si>
  <si>
    <t>60,61</t>
  </si>
  <si>
    <t>B577</t>
  </si>
  <si>
    <t>61,60</t>
  </si>
  <si>
    <t>B578</t>
  </si>
  <si>
    <t>62,60</t>
  </si>
  <si>
    <t>B579</t>
  </si>
  <si>
    <t>65,60</t>
  </si>
  <si>
    <t>B580</t>
  </si>
  <si>
    <t>65,61</t>
  </si>
  <si>
    <t>B581</t>
  </si>
  <si>
    <t>65,62</t>
  </si>
  <si>
    <t>B582</t>
  </si>
  <si>
    <t>65,63</t>
  </si>
  <si>
    <t>B583</t>
  </si>
  <si>
    <t>65,64</t>
  </si>
  <si>
    <t>B584</t>
  </si>
  <si>
    <t>65,65</t>
  </si>
  <si>
    <t>B585</t>
  </si>
  <si>
    <t>65,66</t>
  </si>
  <si>
    <t>B586</t>
  </si>
  <si>
    <t>65,67</t>
  </si>
  <si>
    <t>B587</t>
  </si>
  <si>
    <t>65,68</t>
  </si>
  <si>
    <t>B588</t>
  </si>
  <si>
    <t>65,69</t>
  </si>
  <si>
    <t>B589</t>
  </si>
  <si>
    <t>65,70</t>
  </si>
  <si>
    <t>B590</t>
  </si>
  <si>
    <t>65,71</t>
  </si>
  <si>
    <t>B591</t>
  </si>
  <si>
    <t>65,72</t>
  </si>
  <si>
    <t>B592</t>
  </si>
  <si>
    <t>65,73</t>
  </si>
  <si>
    <t>B593</t>
  </si>
  <si>
    <t>65,74</t>
  </si>
  <si>
    <t>B594</t>
  </si>
  <si>
    <t>66,74</t>
  </si>
  <si>
    <t>B595</t>
  </si>
  <si>
    <t>67,71</t>
  </si>
  <si>
    <t>B596</t>
  </si>
  <si>
    <t>68,71</t>
  </si>
  <si>
    <t>B597</t>
  </si>
  <si>
    <t>69,71</t>
  </si>
  <si>
    <t>B598</t>
  </si>
  <si>
    <t>70,71</t>
  </si>
  <si>
    <t>B599</t>
  </si>
  <si>
    <t>59,62</t>
  </si>
  <si>
    <t>B600</t>
  </si>
  <si>
    <t>59,63</t>
  </si>
  <si>
    <t>B601</t>
  </si>
  <si>
    <t>59,64</t>
  </si>
  <si>
    <t>B602</t>
  </si>
  <si>
    <t>59,65</t>
  </si>
  <si>
    <t>B603</t>
  </si>
  <si>
    <t>59,66</t>
  </si>
  <si>
    <t>B604</t>
  </si>
  <si>
    <t>59,67</t>
  </si>
  <si>
    <t>B605</t>
  </si>
  <si>
    <t>59,68</t>
  </si>
  <si>
    <t>B606</t>
  </si>
  <si>
    <t>59,69</t>
  </si>
  <si>
    <t>B607</t>
  </si>
  <si>
    <t>59,71</t>
  </si>
  <si>
    <t>B608</t>
  </si>
  <si>
    <t>59,72</t>
  </si>
  <si>
    <t>B609</t>
  </si>
  <si>
    <t>59,73</t>
  </si>
  <si>
    <t>B610</t>
  </si>
  <si>
    <t>59,74</t>
  </si>
  <si>
    <t>B611</t>
  </si>
  <si>
    <t>59,75</t>
  </si>
  <si>
    <t>B612</t>
  </si>
  <si>
    <t>59,76</t>
  </si>
  <si>
    <t>B613</t>
  </si>
  <si>
    <t>59,77</t>
  </si>
  <si>
    <t>B614</t>
  </si>
  <si>
    <t>59,78</t>
  </si>
  <si>
    <t>B615</t>
  </si>
  <si>
    <t>51,80</t>
  </si>
  <si>
    <t>B616</t>
  </si>
  <si>
    <t>52,80</t>
  </si>
  <si>
    <t>B617</t>
  </si>
  <si>
    <t>53,80</t>
  </si>
  <si>
    <t>B618</t>
  </si>
  <si>
    <t>54,80</t>
  </si>
  <si>
    <t>B619</t>
  </si>
  <si>
    <t>55,80</t>
  </si>
  <si>
    <t>B620</t>
  </si>
  <si>
    <t>69,63</t>
  </si>
  <si>
    <t>B621</t>
  </si>
  <si>
    <t>70,63</t>
  </si>
  <si>
    <t>B622</t>
  </si>
  <si>
    <t>71,63</t>
  </si>
  <si>
    <t>B623</t>
  </si>
  <si>
    <t>72,63</t>
  </si>
  <si>
    <t>B624</t>
  </si>
  <si>
    <t>75,63</t>
  </si>
  <si>
    <t>B625</t>
  </si>
  <si>
    <t>76,63</t>
  </si>
  <si>
    <t>B626</t>
  </si>
  <si>
    <t>77,63</t>
  </si>
  <si>
    <t>B627</t>
  </si>
  <si>
    <t>77,62</t>
  </si>
  <si>
    <t>B628</t>
  </si>
  <si>
    <t>77,64</t>
  </si>
  <si>
    <t>B629</t>
  </si>
  <si>
    <t>77,67</t>
  </si>
  <si>
    <t>B630</t>
  </si>
  <si>
    <t>80,69</t>
  </si>
  <si>
    <t>B631</t>
  </si>
  <si>
    <t>75,76</t>
  </si>
  <si>
    <t>B632</t>
  </si>
  <si>
    <t>75,75</t>
  </si>
  <si>
    <t>B633</t>
  </si>
  <si>
    <t>75,69</t>
  </si>
  <si>
    <t>B634</t>
  </si>
  <si>
    <t>75,70</t>
  </si>
  <si>
    <t>B635</t>
  </si>
  <si>
    <t>75,71</t>
  </si>
  <si>
    <t>B636</t>
  </si>
  <si>
    <t>76,69</t>
  </si>
  <si>
    <t>B637</t>
  </si>
  <si>
    <t>78,62</t>
  </si>
  <si>
    <t>B638</t>
  </si>
  <si>
    <t>79,62</t>
  </si>
  <si>
    <t>B639</t>
  </si>
  <si>
    <t>80,62</t>
  </si>
  <si>
    <t>B640</t>
  </si>
  <si>
    <t>81,62</t>
  </si>
  <si>
    <t>B641</t>
  </si>
  <si>
    <t>82,62</t>
  </si>
  <si>
    <t>B642</t>
  </si>
  <si>
    <t>83,62</t>
  </si>
  <si>
    <t>B643</t>
  </si>
  <si>
    <t>84,62</t>
  </si>
  <si>
    <t>B644</t>
  </si>
  <si>
    <t>85,62</t>
  </si>
  <si>
    <t>B645</t>
  </si>
  <si>
    <t>86,62</t>
  </si>
  <si>
    <t>B646</t>
  </si>
  <si>
    <t>87,62</t>
  </si>
  <si>
    <t>B647</t>
  </si>
  <si>
    <t>88,62</t>
  </si>
  <si>
    <t>B648</t>
  </si>
  <si>
    <t>89,62</t>
  </si>
  <si>
    <t>B649</t>
  </si>
  <si>
    <t>92,62</t>
  </si>
  <si>
    <t>B650</t>
  </si>
  <si>
    <t>93,62</t>
  </si>
  <si>
    <t>B651</t>
  </si>
  <si>
    <t>94,62</t>
  </si>
  <si>
    <t>B652</t>
  </si>
  <si>
    <t>95,62</t>
  </si>
  <si>
    <t>B653</t>
  </si>
  <si>
    <t>96,62</t>
  </si>
  <si>
    <t>B654</t>
  </si>
  <si>
    <t>97,62</t>
  </si>
  <si>
    <t>B655</t>
  </si>
  <si>
    <t>98,62</t>
  </si>
  <si>
    <t>B656</t>
  </si>
  <si>
    <t>98,82</t>
  </si>
  <si>
    <t>B657</t>
  </si>
  <si>
    <t>98,83</t>
  </si>
  <si>
    <t>B658</t>
  </si>
  <si>
    <t>97,83</t>
  </si>
  <si>
    <t>B659</t>
  </si>
  <si>
    <t>95,84</t>
  </si>
  <si>
    <t>B660</t>
  </si>
  <si>
    <t>95,87</t>
  </si>
  <si>
    <t>B661</t>
  </si>
  <si>
    <t>96,87</t>
  </si>
  <si>
    <t>B662</t>
  </si>
  <si>
    <t>97,87</t>
  </si>
  <si>
    <t>B663</t>
  </si>
  <si>
    <t>97,88</t>
  </si>
  <si>
    <t>B664</t>
  </si>
  <si>
    <t>98,88</t>
  </si>
  <si>
    <t>B665</t>
  </si>
  <si>
    <t>90,87</t>
  </si>
  <si>
    <t>B666</t>
  </si>
  <si>
    <t>91,87</t>
  </si>
  <si>
    <t>B667</t>
  </si>
  <si>
    <t>92,87</t>
  </si>
  <si>
    <t>B668</t>
  </si>
  <si>
    <t>93,87</t>
  </si>
  <si>
    <t>B669</t>
  </si>
  <si>
    <t>94,87</t>
  </si>
  <si>
    <t>B670</t>
  </si>
  <si>
    <t>81,87</t>
  </si>
  <si>
    <t>B671</t>
  </si>
  <si>
    <t>82,87</t>
  </si>
  <si>
    <t>B672</t>
  </si>
  <si>
    <t>83,87</t>
  </si>
  <si>
    <t>B673</t>
  </si>
  <si>
    <t>84,87</t>
  </si>
  <si>
    <t>B674</t>
  </si>
  <si>
    <t>85,87</t>
  </si>
  <si>
    <t>B675</t>
  </si>
  <si>
    <t>86,87</t>
  </si>
  <si>
    <t>B676</t>
  </si>
  <si>
    <t>87,87</t>
  </si>
  <si>
    <t>B677</t>
  </si>
  <si>
    <t>84,88</t>
  </si>
  <si>
    <t>B678</t>
  </si>
  <si>
    <t>84,89</t>
  </si>
  <si>
    <t>B679</t>
  </si>
  <si>
    <t>84,90</t>
  </si>
  <si>
    <t>B680</t>
  </si>
  <si>
    <t>81,88</t>
  </si>
  <si>
    <t>B681</t>
  </si>
  <si>
    <t>81,89</t>
  </si>
  <si>
    <t>B682</t>
  </si>
  <si>
    <t>81,90</t>
  </si>
  <si>
    <t>B683</t>
  </si>
  <si>
    <t>81,91</t>
  </si>
  <si>
    <t>B684</t>
  </si>
  <si>
    <t>81,92</t>
  </si>
  <si>
    <t>B685</t>
  </si>
  <si>
    <t>81,94</t>
  </si>
  <si>
    <t>B686</t>
  </si>
  <si>
    <t>81,95</t>
  </si>
  <si>
    <t>B687</t>
  </si>
  <si>
    <t>81,96</t>
  </si>
  <si>
    <t>B688</t>
  </si>
  <si>
    <t>81,97</t>
  </si>
  <si>
    <t>B689</t>
  </si>
  <si>
    <t>75,77</t>
  </si>
  <si>
    <t>B690</t>
  </si>
  <si>
    <t>75,78</t>
  </si>
  <si>
    <t>B691</t>
  </si>
  <si>
    <t>75,80</t>
  </si>
  <si>
    <t>B692</t>
  </si>
  <si>
    <t>75,81</t>
  </si>
  <si>
    <t>B693</t>
  </si>
  <si>
    <t>75,82</t>
  </si>
  <si>
    <t>B694</t>
  </si>
  <si>
    <t>75,83</t>
  </si>
  <si>
    <t>B695</t>
  </si>
  <si>
    <t>75,84</t>
  </si>
  <si>
    <t>B696</t>
  </si>
  <si>
    <t>75,86</t>
  </si>
  <si>
    <t>B697</t>
  </si>
  <si>
    <t>78,87</t>
  </si>
  <si>
    <t>B698</t>
  </si>
  <si>
    <t>78,88</t>
  </si>
  <si>
    <t>B699</t>
  </si>
  <si>
    <t>78,89</t>
  </si>
  <si>
    <t>B700</t>
  </si>
  <si>
    <t>78,90</t>
  </si>
  <si>
    <t>B701</t>
  </si>
  <si>
    <t>78,91</t>
  </si>
  <si>
    <t>B702</t>
  </si>
  <si>
    <t>78,92</t>
  </si>
  <si>
    <t>B703</t>
  </si>
  <si>
    <t>78,93</t>
  </si>
  <si>
    <t>B704</t>
  </si>
  <si>
    <t>73,95</t>
  </si>
  <si>
    <t>B705</t>
  </si>
  <si>
    <t>74,95</t>
  </si>
  <si>
    <t>B706</t>
  </si>
  <si>
    <t>75,95</t>
  </si>
  <si>
    <t>B707</t>
  </si>
  <si>
    <t>76,95</t>
  </si>
  <si>
    <t>B708</t>
  </si>
  <si>
    <t>77,95</t>
  </si>
  <si>
    <t>B709</t>
  </si>
  <si>
    <t>78,95</t>
  </si>
  <si>
    <t>B710</t>
  </si>
  <si>
    <t>72,95</t>
  </si>
  <si>
    <t>B711</t>
  </si>
  <si>
    <t>72,91</t>
  </si>
  <si>
    <t>B712</t>
  </si>
  <si>
    <t>72,92</t>
  </si>
  <si>
    <t>B713</t>
  </si>
  <si>
    <t>72,93</t>
  </si>
  <si>
    <t>B714</t>
  </si>
  <si>
    <t>72,94</t>
  </si>
  <si>
    <t>B715</t>
  </si>
  <si>
    <t>78,94</t>
  </si>
  <si>
    <t>B716</t>
  </si>
  <si>
    <t>80,98</t>
  </si>
  <si>
    <t>B717</t>
  </si>
  <si>
    <t>81,98</t>
  </si>
  <si>
    <t>B718</t>
  </si>
  <si>
    <t>75,96</t>
  </si>
  <si>
    <t>B719</t>
  </si>
  <si>
    <t>68,95</t>
  </si>
  <si>
    <t>B720</t>
  </si>
  <si>
    <t>70,95</t>
  </si>
  <si>
    <t>B721</t>
  </si>
  <si>
    <t>71,95</t>
  </si>
  <si>
    <t>B722</t>
  </si>
  <si>
    <t>61,95</t>
  </si>
  <si>
    <t>B723</t>
  </si>
  <si>
    <t>62,95</t>
  </si>
  <si>
    <t>B724</t>
  </si>
  <si>
    <t>63,95</t>
  </si>
  <si>
    <t>B725</t>
  </si>
  <si>
    <t>64,95</t>
  </si>
  <si>
    <t>B726</t>
  </si>
  <si>
    <t>65,95</t>
  </si>
  <si>
    <t>B727</t>
  </si>
  <si>
    <t>66,95</t>
  </si>
  <si>
    <t>B728</t>
  </si>
  <si>
    <t>67,95</t>
  </si>
  <si>
    <t>B729</t>
  </si>
  <si>
    <t>64,99</t>
  </si>
  <si>
    <t>B730</t>
  </si>
  <si>
    <t>61,94</t>
  </si>
  <si>
    <t>B731</t>
  </si>
  <si>
    <t>56,94</t>
  </si>
  <si>
    <t>B732</t>
  </si>
  <si>
    <t>57,94</t>
  </si>
  <si>
    <t>B733</t>
  </si>
  <si>
    <t>58,94</t>
  </si>
  <si>
    <t>B734</t>
  </si>
  <si>
    <t>59,94</t>
  </si>
  <si>
    <t>B735</t>
  </si>
  <si>
    <t>58,93</t>
  </si>
  <si>
    <t>B736</t>
  </si>
  <si>
    <t>58,89</t>
  </si>
  <si>
    <t>B737</t>
  </si>
  <si>
    <t>58,90</t>
  </si>
  <si>
    <t>B738</t>
  </si>
  <si>
    <t>58,91</t>
  </si>
  <si>
    <t>B739</t>
  </si>
  <si>
    <t>59,90</t>
  </si>
  <si>
    <t>B740</t>
  </si>
  <si>
    <t>60,90</t>
  </si>
  <si>
    <t>B741</t>
  </si>
  <si>
    <t>61,90</t>
  </si>
  <si>
    <t>B742</t>
  </si>
  <si>
    <t>60,88</t>
  </si>
  <si>
    <t>B743</t>
  </si>
  <si>
    <t>60,89</t>
  </si>
  <si>
    <t>B744</t>
  </si>
  <si>
    <t>70,84</t>
  </si>
  <si>
    <t>B745</t>
  </si>
  <si>
    <t>71,84</t>
  </si>
  <si>
    <t>B746</t>
  </si>
  <si>
    <t>72,84</t>
  </si>
  <si>
    <t>B747</t>
  </si>
  <si>
    <t>73,84</t>
  </si>
  <si>
    <t>B748</t>
  </si>
  <si>
    <t>74,84</t>
  </si>
  <si>
    <t>B749</t>
  </si>
  <si>
    <t>67,84</t>
  </si>
  <si>
    <t>B750</t>
  </si>
  <si>
    <t>68,84</t>
  </si>
  <si>
    <t>B751</t>
  </si>
  <si>
    <t>69,84</t>
  </si>
  <si>
    <t>B752</t>
  </si>
  <si>
    <t>67,85</t>
  </si>
  <si>
    <t>B753</t>
  </si>
  <si>
    <t>67,86</t>
  </si>
  <si>
    <t>B754</t>
  </si>
  <si>
    <t>53,94</t>
  </si>
  <si>
    <t>B755</t>
  </si>
  <si>
    <t>54,94</t>
  </si>
  <si>
    <t>B756</t>
  </si>
  <si>
    <t>55,94</t>
  </si>
  <si>
    <t>B757</t>
  </si>
  <si>
    <t>47,95</t>
  </si>
  <si>
    <t>B758</t>
  </si>
  <si>
    <t>48,95</t>
  </si>
  <si>
    <t>B759</t>
  </si>
  <si>
    <t>49,95</t>
  </si>
  <si>
    <t>B760</t>
  </si>
  <si>
    <t>50,95</t>
  </si>
  <si>
    <t>B761</t>
  </si>
  <si>
    <t>46,92</t>
  </si>
  <si>
    <t>B762</t>
  </si>
  <si>
    <t>48,92</t>
  </si>
  <si>
    <t>B763</t>
  </si>
  <si>
    <t>49,92</t>
  </si>
  <si>
    <t>B764</t>
  </si>
  <si>
    <t>49,87</t>
  </si>
  <si>
    <t>B765</t>
  </si>
  <si>
    <t>49,88</t>
  </si>
  <si>
    <t>B766</t>
  </si>
  <si>
    <t>49,89</t>
  </si>
  <si>
    <t>B767</t>
  </si>
  <si>
    <t>49,90</t>
  </si>
  <si>
    <t>B768</t>
  </si>
  <si>
    <t>49,91</t>
  </si>
  <si>
    <t>B769</t>
  </si>
  <si>
    <t>50,89</t>
  </si>
  <si>
    <t>B770</t>
  </si>
  <si>
    <t>38,92</t>
  </si>
  <si>
    <t>B771</t>
  </si>
  <si>
    <t>39,92</t>
  </si>
  <si>
    <t>B772</t>
  </si>
  <si>
    <t>40,92</t>
  </si>
  <si>
    <t>B773</t>
  </si>
  <si>
    <t>41,92</t>
  </si>
  <si>
    <t>B774</t>
  </si>
  <si>
    <t>38,93</t>
  </si>
  <si>
    <t>B775</t>
  </si>
  <si>
    <t>38,94</t>
  </si>
  <si>
    <t>B776</t>
  </si>
  <si>
    <t>34,92</t>
  </si>
  <si>
    <t>B777</t>
  </si>
  <si>
    <t>33,97</t>
  </si>
  <si>
    <t>B778</t>
  </si>
  <si>
    <t>28,95</t>
  </si>
  <si>
    <t>B779</t>
  </si>
  <si>
    <t>29,95</t>
  </si>
  <si>
    <t>B780</t>
  </si>
  <si>
    <t>30,95</t>
  </si>
  <si>
    <t>B781</t>
  </si>
  <si>
    <t>31,95</t>
  </si>
  <si>
    <t>B782</t>
  </si>
  <si>
    <t>32,95</t>
  </si>
  <si>
    <t>B783</t>
  </si>
  <si>
    <t>28,96</t>
  </si>
  <si>
    <t>B784</t>
  </si>
  <si>
    <t>71,54</t>
  </si>
  <si>
    <t>B785</t>
  </si>
  <si>
    <t>72,54</t>
  </si>
  <si>
    <t>B786</t>
  </si>
  <si>
    <t>73,54</t>
  </si>
  <si>
    <t>B787</t>
  </si>
  <si>
    <t>74,54</t>
  </si>
  <si>
    <t>B788</t>
  </si>
  <si>
    <t>75,54</t>
  </si>
  <si>
    <t>B789</t>
  </si>
  <si>
    <t>76,54</t>
  </si>
  <si>
    <t>B790</t>
  </si>
  <si>
    <t>77,54</t>
  </si>
  <si>
    <t>B791</t>
  </si>
  <si>
    <t>78,54</t>
  </si>
  <si>
    <t>B792</t>
  </si>
  <si>
    <t>79,54</t>
  </si>
  <si>
    <t>B793</t>
  </si>
  <si>
    <t>79,55</t>
  </si>
  <si>
    <t>B794</t>
  </si>
  <si>
    <t>79,52</t>
  </si>
  <si>
    <t>B795</t>
  </si>
  <si>
    <t>80,52</t>
  </si>
  <si>
    <t>B796</t>
  </si>
  <si>
    <t>81,52</t>
  </si>
  <si>
    <t>B797</t>
  </si>
  <si>
    <t>81,51</t>
  </si>
  <si>
    <t>B798</t>
  </si>
  <si>
    <t>79,53</t>
  </si>
  <si>
    <t>B799</t>
  </si>
  <si>
    <t>63,42</t>
  </si>
  <si>
    <t>B800</t>
  </si>
  <si>
    <t>63,43</t>
  </si>
  <si>
    <t>B801</t>
  </si>
  <si>
    <t>63,44</t>
  </si>
  <si>
    <t>B802</t>
  </si>
  <si>
    <t>63,45</t>
  </si>
  <si>
    <t>B803</t>
  </si>
  <si>
    <t>63,29</t>
  </si>
  <si>
    <t>B804</t>
  </si>
  <si>
    <t>63,30</t>
  </si>
  <si>
    <t>B805</t>
  </si>
  <si>
    <t>63,31</t>
  </si>
  <si>
    <t>B806</t>
  </si>
  <si>
    <t>63,32</t>
  </si>
  <si>
    <t>B807</t>
  </si>
  <si>
    <t>63,33</t>
  </si>
  <si>
    <t>B808</t>
  </si>
  <si>
    <t>63,34</t>
  </si>
  <si>
    <t>B809</t>
  </si>
  <si>
    <t>63,35</t>
  </si>
  <si>
    <t>B810</t>
  </si>
  <si>
    <t>63,36</t>
  </si>
  <si>
    <t>B811</t>
  </si>
  <si>
    <t>63,37</t>
  </si>
  <si>
    <t>B812</t>
  </si>
  <si>
    <t>63,22</t>
  </si>
  <si>
    <t>B813</t>
  </si>
  <si>
    <t>63,23</t>
  </si>
  <si>
    <t>B814</t>
  </si>
  <si>
    <t>63,24</t>
  </si>
  <si>
    <t>B815</t>
  </si>
  <si>
    <t>63,25</t>
  </si>
  <si>
    <t>B816</t>
  </si>
  <si>
    <t>63,26</t>
  </si>
  <si>
    <t>B817</t>
  </si>
  <si>
    <t>63,28</t>
  </si>
  <si>
    <t>B818</t>
  </si>
  <si>
    <t>63,16</t>
  </si>
  <si>
    <t>B819</t>
  </si>
  <si>
    <t>63,17</t>
  </si>
  <si>
    <t>B820</t>
  </si>
  <si>
    <t>63,18</t>
  </si>
  <si>
    <t>B821</t>
  </si>
  <si>
    <t>63,19</t>
  </si>
  <si>
    <t>B822</t>
  </si>
  <si>
    <t>63,20</t>
  </si>
  <si>
    <t>B823</t>
  </si>
  <si>
    <t>63,21</t>
  </si>
  <si>
    <t>B824</t>
  </si>
  <si>
    <t>57,20</t>
  </si>
  <si>
    <t>B825</t>
  </si>
  <si>
    <t>58,20</t>
  </si>
  <si>
    <t>B826</t>
  </si>
  <si>
    <t>59,20</t>
  </si>
  <si>
    <t>B827</t>
  </si>
  <si>
    <t>60,20</t>
  </si>
  <si>
    <t>B828</t>
  </si>
  <si>
    <t>61,20</t>
  </si>
  <si>
    <t>B829</t>
  </si>
  <si>
    <t>62,20</t>
  </si>
  <si>
    <t>B830</t>
  </si>
  <si>
    <t>56,20</t>
  </si>
  <si>
    <t>B831</t>
  </si>
  <si>
    <t>46,23</t>
  </si>
  <si>
    <t>B832</t>
  </si>
  <si>
    <t>46,24</t>
  </si>
  <si>
    <t>B833</t>
  </si>
  <si>
    <t>46,25</t>
  </si>
  <si>
    <t>B834</t>
  </si>
  <si>
    <t>46,27</t>
  </si>
  <si>
    <t>B835</t>
  </si>
  <si>
    <t>46,28</t>
  </si>
  <si>
    <t>B836</t>
  </si>
  <si>
    <t>46,29</t>
  </si>
  <si>
    <t>B837</t>
  </si>
  <si>
    <t>46,30</t>
  </si>
  <si>
    <t>B838</t>
  </si>
  <si>
    <t>47,25</t>
  </si>
  <si>
    <t>B839</t>
  </si>
  <si>
    <t>46,18</t>
  </si>
  <si>
    <t>B840</t>
  </si>
  <si>
    <t>46,19</t>
  </si>
  <si>
    <t>B841</t>
  </si>
  <si>
    <t>46,20</t>
  </si>
  <si>
    <t>B842</t>
  </si>
  <si>
    <t>47,18</t>
  </si>
  <si>
    <t>B843</t>
  </si>
  <si>
    <t>41,21</t>
  </si>
  <si>
    <t>B844</t>
  </si>
  <si>
    <t>42,21</t>
  </si>
  <si>
    <t>B845</t>
  </si>
  <si>
    <t>43,21</t>
  </si>
  <si>
    <t>B846</t>
  </si>
  <si>
    <t>44,21</t>
  </si>
  <si>
    <t>B847</t>
  </si>
  <si>
    <t>45,21</t>
  </si>
  <si>
    <t>B848</t>
  </si>
  <si>
    <t>36,21</t>
  </si>
  <si>
    <t>B849</t>
  </si>
  <si>
    <t>37,21</t>
  </si>
  <si>
    <t>B850</t>
  </si>
  <si>
    <t>38,21</t>
  </si>
  <si>
    <t>B851</t>
  </si>
  <si>
    <t>39,21</t>
  </si>
  <si>
    <t>B852</t>
  </si>
  <si>
    <t>36,20</t>
  </si>
  <si>
    <t>B853</t>
  </si>
  <si>
    <t>35,21</t>
  </si>
  <si>
    <t>B854</t>
  </si>
  <si>
    <t>35,22</t>
  </si>
  <si>
    <t>B855</t>
  </si>
  <si>
    <t>35,23</t>
  </si>
  <si>
    <t>B856</t>
  </si>
  <si>
    <t>35,27</t>
  </si>
  <si>
    <t>B857</t>
  </si>
  <si>
    <t>36,27</t>
  </si>
  <si>
    <t>B858</t>
  </si>
  <si>
    <t>29,22</t>
  </si>
  <si>
    <t>B859</t>
  </si>
  <si>
    <t>30,22</t>
  </si>
  <si>
    <t>B860</t>
  </si>
  <si>
    <t>31,22</t>
  </si>
  <si>
    <t>B861</t>
  </si>
  <si>
    <t>32,22</t>
  </si>
  <si>
    <t>B862</t>
  </si>
  <si>
    <t>33,22</t>
  </si>
  <si>
    <t>B863</t>
  </si>
  <si>
    <t>34,22</t>
  </si>
  <si>
    <t>B864</t>
  </si>
  <si>
    <t>25,32</t>
  </si>
  <si>
    <t>B865</t>
  </si>
  <si>
    <t>25,33</t>
  </si>
  <si>
    <t>B866</t>
  </si>
  <si>
    <t>25,34</t>
  </si>
  <si>
    <t>B867</t>
  </si>
  <si>
    <t>25,35</t>
  </si>
  <si>
    <t>B868</t>
  </si>
  <si>
    <t>25,36</t>
  </si>
  <si>
    <t>B869</t>
  </si>
  <si>
    <t>25,37</t>
  </si>
  <si>
    <t>B870</t>
  </si>
  <si>
    <t>26,32</t>
  </si>
  <si>
    <t>B871</t>
  </si>
  <si>
    <t>27,30</t>
  </si>
  <si>
    <t>B872</t>
  </si>
  <si>
    <t>27,31</t>
  </si>
  <si>
    <t>B873</t>
  </si>
  <si>
    <t>21,37</t>
  </si>
  <si>
    <t>B874</t>
  </si>
  <si>
    <t>22,37</t>
  </si>
  <si>
    <t>B875</t>
  </si>
  <si>
    <t>23,37</t>
  </si>
  <si>
    <t>B876</t>
  </si>
  <si>
    <t>24,37</t>
  </si>
  <si>
    <t>B877</t>
  </si>
  <si>
    <t>17,36</t>
  </si>
  <si>
    <t>B878</t>
  </si>
  <si>
    <t>14,36</t>
  </si>
  <si>
    <t>B879</t>
  </si>
  <si>
    <t>14,37</t>
  </si>
  <si>
    <t>B880</t>
  </si>
  <si>
    <t>14,38</t>
  </si>
  <si>
    <t>B881</t>
  </si>
  <si>
    <t>14,39</t>
  </si>
  <si>
    <t>B882</t>
  </si>
  <si>
    <t>14,40</t>
  </si>
  <si>
    <t>B883</t>
  </si>
  <si>
    <t>14,41</t>
  </si>
  <si>
    <t>B884</t>
  </si>
  <si>
    <t>9,41</t>
  </si>
  <si>
    <t>B885</t>
  </si>
  <si>
    <t>10,41</t>
  </si>
  <si>
    <t>B886</t>
  </si>
  <si>
    <t>11,41</t>
  </si>
  <si>
    <t>B887</t>
  </si>
  <si>
    <t>12,41</t>
  </si>
  <si>
    <t>B888</t>
  </si>
  <si>
    <t>13,41</t>
  </si>
  <si>
    <t>B889</t>
  </si>
  <si>
    <t>12,38</t>
  </si>
  <si>
    <t>B890</t>
  </si>
  <si>
    <t>13,38</t>
  </si>
  <si>
    <t>B891</t>
  </si>
  <si>
    <t>11,42</t>
  </si>
  <si>
    <t>B892</t>
  </si>
  <si>
    <t>11,44</t>
  </si>
  <si>
    <t>B893</t>
  </si>
  <si>
    <t>11,45</t>
  </si>
  <si>
    <t>B894</t>
  </si>
  <si>
    <t>11,46</t>
  </si>
  <si>
    <t>B895</t>
  </si>
  <si>
    <t>8,46</t>
  </si>
  <si>
    <t>B896</t>
  </si>
  <si>
    <t>9,46</t>
  </si>
  <si>
    <t>B897</t>
  </si>
  <si>
    <t>10,46</t>
  </si>
  <si>
    <t>B898</t>
  </si>
  <si>
    <t>5,47</t>
  </si>
  <si>
    <t>B899</t>
  </si>
  <si>
    <t>5,48</t>
  </si>
  <si>
    <t>B900</t>
  </si>
  <si>
    <t>6,51</t>
  </si>
  <si>
    <t>B901</t>
  </si>
  <si>
    <t>7,51</t>
  </si>
  <si>
    <t>B902</t>
  </si>
  <si>
    <t>8,51</t>
  </si>
  <si>
    <t>B903</t>
  </si>
  <si>
    <t>9,51</t>
  </si>
  <si>
    <t>B904</t>
  </si>
  <si>
    <t>2,38</t>
  </si>
  <si>
    <t>B905</t>
  </si>
  <si>
    <t>2,39</t>
  </si>
  <si>
    <t>B906</t>
  </si>
  <si>
    <t>2,40</t>
  </si>
  <si>
    <t>B907</t>
  </si>
  <si>
    <t>3,38</t>
  </si>
  <si>
    <t>B908</t>
  </si>
  <si>
    <t>4,38</t>
  </si>
  <si>
    <t>B909</t>
  </si>
  <si>
    <t>5,38</t>
  </si>
  <si>
    <t>B910</t>
  </si>
  <si>
    <t>6,38</t>
  </si>
  <si>
    <t>B911</t>
  </si>
  <si>
    <t>7,35</t>
  </si>
  <si>
    <t>B912</t>
  </si>
  <si>
    <t>8,35</t>
  </si>
  <si>
    <t>B913</t>
  </si>
  <si>
    <t>9,35</t>
  </si>
  <si>
    <t>B914</t>
  </si>
  <si>
    <t>10,35</t>
  </si>
  <si>
    <t>B915</t>
  </si>
  <si>
    <t>11,35</t>
  </si>
  <si>
    <t>B916</t>
  </si>
  <si>
    <t>12,35</t>
  </si>
  <si>
    <t>B917</t>
  </si>
  <si>
    <t>13,35</t>
  </si>
  <si>
    <t>B918</t>
  </si>
  <si>
    <t>7,34</t>
  </si>
  <si>
    <t>B919</t>
  </si>
  <si>
    <t>7,30</t>
  </si>
  <si>
    <t>B920</t>
  </si>
  <si>
    <t>7,31</t>
  </si>
  <si>
    <t>B921</t>
  </si>
  <si>
    <t>7,25</t>
  </si>
  <si>
    <t>B922</t>
  </si>
  <si>
    <t>7,26</t>
  </si>
  <si>
    <t>B923</t>
  </si>
  <si>
    <t>7,27</t>
  </si>
  <si>
    <t>B924</t>
  </si>
  <si>
    <t>7,22</t>
  </si>
  <si>
    <t>B925</t>
  </si>
  <si>
    <t>7,23</t>
  </si>
  <si>
    <t>B926</t>
  </si>
  <si>
    <t>3,22</t>
  </si>
  <si>
    <t>B927</t>
  </si>
  <si>
    <t>5,22</t>
  </si>
  <si>
    <t>B928</t>
  </si>
  <si>
    <t>6,22</t>
  </si>
  <si>
    <t>B929</t>
  </si>
  <si>
    <t>24,16</t>
  </si>
  <si>
    <t>B930</t>
  </si>
  <si>
    <t>24,17</t>
  </si>
  <si>
    <t>B931</t>
  </si>
  <si>
    <t>24,18</t>
  </si>
  <si>
    <t>B932</t>
  </si>
  <si>
    <t>24,19</t>
  </si>
  <si>
    <t>B933</t>
  </si>
  <si>
    <t>24,20</t>
  </si>
  <si>
    <t>B934</t>
  </si>
  <si>
    <t>24,21</t>
  </si>
  <si>
    <t>B935</t>
  </si>
  <si>
    <t>24,22</t>
  </si>
  <si>
    <t>B936</t>
  </si>
  <si>
    <t>21,17</t>
  </si>
  <si>
    <t>B937</t>
  </si>
  <si>
    <t>22,17</t>
  </si>
  <si>
    <t>B938</t>
  </si>
  <si>
    <t>23,17</t>
  </si>
  <si>
    <t>B939</t>
  </si>
  <si>
    <t>20,16</t>
  </si>
  <si>
    <t>B940</t>
  </si>
  <si>
    <t>14,17</t>
  </si>
  <si>
    <t>B941</t>
  </si>
  <si>
    <t>15,17</t>
  </si>
  <si>
    <t>B942</t>
  </si>
  <si>
    <t>16,17</t>
  </si>
  <si>
    <t>B943</t>
  </si>
  <si>
    <t>17,17</t>
  </si>
  <si>
    <t>B944</t>
  </si>
  <si>
    <t>24,11</t>
  </si>
  <si>
    <t>B945</t>
  </si>
  <si>
    <t>24,12</t>
  </si>
  <si>
    <t>B946</t>
  </si>
  <si>
    <t>24,13</t>
  </si>
  <si>
    <t>B947</t>
  </si>
  <si>
    <t>21,11</t>
  </si>
  <si>
    <t>B948</t>
  </si>
  <si>
    <t>22,11</t>
  </si>
  <si>
    <t>B949</t>
  </si>
  <si>
    <t>23,11</t>
  </si>
  <si>
    <t>B950</t>
  </si>
  <si>
    <t>23,8</t>
  </si>
  <si>
    <t>B951</t>
  </si>
  <si>
    <t>23,9</t>
  </si>
  <si>
    <t>B952</t>
  </si>
  <si>
    <t>23,10</t>
  </si>
  <si>
    <t>B953</t>
  </si>
  <si>
    <t>20,6</t>
  </si>
  <si>
    <t>B954</t>
  </si>
  <si>
    <t>21,6</t>
  </si>
  <si>
    <t>B955</t>
  </si>
  <si>
    <t>22,6</t>
  </si>
  <si>
    <t>B956</t>
  </si>
  <si>
    <t>20,4</t>
  </si>
  <si>
    <t>B957</t>
  </si>
  <si>
    <t>20,5</t>
  </si>
  <si>
    <t>B958</t>
  </si>
  <si>
    <t>16,3</t>
  </si>
  <si>
    <t>B959</t>
  </si>
  <si>
    <t>24,6</t>
  </si>
  <si>
    <t>B960</t>
  </si>
  <si>
    <t>25,6</t>
  </si>
  <si>
    <t>B961</t>
  </si>
  <si>
    <t>26,6</t>
  </si>
  <si>
    <t>B962</t>
  </si>
  <si>
    <t>27,6</t>
  </si>
  <si>
    <t>B963</t>
  </si>
  <si>
    <t>28,6</t>
  </si>
  <si>
    <t>B964</t>
  </si>
  <si>
    <t>28,1</t>
  </si>
  <si>
    <t>B965</t>
  </si>
  <si>
    <t>28,2</t>
  </si>
  <si>
    <t>B966</t>
  </si>
  <si>
    <t>28,3</t>
  </si>
  <si>
    <t>B967</t>
  </si>
  <si>
    <t>28,4</t>
  </si>
  <si>
    <t>B968</t>
  </si>
  <si>
    <t>29,3</t>
  </si>
  <si>
    <t>B969</t>
  </si>
  <si>
    <t>30,3</t>
  </si>
  <si>
    <t>B970</t>
  </si>
  <si>
    <t>31,3</t>
  </si>
  <si>
    <t>B971</t>
  </si>
  <si>
    <t>32,4</t>
  </si>
  <si>
    <t>B972</t>
  </si>
  <si>
    <t>32,9</t>
  </si>
  <si>
    <t>B973</t>
  </si>
  <si>
    <t>33,9</t>
  </si>
  <si>
    <t>B974</t>
  </si>
  <si>
    <t>33,7</t>
  </si>
  <si>
    <t>B975</t>
  </si>
  <si>
    <t>35,7</t>
  </si>
  <si>
    <t>B976</t>
  </si>
  <si>
    <t>46,5</t>
  </si>
  <si>
    <t>B977</t>
  </si>
  <si>
    <t>46,6</t>
  </si>
  <si>
    <t>B978</t>
  </si>
  <si>
    <t>46,7</t>
  </si>
  <si>
    <t>B979</t>
  </si>
  <si>
    <t>46,8</t>
  </si>
  <si>
    <t>B980</t>
  </si>
  <si>
    <t>46,9</t>
  </si>
  <si>
    <t>B981</t>
  </si>
  <si>
    <t>46,10</t>
  </si>
  <si>
    <t>B982</t>
  </si>
  <si>
    <t>46,11</t>
  </si>
  <si>
    <t>B983</t>
  </si>
  <si>
    <t>46,12</t>
  </si>
  <si>
    <t>B984</t>
  </si>
  <si>
    <t>46,13</t>
  </si>
  <si>
    <t>B985</t>
  </si>
  <si>
    <t>46,14</t>
  </si>
  <si>
    <t>B986</t>
  </si>
  <si>
    <t>46,15</t>
  </si>
  <si>
    <t>B987</t>
  </si>
  <si>
    <t>46,16</t>
  </si>
  <si>
    <t>B988</t>
  </si>
  <si>
    <t>46,17</t>
  </si>
  <si>
    <t>B989</t>
  </si>
  <si>
    <t>41,10</t>
  </si>
  <si>
    <t>B990</t>
  </si>
  <si>
    <t>42,10</t>
  </si>
  <si>
    <t>B991</t>
  </si>
  <si>
    <t>43,10</t>
  </si>
  <si>
    <t>B992</t>
  </si>
  <si>
    <t>44,10</t>
  </si>
  <si>
    <t>B993</t>
  </si>
  <si>
    <t>45,10</t>
  </si>
  <si>
    <t>B994</t>
  </si>
  <si>
    <t>45,5</t>
  </si>
  <si>
    <t>B995</t>
  </si>
  <si>
    <t>47,11</t>
  </si>
  <si>
    <t>B996</t>
  </si>
  <si>
    <t>48,11</t>
  </si>
  <si>
    <t>B997</t>
  </si>
  <si>
    <t>49,11</t>
  </si>
  <si>
    <t>B998</t>
  </si>
  <si>
    <t>50,11</t>
  </si>
  <si>
    <t>B999</t>
  </si>
  <si>
    <t>50,9</t>
  </si>
  <si>
    <t>회원번호</t>
  </si>
  <si>
    <t>음식점</t>
  </si>
  <si>
    <t>음식이름</t>
  </si>
  <si>
    <t>개수</t>
  </si>
  <si>
    <t>구매날짜</t>
  </si>
  <si>
    <t>배달료</t>
  </si>
  <si>
    <t>가격 (원가)</t>
  </si>
  <si>
    <t>우동,모둠회,콜라</t>
  </si>
  <si>
    <t>3,2,3</t>
  </si>
  <si>
    <t>간짜장,짬뽕,양장피,짜장면,볶음밥</t>
  </si>
  <si>
    <t>2,3,1,3,1</t>
  </si>
  <si>
    <t>커틀렛,알리오 올리오,에이드,토마토 파스타,사이다</t>
  </si>
  <si>
    <t>2,2,2,2,3</t>
  </si>
  <si>
    <t>스테이크,참치파스타,토마토 파스타</t>
  </si>
  <si>
    <t>2,1,1</t>
  </si>
  <si>
    <t>비빔밥,잡채,족발,된장찌개</t>
  </si>
  <si>
    <t>2,2,3,1</t>
  </si>
  <si>
    <t>토마호크 스테이크,양송이 스프</t>
  </si>
  <si>
    <t>2,3</t>
  </si>
  <si>
    <t>차슈덮밥,모둠회</t>
  </si>
  <si>
    <t>3,1</t>
  </si>
  <si>
    <t>낫토,모둠회</t>
  </si>
  <si>
    <t>낫토,초밥</t>
  </si>
  <si>
    <t>짜장면,콜라,간짜장,짬뽕</t>
  </si>
  <si>
    <t>4,1,3,3</t>
  </si>
  <si>
    <t>잡채,갈비탕</t>
  </si>
  <si>
    <t>1,2</t>
  </si>
  <si>
    <t>차슈덮밥,새우튀김,초밥,우동,모둠회</t>
  </si>
  <si>
    <t>2,2,3,2,1</t>
  </si>
  <si>
    <t>모둠회,우동,새우튀김</t>
  </si>
  <si>
    <t>1,3,1</t>
  </si>
  <si>
    <t>모둠회,돈코츠 라멘,초밥,유부국,낫토</t>
  </si>
  <si>
    <t>2,2,1,2,2</t>
  </si>
  <si>
    <t>갈비탕,불고기 덮밥,돼지갈비,잡채,족발</t>
  </si>
  <si>
    <t>2,1,1,2,1</t>
  </si>
  <si>
    <t>족발,돼지갈비,갈비탕,잡채,김치찌개</t>
  </si>
  <si>
    <t>2,3,1,2,2</t>
  </si>
  <si>
    <t>탕수육,유린기,양장피,마라탕</t>
  </si>
  <si>
    <t>3,3,2,2</t>
  </si>
  <si>
    <t>고추튀김,순대,김말이,어묵</t>
  </si>
  <si>
    <t>3,3,2,1</t>
  </si>
  <si>
    <t>짬뽕,짜장면,볶음밥</t>
  </si>
  <si>
    <t>3,2,2</t>
  </si>
  <si>
    <t>비빔밥,된장찌개,제육볶음,잡채,김치찜</t>
  </si>
  <si>
    <t>3,1,3,3,2</t>
  </si>
  <si>
    <t>군만두,마라탕,탕수육</t>
  </si>
  <si>
    <t>3,1,1</t>
  </si>
  <si>
    <t>라면,떡볶이,어묵,김밥</t>
  </si>
  <si>
    <t>2,1,1,2</t>
  </si>
  <si>
    <t>쉬림프피자,고르곤졸라피자,스테이크피자,고구마피자,치즈피자</t>
  </si>
  <si>
    <t>2,3,3,1,3</t>
  </si>
  <si>
    <t>탕수육,유린기,간짜장,짜장면,양장피</t>
  </si>
  <si>
    <t>3,3,2,2,2</t>
  </si>
  <si>
    <t>짬뽕,유린기,간짜장,짜장면</t>
  </si>
  <si>
    <t>3,1,2,1</t>
  </si>
  <si>
    <t>모둠회,알밥,돈코츠 라멘</t>
  </si>
  <si>
    <t>우동,차슈덮밥,돈코츠 라멘,낫토,모둠회</t>
  </si>
  <si>
    <t>3,2,3,2,2</t>
  </si>
  <si>
    <t>돈코츠 라멘,차슈덮밥,모둠회</t>
  </si>
  <si>
    <t>1,1,2</t>
  </si>
  <si>
    <t>티본 스테이크,치킨 텐더 샐러드,오지치즈후라이,토마호크 스테이크,서로인 스테이크</t>
  </si>
  <si>
    <t>1,3,3,2,2</t>
  </si>
  <si>
    <t>낫토,새우튀김,돈코츠 라멘,초밥</t>
  </si>
  <si>
    <t>2,2,3,2</t>
  </si>
  <si>
    <t>우동,낫토,돈코츠 라멘,알밥</t>
  </si>
  <si>
    <t>2,3,1,4</t>
  </si>
  <si>
    <t>낫토,초밥,돈코츠 라멘</t>
  </si>
  <si>
    <t>베이글,초코 아이스크림</t>
  </si>
  <si>
    <t>토마토 파스타,오믈렛,스테이크</t>
  </si>
  <si>
    <t>2,2,1</t>
  </si>
  <si>
    <t>양장피,볶음밥,짜장면,유린기,간짜장</t>
  </si>
  <si>
    <t>2,3,3,3,2</t>
  </si>
  <si>
    <t>된장찌개,김치찌개,족발,김치찜</t>
  </si>
  <si>
    <t>3,1,3,2</t>
  </si>
  <si>
    <t>유린기,마라탕,간짜장,짜장면,볶음밥</t>
  </si>
  <si>
    <t>1,2,2,2,3</t>
  </si>
  <si>
    <t>낫토,알밥,유부국</t>
  </si>
  <si>
    <t>낫토,우동,초밥,모둠회,차슈덮밥</t>
  </si>
  <si>
    <t>2,3,1,2,1</t>
  </si>
  <si>
    <t>티라미수,바닐라 아이스크림,아포가토</t>
  </si>
  <si>
    <t>1,3,2</t>
  </si>
  <si>
    <t>카라멜 마끼아또,마카롱,초코 아이스크림,바닐라 아이스크림,티라미수</t>
  </si>
  <si>
    <t>1,2,3,3,2</t>
  </si>
  <si>
    <t>모둠회,유부국,알밥</t>
  </si>
  <si>
    <t>3,3,3</t>
  </si>
  <si>
    <t>마늘치킨,간장치킨</t>
  </si>
  <si>
    <t>1,3</t>
  </si>
  <si>
    <t>초코 아이스크림,베이글,아포가토,딸기 스무디,티라미수</t>
  </si>
  <si>
    <t>2,3,1,2,3</t>
  </si>
  <si>
    <t>볶음밥,탕수육,군만두</t>
  </si>
  <si>
    <t>2,2,2</t>
  </si>
  <si>
    <t>콜라,까르보나라,커틀렛,에이드</t>
  </si>
  <si>
    <t>2,3,1,1</t>
  </si>
  <si>
    <t>토마토 파스타,사이다</t>
  </si>
  <si>
    <t>된장찌개,불고기 덮밥</t>
  </si>
  <si>
    <t>2,2</t>
  </si>
  <si>
    <t>알밥,우동,차슈덮밥</t>
  </si>
  <si>
    <t>3,1,3</t>
  </si>
  <si>
    <t>초밥,낫토,우동,알밥,콜라</t>
  </si>
  <si>
    <t>1,1,3,2,3</t>
  </si>
  <si>
    <t>우동,모둠회,새우튀김,돈코츠 라멘,초밥</t>
  </si>
  <si>
    <t>1,3,3,2,1</t>
  </si>
  <si>
    <t>제육볶음,족발,김치찜,비빔밥,김치찌개</t>
  </si>
  <si>
    <t>3,1,3,2,3</t>
  </si>
  <si>
    <t>서로인 스테이크,티본 스테이크,양송이 스프</t>
  </si>
  <si>
    <t>1,2,1</t>
  </si>
  <si>
    <t>짬뽕,짜장면,유린기,군만두,양장피</t>
  </si>
  <si>
    <t>1,3,2,1,3</t>
  </si>
  <si>
    <t>간짜장,마라탕,양장피,짜장면,짬뽕</t>
  </si>
  <si>
    <t>2,2,3,3,1</t>
  </si>
  <si>
    <t>유부국,돈코츠 라멘,우동,낫토</t>
  </si>
  <si>
    <t>2,2,2,1</t>
  </si>
  <si>
    <t>짬뽕,양장피,볶음밥,유린기</t>
  </si>
  <si>
    <t>2,2,1,2</t>
  </si>
  <si>
    <t>바닐라 아이스크림,티라미수,아메리카노,카라멜 마끼아또,베이글</t>
  </si>
  <si>
    <t>3,1,1,1,1</t>
  </si>
  <si>
    <t>잡채,된장찌개,갈비탕,제육볶음,김치찜</t>
  </si>
  <si>
    <t>2,3,1,1,2</t>
  </si>
  <si>
    <t>파채치킨,마늘치킨,양념치킨</t>
  </si>
  <si>
    <t>낫토,초밥,우동</t>
  </si>
  <si>
    <t>탕수육,짜장면,군만두,짬뽕,간짜장</t>
  </si>
  <si>
    <t>2,1,1,1,1</t>
  </si>
  <si>
    <t>알밥,초밥</t>
  </si>
  <si>
    <t>모둠전,갈비탕,잡채</t>
  </si>
  <si>
    <t>볶음밥,군만두,간짜장,짜장면</t>
  </si>
  <si>
    <t>1,2,2,3</t>
  </si>
  <si>
    <t>갈비탕,돼지갈비,비빔밥,잡채,모둠전</t>
  </si>
  <si>
    <t>유린기,간짜장,탕수육</t>
  </si>
  <si>
    <t>2,3,3</t>
  </si>
  <si>
    <t>김치찜,비빔밥,모둠전,돼지갈비</t>
  </si>
  <si>
    <t>2,1,1,3</t>
  </si>
  <si>
    <t>콜라,낫토,돈코츠 라멘,차슈덮밥</t>
  </si>
  <si>
    <t>3,3,1,3</t>
  </si>
  <si>
    <t>아메리카노,카라멜 마끼아또,바닐라 아이스크림,마카롱,티라미수</t>
  </si>
  <si>
    <t>1,3,3,3,2</t>
  </si>
  <si>
    <t>낫토,초밥,모둠회,새우튀김</t>
  </si>
  <si>
    <t>1,1,1,3</t>
  </si>
  <si>
    <t>제육볶음,김치찜,김치찌개,돼지갈비</t>
  </si>
  <si>
    <t>2,1,1,1</t>
  </si>
  <si>
    <t>카레치킨,마늘치킨,양념치킨</t>
  </si>
  <si>
    <t>투움바 파스타,샐러드,사이다,배이비백립,양송이 스프</t>
  </si>
  <si>
    <t>2,2,1,1,3</t>
  </si>
  <si>
    <t>탕수육,양장피,마라탕,짬뽕,간짜장</t>
  </si>
  <si>
    <t>2,3,1,3,3</t>
  </si>
  <si>
    <t>샐러드,티본 스테이크,오지치즈후라이</t>
  </si>
  <si>
    <t>후라이드 치킨,파채치킨</t>
  </si>
  <si>
    <t>순대,라면,어묵</t>
  </si>
  <si>
    <t>3,2,1</t>
  </si>
  <si>
    <t>돈코츠 라멘,초밥,낫토,유부국</t>
  </si>
  <si>
    <t>2,3,3,1</t>
  </si>
  <si>
    <t>제육볶음,족발,불고기 덮밥,된장찌개,비빔밥</t>
  </si>
  <si>
    <t>3,3,1,3,2</t>
  </si>
  <si>
    <t>초밥,알밥,모둠회,유부국</t>
  </si>
  <si>
    <t>1,2,2,2</t>
  </si>
  <si>
    <t>순대,오징어튀김,라면,김말이</t>
  </si>
  <si>
    <t>스테이크,오믈렛,리조또,참치파스타,에이드</t>
  </si>
  <si>
    <t>3,3,1,2,1</t>
  </si>
  <si>
    <t>잡채,김치찌개,보쌈,돼지갈비,모둠전</t>
  </si>
  <si>
    <t>1,2,3,3,3</t>
  </si>
  <si>
    <t>김치찜,불고기 덮밥,모둠전,갈비탕,제육볶음</t>
  </si>
  <si>
    <t>1,2,3,2,1</t>
  </si>
  <si>
    <t>유부국,우동,초밥,차슈덮밥</t>
  </si>
  <si>
    <t>알밥,낫토,우동,차슈덮밥</t>
  </si>
  <si>
    <t>모둠회,우동,차슈덮밥,알밥</t>
  </si>
  <si>
    <t>2,1,2,3</t>
  </si>
  <si>
    <t>투움바 파스타,토마호크 스테이크,서로인 스테이크</t>
  </si>
  <si>
    <t>1,2,2</t>
  </si>
  <si>
    <t>바닐라 아이스크림,티라미수,베이글,카라멜 마끼아또,아메리카노</t>
  </si>
  <si>
    <t>1,3,1,2,1</t>
  </si>
  <si>
    <t>아메리카노,초코 아이스크림,티라미수,마카롱</t>
  </si>
  <si>
    <t>3,1,1,1</t>
  </si>
  <si>
    <t>차슈덮밥,모둠회,유부국</t>
  </si>
  <si>
    <t>1,2,3</t>
  </si>
  <si>
    <t>구운치킨,간장치킨,카레치킨,후라이드 치킨,파채치킨</t>
  </si>
  <si>
    <t>2,1,3,3,1</t>
  </si>
  <si>
    <t>모둠회,차슈덮밥,우동</t>
  </si>
  <si>
    <t>낫토,모둠회,우동,초밥</t>
  </si>
  <si>
    <t>1,2,3,3</t>
  </si>
  <si>
    <t>알리오 올리오,스테이크,사이다</t>
  </si>
  <si>
    <t>김말이,떡볶이,순대,오징어튀김</t>
  </si>
  <si>
    <t>3,1,3,3</t>
  </si>
  <si>
    <t>낫토,유부국,우동,새우튀김</t>
  </si>
  <si>
    <t>3,2,2,1</t>
  </si>
  <si>
    <t>된장찌개,김치찜</t>
  </si>
  <si>
    <t>돈코츠 라멘,차슈덮밥,유부국,모둠회,초밥</t>
  </si>
  <si>
    <t>1,1,1,3,2</t>
  </si>
  <si>
    <t>모둠회,낫토,유부국</t>
  </si>
  <si>
    <t>불고기 덮밥,김치찌개,보쌈,잡채,족발</t>
  </si>
  <si>
    <t>2,1,2,3,3</t>
  </si>
  <si>
    <t>부시맨 브레드,샐러드,오지치즈후라이,티본 스테이크,치킨 텐더 샐러드</t>
  </si>
  <si>
    <t>3,2,3,2,1</t>
  </si>
  <si>
    <t>유부국,모둠회</t>
  </si>
  <si>
    <t>3,3</t>
  </si>
  <si>
    <t>돈코츠 라멘,알밥,모둠회,초밥,차슈덮밥</t>
  </si>
  <si>
    <t>보쌈,김치찌개</t>
  </si>
  <si>
    <t>양장피,간짜장,짜장면,군만두</t>
  </si>
  <si>
    <t>2,3,2,3</t>
  </si>
  <si>
    <t>낫토,유부국,초밥</t>
  </si>
  <si>
    <t>에이드,리조또</t>
  </si>
  <si>
    <t>짜장면,유린기,양장피,군만두,탕수육</t>
  </si>
  <si>
    <t>2,2,1,2,1</t>
  </si>
  <si>
    <t>유부국,돈코츠 라멘,우동,낫토,모둠회</t>
  </si>
  <si>
    <t>아포가토,베이글,아메리카노,딸기 스무디</t>
  </si>
  <si>
    <t>1,1,3,3</t>
  </si>
  <si>
    <t>유린기,탕수육,짜장면</t>
  </si>
  <si>
    <t>3,3,1</t>
  </si>
  <si>
    <t>불고기 덮밥,제육볶음,모둠전,김치찌개,돼지갈비</t>
  </si>
  <si>
    <t>3,1,2,1,2</t>
  </si>
  <si>
    <t>보쌈,제육볶음,김치찜,잡채</t>
  </si>
  <si>
    <t>2,3,1,2</t>
  </si>
  <si>
    <t>마늘치킨,구운치킨,카레치킨</t>
  </si>
  <si>
    <t>돈코츠 라멘,유부국,낫토,사이다,새우튀김</t>
  </si>
  <si>
    <t>1,1,2,3,2</t>
  </si>
  <si>
    <t>고추튀김,오징어튀김</t>
  </si>
  <si>
    <t>볶음밥,군만두,양장피</t>
  </si>
  <si>
    <t>베이글,아메리카노,마카롱,초코 아이스크림,바닐라 아이스크림</t>
  </si>
  <si>
    <t>3,2,1,1,1</t>
  </si>
  <si>
    <t>새우튀김,우동,유부국,돈코츠 라멘,알밥</t>
  </si>
  <si>
    <t>3,3,2,3,2</t>
  </si>
  <si>
    <t>보쌈,잡채,갈비탕</t>
  </si>
  <si>
    <t>2,3,1</t>
  </si>
  <si>
    <t>차슈덮밥,낫토</t>
  </si>
  <si>
    <t>3,2</t>
  </si>
  <si>
    <t>낫토,새우튀김,우동</t>
  </si>
  <si>
    <t>알밥,낫토,우동,콜라,돈코츠 라멘</t>
  </si>
  <si>
    <t>2,2,2,3,2</t>
  </si>
  <si>
    <t>새우튀김,돈코츠 라멘,낫토,모둠회</t>
  </si>
  <si>
    <t>2,3,2,2</t>
  </si>
  <si>
    <t>유린기,짜장면</t>
  </si>
  <si>
    <t>새우튀김,돈코츠 라멘,차슈덮밥,모둠회</t>
  </si>
  <si>
    <t>1,1,3,2</t>
  </si>
  <si>
    <t>된장찌개,보쌈,족발,김치찜</t>
  </si>
  <si>
    <t>3,3,3,1</t>
  </si>
  <si>
    <t>오징어튀김,김밥,고추튀김</t>
  </si>
  <si>
    <t>2,1,3</t>
  </si>
  <si>
    <t>오믈렛,스테이크</t>
  </si>
  <si>
    <t>초밥,알밥,낫토,유부국,새우튀김</t>
  </si>
  <si>
    <t>3,1,1,3,2</t>
  </si>
  <si>
    <t>알밥,차슈덮밥,모둠회,유부국</t>
  </si>
  <si>
    <t>1,3,2,1</t>
  </si>
  <si>
    <t>유린기,탕수육,군만두,간짜장</t>
  </si>
  <si>
    <t>유부국,새우튀김,초밥,차슈덮밥</t>
  </si>
  <si>
    <t>3,3,3,3</t>
  </si>
  <si>
    <t>비빔밥,돼지갈비,족발,김치찌개</t>
  </si>
  <si>
    <t>2,3,1,3</t>
  </si>
  <si>
    <t>낫토,돈코츠 라멘,모둠회,초밥</t>
  </si>
  <si>
    <t>양념치킨,간장치킨</t>
  </si>
  <si>
    <t>모둠회,우동,차슈덮밥,낫토,새우튀김</t>
  </si>
  <si>
    <t>양장피,짜장면</t>
  </si>
  <si>
    <t>짬뽕,짜장면,양장피,볶음밥,마라탕</t>
  </si>
  <si>
    <t>3,2,3,1,3</t>
  </si>
  <si>
    <t>모둠회,새우튀김,초밥</t>
  </si>
  <si>
    <t>3,1,2</t>
  </si>
  <si>
    <t>잡채,된장찌개,김치찌개,김치찜,불고기 덮밥</t>
  </si>
  <si>
    <t>1,1,1,1,3</t>
  </si>
  <si>
    <t>짬뽕,짜장면,마라탕</t>
  </si>
  <si>
    <t>고추튀김,순대,김밥,라면</t>
  </si>
  <si>
    <t>보쌈,모둠전,잡채,된장찌개,제육볶음</t>
  </si>
  <si>
    <t>2,3,1,3,2</t>
  </si>
  <si>
    <t>오믈렛,에이드</t>
  </si>
  <si>
    <t>비빔밥,잡채,돼지갈비,김치찜</t>
  </si>
  <si>
    <t>3,3,3,2</t>
  </si>
  <si>
    <t>초밥,낫토,새우튀김</t>
  </si>
  <si>
    <t>양념치킨,구운치킨,카레치킨,후라이드 치킨</t>
  </si>
  <si>
    <t>3,1,2,3</t>
  </si>
  <si>
    <t>돈코츠 라멘,차슈덮밥,새우튀김</t>
  </si>
  <si>
    <t>2,2,3</t>
  </si>
  <si>
    <t>양념치킨,간장치킨,마늘치킨,후라이드 치킨</t>
  </si>
  <si>
    <t>3,2,3,1</t>
  </si>
  <si>
    <t>구운치킨,간장치킨,카레치킨,양념치킨</t>
  </si>
  <si>
    <t>간장치킨,마늘치킨,파채치킨,후라이드 치킨</t>
  </si>
  <si>
    <t>2,3,3,2</t>
  </si>
  <si>
    <t>모둠회,돈코츠 라멘,낫토</t>
  </si>
  <si>
    <t>모둠회,낫토</t>
  </si>
  <si>
    <t>차슈덮밥,알밥,모둠회,우동,유부국</t>
  </si>
  <si>
    <t>알밥,모둠회,초밥,낫토</t>
  </si>
  <si>
    <t>비빔밥,제육볶음,된장찌개</t>
  </si>
  <si>
    <t>토마호크 스테이크,티본 스테이크</t>
  </si>
  <si>
    <t>양송이 스프,오지치즈후라이</t>
  </si>
  <si>
    <t>투움바 파스타,오지치즈후라이,양송이 스프,티본 스테이크</t>
  </si>
  <si>
    <t>치킨 텐더 샐러드,부시맨 브레드</t>
  </si>
  <si>
    <t>투움바 파스타,오지치즈후라이,토마호크 스테이크,치킨 텐더 샐러드,양송이 스프</t>
  </si>
  <si>
    <t>고구마피자,고르곤졸라피자,스테이크피자,쉬림프피자</t>
  </si>
  <si>
    <t>치즈피자,고르곤졸라피자,고구마피자,쉬림프피자</t>
  </si>
  <si>
    <t>제육볶음,모둠전,김치찜</t>
  </si>
  <si>
    <t>갈비탕,모둠전,족발</t>
  </si>
  <si>
    <t>커틀렛,까르보나라</t>
  </si>
  <si>
    <t>리조또,토마토 파스타,콜라,까르보나라,커틀렛</t>
  </si>
  <si>
    <t>2,2,1,2,3</t>
  </si>
  <si>
    <t>콜라,까르보나라,토마토 파스타</t>
  </si>
  <si>
    <t>짬뽕,짜장면,탕수육,간짜장,볶음밥</t>
  </si>
  <si>
    <t>콜라,탕수육,간짜장</t>
  </si>
  <si>
    <t>군만두,짜장면,간짜장,콜라,탕수육</t>
  </si>
  <si>
    <t>배이비백립,사이다</t>
  </si>
  <si>
    <t>배이비백립,티본 스테이크</t>
  </si>
  <si>
    <t>군만두,볶음밥</t>
  </si>
  <si>
    <t>김말이,순대,오징어튀김,어묵</t>
  </si>
  <si>
    <t>1,1,3,1</t>
  </si>
  <si>
    <t>김치찌개,보쌈,된장찌개,김치찜</t>
  </si>
  <si>
    <t>2,2,2,3</t>
  </si>
  <si>
    <t>양장피,간짜장,탕수육</t>
  </si>
  <si>
    <t>탕수육,군만두,간짜장,짬뽕</t>
  </si>
  <si>
    <t>3,2,1,3</t>
  </si>
  <si>
    <t>족발,김치찜,제육볶음,보쌈,갈비탕</t>
  </si>
  <si>
    <t>3,3,1,1,2</t>
  </si>
  <si>
    <t>돈코츠 라멘,유부국,우동</t>
  </si>
  <si>
    <t>오지치즈후라이,치킨 텐더 샐러드,서로인 스테이크,티본 스테이크,배이비백립</t>
  </si>
  <si>
    <t>1,3,2,3,3</t>
  </si>
  <si>
    <t>모둠회,새우튀김</t>
  </si>
  <si>
    <t>치즈피자,페페로니피자</t>
  </si>
  <si>
    <t>치킨 텐더 샐러드,토마호크 스테이크,양송이 스프,부시맨 브레드</t>
  </si>
  <si>
    <t>카라멜 마끼아또,베이글</t>
  </si>
  <si>
    <t>양념치킨,구운치킨,간장치킨,카레치킨,파채치킨</t>
  </si>
  <si>
    <t>짬뽕,군만두,간짜장,양장피</t>
  </si>
  <si>
    <t>2,2,1,3</t>
  </si>
  <si>
    <t>유린기,짬뽕,마라탕</t>
  </si>
  <si>
    <t>마라탕,탕수육,군만두,간짜장,볶음밥</t>
  </si>
  <si>
    <t>3,2,2,3,1</t>
  </si>
  <si>
    <t>모둠회,돈코츠 라멘</t>
  </si>
  <si>
    <t>차슈덮밥,돈코츠 라멘,우동</t>
  </si>
  <si>
    <t>1,1,3</t>
  </si>
  <si>
    <t>차슈덮밥,낫토,돈코츠 라멘,우동</t>
  </si>
  <si>
    <t>잡채,보쌈,돼지갈비,족발</t>
  </si>
  <si>
    <t>1,2,1,1</t>
  </si>
  <si>
    <t>잡채,김치찜,모둠전</t>
  </si>
  <si>
    <t>볶음밥,짬뽕</t>
  </si>
  <si>
    <t>부시맨 브레드,서로인 스테이크,투움바 파스타,배이비백립</t>
  </si>
  <si>
    <t>불고기 덮밥,갈비탕,잡채,돼지갈비,된장찌개</t>
  </si>
  <si>
    <t>2,1,1,1,2</t>
  </si>
  <si>
    <t>보쌈,갈비탕,돼지갈비,제육볶음</t>
  </si>
  <si>
    <t>1,1,1,1</t>
  </si>
  <si>
    <t>포테이토피자,고구마피자,페페로니피자,치즈피자,고르곤졸라피자</t>
  </si>
  <si>
    <t>2,2,2,3,1</t>
  </si>
  <si>
    <t>초밥,차슈덮밥,모둠회</t>
  </si>
  <si>
    <t>2,1,2</t>
  </si>
  <si>
    <t>짬뽕,군만두</t>
  </si>
  <si>
    <t>김치찌개,보쌈,김치찜,불고기 덮밥,족발</t>
  </si>
  <si>
    <t>2,3,1,1,3</t>
  </si>
  <si>
    <t>짜장면,탕수육,유린기,간짜장</t>
  </si>
  <si>
    <t>1,2,1,2</t>
  </si>
  <si>
    <t>짜장면,짬뽕</t>
  </si>
  <si>
    <t>갈비탕,불고기 덮밥,김치찌개,김치찜</t>
  </si>
  <si>
    <t>2,1,3,3</t>
  </si>
  <si>
    <t>양념치킨,카레치킨,마늘치킨,구운치킨</t>
  </si>
  <si>
    <t>알밥,초밥,새우튀김</t>
  </si>
  <si>
    <t>유부국,모둠회,새우튀김,돈코츠 라멘</t>
  </si>
  <si>
    <t>2,3,3,3</t>
  </si>
  <si>
    <t>유린기,마라탕,양장피,볶음밥,짬뽕</t>
  </si>
  <si>
    <t>짜장면,간짜장</t>
  </si>
  <si>
    <t>탕수육,짬뽕</t>
  </si>
  <si>
    <t>오징어튀김,순대,라면</t>
  </si>
  <si>
    <t>모둠회,낫토,초밥,우동,알밥</t>
  </si>
  <si>
    <t>3,2,2,3,2</t>
  </si>
  <si>
    <t>간짜장,볶음밥</t>
  </si>
  <si>
    <t>김치찜,비빔밥</t>
  </si>
  <si>
    <t>우동,새우튀김,낫토</t>
  </si>
  <si>
    <t>떡볶이,어묵,라면,오징어튀김</t>
  </si>
  <si>
    <t>김밥,고추튀김,순대</t>
  </si>
  <si>
    <t>유부국,돈코츠 라멘</t>
  </si>
  <si>
    <t>돼지갈비,제육볶음</t>
  </si>
  <si>
    <t>볶음밥,간짜장,짜장면</t>
  </si>
  <si>
    <t>알밥,돈코츠 라멘,새우튀김,초밥</t>
  </si>
  <si>
    <t>베이글,아메리카노</t>
  </si>
  <si>
    <t>커틀렛,에이드,까르보나라</t>
  </si>
  <si>
    <t>고추튀김,떡볶이,순대,김말이,김밥</t>
  </si>
  <si>
    <t>3,3,3,3,2</t>
  </si>
  <si>
    <t>서로인 스테이크,토마호크 스테이크,양송이 스프</t>
  </si>
  <si>
    <t>1,3,3</t>
  </si>
  <si>
    <t>불고기 덮밥,족발</t>
  </si>
  <si>
    <t>모둠전,김치찜,보쌈,된장찌개</t>
  </si>
  <si>
    <t>음식점 번호</t>
  </si>
  <si>
    <t>리뷰</t>
  </si>
  <si>
    <t>별점</t>
  </si>
  <si>
    <t>공개여부</t>
  </si>
  <si>
    <t>맛있네요</t>
  </si>
  <si>
    <t>O</t>
  </si>
  <si>
    <t>생선이 싱싱하네요</t>
  </si>
  <si>
    <t>X</t>
  </si>
  <si>
    <t>배달이 느려서 조금 불만족스럽네요</t>
  </si>
  <si>
    <t>분명 저번에 서비스 주신다고 했는데 ㅠㅠ</t>
  </si>
  <si>
    <t>생선에서 비린 맛이 나네요</t>
  </si>
  <si>
    <t>Good!</t>
  </si>
  <si>
    <t>먹으니 행복하네요</t>
  </si>
  <si>
    <t>다시는 안 시켜요</t>
  </si>
  <si>
    <t>얘가 많이 좋아하네요 ㅎㅎ</t>
  </si>
  <si>
    <t>좋습니다. 가성비가 조금 떨어지는 느낌이긴 합니다.</t>
  </si>
  <si>
    <t>좋은데, 조금 마음에 안 드네요</t>
  </si>
  <si>
    <t>최고입니다.</t>
  </si>
  <si>
    <t>직원들이 친절하지가 않네요.</t>
  </si>
  <si>
    <t>맘에 들지가 않고 다시는 시키지 않을 것 같네요.</t>
  </si>
  <si>
    <t>적당합니다.</t>
  </si>
  <si>
    <t>글쎄요, 좋은 거 같은데 이 정도면..</t>
  </si>
  <si>
    <t>이건 좀..</t>
  </si>
  <si>
    <t>최고네요!!</t>
  </si>
  <si>
    <t xml:space="preserve">친절합니다. </t>
  </si>
  <si>
    <t>직원들 말좀 똑바로 하라 해주세요.</t>
  </si>
  <si>
    <t>음식에 벌레가 있어요..</t>
  </si>
  <si>
    <t>입 안에 들어가자마자 너무 맛있어서 깜짝 놀랐습니다.</t>
  </si>
  <si>
    <t>그저 그러네요.</t>
  </si>
  <si>
    <t>뭐라 할 건 없는데 조금 그렇네요.</t>
  </si>
  <si>
    <t>최고다 이건</t>
  </si>
  <si>
    <t>수제버거인거 같아요. 육즙이 정말 많네요.</t>
  </si>
  <si>
    <t>음식이 이도저도 아닌 맛이네요.</t>
  </si>
  <si>
    <t>배달이 빨라 좋았어요.</t>
  </si>
  <si>
    <t>다시 시킬 의향이 있어요.</t>
  </si>
  <si>
    <t>적당적당한 줄 알았더니, 더 좋네요. 생각보다 (❁´◡`❁)</t>
  </si>
  <si>
    <t>아주 좋습니다.</t>
  </si>
  <si>
    <t>어떻게 해야 이런맛이 나오나요</t>
  </si>
  <si>
    <t>다시는 안와요</t>
  </si>
  <si>
    <t>그럭저럭하네요</t>
  </si>
  <si>
    <t>제 입맛에도 안맞고 다른 사람 입맛에도 안맞을겁니다</t>
  </si>
  <si>
    <t>너무 맛있어서 미칠것 같네요</t>
  </si>
  <si>
    <t>다시는 이런 음식 만들지 마세요</t>
  </si>
  <si>
    <t>맛이 안나요 노력하세요</t>
  </si>
  <si>
    <t>맛있지도 않고 맛없지도 않네요</t>
  </si>
  <si>
    <t>진짜 최고에요</t>
  </si>
  <si>
    <t>쓰레기를 먹는 것같네요</t>
  </si>
  <si>
    <t>너무 달달하네요</t>
  </si>
  <si>
    <t>고기인지 돌인지 모르겠네요</t>
  </si>
  <si>
    <t>다시는 오지마세요</t>
  </si>
  <si>
    <t>면이 떡이 됐어요</t>
  </si>
  <si>
    <t>맛있어요</t>
  </si>
  <si>
    <t>너무 맛있어서 또 올것같아요</t>
  </si>
  <si>
    <t>다시는 절대 안와요</t>
  </si>
  <si>
    <t>면이 탱글탱글 하네요</t>
  </si>
  <si>
    <t>나쁘지 않게 맛있어요</t>
  </si>
  <si>
    <t>가성비가 좋네요</t>
  </si>
  <si>
    <t>가격도 싸고, 맛도 좋아요</t>
  </si>
  <si>
    <t>고기가 부드러워요</t>
  </si>
  <si>
    <t>맛은 있는데 서비스가 영 별로에요</t>
  </si>
  <si>
    <t>5성급쉐프가 만든것같네요</t>
  </si>
  <si>
    <t>진짜 별로고 서비스도 엉망이에요</t>
  </si>
  <si>
    <t>너무 맛있고 신선해요</t>
  </si>
  <si>
    <t>다음에 무조건 올래요</t>
  </si>
  <si>
    <t>어른을 위한 음식만 있는데 맛도 없네요</t>
  </si>
  <si>
    <t>신선하지도 않고 안에가 쉰것같네요</t>
  </si>
  <si>
    <t>고기가 부드럽지않고 질겨요</t>
  </si>
  <si>
    <t>약간 상한 것같아요</t>
  </si>
  <si>
    <r>
      <t xml:space="preserve">회가 살살 녹아요 </t>
    </r>
    <r>
      <rPr>
        <sz val="11"/>
        <color theme="1"/>
        <rFont val="맑은 고딕"/>
        <family val="3"/>
        <charset val="129"/>
        <scheme val="minor"/>
      </rPr>
      <t>╰</t>
    </r>
    <r>
      <rPr>
        <sz val="11"/>
        <color theme="1"/>
        <rFont val="맑은 고딕"/>
        <family val="2"/>
        <charset val="129"/>
        <scheme val="minor"/>
      </rPr>
      <t>(*°▽°*)</t>
    </r>
    <r>
      <rPr>
        <sz val="11"/>
        <color theme="1"/>
        <rFont val="맑은 고딕"/>
        <family val="3"/>
        <charset val="129"/>
        <scheme val="minor"/>
      </rPr>
      <t>╯</t>
    </r>
  </si>
  <si>
    <t>달달하네요</t>
  </si>
  <si>
    <t>죽어도 다시 안와요</t>
  </si>
  <si>
    <t>걍 나쁘지 않은 맛이에요</t>
  </si>
  <si>
    <t>음… 말이 안나오네요</t>
  </si>
  <si>
    <t>너무 맛이없네요</t>
  </si>
  <si>
    <t>너무 맛있어서 눈물이 날것같아요</t>
  </si>
  <si>
    <t>서비스가 별로지만 과일은 맛있고 신선했어요</t>
  </si>
  <si>
    <t>회가 살살 녹아요</t>
  </si>
  <si>
    <t>정말 맛있습니다</t>
  </si>
  <si>
    <t>너무 별로이네요</t>
  </si>
  <si>
    <t>행복해요.</t>
  </si>
  <si>
    <t>서비스가 맘에 들었어요 (*/ω＼*)</t>
  </si>
  <si>
    <t>괜찮네요</t>
  </si>
  <si>
    <t>그냥 그러네요</t>
  </si>
  <si>
    <t>별로 말하고 싶지는 않네요</t>
  </si>
  <si>
    <t>오!</t>
  </si>
  <si>
    <t>진짜 다시는 시키고 싶지 않습니다</t>
  </si>
  <si>
    <t>정말 맛이 좋았어요</t>
  </si>
  <si>
    <t>단골이 되고 싶네요</t>
  </si>
  <si>
    <t>? 이게 뭔 맛인지 잘 모르겠네요</t>
  </si>
  <si>
    <t>너무 맛있어요 나중에 또 시킬게요</t>
  </si>
  <si>
    <r>
      <t>그냥 그래요 ☜(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ヮ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☜)</t>
    </r>
  </si>
  <si>
    <t>안 시켜요</t>
  </si>
  <si>
    <t>서비스가 엉망이네요</t>
  </si>
  <si>
    <t>아주 좋아요</t>
  </si>
  <si>
    <t>그냥 그래요</t>
  </si>
  <si>
    <t>가성비가 좋네요 그거 말고는 없네요</t>
  </si>
  <si>
    <t>너무 맛없어요</t>
  </si>
  <si>
    <t>적당적당한 줄 알았더니, 더 좋네요. 생각보다</t>
  </si>
  <si>
    <t>서비스만 좋네요</t>
  </si>
  <si>
    <t>아주 좋습니다. 😊</t>
  </si>
  <si>
    <t xml:space="preserve">죽어도 다시 안와요 </t>
  </si>
  <si>
    <t>너무 맛있습니다</t>
  </si>
  <si>
    <t>직원들이 이상한 답변을 줘요 ㅠㅠ</t>
  </si>
  <si>
    <t>NO!</t>
  </si>
  <si>
    <t>사장님 요리좀 다시 배우세요</t>
  </si>
  <si>
    <t>서비스가 맘에 들었어요</t>
  </si>
  <si>
    <t>포장이 이상하게 되어있네요</t>
  </si>
  <si>
    <t>보관상태가 이상한거 같아요</t>
  </si>
  <si>
    <t>토가 나올거 같아요</t>
  </si>
  <si>
    <t>냄새가 이상해요</t>
  </si>
  <si>
    <t>이게 뭡니까?</t>
  </si>
  <si>
    <t>오우 너무 좋아요</t>
  </si>
  <si>
    <t>매장 이름이 맘에 들지가 않네요</t>
  </si>
  <si>
    <t>다시는 안 옵니다</t>
  </si>
  <si>
    <t>조리방법이 이상한거 같아요</t>
  </si>
  <si>
    <t>별로입니다</t>
  </si>
  <si>
    <t>그저 그럽니다</t>
  </si>
  <si>
    <t>Excellent!!!</t>
  </si>
  <si>
    <t>정말 맛있어서 다시 시키고 싶어요 ㅠㅠ</t>
  </si>
  <si>
    <t>이거 먹고 토했어요</t>
  </si>
  <si>
    <t>곰팡이가 폈어요</t>
  </si>
  <si>
    <t>그저 그래요</t>
  </si>
  <si>
    <t>사장님 신고합니다</t>
  </si>
  <si>
    <t>열심히 하세요</t>
  </si>
  <si>
    <t>파이팅!</t>
  </si>
  <si>
    <t>별로네요</t>
  </si>
  <si>
    <t>X</t>
    <phoneticPr fontId="1" type="noConversion"/>
  </si>
  <si>
    <t>Y</t>
    <phoneticPr fontId="1" type="noConversion"/>
  </si>
  <si>
    <t>회원</t>
    <phoneticPr fontId="1" type="noConversion"/>
  </si>
  <si>
    <t>벽</t>
    <phoneticPr fontId="1" type="noConversion"/>
  </si>
  <si>
    <t>김철만</t>
    <phoneticPr fontId="1" type="noConversion"/>
  </si>
  <si>
    <t>0,0</t>
    <phoneticPr fontId="1" type="noConversion"/>
  </si>
  <si>
    <t>19,53</t>
    <phoneticPr fontId="1" type="noConversion"/>
  </si>
  <si>
    <t>결과</t>
    <phoneticPr fontId="1" type="noConversion"/>
  </si>
  <si>
    <t>A049</t>
  </si>
  <si>
    <t>박순</t>
  </si>
  <si>
    <t>12,21</t>
  </si>
  <si>
    <t>back1234</t>
  </si>
  <si>
    <t>back1234!</t>
  </si>
  <si>
    <t>매장명</t>
    <phoneticPr fontId="1" type="noConversion"/>
  </si>
  <si>
    <t>좌표</t>
    <phoneticPr fontId="1" type="noConversion"/>
  </si>
  <si>
    <t>등급</t>
    <phoneticPr fontId="1" type="noConversion"/>
  </si>
  <si>
    <t>평균 별점</t>
    <phoneticPr fontId="1" type="noConversion"/>
  </si>
  <si>
    <t>번호</t>
    <phoneticPr fontId="1" type="noConversion"/>
  </si>
  <si>
    <t>카테고리</t>
    <phoneticPr fontId="1" type="noConversion"/>
  </si>
  <si>
    <t>&gt;=0</t>
  </si>
  <si>
    <t>&lt;=5</t>
  </si>
  <si>
    <t>-</t>
  </si>
  <si>
    <t>맛집</t>
  </si>
  <si>
    <t>A001</t>
    <phoneticPr fontId="1" type="noConversion"/>
  </si>
  <si>
    <t>판매자 번호</t>
    <phoneticPr fontId="1" type="noConversion"/>
  </si>
  <si>
    <t>음식</t>
    <phoneticPr fontId="1" type="noConversion"/>
  </si>
  <si>
    <t xml:space="preserve"> 스시는 소금과 식초, 설탕으로 간을 한 밥 위에 얇게 저민 생선이나 김, 달걀, 채소 등을 얹거나 말아 만드는 일본의 대표 요리이다. </t>
    <phoneticPr fontId="1" type="noConversion"/>
  </si>
  <si>
    <t>이름</t>
    <phoneticPr fontId="1" type="noConversion"/>
  </si>
  <si>
    <t>수량</t>
    <phoneticPr fontId="1" type="noConversion"/>
  </si>
  <si>
    <t>개수</t>
    <phoneticPr fontId="1" type="noConversion"/>
  </si>
  <si>
    <t>Z073</t>
    <phoneticPr fontId="1" type="noConversion"/>
  </si>
  <si>
    <t>간짜장,군만두,볶음밥,마라탕</t>
  </si>
  <si>
    <t>5,5,5,5</t>
  </si>
  <si>
    <t>구매날짜</t>
    <phoneticPr fontId="1" type="noConversion"/>
  </si>
  <si>
    <t>음식점 번호</t>
    <phoneticPr fontId="1" type="noConversion"/>
  </si>
  <si>
    <t>Z073</t>
    <phoneticPr fontId="1" type="noConversion"/>
  </si>
  <si>
    <t>메뉴</t>
    <phoneticPr fontId="1" type="noConversion"/>
  </si>
  <si>
    <t>번호</t>
    <phoneticPr fontId="1" type="noConversion"/>
  </si>
  <si>
    <t>송학횟집</t>
    <phoneticPr fontId="1" type="noConversion"/>
  </si>
  <si>
    <t>모둠회</t>
    <phoneticPr fontId="1" type="noConversion"/>
  </si>
  <si>
    <t>시발 더줘</t>
  </si>
  <si>
    <t>집보내줘 ㅅㅂ</t>
  </si>
  <si>
    <t>12321312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</si>
</sst>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_ "/>
    <numFmt numFmtId="177" formatCode="m/d/yyyy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8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BDF9F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2" borderId="0" xfId="0" quotePrefix="1" applyFill="1">
      <alignment vertical="center"/>
    </xf>
    <xf numFmtId="0" fontId="0" fillId="3" borderId="0" xfId="0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5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NumberFormat="1" applyFont="1" applyFill="1" applyAlignment="1">
      <alignment horizontal="center" vertical="center"/>
    </xf>
    <xf numFmtId="0" fontId="6" fillId="2" borderId="0" xfId="0" applyFont="1" applyFill="1">
      <alignment vertical="center"/>
    </xf>
    <xf numFmtId="0" fontId="5" fillId="2" borderId="0" xfId="0" applyFont="1" applyFill="1" applyBorder="1" applyAlignment="1">
      <alignment horizontal="center" vertical="center"/>
    </xf>
    <xf numFmtId="0" fontId="6" fillId="2" borderId="0" xfId="0" applyNumberFormat="1" applyFont="1" applyFill="1" applyBorder="1" applyAlignment="1">
      <alignment horizontal="center" vertical="center"/>
    </xf>
    <xf numFmtId="0" fontId="6" fillId="2" borderId="0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4" fillId="7" borderId="2" xfId="0" applyFont="1" applyFill="1" applyBorder="1">
      <alignment vertical="center"/>
    </xf>
    <xf numFmtId="0" fontId="4" fillId="7" borderId="3" xfId="0" applyFont="1" applyFill="1" applyBorder="1">
      <alignment vertical="center"/>
    </xf>
    <xf numFmtId="0" fontId="4" fillId="7" borderId="4" xfId="0" applyFont="1" applyFill="1" applyBorder="1">
      <alignment vertical="center"/>
    </xf>
    <xf numFmtId="177" fontId="0" fillId="2" borderId="0" xfId="0" applyNumberFormat="1" applyFill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8" borderId="0" xfId="0" applyFill="1" applyAlignment="1">
      <alignment horizontal="center" vertical="center"/>
    </xf>
    <xf numFmtId="14" fontId="0" fillId="0" borderId="0" xfId="0" applyNumberFormat="1">
      <alignment vertical="center"/>
    </xf>
    <xf numFmtId="0" fontId="0" fillId="2" borderId="0" xfId="0" applyFill="1" applyBorder="1" applyAlignment="1">
      <alignment horizontal="center" vertical="center"/>
    </xf>
  </cellXfs>
  <cellStyles count="1">
    <cellStyle name="표준" xfId="0" builtinId="0"/>
  </cellStyles>
  <dxfs count="6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77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63"/>
      <tableStyleElement type="headerRow" dxfId="6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84029988397346E-2"/>
          <c:y val="0.10042613600482971"/>
          <c:w val="0.96844805415893986"/>
          <c:h val="0.817987379390563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로딩!$A$1</c:f>
              <c:strCache>
                <c:ptCount val="1"/>
                <c:pt idx="0">
                  <c:v>dv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06D-40CD-B1C1-558AB76DBE29}"/>
              </c:ext>
            </c:extLst>
          </c:dPt>
          <c:val>
            <c:numRef>
              <c:f>로딩!$A$2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9E-48FE-A17F-F1719FB75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47396240"/>
        <c:axId val="347399768"/>
      </c:barChart>
      <c:catAx>
        <c:axId val="347396240"/>
        <c:scaling>
          <c:orientation val="minMax"/>
        </c:scaling>
        <c:delete val="1"/>
        <c:axPos val="l"/>
        <c:majorTickMark val="none"/>
        <c:minorTickMark val="none"/>
        <c:tickLblPos val="nextTo"/>
        <c:crossAx val="347399768"/>
        <c:crosses val="autoZero"/>
        <c:auto val="1"/>
        <c:lblAlgn val="ctr"/>
        <c:lblOffset val="100"/>
        <c:noMultiLvlLbl val="0"/>
      </c:catAx>
      <c:valAx>
        <c:axId val="347399768"/>
        <c:scaling>
          <c:orientation val="minMax"/>
          <c:max val="250"/>
        </c:scaling>
        <c:delete val="1"/>
        <c:axPos val="b"/>
        <c:numFmt formatCode="General" sourceLinked="1"/>
        <c:majorTickMark val="out"/>
        <c:minorTickMark val="none"/>
        <c:tickLblPos val="nextTo"/>
        <c:crossAx val="347396240"/>
        <c:crosses val="autoZero"/>
        <c:crossBetween val="between"/>
        <c:minorUnit val="2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9092816"/>
        <c:axId val="549093800"/>
      </c:barChart>
      <c:catAx>
        <c:axId val="549092816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9093800"/>
        <c:crosses val="autoZero"/>
        <c:auto val="1"/>
        <c:lblAlgn val="ctr"/>
        <c:lblOffset val="100"/>
        <c:noMultiLvlLbl val="0"/>
      </c:catAx>
      <c:valAx>
        <c:axId val="54909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909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&#47579;&#51665;&#54028;&#51064;&#45908;!DE3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7327</xdr:colOff>
      <xdr:row>0</xdr:row>
      <xdr:rowOff>7327</xdr:rowOff>
    </xdr:from>
    <xdr:to>
      <xdr:col>14</xdr:col>
      <xdr:colOff>0</xdr:colOff>
      <xdr:row>1048575</xdr:row>
      <xdr:rowOff>14654</xdr:rowOff>
    </xdr:to>
    <xdr:sp macro="" textlink="">
      <xdr:nvSpPr>
        <xdr:cNvPr id="6" name="back"/>
        <xdr:cNvSpPr/>
      </xdr:nvSpPr>
      <xdr:spPr>
        <a:xfrm>
          <a:off x="7327" y="7327"/>
          <a:ext cx="9634904" cy="1919654"/>
        </a:xfrm>
        <a:prstGeom prst="rect">
          <a:avLst/>
        </a:prstGeom>
        <a:solidFill>
          <a:srgbClr val="00F9F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300404</xdr:colOff>
      <xdr:row>4</xdr:row>
      <xdr:rowOff>27018</xdr:rowOff>
    </xdr:from>
    <xdr:to>
      <xdr:col>13</xdr:col>
      <xdr:colOff>438979</xdr:colOff>
      <xdr:row>7</xdr:row>
      <xdr:rowOff>197828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518462</xdr:colOff>
      <xdr:row>0</xdr:row>
      <xdr:rowOff>164695</xdr:rowOff>
    </xdr:from>
    <xdr:to>
      <xdr:col>14</xdr:col>
      <xdr:colOff>0</xdr:colOff>
      <xdr:row>3</xdr:row>
      <xdr:rowOff>155458</xdr:rowOff>
    </xdr:to>
    <xdr:pic>
      <xdr:nvPicPr>
        <xdr:cNvPr id="2" name="라이더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091" b="97403" l="0" r="89032">
                      <a14:foregroundMark x1="21290" y1="57792" x2="21290" y2="5779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8062" y="164695"/>
          <a:ext cx="853138" cy="6194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25</xdr:row>
      <xdr:rowOff>0</xdr:rowOff>
    </xdr:to>
    <xdr:sp macro="" textlink="">
      <xdr:nvSpPr>
        <xdr:cNvPr id="2" name="배경"/>
        <xdr:cNvSpPr/>
      </xdr:nvSpPr>
      <xdr:spPr>
        <a:xfrm>
          <a:off x="0" y="0"/>
          <a:ext cx="8936935" cy="5176630"/>
        </a:xfrm>
        <a:prstGeom prst="rect">
          <a:avLst/>
        </a:prstGeom>
        <a:solidFill>
          <a:srgbClr val="FAFAF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3</xdr:col>
      <xdr:colOff>523875</xdr:colOff>
      <xdr:row>2</xdr:row>
      <xdr:rowOff>28575</xdr:rowOff>
    </xdr:from>
    <xdr:to>
      <xdr:col>7</xdr:col>
      <xdr:colOff>399481</xdr:colOff>
      <xdr:row>14</xdr:row>
      <xdr:rowOff>115885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091" b="96104" l="7097" r="89032">
                      <a14:foregroundMark x1="18065" y1="57792" x2="18065" y2="5779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447675"/>
          <a:ext cx="2618806" cy="2601910"/>
        </a:xfrm>
        <a:prstGeom prst="rect">
          <a:avLst/>
        </a:prstGeom>
      </xdr:spPr>
    </xdr:pic>
    <xdr:clientData/>
  </xdr:twoCellAnchor>
  <xdr:oneCellAnchor>
    <xdr:from>
      <xdr:col>3</xdr:col>
      <xdr:colOff>123825</xdr:colOff>
      <xdr:row>13</xdr:row>
      <xdr:rowOff>17801</xdr:rowOff>
    </xdr:from>
    <xdr:ext cx="3133486" cy="1068049"/>
    <xdr:sp macro="" textlink="">
      <xdr:nvSpPr>
        <xdr:cNvPr id="4" name="직사각형 3"/>
        <xdr:cNvSpPr/>
      </xdr:nvSpPr>
      <xdr:spPr>
        <a:xfrm>
          <a:off x="2181225" y="2741951"/>
          <a:ext cx="3133486" cy="106804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4400" b="1" cap="none" spc="0">
              <a:ln w="9525">
                <a:solidFill>
                  <a:schemeClr val="accent1">
                    <a:lumMod val="75000"/>
                  </a:schemeClr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상신의 민족</a:t>
          </a:r>
          <a:endParaRPr lang="en-US" altLang="ko-KR" sz="4400" b="1" cap="none" spc="0">
            <a:ln w="9525">
              <a:solidFill>
                <a:schemeClr val="accent1">
                  <a:lumMod val="75000"/>
                </a:schemeClr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18</xdr:row>
          <xdr:rowOff>180975</xdr:rowOff>
        </xdr:from>
        <xdr:to>
          <xdr:col>11</xdr:col>
          <xdr:colOff>38100</xdr:colOff>
          <xdr:row>20</xdr:row>
          <xdr:rowOff>180975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3</xdr:row>
          <xdr:rowOff>19050</xdr:rowOff>
        </xdr:from>
        <xdr:to>
          <xdr:col>10</xdr:col>
          <xdr:colOff>666750</xdr:colOff>
          <xdr:row>4</xdr:row>
          <xdr:rowOff>171450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5</xdr:row>
          <xdr:rowOff>85725</xdr:rowOff>
        </xdr:from>
        <xdr:to>
          <xdr:col>10</xdr:col>
          <xdr:colOff>666750</xdr:colOff>
          <xdr:row>7</xdr:row>
          <xdr:rowOff>28575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8</xdr:row>
          <xdr:rowOff>0</xdr:rowOff>
        </xdr:from>
        <xdr:to>
          <xdr:col>10</xdr:col>
          <xdr:colOff>666750</xdr:colOff>
          <xdr:row>9</xdr:row>
          <xdr:rowOff>152400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190500</xdr:rowOff>
        </xdr:from>
        <xdr:to>
          <xdr:col>14</xdr:col>
          <xdr:colOff>0</xdr:colOff>
          <xdr:row>3</xdr:row>
          <xdr:rowOff>9525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0</xdr:row>
          <xdr:rowOff>114300</xdr:rowOff>
        </xdr:from>
        <xdr:to>
          <xdr:col>8</xdr:col>
          <xdr:colOff>104775</xdr:colOff>
          <xdr:row>2</xdr:row>
          <xdr:rowOff>142875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0</xdr:row>
          <xdr:rowOff>190500</xdr:rowOff>
        </xdr:from>
        <xdr:to>
          <xdr:col>7</xdr:col>
          <xdr:colOff>133350</xdr:colOff>
          <xdr:row>3</xdr:row>
          <xdr:rowOff>9525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</xdr:row>
          <xdr:rowOff>9525</xdr:rowOff>
        </xdr:from>
        <xdr:to>
          <xdr:col>4</xdr:col>
          <xdr:colOff>257175</xdr:colOff>
          <xdr:row>3</xdr:row>
          <xdr:rowOff>38100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</xdr:row>
          <xdr:rowOff>0</xdr:rowOff>
        </xdr:from>
        <xdr:to>
          <xdr:col>10</xdr:col>
          <xdr:colOff>266700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360961</xdr:colOff>
          <xdr:row>0</xdr:row>
          <xdr:rowOff>329045</xdr:rowOff>
        </xdr:from>
        <xdr:to>
          <xdr:col>13</xdr:col>
          <xdr:colOff>157721</xdr:colOff>
          <xdr:row>2</xdr:row>
          <xdr:rowOff>178006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403946</xdr:colOff>
          <xdr:row>0</xdr:row>
          <xdr:rowOff>326076</xdr:rowOff>
        </xdr:from>
        <xdr:to>
          <xdr:col>9</xdr:col>
          <xdr:colOff>161740</xdr:colOff>
          <xdr:row>2</xdr:row>
          <xdr:rowOff>175037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19</xdr:col>
      <xdr:colOff>51955</xdr:colOff>
      <xdr:row>0</xdr:row>
      <xdr:rowOff>155864</xdr:rowOff>
    </xdr:from>
    <xdr:to>
      <xdr:col>22</xdr:col>
      <xdr:colOff>259773</xdr:colOff>
      <xdr:row>2</xdr:row>
      <xdr:rowOff>86591</xdr:rowOff>
    </xdr:to>
    <xdr:sp macro="[0]!Sheet8.상" textlink="">
      <xdr:nvSpPr>
        <xdr:cNvPr id="2" name="shp_상"/>
        <xdr:cNvSpPr/>
      </xdr:nvSpPr>
      <xdr:spPr>
        <a:xfrm>
          <a:off x="8278091" y="155864"/>
          <a:ext cx="1506682" cy="692727"/>
        </a:xfrm>
        <a:prstGeom prst="triangl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106</xdr:col>
      <xdr:colOff>355022</xdr:colOff>
      <xdr:row>13</xdr:row>
      <xdr:rowOff>164524</xdr:rowOff>
    </xdr:from>
    <xdr:to>
      <xdr:col>108</xdr:col>
      <xdr:colOff>181840</xdr:colOff>
      <xdr:row>17</xdr:row>
      <xdr:rowOff>147206</xdr:rowOff>
    </xdr:to>
    <xdr:sp macro="[0]!Sheet8.우" textlink="">
      <xdr:nvSpPr>
        <xdr:cNvPr id="5" name="shp_우"/>
        <xdr:cNvSpPr/>
      </xdr:nvSpPr>
      <xdr:spPr>
        <a:xfrm rot="5400000">
          <a:off x="15534409" y="5524501"/>
          <a:ext cx="1506682" cy="692727"/>
        </a:xfrm>
        <a:prstGeom prst="triangl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3</xdr:col>
      <xdr:colOff>268431</xdr:colOff>
      <xdr:row>13</xdr:row>
      <xdr:rowOff>164525</xdr:rowOff>
    </xdr:from>
    <xdr:to>
      <xdr:col>5</xdr:col>
      <xdr:colOff>95249</xdr:colOff>
      <xdr:row>17</xdr:row>
      <xdr:rowOff>147207</xdr:rowOff>
    </xdr:to>
    <xdr:sp macro="[0]!Sheet8.좌" textlink="">
      <xdr:nvSpPr>
        <xdr:cNvPr id="6" name="shp_좌"/>
        <xdr:cNvSpPr/>
      </xdr:nvSpPr>
      <xdr:spPr>
        <a:xfrm rot="16200000">
          <a:off x="1160318" y="5524502"/>
          <a:ext cx="1506682" cy="692727"/>
        </a:xfrm>
        <a:prstGeom prst="triangl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19</xdr:col>
      <xdr:colOff>51955</xdr:colOff>
      <xdr:row>103</xdr:row>
      <xdr:rowOff>274927</xdr:rowOff>
    </xdr:from>
    <xdr:to>
      <xdr:col>22</xdr:col>
      <xdr:colOff>259773</xdr:colOff>
      <xdr:row>105</xdr:row>
      <xdr:rowOff>205654</xdr:rowOff>
    </xdr:to>
    <xdr:sp macro="[0]!Sheet8.하" textlink="">
      <xdr:nvSpPr>
        <xdr:cNvPr id="7" name="shp_하"/>
        <xdr:cNvSpPr/>
      </xdr:nvSpPr>
      <xdr:spPr>
        <a:xfrm rot="10800000">
          <a:off x="8195830" y="10942927"/>
          <a:ext cx="1493693" cy="692727"/>
        </a:xfrm>
        <a:prstGeom prst="triangl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29</xdr:col>
      <xdr:colOff>255809</xdr:colOff>
      <xdr:row>0</xdr:row>
      <xdr:rowOff>121227</xdr:rowOff>
    </xdr:from>
    <xdr:to>
      <xdr:col>36</xdr:col>
      <xdr:colOff>0</xdr:colOff>
      <xdr:row>2</xdr:row>
      <xdr:rowOff>242455</xdr:rowOff>
    </xdr:to>
    <xdr:sp macro="" textlink="">
      <xdr:nvSpPr>
        <xdr:cNvPr id="4" name="직사각형 3"/>
        <xdr:cNvSpPr/>
      </xdr:nvSpPr>
      <xdr:spPr>
        <a:xfrm>
          <a:off x="12811491" y="121227"/>
          <a:ext cx="2774873" cy="883228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ko-KR" alt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예상시간</a:t>
          </a:r>
          <a:r>
            <a:rPr lang="en-US" altLang="ko-KR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: 0</a:t>
          </a:r>
          <a:r>
            <a:rPr lang="ko-KR" altLang="en-US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분</a:t>
          </a:r>
          <a:endParaRPr lang="en-US" altLang="ko-KR" sz="2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106</xdr:col>
      <xdr:colOff>427659</xdr:colOff>
      <xdr:row>1</xdr:row>
      <xdr:rowOff>54430</xdr:rowOff>
    </xdr:from>
    <xdr:to>
      <xdr:col>109</xdr:col>
      <xdr:colOff>323750</xdr:colOff>
      <xdr:row>2</xdr:row>
      <xdr:rowOff>192982</xdr:rowOff>
    </xdr:to>
    <xdr:sp macro="내위치로" textlink="">
      <xdr:nvSpPr>
        <xdr:cNvPr id="8" name="shp위치로">
          <a:hlinkClick xmlns:r="http://schemas.openxmlformats.org/officeDocument/2006/relationships" r:id="rId1" tooltip="내 위치로 가기"/>
        </xdr:cNvPr>
        <xdr:cNvSpPr txBox="1"/>
      </xdr:nvSpPr>
      <xdr:spPr>
        <a:xfrm>
          <a:off x="3025386" y="435430"/>
          <a:ext cx="1194955" cy="519552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800"/>
            <a:t>내</a:t>
          </a:r>
          <a:r>
            <a:rPr lang="ko-KR" altLang="en-US" sz="1800" baseline="0"/>
            <a:t> 위치로</a:t>
          </a:r>
          <a:endParaRPr lang="ko-KR" altLang="en-US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0</xdr:row>
          <xdr:rowOff>200025</xdr:rowOff>
        </xdr:from>
        <xdr:to>
          <xdr:col>10</xdr:col>
          <xdr:colOff>266700</xdr:colOff>
          <xdr:row>3</xdr:row>
          <xdr:rowOff>19050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487781</xdr:colOff>
      <xdr:row>1</xdr:row>
      <xdr:rowOff>0</xdr:rowOff>
    </xdr:from>
    <xdr:to>
      <xdr:col>7</xdr:col>
      <xdr:colOff>646063</xdr:colOff>
      <xdr:row>5</xdr:row>
      <xdr:rowOff>162181</xdr:rowOff>
    </xdr:to>
    <xdr:grpSp>
      <xdr:nvGrpSpPr>
        <xdr:cNvPr id="7" name="캡char"/>
        <xdr:cNvGrpSpPr/>
      </xdr:nvGrpSpPr>
      <xdr:grpSpPr>
        <a:xfrm>
          <a:off x="2545181" y="209550"/>
          <a:ext cx="2901482" cy="1000381"/>
          <a:chOff x="2335548" y="1672955"/>
          <a:chExt cx="2741278" cy="1088147"/>
        </a:xfrm>
      </xdr:grpSpPr>
      <xdr:sp macro="" textlink="">
        <xdr:nvSpPr>
          <xdr:cNvPr id="3" name="_1"/>
          <xdr:cNvSpPr/>
        </xdr:nvSpPr>
        <xdr:spPr>
          <a:xfrm>
            <a:off x="2492240" y="1716835"/>
            <a:ext cx="1071877" cy="923175"/>
          </a:xfrm>
          <a:prstGeom prst="diamond">
            <a:avLst/>
          </a:prstGeom>
          <a:solidFill>
            <a:srgbClr val="323232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" name="_2"/>
          <xdr:cNvSpPr/>
        </xdr:nvSpPr>
        <xdr:spPr>
          <a:xfrm>
            <a:off x="3442477" y="1672955"/>
            <a:ext cx="728931" cy="919944"/>
          </a:xfrm>
          <a:prstGeom prst="diamond">
            <a:avLst/>
          </a:prstGeom>
          <a:solidFill>
            <a:srgbClr val="787878"/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" name="_3"/>
          <xdr:cNvSpPr/>
        </xdr:nvSpPr>
        <xdr:spPr>
          <a:xfrm>
            <a:off x="4063934" y="1744619"/>
            <a:ext cx="938075" cy="891680"/>
          </a:xfrm>
          <a:prstGeom prst="roundRect">
            <a:avLst/>
          </a:prstGeom>
          <a:solidFill>
            <a:srgbClr val="787878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" name="txt"/>
          <xdr:cNvSpPr/>
        </xdr:nvSpPr>
        <xdr:spPr>
          <a:xfrm>
            <a:off x="2335548" y="1888794"/>
            <a:ext cx="2741278" cy="872308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ko-KR" altLang="en-US" sz="3200" b="0" cap="none" spc="0">
                <a:ln w="0"/>
                <a:solidFill>
                  <a:schemeClr val="accent6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뤳젎튆 등햭팕</a:t>
            </a:r>
            <a:endParaRPr lang="en-US" altLang="ko-KR" sz="3200" b="0" cap="none" spc="0">
              <a:ln w="0"/>
              <a:solidFill>
                <a:schemeClr val="accent6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2</xdr:col>
      <xdr:colOff>268941</xdr:colOff>
      <xdr:row>6</xdr:row>
      <xdr:rowOff>174014</xdr:rowOff>
    </xdr:from>
    <xdr:to>
      <xdr:col>10</xdr:col>
      <xdr:colOff>145678</xdr:colOff>
      <xdr:row>20</xdr:row>
      <xdr:rowOff>52828</xdr:rowOff>
    </xdr:to>
    <xdr:graphicFrame macro="">
      <xdr:nvGraphicFramePr>
        <xdr:cNvPr id="9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641;&#49472;/&#49436;&#50872;/&#49436;&#50872;&#50641;&#49472;1&#52264;/&#49436;&#50872;1&#5226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로딩"/>
      <sheetName val="Main"/>
      <sheetName val="회원"/>
      <sheetName val="상세정보"/>
      <sheetName val="음식"/>
      <sheetName val="접근금지구역"/>
      <sheetName val="주문내역"/>
      <sheetName val="맛집파인더"/>
      <sheetName val="리뷰"/>
      <sheetName val="디자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2" name="표2" displayName="표2" ref="A1:K188" totalsRowShown="0" headerRowDxfId="61" dataDxfId="60">
  <autoFilter ref="A1:K18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11">
    <tableColumn id="1" name="번호" dataDxfId="59"/>
    <tableColumn id="2" name="이름" dataDxfId="58"/>
    <tableColumn id="3" name="좌표" dataDxfId="57"/>
    <tableColumn id="4" name="아이디" dataDxfId="56"/>
    <tableColumn id="5" name="비밀번호" dataDxfId="55"/>
    <tableColumn id="6" name="등급" dataDxfId="54">
      <calculatedColumnFormula>fn등급(표2[[#This Row],[번호]])</calculatedColumnFormula>
    </tableColumn>
    <tableColumn id="7" name="X" dataDxfId="53">
      <calculatedColumnFormula>AND(VALUE(LEFT(표2[[#This Row],[좌표]], FIND(",",표2[[#This Row],[좌표]], 1)-1)) &lt; 100, VALUE(LEFT(표2[[#This Row],[좌표]], FIND(",",표2[[#This Row],[좌표]], 1)-1)) &gt; -1)</calculatedColumnFormula>
    </tableColumn>
    <tableColumn id="8" name="Y" dataDxfId="52">
      <calculatedColumnFormula>AND(VALUE(RIGHT(표2[[#This Row],[좌표]], LEN(표2[[#This Row],[좌표]]) - FIND(",",표2[[#This Row],[좌표]],1))) &lt;100, VALUE(RIGHT(표2[[#This Row],[좌표]], LEN(표2[[#This Row],[좌표]]) - FIND(",",표2[[#This Row],[좌표]],1)))&gt;-1)</calculatedColumnFormula>
    </tableColumn>
    <tableColumn id="9" name="회원" dataDxfId="51">
      <calculatedColumnFormula>COUNTIFS(표2[좌표],표2[[#This Row],[좌표]])</calculatedColumnFormula>
    </tableColumn>
    <tableColumn id="10" name="벽" dataDxfId="50">
      <calculatedColumnFormula>COUNTIFS(표6[좌표],표2[[#This Row],[좌표]])</calculatedColumnFormula>
    </tableColumn>
    <tableColumn id="11" name="결과" dataDxfId="49">
      <calculatedColumnFormula xml:space="preserve"> 표2[[#This Row],[회원]]+표2[[#This Row],[벽]] &lt;= 1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4" name="표4" displayName="표4" ref="A1:F139" totalsRowShown="0" headerRowDxfId="48" dataDxfId="47">
  <tableColumns count="6">
    <tableColumn id="1" name="번호" dataDxfId="46"/>
    <tableColumn id="2" name="카테고리" dataDxfId="45"/>
    <tableColumn id="3" name="평균 별점" dataDxfId="13">
      <calculatedColumnFormula>AVERAGEIF(표8[음식점 번호],표4[[#This Row],[번호]],표8[별점])</calculatedColumnFormula>
    </tableColumn>
    <tableColumn id="4" name="매장명" dataDxfId="12">
      <calculatedColumnFormula>VLOOKUP(표4[[#This Row],[번호]],표2[[번호]:[등급]],2,FALSE)</calculatedColumnFormula>
    </tableColumn>
    <tableColumn id="5" name="좌표" dataDxfId="11">
      <calculatedColumnFormula>VLOOKUP(표4[[#This Row],[번호]],표2[[번호]:[등급]],3,FALSE)</calculatedColumnFormula>
    </tableColumn>
    <tableColumn id="6" name="등급" dataDxfId="10">
      <calculatedColumnFormula>VLOOKUP(표4[[#This Row],[번호]],표2[[번호]:[등급]],6,FALSE)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5" name="표5" displayName="표5" ref="A1:E1311" totalsRowShown="0" headerRowDxfId="44" dataDxfId="43">
  <tableColumns count="5">
    <tableColumn id="1" name="순번" dataDxfId="42"/>
    <tableColumn id="2" name="판매자 번호" dataDxfId="41"/>
    <tableColumn id="3" name="음식" dataDxfId="40"/>
    <tableColumn id="4" name=" 상품 설명 " dataDxfId="39"/>
    <tableColumn id="5" name=" 가격 " dataDxfId="38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6" name="표6" displayName="표6" ref="A1:B1000" totalsRowShown="0" headerRowDxfId="37" dataDxfId="36">
  <autoFilter ref="A1:B1000">
    <filterColumn colId="0" hiddenButton="1"/>
    <filterColumn colId="1" hiddenButton="1"/>
  </autoFilter>
  <tableColumns count="2">
    <tableColumn id="1" name="번호" dataDxfId="35"/>
    <tableColumn id="2" name="좌표" dataDxfId="34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7" name="표7" displayName="표7" ref="A1:H298" totalsRowShown="0" headerRowDxfId="33" dataDxfId="32">
  <tableColumns count="8">
    <tableColumn id="1" name="번호" dataDxfId="31"/>
    <tableColumn id="2" name="회원번호" dataDxfId="30"/>
    <tableColumn id="3" name="음식점" dataDxfId="29"/>
    <tableColumn id="4" name="음식이름" dataDxfId="28"/>
    <tableColumn id="5" name="개수" dataDxfId="27"/>
    <tableColumn id="6" name="구매날짜" dataDxfId="26"/>
    <tableColumn id="7" name="배달료" dataDxfId="25"/>
    <tableColumn id="8" name="가격 (원가)" dataDxfId="24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8" name="표8" displayName="표8" ref="A1:H186" totalsRowShown="0" headerRowDxfId="23" dataDxfId="22">
  <tableColumns count="8">
    <tableColumn id="1" name="번호" dataDxfId="21"/>
    <tableColumn id="2" name="회원번호" dataDxfId="20"/>
    <tableColumn id="3" name="음식점 번호" dataDxfId="19"/>
    <tableColumn id="4" name="음식점" dataDxfId="18"/>
    <tableColumn id="5" name="구매날짜" dataDxfId="17"/>
    <tableColumn id="6" name="리뷰" dataDxfId="16"/>
    <tableColumn id="7" name="별점" dataDxfId="15"/>
    <tableColumn id="8" name="공개여부" dataDxfId="14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table" Target="../tables/table5.xml"/><Relationship Id="rId4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13.emf"/><Relationship Id="rId5" Type="http://schemas.openxmlformats.org/officeDocument/2006/relationships/control" Target="../activeX/activeX11.xml"/><Relationship Id="rId4" Type="http://schemas.openxmlformats.org/officeDocument/2006/relationships/image" Target="../media/image1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table" Target="../tables/table6.xml"/><Relationship Id="rId4" Type="http://schemas.openxmlformats.org/officeDocument/2006/relationships/image" Target="../media/image14.emf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48576"/>
  <sheetViews>
    <sheetView zoomScale="115" zoomScaleNormal="115" workbookViewId="0"/>
  </sheetViews>
  <sheetFormatPr defaultColWidth="0" defaultRowHeight="16.5" zeroHeight="1" x14ac:dyDescent="0.3"/>
  <cols>
    <col min="1" max="14" width="9" style="1" customWidth="1"/>
    <col min="15" max="16384" width="9" style="1" hidden="1"/>
  </cols>
  <sheetData>
    <row r="1" spans="1:1" x14ac:dyDescent="0.3">
      <c r="A1" s="1" t="s">
        <v>0</v>
      </c>
    </row>
    <row r="2" spans="1:1" x14ac:dyDescent="0.3">
      <c r="A2" s="1">
        <v>250</v>
      </c>
    </row>
    <row r="3" spans="1:1" x14ac:dyDescent="0.3"/>
    <row r="4" spans="1:1" x14ac:dyDescent="0.3"/>
    <row r="5" spans="1:1" x14ac:dyDescent="0.3"/>
    <row r="6" spans="1:1" x14ac:dyDescent="0.3"/>
    <row r="7" spans="1:1" x14ac:dyDescent="0.3"/>
    <row r="8" spans="1:1" x14ac:dyDescent="0.3"/>
    <row r="9" spans="1:1" x14ac:dyDescent="0.3"/>
    <row r="10" spans="1:1" hidden="1" x14ac:dyDescent="0.3"/>
    <row r="11" spans="1:1" hidden="1" x14ac:dyDescent="0.3"/>
    <row r="12" spans="1:1" hidden="1" x14ac:dyDescent="0.3"/>
    <row r="13" spans="1:1" hidden="1" x14ac:dyDescent="0.3"/>
    <row r="14" spans="1:1" hidden="1" x14ac:dyDescent="0.3"/>
    <row r="15" spans="1:1" hidden="1" x14ac:dyDescent="0.3"/>
    <row r="1048576" ht="1.5" customHeight="1" x14ac:dyDescent="0.3"/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4"/>
  <sheetViews>
    <sheetView zoomScale="115" zoomScaleNormal="115" workbookViewId="0"/>
  </sheetViews>
  <sheetFormatPr defaultColWidth="0" defaultRowHeight="16.5" zeroHeight="1" x14ac:dyDescent="0.3"/>
  <cols>
    <col min="1" max="13" width="9" style="1" customWidth="1"/>
    <col min="14" max="16384" width="9" style="1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hidden="1" x14ac:dyDescent="0.3"/>
    <row r="27" hidden="1" x14ac:dyDescent="0.3"/>
    <row r="28" hidden="1" x14ac:dyDescent="0.3"/>
    <row r="29" hidden="1" x14ac:dyDescent="0.3"/>
    <row r="30" hidden="1" x14ac:dyDescent="0.3"/>
    <row r="31" hidden="1" x14ac:dyDescent="0.3"/>
    <row r="3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18</xdr:row>
                <xdr:rowOff>180975</xdr:rowOff>
              </from>
              <to>
                <xdr:col>11</xdr:col>
                <xdr:colOff>38100</xdr:colOff>
                <xdr:row>20</xdr:row>
                <xdr:rowOff>180975</xdr:rowOff>
              </to>
            </anchor>
          </controlPr>
        </control>
      </mc:Choice>
      <mc:Fallback>
        <control shapeId="2050" r:id="rId3" name="CommandButton1"/>
      </mc:Fallback>
    </mc:AlternateContent>
    <mc:AlternateContent xmlns:mc="http://schemas.openxmlformats.org/markup-compatibility/2006">
      <mc:Choice Requires="x14">
        <control shapeId="2051" r:id="rId5" name="CommandButton2">
          <controlPr defaultSize="0" autoLine="0" r:id="rId6">
            <anchor moveWithCells="1">
              <from>
                <xdr:col>9</xdr:col>
                <xdr:colOff>142875</xdr:colOff>
                <xdr:row>3</xdr:row>
                <xdr:rowOff>19050</xdr:rowOff>
              </from>
              <to>
                <xdr:col>10</xdr:col>
                <xdr:colOff>666750</xdr:colOff>
                <xdr:row>4</xdr:row>
                <xdr:rowOff>171450</xdr:rowOff>
              </to>
            </anchor>
          </controlPr>
        </control>
      </mc:Choice>
      <mc:Fallback>
        <control shapeId="2051" r:id="rId5" name="CommandButton2"/>
      </mc:Fallback>
    </mc:AlternateContent>
    <mc:AlternateContent xmlns:mc="http://schemas.openxmlformats.org/markup-compatibility/2006">
      <mc:Choice Requires="x14">
        <control shapeId="2052" r:id="rId7" name="CommandButton3">
          <controlPr defaultSize="0" autoLine="0" r:id="rId8">
            <anchor moveWithCells="1">
              <from>
                <xdr:col>9</xdr:col>
                <xdr:colOff>142875</xdr:colOff>
                <xdr:row>5</xdr:row>
                <xdr:rowOff>85725</xdr:rowOff>
              </from>
              <to>
                <xdr:col>10</xdr:col>
                <xdr:colOff>666750</xdr:colOff>
                <xdr:row>7</xdr:row>
                <xdr:rowOff>28575</xdr:rowOff>
              </to>
            </anchor>
          </controlPr>
        </control>
      </mc:Choice>
      <mc:Fallback>
        <control shapeId="2052" r:id="rId7" name="CommandButton3"/>
      </mc:Fallback>
    </mc:AlternateContent>
    <mc:AlternateContent xmlns:mc="http://schemas.openxmlformats.org/markup-compatibility/2006">
      <mc:Choice Requires="x14">
        <control shapeId="2053" r:id="rId9" name="CommandButton4">
          <controlPr defaultSize="0" autoLine="0" r:id="rId10">
            <anchor moveWithCells="1">
              <from>
                <xdr:col>9</xdr:col>
                <xdr:colOff>142875</xdr:colOff>
                <xdr:row>8</xdr:row>
                <xdr:rowOff>0</xdr:rowOff>
              </from>
              <to>
                <xdr:col>10</xdr:col>
                <xdr:colOff>666750</xdr:colOff>
                <xdr:row>9</xdr:row>
                <xdr:rowOff>152400</xdr:rowOff>
              </to>
            </anchor>
          </controlPr>
        </control>
      </mc:Choice>
      <mc:Fallback>
        <control shapeId="2053" r:id="rId9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89"/>
  <sheetViews>
    <sheetView zoomScale="85" zoomScaleNormal="85" workbookViewId="0">
      <selection activeCell="R16" sqref="R16"/>
    </sheetView>
  </sheetViews>
  <sheetFormatPr defaultRowHeight="16.5" x14ac:dyDescent="0.3"/>
  <cols>
    <col min="1" max="1" width="6.5" style="3" bestFit="1" customWidth="1"/>
    <col min="2" max="2" width="22.125" style="3" bestFit="1" customWidth="1"/>
    <col min="3" max="3" width="11.375" style="3" bestFit="1" customWidth="1"/>
    <col min="4" max="4" width="9.25" style="3" bestFit="1" customWidth="1"/>
    <col min="5" max="5" width="9.75" style="3" bestFit="1" customWidth="1"/>
    <col min="6" max="6" width="8.875" style="3" bestFit="1" customWidth="1"/>
    <col min="7" max="11" width="0" style="1" hidden="1" customWidth="1"/>
    <col min="12" max="16384" width="9" style="1"/>
  </cols>
  <sheetData>
    <row r="1" spans="1:13" x14ac:dyDescent="0.3">
      <c r="A1" s="7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  <c r="G1" s="3" t="s">
        <v>3616</v>
      </c>
      <c r="H1" s="3" t="s">
        <v>3617</v>
      </c>
      <c r="I1" s="3" t="s">
        <v>3618</v>
      </c>
      <c r="J1" s="3" t="s">
        <v>3619</v>
      </c>
      <c r="K1" s="3" t="s">
        <v>3623</v>
      </c>
    </row>
    <row r="2" spans="1:13" x14ac:dyDescent="0.3">
      <c r="A2" s="3" t="s">
        <v>7</v>
      </c>
      <c r="B2" s="3" t="s">
        <v>8</v>
      </c>
      <c r="C2" s="4" t="s">
        <v>3621</v>
      </c>
      <c r="D2" s="3" t="s">
        <v>9</v>
      </c>
      <c r="E2" s="3" t="s">
        <v>10</v>
      </c>
      <c r="F2" s="3" t="str">
        <f>fn등급(표2[[#This Row],[번호]])</f>
        <v>VIP</v>
      </c>
      <c r="G2" s="3" t="b">
        <f>AND(VALUE(LEFT(표2[[#This Row],[좌표]], FIND(",",표2[[#This Row],[좌표]], 1)-1)) &lt; 100, VALUE(LEFT(표2[[#This Row],[좌표]], FIND(",",표2[[#This Row],[좌표]], 1)-1)) &gt; -1)</f>
        <v>1</v>
      </c>
      <c r="H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" s="5">
        <f>COUNTIFS(표2[좌표],표2[[#This Row],[좌표]])</f>
        <v>1</v>
      </c>
      <c r="J2" s="5">
        <f>COUNTIFS(표6[좌표],표2[[#This Row],[좌표]])</f>
        <v>0</v>
      </c>
      <c r="K2" s="5" t="b">
        <f xml:space="preserve"> 표2[[#This Row],[회원]]+표2[[#This Row],[벽]] &lt;= 1</f>
        <v>1</v>
      </c>
      <c r="M2" s="6"/>
    </row>
    <row r="3" spans="1:13" x14ac:dyDescent="0.3">
      <c r="A3" s="3" t="s">
        <v>11</v>
      </c>
      <c r="B3" s="3" t="s">
        <v>12</v>
      </c>
      <c r="C3" s="4" t="s">
        <v>13</v>
      </c>
      <c r="D3" s="3" t="s">
        <v>14</v>
      </c>
      <c r="E3" s="3" t="s">
        <v>15</v>
      </c>
      <c r="F3" s="3" t="str">
        <f>fn등급(표2[[#This Row],[번호]])</f>
        <v>Gold</v>
      </c>
      <c r="G3" s="3" t="b">
        <f>AND(VALUE(LEFT(표2[[#This Row],[좌표]], FIND(",",표2[[#This Row],[좌표]], 1)-1)) &lt; 100, VALUE(LEFT(표2[[#This Row],[좌표]], FIND(",",표2[[#This Row],[좌표]], 1)-1)) &gt; -1)</f>
        <v>1</v>
      </c>
      <c r="H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" s="5">
        <f>COUNTIFS(표2[좌표],표2[[#This Row],[좌표]])</f>
        <v>1</v>
      </c>
      <c r="J3" s="5">
        <f>COUNTIFS(표6[좌표],표2[[#This Row],[좌표]])</f>
        <v>0</v>
      </c>
      <c r="K3" s="5" t="b">
        <f xml:space="preserve"> 표2[[#This Row],[회원]]+표2[[#This Row],[벽]] &lt;= 1</f>
        <v>1</v>
      </c>
    </row>
    <row r="4" spans="1:13" x14ac:dyDescent="0.3">
      <c r="A4" s="3" t="s">
        <v>16</v>
      </c>
      <c r="B4" s="3" t="s">
        <v>17</v>
      </c>
      <c r="C4" s="4" t="s">
        <v>18</v>
      </c>
      <c r="D4" s="3" t="s">
        <v>19</v>
      </c>
      <c r="E4" s="3" t="s">
        <v>20</v>
      </c>
      <c r="F4" s="3" t="str">
        <f>fn등급(표2[[#This Row],[번호]])</f>
        <v>VIP</v>
      </c>
      <c r="G4" s="3" t="b">
        <f>AND(VALUE(LEFT(표2[[#This Row],[좌표]], FIND(",",표2[[#This Row],[좌표]], 1)-1)) &lt; 100, VALUE(LEFT(표2[[#This Row],[좌표]], FIND(",",표2[[#This Row],[좌표]], 1)-1)) &gt; -1)</f>
        <v>1</v>
      </c>
      <c r="H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" s="5">
        <f>COUNTIFS(표2[좌표],표2[[#This Row],[좌표]])</f>
        <v>1</v>
      </c>
      <c r="J4" s="5">
        <f>COUNTIFS(표6[좌표],표2[[#This Row],[좌표]])</f>
        <v>0</v>
      </c>
      <c r="K4" s="5" t="b">
        <f xml:space="preserve"> 표2[[#This Row],[회원]]+표2[[#This Row],[벽]] &lt;= 1</f>
        <v>1</v>
      </c>
    </row>
    <row r="5" spans="1:13" x14ac:dyDescent="0.3">
      <c r="A5" s="3" t="s">
        <v>21</v>
      </c>
      <c r="B5" s="3" t="s">
        <v>22</v>
      </c>
      <c r="C5" s="4" t="s">
        <v>3622</v>
      </c>
      <c r="D5" s="3" t="s">
        <v>23</v>
      </c>
      <c r="E5" s="3" t="s">
        <v>24</v>
      </c>
      <c r="F5" s="3" t="str">
        <f>fn등급(표2[[#This Row],[번호]])</f>
        <v>Gold</v>
      </c>
      <c r="G5" s="3" t="b">
        <f>AND(VALUE(LEFT(표2[[#This Row],[좌표]], FIND(",",표2[[#This Row],[좌표]], 1)-1)) &lt; 100, VALUE(LEFT(표2[[#This Row],[좌표]], FIND(",",표2[[#This Row],[좌표]], 1)-1)) &gt; -1)</f>
        <v>1</v>
      </c>
      <c r="H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" s="5">
        <f>COUNTIFS(표2[좌표],표2[[#This Row],[좌표]])</f>
        <v>1</v>
      </c>
      <c r="J5" s="5">
        <f>COUNTIFS(표6[좌표],표2[[#This Row],[좌표]])</f>
        <v>0</v>
      </c>
      <c r="K5" s="5" t="b">
        <f xml:space="preserve"> 표2[[#This Row],[회원]]+표2[[#This Row],[벽]] &lt;= 1</f>
        <v>1</v>
      </c>
    </row>
    <row r="6" spans="1:13" x14ac:dyDescent="0.3">
      <c r="A6" s="3" t="s">
        <v>25</v>
      </c>
      <c r="B6" s="3" t="s">
        <v>26</v>
      </c>
      <c r="C6" s="4" t="s">
        <v>27</v>
      </c>
      <c r="D6" s="3" t="s">
        <v>28</v>
      </c>
      <c r="E6" s="3" t="s">
        <v>29</v>
      </c>
      <c r="F6" s="3" t="str">
        <f>fn등급(표2[[#This Row],[번호]])</f>
        <v>VIP</v>
      </c>
      <c r="G6" s="3" t="b">
        <f>AND(VALUE(LEFT(표2[[#This Row],[좌표]], FIND(",",표2[[#This Row],[좌표]], 1)-1)) &lt; 100, VALUE(LEFT(표2[[#This Row],[좌표]], FIND(",",표2[[#This Row],[좌표]], 1)-1)) &gt; -1)</f>
        <v>1</v>
      </c>
      <c r="H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" s="5">
        <f>COUNTIFS(표2[좌표],표2[[#This Row],[좌표]])</f>
        <v>1</v>
      </c>
      <c r="J6" s="5">
        <f>COUNTIFS(표6[좌표],표2[[#This Row],[좌표]])</f>
        <v>0</v>
      </c>
      <c r="K6" s="5" t="b">
        <f xml:space="preserve"> 표2[[#This Row],[회원]]+표2[[#This Row],[벽]] &lt;= 1</f>
        <v>1</v>
      </c>
    </row>
    <row r="7" spans="1:13" x14ac:dyDescent="0.3">
      <c r="A7" s="3" t="s">
        <v>30</v>
      </c>
      <c r="B7" s="3" t="s">
        <v>31</v>
      </c>
      <c r="C7" s="4" t="s">
        <v>32</v>
      </c>
      <c r="D7" s="3" t="s">
        <v>33</v>
      </c>
      <c r="E7" s="3" t="s">
        <v>34</v>
      </c>
      <c r="F7" s="3" t="str">
        <f>fn등급(표2[[#This Row],[번호]])</f>
        <v>Gold</v>
      </c>
      <c r="G7" s="3" t="b">
        <f>AND(VALUE(LEFT(표2[[#This Row],[좌표]], FIND(",",표2[[#This Row],[좌표]], 1)-1)) &lt; 100, VALUE(LEFT(표2[[#This Row],[좌표]], FIND(",",표2[[#This Row],[좌표]], 1)-1)) &gt; -1)</f>
        <v>1</v>
      </c>
      <c r="H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" s="5">
        <f>COUNTIFS(표2[좌표],표2[[#This Row],[좌표]])</f>
        <v>1</v>
      </c>
      <c r="J7" s="5">
        <f>COUNTIFS(표6[좌표],표2[[#This Row],[좌표]])</f>
        <v>0</v>
      </c>
      <c r="K7" s="5" t="b">
        <f xml:space="preserve"> 표2[[#This Row],[회원]]+표2[[#This Row],[벽]] &lt;= 1</f>
        <v>1</v>
      </c>
    </row>
    <row r="8" spans="1:13" x14ac:dyDescent="0.3">
      <c r="A8" s="3" t="s">
        <v>35</v>
      </c>
      <c r="B8" s="3" t="s">
        <v>36</v>
      </c>
      <c r="C8" s="4" t="s">
        <v>37</v>
      </c>
      <c r="D8" s="3" t="s">
        <v>38</v>
      </c>
      <c r="E8" s="3" t="s">
        <v>39</v>
      </c>
      <c r="F8" s="3" t="str">
        <f>fn등급(표2[[#This Row],[번호]])</f>
        <v>Silver</v>
      </c>
      <c r="G8" s="3" t="b">
        <f>AND(VALUE(LEFT(표2[[#This Row],[좌표]], FIND(",",표2[[#This Row],[좌표]], 1)-1)) &lt; 100, VALUE(LEFT(표2[[#This Row],[좌표]], FIND(",",표2[[#This Row],[좌표]], 1)-1)) &gt; -1)</f>
        <v>1</v>
      </c>
      <c r="H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" s="5">
        <f>COUNTIFS(표2[좌표],표2[[#This Row],[좌표]])</f>
        <v>1</v>
      </c>
      <c r="J8" s="5">
        <f>COUNTIFS(표6[좌표],표2[[#This Row],[좌표]])</f>
        <v>0</v>
      </c>
      <c r="K8" s="5" t="b">
        <f xml:space="preserve"> 표2[[#This Row],[회원]]+표2[[#This Row],[벽]] &lt;= 1</f>
        <v>1</v>
      </c>
    </row>
    <row r="9" spans="1:13" x14ac:dyDescent="0.3">
      <c r="A9" s="3" t="s">
        <v>40</v>
      </c>
      <c r="B9" s="3" t="s">
        <v>41</v>
      </c>
      <c r="C9" s="4" t="s">
        <v>42</v>
      </c>
      <c r="D9" s="3" t="s">
        <v>43</v>
      </c>
      <c r="E9" s="3" t="s">
        <v>44</v>
      </c>
      <c r="F9" s="3" t="str">
        <f>fn등급(표2[[#This Row],[번호]])</f>
        <v>Gold</v>
      </c>
      <c r="G9" s="3" t="b">
        <f>AND(VALUE(LEFT(표2[[#This Row],[좌표]], FIND(",",표2[[#This Row],[좌표]], 1)-1)) &lt; 100, VALUE(LEFT(표2[[#This Row],[좌표]], FIND(",",표2[[#This Row],[좌표]], 1)-1)) &gt; -1)</f>
        <v>1</v>
      </c>
      <c r="H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" s="5">
        <f>COUNTIFS(표2[좌표],표2[[#This Row],[좌표]])</f>
        <v>1</v>
      </c>
      <c r="J9" s="5">
        <f>COUNTIFS(표6[좌표],표2[[#This Row],[좌표]])</f>
        <v>0</v>
      </c>
      <c r="K9" s="5" t="b">
        <f xml:space="preserve"> 표2[[#This Row],[회원]]+표2[[#This Row],[벽]] &lt;= 1</f>
        <v>1</v>
      </c>
    </row>
    <row r="10" spans="1:13" x14ac:dyDescent="0.3">
      <c r="A10" s="3" t="s">
        <v>45</v>
      </c>
      <c r="B10" s="3" t="s">
        <v>46</v>
      </c>
      <c r="C10" s="4" t="s">
        <v>47</v>
      </c>
      <c r="D10" s="3" t="s">
        <v>48</v>
      </c>
      <c r="E10" s="3" t="s">
        <v>49</v>
      </c>
      <c r="F10" s="3" t="str">
        <f>fn등급(표2[[#This Row],[번호]])</f>
        <v>VIP</v>
      </c>
      <c r="G10" s="3" t="b">
        <f>AND(VALUE(LEFT(표2[[#This Row],[좌표]], FIND(",",표2[[#This Row],[좌표]], 1)-1)) &lt; 100, VALUE(LEFT(표2[[#This Row],[좌표]], FIND(",",표2[[#This Row],[좌표]], 1)-1)) &gt; -1)</f>
        <v>1</v>
      </c>
      <c r="H1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" s="5">
        <f>COUNTIFS(표2[좌표],표2[[#This Row],[좌표]])</f>
        <v>1</v>
      </c>
      <c r="J10" s="5">
        <f>COUNTIFS(표6[좌표],표2[[#This Row],[좌표]])</f>
        <v>0</v>
      </c>
      <c r="K10" s="5" t="b">
        <f xml:space="preserve"> 표2[[#This Row],[회원]]+표2[[#This Row],[벽]] &lt;= 1</f>
        <v>1</v>
      </c>
    </row>
    <row r="11" spans="1:13" x14ac:dyDescent="0.3">
      <c r="A11" s="3" t="s">
        <v>50</v>
      </c>
      <c r="B11" s="3" t="s">
        <v>51</v>
      </c>
      <c r="C11" s="4" t="s">
        <v>52</v>
      </c>
      <c r="D11" s="3" t="s">
        <v>53</v>
      </c>
      <c r="E11" s="3" t="s">
        <v>54</v>
      </c>
      <c r="F11" s="3" t="str">
        <f>fn등급(표2[[#This Row],[번호]])</f>
        <v>Silver</v>
      </c>
      <c r="G11" s="3" t="b">
        <f>AND(VALUE(LEFT(표2[[#This Row],[좌표]], FIND(",",표2[[#This Row],[좌표]], 1)-1)) &lt; 100, VALUE(LEFT(표2[[#This Row],[좌표]], FIND(",",표2[[#This Row],[좌표]], 1)-1)) &gt; -1)</f>
        <v>1</v>
      </c>
      <c r="H1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" s="5">
        <f>COUNTIFS(표2[좌표],표2[[#This Row],[좌표]])</f>
        <v>1</v>
      </c>
      <c r="J11" s="5">
        <f>COUNTIFS(표6[좌표],표2[[#This Row],[좌표]])</f>
        <v>0</v>
      </c>
      <c r="K11" s="5" t="b">
        <f xml:space="preserve"> 표2[[#This Row],[회원]]+표2[[#This Row],[벽]] &lt;= 1</f>
        <v>1</v>
      </c>
    </row>
    <row r="12" spans="1:13" x14ac:dyDescent="0.3">
      <c r="A12" s="3" t="s">
        <v>55</v>
      </c>
      <c r="B12" s="3" t="s">
        <v>56</v>
      </c>
      <c r="C12" s="4" t="s">
        <v>57</v>
      </c>
      <c r="D12" s="3" t="s">
        <v>58</v>
      </c>
      <c r="E12" s="3" t="s">
        <v>59</v>
      </c>
      <c r="F12" s="3" t="str">
        <f>fn등급(표2[[#This Row],[번호]])</f>
        <v>Gold</v>
      </c>
      <c r="G12" s="3" t="b">
        <f>AND(VALUE(LEFT(표2[[#This Row],[좌표]], FIND(",",표2[[#This Row],[좌표]], 1)-1)) &lt; 100, VALUE(LEFT(표2[[#This Row],[좌표]], FIND(",",표2[[#This Row],[좌표]], 1)-1)) &gt; -1)</f>
        <v>1</v>
      </c>
      <c r="H1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" s="5">
        <f>COUNTIFS(표2[좌표],표2[[#This Row],[좌표]])</f>
        <v>1</v>
      </c>
      <c r="J12" s="5">
        <f>COUNTIFS(표6[좌표],표2[[#This Row],[좌표]])</f>
        <v>0</v>
      </c>
      <c r="K12" s="5" t="b">
        <f xml:space="preserve"> 표2[[#This Row],[회원]]+표2[[#This Row],[벽]] &lt;= 1</f>
        <v>1</v>
      </c>
    </row>
    <row r="13" spans="1:13" x14ac:dyDescent="0.3">
      <c r="A13" s="3" t="s">
        <v>60</v>
      </c>
      <c r="B13" s="3" t="s">
        <v>61</v>
      </c>
      <c r="C13" s="4" t="s">
        <v>62</v>
      </c>
      <c r="D13" s="3" t="s">
        <v>63</v>
      </c>
      <c r="E13" s="3" t="s">
        <v>64</v>
      </c>
      <c r="F13" s="3" t="str">
        <f>fn등급(표2[[#This Row],[번호]])</f>
        <v>Gold</v>
      </c>
      <c r="G13" s="3" t="b">
        <f>AND(VALUE(LEFT(표2[[#This Row],[좌표]], FIND(",",표2[[#This Row],[좌표]], 1)-1)) &lt; 100, VALUE(LEFT(표2[[#This Row],[좌표]], FIND(",",표2[[#This Row],[좌표]], 1)-1)) &gt; -1)</f>
        <v>1</v>
      </c>
      <c r="H1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" s="5">
        <f>COUNTIFS(표2[좌표],표2[[#This Row],[좌표]])</f>
        <v>1</v>
      </c>
      <c r="J13" s="5">
        <f>COUNTIFS(표6[좌표],표2[[#This Row],[좌표]])</f>
        <v>0</v>
      </c>
      <c r="K13" s="5" t="b">
        <f xml:space="preserve"> 표2[[#This Row],[회원]]+표2[[#This Row],[벽]] &lt;= 1</f>
        <v>1</v>
      </c>
    </row>
    <row r="14" spans="1:13" x14ac:dyDescent="0.3">
      <c r="A14" s="3" t="s">
        <v>65</v>
      </c>
      <c r="B14" s="3" t="s">
        <v>3620</v>
      </c>
      <c r="C14" s="4" t="s">
        <v>66</v>
      </c>
      <c r="D14" s="3" t="s">
        <v>67</v>
      </c>
      <c r="E14" s="3" t="s">
        <v>68</v>
      </c>
      <c r="F14" s="3" t="str">
        <f>fn등급(표2[[#This Row],[번호]])</f>
        <v>Silver</v>
      </c>
      <c r="G14" s="3" t="b">
        <f>AND(VALUE(LEFT(표2[[#This Row],[좌표]], FIND(",",표2[[#This Row],[좌표]], 1)-1)) &lt; 100, VALUE(LEFT(표2[[#This Row],[좌표]], FIND(",",표2[[#This Row],[좌표]], 1)-1)) &gt; -1)</f>
        <v>1</v>
      </c>
      <c r="H1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" s="5">
        <f>COUNTIFS(표2[좌표],표2[[#This Row],[좌표]])</f>
        <v>1</v>
      </c>
      <c r="J14" s="5">
        <f>COUNTIFS(표6[좌표],표2[[#This Row],[좌표]])</f>
        <v>0</v>
      </c>
      <c r="K14" s="5" t="b">
        <f xml:space="preserve"> 표2[[#This Row],[회원]]+표2[[#This Row],[벽]] &lt;= 1</f>
        <v>1</v>
      </c>
    </row>
    <row r="15" spans="1:13" x14ac:dyDescent="0.3">
      <c r="A15" s="3" t="s">
        <v>69</v>
      </c>
      <c r="B15" s="3" t="s">
        <v>70</v>
      </c>
      <c r="C15" s="4" t="s">
        <v>71</v>
      </c>
      <c r="D15" s="3" t="s">
        <v>72</v>
      </c>
      <c r="E15" s="3" t="s">
        <v>73</v>
      </c>
      <c r="F15" s="3" t="str">
        <f>fn등급(표2[[#This Row],[번호]])</f>
        <v>Gold</v>
      </c>
      <c r="G15" s="3" t="b">
        <f>AND(VALUE(LEFT(표2[[#This Row],[좌표]], FIND(",",표2[[#This Row],[좌표]], 1)-1)) &lt; 100, VALUE(LEFT(표2[[#This Row],[좌표]], FIND(",",표2[[#This Row],[좌표]], 1)-1)) &gt; -1)</f>
        <v>1</v>
      </c>
      <c r="H1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" s="5">
        <f>COUNTIFS(표2[좌표],표2[[#This Row],[좌표]])</f>
        <v>1</v>
      </c>
      <c r="J15" s="5">
        <f>COUNTIFS(표6[좌표],표2[[#This Row],[좌표]])</f>
        <v>0</v>
      </c>
      <c r="K15" s="5" t="b">
        <f xml:space="preserve"> 표2[[#This Row],[회원]]+표2[[#This Row],[벽]] &lt;= 1</f>
        <v>1</v>
      </c>
    </row>
    <row r="16" spans="1:13" x14ac:dyDescent="0.3">
      <c r="A16" s="3" t="s">
        <v>74</v>
      </c>
      <c r="B16" s="3" t="s">
        <v>75</v>
      </c>
      <c r="C16" s="4" t="s">
        <v>76</v>
      </c>
      <c r="D16" s="3" t="s">
        <v>77</v>
      </c>
      <c r="E16" s="3" t="s">
        <v>78</v>
      </c>
      <c r="F16" s="3" t="str">
        <f>fn등급(표2[[#This Row],[번호]])</f>
        <v>Silver</v>
      </c>
      <c r="G16" s="3" t="b">
        <f>AND(VALUE(LEFT(표2[[#This Row],[좌표]], FIND(",",표2[[#This Row],[좌표]], 1)-1)) &lt; 100, VALUE(LEFT(표2[[#This Row],[좌표]], FIND(",",표2[[#This Row],[좌표]], 1)-1)) &gt; -1)</f>
        <v>1</v>
      </c>
      <c r="H1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" s="5">
        <f>COUNTIFS(표2[좌표],표2[[#This Row],[좌표]])</f>
        <v>1</v>
      </c>
      <c r="J16" s="5">
        <f>COUNTIFS(표6[좌표],표2[[#This Row],[좌표]])</f>
        <v>0</v>
      </c>
      <c r="K16" s="5" t="b">
        <f xml:space="preserve"> 표2[[#This Row],[회원]]+표2[[#This Row],[벽]] &lt;= 1</f>
        <v>1</v>
      </c>
    </row>
    <row r="17" spans="1:11" x14ac:dyDescent="0.3">
      <c r="A17" s="3" t="s">
        <v>79</v>
      </c>
      <c r="B17" s="3" t="s">
        <v>80</v>
      </c>
      <c r="C17" s="4" t="s">
        <v>81</v>
      </c>
      <c r="D17" s="3" t="s">
        <v>82</v>
      </c>
      <c r="E17" s="3" t="s">
        <v>83</v>
      </c>
      <c r="F17" s="3" t="str">
        <f>fn등급(표2[[#This Row],[번호]])</f>
        <v>Normal</v>
      </c>
      <c r="G17" s="3" t="b">
        <f>AND(VALUE(LEFT(표2[[#This Row],[좌표]], FIND(",",표2[[#This Row],[좌표]], 1)-1)) &lt; 100, VALUE(LEFT(표2[[#This Row],[좌표]], FIND(",",표2[[#This Row],[좌표]], 1)-1)) &gt; -1)</f>
        <v>1</v>
      </c>
      <c r="H1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" s="5">
        <f>COUNTIFS(표2[좌표],표2[[#This Row],[좌표]])</f>
        <v>1</v>
      </c>
      <c r="J17" s="5">
        <f>COUNTIFS(표6[좌표],표2[[#This Row],[좌표]])</f>
        <v>0</v>
      </c>
      <c r="K17" s="5" t="b">
        <f xml:space="preserve"> 표2[[#This Row],[회원]]+표2[[#This Row],[벽]] &lt;= 1</f>
        <v>1</v>
      </c>
    </row>
    <row r="18" spans="1:11" x14ac:dyDescent="0.3">
      <c r="A18" s="3" t="s">
        <v>84</v>
      </c>
      <c r="B18" s="3" t="s">
        <v>85</v>
      </c>
      <c r="C18" s="4" t="s">
        <v>86</v>
      </c>
      <c r="D18" s="3" t="s">
        <v>87</v>
      </c>
      <c r="E18" s="3" t="s">
        <v>88</v>
      </c>
      <c r="F18" s="3" t="str">
        <f>fn등급(표2[[#This Row],[번호]])</f>
        <v>Gold</v>
      </c>
      <c r="G18" s="3" t="b">
        <f>AND(VALUE(LEFT(표2[[#This Row],[좌표]], FIND(",",표2[[#This Row],[좌표]], 1)-1)) &lt; 100, VALUE(LEFT(표2[[#This Row],[좌표]], FIND(",",표2[[#This Row],[좌표]], 1)-1)) &gt; -1)</f>
        <v>1</v>
      </c>
      <c r="H1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8" s="5">
        <f>COUNTIFS(표2[좌표],표2[[#This Row],[좌표]])</f>
        <v>1</v>
      </c>
      <c r="J18" s="5">
        <f>COUNTIFS(표6[좌표],표2[[#This Row],[좌표]])</f>
        <v>0</v>
      </c>
      <c r="K18" s="5" t="b">
        <f xml:space="preserve"> 표2[[#This Row],[회원]]+표2[[#This Row],[벽]] &lt;= 1</f>
        <v>1</v>
      </c>
    </row>
    <row r="19" spans="1:11" x14ac:dyDescent="0.3">
      <c r="A19" s="3" t="s">
        <v>89</v>
      </c>
      <c r="B19" s="3" t="s">
        <v>90</v>
      </c>
      <c r="C19" s="4" t="s">
        <v>91</v>
      </c>
      <c r="D19" s="3" t="s">
        <v>92</v>
      </c>
      <c r="E19" s="3" t="s">
        <v>93</v>
      </c>
      <c r="F19" s="3" t="str">
        <f>fn등급(표2[[#This Row],[번호]])</f>
        <v>Normal</v>
      </c>
      <c r="G19" s="3" t="b">
        <f>AND(VALUE(LEFT(표2[[#This Row],[좌표]], FIND(",",표2[[#This Row],[좌표]], 1)-1)) &lt; 100, VALUE(LEFT(표2[[#This Row],[좌표]], FIND(",",표2[[#This Row],[좌표]], 1)-1)) &gt; -1)</f>
        <v>1</v>
      </c>
      <c r="H1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9" s="5">
        <f>COUNTIFS(표2[좌표],표2[[#This Row],[좌표]])</f>
        <v>1</v>
      </c>
      <c r="J19" s="5">
        <f>COUNTIFS(표6[좌표],표2[[#This Row],[좌표]])</f>
        <v>0</v>
      </c>
      <c r="K19" s="5" t="b">
        <f xml:space="preserve"> 표2[[#This Row],[회원]]+표2[[#This Row],[벽]] &lt;= 1</f>
        <v>1</v>
      </c>
    </row>
    <row r="20" spans="1:11" hidden="1" x14ac:dyDescent="0.3">
      <c r="A20" s="3" t="s">
        <v>94</v>
      </c>
      <c r="B20" s="3" t="s">
        <v>95</v>
      </c>
      <c r="C20" s="4" t="s">
        <v>96</v>
      </c>
      <c r="D20" s="3" t="s">
        <v>97</v>
      </c>
      <c r="E20" s="3" t="s">
        <v>98</v>
      </c>
      <c r="F20" s="3" t="str">
        <f>fn등급(표2[[#This Row],[번호]])</f>
        <v>Gold</v>
      </c>
      <c r="G20" s="3" t="b">
        <f>AND(VALUE(LEFT(표2[[#This Row],[좌표]], FIND(",",표2[[#This Row],[좌표]], 1)-1)) &lt; 100, VALUE(LEFT(표2[[#This Row],[좌표]], FIND(",",표2[[#This Row],[좌표]], 1)-1)) &gt; -1)</f>
        <v>1</v>
      </c>
      <c r="H2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0" s="5">
        <f>COUNTIFS(표2[좌표],표2[[#This Row],[좌표]])</f>
        <v>1</v>
      </c>
      <c r="J20" s="5">
        <f>COUNTIFS(표6[좌표],표2[[#This Row],[좌표]])</f>
        <v>0</v>
      </c>
      <c r="K20" s="5" t="b">
        <f xml:space="preserve"> 표2[[#This Row],[회원]]+표2[[#This Row],[벽]] &lt;= 1</f>
        <v>1</v>
      </c>
    </row>
    <row r="21" spans="1:11" hidden="1" x14ac:dyDescent="0.3">
      <c r="A21" s="3" t="s">
        <v>99</v>
      </c>
      <c r="B21" s="3" t="s">
        <v>100</v>
      </c>
      <c r="C21" s="4" t="s">
        <v>101</v>
      </c>
      <c r="D21" s="3" t="s">
        <v>102</v>
      </c>
      <c r="E21" s="3" t="s">
        <v>103</v>
      </c>
      <c r="F21" s="3" t="str">
        <f>fn등급(표2[[#This Row],[번호]])</f>
        <v>Silver</v>
      </c>
      <c r="G21" s="3" t="b">
        <f>AND(VALUE(LEFT(표2[[#This Row],[좌표]], FIND(",",표2[[#This Row],[좌표]], 1)-1)) &lt; 100, VALUE(LEFT(표2[[#This Row],[좌표]], FIND(",",표2[[#This Row],[좌표]], 1)-1)) &gt; -1)</f>
        <v>1</v>
      </c>
      <c r="H2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1" s="5">
        <f>COUNTIFS(표2[좌표],표2[[#This Row],[좌표]])</f>
        <v>1</v>
      </c>
      <c r="J21" s="5">
        <f>COUNTIFS(표6[좌표],표2[[#This Row],[좌표]])</f>
        <v>0</v>
      </c>
      <c r="K21" s="5" t="b">
        <f xml:space="preserve"> 표2[[#This Row],[회원]]+표2[[#This Row],[벽]] &lt;= 1</f>
        <v>1</v>
      </c>
    </row>
    <row r="22" spans="1:11" hidden="1" x14ac:dyDescent="0.3">
      <c r="A22" s="3" t="s">
        <v>104</v>
      </c>
      <c r="B22" s="3" t="s">
        <v>105</v>
      </c>
      <c r="C22" s="4" t="s">
        <v>106</v>
      </c>
      <c r="D22" s="3" t="s">
        <v>107</v>
      </c>
      <c r="E22" s="3" t="s">
        <v>108</v>
      </c>
      <c r="F22" s="3" t="str">
        <f>fn등급(표2[[#This Row],[번호]])</f>
        <v>Normal</v>
      </c>
      <c r="G22" s="3" t="b">
        <f>AND(VALUE(LEFT(표2[[#This Row],[좌표]], FIND(",",표2[[#This Row],[좌표]], 1)-1)) &lt; 100, VALUE(LEFT(표2[[#This Row],[좌표]], FIND(",",표2[[#This Row],[좌표]], 1)-1)) &gt; -1)</f>
        <v>1</v>
      </c>
      <c r="H2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2" s="5">
        <f>COUNTIFS(표2[좌표],표2[[#This Row],[좌표]])</f>
        <v>1</v>
      </c>
      <c r="J22" s="5">
        <f>COUNTIFS(표6[좌표],표2[[#This Row],[좌표]])</f>
        <v>0</v>
      </c>
      <c r="K22" s="5" t="b">
        <f xml:space="preserve"> 표2[[#This Row],[회원]]+표2[[#This Row],[벽]] &lt;= 1</f>
        <v>1</v>
      </c>
    </row>
    <row r="23" spans="1:11" hidden="1" x14ac:dyDescent="0.3">
      <c r="A23" s="3" t="s">
        <v>109</v>
      </c>
      <c r="B23" s="3" t="s">
        <v>110</v>
      </c>
      <c r="C23" s="4" t="s">
        <v>111</v>
      </c>
      <c r="D23" s="3" t="s">
        <v>112</v>
      </c>
      <c r="E23" s="3" t="s">
        <v>113</v>
      </c>
      <c r="F23" s="3" t="str">
        <f>fn등급(표2[[#This Row],[번호]])</f>
        <v>Gold</v>
      </c>
      <c r="G23" s="3" t="b">
        <f>AND(VALUE(LEFT(표2[[#This Row],[좌표]], FIND(",",표2[[#This Row],[좌표]], 1)-1)) &lt; 100, VALUE(LEFT(표2[[#This Row],[좌표]], FIND(",",표2[[#This Row],[좌표]], 1)-1)) &gt; -1)</f>
        <v>1</v>
      </c>
      <c r="H2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3" s="5">
        <f>COUNTIFS(표2[좌표],표2[[#This Row],[좌표]])</f>
        <v>1</v>
      </c>
      <c r="J23" s="5">
        <f>COUNTIFS(표6[좌표],표2[[#This Row],[좌표]])</f>
        <v>0</v>
      </c>
      <c r="K23" s="5" t="b">
        <f xml:space="preserve"> 표2[[#This Row],[회원]]+표2[[#This Row],[벽]] &lt;= 1</f>
        <v>1</v>
      </c>
    </row>
    <row r="24" spans="1:11" hidden="1" x14ac:dyDescent="0.3">
      <c r="A24" s="3" t="s">
        <v>114</v>
      </c>
      <c r="B24" s="3" t="s">
        <v>115</v>
      </c>
      <c r="C24" s="4" t="s">
        <v>116</v>
      </c>
      <c r="D24" s="3" t="s">
        <v>117</v>
      </c>
      <c r="E24" s="3" t="s">
        <v>118</v>
      </c>
      <c r="F24" s="3" t="str">
        <f>fn등급(표2[[#This Row],[번호]])</f>
        <v>Gold</v>
      </c>
      <c r="G24" s="3" t="b">
        <f>AND(VALUE(LEFT(표2[[#This Row],[좌표]], FIND(",",표2[[#This Row],[좌표]], 1)-1)) &lt; 100, VALUE(LEFT(표2[[#This Row],[좌표]], FIND(",",표2[[#This Row],[좌표]], 1)-1)) &gt; -1)</f>
        <v>1</v>
      </c>
      <c r="H2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4" s="5">
        <f>COUNTIFS(표2[좌표],표2[[#This Row],[좌표]])</f>
        <v>1</v>
      </c>
      <c r="J24" s="5">
        <f>COUNTIFS(표6[좌표],표2[[#This Row],[좌표]])</f>
        <v>0</v>
      </c>
      <c r="K24" s="5" t="b">
        <f xml:space="preserve"> 표2[[#This Row],[회원]]+표2[[#This Row],[벽]] &lt;= 1</f>
        <v>1</v>
      </c>
    </row>
    <row r="25" spans="1:11" hidden="1" x14ac:dyDescent="0.3">
      <c r="A25" s="3" t="s">
        <v>119</v>
      </c>
      <c r="B25" s="3" t="s">
        <v>120</v>
      </c>
      <c r="C25" s="4" t="s">
        <v>121</v>
      </c>
      <c r="D25" s="3" t="s">
        <v>122</v>
      </c>
      <c r="E25" s="3" t="s">
        <v>123</v>
      </c>
      <c r="F25" s="3" t="str">
        <f>fn등급(표2[[#This Row],[번호]])</f>
        <v>Silver</v>
      </c>
      <c r="G25" s="3" t="b">
        <f>AND(VALUE(LEFT(표2[[#This Row],[좌표]], FIND(",",표2[[#This Row],[좌표]], 1)-1)) &lt; 100, VALUE(LEFT(표2[[#This Row],[좌표]], FIND(",",표2[[#This Row],[좌표]], 1)-1)) &gt; -1)</f>
        <v>1</v>
      </c>
      <c r="H2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5" s="5">
        <f>COUNTIFS(표2[좌표],표2[[#This Row],[좌표]])</f>
        <v>1</v>
      </c>
      <c r="J25" s="5">
        <f>COUNTIFS(표6[좌표],표2[[#This Row],[좌표]])</f>
        <v>0</v>
      </c>
      <c r="K25" s="5" t="b">
        <f xml:space="preserve"> 표2[[#This Row],[회원]]+표2[[#This Row],[벽]] &lt;= 1</f>
        <v>1</v>
      </c>
    </row>
    <row r="26" spans="1:11" hidden="1" x14ac:dyDescent="0.3">
      <c r="A26" s="3" t="s">
        <v>124</v>
      </c>
      <c r="B26" s="3" t="s">
        <v>125</v>
      </c>
      <c r="C26" s="4" t="s">
        <v>126</v>
      </c>
      <c r="D26" s="3" t="s">
        <v>127</v>
      </c>
      <c r="E26" s="3" t="s">
        <v>128</v>
      </c>
      <c r="F26" s="3" t="str">
        <f>fn등급(표2[[#This Row],[번호]])</f>
        <v>Normal</v>
      </c>
      <c r="G26" s="3" t="b">
        <f>AND(VALUE(LEFT(표2[[#This Row],[좌표]], FIND(",",표2[[#This Row],[좌표]], 1)-1)) &lt; 100, VALUE(LEFT(표2[[#This Row],[좌표]], FIND(",",표2[[#This Row],[좌표]], 1)-1)) &gt; -1)</f>
        <v>1</v>
      </c>
      <c r="H2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6" s="5">
        <f>COUNTIFS(표2[좌표],표2[[#This Row],[좌표]])</f>
        <v>1</v>
      </c>
      <c r="J26" s="5">
        <f>COUNTIFS(표6[좌표],표2[[#This Row],[좌표]])</f>
        <v>0</v>
      </c>
      <c r="K26" s="5" t="b">
        <f xml:space="preserve"> 표2[[#This Row],[회원]]+표2[[#This Row],[벽]] &lt;= 1</f>
        <v>1</v>
      </c>
    </row>
    <row r="27" spans="1:11" hidden="1" x14ac:dyDescent="0.3">
      <c r="A27" s="3" t="s">
        <v>129</v>
      </c>
      <c r="B27" s="3" t="s">
        <v>130</v>
      </c>
      <c r="C27" s="4" t="s">
        <v>131</v>
      </c>
      <c r="D27" s="3" t="s">
        <v>132</v>
      </c>
      <c r="E27" s="3" t="s">
        <v>133</v>
      </c>
      <c r="F27" s="3" t="str">
        <f>fn등급(표2[[#This Row],[번호]])</f>
        <v>Silver</v>
      </c>
      <c r="G27" s="3" t="b">
        <f>AND(VALUE(LEFT(표2[[#This Row],[좌표]], FIND(",",표2[[#This Row],[좌표]], 1)-1)) &lt; 100, VALUE(LEFT(표2[[#This Row],[좌표]], FIND(",",표2[[#This Row],[좌표]], 1)-1)) &gt; -1)</f>
        <v>1</v>
      </c>
      <c r="H2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7" s="5">
        <f>COUNTIFS(표2[좌표],표2[[#This Row],[좌표]])</f>
        <v>1</v>
      </c>
      <c r="J27" s="5">
        <f>COUNTIFS(표6[좌표],표2[[#This Row],[좌표]])</f>
        <v>0</v>
      </c>
      <c r="K27" s="5" t="b">
        <f xml:space="preserve"> 표2[[#This Row],[회원]]+표2[[#This Row],[벽]] &lt;= 1</f>
        <v>1</v>
      </c>
    </row>
    <row r="28" spans="1:11" hidden="1" x14ac:dyDescent="0.3">
      <c r="A28" s="3" t="s">
        <v>134</v>
      </c>
      <c r="B28" s="3" t="s">
        <v>135</v>
      </c>
      <c r="C28" s="4" t="s">
        <v>136</v>
      </c>
      <c r="D28" s="3" t="s">
        <v>137</v>
      </c>
      <c r="E28" s="3" t="s">
        <v>138</v>
      </c>
      <c r="F28" s="3" t="str">
        <f>fn등급(표2[[#This Row],[번호]])</f>
        <v>Normal</v>
      </c>
      <c r="G28" s="3" t="b">
        <f>AND(VALUE(LEFT(표2[[#This Row],[좌표]], FIND(",",표2[[#This Row],[좌표]], 1)-1)) &lt; 100, VALUE(LEFT(표2[[#This Row],[좌표]], FIND(",",표2[[#This Row],[좌표]], 1)-1)) &gt; -1)</f>
        <v>1</v>
      </c>
      <c r="H2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8" s="5">
        <f>COUNTIFS(표2[좌표],표2[[#This Row],[좌표]])</f>
        <v>1</v>
      </c>
      <c r="J28" s="5">
        <f>COUNTIFS(표6[좌표],표2[[#This Row],[좌표]])</f>
        <v>0</v>
      </c>
      <c r="K28" s="5" t="b">
        <f xml:space="preserve"> 표2[[#This Row],[회원]]+표2[[#This Row],[벽]] &lt;= 1</f>
        <v>1</v>
      </c>
    </row>
    <row r="29" spans="1:11" hidden="1" x14ac:dyDescent="0.3">
      <c r="A29" s="3" t="s">
        <v>139</v>
      </c>
      <c r="B29" s="3" t="s">
        <v>140</v>
      </c>
      <c r="C29" s="4" t="s">
        <v>141</v>
      </c>
      <c r="D29" s="3" t="s">
        <v>142</v>
      </c>
      <c r="E29" s="3" t="s">
        <v>143</v>
      </c>
      <c r="F29" s="3" t="str">
        <f>fn등급(표2[[#This Row],[번호]])</f>
        <v>Normal</v>
      </c>
      <c r="G29" s="3" t="b">
        <f>AND(VALUE(LEFT(표2[[#This Row],[좌표]], FIND(",",표2[[#This Row],[좌표]], 1)-1)) &lt; 100, VALUE(LEFT(표2[[#This Row],[좌표]], FIND(",",표2[[#This Row],[좌표]], 1)-1)) &gt; -1)</f>
        <v>1</v>
      </c>
      <c r="H2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29" s="5">
        <f>COUNTIFS(표2[좌표],표2[[#This Row],[좌표]])</f>
        <v>1</v>
      </c>
      <c r="J29" s="5">
        <f>COUNTIFS(표6[좌표],표2[[#This Row],[좌표]])</f>
        <v>0</v>
      </c>
      <c r="K29" s="5" t="b">
        <f xml:space="preserve"> 표2[[#This Row],[회원]]+표2[[#This Row],[벽]] &lt;= 1</f>
        <v>1</v>
      </c>
    </row>
    <row r="30" spans="1:11" hidden="1" x14ac:dyDescent="0.3">
      <c r="A30" s="3" t="s">
        <v>144</v>
      </c>
      <c r="B30" s="3" t="s">
        <v>145</v>
      </c>
      <c r="C30" s="4" t="s">
        <v>146</v>
      </c>
      <c r="D30" s="3" t="s">
        <v>147</v>
      </c>
      <c r="E30" s="3" t="s">
        <v>148</v>
      </c>
      <c r="F30" s="3" t="str">
        <f>fn등급(표2[[#This Row],[번호]])</f>
        <v>Gold</v>
      </c>
      <c r="G30" s="3" t="b">
        <f>AND(VALUE(LEFT(표2[[#This Row],[좌표]], FIND(",",표2[[#This Row],[좌표]], 1)-1)) &lt; 100, VALUE(LEFT(표2[[#This Row],[좌표]], FIND(",",표2[[#This Row],[좌표]], 1)-1)) &gt; -1)</f>
        <v>1</v>
      </c>
      <c r="H3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0" s="5">
        <f>COUNTIFS(표2[좌표],표2[[#This Row],[좌표]])</f>
        <v>1</v>
      </c>
      <c r="J30" s="5">
        <f>COUNTIFS(표6[좌표],표2[[#This Row],[좌표]])</f>
        <v>0</v>
      </c>
      <c r="K30" s="5" t="b">
        <f xml:space="preserve"> 표2[[#This Row],[회원]]+표2[[#This Row],[벽]] &lt;= 1</f>
        <v>1</v>
      </c>
    </row>
    <row r="31" spans="1:11" hidden="1" x14ac:dyDescent="0.3">
      <c r="A31" s="3" t="s">
        <v>149</v>
      </c>
      <c r="B31" s="3" t="s">
        <v>150</v>
      </c>
      <c r="C31" s="4" t="s">
        <v>151</v>
      </c>
      <c r="D31" s="3" t="s">
        <v>152</v>
      </c>
      <c r="E31" s="3" t="s">
        <v>153</v>
      </c>
      <c r="F31" s="3" t="str">
        <f>fn등급(표2[[#This Row],[번호]])</f>
        <v>Gold</v>
      </c>
      <c r="G31" s="3" t="b">
        <f>AND(VALUE(LEFT(표2[[#This Row],[좌표]], FIND(",",표2[[#This Row],[좌표]], 1)-1)) &lt; 100, VALUE(LEFT(표2[[#This Row],[좌표]], FIND(",",표2[[#This Row],[좌표]], 1)-1)) &gt; -1)</f>
        <v>1</v>
      </c>
      <c r="H3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1" s="5">
        <f>COUNTIFS(표2[좌표],표2[[#This Row],[좌표]])</f>
        <v>1</v>
      </c>
      <c r="J31" s="5">
        <f>COUNTIFS(표6[좌표],표2[[#This Row],[좌표]])</f>
        <v>0</v>
      </c>
      <c r="K31" s="5" t="b">
        <f xml:space="preserve"> 표2[[#This Row],[회원]]+표2[[#This Row],[벽]] &lt;= 1</f>
        <v>1</v>
      </c>
    </row>
    <row r="32" spans="1:11" hidden="1" x14ac:dyDescent="0.3">
      <c r="A32" s="3" t="s">
        <v>154</v>
      </c>
      <c r="B32" s="3" t="s">
        <v>155</v>
      </c>
      <c r="C32" s="4" t="s">
        <v>156</v>
      </c>
      <c r="D32" s="3" t="s">
        <v>157</v>
      </c>
      <c r="E32" s="3" t="s">
        <v>158</v>
      </c>
      <c r="F32" s="3" t="str">
        <f>fn등급(표2[[#This Row],[번호]])</f>
        <v>Normal</v>
      </c>
      <c r="G32" s="3" t="b">
        <f>AND(VALUE(LEFT(표2[[#This Row],[좌표]], FIND(",",표2[[#This Row],[좌표]], 1)-1)) &lt; 100, VALUE(LEFT(표2[[#This Row],[좌표]], FIND(",",표2[[#This Row],[좌표]], 1)-1)) &gt; -1)</f>
        <v>1</v>
      </c>
      <c r="H3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2" s="5">
        <f>COUNTIFS(표2[좌표],표2[[#This Row],[좌표]])</f>
        <v>1</v>
      </c>
      <c r="J32" s="5">
        <f>COUNTIFS(표6[좌표],표2[[#This Row],[좌표]])</f>
        <v>0</v>
      </c>
      <c r="K32" s="5" t="b">
        <f xml:space="preserve"> 표2[[#This Row],[회원]]+표2[[#This Row],[벽]] &lt;= 1</f>
        <v>1</v>
      </c>
    </row>
    <row r="33" spans="1:11" hidden="1" x14ac:dyDescent="0.3">
      <c r="A33" s="3" t="s">
        <v>159</v>
      </c>
      <c r="B33" s="3" t="s">
        <v>160</v>
      </c>
      <c r="C33" s="4" t="s">
        <v>161</v>
      </c>
      <c r="D33" s="3" t="s">
        <v>162</v>
      </c>
      <c r="E33" s="3" t="s">
        <v>163</v>
      </c>
      <c r="F33" s="3" t="str">
        <f>fn등급(표2[[#This Row],[번호]])</f>
        <v>Normal</v>
      </c>
      <c r="G33" s="3" t="b">
        <f>AND(VALUE(LEFT(표2[[#This Row],[좌표]], FIND(",",표2[[#This Row],[좌표]], 1)-1)) &lt; 100, VALUE(LEFT(표2[[#This Row],[좌표]], FIND(",",표2[[#This Row],[좌표]], 1)-1)) &gt; -1)</f>
        <v>1</v>
      </c>
      <c r="H3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3" s="5">
        <f>COUNTIFS(표2[좌표],표2[[#This Row],[좌표]])</f>
        <v>1</v>
      </c>
      <c r="J33" s="5">
        <f>COUNTIFS(표6[좌표],표2[[#This Row],[좌표]])</f>
        <v>0</v>
      </c>
      <c r="K33" s="5" t="b">
        <f xml:space="preserve"> 표2[[#This Row],[회원]]+표2[[#This Row],[벽]] &lt;= 1</f>
        <v>1</v>
      </c>
    </row>
    <row r="34" spans="1:11" hidden="1" x14ac:dyDescent="0.3">
      <c r="A34" s="3" t="s">
        <v>164</v>
      </c>
      <c r="B34" s="3" t="s">
        <v>165</v>
      </c>
      <c r="C34" s="4" t="s">
        <v>166</v>
      </c>
      <c r="D34" s="3" t="s">
        <v>167</v>
      </c>
      <c r="E34" s="3" t="s">
        <v>168</v>
      </c>
      <c r="F34" s="3" t="str">
        <f>fn등급(표2[[#This Row],[번호]])</f>
        <v>Silver</v>
      </c>
      <c r="G34" s="3" t="b">
        <f>AND(VALUE(LEFT(표2[[#This Row],[좌표]], FIND(",",표2[[#This Row],[좌표]], 1)-1)) &lt; 100, VALUE(LEFT(표2[[#This Row],[좌표]], FIND(",",표2[[#This Row],[좌표]], 1)-1)) &gt; -1)</f>
        <v>1</v>
      </c>
      <c r="H3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4" s="5">
        <f>COUNTIFS(표2[좌표],표2[[#This Row],[좌표]])</f>
        <v>1</v>
      </c>
      <c r="J34" s="5">
        <f>COUNTIFS(표6[좌표],표2[[#This Row],[좌표]])</f>
        <v>0</v>
      </c>
      <c r="K34" s="5" t="b">
        <f xml:space="preserve"> 표2[[#This Row],[회원]]+표2[[#This Row],[벽]] &lt;= 1</f>
        <v>1</v>
      </c>
    </row>
    <row r="35" spans="1:11" hidden="1" x14ac:dyDescent="0.3">
      <c r="A35" s="3" t="s">
        <v>169</v>
      </c>
      <c r="B35" s="3" t="s">
        <v>170</v>
      </c>
      <c r="C35" s="4" t="s">
        <v>171</v>
      </c>
      <c r="D35" s="3" t="s">
        <v>172</v>
      </c>
      <c r="E35" s="3" t="s">
        <v>173</v>
      </c>
      <c r="F35" s="3" t="str">
        <f>fn등급(표2[[#This Row],[번호]])</f>
        <v>Normal</v>
      </c>
      <c r="G35" s="3" t="b">
        <f>AND(VALUE(LEFT(표2[[#This Row],[좌표]], FIND(",",표2[[#This Row],[좌표]], 1)-1)) &lt; 100, VALUE(LEFT(표2[[#This Row],[좌표]], FIND(",",표2[[#This Row],[좌표]], 1)-1)) &gt; -1)</f>
        <v>1</v>
      </c>
      <c r="H3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5" s="5">
        <f>COUNTIFS(표2[좌표],표2[[#This Row],[좌표]])</f>
        <v>1</v>
      </c>
      <c r="J35" s="5">
        <f>COUNTIFS(표6[좌표],표2[[#This Row],[좌표]])</f>
        <v>0</v>
      </c>
      <c r="K35" s="5" t="b">
        <f xml:space="preserve"> 표2[[#This Row],[회원]]+표2[[#This Row],[벽]] &lt;= 1</f>
        <v>1</v>
      </c>
    </row>
    <row r="36" spans="1:11" hidden="1" x14ac:dyDescent="0.3">
      <c r="A36" s="3" t="s">
        <v>174</v>
      </c>
      <c r="B36" s="3" t="s">
        <v>175</v>
      </c>
      <c r="C36" s="4" t="s">
        <v>176</v>
      </c>
      <c r="D36" s="3" t="s">
        <v>177</v>
      </c>
      <c r="E36" s="3" t="s">
        <v>178</v>
      </c>
      <c r="F36" s="3" t="str">
        <f>fn등급(표2[[#This Row],[번호]])</f>
        <v>Silver</v>
      </c>
      <c r="G36" s="3" t="b">
        <f>AND(VALUE(LEFT(표2[[#This Row],[좌표]], FIND(",",표2[[#This Row],[좌표]], 1)-1)) &lt; 100, VALUE(LEFT(표2[[#This Row],[좌표]], FIND(",",표2[[#This Row],[좌표]], 1)-1)) &gt; -1)</f>
        <v>1</v>
      </c>
      <c r="H3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6" s="5">
        <f>COUNTIFS(표2[좌표],표2[[#This Row],[좌표]])</f>
        <v>1</v>
      </c>
      <c r="J36" s="5">
        <f>COUNTIFS(표6[좌표],표2[[#This Row],[좌표]])</f>
        <v>0</v>
      </c>
      <c r="K36" s="5" t="b">
        <f xml:space="preserve"> 표2[[#This Row],[회원]]+표2[[#This Row],[벽]] &lt;= 1</f>
        <v>1</v>
      </c>
    </row>
    <row r="37" spans="1:11" hidden="1" x14ac:dyDescent="0.3">
      <c r="A37" s="3" t="s">
        <v>179</v>
      </c>
      <c r="B37" s="3" t="s">
        <v>180</v>
      </c>
      <c r="C37" s="4" t="s">
        <v>181</v>
      </c>
      <c r="D37" s="3" t="s">
        <v>182</v>
      </c>
      <c r="E37" s="3" t="s">
        <v>183</v>
      </c>
      <c r="F37" s="3" t="str">
        <f>fn등급(표2[[#This Row],[번호]])</f>
        <v>Silver</v>
      </c>
      <c r="G37" s="3" t="b">
        <f>AND(VALUE(LEFT(표2[[#This Row],[좌표]], FIND(",",표2[[#This Row],[좌표]], 1)-1)) &lt; 100, VALUE(LEFT(표2[[#This Row],[좌표]], FIND(",",표2[[#This Row],[좌표]], 1)-1)) &gt; -1)</f>
        <v>1</v>
      </c>
      <c r="H3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7" s="5">
        <f>COUNTIFS(표2[좌표],표2[[#This Row],[좌표]])</f>
        <v>1</v>
      </c>
      <c r="J37" s="5">
        <f>COUNTIFS(표6[좌표],표2[[#This Row],[좌표]])</f>
        <v>0</v>
      </c>
      <c r="K37" s="5" t="b">
        <f xml:space="preserve"> 표2[[#This Row],[회원]]+표2[[#This Row],[벽]] &lt;= 1</f>
        <v>1</v>
      </c>
    </row>
    <row r="38" spans="1:11" hidden="1" x14ac:dyDescent="0.3">
      <c r="A38" s="3" t="s">
        <v>184</v>
      </c>
      <c r="B38" s="3" t="s">
        <v>185</v>
      </c>
      <c r="C38" s="4" t="s">
        <v>186</v>
      </c>
      <c r="D38" s="3" t="s">
        <v>187</v>
      </c>
      <c r="E38" s="3" t="s">
        <v>188</v>
      </c>
      <c r="F38" s="3" t="str">
        <f>fn등급(표2[[#This Row],[번호]])</f>
        <v>Normal</v>
      </c>
      <c r="G38" s="3" t="b">
        <f>AND(VALUE(LEFT(표2[[#This Row],[좌표]], FIND(",",표2[[#This Row],[좌표]], 1)-1)) &lt; 100, VALUE(LEFT(표2[[#This Row],[좌표]], FIND(",",표2[[#This Row],[좌표]], 1)-1)) &gt; -1)</f>
        <v>1</v>
      </c>
      <c r="H3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8" s="5">
        <f>COUNTIFS(표2[좌표],표2[[#This Row],[좌표]])</f>
        <v>1</v>
      </c>
      <c r="J38" s="5">
        <f>COUNTIFS(표6[좌표],표2[[#This Row],[좌표]])</f>
        <v>0</v>
      </c>
      <c r="K38" s="5" t="b">
        <f xml:space="preserve"> 표2[[#This Row],[회원]]+표2[[#This Row],[벽]] &lt;= 1</f>
        <v>1</v>
      </c>
    </row>
    <row r="39" spans="1:11" hidden="1" x14ac:dyDescent="0.3">
      <c r="A39" s="3" t="s">
        <v>189</v>
      </c>
      <c r="B39" s="3" t="s">
        <v>190</v>
      </c>
      <c r="C39" s="4" t="s">
        <v>191</v>
      </c>
      <c r="D39" s="3" t="s">
        <v>192</v>
      </c>
      <c r="E39" s="3" t="s">
        <v>193</v>
      </c>
      <c r="F39" s="3" t="str">
        <f>fn등급(표2[[#This Row],[번호]])</f>
        <v>Normal</v>
      </c>
      <c r="G39" s="3" t="b">
        <f>AND(VALUE(LEFT(표2[[#This Row],[좌표]], FIND(",",표2[[#This Row],[좌표]], 1)-1)) &lt; 100, VALUE(LEFT(표2[[#This Row],[좌표]], FIND(",",표2[[#This Row],[좌표]], 1)-1)) &gt; -1)</f>
        <v>1</v>
      </c>
      <c r="H3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39" s="5">
        <f>COUNTIFS(표2[좌표],표2[[#This Row],[좌표]])</f>
        <v>1</v>
      </c>
      <c r="J39" s="5">
        <f>COUNTIFS(표6[좌표],표2[[#This Row],[좌표]])</f>
        <v>0</v>
      </c>
      <c r="K39" s="5" t="b">
        <f xml:space="preserve"> 표2[[#This Row],[회원]]+표2[[#This Row],[벽]] &lt;= 1</f>
        <v>1</v>
      </c>
    </row>
    <row r="40" spans="1:11" hidden="1" x14ac:dyDescent="0.3">
      <c r="A40" s="3" t="s">
        <v>194</v>
      </c>
      <c r="B40" s="3" t="s">
        <v>195</v>
      </c>
      <c r="C40" s="4" t="s">
        <v>196</v>
      </c>
      <c r="D40" s="3" t="s">
        <v>197</v>
      </c>
      <c r="E40" s="3" t="s">
        <v>198</v>
      </c>
      <c r="F40" s="3" t="str">
        <f>fn등급(표2[[#This Row],[번호]])</f>
        <v>Silver</v>
      </c>
      <c r="G40" s="3" t="b">
        <f>AND(VALUE(LEFT(표2[[#This Row],[좌표]], FIND(",",표2[[#This Row],[좌표]], 1)-1)) &lt; 100, VALUE(LEFT(표2[[#This Row],[좌표]], FIND(",",표2[[#This Row],[좌표]], 1)-1)) &gt; -1)</f>
        <v>1</v>
      </c>
      <c r="H4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0" s="5">
        <f>COUNTIFS(표2[좌표],표2[[#This Row],[좌표]])</f>
        <v>1</v>
      </c>
      <c r="J40" s="5">
        <f>COUNTIFS(표6[좌표],표2[[#This Row],[좌표]])</f>
        <v>0</v>
      </c>
      <c r="K40" s="5" t="b">
        <f xml:space="preserve"> 표2[[#This Row],[회원]]+표2[[#This Row],[벽]] &lt;= 1</f>
        <v>1</v>
      </c>
    </row>
    <row r="41" spans="1:11" hidden="1" x14ac:dyDescent="0.3">
      <c r="A41" s="3" t="s">
        <v>199</v>
      </c>
      <c r="B41" s="3" t="s">
        <v>200</v>
      </c>
      <c r="C41" s="4" t="s">
        <v>201</v>
      </c>
      <c r="D41" s="3" t="s">
        <v>202</v>
      </c>
      <c r="E41" s="3" t="s">
        <v>203</v>
      </c>
      <c r="F41" s="3" t="str">
        <f>fn등급(표2[[#This Row],[번호]])</f>
        <v>Normal</v>
      </c>
      <c r="G41" s="3" t="b">
        <f>AND(VALUE(LEFT(표2[[#This Row],[좌표]], FIND(",",표2[[#This Row],[좌표]], 1)-1)) &lt; 100, VALUE(LEFT(표2[[#This Row],[좌표]], FIND(",",표2[[#This Row],[좌표]], 1)-1)) &gt; -1)</f>
        <v>1</v>
      </c>
      <c r="H4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1" s="5">
        <f>COUNTIFS(표2[좌표],표2[[#This Row],[좌표]])</f>
        <v>1</v>
      </c>
      <c r="J41" s="5">
        <f>COUNTIFS(표6[좌표],표2[[#This Row],[좌표]])</f>
        <v>0</v>
      </c>
      <c r="K41" s="5" t="b">
        <f xml:space="preserve"> 표2[[#This Row],[회원]]+표2[[#This Row],[벽]] &lt;= 1</f>
        <v>1</v>
      </c>
    </row>
    <row r="42" spans="1:11" hidden="1" x14ac:dyDescent="0.3">
      <c r="A42" s="3" t="s">
        <v>204</v>
      </c>
      <c r="B42" s="3" t="s">
        <v>205</v>
      </c>
      <c r="C42" s="4" t="s">
        <v>206</v>
      </c>
      <c r="D42" s="3" t="s">
        <v>207</v>
      </c>
      <c r="E42" s="3" t="s">
        <v>208</v>
      </c>
      <c r="F42" s="3" t="str">
        <f>fn등급(표2[[#This Row],[번호]])</f>
        <v>Normal</v>
      </c>
      <c r="G42" s="3" t="b">
        <f>AND(VALUE(LEFT(표2[[#This Row],[좌표]], FIND(",",표2[[#This Row],[좌표]], 1)-1)) &lt; 100, VALUE(LEFT(표2[[#This Row],[좌표]], FIND(",",표2[[#This Row],[좌표]], 1)-1)) &gt; -1)</f>
        <v>1</v>
      </c>
      <c r="H4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2" s="5">
        <f>COUNTIFS(표2[좌표],표2[[#This Row],[좌표]])</f>
        <v>1</v>
      </c>
      <c r="J42" s="5">
        <f>COUNTIFS(표6[좌표],표2[[#This Row],[좌표]])</f>
        <v>0</v>
      </c>
      <c r="K42" s="5" t="b">
        <f xml:space="preserve"> 표2[[#This Row],[회원]]+표2[[#This Row],[벽]] &lt;= 1</f>
        <v>1</v>
      </c>
    </row>
    <row r="43" spans="1:11" hidden="1" x14ac:dyDescent="0.3">
      <c r="A43" s="3" t="s">
        <v>209</v>
      </c>
      <c r="B43" s="3" t="s">
        <v>210</v>
      </c>
      <c r="C43" s="4" t="s">
        <v>211</v>
      </c>
      <c r="D43" s="3" t="s">
        <v>212</v>
      </c>
      <c r="E43" s="3" t="s">
        <v>213</v>
      </c>
      <c r="F43" s="3" t="str">
        <f>fn등급(표2[[#This Row],[번호]])</f>
        <v>Normal</v>
      </c>
      <c r="G43" s="3" t="b">
        <f>AND(VALUE(LEFT(표2[[#This Row],[좌표]], FIND(",",표2[[#This Row],[좌표]], 1)-1)) &lt; 100, VALUE(LEFT(표2[[#This Row],[좌표]], FIND(",",표2[[#This Row],[좌표]], 1)-1)) &gt; -1)</f>
        <v>1</v>
      </c>
      <c r="H4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3" s="5">
        <f>COUNTIFS(표2[좌표],표2[[#This Row],[좌표]])</f>
        <v>1</v>
      </c>
      <c r="J43" s="5">
        <f>COUNTIFS(표6[좌표],표2[[#This Row],[좌표]])</f>
        <v>0</v>
      </c>
      <c r="K43" s="5" t="b">
        <f xml:space="preserve"> 표2[[#This Row],[회원]]+표2[[#This Row],[벽]] &lt;= 1</f>
        <v>1</v>
      </c>
    </row>
    <row r="44" spans="1:11" hidden="1" x14ac:dyDescent="0.3">
      <c r="A44" s="3" t="s">
        <v>214</v>
      </c>
      <c r="B44" s="3" t="s">
        <v>215</v>
      </c>
      <c r="C44" s="4" t="s">
        <v>216</v>
      </c>
      <c r="D44" s="3" t="s">
        <v>217</v>
      </c>
      <c r="E44" s="3" t="s">
        <v>218</v>
      </c>
      <c r="F44" s="3" t="str">
        <f>fn등급(표2[[#This Row],[번호]])</f>
        <v>Normal</v>
      </c>
      <c r="G44" s="3" t="b">
        <f>AND(VALUE(LEFT(표2[[#This Row],[좌표]], FIND(",",표2[[#This Row],[좌표]], 1)-1)) &lt; 100, VALUE(LEFT(표2[[#This Row],[좌표]], FIND(",",표2[[#This Row],[좌표]], 1)-1)) &gt; -1)</f>
        <v>1</v>
      </c>
      <c r="H4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4" s="5">
        <f>COUNTIFS(표2[좌표],표2[[#This Row],[좌표]])</f>
        <v>1</v>
      </c>
      <c r="J44" s="5">
        <f>COUNTIFS(표6[좌표],표2[[#This Row],[좌표]])</f>
        <v>0</v>
      </c>
      <c r="K44" s="5" t="b">
        <f xml:space="preserve"> 표2[[#This Row],[회원]]+표2[[#This Row],[벽]] &lt;= 1</f>
        <v>1</v>
      </c>
    </row>
    <row r="45" spans="1:11" hidden="1" x14ac:dyDescent="0.3">
      <c r="A45" s="3" t="s">
        <v>219</v>
      </c>
      <c r="B45" s="3" t="s">
        <v>220</v>
      </c>
      <c r="C45" s="4" t="s">
        <v>221</v>
      </c>
      <c r="D45" s="3" t="s">
        <v>222</v>
      </c>
      <c r="E45" s="3" t="s">
        <v>223</v>
      </c>
      <c r="F45" s="3" t="str">
        <f>fn등급(표2[[#This Row],[번호]])</f>
        <v>Normal</v>
      </c>
      <c r="G45" s="3" t="b">
        <f>AND(VALUE(LEFT(표2[[#This Row],[좌표]], FIND(",",표2[[#This Row],[좌표]], 1)-1)) &lt; 100, VALUE(LEFT(표2[[#This Row],[좌표]], FIND(",",표2[[#This Row],[좌표]], 1)-1)) &gt; -1)</f>
        <v>1</v>
      </c>
      <c r="H4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5" s="5">
        <f>COUNTIFS(표2[좌표],표2[[#This Row],[좌표]])</f>
        <v>1</v>
      </c>
      <c r="J45" s="5">
        <f>COUNTIFS(표6[좌표],표2[[#This Row],[좌표]])</f>
        <v>0</v>
      </c>
      <c r="K45" s="5" t="b">
        <f xml:space="preserve"> 표2[[#This Row],[회원]]+표2[[#This Row],[벽]] &lt;= 1</f>
        <v>1</v>
      </c>
    </row>
    <row r="46" spans="1:11" hidden="1" x14ac:dyDescent="0.3">
      <c r="A46" s="3" t="s">
        <v>224</v>
      </c>
      <c r="B46" s="3" t="s">
        <v>225</v>
      </c>
      <c r="C46" s="4" t="s">
        <v>226</v>
      </c>
      <c r="D46" s="3" t="s">
        <v>227</v>
      </c>
      <c r="E46" s="3" t="s">
        <v>228</v>
      </c>
      <c r="F46" s="3" t="str">
        <f>fn등급(표2[[#This Row],[번호]])</f>
        <v>Silver</v>
      </c>
      <c r="G46" s="3" t="b">
        <f>AND(VALUE(LEFT(표2[[#This Row],[좌표]], FIND(",",표2[[#This Row],[좌표]], 1)-1)) &lt; 100, VALUE(LEFT(표2[[#This Row],[좌표]], FIND(",",표2[[#This Row],[좌표]], 1)-1)) &gt; -1)</f>
        <v>1</v>
      </c>
      <c r="H4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6" s="5">
        <f>COUNTIFS(표2[좌표],표2[[#This Row],[좌표]])</f>
        <v>1</v>
      </c>
      <c r="J46" s="5">
        <f>COUNTIFS(표6[좌표],표2[[#This Row],[좌표]])</f>
        <v>0</v>
      </c>
      <c r="K46" s="5" t="b">
        <f xml:space="preserve"> 표2[[#This Row],[회원]]+표2[[#This Row],[벽]] &lt;= 1</f>
        <v>1</v>
      </c>
    </row>
    <row r="47" spans="1:11" hidden="1" x14ac:dyDescent="0.3">
      <c r="A47" s="3" t="s">
        <v>229</v>
      </c>
      <c r="B47" s="3" t="s">
        <v>230</v>
      </c>
      <c r="C47" s="4" t="s">
        <v>231</v>
      </c>
      <c r="D47" s="3" t="s">
        <v>227</v>
      </c>
      <c r="E47" s="3" t="s">
        <v>228</v>
      </c>
      <c r="F47" s="3" t="str">
        <f>fn등급(표2[[#This Row],[번호]])</f>
        <v>Silver</v>
      </c>
      <c r="G47" s="3" t="b">
        <f>AND(VALUE(LEFT(표2[[#This Row],[좌표]], FIND(",",표2[[#This Row],[좌표]], 1)-1)) &lt; 100, VALUE(LEFT(표2[[#This Row],[좌표]], FIND(",",표2[[#This Row],[좌표]], 1)-1)) &gt; -1)</f>
        <v>1</v>
      </c>
      <c r="H4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7" s="5">
        <f>COUNTIFS(표2[좌표],표2[[#This Row],[좌표]])</f>
        <v>1</v>
      </c>
      <c r="J47" s="5">
        <f>COUNTIFS(표6[좌표],표2[[#This Row],[좌표]])</f>
        <v>0</v>
      </c>
      <c r="K47" s="5" t="b">
        <f xml:space="preserve"> 표2[[#This Row],[회원]]+표2[[#This Row],[벽]] &lt;= 1</f>
        <v>1</v>
      </c>
    </row>
    <row r="48" spans="1:11" hidden="1" x14ac:dyDescent="0.3">
      <c r="A48" s="3" t="s">
        <v>232</v>
      </c>
      <c r="B48" s="3" t="s">
        <v>233</v>
      </c>
      <c r="C48" s="4" t="s">
        <v>234</v>
      </c>
      <c r="D48" s="3" t="s">
        <v>227</v>
      </c>
      <c r="E48" s="3" t="s">
        <v>228</v>
      </c>
      <c r="F48" s="3" t="str">
        <f>fn등급(표2[[#This Row],[번호]])</f>
        <v>Normal</v>
      </c>
      <c r="G48" s="3" t="b">
        <f>AND(VALUE(LEFT(표2[[#This Row],[좌표]], FIND(",",표2[[#This Row],[좌표]], 1)-1)) &lt; 100, VALUE(LEFT(표2[[#This Row],[좌표]], FIND(",",표2[[#This Row],[좌표]], 1)-1)) &gt; -1)</f>
        <v>1</v>
      </c>
      <c r="H4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8" s="5">
        <f>COUNTIFS(표2[좌표],표2[[#This Row],[좌표]])</f>
        <v>1</v>
      </c>
      <c r="J48" s="5">
        <f>COUNTIFS(표6[좌표],표2[[#This Row],[좌표]])</f>
        <v>0</v>
      </c>
      <c r="K48" s="5" t="b">
        <f xml:space="preserve"> 표2[[#This Row],[회원]]+표2[[#This Row],[벽]] &lt;= 1</f>
        <v>1</v>
      </c>
    </row>
    <row r="49" spans="1:11" hidden="1" x14ac:dyDescent="0.3">
      <c r="A49" s="3" t="s">
        <v>235</v>
      </c>
      <c r="B49" s="3" t="s">
        <v>236</v>
      </c>
      <c r="C49" s="4" t="s">
        <v>237</v>
      </c>
      <c r="D49" s="3" t="s">
        <v>227</v>
      </c>
      <c r="E49" s="3" t="s">
        <v>228</v>
      </c>
      <c r="F49" s="3" t="str">
        <f>fn등급(표2[[#This Row],[번호]])</f>
        <v>Normal</v>
      </c>
      <c r="G49" s="3" t="b">
        <f>AND(VALUE(LEFT(표2[[#This Row],[좌표]], FIND(",",표2[[#This Row],[좌표]], 1)-1)) &lt; 100, VALUE(LEFT(표2[[#This Row],[좌표]], FIND(",",표2[[#This Row],[좌표]], 1)-1)) &gt; -1)</f>
        <v>1</v>
      </c>
      <c r="H4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49" s="5">
        <f>COUNTIFS(표2[좌표],표2[[#This Row],[좌표]])</f>
        <v>1</v>
      </c>
      <c r="J49" s="5">
        <f>COUNTIFS(표6[좌표],표2[[#This Row],[좌표]])</f>
        <v>0</v>
      </c>
      <c r="K49" s="5" t="b">
        <f xml:space="preserve"> 표2[[#This Row],[회원]]+표2[[#This Row],[벽]] &lt;= 1</f>
        <v>1</v>
      </c>
    </row>
    <row r="50" spans="1:11" hidden="1" x14ac:dyDescent="0.3">
      <c r="A50" s="3" t="s">
        <v>3624</v>
      </c>
      <c r="B50" s="3" t="s">
        <v>3625</v>
      </c>
      <c r="C50" s="5" t="s">
        <v>3626</v>
      </c>
      <c r="D50" s="3" t="s">
        <v>3627</v>
      </c>
      <c r="E50" s="3" t="s">
        <v>3628</v>
      </c>
      <c r="F50" s="5" t="str">
        <f>fn등급(표2[[#This Row],[번호]])</f>
        <v>Normal</v>
      </c>
      <c r="G50" s="5" t="b">
        <f>AND(VALUE(LEFT(표2[[#This Row],[좌표]], FIND(",",표2[[#This Row],[좌표]], 1)-1)) &lt; 100, VALUE(LEFT(표2[[#This Row],[좌표]], FIND(",",표2[[#This Row],[좌표]], 1)-1)) &gt; -1)</f>
        <v>1</v>
      </c>
      <c r="H50" s="5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0" s="5">
        <f>COUNTIFS(표2[좌표],표2[[#This Row],[좌표]])</f>
        <v>1</v>
      </c>
      <c r="J50" s="5">
        <f>COUNTIFS(표6[좌표],표2[[#This Row],[좌표]])</f>
        <v>0</v>
      </c>
      <c r="K50" s="5" t="b">
        <f xml:space="preserve"> 표2[[#This Row],[회원]]+표2[[#This Row],[벽]] &lt;= 1</f>
        <v>1</v>
      </c>
    </row>
    <row r="51" spans="1:11" x14ac:dyDescent="0.3">
      <c r="A51" s="3" t="s">
        <v>238</v>
      </c>
      <c r="B51" s="3" t="s">
        <v>239</v>
      </c>
      <c r="C51" s="4" t="s">
        <v>240</v>
      </c>
      <c r="D51" s="3" t="s">
        <v>241</v>
      </c>
      <c r="E51" s="3" t="s">
        <v>242</v>
      </c>
      <c r="F51" s="3" t="str">
        <f>fn등급(표2[[#This Row],[번호]])</f>
        <v>-</v>
      </c>
      <c r="G51" s="3" t="b">
        <f>AND(VALUE(LEFT(표2[[#This Row],[좌표]], FIND(",",표2[[#This Row],[좌표]], 1)-1)) &lt; 100, VALUE(LEFT(표2[[#This Row],[좌표]], FIND(",",표2[[#This Row],[좌표]], 1)-1)) &gt; -1)</f>
        <v>1</v>
      </c>
      <c r="H5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1" s="5">
        <f>COUNTIFS(표2[좌표],표2[[#This Row],[좌표]])</f>
        <v>1</v>
      </c>
      <c r="J51" s="5">
        <f>COUNTIFS(표6[좌표],표2[[#This Row],[좌표]])</f>
        <v>0</v>
      </c>
      <c r="K51" s="5" t="b">
        <f xml:space="preserve"> 표2[[#This Row],[회원]]+표2[[#This Row],[벽]] &lt;= 1</f>
        <v>1</v>
      </c>
    </row>
    <row r="52" spans="1:11" x14ac:dyDescent="0.3">
      <c r="A52" s="3" t="s">
        <v>243</v>
      </c>
      <c r="B52" s="3" t="s">
        <v>244</v>
      </c>
      <c r="C52" s="4" t="s">
        <v>245</v>
      </c>
      <c r="D52" s="3" t="s">
        <v>246</v>
      </c>
      <c r="E52" s="3" t="s">
        <v>247</v>
      </c>
      <c r="F52" s="3" t="str">
        <f>fn등급(표2[[#This Row],[번호]])</f>
        <v>-</v>
      </c>
      <c r="G52" s="3" t="b">
        <f>AND(VALUE(LEFT(표2[[#This Row],[좌표]], FIND(",",표2[[#This Row],[좌표]], 1)-1)) &lt; 100, VALUE(LEFT(표2[[#This Row],[좌표]], FIND(",",표2[[#This Row],[좌표]], 1)-1)) &gt; -1)</f>
        <v>1</v>
      </c>
      <c r="H5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2" s="5">
        <f>COUNTIFS(표2[좌표],표2[[#This Row],[좌표]])</f>
        <v>1</v>
      </c>
      <c r="J52" s="5">
        <f>COUNTIFS(표6[좌표],표2[[#This Row],[좌표]])</f>
        <v>0</v>
      </c>
      <c r="K52" s="5" t="b">
        <f xml:space="preserve"> 표2[[#This Row],[회원]]+표2[[#This Row],[벽]] &lt;= 1</f>
        <v>1</v>
      </c>
    </row>
    <row r="53" spans="1:11" x14ac:dyDescent="0.3">
      <c r="A53" s="3" t="s">
        <v>248</v>
      </c>
      <c r="B53" s="3" t="s">
        <v>249</v>
      </c>
      <c r="C53" s="4" t="s">
        <v>250</v>
      </c>
      <c r="D53" s="3" t="s">
        <v>251</v>
      </c>
      <c r="E53" s="3" t="s">
        <v>252</v>
      </c>
      <c r="F53" s="3" t="str">
        <f>fn등급(표2[[#This Row],[번호]])</f>
        <v>-</v>
      </c>
      <c r="G53" s="3" t="b">
        <f>AND(VALUE(LEFT(표2[[#This Row],[좌표]], FIND(",",표2[[#This Row],[좌표]], 1)-1)) &lt; 100, VALUE(LEFT(표2[[#This Row],[좌표]], FIND(",",표2[[#This Row],[좌표]], 1)-1)) &gt; -1)</f>
        <v>1</v>
      </c>
      <c r="H5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3" s="5">
        <f>COUNTIFS(표2[좌표],표2[[#This Row],[좌표]])</f>
        <v>1</v>
      </c>
      <c r="J53" s="5">
        <f>COUNTIFS(표6[좌표],표2[[#This Row],[좌표]])</f>
        <v>0</v>
      </c>
      <c r="K53" s="5" t="b">
        <f xml:space="preserve"> 표2[[#This Row],[회원]]+표2[[#This Row],[벽]] &lt;= 1</f>
        <v>1</v>
      </c>
    </row>
    <row r="54" spans="1:11" x14ac:dyDescent="0.3">
      <c r="A54" s="3" t="s">
        <v>253</v>
      </c>
      <c r="B54" s="3" t="s">
        <v>254</v>
      </c>
      <c r="C54" s="4" t="s">
        <v>255</v>
      </c>
      <c r="D54" s="3" t="s">
        <v>256</v>
      </c>
      <c r="E54" s="3" t="s">
        <v>257</v>
      </c>
      <c r="F54" s="3" t="str">
        <f>fn등급(표2[[#This Row],[번호]])</f>
        <v>-</v>
      </c>
      <c r="G54" s="3" t="b">
        <f>AND(VALUE(LEFT(표2[[#This Row],[좌표]], FIND(",",표2[[#This Row],[좌표]], 1)-1)) &lt; 100, VALUE(LEFT(표2[[#This Row],[좌표]], FIND(",",표2[[#This Row],[좌표]], 1)-1)) &gt; -1)</f>
        <v>1</v>
      </c>
      <c r="H5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4" s="5">
        <f>COUNTIFS(표2[좌표],표2[[#This Row],[좌표]])</f>
        <v>1</v>
      </c>
      <c r="J54" s="5">
        <f>COUNTIFS(표6[좌표],표2[[#This Row],[좌표]])</f>
        <v>0</v>
      </c>
      <c r="K54" s="5" t="b">
        <f xml:space="preserve"> 표2[[#This Row],[회원]]+표2[[#This Row],[벽]] &lt;= 1</f>
        <v>1</v>
      </c>
    </row>
    <row r="55" spans="1:11" x14ac:dyDescent="0.3">
      <c r="A55" s="3" t="s">
        <v>258</v>
      </c>
      <c r="B55" s="3" t="s">
        <v>259</v>
      </c>
      <c r="C55" s="4" t="s">
        <v>260</v>
      </c>
      <c r="D55" s="3" t="s">
        <v>261</v>
      </c>
      <c r="E55" s="3" t="s">
        <v>262</v>
      </c>
      <c r="F55" s="3" t="str">
        <f>fn등급(표2[[#This Row],[번호]])</f>
        <v>-</v>
      </c>
      <c r="G55" s="3" t="b">
        <f>AND(VALUE(LEFT(표2[[#This Row],[좌표]], FIND(",",표2[[#This Row],[좌표]], 1)-1)) &lt; 100, VALUE(LEFT(표2[[#This Row],[좌표]], FIND(",",표2[[#This Row],[좌표]], 1)-1)) &gt; -1)</f>
        <v>1</v>
      </c>
      <c r="H5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5" s="5">
        <f>COUNTIFS(표2[좌표],표2[[#This Row],[좌표]])</f>
        <v>1</v>
      </c>
      <c r="J55" s="5">
        <f>COUNTIFS(표6[좌표],표2[[#This Row],[좌표]])</f>
        <v>0</v>
      </c>
      <c r="K55" s="5" t="b">
        <f xml:space="preserve"> 표2[[#This Row],[회원]]+표2[[#This Row],[벽]] &lt;= 1</f>
        <v>1</v>
      </c>
    </row>
    <row r="56" spans="1:11" x14ac:dyDescent="0.3">
      <c r="A56" s="3" t="s">
        <v>263</v>
      </c>
      <c r="B56" s="3" t="s">
        <v>264</v>
      </c>
      <c r="C56" s="4" t="s">
        <v>265</v>
      </c>
      <c r="D56" s="3" t="s">
        <v>266</v>
      </c>
      <c r="E56" s="3" t="s">
        <v>267</v>
      </c>
      <c r="F56" s="3" t="str">
        <f>fn등급(표2[[#This Row],[번호]])</f>
        <v>-</v>
      </c>
      <c r="G56" s="3" t="b">
        <f>AND(VALUE(LEFT(표2[[#This Row],[좌표]], FIND(",",표2[[#This Row],[좌표]], 1)-1)) &lt; 100, VALUE(LEFT(표2[[#This Row],[좌표]], FIND(",",표2[[#This Row],[좌표]], 1)-1)) &gt; -1)</f>
        <v>1</v>
      </c>
      <c r="H5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6" s="5">
        <f>COUNTIFS(표2[좌표],표2[[#This Row],[좌표]])</f>
        <v>1</v>
      </c>
      <c r="J56" s="5">
        <f>COUNTIFS(표6[좌표],표2[[#This Row],[좌표]])</f>
        <v>0</v>
      </c>
      <c r="K56" s="5" t="b">
        <f xml:space="preserve"> 표2[[#This Row],[회원]]+표2[[#This Row],[벽]] &lt;= 1</f>
        <v>1</v>
      </c>
    </row>
    <row r="57" spans="1:11" x14ac:dyDescent="0.3">
      <c r="A57" s="3" t="s">
        <v>268</v>
      </c>
      <c r="B57" s="3" t="s">
        <v>269</v>
      </c>
      <c r="C57" s="4" t="s">
        <v>270</v>
      </c>
      <c r="D57" s="3" t="s">
        <v>271</v>
      </c>
      <c r="E57" s="3" t="s">
        <v>272</v>
      </c>
      <c r="F57" s="3" t="str">
        <f>fn등급(표2[[#This Row],[번호]])</f>
        <v>-</v>
      </c>
      <c r="G57" s="3" t="b">
        <f>AND(VALUE(LEFT(표2[[#This Row],[좌표]], FIND(",",표2[[#This Row],[좌표]], 1)-1)) &lt; 100, VALUE(LEFT(표2[[#This Row],[좌표]], FIND(",",표2[[#This Row],[좌표]], 1)-1)) &gt; -1)</f>
        <v>1</v>
      </c>
      <c r="H5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7" s="5">
        <f>COUNTIFS(표2[좌표],표2[[#This Row],[좌표]])</f>
        <v>1</v>
      </c>
      <c r="J57" s="5">
        <f>COUNTIFS(표6[좌표],표2[[#This Row],[좌표]])</f>
        <v>0</v>
      </c>
      <c r="K57" s="5" t="b">
        <f xml:space="preserve"> 표2[[#This Row],[회원]]+표2[[#This Row],[벽]] &lt;= 1</f>
        <v>1</v>
      </c>
    </row>
    <row r="58" spans="1:11" x14ac:dyDescent="0.3">
      <c r="A58" s="3" t="s">
        <v>273</v>
      </c>
      <c r="B58" s="3" t="s">
        <v>274</v>
      </c>
      <c r="C58" s="4" t="s">
        <v>275</v>
      </c>
      <c r="D58" s="3" t="s">
        <v>276</v>
      </c>
      <c r="E58" s="3" t="s">
        <v>277</v>
      </c>
      <c r="F58" s="3" t="str">
        <f>fn등급(표2[[#This Row],[번호]])</f>
        <v>-</v>
      </c>
      <c r="G58" s="3" t="b">
        <f>AND(VALUE(LEFT(표2[[#This Row],[좌표]], FIND(",",표2[[#This Row],[좌표]], 1)-1)) &lt; 100, VALUE(LEFT(표2[[#This Row],[좌표]], FIND(",",표2[[#This Row],[좌표]], 1)-1)) &gt; -1)</f>
        <v>1</v>
      </c>
      <c r="H5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8" s="5">
        <f>COUNTIFS(표2[좌표],표2[[#This Row],[좌표]])</f>
        <v>1</v>
      </c>
      <c r="J58" s="5">
        <f>COUNTIFS(표6[좌표],표2[[#This Row],[좌표]])</f>
        <v>0</v>
      </c>
      <c r="K58" s="5" t="b">
        <f xml:space="preserve"> 표2[[#This Row],[회원]]+표2[[#This Row],[벽]] &lt;= 1</f>
        <v>1</v>
      </c>
    </row>
    <row r="59" spans="1:11" x14ac:dyDescent="0.3">
      <c r="A59" s="3" t="s">
        <v>278</v>
      </c>
      <c r="B59" s="3" t="s">
        <v>279</v>
      </c>
      <c r="C59" s="4" t="s">
        <v>280</v>
      </c>
      <c r="D59" s="3" t="s">
        <v>281</v>
      </c>
      <c r="E59" s="3" t="s">
        <v>282</v>
      </c>
      <c r="F59" s="3" t="str">
        <f>fn등급(표2[[#This Row],[번호]])</f>
        <v>-</v>
      </c>
      <c r="G59" s="3" t="b">
        <f>AND(VALUE(LEFT(표2[[#This Row],[좌표]], FIND(",",표2[[#This Row],[좌표]], 1)-1)) &lt; 100, VALUE(LEFT(표2[[#This Row],[좌표]], FIND(",",표2[[#This Row],[좌표]], 1)-1)) &gt; -1)</f>
        <v>1</v>
      </c>
      <c r="H5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59" s="5">
        <f>COUNTIFS(표2[좌표],표2[[#This Row],[좌표]])</f>
        <v>1</v>
      </c>
      <c r="J59" s="5">
        <f>COUNTIFS(표6[좌표],표2[[#This Row],[좌표]])</f>
        <v>0</v>
      </c>
      <c r="K59" s="5" t="b">
        <f xml:space="preserve"> 표2[[#This Row],[회원]]+표2[[#This Row],[벽]] &lt;= 1</f>
        <v>1</v>
      </c>
    </row>
    <row r="60" spans="1:11" x14ac:dyDescent="0.3">
      <c r="A60" s="3" t="s">
        <v>283</v>
      </c>
      <c r="B60" s="3" t="s">
        <v>284</v>
      </c>
      <c r="C60" s="4" t="s">
        <v>285</v>
      </c>
      <c r="D60" s="3" t="s">
        <v>286</v>
      </c>
      <c r="E60" s="3" t="s">
        <v>287</v>
      </c>
      <c r="F60" s="3" t="str">
        <f>fn등급(표2[[#This Row],[번호]])</f>
        <v>-</v>
      </c>
      <c r="G60" s="3" t="b">
        <f>AND(VALUE(LEFT(표2[[#This Row],[좌표]], FIND(",",표2[[#This Row],[좌표]], 1)-1)) &lt; 100, VALUE(LEFT(표2[[#This Row],[좌표]], FIND(",",표2[[#This Row],[좌표]], 1)-1)) &gt; -1)</f>
        <v>1</v>
      </c>
      <c r="H6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0" s="5">
        <f>COUNTIFS(표2[좌표],표2[[#This Row],[좌표]])</f>
        <v>1</v>
      </c>
      <c r="J60" s="5">
        <f>COUNTIFS(표6[좌표],표2[[#This Row],[좌표]])</f>
        <v>0</v>
      </c>
      <c r="K60" s="5" t="b">
        <f xml:space="preserve"> 표2[[#This Row],[회원]]+표2[[#This Row],[벽]] &lt;= 1</f>
        <v>1</v>
      </c>
    </row>
    <row r="61" spans="1:11" x14ac:dyDescent="0.3">
      <c r="A61" s="3" t="s">
        <v>288</v>
      </c>
      <c r="B61" s="3" t="s">
        <v>289</v>
      </c>
      <c r="C61" s="4" t="s">
        <v>290</v>
      </c>
      <c r="D61" s="3" t="s">
        <v>291</v>
      </c>
      <c r="E61" s="3" t="s">
        <v>292</v>
      </c>
      <c r="F61" s="3" t="str">
        <f>fn등급(표2[[#This Row],[번호]])</f>
        <v>-</v>
      </c>
      <c r="G61" s="3" t="b">
        <f>AND(VALUE(LEFT(표2[[#This Row],[좌표]], FIND(",",표2[[#This Row],[좌표]], 1)-1)) &lt; 100, VALUE(LEFT(표2[[#This Row],[좌표]], FIND(",",표2[[#This Row],[좌표]], 1)-1)) &gt; -1)</f>
        <v>1</v>
      </c>
      <c r="H6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1" s="5">
        <f>COUNTIFS(표2[좌표],표2[[#This Row],[좌표]])</f>
        <v>1</v>
      </c>
      <c r="J61" s="5">
        <f>COUNTIFS(표6[좌표],표2[[#This Row],[좌표]])</f>
        <v>0</v>
      </c>
      <c r="K61" s="5" t="b">
        <f xml:space="preserve"> 표2[[#This Row],[회원]]+표2[[#This Row],[벽]] &lt;= 1</f>
        <v>1</v>
      </c>
    </row>
    <row r="62" spans="1:11" x14ac:dyDescent="0.3">
      <c r="A62" s="3" t="s">
        <v>293</v>
      </c>
      <c r="B62" s="3" t="s">
        <v>294</v>
      </c>
      <c r="C62" s="4" t="s">
        <v>295</v>
      </c>
      <c r="D62" s="3" t="s">
        <v>296</v>
      </c>
      <c r="E62" s="3" t="s">
        <v>297</v>
      </c>
      <c r="F62" s="3" t="str">
        <f>fn등급(표2[[#This Row],[번호]])</f>
        <v>맛집</v>
      </c>
      <c r="G62" s="3" t="b">
        <f>AND(VALUE(LEFT(표2[[#This Row],[좌표]], FIND(",",표2[[#This Row],[좌표]], 1)-1)) &lt; 100, VALUE(LEFT(표2[[#This Row],[좌표]], FIND(",",표2[[#This Row],[좌표]], 1)-1)) &gt; -1)</f>
        <v>1</v>
      </c>
      <c r="H6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2" s="5">
        <f>COUNTIFS(표2[좌표],표2[[#This Row],[좌표]])</f>
        <v>1</v>
      </c>
      <c r="J62" s="5">
        <f>COUNTIFS(표6[좌표],표2[[#This Row],[좌표]])</f>
        <v>0</v>
      </c>
      <c r="K62" s="5" t="b">
        <f xml:space="preserve"> 표2[[#This Row],[회원]]+표2[[#This Row],[벽]] &lt;= 1</f>
        <v>1</v>
      </c>
    </row>
    <row r="63" spans="1:11" x14ac:dyDescent="0.3">
      <c r="A63" s="3" t="s">
        <v>298</v>
      </c>
      <c r="B63" s="3" t="s">
        <v>299</v>
      </c>
      <c r="C63" s="4" t="s">
        <v>300</v>
      </c>
      <c r="D63" s="3" t="s">
        <v>301</v>
      </c>
      <c r="E63" s="3" t="s">
        <v>302</v>
      </c>
      <c r="F63" s="3" t="str">
        <f>fn등급(표2[[#This Row],[번호]])</f>
        <v>-</v>
      </c>
      <c r="G63" s="3" t="b">
        <f>AND(VALUE(LEFT(표2[[#This Row],[좌표]], FIND(",",표2[[#This Row],[좌표]], 1)-1)) &lt; 100, VALUE(LEFT(표2[[#This Row],[좌표]], FIND(",",표2[[#This Row],[좌표]], 1)-1)) &gt; -1)</f>
        <v>1</v>
      </c>
      <c r="H6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3" s="5">
        <f>COUNTIFS(표2[좌표],표2[[#This Row],[좌표]])</f>
        <v>1</v>
      </c>
      <c r="J63" s="5">
        <f>COUNTIFS(표6[좌표],표2[[#This Row],[좌표]])</f>
        <v>0</v>
      </c>
      <c r="K63" s="5" t="b">
        <f xml:space="preserve"> 표2[[#This Row],[회원]]+표2[[#This Row],[벽]] &lt;= 1</f>
        <v>1</v>
      </c>
    </row>
    <row r="64" spans="1:11" x14ac:dyDescent="0.3">
      <c r="A64" s="3" t="s">
        <v>303</v>
      </c>
      <c r="B64" s="3" t="s">
        <v>304</v>
      </c>
      <c r="C64" s="4" t="s">
        <v>305</v>
      </c>
      <c r="D64" s="3" t="s">
        <v>306</v>
      </c>
      <c r="E64" s="3" t="s">
        <v>307</v>
      </c>
      <c r="F64" s="3" t="str">
        <f>fn등급(표2[[#This Row],[번호]])</f>
        <v>-</v>
      </c>
      <c r="G64" s="3" t="b">
        <f>AND(VALUE(LEFT(표2[[#This Row],[좌표]], FIND(",",표2[[#This Row],[좌표]], 1)-1)) &lt; 100, VALUE(LEFT(표2[[#This Row],[좌표]], FIND(",",표2[[#This Row],[좌표]], 1)-1)) &gt; -1)</f>
        <v>1</v>
      </c>
      <c r="H6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4" s="5">
        <f>COUNTIFS(표2[좌표],표2[[#This Row],[좌표]])</f>
        <v>1</v>
      </c>
      <c r="J64" s="5">
        <f>COUNTIFS(표6[좌표],표2[[#This Row],[좌표]])</f>
        <v>0</v>
      </c>
      <c r="K64" s="5" t="b">
        <f xml:space="preserve"> 표2[[#This Row],[회원]]+표2[[#This Row],[벽]] &lt;= 1</f>
        <v>1</v>
      </c>
    </row>
    <row r="65" spans="1:11" x14ac:dyDescent="0.3">
      <c r="A65" s="3" t="s">
        <v>308</v>
      </c>
      <c r="B65" s="3" t="s">
        <v>309</v>
      </c>
      <c r="C65" s="4" t="s">
        <v>310</v>
      </c>
      <c r="D65" s="3" t="s">
        <v>311</v>
      </c>
      <c r="E65" s="3" t="s">
        <v>312</v>
      </c>
      <c r="F65" s="3" t="str">
        <f>fn등급(표2[[#This Row],[번호]])</f>
        <v>-</v>
      </c>
      <c r="G65" s="3" t="b">
        <f>AND(VALUE(LEFT(표2[[#This Row],[좌표]], FIND(",",표2[[#This Row],[좌표]], 1)-1)) &lt; 100, VALUE(LEFT(표2[[#This Row],[좌표]], FIND(",",표2[[#This Row],[좌표]], 1)-1)) &gt; -1)</f>
        <v>1</v>
      </c>
      <c r="H6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5" s="5">
        <f>COUNTIFS(표2[좌표],표2[[#This Row],[좌표]])</f>
        <v>1</v>
      </c>
      <c r="J65" s="5">
        <f>COUNTIFS(표6[좌표],표2[[#This Row],[좌표]])</f>
        <v>0</v>
      </c>
      <c r="K65" s="5" t="b">
        <f xml:space="preserve"> 표2[[#This Row],[회원]]+표2[[#This Row],[벽]] &lt;= 1</f>
        <v>1</v>
      </c>
    </row>
    <row r="66" spans="1:11" x14ac:dyDescent="0.3">
      <c r="A66" s="3" t="s">
        <v>313</v>
      </c>
      <c r="B66" s="3" t="s">
        <v>314</v>
      </c>
      <c r="C66" s="4" t="s">
        <v>315</v>
      </c>
      <c r="D66" s="3" t="s">
        <v>316</v>
      </c>
      <c r="E66" s="3" t="s">
        <v>317</v>
      </c>
      <c r="F66" s="3" t="str">
        <f>fn등급(표2[[#This Row],[번호]])</f>
        <v>-</v>
      </c>
      <c r="G66" s="3" t="b">
        <f>AND(VALUE(LEFT(표2[[#This Row],[좌표]], FIND(",",표2[[#This Row],[좌표]], 1)-1)) &lt; 100, VALUE(LEFT(표2[[#This Row],[좌표]], FIND(",",표2[[#This Row],[좌표]], 1)-1)) &gt; -1)</f>
        <v>1</v>
      </c>
      <c r="H6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6" s="5">
        <f>COUNTIFS(표2[좌표],표2[[#This Row],[좌표]])</f>
        <v>1</v>
      </c>
      <c r="J66" s="5">
        <f>COUNTIFS(표6[좌표],표2[[#This Row],[좌표]])</f>
        <v>0</v>
      </c>
      <c r="K66" s="5" t="b">
        <f xml:space="preserve"> 표2[[#This Row],[회원]]+표2[[#This Row],[벽]] &lt;= 1</f>
        <v>1</v>
      </c>
    </row>
    <row r="67" spans="1:11" x14ac:dyDescent="0.3">
      <c r="A67" s="3" t="s">
        <v>318</v>
      </c>
      <c r="B67" s="3" t="s">
        <v>319</v>
      </c>
      <c r="C67" s="4" t="s">
        <v>320</v>
      </c>
      <c r="D67" s="3" t="s">
        <v>321</v>
      </c>
      <c r="E67" s="3" t="s">
        <v>322</v>
      </c>
      <c r="F67" s="3" t="str">
        <f>fn등급(표2[[#This Row],[번호]])</f>
        <v>-</v>
      </c>
      <c r="G67" s="3" t="b">
        <f>AND(VALUE(LEFT(표2[[#This Row],[좌표]], FIND(",",표2[[#This Row],[좌표]], 1)-1)) &lt; 100, VALUE(LEFT(표2[[#This Row],[좌표]], FIND(",",표2[[#This Row],[좌표]], 1)-1)) &gt; -1)</f>
        <v>1</v>
      </c>
      <c r="H6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7" s="5">
        <f>COUNTIFS(표2[좌표],표2[[#This Row],[좌표]])</f>
        <v>1</v>
      </c>
      <c r="J67" s="5">
        <f>COUNTIFS(표6[좌표],표2[[#This Row],[좌표]])</f>
        <v>0</v>
      </c>
      <c r="K67" s="5" t="b">
        <f xml:space="preserve"> 표2[[#This Row],[회원]]+표2[[#This Row],[벽]] &lt;= 1</f>
        <v>1</v>
      </c>
    </row>
    <row r="68" spans="1:11" x14ac:dyDescent="0.3">
      <c r="A68" s="3" t="s">
        <v>323</v>
      </c>
      <c r="B68" s="3" t="s">
        <v>324</v>
      </c>
      <c r="C68" s="4" t="s">
        <v>325</v>
      </c>
      <c r="D68" s="3" t="s">
        <v>326</v>
      </c>
      <c r="E68" s="3" t="s">
        <v>327</v>
      </c>
      <c r="F68" s="3" t="str">
        <f>fn등급(표2[[#This Row],[번호]])</f>
        <v>맛집</v>
      </c>
      <c r="G68" s="3" t="b">
        <f>AND(VALUE(LEFT(표2[[#This Row],[좌표]], FIND(",",표2[[#This Row],[좌표]], 1)-1)) &lt; 100, VALUE(LEFT(표2[[#This Row],[좌표]], FIND(",",표2[[#This Row],[좌표]], 1)-1)) &gt; -1)</f>
        <v>1</v>
      </c>
      <c r="H6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8" s="5">
        <f>COUNTIFS(표2[좌표],표2[[#This Row],[좌표]])</f>
        <v>1</v>
      </c>
      <c r="J68" s="5">
        <f>COUNTIFS(표6[좌표],표2[[#This Row],[좌표]])</f>
        <v>0</v>
      </c>
      <c r="K68" s="5" t="b">
        <f xml:space="preserve"> 표2[[#This Row],[회원]]+표2[[#This Row],[벽]] &lt;= 1</f>
        <v>1</v>
      </c>
    </row>
    <row r="69" spans="1:11" x14ac:dyDescent="0.3">
      <c r="A69" s="3" t="s">
        <v>328</v>
      </c>
      <c r="B69" s="3" t="s">
        <v>329</v>
      </c>
      <c r="C69" s="4" t="s">
        <v>330</v>
      </c>
      <c r="D69" s="3" t="s">
        <v>331</v>
      </c>
      <c r="E69" s="3" t="s">
        <v>332</v>
      </c>
      <c r="F69" s="3" t="str">
        <f>fn등급(표2[[#This Row],[번호]])</f>
        <v>-</v>
      </c>
      <c r="G69" s="3" t="b">
        <f>AND(VALUE(LEFT(표2[[#This Row],[좌표]], FIND(",",표2[[#This Row],[좌표]], 1)-1)) &lt; 100, VALUE(LEFT(표2[[#This Row],[좌표]], FIND(",",표2[[#This Row],[좌표]], 1)-1)) &gt; -1)</f>
        <v>1</v>
      </c>
      <c r="H6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69" s="5">
        <f>COUNTIFS(표2[좌표],표2[[#This Row],[좌표]])</f>
        <v>1</v>
      </c>
      <c r="J69" s="5">
        <f>COUNTIFS(표6[좌표],표2[[#This Row],[좌표]])</f>
        <v>0</v>
      </c>
      <c r="K69" s="5" t="b">
        <f xml:space="preserve"> 표2[[#This Row],[회원]]+표2[[#This Row],[벽]] &lt;= 1</f>
        <v>1</v>
      </c>
    </row>
    <row r="70" spans="1:11" x14ac:dyDescent="0.3">
      <c r="A70" s="3" t="s">
        <v>333</v>
      </c>
      <c r="B70" s="3" t="s">
        <v>334</v>
      </c>
      <c r="C70" s="4" t="s">
        <v>335</v>
      </c>
      <c r="D70" s="3" t="s">
        <v>336</v>
      </c>
      <c r="E70" s="3" t="s">
        <v>337</v>
      </c>
      <c r="F70" s="3" t="str">
        <f>fn등급(표2[[#This Row],[번호]])</f>
        <v>-</v>
      </c>
      <c r="G70" s="3" t="b">
        <f>AND(VALUE(LEFT(표2[[#This Row],[좌표]], FIND(",",표2[[#This Row],[좌표]], 1)-1)) &lt; 100, VALUE(LEFT(표2[[#This Row],[좌표]], FIND(",",표2[[#This Row],[좌표]], 1)-1)) &gt; -1)</f>
        <v>1</v>
      </c>
      <c r="H7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0" s="5">
        <f>COUNTIFS(표2[좌표],표2[[#This Row],[좌표]])</f>
        <v>1</v>
      </c>
      <c r="J70" s="5">
        <f>COUNTIFS(표6[좌표],표2[[#This Row],[좌표]])</f>
        <v>0</v>
      </c>
      <c r="K70" s="5" t="b">
        <f xml:space="preserve"> 표2[[#This Row],[회원]]+표2[[#This Row],[벽]] &lt;= 1</f>
        <v>1</v>
      </c>
    </row>
    <row r="71" spans="1:11" x14ac:dyDescent="0.3">
      <c r="A71" s="3" t="s">
        <v>338</v>
      </c>
      <c r="B71" s="3" t="s">
        <v>339</v>
      </c>
      <c r="C71" s="4" t="s">
        <v>340</v>
      </c>
      <c r="D71" s="3" t="s">
        <v>341</v>
      </c>
      <c r="E71" s="3" t="s">
        <v>342</v>
      </c>
      <c r="F71" s="3" t="str">
        <f>fn등급(표2[[#This Row],[번호]])</f>
        <v>맛집</v>
      </c>
      <c r="G71" s="3" t="b">
        <f>AND(VALUE(LEFT(표2[[#This Row],[좌표]], FIND(",",표2[[#This Row],[좌표]], 1)-1)) &lt; 100, VALUE(LEFT(표2[[#This Row],[좌표]], FIND(",",표2[[#This Row],[좌표]], 1)-1)) &gt; -1)</f>
        <v>1</v>
      </c>
      <c r="H7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1" s="5">
        <f>COUNTIFS(표2[좌표],표2[[#This Row],[좌표]])</f>
        <v>1</v>
      </c>
      <c r="J71" s="5">
        <f>COUNTIFS(표6[좌표],표2[[#This Row],[좌표]])</f>
        <v>0</v>
      </c>
      <c r="K71" s="5" t="b">
        <f xml:space="preserve"> 표2[[#This Row],[회원]]+표2[[#This Row],[벽]] &lt;= 1</f>
        <v>1</v>
      </c>
    </row>
    <row r="72" spans="1:11" x14ac:dyDescent="0.3">
      <c r="A72" s="3" t="s">
        <v>343</v>
      </c>
      <c r="B72" s="3" t="s">
        <v>344</v>
      </c>
      <c r="C72" s="4" t="s">
        <v>345</v>
      </c>
      <c r="D72" s="3" t="s">
        <v>346</v>
      </c>
      <c r="E72" s="3" t="s">
        <v>347</v>
      </c>
      <c r="F72" s="3" t="str">
        <f>fn등급(표2[[#This Row],[번호]])</f>
        <v>맛집</v>
      </c>
      <c r="G72" s="3" t="b">
        <f>AND(VALUE(LEFT(표2[[#This Row],[좌표]], FIND(",",표2[[#This Row],[좌표]], 1)-1)) &lt; 100, VALUE(LEFT(표2[[#This Row],[좌표]], FIND(",",표2[[#This Row],[좌표]], 1)-1)) &gt; -1)</f>
        <v>1</v>
      </c>
      <c r="H7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2" s="5">
        <f>COUNTIFS(표2[좌표],표2[[#This Row],[좌표]])</f>
        <v>1</v>
      </c>
      <c r="J72" s="5">
        <f>COUNTIFS(표6[좌표],표2[[#This Row],[좌표]])</f>
        <v>0</v>
      </c>
      <c r="K72" s="5" t="b">
        <f xml:space="preserve"> 표2[[#This Row],[회원]]+표2[[#This Row],[벽]] &lt;= 1</f>
        <v>1</v>
      </c>
    </row>
    <row r="73" spans="1:11" x14ac:dyDescent="0.3">
      <c r="A73" s="3" t="s">
        <v>348</v>
      </c>
      <c r="B73" s="3" t="s">
        <v>349</v>
      </c>
      <c r="C73" s="4" t="s">
        <v>350</v>
      </c>
      <c r="D73" s="3" t="s">
        <v>351</v>
      </c>
      <c r="E73" s="3" t="s">
        <v>352</v>
      </c>
      <c r="F73" s="3" t="str">
        <f>fn등급(표2[[#This Row],[번호]])</f>
        <v>-</v>
      </c>
      <c r="G73" s="3" t="b">
        <f>AND(VALUE(LEFT(표2[[#This Row],[좌표]], FIND(",",표2[[#This Row],[좌표]], 1)-1)) &lt; 100, VALUE(LEFT(표2[[#This Row],[좌표]], FIND(",",표2[[#This Row],[좌표]], 1)-1)) &gt; -1)</f>
        <v>1</v>
      </c>
      <c r="H7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3" s="5">
        <f>COUNTIFS(표2[좌표],표2[[#This Row],[좌표]])</f>
        <v>1</v>
      </c>
      <c r="J73" s="5">
        <f>COUNTIFS(표6[좌표],표2[[#This Row],[좌표]])</f>
        <v>0</v>
      </c>
      <c r="K73" s="5" t="b">
        <f xml:space="preserve"> 표2[[#This Row],[회원]]+표2[[#This Row],[벽]] &lt;= 1</f>
        <v>1</v>
      </c>
    </row>
    <row r="74" spans="1:11" x14ac:dyDescent="0.3">
      <c r="A74" s="3" t="s">
        <v>353</v>
      </c>
      <c r="B74" s="3" t="s">
        <v>354</v>
      </c>
      <c r="C74" s="4" t="s">
        <v>355</v>
      </c>
      <c r="D74" s="3" t="s">
        <v>356</v>
      </c>
      <c r="E74" s="3" t="s">
        <v>357</v>
      </c>
      <c r="F74" s="3" t="str">
        <f>fn등급(표2[[#This Row],[번호]])</f>
        <v>-</v>
      </c>
      <c r="G74" s="3" t="b">
        <f>AND(VALUE(LEFT(표2[[#This Row],[좌표]], FIND(",",표2[[#This Row],[좌표]], 1)-1)) &lt; 100, VALUE(LEFT(표2[[#This Row],[좌표]], FIND(",",표2[[#This Row],[좌표]], 1)-1)) &gt; -1)</f>
        <v>1</v>
      </c>
      <c r="H7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4" s="5">
        <f>COUNTIFS(표2[좌표],표2[[#This Row],[좌표]])</f>
        <v>1</v>
      </c>
      <c r="J74" s="5">
        <f>COUNTIFS(표6[좌표],표2[[#This Row],[좌표]])</f>
        <v>0</v>
      </c>
      <c r="K74" s="5" t="b">
        <f xml:space="preserve"> 표2[[#This Row],[회원]]+표2[[#This Row],[벽]] &lt;= 1</f>
        <v>1</v>
      </c>
    </row>
    <row r="75" spans="1:11" x14ac:dyDescent="0.3">
      <c r="A75" s="3" t="s">
        <v>358</v>
      </c>
      <c r="B75" s="3" t="s">
        <v>359</v>
      </c>
      <c r="C75" s="4" t="s">
        <v>360</v>
      </c>
      <c r="D75" s="3" t="s">
        <v>361</v>
      </c>
      <c r="E75" s="3" t="s">
        <v>362</v>
      </c>
      <c r="F75" s="3" t="str">
        <f>fn등급(표2[[#This Row],[번호]])</f>
        <v>-</v>
      </c>
      <c r="G75" s="3" t="b">
        <f>AND(VALUE(LEFT(표2[[#This Row],[좌표]], FIND(",",표2[[#This Row],[좌표]], 1)-1)) &lt; 100, VALUE(LEFT(표2[[#This Row],[좌표]], FIND(",",표2[[#This Row],[좌표]], 1)-1)) &gt; -1)</f>
        <v>1</v>
      </c>
      <c r="H7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5" s="5">
        <f>COUNTIFS(표2[좌표],표2[[#This Row],[좌표]])</f>
        <v>1</v>
      </c>
      <c r="J75" s="5">
        <f>COUNTIFS(표6[좌표],표2[[#This Row],[좌표]])</f>
        <v>0</v>
      </c>
      <c r="K75" s="5" t="b">
        <f xml:space="preserve"> 표2[[#This Row],[회원]]+표2[[#This Row],[벽]] &lt;= 1</f>
        <v>1</v>
      </c>
    </row>
    <row r="76" spans="1:11" x14ac:dyDescent="0.3">
      <c r="A76" s="3" t="s">
        <v>363</v>
      </c>
      <c r="B76" s="3" t="s">
        <v>364</v>
      </c>
      <c r="C76" s="4" t="s">
        <v>365</v>
      </c>
      <c r="D76" s="3" t="s">
        <v>366</v>
      </c>
      <c r="E76" s="3" t="s">
        <v>367</v>
      </c>
      <c r="F76" s="3" t="str">
        <f>fn등급(표2[[#This Row],[번호]])</f>
        <v>-</v>
      </c>
      <c r="G76" s="3" t="b">
        <f>AND(VALUE(LEFT(표2[[#This Row],[좌표]], FIND(",",표2[[#This Row],[좌표]], 1)-1)) &lt; 100, VALUE(LEFT(표2[[#This Row],[좌표]], FIND(",",표2[[#This Row],[좌표]], 1)-1)) &gt; -1)</f>
        <v>1</v>
      </c>
      <c r="H7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6" s="5">
        <f>COUNTIFS(표2[좌표],표2[[#This Row],[좌표]])</f>
        <v>1</v>
      </c>
      <c r="J76" s="5">
        <f>COUNTIFS(표6[좌표],표2[[#This Row],[좌표]])</f>
        <v>0</v>
      </c>
      <c r="K76" s="5" t="b">
        <f xml:space="preserve"> 표2[[#This Row],[회원]]+표2[[#This Row],[벽]] &lt;= 1</f>
        <v>1</v>
      </c>
    </row>
    <row r="77" spans="1:11" x14ac:dyDescent="0.3">
      <c r="A77" s="3" t="s">
        <v>368</v>
      </c>
      <c r="B77" s="3" t="s">
        <v>369</v>
      </c>
      <c r="C77" s="4" t="s">
        <v>370</v>
      </c>
      <c r="D77" s="3" t="s">
        <v>371</v>
      </c>
      <c r="E77" s="3" t="s">
        <v>372</v>
      </c>
      <c r="F77" s="3" t="str">
        <f>fn등급(표2[[#This Row],[번호]])</f>
        <v>-</v>
      </c>
      <c r="G77" s="3" t="b">
        <f>AND(VALUE(LEFT(표2[[#This Row],[좌표]], FIND(",",표2[[#This Row],[좌표]], 1)-1)) &lt; 100, VALUE(LEFT(표2[[#This Row],[좌표]], FIND(",",표2[[#This Row],[좌표]], 1)-1)) &gt; -1)</f>
        <v>1</v>
      </c>
      <c r="H7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7" s="5">
        <f>COUNTIFS(표2[좌표],표2[[#This Row],[좌표]])</f>
        <v>1</v>
      </c>
      <c r="J77" s="5">
        <f>COUNTIFS(표6[좌표],표2[[#This Row],[좌표]])</f>
        <v>0</v>
      </c>
      <c r="K77" s="5" t="b">
        <f xml:space="preserve"> 표2[[#This Row],[회원]]+표2[[#This Row],[벽]] &lt;= 1</f>
        <v>1</v>
      </c>
    </row>
    <row r="78" spans="1:11" x14ac:dyDescent="0.3">
      <c r="A78" s="3" t="s">
        <v>373</v>
      </c>
      <c r="B78" s="3" t="s">
        <v>374</v>
      </c>
      <c r="C78" s="4" t="s">
        <v>375</v>
      </c>
      <c r="D78" s="3" t="s">
        <v>376</v>
      </c>
      <c r="E78" s="3" t="s">
        <v>377</v>
      </c>
      <c r="F78" s="3" t="str">
        <f>fn등급(표2[[#This Row],[번호]])</f>
        <v>-</v>
      </c>
      <c r="G78" s="3" t="b">
        <f>AND(VALUE(LEFT(표2[[#This Row],[좌표]], FIND(",",표2[[#This Row],[좌표]], 1)-1)) &lt; 100, VALUE(LEFT(표2[[#This Row],[좌표]], FIND(",",표2[[#This Row],[좌표]], 1)-1)) &gt; -1)</f>
        <v>1</v>
      </c>
      <c r="H7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8" s="5">
        <f>COUNTIFS(표2[좌표],표2[[#This Row],[좌표]])</f>
        <v>1</v>
      </c>
      <c r="J78" s="5">
        <f>COUNTIFS(표6[좌표],표2[[#This Row],[좌표]])</f>
        <v>0</v>
      </c>
      <c r="K78" s="5" t="b">
        <f xml:space="preserve"> 표2[[#This Row],[회원]]+표2[[#This Row],[벽]] &lt;= 1</f>
        <v>1</v>
      </c>
    </row>
    <row r="79" spans="1:11" x14ac:dyDescent="0.3">
      <c r="A79" s="3" t="s">
        <v>378</v>
      </c>
      <c r="B79" s="3" t="s">
        <v>379</v>
      </c>
      <c r="C79" s="4" t="s">
        <v>380</v>
      </c>
      <c r="D79" s="3" t="s">
        <v>381</v>
      </c>
      <c r="E79" s="3" t="s">
        <v>382</v>
      </c>
      <c r="F79" s="3" t="str">
        <f>fn등급(표2[[#This Row],[번호]])</f>
        <v>-</v>
      </c>
      <c r="G79" s="3" t="b">
        <f>AND(VALUE(LEFT(표2[[#This Row],[좌표]], FIND(",",표2[[#This Row],[좌표]], 1)-1)) &lt; 100, VALUE(LEFT(표2[[#This Row],[좌표]], FIND(",",표2[[#This Row],[좌표]], 1)-1)) &gt; -1)</f>
        <v>1</v>
      </c>
      <c r="H7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79" s="5">
        <f>COUNTIFS(표2[좌표],표2[[#This Row],[좌표]])</f>
        <v>1</v>
      </c>
      <c r="J79" s="5">
        <f>COUNTIFS(표6[좌표],표2[[#This Row],[좌표]])</f>
        <v>0</v>
      </c>
      <c r="K79" s="5" t="b">
        <f xml:space="preserve"> 표2[[#This Row],[회원]]+표2[[#This Row],[벽]] &lt;= 1</f>
        <v>1</v>
      </c>
    </row>
    <row r="80" spans="1:11" x14ac:dyDescent="0.3">
      <c r="A80" s="3" t="s">
        <v>383</v>
      </c>
      <c r="B80" s="3" t="s">
        <v>384</v>
      </c>
      <c r="C80" s="4" t="s">
        <v>385</v>
      </c>
      <c r="D80" s="3" t="s">
        <v>386</v>
      </c>
      <c r="E80" s="3" t="s">
        <v>387</v>
      </c>
      <c r="F80" s="3" t="str">
        <f>fn등급(표2[[#This Row],[번호]])</f>
        <v>-</v>
      </c>
      <c r="G80" s="3" t="b">
        <f>AND(VALUE(LEFT(표2[[#This Row],[좌표]], FIND(",",표2[[#This Row],[좌표]], 1)-1)) &lt; 100, VALUE(LEFT(표2[[#This Row],[좌표]], FIND(",",표2[[#This Row],[좌표]], 1)-1)) &gt; -1)</f>
        <v>1</v>
      </c>
      <c r="H8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0" s="5">
        <f>COUNTIFS(표2[좌표],표2[[#This Row],[좌표]])</f>
        <v>1</v>
      </c>
      <c r="J80" s="5">
        <f>COUNTIFS(표6[좌표],표2[[#This Row],[좌표]])</f>
        <v>0</v>
      </c>
      <c r="K80" s="5" t="b">
        <f xml:space="preserve"> 표2[[#This Row],[회원]]+표2[[#This Row],[벽]] &lt;= 1</f>
        <v>1</v>
      </c>
    </row>
    <row r="81" spans="1:11" x14ac:dyDescent="0.3">
      <c r="A81" s="3" t="s">
        <v>388</v>
      </c>
      <c r="B81" s="3" t="s">
        <v>389</v>
      </c>
      <c r="C81" s="4" t="s">
        <v>390</v>
      </c>
      <c r="D81" s="3" t="s">
        <v>391</v>
      </c>
      <c r="E81" s="3" t="s">
        <v>392</v>
      </c>
      <c r="F81" s="3" t="str">
        <f>fn등급(표2[[#This Row],[번호]])</f>
        <v>-</v>
      </c>
      <c r="G81" s="3" t="b">
        <f>AND(VALUE(LEFT(표2[[#This Row],[좌표]], FIND(",",표2[[#This Row],[좌표]], 1)-1)) &lt; 100, VALUE(LEFT(표2[[#This Row],[좌표]], FIND(",",표2[[#This Row],[좌표]], 1)-1)) &gt; -1)</f>
        <v>1</v>
      </c>
      <c r="H8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1" s="5">
        <f>COUNTIFS(표2[좌표],표2[[#This Row],[좌표]])</f>
        <v>1</v>
      </c>
      <c r="J81" s="5">
        <f>COUNTIFS(표6[좌표],표2[[#This Row],[좌표]])</f>
        <v>0</v>
      </c>
      <c r="K81" s="5" t="b">
        <f xml:space="preserve"> 표2[[#This Row],[회원]]+표2[[#This Row],[벽]] &lt;= 1</f>
        <v>1</v>
      </c>
    </row>
    <row r="82" spans="1:11" x14ac:dyDescent="0.3">
      <c r="A82" s="3" t="s">
        <v>393</v>
      </c>
      <c r="B82" s="3" t="s">
        <v>394</v>
      </c>
      <c r="C82" s="4" t="s">
        <v>395</v>
      </c>
      <c r="D82" s="3" t="s">
        <v>396</v>
      </c>
      <c r="E82" s="3" t="s">
        <v>397</v>
      </c>
      <c r="F82" s="3" t="str">
        <f>fn등급(표2[[#This Row],[번호]])</f>
        <v>-</v>
      </c>
      <c r="G82" s="3" t="b">
        <f>AND(VALUE(LEFT(표2[[#This Row],[좌표]], FIND(",",표2[[#This Row],[좌표]], 1)-1)) &lt; 100, VALUE(LEFT(표2[[#This Row],[좌표]], FIND(",",표2[[#This Row],[좌표]], 1)-1)) &gt; -1)</f>
        <v>1</v>
      </c>
      <c r="H8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2" s="5">
        <f>COUNTIFS(표2[좌표],표2[[#This Row],[좌표]])</f>
        <v>1</v>
      </c>
      <c r="J82" s="5">
        <f>COUNTIFS(표6[좌표],표2[[#This Row],[좌표]])</f>
        <v>0</v>
      </c>
      <c r="K82" s="5" t="b">
        <f xml:space="preserve"> 표2[[#This Row],[회원]]+표2[[#This Row],[벽]] &lt;= 1</f>
        <v>1</v>
      </c>
    </row>
    <row r="83" spans="1:11" x14ac:dyDescent="0.3">
      <c r="A83" s="3" t="s">
        <v>398</v>
      </c>
      <c r="B83" s="3" t="s">
        <v>399</v>
      </c>
      <c r="C83" s="4" t="s">
        <v>400</v>
      </c>
      <c r="D83" s="3" t="s">
        <v>401</v>
      </c>
      <c r="E83" s="3" t="s">
        <v>402</v>
      </c>
      <c r="F83" s="3" t="str">
        <f>fn등급(표2[[#This Row],[번호]])</f>
        <v>-</v>
      </c>
      <c r="G83" s="3" t="b">
        <f>AND(VALUE(LEFT(표2[[#This Row],[좌표]], FIND(",",표2[[#This Row],[좌표]], 1)-1)) &lt; 100, VALUE(LEFT(표2[[#This Row],[좌표]], FIND(",",표2[[#This Row],[좌표]], 1)-1)) &gt; -1)</f>
        <v>1</v>
      </c>
      <c r="H8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3" s="5">
        <f>COUNTIFS(표2[좌표],표2[[#This Row],[좌표]])</f>
        <v>1</v>
      </c>
      <c r="J83" s="5">
        <f>COUNTIFS(표6[좌표],표2[[#This Row],[좌표]])</f>
        <v>0</v>
      </c>
      <c r="K83" s="5" t="b">
        <f xml:space="preserve"> 표2[[#This Row],[회원]]+표2[[#This Row],[벽]] &lt;= 1</f>
        <v>1</v>
      </c>
    </row>
    <row r="84" spans="1:11" x14ac:dyDescent="0.3">
      <c r="A84" s="3" t="s">
        <v>403</v>
      </c>
      <c r="B84" s="3" t="s">
        <v>404</v>
      </c>
      <c r="C84" s="4" t="s">
        <v>405</v>
      </c>
      <c r="D84" s="3" t="s">
        <v>406</v>
      </c>
      <c r="E84" s="3" t="s">
        <v>407</v>
      </c>
      <c r="F84" s="3" t="str">
        <f>fn등급(표2[[#This Row],[번호]])</f>
        <v>-</v>
      </c>
      <c r="G84" s="3" t="b">
        <f>AND(VALUE(LEFT(표2[[#This Row],[좌표]], FIND(",",표2[[#This Row],[좌표]], 1)-1)) &lt; 100, VALUE(LEFT(표2[[#This Row],[좌표]], FIND(",",표2[[#This Row],[좌표]], 1)-1)) &gt; -1)</f>
        <v>1</v>
      </c>
      <c r="H8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4" s="5">
        <f>COUNTIFS(표2[좌표],표2[[#This Row],[좌표]])</f>
        <v>1</v>
      </c>
      <c r="J84" s="5">
        <f>COUNTIFS(표6[좌표],표2[[#This Row],[좌표]])</f>
        <v>0</v>
      </c>
      <c r="K84" s="5" t="b">
        <f xml:space="preserve"> 표2[[#This Row],[회원]]+표2[[#This Row],[벽]] &lt;= 1</f>
        <v>1</v>
      </c>
    </row>
    <row r="85" spans="1:11" x14ac:dyDescent="0.3">
      <c r="A85" s="3" t="s">
        <v>408</v>
      </c>
      <c r="B85" s="3" t="s">
        <v>409</v>
      </c>
      <c r="C85" s="4" t="s">
        <v>410</v>
      </c>
      <c r="D85" s="3" t="s">
        <v>411</v>
      </c>
      <c r="E85" s="3" t="s">
        <v>412</v>
      </c>
      <c r="F85" s="3" t="str">
        <f>fn등급(표2[[#This Row],[번호]])</f>
        <v>맛집</v>
      </c>
      <c r="G85" s="3" t="b">
        <f>AND(VALUE(LEFT(표2[[#This Row],[좌표]], FIND(",",표2[[#This Row],[좌표]], 1)-1)) &lt; 100, VALUE(LEFT(표2[[#This Row],[좌표]], FIND(",",표2[[#This Row],[좌표]], 1)-1)) &gt; -1)</f>
        <v>1</v>
      </c>
      <c r="H8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5" s="5">
        <f>COUNTIFS(표2[좌표],표2[[#This Row],[좌표]])</f>
        <v>1</v>
      </c>
      <c r="J85" s="5">
        <f>COUNTIFS(표6[좌표],표2[[#This Row],[좌표]])</f>
        <v>0</v>
      </c>
      <c r="K85" s="5" t="b">
        <f xml:space="preserve"> 표2[[#This Row],[회원]]+표2[[#This Row],[벽]] &lt;= 1</f>
        <v>1</v>
      </c>
    </row>
    <row r="86" spans="1:11" x14ac:dyDescent="0.3">
      <c r="A86" s="3" t="s">
        <v>413</v>
      </c>
      <c r="B86" s="3" t="s">
        <v>414</v>
      </c>
      <c r="C86" s="4" t="s">
        <v>415</v>
      </c>
      <c r="D86" s="3" t="s">
        <v>416</v>
      </c>
      <c r="E86" s="3" t="s">
        <v>417</v>
      </c>
      <c r="F86" s="3" t="str">
        <f>fn등급(표2[[#This Row],[번호]])</f>
        <v>-</v>
      </c>
      <c r="G86" s="3" t="b">
        <f>AND(VALUE(LEFT(표2[[#This Row],[좌표]], FIND(",",표2[[#This Row],[좌표]], 1)-1)) &lt; 100, VALUE(LEFT(표2[[#This Row],[좌표]], FIND(",",표2[[#This Row],[좌표]], 1)-1)) &gt; -1)</f>
        <v>1</v>
      </c>
      <c r="H8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6" s="5">
        <f>COUNTIFS(표2[좌표],표2[[#This Row],[좌표]])</f>
        <v>1</v>
      </c>
      <c r="J86" s="5">
        <f>COUNTIFS(표6[좌표],표2[[#This Row],[좌표]])</f>
        <v>0</v>
      </c>
      <c r="K86" s="5" t="b">
        <f xml:space="preserve"> 표2[[#This Row],[회원]]+표2[[#This Row],[벽]] &lt;= 1</f>
        <v>1</v>
      </c>
    </row>
    <row r="87" spans="1:11" x14ac:dyDescent="0.3">
      <c r="A87" s="3" t="s">
        <v>418</v>
      </c>
      <c r="B87" s="3" t="s">
        <v>419</v>
      </c>
      <c r="C87" s="4" t="s">
        <v>420</v>
      </c>
      <c r="D87" s="3" t="s">
        <v>421</v>
      </c>
      <c r="E87" s="3" t="s">
        <v>422</v>
      </c>
      <c r="F87" s="3" t="str">
        <f>fn등급(표2[[#This Row],[번호]])</f>
        <v>-</v>
      </c>
      <c r="G87" s="3" t="b">
        <f>AND(VALUE(LEFT(표2[[#This Row],[좌표]], FIND(",",표2[[#This Row],[좌표]], 1)-1)) &lt; 100, VALUE(LEFT(표2[[#This Row],[좌표]], FIND(",",표2[[#This Row],[좌표]], 1)-1)) &gt; -1)</f>
        <v>1</v>
      </c>
      <c r="H8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7" s="5">
        <f>COUNTIFS(표2[좌표],표2[[#This Row],[좌표]])</f>
        <v>1</v>
      </c>
      <c r="J87" s="5">
        <f>COUNTIFS(표6[좌표],표2[[#This Row],[좌표]])</f>
        <v>0</v>
      </c>
      <c r="K87" s="5" t="b">
        <f xml:space="preserve"> 표2[[#This Row],[회원]]+표2[[#This Row],[벽]] &lt;= 1</f>
        <v>1</v>
      </c>
    </row>
    <row r="88" spans="1:11" x14ac:dyDescent="0.3">
      <c r="A88" s="3" t="s">
        <v>423</v>
      </c>
      <c r="B88" s="3" t="s">
        <v>424</v>
      </c>
      <c r="C88" s="4" t="s">
        <v>425</v>
      </c>
      <c r="D88" s="3" t="s">
        <v>426</v>
      </c>
      <c r="E88" s="3" t="s">
        <v>427</v>
      </c>
      <c r="F88" s="3" t="str">
        <f>fn등급(표2[[#This Row],[번호]])</f>
        <v>-</v>
      </c>
      <c r="G88" s="3" t="b">
        <f>AND(VALUE(LEFT(표2[[#This Row],[좌표]], FIND(",",표2[[#This Row],[좌표]], 1)-1)) &lt; 100, VALUE(LEFT(표2[[#This Row],[좌표]], FIND(",",표2[[#This Row],[좌표]], 1)-1)) &gt; -1)</f>
        <v>1</v>
      </c>
      <c r="H8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8" s="5">
        <f>COUNTIFS(표2[좌표],표2[[#This Row],[좌표]])</f>
        <v>1</v>
      </c>
      <c r="J88" s="5">
        <f>COUNTIFS(표6[좌표],표2[[#This Row],[좌표]])</f>
        <v>0</v>
      </c>
      <c r="K88" s="5" t="b">
        <f xml:space="preserve"> 표2[[#This Row],[회원]]+표2[[#This Row],[벽]] &lt;= 1</f>
        <v>1</v>
      </c>
    </row>
    <row r="89" spans="1:11" x14ac:dyDescent="0.3">
      <c r="A89" s="3" t="s">
        <v>428</v>
      </c>
      <c r="B89" s="3" t="s">
        <v>429</v>
      </c>
      <c r="C89" s="4" t="s">
        <v>430</v>
      </c>
      <c r="D89" s="3" t="s">
        <v>431</v>
      </c>
      <c r="E89" s="3" t="s">
        <v>432</v>
      </c>
      <c r="F89" s="3" t="str">
        <f>fn등급(표2[[#This Row],[번호]])</f>
        <v>맛집</v>
      </c>
      <c r="G89" s="3" t="b">
        <f>AND(VALUE(LEFT(표2[[#This Row],[좌표]], FIND(",",표2[[#This Row],[좌표]], 1)-1)) &lt; 100, VALUE(LEFT(표2[[#This Row],[좌표]], FIND(",",표2[[#This Row],[좌표]], 1)-1)) &gt; -1)</f>
        <v>1</v>
      </c>
      <c r="H8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89" s="5">
        <f>COUNTIFS(표2[좌표],표2[[#This Row],[좌표]])</f>
        <v>1</v>
      </c>
      <c r="J89" s="5">
        <f>COUNTIFS(표6[좌표],표2[[#This Row],[좌표]])</f>
        <v>0</v>
      </c>
      <c r="K89" s="5" t="b">
        <f xml:space="preserve"> 표2[[#This Row],[회원]]+표2[[#This Row],[벽]] &lt;= 1</f>
        <v>1</v>
      </c>
    </row>
    <row r="90" spans="1:11" x14ac:dyDescent="0.3">
      <c r="A90" s="3" t="s">
        <v>433</v>
      </c>
      <c r="B90" s="3" t="s">
        <v>434</v>
      </c>
      <c r="C90" s="4" t="s">
        <v>435</v>
      </c>
      <c r="D90" s="3" t="s">
        <v>436</v>
      </c>
      <c r="E90" s="3" t="s">
        <v>437</v>
      </c>
      <c r="F90" s="3" t="str">
        <f>fn등급(표2[[#This Row],[번호]])</f>
        <v>-</v>
      </c>
      <c r="G90" s="3" t="b">
        <f>AND(VALUE(LEFT(표2[[#This Row],[좌표]], FIND(",",표2[[#This Row],[좌표]], 1)-1)) &lt; 100, VALUE(LEFT(표2[[#This Row],[좌표]], FIND(",",표2[[#This Row],[좌표]], 1)-1)) &gt; -1)</f>
        <v>1</v>
      </c>
      <c r="H9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0" s="5">
        <f>COUNTIFS(표2[좌표],표2[[#This Row],[좌표]])</f>
        <v>1</v>
      </c>
      <c r="J90" s="5">
        <f>COUNTIFS(표6[좌표],표2[[#This Row],[좌표]])</f>
        <v>0</v>
      </c>
      <c r="K90" s="5" t="b">
        <f xml:space="preserve"> 표2[[#This Row],[회원]]+표2[[#This Row],[벽]] &lt;= 1</f>
        <v>1</v>
      </c>
    </row>
    <row r="91" spans="1:11" x14ac:dyDescent="0.3">
      <c r="A91" s="3" t="s">
        <v>438</v>
      </c>
      <c r="B91" s="3" t="s">
        <v>439</v>
      </c>
      <c r="C91" s="4" t="s">
        <v>440</v>
      </c>
      <c r="D91" s="3" t="s">
        <v>441</v>
      </c>
      <c r="E91" s="3" t="s">
        <v>442</v>
      </c>
      <c r="F91" s="3" t="str">
        <f>fn등급(표2[[#This Row],[번호]])</f>
        <v>-</v>
      </c>
      <c r="G91" s="3" t="b">
        <f>AND(VALUE(LEFT(표2[[#This Row],[좌표]], FIND(",",표2[[#This Row],[좌표]], 1)-1)) &lt; 100, VALUE(LEFT(표2[[#This Row],[좌표]], FIND(",",표2[[#This Row],[좌표]], 1)-1)) &gt; -1)</f>
        <v>1</v>
      </c>
      <c r="H9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1" s="5">
        <f>COUNTIFS(표2[좌표],표2[[#This Row],[좌표]])</f>
        <v>1</v>
      </c>
      <c r="J91" s="5">
        <f>COUNTIFS(표6[좌표],표2[[#This Row],[좌표]])</f>
        <v>0</v>
      </c>
      <c r="K91" s="5" t="b">
        <f xml:space="preserve"> 표2[[#This Row],[회원]]+표2[[#This Row],[벽]] &lt;= 1</f>
        <v>1</v>
      </c>
    </row>
    <row r="92" spans="1:11" x14ac:dyDescent="0.3">
      <c r="A92" s="3" t="s">
        <v>443</v>
      </c>
      <c r="B92" s="3" t="s">
        <v>444</v>
      </c>
      <c r="C92" s="4" t="s">
        <v>445</v>
      </c>
      <c r="D92" s="3" t="s">
        <v>446</v>
      </c>
      <c r="E92" s="3" t="s">
        <v>447</v>
      </c>
      <c r="F92" s="3" t="str">
        <f>fn등급(표2[[#This Row],[번호]])</f>
        <v>-</v>
      </c>
      <c r="G92" s="3" t="b">
        <f>AND(VALUE(LEFT(표2[[#This Row],[좌표]], FIND(",",표2[[#This Row],[좌표]], 1)-1)) &lt; 100, VALUE(LEFT(표2[[#This Row],[좌표]], FIND(",",표2[[#This Row],[좌표]], 1)-1)) &gt; -1)</f>
        <v>1</v>
      </c>
      <c r="H9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2" s="5">
        <f>COUNTIFS(표2[좌표],표2[[#This Row],[좌표]])</f>
        <v>1</v>
      </c>
      <c r="J92" s="5">
        <f>COUNTIFS(표6[좌표],표2[[#This Row],[좌표]])</f>
        <v>0</v>
      </c>
      <c r="K92" s="5" t="b">
        <f xml:space="preserve"> 표2[[#This Row],[회원]]+표2[[#This Row],[벽]] &lt;= 1</f>
        <v>1</v>
      </c>
    </row>
    <row r="93" spans="1:11" x14ac:dyDescent="0.3">
      <c r="A93" s="3" t="s">
        <v>448</v>
      </c>
      <c r="B93" s="3" t="s">
        <v>449</v>
      </c>
      <c r="C93" s="4" t="s">
        <v>450</v>
      </c>
      <c r="D93" s="3" t="s">
        <v>451</v>
      </c>
      <c r="E93" s="3" t="s">
        <v>452</v>
      </c>
      <c r="F93" s="3" t="str">
        <f>fn등급(표2[[#This Row],[번호]])</f>
        <v>-</v>
      </c>
      <c r="G93" s="3" t="b">
        <f>AND(VALUE(LEFT(표2[[#This Row],[좌표]], FIND(",",표2[[#This Row],[좌표]], 1)-1)) &lt; 100, VALUE(LEFT(표2[[#This Row],[좌표]], FIND(",",표2[[#This Row],[좌표]], 1)-1)) &gt; -1)</f>
        <v>1</v>
      </c>
      <c r="H9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3" s="5">
        <f>COUNTIFS(표2[좌표],표2[[#This Row],[좌표]])</f>
        <v>1</v>
      </c>
      <c r="J93" s="5">
        <f>COUNTIFS(표6[좌표],표2[[#This Row],[좌표]])</f>
        <v>0</v>
      </c>
      <c r="K93" s="5" t="b">
        <f xml:space="preserve"> 표2[[#This Row],[회원]]+표2[[#This Row],[벽]] &lt;= 1</f>
        <v>1</v>
      </c>
    </row>
    <row r="94" spans="1:11" x14ac:dyDescent="0.3">
      <c r="A94" s="3" t="s">
        <v>453</v>
      </c>
      <c r="B94" s="3" t="s">
        <v>454</v>
      </c>
      <c r="C94" s="4" t="s">
        <v>455</v>
      </c>
      <c r="D94" s="3" t="s">
        <v>456</v>
      </c>
      <c r="E94" s="3" t="s">
        <v>457</v>
      </c>
      <c r="F94" s="3" t="str">
        <f>fn등급(표2[[#This Row],[번호]])</f>
        <v>-</v>
      </c>
      <c r="G94" s="3" t="b">
        <f>AND(VALUE(LEFT(표2[[#This Row],[좌표]], FIND(",",표2[[#This Row],[좌표]], 1)-1)) &lt; 100, VALUE(LEFT(표2[[#This Row],[좌표]], FIND(",",표2[[#This Row],[좌표]], 1)-1)) &gt; -1)</f>
        <v>1</v>
      </c>
      <c r="H9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4" s="5">
        <f>COUNTIFS(표2[좌표],표2[[#This Row],[좌표]])</f>
        <v>1</v>
      </c>
      <c r="J94" s="5">
        <f>COUNTIFS(표6[좌표],표2[[#This Row],[좌표]])</f>
        <v>0</v>
      </c>
      <c r="K94" s="5" t="b">
        <f xml:space="preserve"> 표2[[#This Row],[회원]]+표2[[#This Row],[벽]] &lt;= 1</f>
        <v>1</v>
      </c>
    </row>
    <row r="95" spans="1:11" x14ac:dyDescent="0.3">
      <c r="A95" s="3" t="s">
        <v>458</v>
      </c>
      <c r="B95" s="3" t="s">
        <v>459</v>
      </c>
      <c r="C95" s="4" t="s">
        <v>460</v>
      </c>
      <c r="D95" s="3" t="s">
        <v>461</v>
      </c>
      <c r="E95" s="3" t="s">
        <v>462</v>
      </c>
      <c r="F95" s="3" t="str">
        <f>fn등급(표2[[#This Row],[번호]])</f>
        <v>맛집</v>
      </c>
      <c r="G95" s="3" t="b">
        <f>AND(VALUE(LEFT(표2[[#This Row],[좌표]], FIND(",",표2[[#This Row],[좌표]], 1)-1)) &lt; 100, VALUE(LEFT(표2[[#This Row],[좌표]], FIND(",",표2[[#This Row],[좌표]], 1)-1)) &gt; -1)</f>
        <v>1</v>
      </c>
      <c r="H9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5" s="5">
        <f>COUNTIFS(표2[좌표],표2[[#This Row],[좌표]])</f>
        <v>1</v>
      </c>
      <c r="J95" s="5">
        <f>COUNTIFS(표6[좌표],표2[[#This Row],[좌표]])</f>
        <v>0</v>
      </c>
      <c r="K95" s="5" t="b">
        <f xml:space="preserve"> 표2[[#This Row],[회원]]+표2[[#This Row],[벽]] &lt;= 1</f>
        <v>1</v>
      </c>
    </row>
    <row r="96" spans="1:11" x14ac:dyDescent="0.3">
      <c r="A96" s="3" t="s">
        <v>463</v>
      </c>
      <c r="B96" s="3" t="s">
        <v>464</v>
      </c>
      <c r="C96" s="4" t="s">
        <v>465</v>
      </c>
      <c r="D96" s="3" t="s">
        <v>466</v>
      </c>
      <c r="E96" s="3" t="s">
        <v>467</v>
      </c>
      <c r="F96" s="3" t="str">
        <f>fn등급(표2[[#This Row],[번호]])</f>
        <v>맛집</v>
      </c>
      <c r="G96" s="3" t="b">
        <f>AND(VALUE(LEFT(표2[[#This Row],[좌표]], FIND(",",표2[[#This Row],[좌표]], 1)-1)) &lt; 100, VALUE(LEFT(표2[[#This Row],[좌표]], FIND(",",표2[[#This Row],[좌표]], 1)-1)) &gt; -1)</f>
        <v>1</v>
      </c>
      <c r="H9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6" s="5">
        <f>COUNTIFS(표2[좌표],표2[[#This Row],[좌표]])</f>
        <v>1</v>
      </c>
      <c r="J96" s="5">
        <f>COUNTIFS(표6[좌표],표2[[#This Row],[좌표]])</f>
        <v>0</v>
      </c>
      <c r="K96" s="5" t="b">
        <f xml:space="preserve"> 표2[[#This Row],[회원]]+표2[[#This Row],[벽]] &lt;= 1</f>
        <v>1</v>
      </c>
    </row>
    <row r="97" spans="1:11" x14ac:dyDescent="0.3">
      <c r="A97" s="3" t="s">
        <v>468</v>
      </c>
      <c r="B97" s="3" t="s">
        <v>469</v>
      </c>
      <c r="C97" s="4" t="s">
        <v>470</v>
      </c>
      <c r="D97" s="3" t="s">
        <v>471</v>
      </c>
      <c r="E97" s="3" t="s">
        <v>472</v>
      </c>
      <c r="F97" s="3" t="str">
        <f>fn등급(표2[[#This Row],[번호]])</f>
        <v>-</v>
      </c>
      <c r="G97" s="3" t="b">
        <f>AND(VALUE(LEFT(표2[[#This Row],[좌표]], FIND(",",표2[[#This Row],[좌표]], 1)-1)) &lt; 100, VALUE(LEFT(표2[[#This Row],[좌표]], FIND(",",표2[[#This Row],[좌표]], 1)-1)) &gt; -1)</f>
        <v>1</v>
      </c>
      <c r="H9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7" s="5">
        <f>COUNTIFS(표2[좌표],표2[[#This Row],[좌표]])</f>
        <v>1</v>
      </c>
      <c r="J97" s="5">
        <f>COUNTIFS(표6[좌표],표2[[#This Row],[좌표]])</f>
        <v>0</v>
      </c>
      <c r="K97" s="5" t="b">
        <f xml:space="preserve"> 표2[[#This Row],[회원]]+표2[[#This Row],[벽]] &lt;= 1</f>
        <v>1</v>
      </c>
    </row>
    <row r="98" spans="1:11" x14ac:dyDescent="0.3">
      <c r="A98" s="3" t="s">
        <v>473</v>
      </c>
      <c r="B98" s="3" t="s">
        <v>474</v>
      </c>
      <c r="C98" s="4" t="s">
        <v>475</v>
      </c>
      <c r="D98" s="3" t="s">
        <v>476</v>
      </c>
      <c r="E98" s="3" t="s">
        <v>477</v>
      </c>
      <c r="F98" s="3" t="str">
        <f>fn등급(표2[[#This Row],[번호]])</f>
        <v>맛집</v>
      </c>
      <c r="G98" s="3" t="b">
        <f>AND(VALUE(LEFT(표2[[#This Row],[좌표]], FIND(",",표2[[#This Row],[좌표]], 1)-1)) &lt; 100, VALUE(LEFT(표2[[#This Row],[좌표]], FIND(",",표2[[#This Row],[좌표]], 1)-1)) &gt; -1)</f>
        <v>1</v>
      </c>
      <c r="H9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8" s="5">
        <f>COUNTIFS(표2[좌표],표2[[#This Row],[좌표]])</f>
        <v>1</v>
      </c>
      <c r="J98" s="5">
        <f>COUNTIFS(표6[좌표],표2[[#This Row],[좌표]])</f>
        <v>0</v>
      </c>
      <c r="K98" s="5" t="b">
        <f xml:space="preserve"> 표2[[#This Row],[회원]]+표2[[#This Row],[벽]] &lt;= 1</f>
        <v>1</v>
      </c>
    </row>
    <row r="99" spans="1:11" x14ac:dyDescent="0.3">
      <c r="A99" s="3" t="s">
        <v>478</v>
      </c>
      <c r="B99" s="3" t="s">
        <v>479</v>
      </c>
      <c r="C99" s="4" t="s">
        <v>480</v>
      </c>
      <c r="D99" s="3" t="s">
        <v>481</v>
      </c>
      <c r="E99" s="3" t="s">
        <v>482</v>
      </c>
      <c r="F99" s="3" t="str">
        <f>fn등급(표2[[#This Row],[번호]])</f>
        <v>-</v>
      </c>
      <c r="G99" s="3" t="b">
        <f>AND(VALUE(LEFT(표2[[#This Row],[좌표]], FIND(",",표2[[#This Row],[좌표]], 1)-1)) &lt; 100, VALUE(LEFT(표2[[#This Row],[좌표]], FIND(",",표2[[#This Row],[좌표]], 1)-1)) &gt; -1)</f>
        <v>1</v>
      </c>
      <c r="H9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99" s="5">
        <f>COUNTIFS(표2[좌표],표2[[#This Row],[좌표]])</f>
        <v>1</v>
      </c>
      <c r="J99" s="5">
        <f>COUNTIFS(표6[좌표],표2[[#This Row],[좌표]])</f>
        <v>0</v>
      </c>
      <c r="K99" s="5" t="b">
        <f xml:space="preserve"> 표2[[#This Row],[회원]]+표2[[#This Row],[벽]] &lt;= 1</f>
        <v>1</v>
      </c>
    </row>
    <row r="100" spans="1:11" x14ac:dyDescent="0.3">
      <c r="A100" s="3" t="s">
        <v>483</v>
      </c>
      <c r="B100" s="3" t="s">
        <v>484</v>
      </c>
      <c r="C100" s="4" t="s">
        <v>485</v>
      </c>
      <c r="D100" s="3" t="s">
        <v>486</v>
      </c>
      <c r="E100" s="3" t="s">
        <v>487</v>
      </c>
      <c r="F100" s="3" t="str">
        <f>fn등급(표2[[#This Row],[번호]])</f>
        <v>-</v>
      </c>
      <c r="G100" s="3" t="b">
        <f>AND(VALUE(LEFT(표2[[#This Row],[좌표]], FIND(",",표2[[#This Row],[좌표]], 1)-1)) &lt; 100, VALUE(LEFT(표2[[#This Row],[좌표]], FIND(",",표2[[#This Row],[좌표]], 1)-1)) &gt; -1)</f>
        <v>1</v>
      </c>
      <c r="H10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0" s="5">
        <f>COUNTIFS(표2[좌표],표2[[#This Row],[좌표]])</f>
        <v>1</v>
      </c>
      <c r="J100" s="5">
        <f>COUNTIFS(표6[좌표],표2[[#This Row],[좌표]])</f>
        <v>0</v>
      </c>
      <c r="K100" s="5" t="b">
        <f xml:space="preserve"> 표2[[#This Row],[회원]]+표2[[#This Row],[벽]] &lt;= 1</f>
        <v>1</v>
      </c>
    </row>
    <row r="101" spans="1:11" x14ac:dyDescent="0.3">
      <c r="A101" s="3" t="s">
        <v>488</v>
      </c>
      <c r="B101" s="3" t="s">
        <v>489</v>
      </c>
      <c r="C101" s="4" t="s">
        <v>490</v>
      </c>
      <c r="D101" s="3" t="s">
        <v>491</v>
      </c>
      <c r="E101" s="3" t="s">
        <v>492</v>
      </c>
      <c r="F101" s="3" t="str">
        <f>fn등급(표2[[#This Row],[번호]])</f>
        <v>-</v>
      </c>
      <c r="G101" s="3" t="b">
        <f>AND(VALUE(LEFT(표2[[#This Row],[좌표]], FIND(",",표2[[#This Row],[좌표]], 1)-1)) &lt; 100, VALUE(LEFT(표2[[#This Row],[좌표]], FIND(",",표2[[#This Row],[좌표]], 1)-1)) &gt; -1)</f>
        <v>1</v>
      </c>
      <c r="H10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1" s="5">
        <f>COUNTIFS(표2[좌표],표2[[#This Row],[좌표]])</f>
        <v>1</v>
      </c>
      <c r="J101" s="5">
        <f>COUNTIFS(표6[좌표],표2[[#This Row],[좌표]])</f>
        <v>0</v>
      </c>
      <c r="K101" s="5" t="b">
        <f xml:space="preserve"> 표2[[#This Row],[회원]]+표2[[#This Row],[벽]] &lt;= 1</f>
        <v>1</v>
      </c>
    </row>
    <row r="102" spans="1:11" x14ac:dyDescent="0.3">
      <c r="A102" s="3" t="s">
        <v>493</v>
      </c>
      <c r="B102" s="3" t="s">
        <v>494</v>
      </c>
      <c r="C102" s="4" t="s">
        <v>495</v>
      </c>
      <c r="D102" s="3" t="s">
        <v>496</v>
      </c>
      <c r="E102" s="3" t="s">
        <v>497</v>
      </c>
      <c r="F102" s="3" t="str">
        <f>fn등급(표2[[#This Row],[번호]])</f>
        <v>-</v>
      </c>
      <c r="G102" s="3" t="b">
        <f>AND(VALUE(LEFT(표2[[#This Row],[좌표]], FIND(",",표2[[#This Row],[좌표]], 1)-1)) &lt; 100, VALUE(LEFT(표2[[#This Row],[좌표]], FIND(",",표2[[#This Row],[좌표]], 1)-1)) &gt; -1)</f>
        <v>1</v>
      </c>
      <c r="H10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2" s="5">
        <f>COUNTIFS(표2[좌표],표2[[#This Row],[좌표]])</f>
        <v>1</v>
      </c>
      <c r="J102" s="5">
        <f>COUNTIFS(표6[좌표],표2[[#This Row],[좌표]])</f>
        <v>0</v>
      </c>
      <c r="K102" s="5" t="b">
        <f xml:space="preserve"> 표2[[#This Row],[회원]]+표2[[#This Row],[벽]] &lt;= 1</f>
        <v>1</v>
      </c>
    </row>
    <row r="103" spans="1:11" x14ac:dyDescent="0.3">
      <c r="A103" s="3" t="s">
        <v>498</v>
      </c>
      <c r="B103" s="3" t="s">
        <v>499</v>
      </c>
      <c r="C103" s="4" t="s">
        <v>500</v>
      </c>
      <c r="D103" s="3" t="s">
        <v>501</v>
      </c>
      <c r="E103" s="3" t="s">
        <v>502</v>
      </c>
      <c r="F103" s="3" t="str">
        <f>fn등급(표2[[#This Row],[번호]])</f>
        <v>맛집</v>
      </c>
      <c r="G103" s="3" t="b">
        <f>AND(VALUE(LEFT(표2[[#This Row],[좌표]], FIND(",",표2[[#This Row],[좌표]], 1)-1)) &lt; 100, VALUE(LEFT(표2[[#This Row],[좌표]], FIND(",",표2[[#This Row],[좌표]], 1)-1)) &gt; -1)</f>
        <v>1</v>
      </c>
      <c r="H10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3" s="5">
        <f>COUNTIFS(표2[좌표],표2[[#This Row],[좌표]])</f>
        <v>1</v>
      </c>
      <c r="J103" s="5">
        <f>COUNTIFS(표6[좌표],표2[[#This Row],[좌표]])</f>
        <v>0</v>
      </c>
      <c r="K103" s="5" t="b">
        <f xml:space="preserve"> 표2[[#This Row],[회원]]+표2[[#This Row],[벽]] &lt;= 1</f>
        <v>1</v>
      </c>
    </row>
    <row r="104" spans="1:11" x14ac:dyDescent="0.3">
      <c r="A104" s="3" t="s">
        <v>503</v>
      </c>
      <c r="B104" s="3" t="s">
        <v>504</v>
      </c>
      <c r="C104" s="4" t="s">
        <v>505</v>
      </c>
      <c r="D104" s="3" t="s">
        <v>506</v>
      </c>
      <c r="E104" s="3" t="s">
        <v>507</v>
      </c>
      <c r="F104" s="3" t="str">
        <f>fn등급(표2[[#This Row],[번호]])</f>
        <v>-</v>
      </c>
      <c r="G104" s="3" t="b">
        <f>AND(VALUE(LEFT(표2[[#This Row],[좌표]], FIND(",",표2[[#This Row],[좌표]], 1)-1)) &lt; 100, VALUE(LEFT(표2[[#This Row],[좌표]], FIND(",",표2[[#This Row],[좌표]], 1)-1)) &gt; -1)</f>
        <v>1</v>
      </c>
      <c r="H10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4" s="5">
        <f>COUNTIFS(표2[좌표],표2[[#This Row],[좌표]])</f>
        <v>1</v>
      </c>
      <c r="J104" s="5">
        <f>COUNTIFS(표6[좌표],표2[[#This Row],[좌표]])</f>
        <v>0</v>
      </c>
      <c r="K104" s="5" t="b">
        <f xml:space="preserve"> 표2[[#This Row],[회원]]+표2[[#This Row],[벽]] &lt;= 1</f>
        <v>1</v>
      </c>
    </row>
    <row r="105" spans="1:11" x14ac:dyDescent="0.3">
      <c r="A105" s="3" t="s">
        <v>508</v>
      </c>
      <c r="B105" s="3" t="s">
        <v>509</v>
      </c>
      <c r="C105" s="4" t="s">
        <v>510</v>
      </c>
      <c r="D105" s="3" t="s">
        <v>511</v>
      </c>
      <c r="E105" s="3" t="s">
        <v>512</v>
      </c>
      <c r="F105" s="3" t="str">
        <f>fn등급(표2[[#This Row],[번호]])</f>
        <v>-</v>
      </c>
      <c r="G105" s="3" t="b">
        <f>AND(VALUE(LEFT(표2[[#This Row],[좌표]], FIND(",",표2[[#This Row],[좌표]], 1)-1)) &lt; 100, VALUE(LEFT(표2[[#This Row],[좌표]], FIND(",",표2[[#This Row],[좌표]], 1)-1)) &gt; -1)</f>
        <v>1</v>
      </c>
      <c r="H10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5" s="5">
        <f>COUNTIFS(표2[좌표],표2[[#This Row],[좌표]])</f>
        <v>1</v>
      </c>
      <c r="J105" s="5">
        <f>COUNTIFS(표6[좌표],표2[[#This Row],[좌표]])</f>
        <v>0</v>
      </c>
      <c r="K105" s="5" t="b">
        <f xml:space="preserve"> 표2[[#This Row],[회원]]+표2[[#This Row],[벽]] &lt;= 1</f>
        <v>1</v>
      </c>
    </row>
    <row r="106" spans="1:11" x14ac:dyDescent="0.3">
      <c r="A106" s="3" t="s">
        <v>513</v>
      </c>
      <c r="B106" s="3" t="s">
        <v>514</v>
      </c>
      <c r="C106" s="4" t="s">
        <v>515</v>
      </c>
      <c r="D106" s="3" t="s">
        <v>516</v>
      </c>
      <c r="E106" s="3" t="s">
        <v>517</v>
      </c>
      <c r="F106" s="3" t="str">
        <f>fn등급(표2[[#This Row],[번호]])</f>
        <v>-</v>
      </c>
      <c r="G106" s="3" t="b">
        <f>AND(VALUE(LEFT(표2[[#This Row],[좌표]], FIND(",",표2[[#This Row],[좌표]], 1)-1)) &lt; 100, VALUE(LEFT(표2[[#This Row],[좌표]], FIND(",",표2[[#This Row],[좌표]], 1)-1)) &gt; -1)</f>
        <v>1</v>
      </c>
      <c r="H10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6" s="5">
        <f>COUNTIFS(표2[좌표],표2[[#This Row],[좌표]])</f>
        <v>1</v>
      </c>
      <c r="J106" s="5">
        <f>COUNTIFS(표6[좌표],표2[[#This Row],[좌표]])</f>
        <v>0</v>
      </c>
      <c r="K106" s="5" t="b">
        <f xml:space="preserve"> 표2[[#This Row],[회원]]+표2[[#This Row],[벽]] &lt;= 1</f>
        <v>1</v>
      </c>
    </row>
    <row r="107" spans="1:11" x14ac:dyDescent="0.3">
      <c r="A107" s="3" t="s">
        <v>518</v>
      </c>
      <c r="B107" s="3" t="s">
        <v>519</v>
      </c>
      <c r="C107" s="4" t="s">
        <v>520</v>
      </c>
      <c r="D107" s="3" t="s">
        <v>521</v>
      </c>
      <c r="E107" s="3" t="s">
        <v>522</v>
      </c>
      <c r="F107" s="3" t="str">
        <f>fn등급(표2[[#This Row],[번호]])</f>
        <v>-</v>
      </c>
      <c r="G107" s="3" t="b">
        <f>AND(VALUE(LEFT(표2[[#This Row],[좌표]], FIND(",",표2[[#This Row],[좌표]], 1)-1)) &lt; 100, VALUE(LEFT(표2[[#This Row],[좌표]], FIND(",",표2[[#This Row],[좌표]], 1)-1)) &gt; -1)</f>
        <v>1</v>
      </c>
      <c r="H10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7" s="5">
        <f>COUNTIFS(표2[좌표],표2[[#This Row],[좌표]])</f>
        <v>1</v>
      </c>
      <c r="J107" s="5">
        <f>COUNTIFS(표6[좌표],표2[[#This Row],[좌표]])</f>
        <v>0</v>
      </c>
      <c r="K107" s="5" t="b">
        <f xml:space="preserve"> 표2[[#This Row],[회원]]+표2[[#This Row],[벽]] &lt;= 1</f>
        <v>1</v>
      </c>
    </row>
    <row r="108" spans="1:11" x14ac:dyDescent="0.3">
      <c r="A108" s="3" t="s">
        <v>523</v>
      </c>
      <c r="B108" s="3" t="s">
        <v>524</v>
      </c>
      <c r="C108" s="4" t="s">
        <v>525</v>
      </c>
      <c r="D108" s="3" t="s">
        <v>526</v>
      </c>
      <c r="E108" s="3" t="s">
        <v>527</v>
      </c>
      <c r="F108" s="3" t="str">
        <f>fn등급(표2[[#This Row],[번호]])</f>
        <v>-</v>
      </c>
      <c r="G108" s="3" t="b">
        <f>AND(VALUE(LEFT(표2[[#This Row],[좌표]], FIND(",",표2[[#This Row],[좌표]], 1)-1)) &lt; 100, VALUE(LEFT(표2[[#This Row],[좌표]], FIND(",",표2[[#This Row],[좌표]], 1)-1)) &gt; -1)</f>
        <v>1</v>
      </c>
      <c r="H10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8" s="5">
        <f>COUNTIFS(표2[좌표],표2[[#This Row],[좌표]])</f>
        <v>1</v>
      </c>
      <c r="J108" s="5">
        <f>COUNTIFS(표6[좌표],표2[[#This Row],[좌표]])</f>
        <v>0</v>
      </c>
      <c r="K108" s="5" t="b">
        <f xml:space="preserve"> 표2[[#This Row],[회원]]+표2[[#This Row],[벽]] &lt;= 1</f>
        <v>1</v>
      </c>
    </row>
    <row r="109" spans="1:11" x14ac:dyDescent="0.3">
      <c r="A109" s="3" t="s">
        <v>528</v>
      </c>
      <c r="B109" s="3" t="s">
        <v>529</v>
      </c>
      <c r="C109" s="4" t="s">
        <v>530</v>
      </c>
      <c r="D109" s="3" t="s">
        <v>531</v>
      </c>
      <c r="E109" s="3" t="s">
        <v>532</v>
      </c>
      <c r="F109" s="3" t="str">
        <f>fn등급(표2[[#This Row],[번호]])</f>
        <v>-</v>
      </c>
      <c r="G109" s="3" t="b">
        <f>AND(VALUE(LEFT(표2[[#This Row],[좌표]], FIND(",",표2[[#This Row],[좌표]], 1)-1)) &lt; 100, VALUE(LEFT(표2[[#This Row],[좌표]], FIND(",",표2[[#This Row],[좌표]], 1)-1)) &gt; -1)</f>
        <v>1</v>
      </c>
      <c r="H10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09" s="5">
        <f>COUNTIFS(표2[좌표],표2[[#This Row],[좌표]])</f>
        <v>1</v>
      </c>
      <c r="J109" s="5">
        <f>COUNTIFS(표6[좌표],표2[[#This Row],[좌표]])</f>
        <v>0</v>
      </c>
      <c r="K109" s="5" t="b">
        <f xml:space="preserve"> 표2[[#This Row],[회원]]+표2[[#This Row],[벽]] &lt;= 1</f>
        <v>1</v>
      </c>
    </row>
    <row r="110" spans="1:11" x14ac:dyDescent="0.3">
      <c r="A110" s="3" t="s">
        <v>533</v>
      </c>
      <c r="B110" s="3" t="s">
        <v>534</v>
      </c>
      <c r="C110" s="4" t="s">
        <v>535</v>
      </c>
      <c r="D110" s="3" t="s">
        <v>536</v>
      </c>
      <c r="E110" s="3" t="s">
        <v>537</v>
      </c>
      <c r="F110" s="3" t="str">
        <f>fn등급(표2[[#This Row],[번호]])</f>
        <v>맛집</v>
      </c>
      <c r="G110" s="3" t="b">
        <f>AND(VALUE(LEFT(표2[[#This Row],[좌표]], FIND(",",표2[[#This Row],[좌표]], 1)-1)) &lt; 100, VALUE(LEFT(표2[[#This Row],[좌표]], FIND(",",표2[[#This Row],[좌표]], 1)-1)) &gt; -1)</f>
        <v>1</v>
      </c>
      <c r="H11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0" s="5">
        <f>COUNTIFS(표2[좌표],표2[[#This Row],[좌표]])</f>
        <v>1</v>
      </c>
      <c r="J110" s="5">
        <f>COUNTIFS(표6[좌표],표2[[#This Row],[좌표]])</f>
        <v>0</v>
      </c>
      <c r="K110" s="5" t="b">
        <f xml:space="preserve"> 표2[[#This Row],[회원]]+표2[[#This Row],[벽]] &lt;= 1</f>
        <v>1</v>
      </c>
    </row>
    <row r="111" spans="1:11" x14ac:dyDescent="0.3">
      <c r="A111" s="3" t="s">
        <v>538</v>
      </c>
      <c r="B111" s="3" t="s">
        <v>539</v>
      </c>
      <c r="C111" s="4" t="s">
        <v>540</v>
      </c>
      <c r="D111" s="3" t="s">
        <v>541</v>
      </c>
      <c r="E111" s="3" t="s">
        <v>542</v>
      </c>
      <c r="F111" s="3" t="str">
        <f>fn등급(표2[[#This Row],[번호]])</f>
        <v>-</v>
      </c>
      <c r="G111" s="3" t="b">
        <f>AND(VALUE(LEFT(표2[[#This Row],[좌표]], FIND(",",표2[[#This Row],[좌표]], 1)-1)) &lt; 100, VALUE(LEFT(표2[[#This Row],[좌표]], FIND(",",표2[[#This Row],[좌표]], 1)-1)) &gt; -1)</f>
        <v>1</v>
      </c>
      <c r="H11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1" s="5">
        <f>COUNTIFS(표2[좌표],표2[[#This Row],[좌표]])</f>
        <v>1</v>
      </c>
      <c r="J111" s="5">
        <f>COUNTIFS(표6[좌표],표2[[#This Row],[좌표]])</f>
        <v>0</v>
      </c>
      <c r="K111" s="5" t="b">
        <f xml:space="preserve"> 표2[[#This Row],[회원]]+표2[[#This Row],[벽]] &lt;= 1</f>
        <v>1</v>
      </c>
    </row>
    <row r="112" spans="1:11" x14ac:dyDescent="0.3">
      <c r="A112" s="3" t="s">
        <v>543</v>
      </c>
      <c r="B112" s="3" t="s">
        <v>544</v>
      </c>
      <c r="C112" s="4" t="s">
        <v>545</v>
      </c>
      <c r="D112" s="3" t="s">
        <v>546</v>
      </c>
      <c r="E112" s="3" t="s">
        <v>547</v>
      </c>
      <c r="F112" s="3" t="str">
        <f>fn등급(표2[[#This Row],[번호]])</f>
        <v>-</v>
      </c>
      <c r="G112" s="3" t="b">
        <f>AND(VALUE(LEFT(표2[[#This Row],[좌표]], FIND(",",표2[[#This Row],[좌표]], 1)-1)) &lt; 100, VALUE(LEFT(표2[[#This Row],[좌표]], FIND(",",표2[[#This Row],[좌표]], 1)-1)) &gt; -1)</f>
        <v>1</v>
      </c>
      <c r="H11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2" s="5">
        <f>COUNTIFS(표2[좌표],표2[[#This Row],[좌표]])</f>
        <v>1</v>
      </c>
      <c r="J112" s="5">
        <f>COUNTIFS(표6[좌표],표2[[#This Row],[좌표]])</f>
        <v>0</v>
      </c>
      <c r="K112" s="5" t="b">
        <f xml:space="preserve"> 표2[[#This Row],[회원]]+표2[[#This Row],[벽]] &lt;= 1</f>
        <v>1</v>
      </c>
    </row>
    <row r="113" spans="1:11" x14ac:dyDescent="0.3">
      <c r="A113" s="3" t="s">
        <v>548</v>
      </c>
      <c r="B113" s="3" t="s">
        <v>549</v>
      </c>
      <c r="C113" s="4" t="s">
        <v>550</v>
      </c>
      <c r="D113" s="3" t="s">
        <v>551</v>
      </c>
      <c r="E113" s="3" t="s">
        <v>552</v>
      </c>
      <c r="F113" s="3" t="str">
        <f>fn등급(표2[[#This Row],[번호]])</f>
        <v>맛집</v>
      </c>
      <c r="G113" s="3" t="b">
        <f>AND(VALUE(LEFT(표2[[#This Row],[좌표]], FIND(",",표2[[#This Row],[좌표]], 1)-1)) &lt; 100, VALUE(LEFT(표2[[#This Row],[좌표]], FIND(",",표2[[#This Row],[좌표]], 1)-1)) &gt; -1)</f>
        <v>1</v>
      </c>
      <c r="H11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3" s="5">
        <f>COUNTIFS(표2[좌표],표2[[#This Row],[좌표]])</f>
        <v>1</v>
      </c>
      <c r="J113" s="5">
        <f>COUNTIFS(표6[좌표],표2[[#This Row],[좌표]])</f>
        <v>0</v>
      </c>
      <c r="K113" s="5" t="b">
        <f xml:space="preserve"> 표2[[#This Row],[회원]]+표2[[#This Row],[벽]] &lt;= 1</f>
        <v>1</v>
      </c>
    </row>
    <row r="114" spans="1:11" x14ac:dyDescent="0.3">
      <c r="A114" s="3" t="s">
        <v>553</v>
      </c>
      <c r="B114" s="3" t="s">
        <v>554</v>
      </c>
      <c r="C114" s="4" t="s">
        <v>555</v>
      </c>
      <c r="D114" s="3" t="s">
        <v>556</v>
      </c>
      <c r="E114" s="3" t="s">
        <v>557</v>
      </c>
      <c r="F114" s="3" t="str">
        <f>fn등급(표2[[#This Row],[번호]])</f>
        <v>-</v>
      </c>
      <c r="G114" s="3" t="b">
        <f>AND(VALUE(LEFT(표2[[#This Row],[좌표]], FIND(",",표2[[#This Row],[좌표]], 1)-1)) &lt; 100, VALUE(LEFT(표2[[#This Row],[좌표]], FIND(",",표2[[#This Row],[좌표]], 1)-1)) &gt; -1)</f>
        <v>1</v>
      </c>
      <c r="H11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4" s="5">
        <f>COUNTIFS(표2[좌표],표2[[#This Row],[좌표]])</f>
        <v>1</v>
      </c>
      <c r="J114" s="5">
        <f>COUNTIFS(표6[좌표],표2[[#This Row],[좌표]])</f>
        <v>0</v>
      </c>
      <c r="K114" s="5" t="b">
        <f xml:space="preserve"> 표2[[#This Row],[회원]]+표2[[#This Row],[벽]] &lt;= 1</f>
        <v>1</v>
      </c>
    </row>
    <row r="115" spans="1:11" x14ac:dyDescent="0.3">
      <c r="A115" s="3" t="s">
        <v>558</v>
      </c>
      <c r="B115" s="3" t="s">
        <v>559</v>
      </c>
      <c r="C115" s="4" t="s">
        <v>560</v>
      </c>
      <c r="D115" s="3" t="s">
        <v>561</v>
      </c>
      <c r="E115" s="3" t="s">
        <v>562</v>
      </c>
      <c r="F115" s="3" t="str">
        <f>fn등급(표2[[#This Row],[번호]])</f>
        <v>맛집</v>
      </c>
      <c r="G115" s="3" t="b">
        <f>AND(VALUE(LEFT(표2[[#This Row],[좌표]], FIND(",",표2[[#This Row],[좌표]], 1)-1)) &lt; 100, VALUE(LEFT(표2[[#This Row],[좌표]], FIND(",",표2[[#This Row],[좌표]], 1)-1)) &gt; -1)</f>
        <v>1</v>
      </c>
      <c r="H11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5" s="5">
        <f>COUNTIFS(표2[좌표],표2[[#This Row],[좌표]])</f>
        <v>1</v>
      </c>
      <c r="J115" s="5">
        <f>COUNTIFS(표6[좌표],표2[[#This Row],[좌표]])</f>
        <v>0</v>
      </c>
      <c r="K115" s="5" t="b">
        <f xml:space="preserve"> 표2[[#This Row],[회원]]+표2[[#This Row],[벽]] &lt;= 1</f>
        <v>1</v>
      </c>
    </row>
    <row r="116" spans="1:11" x14ac:dyDescent="0.3">
      <c r="A116" s="3" t="s">
        <v>563</v>
      </c>
      <c r="B116" s="3" t="s">
        <v>564</v>
      </c>
      <c r="C116" s="4" t="s">
        <v>565</v>
      </c>
      <c r="D116" s="3" t="s">
        <v>566</v>
      </c>
      <c r="E116" s="3" t="s">
        <v>567</v>
      </c>
      <c r="F116" s="3" t="str">
        <f>fn등급(표2[[#This Row],[번호]])</f>
        <v>-</v>
      </c>
      <c r="G116" s="3" t="b">
        <f>AND(VALUE(LEFT(표2[[#This Row],[좌표]], FIND(",",표2[[#This Row],[좌표]], 1)-1)) &lt; 100, VALUE(LEFT(표2[[#This Row],[좌표]], FIND(",",표2[[#This Row],[좌표]], 1)-1)) &gt; -1)</f>
        <v>1</v>
      </c>
      <c r="H11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6" s="5">
        <f>COUNTIFS(표2[좌표],표2[[#This Row],[좌표]])</f>
        <v>1</v>
      </c>
      <c r="J116" s="5">
        <f>COUNTIFS(표6[좌표],표2[[#This Row],[좌표]])</f>
        <v>0</v>
      </c>
      <c r="K116" s="5" t="b">
        <f xml:space="preserve"> 표2[[#This Row],[회원]]+표2[[#This Row],[벽]] &lt;= 1</f>
        <v>1</v>
      </c>
    </row>
    <row r="117" spans="1:11" x14ac:dyDescent="0.3">
      <c r="A117" s="3" t="s">
        <v>568</v>
      </c>
      <c r="B117" s="3" t="s">
        <v>569</v>
      </c>
      <c r="C117" s="4" t="s">
        <v>570</v>
      </c>
      <c r="D117" s="3" t="s">
        <v>571</v>
      </c>
      <c r="E117" s="3" t="s">
        <v>572</v>
      </c>
      <c r="F117" s="3" t="str">
        <f>fn등급(표2[[#This Row],[번호]])</f>
        <v>-</v>
      </c>
      <c r="G117" s="3" t="b">
        <f>AND(VALUE(LEFT(표2[[#This Row],[좌표]], FIND(",",표2[[#This Row],[좌표]], 1)-1)) &lt; 100, VALUE(LEFT(표2[[#This Row],[좌표]], FIND(",",표2[[#This Row],[좌표]], 1)-1)) &gt; -1)</f>
        <v>1</v>
      </c>
      <c r="H11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7" s="5">
        <f>COUNTIFS(표2[좌표],표2[[#This Row],[좌표]])</f>
        <v>1</v>
      </c>
      <c r="J117" s="5">
        <f>COUNTIFS(표6[좌표],표2[[#This Row],[좌표]])</f>
        <v>0</v>
      </c>
      <c r="K117" s="5" t="b">
        <f xml:space="preserve"> 표2[[#This Row],[회원]]+표2[[#This Row],[벽]] &lt;= 1</f>
        <v>1</v>
      </c>
    </row>
    <row r="118" spans="1:11" x14ac:dyDescent="0.3">
      <c r="A118" s="3" t="s">
        <v>573</v>
      </c>
      <c r="B118" s="3" t="s">
        <v>574</v>
      </c>
      <c r="C118" s="4" t="s">
        <v>575</v>
      </c>
      <c r="D118" s="3" t="s">
        <v>576</v>
      </c>
      <c r="E118" s="3" t="s">
        <v>577</v>
      </c>
      <c r="F118" s="3" t="str">
        <f>fn등급(표2[[#This Row],[번호]])</f>
        <v>맛집</v>
      </c>
      <c r="G118" s="3" t="b">
        <f>AND(VALUE(LEFT(표2[[#This Row],[좌표]], FIND(",",표2[[#This Row],[좌표]], 1)-1)) &lt; 100, VALUE(LEFT(표2[[#This Row],[좌표]], FIND(",",표2[[#This Row],[좌표]], 1)-1)) &gt; -1)</f>
        <v>1</v>
      </c>
      <c r="H11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8" s="5">
        <f>COUNTIFS(표2[좌표],표2[[#This Row],[좌표]])</f>
        <v>1</v>
      </c>
      <c r="J118" s="5">
        <f>COUNTIFS(표6[좌표],표2[[#This Row],[좌표]])</f>
        <v>0</v>
      </c>
      <c r="K118" s="5" t="b">
        <f xml:space="preserve"> 표2[[#This Row],[회원]]+표2[[#This Row],[벽]] &lt;= 1</f>
        <v>1</v>
      </c>
    </row>
    <row r="119" spans="1:11" x14ac:dyDescent="0.3">
      <c r="A119" s="3" t="s">
        <v>578</v>
      </c>
      <c r="B119" s="3" t="s">
        <v>579</v>
      </c>
      <c r="C119" s="4" t="s">
        <v>580</v>
      </c>
      <c r="D119" s="3" t="s">
        <v>581</v>
      </c>
      <c r="E119" s="3" t="s">
        <v>582</v>
      </c>
      <c r="F119" s="3" t="str">
        <f>fn등급(표2[[#This Row],[번호]])</f>
        <v>-</v>
      </c>
      <c r="G119" s="3" t="b">
        <f>AND(VALUE(LEFT(표2[[#This Row],[좌표]], FIND(",",표2[[#This Row],[좌표]], 1)-1)) &lt; 100, VALUE(LEFT(표2[[#This Row],[좌표]], FIND(",",표2[[#This Row],[좌표]], 1)-1)) &gt; -1)</f>
        <v>1</v>
      </c>
      <c r="H11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19" s="5">
        <f>COUNTIFS(표2[좌표],표2[[#This Row],[좌표]])</f>
        <v>1</v>
      </c>
      <c r="J119" s="5">
        <f>COUNTIFS(표6[좌표],표2[[#This Row],[좌표]])</f>
        <v>0</v>
      </c>
      <c r="K119" s="5" t="b">
        <f xml:space="preserve"> 표2[[#This Row],[회원]]+표2[[#This Row],[벽]] &lt;= 1</f>
        <v>1</v>
      </c>
    </row>
    <row r="120" spans="1:11" x14ac:dyDescent="0.3">
      <c r="A120" s="3" t="s">
        <v>583</v>
      </c>
      <c r="B120" s="3" t="s">
        <v>584</v>
      </c>
      <c r="C120" s="4" t="s">
        <v>585</v>
      </c>
      <c r="D120" s="3" t="s">
        <v>586</v>
      </c>
      <c r="E120" s="3" t="s">
        <v>587</v>
      </c>
      <c r="F120" s="3" t="str">
        <f>fn등급(표2[[#This Row],[번호]])</f>
        <v>-</v>
      </c>
      <c r="G120" s="3" t="b">
        <f>AND(VALUE(LEFT(표2[[#This Row],[좌표]], FIND(",",표2[[#This Row],[좌표]], 1)-1)) &lt; 100, VALUE(LEFT(표2[[#This Row],[좌표]], FIND(",",표2[[#This Row],[좌표]], 1)-1)) &gt; -1)</f>
        <v>1</v>
      </c>
      <c r="H12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0" s="5">
        <f>COUNTIFS(표2[좌표],표2[[#This Row],[좌표]])</f>
        <v>1</v>
      </c>
      <c r="J120" s="5">
        <f>COUNTIFS(표6[좌표],표2[[#This Row],[좌표]])</f>
        <v>0</v>
      </c>
      <c r="K120" s="5" t="b">
        <f xml:space="preserve"> 표2[[#This Row],[회원]]+표2[[#This Row],[벽]] &lt;= 1</f>
        <v>1</v>
      </c>
    </row>
    <row r="121" spans="1:11" x14ac:dyDescent="0.3">
      <c r="A121" s="3" t="s">
        <v>588</v>
      </c>
      <c r="B121" s="3" t="s">
        <v>589</v>
      </c>
      <c r="C121" s="4" t="s">
        <v>590</v>
      </c>
      <c r="D121" s="3" t="s">
        <v>591</v>
      </c>
      <c r="E121" s="3" t="s">
        <v>592</v>
      </c>
      <c r="F121" s="3" t="str">
        <f>fn등급(표2[[#This Row],[번호]])</f>
        <v>-</v>
      </c>
      <c r="G121" s="3" t="b">
        <f>AND(VALUE(LEFT(표2[[#This Row],[좌표]], FIND(",",표2[[#This Row],[좌표]], 1)-1)) &lt; 100, VALUE(LEFT(표2[[#This Row],[좌표]], FIND(",",표2[[#This Row],[좌표]], 1)-1)) &gt; -1)</f>
        <v>1</v>
      </c>
      <c r="H12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1" s="5">
        <f>COUNTIFS(표2[좌표],표2[[#This Row],[좌표]])</f>
        <v>1</v>
      </c>
      <c r="J121" s="5">
        <f>COUNTIFS(표6[좌표],표2[[#This Row],[좌표]])</f>
        <v>0</v>
      </c>
      <c r="K121" s="5" t="b">
        <f xml:space="preserve"> 표2[[#This Row],[회원]]+표2[[#This Row],[벽]] &lt;= 1</f>
        <v>1</v>
      </c>
    </row>
    <row r="122" spans="1:11" x14ac:dyDescent="0.3">
      <c r="A122" s="3" t="s">
        <v>593</v>
      </c>
      <c r="B122" s="3" t="s">
        <v>594</v>
      </c>
      <c r="C122" s="4" t="s">
        <v>595</v>
      </c>
      <c r="D122" s="3" t="s">
        <v>596</v>
      </c>
      <c r="E122" s="3" t="s">
        <v>597</v>
      </c>
      <c r="F122" s="3" t="str">
        <f>fn등급(표2[[#This Row],[번호]])</f>
        <v>맛집</v>
      </c>
      <c r="G122" s="3" t="b">
        <f>AND(VALUE(LEFT(표2[[#This Row],[좌표]], FIND(",",표2[[#This Row],[좌표]], 1)-1)) &lt; 100, VALUE(LEFT(표2[[#This Row],[좌표]], FIND(",",표2[[#This Row],[좌표]], 1)-1)) &gt; -1)</f>
        <v>1</v>
      </c>
      <c r="H12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2" s="5">
        <f>COUNTIFS(표2[좌표],표2[[#This Row],[좌표]])</f>
        <v>1</v>
      </c>
      <c r="J122" s="5">
        <f>COUNTIFS(표6[좌표],표2[[#This Row],[좌표]])</f>
        <v>0</v>
      </c>
      <c r="K122" s="5" t="b">
        <f xml:space="preserve"> 표2[[#This Row],[회원]]+표2[[#This Row],[벽]] &lt;= 1</f>
        <v>1</v>
      </c>
    </row>
    <row r="123" spans="1:11" x14ac:dyDescent="0.3">
      <c r="A123" s="3" t="s">
        <v>598</v>
      </c>
      <c r="B123" s="3" t="s">
        <v>599</v>
      </c>
      <c r="C123" s="4" t="s">
        <v>600</v>
      </c>
      <c r="D123" s="3" t="s">
        <v>601</v>
      </c>
      <c r="E123" s="3" t="s">
        <v>602</v>
      </c>
      <c r="F123" s="3" t="str">
        <f>fn등급(표2[[#This Row],[번호]])</f>
        <v>맛집</v>
      </c>
      <c r="G123" s="3" t="b">
        <f>AND(VALUE(LEFT(표2[[#This Row],[좌표]], FIND(",",표2[[#This Row],[좌표]], 1)-1)) &lt; 100, VALUE(LEFT(표2[[#This Row],[좌표]], FIND(",",표2[[#This Row],[좌표]], 1)-1)) &gt; -1)</f>
        <v>1</v>
      </c>
      <c r="H12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3" s="5">
        <f>COUNTIFS(표2[좌표],표2[[#This Row],[좌표]])</f>
        <v>1</v>
      </c>
      <c r="J123" s="5">
        <f>COUNTIFS(표6[좌표],표2[[#This Row],[좌표]])</f>
        <v>0</v>
      </c>
      <c r="K123" s="5" t="b">
        <f xml:space="preserve"> 표2[[#This Row],[회원]]+표2[[#This Row],[벽]] &lt;= 1</f>
        <v>1</v>
      </c>
    </row>
    <row r="124" spans="1:11" x14ac:dyDescent="0.3">
      <c r="A124" s="3" t="s">
        <v>603</v>
      </c>
      <c r="B124" s="3" t="s">
        <v>604</v>
      </c>
      <c r="C124" s="4" t="s">
        <v>605</v>
      </c>
      <c r="D124" s="3" t="s">
        <v>606</v>
      </c>
      <c r="E124" s="3" t="s">
        <v>607</v>
      </c>
      <c r="F124" s="3" t="str">
        <f>fn등급(표2[[#This Row],[번호]])</f>
        <v>-</v>
      </c>
      <c r="G124" s="3" t="b">
        <f>AND(VALUE(LEFT(표2[[#This Row],[좌표]], FIND(",",표2[[#This Row],[좌표]], 1)-1)) &lt; 100, VALUE(LEFT(표2[[#This Row],[좌표]], FIND(",",표2[[#This Row],[좌표]], 1)-1)) &gt; -1)</f>
        <v>1</v>
      </c>
      <c r="H12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4" s="5">
        <f>COUNTIFS(표2[좌표],표2[[#This Row],[좌표]])</f>
        <v>1</v>
      </c>
      <c r="J124" s="5">
        <f>COUNTIFS(표6[좌표],표2[[#This Row],[좌표]])</f>
        <v>0</v>
      </c>
      <c r="K124" s="5" t="b">
        <f xml:space="preserve"> 표2[[#This Row],[회원]]+표2[[#This Row],[벽]] &lt;= 1</f>
        <v>1</v>
      </c>
    </row>
    <row r="125" spans="1:11" x14ac:dyDescent="0.3">
      <c r="A125" s="3" t="s">
        <v>608</v>
      </c>
      <c r="B125" s="3" t="s">
        <v>609</v>
      </c>
      <c r="C125" s="4" t="s">
        <v>610</v>
      </c>
      <c r="D125" s="3" t="s">
        <v>611</v>
      </c>
      <c r="E125" s="3" t="s">
        <v>612</v>
      </c>
      <c r="F125" s="3" t="str">
        <f>fn등급(표2[[#This Row],[번호]])</f>
        <v>-</v>
      </c>
      <c r="G125" s="3" t="b">
        <f>AND(VALUE(LEFT(표2[[#This Row],[좌표]], FIND(",",표2[[#This Row],[좌표]], 1)-1)) &lt; 100, VALUE(LEFT(표2[[#This Row],[좌표]], FIND(",",표2[[#This Row],[좌표]], 1)-1)) &gt; -1)</f>
        <v>1</v>
      </c>
      <c r="H12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5" s="5">
        <f>COUNTIFS(표2[좌표],표2[[#This Row],[좌표]])</f>
        <v>1</v>
      </c>
      <c r="J125" s="5">
        <f>COUNTIFS(표6[좌표],표2[[#This Row],[좌표]])</f>
        <v>0</v>
      </c>
      <c r="K125" s="5" t="b">
        <f xml:space="preserve"> 표2[[#This Row],[회원]]+표2[[#This Row],[벽]] &lt;= 1</f>
        <v>1</v>
      </c>
    </row>
    <row r="126" spans="1:11" x14ac:dyDescent="0.3">
      <c r="A126" s="3" t="s">
        <v>613</v>
      </c>
      <c r="B126" s="3" t="s">
        <v>614</v>
      </c>
      <c r="C126" s="4" t="s">
        <v>615</v>
      </c>
      <c r="D126" s="3" t="s">
        <v>616</v>
      </c>
      <c r="E126" s="3" t="s">
        <v>617</v>
      </c>
      <c r="F126" s="3" t="str">
        <f>fn등급(표2[[#This Row],[번호]])</f>
        <v>-</v>
      </c>
      <c r="G126" s="3" t="b">
        <f>AND(VALUE(LEFT(표2[[#This Row],[좌표]], FIND(",",표2[[#This Row],[좌표]], 1)-1)) &lt; 100, VALUE(LEFT(표2[[#This Row],[좌표]], FIND(",",표2[[#This Row],[좌표]], 1)-1)) &gt; -1)</f>
        <v>1</v>
      </c>
      <c r="H12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6" s="5">
        <f>COUNTIFS(표2[좌표],표2[[#This Row],[좌표]])</f>
        <v>1</v>
      </c>
      <c r="J126" s="5">
        <f>COUNTIFS(표6[좌표],표2[[#This Row],[좌표]])</f>
        <v>0</v>
      </c>
      <c r="K126" s="5" t="b">
        <f xml:space="preserve"> 표2[[#This Row],[회원]]+표2[[#This Row],[벽]] &lt;= 1</f>
        <v>1</v>
      </c>
    </row>
    <row r="127" spans="1:11" x14ac:dyDescent="0.3">
      <c r="A127" s="3" t="s">
        <v>618</v>
      </c>
      <c r="B127" s="3" t="s">
        <v>619</v>
      </c>
      <c r="C127" s="4" t="s">
        <v>620</v>
      </c>
      <c r="D127" s="3" t="s">
        <v>621</v>
      </c>
      <c r="E127" s="3" t="s">
        <v>622</v>
      </c>
      <c r="F127" s="3" t="str">
        <f>fn등급(표2[[#This Row],[번호]])</f>
        <v>맛집</v>
      </c>
      <c r="G127" s="3" t="b">
        <f>AND(VALUE(LEFT(표2[[#This Row],[좌표]], FIND(",",표2[[#This Row],[좌표]], 1)-1)) &lt; 100, VALUE(LEFT(표2[[#This Row],[좌표]], FIND(",",표2[[#This Row],[좌표]], 1)-1)) &gt; -1)</f>
        <v>1</v>
      </c>
      <c r="H12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7" s="5">
        <f>COUNTIFS(표2[좌표],표2[[#This Row],[좌표]])</f>
        <v>1</v>
      </c>
      <c r="J127" s="5">
        <f>COUNTIFS(표6[좌표],표2[[#This Row],[좌표]])</f>
        <v>0</v>
      </c>
      <c r="K127" s="5" t="b">
        <f xml:space="preserve"> 표2[[#This Row],[회원]]+표2[[#This Row],[벽]] &lt;= 1</f>
        <v>1</v>
      </c>
    </row>
    <row r="128" spans="1:11" x14ac:dyDescent="0.3">
      <c r="A128" s="3" t="s">
        <v>623</v>
      </c>
      <c r="B128" s="3" t="s">
        <v>624</v>
      </c>
      <c r="C128" s="4" t="s">
        <v>625</v>
      </c>
      <c r="D128" s="3" t="s">
        <v>626</v>
      </c>
      <c r="E128" s="3" t="s">
        <v>627</v>
      </c>
      <c r="F128" s="3" t="str">
        <f>fn등급(표2[[#This Row],[번호]])</f>
        <v>-</v>
      </c>
      <c r="G128" s="3" t="b">
        <f>AND(VALUE(LEFT(표2[[#This Row],[좌표]], FIND(",",표2[[#This Row],[좌표]], 1)-1)) &lt; 100, VALUE(LEFT(표2[[#This Row],[좌표]], FIND(",",표2[[#This Row],[좌표]], 1)-1)) &gt; -1)</f>
        <v>1</v>
      </c>
      <c r="H12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8" s="5">
        <f>COUNTIFS(표2[좌표],표2[[#This Row],[좌표]])</f>
        <v>1</v>
      </c>
      <c r="J128" s="5">
        <f>COUNTIFS(표6[좌표],표2[[#This Row],[좌표]])</f>
        <v>0</v>
      </c>
      <c r="K128" s="5" t="b">
        <f xml:space="preserve"> 표2[[#This Row],[회원]]+표2[[#This Row],[벽]] &lt;= 1</f>
        <v>1</v>
      </c>
    </row>
    <row r="129" spans="1:11" x14ac:dyDescent="0.3">
      <c r="A129" s="3" t="s">
        <v>628</v>
      </c>
      <c r="B129" s="3" t="s">
        <v>629</v>
      </c>
      <c r="C129" s="4" t="s">
        <v>630</v>
      </c>
      <c r="D129" s="3" t="s">
        <v>631</v>
      </c>
      <c r="E129" s="3" t="s">
        <v>632</v>
      </c>
      <c r="F129" s="3" t="str">
        <f>fn등급(표2[[#This Row],[번호]])</f>
        <v>-</v>
      </c>
      <c r="G129" s="3" t="b">
        <f>AND(VALUE(LEFT(표2[[#This Row],[좌표]], FIND(",",표2[[#This Row],[좌표]], 1)-1)) &lt; 100, VALUE(LEFT(표2[[#This Row],[좌표]], FIND(",",표2[[#This Row],[좌표]], 1)-1)) &gt; -1)</f>
        <v>1</v>
      </c>
      <c r="H12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29" s="5">
        <f>COUNTIFS(표2[좌표],표2[[#This Row],[좌표]])</f>
        <v>1</v>
      </c>
      <c r="J129" s="5">
        <f>COUNTIFS(표6[좌표],표2[[#This Row],[좌표]])</f>
        <v>0</v>
      </c>
      <c r="K129" s="5" t="b">
        <f xml:space="preserve"> 표2[[#This Row],[회원]]+표2[[#This Row],[벽]] &lt;= 1</f>
        <v>1</v>
      </c>
    </row>
    <row r="130" spans="1:11" x14ac:dyDescent="0.3">
      <c r="A130" s="3" t="s">
        <v>633</v>
      </c>
      <c r="B130" s="3" t="s">
        <v>634</v>
      </c>
      <c r="C130" s="4" t="s">
        <v>635</v>
      </c>
      <c r="D130" s="3" t="s">
        <v>636</v>
      </c>
      <c r="E130" s="3" t="s">
        <v>637</v>
      </c>
      <c r="F130" s="3" t="str">
        <f>fn등급(표2[[#This Row],[번호]])</f>
        <v>맛집</v>
      </c>
      <c r="G130" s="3" t="b">
        <f>AND(VALUE(LEFT(표2[[#This Row],[좌표]], FIND(",",표2[[#This Row],[좌표]], 1)-1)) &lt; 100, VALUE(LEFT(표2[[#This Row],[좌표]], FIND(",",표2[[#This Row],[좌표]], 1)-1)) &gt; -1)</f>
        <v>1</v>
      </c>
      <c r="H13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0" s="5">
        <f>COUNTIFS(표2[좌표],표2[[#This Row],[좌표]])</f>
        <v>1</v>
      </c>
      <c r="J130" s="5">
        <f>COUNTIFS(표6[좌표],표2[[#This Row],[좌표]])</f>
        <v>0</v>
      </c>
      <c r="K130" s="5" t="b">
        <f xml:space="preserve"> 표2[[#This Row],[회원]]+표2[[#This Row],[벽]] &lt;= 1</f>
        <v>1</v>
      </c>
    </row>
    <row r="131" spans="1:11" x14ac:dyDescent="0.3">
      <c r="A131" s="3" t="s">
        <v>638</v>
      </c>
      <c r="B131" s="3" t="s">
        <v>639</v>
      </c>
      <c r="C131" s="4" t="s">
        <v>640</v>
      </c>
      <c r="D131" s="3" t="s">
        <v>641</v>
      </c>
      <c r="E131" s="3" t="s">
        <v>642</v>
      </c>
      <c r="F131" s="3" t="str">
        <f>fn등급(표2[[#This Row],[번호]])</f>
        <v>-</v>
      </c>
      <c r="G131" s="3" t="b">
        <f>AND(VALUE(LEFT(표2[[#This Row],[좌표]], FIND(",",표2[[#This Row],[좌표]], 1)-1)) &lt; 100, VALUE(LEFT(표2[[#This Row],[좌표]], FIND(",",표2[[#This Row],[좌표]], 1)-1)) &gt; -1)</f>
        <v>1</v>
      </c>
      <c r="H13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1" s="5">
        <f>COUNTIFS(표2[좌표],표2[[#This Row],[좌표]])</f>
        <v>1</v>
      </c>
      <c r="J131" s="5">
        <f>COUNTIFS(표6[좌표],표2[[#This Row],[좌표]])</f>
        <v>0</v>
      </c>
      <c r="K131" s="5" t="b">
        <f xml:space="preserve"> 표2[[#This Row],[회원]]+표2[[#This Row],[벽]] &lt;= 1</f>
        <v>1</v>
      </c>
    </row>
    <row r="132" spans="1:11" x14ac:dyDescent="0.3">
      <c r="A132" s="3" t="s">
        <v>643</v>
      </c>
      <c r="B132" s="3" t="s">
        <v>644</v>
      </c>
      <c r="C132" s="4" t="s">
        <v>645</v>
      </c>
      <c r="D132" s="3" t="s">
        <v>646</v>
      </c>
      <c r="E132" s="3" t="s">
        <v>647</v>
      </c>
      <c r="F132" s="3" t="str">
        <f>fn등급(표2[[#This Row],[번호]])</f>
        <v>-</v>
      </c>
      <c r="G132" s="3" t="b">
        <f>AND(VALUE(LEFT(표2[[#This Row],[좌표]], FIND(",",표2[[#This Row],[좌표]], 1)-1)) &lt; 100, VALUE(LEFT(표2[[#This Row],[좌표]], FIND(",",표2[[#This Row],[좌표]], 1)-1)) &gt; -1)</f>
        <v>1</v>
      </c>
      <c r="H13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2" s="5">
        <f>COUNTIFS(표2[좌표],표2[[#This Row],[좌표]])</f>
        <v>1</v>
      </c>
      <c r="J132" s="5">
        <f>COUNTIFS(표6[좌표],표2[[#This Row],[좌표]])</f>
        <v>0</v>
      </c>
      <c r="K132" s="5" t="b">
        <f xml:space="preserve"> 표2[[#This Row],[회원]]+표2[[#This Row],[벽]] &lt;= 1</f>
        <v>1</v>
      </c>
    </row>
    <row r="133" spans="1:11" x14ac:dyDescent="0.3">
      <c r="A133" s="3" t="s">
        <v>648</v>
      </c>
      <c r="B133" s="3" t="s">
        <v>649</v>
      </c>
      <c r="C133" s="4" t="s">
        <v>650</v>
      </c>
      <c r="D133" s="3" t="s">
        <v>651</v>
      </c>
      <c r="E133" s="3" t="s">
        <v>652</v>
      </c>
      <c r="F133" s="3" t="str">
        <f>fn등급(표2[[#This Row],[번호]])</f>
        <v>-</v>
      </c>
      <c r="G133" s="3" t="b">
        <f>AND(VALUE(LEFT(표2[[#This Row],[좌표]], FIND(",",표2[[#This Row],[좌표]], 1)-1)) &lt; 100, VALUE(LEFT(표2[[#This Row],[좌표]], FIND(",",표2[[#This Row],[좌표]], 1)-1)) &gt; -1)</f>
        <v>1</v>
      </c>
      <c r="H13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3" s="5">
        <f>COUNTIFS(표2[좌표],표2[[#This Row],[좌표]])</f>
        <v>1</v>
      </c>
      <c r="J133" s="5">
        <f>COUNTIFS(표6[좌표],표2[[#This Row],[좌표]])</f>
        <v>0</v>
      </c>
      <c r="K133" s="5" t="b">
        <f xml:space="preserve"> 표2[[#This Row],[회원]]+표2[[#This Row],[벽]] &lt;= 1</f>
        <v>1</v>
      </c>
    </row>
    <row r="134" spans="1:11" x14ac:dyDescent="0.3">
      <c r="A134" s="3" t="s">
        <v>653</v>
      </c>
      <c r="B134" s="3" t="s">
        <v>654</v>
      </c>
      <c r="C134" s="4" t="s">
        <v>655</v>
      </c>
      <c r="D134" s="3" t="s">
        <v>656</v>
      </c>
      <c r="E134" s="3" t="s">
        <v>657</v>
      </c>
      <c r="F134" s="3" t="str">
        <f>fn등급(표2[[#This Row],[번호]])</f>
        <v>-</v>
      </c>
      <c r="G134" s="3" t="b">
        <f>AND(VALUE(LEFT(표2[[#This Row],[좌표]], FIND(",",표2[[#This Row],[좌표]], 1)-1)) &lt; 100, VALUE(LEFT(표2[[#This Row],[좌표]], FIND(",",표2[[#This Row],[좌표]], 1)-1)) &gt; -1)</f>
        <v>1</v>
      </c>
      <c r="H13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4" s="5">
        <f>COUNTIFS(표2[좌표],표2[[#This Row],[좌표]])</f>
        <v>1</v>
      </c>
      <c r="J134" s="5">
        <f>COUNTIFS(표6[좌표],표2[[#This Row],[좌표]])</f>
        <v>0</v>
      </c>
      <c r="K134" s="5" t="b">
        <f xml:space="preserve"> 표2[[#This Row],[회원]]+표2[[#This Row],[벽]] &lt;= 1</f>
        <v>1</v>
      </c>
    </row>
    <row r="135" spans="1:11" x14ac:dyDescent="0.3">
      <c r="A135" s="3" t="s">
        <v>658</v>
      </c>
      <c r="B135" s="3" t="s">
        <v>659</v>
      </c>
      <c r="C135" s="4" t="s">
        <v>660</v>
      </c>
      <c r="D135" s="3" t="s">
        <v>661</v>
      </c>
      <c r="E135" s="3" t="s">
        <v>662</v>
      </c>
      <c r="F135" s="3" t="str">
        <f>fn등급(표2[[#This Row],[번호]])</f>
        <v>-</v>
      </c>
      <c r="G135" s="3" t="b">
        <f>AND(VALUE(LEFT(표2[[#This Row],[좌표]], FIND(",",표2[[#This Row],[좌표]], 1)-1)) &lt; 100, VALUE(LEFT(표2[[#This Row],[좌표]], FIND(",",표2[[#This Row],[좌표]], 1)-1)) &gt; -1)</f>
        <v>1</v>
      </c>
      <c r="H13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5" s="5">
        <f>COUNTIFS(표2[좌표],표2[[#This Row],[좌표]])</f>
        <v>1</v>
      </c>
      <c r="J135" s="5">
        <f>COUNTIFS(표6[좌표],표2[[#This Row],[좌표]])</f>
        <v>0</v>
      </c>
      <c r="K135" s="5" t="b">
        <f xml:space="preserve"> 표2[[#This Row],[회원]]+표2[[#This Row],[벽]] &lt;= 1</f>
        <v>1</v>
      </c>
    </row>
    <row r="136" spans="1:11" x14ac:dyDescent="0.3">
      <c r="A136" s="3" t="s">
        <v>663</v>
      </c>
      <c r="B136" s="3" t="s">
        <v>664</v>
      </c>
      <c r="C136" s="4" t="s">
        <v>665</v>
      </c>
      <c r="D136" s="3" t="s">
        <v>666</v>
      </c>
      <c r="E136" s="3" t="s">
        <v>667</v>
      </c>
      <c r="F136" s="3" t="str">
        <f>fn등급(표2[[#This Row],[번호]])</f>
        <v>-</v>
      </c>
      <c r="G136" s="3" t="b">
        <f>AND(VALUE(LEFT(표2[[#This Row],[좌표]], FIND(",",표2[[#This Row],[좌표]], 1)-1)) &lt; 100, VALUE(LEFT(표2[[#This Row],[좌표]], FIND(",",표2[[#This Row],[좌표]], 1)-1)) &gt; -1)</f>
        <v>1</v>
      </c>
      <c r="H13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6" s="5">
        <f>COUNTIFS(표2[좌표],표2[[#This Row],[좌표]])</f>
        <v>1</v>
      </c>
      <c r="J136" s="5">
        <f>COUNTIFS(표6[좌표],표2[[#This Row],[좌표]])</f>
        <v>0</v>
      </c>
      <c r="K136" s="5" t="b">
        <f xml:space="preserve"> 표2[[#This Row],[회원]]+표2[[#This Row],[벽]] &lt;= 1</f>
        <v>1</v>
      </c>
    </row>
    <row r="137" spans="1:11" x14ac:dyDescent="0.3">
      <c r="A137" s="3" t="s">
        <v>668</v>
      </c>
      <c r="B137" s="3" t="s">
        <v>669</v>
      </c>
      <c r="C137" s="4" t="s">
        <v>670</v>
      </c>
      <c r="D137" s="3" t="s">
        <v>671</v>
      </c>
      <c r="E137" s="3" t="s">
        <v>672</v>
      </c>
      <c r="F137" s="3" t="str">
        <f>fn등급(표2[[#This Row],[번호]])</f>
        <v>맛집</v>
      </c>
      <c r="G137" s="3" t="b">
        <f>AND(VALUE(LEFT(표2[[#This Row],[좌표]], FIND(",",표2[[#This Row],[좌표]], 1)-1)) &lt; 100, VALUE(LEFT(표2[[#This Row],[좌표]], FIND(",",표2[[#This Row],[좌표]], 1)-1)) &gt; -1)</f>
        <v>1</v>
      </c>
      <c r="H13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7" s="5">
        <f>COUNTIFS(표2[좌표],표2[[#This Row],[좌표]])</f>
        <v>1</v>
      </c>
      <c r="J137" s="5">
        <f>COUNTIFS(표6[좌표],표2[[#This Row],[좌표]])</f>
        <v>0</v>
      </c>
      <c r="K137" s="5" t="b">
        <f xml:space="preserve"> 표2[[#This Row],[회원]]+표2[[#This Row],[벽]] &lt;= 1</f>
        <v>1</v>
      </c>
    </row>
    <row r="138" spans="1:11" x14ac:dyDescent="0.3">
      <c r="A138" s="3" t="s">
        <v>673</v>
      </c>
      <c r="B138" s="3" t="s">
        <v>674</v>
      </c>
      <c r="C138" s="4" t="s">
        <v>675</v>
      </c>
      <c r="D138" s="3" t="s">
        <v>676</v>
      </c>
      <c r="E138" s="3" t="s">
        <v>677</v>
      </c>
      <c r="F138" s="3" t="str">
        <f>fn등급(표2[[#This Row],[번호]])</f>
        <v>-</v>
      </c>
      <c r="G138" s="3" t="b">
        <f>AND(VALUE(LEFT(표2[[#This Row],[좌표]], FIND(",",표2[[#This Row],[좌표]], 1)-1)) &lt; 100, VALUE(LEFT(표2[[#This Row],[좌표]], FIND(",",표2[[#This Row],[좌표]], 1)-1)) &gt; -1)</f>
        <v>1</v>
      </c>
      <c r="H13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8" s="5">
        <f>COUNTIFS(표2[좌표],표2[[#This Row],[좌표]])</f>
        <v>1</v>
      </c>
      <c r="J138" s="5">
        <f>COUNTIFS(표6[좌표],표2[[#This Row],[좌표]])</f>
        <v>0</v>
      </c>
      <c r="K138" s="5" t="b">
        <f xml:space="preserve"> 표2[[#This Row],[회원]]+표2[[#This Row],[벽]] &lt;= 1</f>
        <v>1</v>
      </c>
    </row>
    <row r="139" spans="1:11" x14ac:dyDescent="0.3">
      <c r="A139" s="3" t="s">
        <v>678</v>
      </c>
      <c r="B139" s="3" t="s">
        <v>679</v>
      </c>
      <c r="C139" s="4" t="s">
        <v>680</v>
      </c>
      <c r="D139" s="3" t="s">
        <v>681</v>
      </c>
      <c r="E139" s="3" t="s">
        <v>682</v>
      </c>
      <c r="F139" s="3" t="str">
        <f>fn등급(표2[[#This Row],[번호]])</f>
        <v>-</v>
      </c>
      <c r="G139" s="3" t="b">
        <f>AND(VALUE(LEFT(표2[[#This Row],[좌표]], FIND(",",표2[[#This Row],[좌표]], 1)-1)) &lt; 100, VALUE(LEFT(표2[[#This Row],[좌표]], FIND(",",표2[[#This Row],[좌표]], 1)-1)) &gt; -1)</f>
        <v>1</v>
      </c>
      <c r="H13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39" s="5">
        <f>COUNTIFS(표2[좌표],표2[[#This Row],[좌표]])</f>
        <v>1</v>
      </c>
      <c r="J139" s="5">
        <f>COUNTIFS(표6[좌표],표2[[#This Row],[좌표]])</f>
        <v>0</v>
      </c>
      <c r="K139" s="5" t="b">
        <f xml:space="preserve"> 표2[[#This Row],[회원]]+표2[[#This Row],[벽]] &lt;= 1</f>
        <v>1</v>
      </c>
    </row>
    <row r="140" spans="1:11" x14ac:dyDescent="0.3">
      <c r="A140" s="3" t="s">
        <v>683</v>
      </c>
      <c r="B140" s="3" t="s">
        <v>684</v>
      </c>
      <c r="C140" s="4" t="s">
        <v>685</v>
      </c>
      <c r="D140" s="3" t="s">
        <v>686</v>
      </c>
      <c r="E140" s="3" t="s">
        <v>687</v>
      </c>
      <c r="F140" s="3" t="str">
        <f>fn등급(표2[[#This Row],[번호]])</f>
        <v>맛집</v>
      </c>
      <c r="G140" s="3" t="b">
        <f>AND(VALUE(LEFT(표2[[#This Row],[좌표]], FIND(",",표2[[#This Row],[좌표]], 1)-1)) &lt; 100, VALUE(LEFT(표2[[#This Row],[좌표]], FIND(",",표2[[#This Row],[좌표]], 1)-1)) &gt; -1)</f>
        <v>1</v>
      </c>
      <c r="H14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0" s="5">
        <f>COUNTIFS(표2[좌표],표2[[#This Row],[좌표]])</f>
        <v>1</v>
      </c>
      <c r="J140" s="5">
        <f>COUNTIFS(표6[좌표],표2[[#This Row],[좌표]])</f>
        <v>0</v>
      </c>
      <c r="K140" s="5" t="b">
        <f xml:space="preserve"> 표2[[#This Row],[회원]]+표2[[#This Row],[벽]] &lt;= 1</f>
        <v>1</v>
      </c>
    </row>
    <row r="141" spans="1:11" x14ac:dyDescent="0.3">
      <c r="A141" s="3" t="s">
        <v>688</v>
      </c>
      <c r="B141" s="3" t="s">
        <v>689</v>
      </c>
      <c r="C141" s="4" t="s">
        <v>690</v>
      </c>
      <c r="D141" s="3" t="s">
        <v>691</v>
      </c>
      <c r="E141" s="3" t="s">
        <v>692</v>
      </c>
      <c r="F141" s="3" t="str">
        <f>fn등급(표2[[#This Row],[번호]])</f>
        <v>-</v>
      </c>
      <c r="G141" s="3" t="b">
        <f>AND(VALUE(LEFT(표2[[#This Row],[좌표]], FIND(",",표2[[#This Row],[좌표]], 1)-1)) &lt; 100, VALUE(LEFT(표2[[#This Row],[좌표]], FIND(",",표2[[#This Row],[좌표]], 1)-1)) &gt; -1)</f>
        <v>1</v>
      </c>
      <c r="H14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1" s="5">
        <f>COUNTIFS(표2[좌표],표2[[#This Row],[좌표]])</f>
        <v>1</v>
      </c>
      <c r="J141" s="5">
        <f>COUNTIFS(표6[좌표],표2[[#This Row],[좌표]])</f>
        <v>0</v>
      </c>
      <c r="K141" s="5" t="b">
        <f xml:space="preserve"> 표2[[#This Row],[회원]]+표2[[#This Row],[벽]] &lt;= 1</f>
        <v>1</v>
      </c>
    </row>
    <row r="142" spans="1:11" x14ac:dyDescent="0.3">
      <c r="A142" s="3" t="s">
        <v>693</v>
      </c>
      <c r="B142" s="3" t="s">
        <v>694</v>
      </c>
      <c r="C142" s="4" t="s">
        <v>695</v>
      </c>
      <c r="D142" s="3" t="s">
        <v>696</v>
      </c>
      <c r="E142" s="3" t="s">
        <v>697</v>
      </c>
      <c r="F142" s="3" t="str">
        <f>fn등급(표2[[#This Row],[번호]])</f>
        <v>-</v>
      </c>
      <c r="G142" s="3" t="b">
        <f>AND(VALUE(LEFT(표2[[#This Row],[좌표]], FIND(",",표2[[#This Row],[좌표]], 1)-1)) &lt; 100, VALUE(LEFT(표2[[#This Row],[좌표]], FIND(",",표2[[#This Row],[좌표]], 1)-1)) &gt; -1)</f>
        <v>1</v>
      </c>
      <c r="H14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2" s="5">
        <f>COUNTIFS(표2[좌표],표2[[#This Row],[좌표]])</f>
        <v>1</v>
      </c>
      <c r="J142" s="5">
        <f>COUNTIFS(표6[좌표],표2[[#This Row],[좌표]])</f>
        <v>0</v>
      </c>
      <c r="K142" s="5" t="b">
        <f xml:space="preserve"> 표2[[#This Row],[회원]]+표2[[#This Row],[벽]] &lt;= 1</f>
        <v>1</v>
      </c>
    </row>
    <row r="143" spans="1:11" x14ac:dyDescent="0.3">
      <c r="A143" s="3" t="s">
        <v>698</v>
      </c>
      <c r="B143" s="3" t="s">
        <v>699</v>
      </c>
      <c r="C143" s="4" t="s">
        <v>700</v>
      </c>
      <c r="D143" s="3" t="s">
        <v>701</v>
      </c>
      <c r="E143" s="3" t="s">
        <v>702</v>
      </c>
      <c r="F143" s="3" t="str">
        <f>fn등급(표2[[#This Row],[번호]])</f>
        <v>-</v>
      </c>
      <c r="G143" s="3" t="b">
        <f>AND(VALUE(LEFT(표2[[#This Row],[좌표]], FIND(",",표2[[#This Row],[좌표]], 1)-1)) &lt; 100, VALUE(LEFT(표2[[#This Row],[좌표]], FIND(",",표2[[#This Row],[좌표]], 1)-1)) &gt; -1)</f>
        <v>1</v>
      </c>
      <c r="H14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3" s="5">
        <f>COUNTIFS(표2[좌표],표2[[#This Row],[좌표]])</f>
        <v>1</v>
      </c>
      <c r="J143" s="5">
        <f>COUNTIFS(표6[좌표],표2[[#This Row],[좌표]])</f>
        <v>0</v>
      </c>
      <c r="K143" s="5" t="b">
        <f xml:space="preserve"> 표2[[#This Row],[회원]]+표2[[#This Row],[벽]] &lt;= 1</f>
        <v>1</v>
      </c>
    </row>
    <row r="144" spans="1:11" x14ac:dyDescent="0.3">
      <c r="A144" s="3" t="s">
        <v>703</v>
      </c>
      <c r="B144" s="3" t="s">
        <v>704</v>
      </c>
      <c r="C144" s="4" t="s">
        <v>705</v>
      </c>
      <c r="D144" s="3" t="s">
        <v>706</v>
      </c>
      <c r="E144" s="3" t="s">
        <v>707</v>
      </c>
      <c r="F144" s="3" t="str">
        <f>fn등급(표2[[#This Row],[번호]])</f>
        <v>-</v>
      </c>
      <c r="G144" s="3" t="b">
        <f>AND(VALUE(LEFT(표2[[#This Row],[좌표]], FIND(",",표2[[#This Row],[좌표]], 1)-1)) &lt; 100, VALUE(LEFT(표2[[#This Row],[좌표]], FIND(",",표2[[#This Row],[좌표]], 1)-1)) &gt; -1)</f>
        <v>1</v>
      </c>
      <c r="H14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4" s="5">
        <f>COUNTIFS(표2[좌표],표2[[#This Row],[좌표]])</f>
        <v>1</v>
      </c>
      <c r="J144" s="5">
        <f>COUNTIFS(표6[좌표],표2[[#This Row],[좌표]])</f>
        <v>0</v>
      </c>
      <c r="K144" s="5" t="b">
        <f xml:space="preserve"> 표2[[#This Row],[회원]]+표2[[#This Row],[벽]] &lt;= 1</f>
        <v>1</v>
      </c>
    </row>
    <row r="145" spans="1:11" x14ac:dyDescent="0.3">
      <c r="A145" s="3" t="s">
        <v>708</v>
      </c>
      <c r="B145" s="3" t="s">
        <v>709</v>
      </c>
      <c r="C145" s="4" t="s">
        <v>710</v>
      </c>
      <c r="D145" s="3" t="s">
        <v>711</v>
      </c>
      <c r="E145" s="3" t="s">
        <v>712</v>
      </c>
      <c r="F145" s="3" t="str">
        <f>fn등급(표2[[#This Row],[번호]])</f>
        <v>맛집</v>
      </c>
      <c r="G145" s="3" t="b">
        <f>AND(VALUE(LEFT(표2[[#This Row],[좌표]], FIND(",",표2[[#This Row],[좌표]], 1)-1)) &lt; 100, VALUE(LEFT(표2[[#This Row],[좌표]], FIND(",",표2[[#This Row],[좌표]], 1)-1)) &gt; -1)</f>
        <v>1</v>
      </c>
      <c r="H14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5" s="5">
        <f>COUNTIFS(표2[좌표],표2[[#This Row],[좌표]])</f>
        <v>1</v>
      </c>
      <c r="J145" s="5">
        <f>COUNTIFS(표6[좌표],표2[[#This Row],[좌표]])</f>
        <v>0</v>
      </c>
      <c r="K145" s="5" t="b">
        <f xml:space="preserve"> 표2[[#This Row],[회원]]+표2[[#This Row],[벽]] &lt;= 1</f>
        <v>1</v>
      </c>
    </row>
    <row r="146" spans="1:11" x14ac:dyDescent="0.3">
      <c r="A146" s="3" t="s">
        <v>713</v>
      </c>
      <c r="B146" s="3" t="s">
        <v>714</v>
      </c>
      <c r="C146" s="4" t="s">
        <v>715</v>
      </c>
      <c r="D146" s="3" t="s">
        <v>716</v>
      </c>
      <c r="E146" s="3" t="s">
        <v>717</v>
      </c>
      <c r="F146" s="3" t="str">
        <f>fn등급(표2[[#This Row],[번호]])</f>
        <v>-</v>
      </c>
      <c r="G146" s="3" t="b">
        <f>AND(VALUE(LEFT(표2[[#This Row],[좌표]], FIND(",",표2[[#This Row],[좌표]], 1)-1)) &lt; 100, VALUE(LEFT(표2[[#This Row],[좌표]], FIND(",",표2[[#This Row],[좌표]], 1)-1)) &gt; -1)</f>
        <v>1</v>
      </c>
      <c r="H14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6" s="5">
        <f>COUNTIFS(표2[좌표],표2[[#This Row],[좌표]])</f>
        <v>1</v>
      </c>
      <c r="J146" s="5">
        <f>COUNTIFS(표6[좌표],표2[[#This Row],[좌표]])</f>
        <v>0</v>
      </c>
      <c r="K146" s="5" t="b">
        <f xml:space="preserve"> 표2[[#This Row],[회원]]+표2[[#This Row],[벽]] &lt;= 1</f>
        <v>1</v>
      </c>
    </row>
    <row r="147" spans="1:11" x14ac:dyDescent="0.3">
      <c r="A147" s="3" t="s">
        <v>718</v>
      </c>
      <c r="B147" s="3" t="s">
        <v>719</v>
      </c>
      <c r="C147" s="4" t="s">
        <v>720</v>
      </c>
      <c r="D147" s="3" t="s">
        <v>721</v>
      </c>
      <c r="E147" s="3" t="s">
        <v>722</v>
      </c>
      <c r="F147" s="3" t="str">
        <f>fn등급(표2[[#This Row],[번호]])</f>
        <v>-</v>
      </c>
      <c r="G147" s="3" t="b">
        <f>AND(VALUE(LEFT(표2[[#This Row],[좌표]], FIND(",",표2[[#This Row],[좌표]], 1)-1)) &lt; 100, VALUE(LEFT(표2[[#This Row],[좌표]], FIND(",",표2[[#This Row],[좌표]], 1)-1)) &gt; -1)</f>
        <v>1</v>
      </c>
      <c r="H14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7" s="5">
        <f>COUNTIFS(표2[좌표],표2[[#This Row],[좌표]])</f>
        <v>1</v>
      </c>
      <c r="J147" s="5">
        <f>COUNTIFS(표6[좌표],표2[[#This Row],[좌표]])</f>
        <v>0</v>
      </c>
      <c r="K147" s="5" t="b">
        <f xml:space="preserve"> 표2[[#This Row],[회원]]+표2[[#This Row],[벽]] &lt;= 1</f>
        <v>1</v>
      </c>
    </row>
    <row r="148" spans="1:11" x14ac:dyDescent="0.3">
      <c r="A148" s="3" t="s">
        <v>723</v>
      </c>
      <c r="B148" s="3" t="s">
        <v>724</v>
      </c>
      <c r="C148" s="4" t="s">
        <v>725</v>
      </c>
      <c r="D148" s="3" t="s">
        <v>726</v>
      </c>
      <c r="E148" s="3" t="s">
        <v>727</v>
      </c>
      <c r="F148" s="3" t="str">
        <f>fn등급(표2[[#This Row],[번호]])</f>
        <v>맛집</v>
      </c>
      <c r="G148" s="3" t="b">
        <f>AND(VALUE(LEFT(표2[[#This Row],[좌표]], FIND(",",표2[[#This Row],[좌표]], 1)-1)) &lt; 100, VALUE(LEFT(표2[[#This Row],[좌표]], FIND(",",표2[[#This Row],[좌표]], 1)-1)) &gt; -1)</f>
        <v>1</v>
      </c>
      <c r="H14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8" s="5">
        <f>COUNTIFS(표2[좌표],표2[[#This Row],[좌표]])</f>
        <v>1</v>
      </c>
      <c r="J148" s="5">
        <f>COUNTIFS(표6[좌표],표2[[#This Row],[좌표]])</f>
        <v>0</v>
      </c>
      <c r="K148" s="5" t="b">
        <f xml:space="preserve"> 표2[[#This Row],[회원]]+표2[[#This Row],[벽]] &lt;= 1</f>
        <v>1</v>
      </c>
    </row>
    <row r="149" spans="1:11" x14ac:dyDescent="0.3">
      <c r="A149" s="3" t="s">
        <v>728</v>
      </c>
      <c r="B149" s="3" t="s">
        <v>729</v>
      </c>
      <c r="C149" s="4" t="s">
        <v>730</v>
      </c>
      <c r="D149" s="3" t="s">
        <v>731</v>
      </c>
      <c r="E149" s="3" t="s">
        <v>732</v>
      </c>
      <c r="F149" s="3" t="str">
        <f>fn등급(표2[[#This Row],[번호]])</f>
        <v>-</v>
      </c>
      <c r="G149" s="3" t="b">
        <f>AND(VALUE(LEFT(표2[[#This Row],[좌표]], FIND(",",표2[[#This Row],[좌표]], 1)-1)) &lt; 100, VALUE(LEFT(표2[[#This Row],[좌표]], FIND(",",표2[[#This Row],[좌표]], 1)-1)) &gt; -1)</f>
        <v>1</v>
      </c>
      <c r="H14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49" s="5">
        <f>COUNTIFS(표2[좌표],표2[[#This Row],[좌표]])</f>
        <v>1</v>
      </c>
      <c r="J149" s="5">
        <f>COUNTIFS(표6[좌표],표2[[#This Row],[좌표]])</f>
        <v>0</v>
      </c>
      <c r="K149" s="5" t="b">
        <f xml:space="preserve"> 표2[[#This Row],[회원]]+표2[[#This Row],[벽]] &lt;= 1</f>
        <v>1</v>
      </c>
    </row>
    <row r="150" spans="1:11" x14ac:dyDescent="0.3">
      <c r="A150" s="3" t="s">
        <v>733</v>
      </c>
      <c r="B150" s="3" t="s">
        <v>734</v>
      </c>
      <c r="C150" s="4" t="s">
        <v>735</v>
      </c>
      <c r="D150" s="3" t="s">
        <v>736</v>
      </c>
      <c r="E150" s="3" t="s">
        <v>737</v>
      </c>
      <c r="F150" s="3" t="str">
        <f>fn등급(표2[[#This Row],[번호]])</f>
        <v>-</v>
      </c>
      <c r="G150" s="3" t="b">
        <f>AND(VALUE(LEFT(표2[[#This Row],[좌표]], FIND(",",표2[[#This Row],[좌표]], 1)-1)) &lt; 100, VALUE(LEFT(표2[[#This Row],[좌표]], FIND(",",표2[[#This Row],[좌표]], 1)-1)) &gt; -1)</f>
        <v>1</v>
      </c>
      <c r="H15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0" s="5">
        <f>COUNTIFS(표2[좌표],표2[[#This Row],[좌표]])</f>
        <v>1</v>
      </c>
      <c r="J150" s="5">
        <f>COUNTIFS(표6[좌표],표2[[#This Row],[좌표]])</f>
        <v>0</v>
      </c>
      <c r="K150" s="5" t="b">
        <f xml:space="preserve"> 표2[[#This Row],[회원]]+표2[[#This Row],[벽]] &lt;= 1</f>
        <v>1</v>
      </c>
    </row>
    <row r="151" spans="1:11" x14ac:dyDescent="0.3">
      <c r="A151" s="3" t="s">
        <v>738</v>
      </c>
      <c r="B151" s="3" t="s">
        <v>739</v>
      </c>
      <c r="C151" s="4" t="s">
        <v>740</v>
      </c>
      <c r="D151" s="3" t="s">
        <v>741</v>
      </c>
      <c r="E151" s="3" t="s">
        <v>742</v>
      </c>
      <c r="F151" s="3" t="str">
        <f>fn등급(표2[[#This Row],[번호]])</f>
        <v>-</v>
      </c>
      <c r="G151" s="3" t="b">
        <f>AND(VALUE(LEFT(표2[[#This Row],[좌표]], FIND(",",표2[[#This Row],[좌표]], 1)-1)) &lt; 100, VALUE(LEFT(표2[[#This Row],[좌표]], FIND(",",표2[[#This Row],[좌표]], 1)-1)) &gt; -1)</f>
        <v>1</v>
      </c>
      <c r="H15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1" s="5">
        <f>COUNTIFS(표2[좌표],표2[[#This Row],[좌표]])</f>
        <v>1</v>
      </c>
      <c r="J151" s="5">
        <f>COUNTIFS(표6[좌표],표2[[#This Row],[좌표]])</f>
        <v>0</v>
      </c>
      <c r="K151" s="5" t="b">
        <f xml:space="preserve"> 표2[[#This Row],[회원]]+표2[[#This Row],[벽]] &lt;= 1</f>
        <v>1</v>
      </c>
    </row>
    <row r="152" spans="1:11" x14ac:dyDescent="0.3">
      <c r="A152" s="3" t="s">
        <v>743</v>
      </c>
      <c r="B152" s="3" t="s">
        <v>744</v>
      </c>
      <c r="C152" s="4" t="s">
        <v>745</v>
      </c>
      <c r="D152" s="3" t="s">
        <v>746</v>
      </c>
      <c r="E152" s="3" t="s">
        <v>747</v>
      </c>
      <c r="F152" s="3" t="str">
        <f>fn등급(표2[[#This Row],[번호]])</f>
        <v>-</v>
      </c>
      <c r="G152" s="3" t="b">
        <f>AND(VALUE(LEFT(표2[[#This Row],[좌표]], FIND(",",표2[[#This Row],[좌표]], 1)-1)) &lt; 100, VALUE(LEFT(표2[[#This Row],[좌표]], FIND(",",표2[[#This Row],[좌표]], 1)-1)) &gt; -1)</f>
        <v>1</v>
      </c>
      <c r="H15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2" s="5">
        <f>COUNTIFS(표2[좌표],표2[[#This Row],[좌표]])</f>
        <v>1</v>
      </c>
      <c r="J152" s="5">
        <f>COUNTIFS(표6[좌표],표2[[#This Row],[좌표]])</f>
        <v>0</v>
      </c>
      <c r="K152" s="5" t="b">
        <f xml:space="preserve"> 표2[[#This Row],[회원]]+표2[[#This Row],[벽]] &lt;= 1</f>
        <v>1</v>
      </c>
    </row>
    <row r="153" spans="1:11" x14ac:dyDescent="0.3">
      <c r="A153" s="3" t="s">
        <v>748</v>
      </c>
      <c r="B153" s="3" t="s">
        <v>749</v>
      </c>
      <c r="C153" s="4" t="s">
        <v>750</v>
      </c>
      <c r="D153" s="3" t="s">
        <v>751</v>
      </c>
      <c r="E153" s="3" t="s">
        <v>752</v>
      </c>
      <c r="F153" s="3" t="str">
        <f>fn등급(표2[[#This Row],[번호]])</f>
        <v>-</v>
      </c>
      <c r="G153" s="3" t="b">
        <f>AND(VALUE(LEFT(표2[[#This Row],[좌표]], FIND(",",표2[[#This Row],[좌표]], 1)-1)) &lt; 100, VALUE(LEFT(표2[[#This Row],[좌표]], FIND(",",표2[[#This Row],[좌표]], 1)-1)) &gt; -1)</f>
        <v>1</v>
      </c>
      <c r="H15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3" s="5">
        <f>COUNTIFS(표2[좌표],표2[[#This Row],[좌표]])</f>
        <v>1</v>
      </c>
      <c r="J153" s="5">
        <f>COUNTIFS(표6[좌표],표2[[#This Row],[좌표]])</f>
        <v>0</v>
      </c>
      <c r="K153" s="5" t="b">
        <f xml:space="preserve"> 표2[[#This Row],[회원]]+표2[[#This Row],[벽]] &lt;= 1</f>
        <v>1</v>
      </c>
    </row>
    <row r="154" spans="1:11" x14ac:dyDescent="0.3">
      <c r="A154" s="3" t="s">
        <v>753</v>
      </c>
      <c r="B154" s="3" t="s">
        <v>754</v>
      </c>
      <c r="C154" s="4" t="s">
        <v>755</v>
      </c>
      <c r="D154" s="3" t="s">
        <v>756</v>
      </c>
      <c r="E154" s="3" t="s">
        <v>757</v>
      </c>
      <c r="F154" s="3" t="str">
        <f>fn등급(표2[[#This Row],[번호]])</f>
        <v>-</v>
      </c>
      <c r="G154" s="3" t="b">
        <f>AND(VALUE(LEFT(표2[[#This Row],[좌표]], FIND(",",표2[[#This Row],[좌표]], 1)-1)) &lt; 100, VALUE(LEFT(표2[[#This Row],[좌표]], FIND(",",표2[[#This Row],[좌표]], 1)-1)) &gt; -1)</f>
        <v>1</v>
      </c>
      <c r="H15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4" s="5">
        <f>COUNTIFS(표2[좌표],표2[[#This Row],[좌표]])</f>
        <v>1</v>
      </c>
      <c r="J154" s="5">
        <f>COUNTIFS(표6[좌표],표2[[#This Row],[좌표]])</f>
        <v>0</v>
      </c>
      <c r="K154" s="5" t="b">
        <f xml:space="preserve"> 표2[[#This Row],[회원]]+표2[[#This Row],[벽]] &lt;= 1</f>
        <v>1</v>
      </c>
    </row>
    <row r="155" spans="1:11" x14ac:dyDescent="0.3">
      <c r="A155" s="3" t="s">
        <v>758</v>
      </c>
      <c r="B155" s="3" t="s">
        <v>759</v>
      </c>
      <c r="C155" s="4" t="s">
        <v>760</v>
      </c>
      <c r="D155" s="3" t="s">
        <v>761</v>
      </c>
      <c r="E155" s="3" t="s">
        <v>762</v>
      </c>
      <c r="F155" s="3" t="str">
        <f>fn등급(표2[[#This Row],[번호]])</f>
        <v>-</v>
      </c>
      <c r="G155" s="3" t="b">
        <f>AND(VALUE(LEFT(표2[[#This Row],[좌표]], FIND(",",표2[[#This Row],[좌표]], 1)-1)) &lt; 100, VALUE(LEFT(표2[[#This Row],[좌표]], FIND(",",표2[[#This Row],[좌표]], 1)-1)) &gt; -1)</f>
        <v>1</v>
      </c>
      <c r="H15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5" s="5">
        <f>COUNTIFS(표2[좌표],표2[[#This Row],[좌표]])</f>
        <v>1</v>
      </c>
      <c r="J155" s="5">
        <f>COUNTIFS(표6[좌표],표2[[#This Row],[좌표]])</f>
        <v>0</v>
      </c>
      <c r="K155" s="5" t="b">
        <f xml:space="preserve"> 표2[[#This Row],[회원]]+표2[[#This Row],[벽]] &lt;= 1</f>
        <v>1</v>
      </c>
    </row>
    <row r="156" spans="1:11" x14ac:dyDescent="0.3">
      <c r="A156" s="3" t="s">
        <v>763</v>
      </c>
      <c r="B156" s="3" t="s">
        <v>764</v>
      </c>
      <c r="C156" s="4" t="s">
        <v>765</v>
      </c>
      <c r="D156" s="3" t="s">
        <v>766</v>
      </c>
      <c r="E156" s="3" t="s">
        <v>767</v>
      </c>
      <c r="F156" s="3" t="str">
        <f>fn등급(표2[[#This Row],[번호]])</f>
        <v>맛집</v>
      </c>
      <c r="G156" s="3" t="b">
        <f>AND(VALUE(LEFT(표2[[#This Row],[좌표]], FIND(",",표2[[#This Row],[좌표]], 1)-1)) &lt; 100, VALUE(LEFT(표2[[#This Row],[좌표]], FIND(",",표2[[#This Row],[좌표]], 1)-1)) &gt; -1)</f>
        <v>1</v>
      </c>
      <c r="H15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6" s="5">
        <f>COUNTIFS(표2[좌표],표2[[#This Row],[좌표]])</f>
        <v>1</v>
      </c>
      <c r="J156" s="5">
        <f>COUNTIFS(표6[좌표],표2[[#This Row],[좌표]])</f>
        <v>0</v>
      </c>
      <c r="K156" s="5" t="b">
        <f xml:space="preserve"> 표2[[#This Row],[회원]]+표2[[#This Row],[벽]] &lt;= 1</f>
        <v>1</v>
      </c>
    </row>
    <row r="157" spans="1:11" x14ac:dyDescent="0.3">
      <c r="A157" s="3" t="s">
        <v>768</v>
      </c>
      <c r="B157" s="3" t="s">
        <v>769</v>
      </c>
      <c r="C157" s="4" t="s">
        <v>770</v>
      </c>
      <c r="D157" s="3" t="s">
        <v>771</v>
      </c>
      <c r="E157" s="3" t="s">
        <v>772</v>
      </c>
      <c r="F157" s="3" t="str">
        <f>fn등급(표2[[#This Row],[번호]])</f>
        <v>-</v>
      </c>
      <c r="G157" s="3" t="b">
        <f>AND(VALUE(LEFT(표2[[#This Row],[좌표]], FIND(",",표2[[#This Row],[좌표]], 1)-1)) &lt; 100, VALUE(LEFT(표2[[#This Row],[좌표]], FIND(",",표2[[#This Row],[좌표]], 1)-1)) &gt; -1)</f>
        <v>1</v>
      </c>
      <c r="H15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7" s="5">
        <f>COUNTIFS(표2[좌표],표2[[#This Row],[좌표]])</f>
        <v>1</v>
      </c>
      <c r="J157" s="5">
        <f>COUNTIFS(표6[좌표],표2[[#This Row],[좌표]])</f>
        <v>0</v>
      </c>
      <c r="K157" s="5" t="b">
        <f xml:space="preserve"> 표2[[#This Row],[회원]]+표2[[#This Row],[벽]] &lt;= 1</f>
        <v>1</v>
      </c>
    </row>
    <row r="158" spans="1:11" x14ac:dyDescent="0.3">
      <c r="A158" s="3" t="s">
        <v>773</v>
      </c>
      <c r="B158" s="3" t="s">
        <v>774</v>
      </c>
      <c r="C158" s="4" t="s">
        <v>775</v>
      </c>
      <c r="D158" s="3" t="s">
        <v>776</v>
      </c>
      <c r="E158" s="3" t="s">
        <v>777</v>
      </c>
      <c r="F158" s="3" t="str">
        <f>fn등급(표2[[#This Row],[번호]])</f>
        <v>-</v>
      </c>
      <c r="G158" s="3" t="b">
        <f>AND(VALUE(LEFT(표2[[#This Row],[좌표]], FIND(",",표2[[#This Row],[좌표]], 1)-1)) &lt; 100, VALUE(LEFT(표2[[#This Row],[좌표]], FIND(",",표2[[#This Row],[좌표]], 1)-1)) &gt; -1)</f>
        <v>1</v>
      </c>
      <c r="H15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8" s="5">
        <f>COUNTIFS(표2[좌표],표2[[#This Row],[좌표]])</f>
        <v>1</v>
      </c>
      <c r="J158" s="5">
        <f>COUNTIFS(표6[좌표],표2[[#This Row],[좌표]])</f>
        <v>0</v>
      </c>
      <c r="K158" s="5" t="b">
        <f xml:space="preserve"> 표2[[#This Row],[회원]]+표2[[#This Row],[벽]] &lt;= 1</f>
        <v>1</v>
      </c>
    </row>
    <row r="159" spans="1:11" x14ac:dyDescent="0.3">
      <c r="A159" s="3" t="s">
        <v>778</v>
      </c>
      <c r="B159" s="3" t="s">
        <v>779</v>
      </c>
      <c r="C159" s="4" t="s">
        <v>780</v>
      </c>
      <c r="D159" s="3" t="s">
        <v>781</v>
      </c>
      <c r="E159" s="3" t="s">
        <v>782</v>
      </c>
      <c r="F159" s="3" t="str">
        <f>fn등급(표2[[#This Row],[번호]])</f>
        <v>-</v>
      </c>
      <c r="G159" s="3" t="b">
        <f>AND(VALUE(LEFT(표2[[#This Row],[좌표]], FIND(",",표2[[#This Row],[좌표]], 1)-1)) &lt; 100, VALUE(LEFT(표2[[#This Row],[좌표]], FIND(",",표2[[#This Row],[좌표]], 1)-1)) &gt; -1)</f>
        <v>1</v>
      </c>
      <c r="H15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59" s="5">
        <f>COUNTIFS(표2[좌표],표2[[#This Row],[좌표]])</f>
        <v>1</v>
      </c>
      <c r="J159" s="5">
        <f>COUNTIFS(표6[좌표],표2[[#This Row],[좌표]])</f>
        <v>0</v>
      </c>
      <c r="K159" s="5" t="b">
        <f xml:space="preserve"> 표2[[#This Row],[회원]]+표2[[#This Row],[벽]] &lt;= 1</f>
        <v>1</v>
      </c>
    </row>
    <row r="160" spans="1:11" x14ac:dyDescent="0.3">
      <c r="A160" s="3" t="s">
        <v>783</v>
      </c>
      <c r="B160" s="3" t="s">
        <v>784</v>
      </c>
      <c r="C160" s="4" t="s">
        <v>785</v>
      </c>
      <c r="D160" s="3" t="s">
        <v>786</v>
      </c>
      <c r="E160" s="3" t="s">
        <v>787</v>
      </c>
      <c r="F160" s="3" t="str">
        <f>fn등급(표2[[#This Row],[번호]])</f>
        <v>-</v>
      </c>
      <c r="G160" s="3" t="b">
        <f>AND(VALUE(LEFT(표2[[#This Row],[좌표]], FIND(",",표2[[#This Row],[좌표]], 1)-1)) &lt; 100, VALUE(LEFT(표2[[#This Row],[좌표]], FIND(",",표2[[#This Row],[좌표]], 1)-1)) &gt; -1)</f>
        <v>1</v>
      </c>
      <c r="H16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0" s="5">
        <f>COUNTIFS(표2[좌표],표2[[#This Row],[좌표]])</f>
        <v>1</v>
      </c>
      <c r="J160" s="5">
        <f>COUNTIFS(표6[좌표],표2[[#This Row],[좌표]])</f>
        <v>0</v>
      </c>
      <c r="K160" s="5" t="b">
        <f xml:space="preserve"> 표2[[#This Row],[회원]]+표2[[#This Row],[벽]] &lt;= 1</f>
        <v>1</v>
      </c>
    </row>
    <row r="161" spans="1:11" x14ac:dyDescent="0.3">
      <c r="A161" s="3" t="s">
        <v>788</v>
      </c>
      <c r="B161" s="3" t="s">
        <v>789</v>
      </c>
      <c r="C161" s="4" t="s">
        <v>790</v>
      </c>
      <c r="D161" s="3" t="s">
        <v>791</v>
      </c>
      <c r="E161" s="3" t="s">
        <v>792</v>
      </c>
      <c r="F161" s="3" t="str">
        <f>fn등급(표2[[#This Row],[번호]])</f>
        <v>-</v>
      </c>
      <c r="G161" s="3" t="b">
        <f>AND(VALUE(LEFT(표2[[#This Row],[좌표]], FIND(",",표2[[#This Row],[좌표]], 1)-1)) &lt; 100, VALUE(LEFT(표2[[#This Row],[좌표]], FIND(",",표2[[#This Row],[좌표]], 1)-1)) &gt; -1)</f>
        <v>1</v>
      </c>
      <c r="H16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1" s="5">
        <f>COUNTIFS(표2[좌표],표2[[#This Row],[좌표]])</f>
        <v>1</v>
      </c>
      <c r="J161" s="5">
        <f>COUNTIFS(표6[좌표],표2[[#This Row],[좌표]])</f>
        <v>0</v>
      </c>
      <c r="K161" s="5" t="b">
        <f xml:space="preserve"> 표2[[#This Row],[회원]]+표2[[#This Row],[벽]] &lt;= 1</f>
        <v>1</v>
      </c>
    </row>
    <row r="162" spans="1:11" x14ac:dyDescent="0.3">
      <c r="A162" s="3" t="s">
        <v>793</v>
      </c>
      <c r="B162" s="3" t="s">
        <v>794</v>
      </c>
      <c r="C162" s="4" t="s">
        <v>795</v>
      </c>
      <c r="D162" s="3" t="s">
        <v>796</v>
      </c>
      <c r="E162" s="3" t="s">
        <v>797</v>
      </c>
      <c r="F162" s="3" t="str">
        <f>fn등급(표2[[#This Row],[번호]])</f>
        <v>-</v>
      </c>
      <c r="G162" s="3" t="b">
        <f>AND(VALUE(LEFT(표2[[#This Row],[좌표]], FIND(",",표2[[#This Row],[좌표]], 1)-1)) &lt; 100, VALUE(LEFT(표2[[#This Row],[좌표]], FIND(",",표2[[#This Row],[좌표]], 1)-1)) &gt; -1)</f>
        <v>1</v>
      </c>
      <c r="H16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2" s="5">
        <f>COUNTIFS(표2[좌표],표2[[#This Row],[좌표]])</f>
        <v>1</v>
      </c>
      <c r="J162" s="5">
        <f>COUNTIFS(표6[좌표],표2[[#This Row],[좌표]])</f>
        <v>0</v>
      </c>
      <c r="K162" s="5" t="b">
        <f xml:space="preserve"> 표2[[#This Row],[회원]]+표2[[#This Row],[벽]] &lt;= 1</f>
        <v>1</v>
      </c>
    </row>
    <row r="163" spans="1:11" x14ac:dyDescent="0.3">
      <c r="A163" s="3" t="s">
        <v>798</v>
      </c>
      <c r="B163" s="3" t="s">
        <v>799</v>
      </c>
      <c r="C163" s="4" t="s">
        <v>800</v>
      </c>
      <c r="D163" s="3" t="s">
        <v>801</v>
      </c>
      <c r="E163" s="3" t="s">
        <v>802</v>
      </c>
      <c r="F163" s="3" t="str">
        <f>fn등급(표2[[#This Row],[번호]])</f>
        <v>맛집</v>
      </c>
      <c r="G163" s="3" t="b">
        <f>AND(VALUE(LEFT(표2[[#This Row],[좌표]], FIND(",",표2[[#This Row],[좌표]], 1)-1)) &lt; 100, VALUE(LEFT(표2[[#This Row],[좌표]], FIND(",",표2[[#This Row],[좌표]], 1)-1)) &gt; -1)</f>
        <v>1</v>
      </c>
      <c r="H16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3" s="5">
        <f>COUNTIFS(표2[좌표],표2[[#This Row],[좌표]])</f>
        <v>1</v>
      </c>
      <c r="J163" s="5">
        <f>COUNTIFS(표6[좌표],표2[[#This Row],[좌표]])</f>
        <v>0</v>
      </c>
      <c r="K163" s="5" t="b">
        <f xml:space="preserve"> 표2[[#This Row],[회원]]+표2[[#This Row],[벽]] &lt;= 1</f>
        <v>1</v>
      </c>
    </row>
    <row r="164" spans="1:11" x14ac:dyDescent="0.3">
      <c r="A164" s="3" t="s">
        <v>803</v>
      </c>
      <c r="B164" s="3" t="s">
        <v>804</v>
      </c>
      <c r="C164" s="4" t="s">
        <v>805</v>
      </c>
      <c r="D164" s="3" t="s">
        <v>806</v>
      </c>
      <c r="E164" s="3" t="s">
        <v>807</v>
      </c>
      <c r="F164" s="3" t="str">
        <f>fn등급(표2[[#This Row],[번호]])</f>
        <v>-</v>
      </c>
      <c r="G164" s="3" t="b">
        <f>AND(VALUE(LEFT(표2[[#This Row],[좌표]], FIND(",",표2[[#This Row],[좌표]], 1)-1)) &lt; 100, VALUE(LEFT(표2[[#This Row],[좌표]], FIND(",",표2[[#This Row],[좌표]], 1)-1)) &gt; -1)</f>
        <v>1</v>
      </c>
      <c r="H16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4" s="5">
        <f>COUNTIFS(표2[좌표],표2[[#This Row],[좌표]])</f>
        <v>1</v>
      </c>
      <c r="J164" s="5">
        <f>COUNTIFS(표6[좌표],표2[[#This Row],[좌표]])</f>
        <v>0</v>
      </c>
      <c r="K164" s="5" t="b">
        <f xml:space="preserve"> 표2[[#This Row],[회원]]+표2[[#This Row],[벽]] &lt;= 1</f>
        <v>1</v>
      </c>
    </row>
    <row r="165" spans="1:11" x14ac:dyDescent="0.3">
      <c r="A165" s="3" t="s">
        <v>808</v>
      </c>
      <c r="B165" s="3" t="s">
        <v>809</v>
      </c>
      <c r="C165" s="4" t="s">
        <v>810</v>
      </c>
      <c r="D165" s="3" t="s">
        <v>811</v>
      </c>
      <c r="E165" s="3" t="s">
        <v>812</v>
      </c>
      <c r="F165" s="3" t="str">
        <f>fn등급(표2[[#This Row],[번호]])</f>
        <v>맛집</v>
      </c>
      <c r="G165" s="3" t="b">
        <f>AND(VALUE(LEFT(표2[[#This Row],[좌표]], FIND(",",표2[[#This Row],[좌표]], 1)-1)) &lt; 100, VALUE(LEFT(표2[[#This Row],[좌표]], FIND(",",표2[[#This Row],[좌표]], 1)-1)) &gt; -1)</f>
        <v>1</v>
      </c>
      <c r="H16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5" s="5">
        <f>COUNTIFS(표2[좌표],표2[[#This Row],[좌표]])</f>
        <v>1</v>
      </c>
      <c r="J165" s="5">
        <f>COUNTIFS(표6[좌표],표2[[#This Row],[좌표]])</f>
        <v>0</v>
      </c>
      <c r="K165" s="5" t="b">
        <f xml:space="preserve"> 표2[[#This Row],[회원]]+표2[[#This Row],[벽]] &lt;= 1</f>
        <v>1</v>
      </c>
    </row>
    <row r="166" spans="1:11" x14ac:dyDescent="0.3">
      <c r="A166" s="3" t="s">
        <v>813</v>
      </c>
      <c r="B166" s="3" t="s">
        <v>814</v>
      </c>
      <c r="C166" s="4" t="s">
        <v>815</v>
      </c>
      <c r="D166" s="3" t="s">
        <v>816</v>
      </c>
      <c r="E166" s="3" t="s">
        <v>817</v>
      </c>
      <c r="F166" s="3" t="str">
        <f>fn등급(표2[[#This Row],[번호]])</f>
        <v>-</v>
      </c>
      <c r="G166" s="3" t="b">
        <f>AND(VALUE(LEFT(표2[[#This Row],[좌표]], FIND(",",표2[[#This Row],[좌표]], 1)-1)) &lt; 100, VALUE(LEFT(표2[[#This Row],[좌표]], FIND(",",표2[[#This Row],[좌표]], 1)-1)) &gt; -1)</f>
        <v>1</v>
      </c>
      <c r="H16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6" s="5">
        <f>COUNTIFS(표2[좌표],표2[[#This Row],[좌표]])</f>
        <v>1</v>
      </c>
      <c r="J166" s="5">
        <f>COUNTIFS(표6[좌표],표2[[#This Row],[좌표]])</f>
        <v>0</v>
      </c>
      <c r="K166" s="5" t="b">
        <f xml:space="preserve"> 표2[[#This Row],[회원]]+표2[[#This Row],[벽]] &lt;= 1</f>
        <v>1</v>
      </c>
    </row>
    <row r="167" spans="1:11" x14ac:dyDescent="0.3">
      <c r="A167" s="3" t="s">
        <v>818</v>
      </c>
      <c r="B167" s="3" t="s">
        <v>819</v>
      </c>
      <c r="C167" s="4" t="s">
        <v>820</v>
      </c>
      <c r="D167" s="3" t="s">
        <v>821</v>
      </c>
      <c r="E167" s="3" t="s">
        <v>822</v>
      </c>
      <c r="F167" s="3" t="str">
        <f>fn등급(표2[[#This Row],[번호]])</f>
        <v>-</v>
      </c>
      <c r="G167" s="3" t="b">
        <f>AND(VALUE(LEFT(표2[[#This Row],[좌표]], FIND(",",표2[[#This Row],[좌표]], 1)-1)) &lt; 100, VALUE(LEFT(표2[[#This Row],[좌표]], FIND(",",표2[[#This Row],[좌표]], 1)-1)) &gt; -1)</f>
        <v>1</v>
      </c>
      <c r="H16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7" s="5">
        <f>COUNTIFS(표2[좌표],표2[[#This Row],[좌표]])</f>
        <v>1</v>
      </c>
      <c r="J167" s="5">
        <f>COUNTIFS(표6[좌표],표2[[#This Row],[좌표]])</f>
        <v>0</v>
      </c>
      <c r="K167" s="5" t="b">
        <f xml:space="preserve"> 표2[[#This Row],[회원]]+표2[[#This Row],[벽]] &lt;= 1</f>
        <v>1</v>
      </c>
    </row>
    <row r="168" spans="1:11" x14ac:dyDescent="0.3">
      <c r="A168" s="3" t="s">
        <v>823</v>
      </c>
      <c r="B168" s="3" t="s">
        <v>824</v>
      </c>
      <c r="C168" s="4" t="s">
        <v>825</v>
      </c>
      <c r="D168" s="3" t="s">
        <v>826</v>
      </c>
      <c r="E168" s="3" t="s">
        <v>827</v>
      </c>
      <c r="F168" s="3" t="str">
        <f>fn등급(표2[[#This Row],[번호]])</f>
        <v>-</v>
      </c>
      <c r="G168" s="3" t="b">
        <f>AND(VALUE(LEFT(표2[[#This Row],[좌표]], FIND(",",표2[[#This Row],[좌표]], 1)-1)) &lt; 100, VALUE(LEFT(표2[[#This Row],[좌표]], FIND(",",표2[[#This Row],[좌표]], 1)-1)) &gt; -1)</f>
        <v>1</v>
      </c>
      <c r="H16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8" s="5">
        <f>COUNTIFS(표2[좌표],표2[[#This Row],[좌표]])</f>
        <v>1</v>
      </c>
      <c r="J168" s="5">
        <f>COUNTIFS(표6[좌표],표2[[#This Row],[좌표]])</f>
        <v>0</v>
      </c>
      <c r="K168" s="5" t="b">
        <f xml:space="preserve"> 표2[[#This Row],[회원]]+표2[[#This Row],[벽]] &lt;= 1</f>
        <v>1</v>
      </c>
    </row>
    <row r="169" spans="1:11" x14ac:dyDescent="0.3">
      <c r="A169" s="3" t="s">
        <v>828</v>
      </c>
      <c r="B169" s="3" t="s">
        <v>829</v>
      </c>
      <c r="C169" s="4" t="s">
        <v>830</v>
      </c>
      <c r="D169" s="3" t="s">
        <v>831</v>
      </c>
      <c r="E169" s="3" t="s">
        <v>832</v>
      </c>
      <c r="F169" s="3" t="str">
        <f>fn등급(표2[[#This Row],[번호]])</f>
        <v>맛집</v>
      </c>
      <c r="G169" s="3" t="b">
        <f>AND(VALUE(LEFT(표2[[#This Row],[좌표]], FIND(",",표2[[#This Row],[좌표]], 1)-1)) &lt; 100, VALUE(LEFT(표2[[#This Row],[좌표]], FIND(",",표2[[#This Row],[좌표]], 1)-1)) &gt; -1)</f>
        <v>1</v>
      </c>
      <c r="H16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69" s="5">
        <f>COUNTIFS(표2[좌표],표2[[#This Row],[좌표]])</f>
        <v>1</v>
      </c>
      <c r="J169" s="5">
        <f>COUNTIFS(표6[좌표],표2[[#This Row],[좌표]])</f>
        <v>0</v>
      </c>
      <c r="K169" s="5" t="b">
        <f xml:space="preserve"> 표2[[#This Row],[회원]]+표2[[#This Row],[벽]] &lt;= 1</f>
        <v>1</v>
      </c>
    </row>
    <row r="170" spans="1:11" x14ac:dyDescent="0.3">
      <c r="A170" s="3" t="s">
        <v>833</v>
      </c>
      <c r="B170" s="3" t="s">
        <v>834</v>
      </c>
      <c r="C170" s="4" t="s">
        <v>835</v>
      </c>
      <c r="D170" s="3" t="s">
        <v>836</v>
      </c>
      <c r="E170" s="3" t="s">
        <v>837</v>
      </c>
      <c r="F170" s="3" t="str">
        <f>fn등급(표2[[#This Row],[번호]])</f>
        <v>-</v>
      </c>
      <c r="G170" s="3" t="b">
        <f>AND(VALUE(LEFT(표2[[#This Row],[좌표]], FIND(",",표2[[#This Row],[좌표]], 1)-1)) &lt; 100, VALUE(LEFT(표2[[#This Row],[좌표]], FIND(",",표2[[#This Row],[좌표]], 1)-1)) &gt; -1)</f>
        <v>1</v>
      </c>
      <c r="H17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0" s="5">
        <f>COUNTIFS(표2[좌표],표2[[#This Row],[좌표]])</f>
        <v>1</v>
      </c>
      <c r="J170" s="5">
        <f>COUNTIFS(표6[좌표],표2[[#This Row],[좌표]])</f>
        <v>0</v>
      </c>
      <c r="K170" s="5" t="b">
        <f xml:space="preserve"> 표2[[#This Row],[회원]]+표2[[#This Row],[벽]] &lt;= 1</f>
        <v>1</v>
      </c>
    </row>
    <row r="171" spans="1:11" x14ac:dyDescent="0.3">
      <c r="A171" s="3" t="s">
        <v>838</v>
      </c>
      <c r="B171" s="3" t="s">
        <v>839</v>
      </c>
      <c r="C171" s="4" t="s">
        <v>840</v>
      </c>
      <c r="D171" s="3" t="s">
        <v>841</v>
      </c>
      <c r="E171" s="3" t="s">
        <v>842</v>
      </c>
      <c r="F171" s="3" t="str">
        <f>fn등급(표2[[#This Row],[번호]])</f>
        <v>-</v>
      </c>
      <c r="G171" s="3" t="b">
        <f>AND(VALUE(LEFT(표2[[#This Row],[좌표]], FIND(",",표2[[#This Row],[좌표]], 1)-1)) &lt; 100, VALUE(LEFT(표2[[#This Row],[좌표]], FIND(",",표2[[#This Row],[좌표]], 1)-1)) &gt; -1)</f>
        <v>1</v>
      </c>
      <c r="H17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1" s="5">
        <f>COUNTIFS(표2[좌표],표2[[#This Row],[좌표]])</f>
        <v>1</v>
      </c>
      <c r="J171" s="5">
        <f>COUNTIFS(표6[좌표],표2[[#This Row],[좌표]])</f>
        <v>0</v>
      </c>
      <c r="K171" s="5" t="b">
        <f xml:space="preserve"> 표2[[#This Row],[회원]]+표2[[#This Row],[벽]] &lt;= 1</f>
        <v>1</v>
      </c>
    </row>
    <row r="172" spans="1:11" x14ac:dyDescent="0.3">
      <c r="A172" s="3" t="s">
        <v>843</v>
      </c>
      <c r="B172" s="3" t="s">
        <v>844</v>
      </c>
      <c r="C172" s="4" t="s">
        <v>845</v>
      </c>
      <c r="D172" s="3" t="s">
        <v>846</v>
      </c>
      <c r="E172" s="3" t="s">
        <v>847</v>
      </c>
      <c r="F172" s="3" t="str">
        <f>fn등급(표2[[#This Row],[번호]])</f>
        <v>-</v>
      </c>
      <c r="G172" s="3" t="b">
        <f>AND(VALUE(LEFT(표2[[#This Row],[좌표]], FIND(",",표2[[#This Row],[좌표]], 1)-1)) &lt; 100, VALUE(LEFT(표2[[#This Row],[좌표]], FIND(",",표2[[#This Row],[좌표]], 1)-1)) &gt; -1)</f>
        <v>1</v>
      </c>
      <c r="H17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2" s="5">
        <f>COUNTIFS(표2[좌표],표2[[#This Row],[좌표]])</f>
        <v>1</v>
      </c>
      <c r="J172" s="5">
        <f>COUNTIFS(표6[좌표],표2[[#This Row],[좌표]])</f>
        <v>0</v>
      </c>
      <c r="K172" s="5" t="b">
        <f xml:space="preserve"> 표2[[#This Row],[회원]]+표2[[#This Row],[벽]] &lt;= 1</f>
        <v>1</v>
      </c>
    </row>
    <row r="173" spans="1:11" x14ac:dyDescent="0.3">
      <c r="A173" s="3" t="s">
        <v>848</v>
      </c>
      <c r="B173" s="3" t="s">
        <v>849</v>
      </c>
      <c r="C173" s="4" t="s">
        <v>850</v>
      </c>
      <c r="D173" s="3" t="s">
        <v>851</v>
      </c>
      <c r="E173" s="3" t="s">
        <v>852</v>
      </c>
      <c r="F173" s="3" t="str">
        <f>fn등급(표2[[#This Row],[번호]])</f>
        <v>-</v>
      </c>
      <c r="G173" s="3" t="b">
        <f>AND(VALUE(LEFT(표2[[#This Row],[좌표]], FIND(",",표2[[#This Row],[좌표]], 1)-1)) &lt; 100, VALUE(LEFT(표2[[#This Row],[좌표]], FIND(",",표2[[#This Row],[좌표]], 1)-1)) &gt; -1)</f>
        <v>1</v>
      </c>
      <c r="H17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3" s="5">
        <f>COUNTIFS(표2[좌표],표2[[#This Row],[좌표]])</f>
        <v>1</v>
      </c>
      <c r="J173" s="5">
        <f>COUNTIFS(표6[좌표],표2[[#This Row],[좌표]])</f>
        <v>0</v>
      </c>
      <c r="K173" s="5" t="b">
        <f xml:space="preserve"> 표2[[#This Row],[회원]]+표2[[#This Row],[벽]] &lt;= 1</f>
        <v>1</v>
      </c>
    </row>
    <row r="174" spans="1:11" x14ac:dyDescent="0.3">
      <c r="A174" s="3" t="s">
        <v>853</v>
      </c>
      <c r="B174" s="3" t="s">
        <v>854</v>
      </c>
      <c r="C174" s="4" t="s">
        <v>855</v>
      </c>
      <c r="D174" s="3" t="s">
        <v>856</v>
      </c>
      <c r="E174" s="3" t="s">
        <v>857</v>
      </c>
      <c r="F174" s="3" t="str">
        <f>fn등급(표2[[#This Row],[번호]])</f>
        <v>-</v>
      </c>
      <c r="G174" s="3" t="b">
        <f>AND(VALUE(LEFT(표2[[#This Row],[좌표]], FIND(",",표2[[#This Row],[좌표]], 1)-1)) &lt; 100, VALUE(LEFT(표2[[#This Row],[좌표]], FIND(",",표2[[#This Row],[좌표]], 1)-1)) &gt; -1)</f>
        <v>1</v>
      </c>
      <c r="H17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4" s="5">
        <f>COUNTIFS(표2[좌표],표2[[#This Row],[좌표]])</f>
        <v>1</v>
      </c>
      <c r="J174" s="5">
        <f>COUNTIFS(표6[좌표],표2[[#This Row],[좌표]])</f>
        <v>0</v>
      </c>
      <c r="K174" s="5" t="b">
        <f xml:space="preserve"> 표2[[#This Row],[회원]]+표2[[#This Row],[벽]] &lt;= 1</f>
        <v>1</v>
      </c>
    </row>
    <row r="175" spans="1:11" x14ac:dyDescent="0.3">
      <c r="A175" s="3" t="s">
        <v>858</v>
      </c>
      <c r="B175" s="3" t="s">
        <v>859</v>
      </c>
      <c r="C175" s="4" t="s">
        <v>860</v>
      </c>
      <c r="D175" s="3" t="s">
        <v>861</v>
      </c>
      <c r="E175" s="3" t="s">
        <v>862</v>
      </c>
      <c r="F175" s="3" t="str">
        <f>fn등급(표2[[#This Row],[번호]])</f>
        <v>-</v>
      </c>
      <c r="G175" s="3" t="b">
        <f>AND(VALUE(LEFT(표2[[#This Row],[좌표]], FIND(",",표2[[#This Row],[좌표]], 1)-1)) &lt; 100, VALUE(LEFT(표2[[#This Row],[좌표]], FIND(",",표2[[#This Row],[좌표]], 1)-1)) &gt; -1)</f>
        <v>1</v>
      </c>
      <c r="H17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5" s="5">
        <f>COUNTIFS(표2[좌표],표2[[#This Row],[좌표]])</f>
        <v>1</v>
      </c>
      <c r="J175" s="5">
        <f>COUNTIFS(표6[좌표],표2[[#This Row],[좌표]])</f>
        <v>0</v>
      </c>
      <c r="K175" s="5" t="b">
        <f xml:space="preserve"> 표2[[#This Row],[회원]]+표2[[#This Row],[벽]] &lt;= 1</f>
        <v>1</v>
      </c>
    </row>
    <row r="176" spans="1:11" x14ac:dyDescent="0.3">
      <c r="A176" s="3" t="s">
        <v>863</v>
      </c>
      <c r="B176" s="3" t="s">
        <v>864</v>
      </c>
      <c r="C176" s="4" t="s">
        <v>865</v>
      </c>
      <c r="D176" s="3" t="s">
        <v>866</v>
      </c>
      <c r="E176" s="3" t="s">
        <v>867</v>
      </c>
      <c r="F176" s="3" t="str">
        <f>fn등급(표2[[#This Row],[번호]])</f>
        <v>-</v>
      </c>
      <c r="G176" s="3" t="b">
        <f>AND(VALUE(LEFT(표2[[#This Row],[좌표]], FIND(",",표2[[#This Row],[좌표]], 1)-1)) &lt; 100, VALUE(LEFT(표2[[#This Row],[좌표]], FIND(",",표2[[#This Row],[좌표]], 1)-1)) &gt; -1)</f>
        <v>1</v>
      </c>
      <c r="H17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6" s="5">
        <f>COUNTIFS(표2[좌표],표2[[#This Row],[좌표]])</f>
        <v>1</v>
      </c>
      <c r="J176" s="5">
        <f>COUNTIFS(표6[좌표],표2[[#This Row],[좌표]])</f>
        <v>0</v>
      </c>
      <c r="K176" s="5" t="b">
        <f xml:space="preserve"> 표2[[#This Row],[회원]]+표2[[#This Row],[벽]] &lt;= 1</f>
        <v>1</v>
      </c>
    </row>
    <row r="177" spans="1:11" x14ac:dyDescent="0.3">
      <c r="A177" s="3" t="s">
        <v>868</v>
      </c>
      <c r="B177" s="3" t="s">
        <v>869</v>
      </c>
      <c r="C177" s="4" t="s">
        <v>870</v>
      </c>
      <c r="D177" s="3" t="s">
        <v>871</v>
      </c>
      <c r="E177" s="3" t="s">
        <v>872</v>
      </c>
      <c r="F177" s="3" t="str">
        <f>fn등급(표2[[#This Row],[번호]])</f>
        <v>-</v>
      </c>
      <c r="G177" s="3" t="b">
        <f>AND(VALUE(LEFT(표2[[#This Row],[좌표]], FIND(",",표2[[#This Row],[좌표]], 1)-1)) &lt; 100, VALUE(LEFT(표2[[#This Row],[좌표]], FIND(",",표2[[#This Row],[좌표]], 1)-1)) &gt; -1)</f>
        <v>1</v>
      </c>
      <c r="H17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7" s="5">
        <f>COUNTIFS(표2[좌표],표2[[#This Row],[좌표]])</f>
        <v>1</v>
      </c>
      <c r="J177" s="5">
        <f>COUNTIFS(표6[좌표],표2[[#This Row],[좌표]])</f>
        <v>0</v>
      </c>
      <c r="K177" s="5" t="b">
        <f xml:space="preserve"> 표2[[#This Row],[회원]]+표2[[#This Row],[벽]] &lt;= 1</f>
        <v>1</v>
      </c>
    </row>
    <row r="178" spans="1:11" x14ac:dyDescent="0.3">
      <c r="A178" s="3" t="s">
        <v>873</v>
      </c>
      <c r="B178" s="3" t="s">
        <v>874</v>
      </c>
      <c r="C178" s="4" t="s">
        <v>875</v>
      </c>
      <c r="D178" s="3" t="s">
        <v>876</v>
      </c>
      <c r="E178" s="3" t="s">
        <v>877</v>
      </c>
      <c r="F178" s="3" t="str">
        <f>fn등급(표2[[#This Row],[번호]])</f>
        <v>-</v>
      </c>
      <c r="G178" s="3" t="b">
        <f>AND(VALUE(LEFT(표2[[#This Row],[좌표]], FIND(",",표2[[#This Row],[좌표]], 1)-1)) &lt; 100, VALUE(LEFT(표2[[#This Row],[좌표]], FIND(",",표2[[#This Row],[좌표]], 1)-1)) &gt; -1)</f>
        <v>1</v>
      </c>
      <c r="H17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8" s="5">
        <f>COUNTIFS(표2[좌표],표2[[#This Row],[좌표]])</f>
        <v>1</v>
      </c>
      <c r="J178" s="5">
        <f>COUNTIFS(표6[좌표],표2[[#This Row],[좌표]])</f>
        <v>0</v>
      </c>
      <c r="K178" s="5" t="b">
        <f xml:space="preserve"> 표2[[#This Row],[회원]]+표2[[#This Row],[벽]] &lt;= 1</f>
        <v>1</v>
      </c>
    </row>
    <row r="179" spans="1:11" x14ac:dyDescent="0.3">
      <c r="A179" s="3" t="s">
        <v>878</v>
      </c>
      <c r="B179" s="3" t="s">
        <v>879</v>
      </c>
      <c r="C179" s="4" t="s">
        <v>880</v>
      </c>
      <c r="D179" s="3" t="s">
        <v>881</v>
      </c>
      <c r="E179" s="3" t="s">
        <v>882</v>
      </c>
      <c r="F179" s="3" t="str">
        <f>fn등급(표2[[#This Row],[번호]])</f>
        <v>-</v>
      </c>
      <c r="G179" s="3" t="b">
        <f>AND(VALUE(LEFT(표2[[#This Row],[좌표]], FIND(",",표2[[#This Row],[좌표]], 1)-1)) &lt; 100, VALUE(LEFT(표2[[#This Row],[좌표]], FIND(",",표2[[#This Row],[좌표]], 1)-1)) &gt; -1)</f>
        <v>1</v>
      </c>
      <c r="H179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79" s="5">
        <f>COUNTIFS(표2[좌표],표2[[#This Row],[좌표]])</f>
        <v>1</v>
      </c>
      <c r="J179" s="5">
        <f>COUNTIFS(표6[좌표],표2[[#This Row],[좌표]])</f>
        <v>0</v>
      </c>
      <c r="K179" s="5" t="b">
        <f xml:space="preserve"> 표2[[#This Row],[회원]]+표2[[#This Row],[벽]] &lt;= 1</f>
        <v>1</v>
      </c>
    </row>
    <row r="180" spans="1:11" x14ac:dyDescent="0.3">
      <c r="A180" s="3" t="s">
        <v>883</v>
      </c>
      <c r="B180" s="3" t="s">
        <v>884</v>
      </c>
      <c r="C180" s="4" t="s">
        <v>885</v>
      </c>
      <c r="D180" s="3" t="s">
        <v>886</v>
      </c>
      <c r="E180" s="3" t="s">
        <v>887</v>
      </c>
      <c r="F180" s="3" t="str">
        <f>fn등급(표2[[#This Row],[번호]])</f>
        <v>-</v>
      </c>
      <c r="G180" s="3" t="b">
        <f>AND(VALUE(LEFT(표2[[#This Row],[좌표]], FIND(",",표2[[#This Row],[좌표]], 1)-1)) &lt; 100, VALUE(LEFT(표2[[#This Row],[좌표]], FIND(",",표2[[#This Row],[좌표]], 1)-1)) &gt; -1)</f>
        <v>1</v>
      </c>
      <c r="H180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80" s="5">
        <f>COUNTIFS(표2[좌표],표2[[#This Row],[좌표]])</f>
        <v>1</v>
      </c>
      <c r="J180" s="5">
        <f>COUNTIFS(표6[좌표],표2[[#This Row],[좌표]])</f>
        <v>0</v>
      </c>
      <c r="K180" s="5" t="b">
        <f xml:space="preserve"> 표2[[#This Row],[회원]]+표2[[#This Row],[벽]] &lt;= 1</f>
        <v>1</v>
      </c>
    </row>
    <row r="181" spans="1:11" x14ac:dyDescent="0.3">
      <c r="A181" s="3" t="s">
        <v>888</v>
      </c>
      <c r="B181" s="3" t="s">
        <v>889</v>
      </c>
      <c r="C181" s="4" t="s">
        <v>890</v>
      </c>
      <c r="D181" s="3" t="s">
        <v>891</v>
      </c>
      <c r="E181" s="3" t="s">
        <v>892</v>
      </c>
      <c r="F181" s="3" t="str">
        <f>fn등급(표2[[#This Row],[번호]])</f>
        <v>-</v>
      </c>
      <c r="G181" s="3" t="b">
        <f>AND(VALUE(LEFT(표2[[#This Row],[좌표]], FIND(",",표2[[#This Row],[좌표]], 1)-1)) &lt; 100, VALUE(LEFT(표2[[#This Row],[좌표]], FIND(",",표2[[#This Row],[좌표]], 1)-1)) &gt; -1)</f>
        <v>1</v>
      </c>
      <c r="H181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81" s="5">
        <f>COUNTIFS(표2[좌표],표2[[#This Row],[좌표]])</f>
        <v>1</v>
      </c>
      <c r="J181" s="5">
        <f>COUNTIFS(표6[좌표],표2[[#This Row],[좌표]])</f>
        <v>0</v>
      </c>
      <c r="K181" s="5" t="b">
        <f xml:space="preserve"> 표2[[#This Row],[회원]]+표2[[#This Row],[벽]] &lt;= 1</f>
        <v>1</v>
      </c>
    </row>
    <row r="182" spans="1:11" x14ac:dyDescent="0.3">
      <c r="A182" s="3" t="s">
        <v>893</v>
      </c>
      <c r="B182" s="3" t="s">
        <v>894</v>
      </c>
      <c r="C182" s="4" t="s">
        <v>895</v>
      </c>
      <c r="D182" s="3" t="s">
        <v>896</v>
      </c>
      <c r="E182" s="3" t="s">
        <v>897</v>
      </c>
      <c r="F182" s="3" t="str">
        <f>fn등급(표2[[#This Row],[번호]])</f>
        <v>-</v>
      </c>
      <c r="G182" s="3" t="b">
        <f>AND(VALUE(LEFT(표2[[#This Row],[좌표]], FIND(",",표2[[#This Row],[좌표]], 1)-1)) &lt; 100, VALUE(LEFT(표2[[#This Row],[좌표]], FIND(",",표2[[#This Row],[좌표]], 1)-1)) &gt; -1)</f>
        <v>1</v>
      </c>
      <c r="H182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82" s="5">
        <f>COUNTIFS(표2[좌표],표2[[#This Row],[좌표]])</f>
        <v>1</v>
      </c>
      <c r="J182" s="5">
        <f>COUNTIFS(표6[좌표],표2[[#This Row],[좌표]])</f>
        <v>0</v>
      </c>
      <c r="K182" s="5" t="b">
        <f xml:space="preserve"> 표2[[#This Row],[회원]]+표2[[#This Row],[벽]] &lt;= 1</f>
        <v>1</v>
      </c>
    </row>
    <row r="183" spans="1:11" x14ac:dyDescent="0.3">
      <c r="A183" s="3" t="s">
        <v>898</v>
      </c>
      <c r="B183" s="3" t="s">
        <v>899</v>
      </c>
      <c r="C183" s="4" t="s">
        <v>900</v>
      </c>
      <c r="D183" s="3" t="s">
        <v>901</v>
      </c>
      <c r="E183" s="3" t="s">
        <v>902</v>
      </c>
      <c r="F183" s="3" t="str">
        <f>fn등급(표2[[#This Row],[번호]])</f>
        <v>-</v>
      </c>
      <c r="G183" s="3" t="b">
        <f>AND(VALUE(LEFT(표2[[#This Row],[좌표]], FIND(",",표2[[#This Row],[좌표]], 1)-1)) &lt; 100, VALUE(LEFT(표2[[#This Row],[좌표]], FIND(",",표2[[#This Row],[좌표]], 1)-1)) &gt; -1)</f>
        <v>1</v>
      </c>
      <c r="H183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83" s="5">
        <f>COUNTIFS(표2[좌표],표2[[#This Row],[좌표]])</f>
        <v>1</v>
      </c>
      <c r="J183" s="5">
        <f>COUNTIFS(표6[좌표],표2[[#This Row],[좌표]])</f>
        <v>0</v>
      </c>
      <c r="K183" s="5" t="b">
        <f xml:space="preserve"> 표2[[#This Row],[회원]]+표2[[#This Row],[벽]] &lt;= 1</f>
        <v>1</v>
      </c>
    </row>
    <row r="184" spans="1:11" x14ac:dyDescent="0.3">
      <c r="A184" s="3" t="s">
        <v>903</v>
      </c>
      <c r="B184" s="3" t="s">
        <v>904</v>
      </c>
      <c r="C184" s="4" t="s">
        <v>905</v>
      </c>
      <c r="D184" s="3" t="s">
        <v>906</v>
      </c>
      <c r="E184" s="3" t="s">
        <v>907</v>
      </c>
      <c r="F184" s="3" t="str">
        <f>fn등급(표2[[#This Row],[번호]])</f>
        <v>맛집</v>
      </c>
      <c r="G184" s="3" t="b">
        <f>AND(VALUE(LEFT(표2[[#This Row],[좌표]], FIND(",",표2[[#This Row],[좌표]], 1)-1)) &lt; 100, VALUE(LEFT(표2[[#This Row],[좌표]], FIND(",",표2[[#This Row],[좌표]], 1)-1)) &gt; -1)</f>
        <v>1</v>
      </c>
      <c r="H184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84" s="5">
        <f>COUNTIFS(표2[좌표],표2[[#This Row],[좌표]])</f>
        <v>1</v>
      </c>
      <c r="J184" s="5">
        <f>COUNTIFS(표6[좌표],표2[[#This Row],[좌표]])</f>
        <v>0</v>
      </c>
      <c r="K184" s="5" t="b">
        <f xml:space="preserve"> 표2[[#This Row],[회원]]+표2[[#This Row],[벽]] &lt;= 1</f>
        <v>1</v>
      </c>
    </row>
    <row r="185" spans="1:11" x14ac:dyDescent="0.3">
      <c r="A185" s="3" t="s">
        <v>908</v>
      </c>
      <c r="B185" s="3" t="s">
        <v>909</v>
      </c>
      <c r="C185" s="4" t="s">
        <v>910</v>
      </c>
      <c r="D185" s="3" t="s">
        <v>911</v>
      </c>
      <c r="E185" s="3" t="s">
        <v>912</v>
      </c>
      <c r="F185" s="3" t="str">
        <f>fn등급(표2[[#This Row],[번호]])</f>
        <v>-</v>
      </c>
      <c r="G185" s="3" t="b">
        <f>AND(VALUE(LEFT(표2[[#This Row],[좌표]], FIND(",",표2[[#This Row],[좌표]], 1)-1)) &lt; 100, VALUE(LEFT(표2[[#This Row],[좌표]], FIND(",",표2[[#This Row],[좌표]], 1)-1)) &gt; -1)</f>
        <v>1</v>
      </c>
      <c r="H185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85" s="5">
        <f>COUNTIFS(표2[좌표],표2[[#This Row],[좌표]])</f>
        <v>1</v>
      </c>
      <c r="J185" s="5">
        <f>COUNTIFS(표6[좌표],표2[[#This Row],[좌표]])</f>
        <v>0</v>
      </c>
      <c r="K185" s="5" t="b">
        <f xml:space="preserve"> 표2[[#This Row],[회원]]+표2[[#This Row],[벽]] &lt;= 1</f>
        <v>1</v>
      </c>
    </row>
    <row r="186" spans="1:11" x14ac:dyDescent="0.3">
      <c r="A186" s="3" t="s">
        <v>913</v>
      </c>
      <c r="B186" s="3" t="s">
        <v>914</v>
      </c>
      <c r="C186" s="4" t="s">
        <v>915</v>
      </c>
      <c r="D186" s="3" t="s">
        <v>916</v>
      </c>
      <c r="E186" s="3" t="s">
        <v>917</v>
      </c>
      <c r="F186" s="3" t="str">
        <f>fn등급(표2[[#This Row],[번호]])</f>
        <v>맛집</v>
      </c>
      <c r="G186" s="3" t="b">
        <f>AND(VALUE(LEFT(표2[[#This Row],[좌표]], FIND(",",표2[[#This Row],[좌표]], 1)-1)) &lt; 100, VALUE(LEFT(표2[[#This Row],[좌표]], FIND(",",표2[[#This Row],[좌표]], 1)-1)) &gt; -1)</f>
        <v>1</v>
      </c>
      <c r="H186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86" s="5">
        <f>COUNTIFS(표2[좌표],표2[[#This Row],[좌표]])</f>
        <v>1</v>
      </c>
      <c r="J186" s="5">
        <f>COUNTIFS(표6[좌표],표2[[#This Row],[좌표]])</f>
        <v>0</v>
      </c>
      <c r="K186" s="5" t="b">
        <f xml:space="preserve"> 표2[[#This Row],[회원]]+표2[[#This Row],[벽]] &lt;= 1</f>
        <v>1</v>
      </c>
    </row>
    <row r="187" spans="1:11" x14ac:dyDescent="0.3">
      <c r="A187" s="3" t="s">
        <v>918</v>
      </c>
      <c r="B187" s="3" t="s">
        <v>919</v>
      </c>
      <c r="C187" s="4" t="s">
        <v>920</v>
      </c>
      <c r="D187" s="3" t="s">
        <v>921</v>
      </c>
      <c r="E187" s="3" t="s">
        <v>922</v>
      </c>
      <c r="F187" s="3" t="str">
        <f>fn등급(표2[[#This Row],[번호]])</f>
        <v>-</v>
      </c>
      <c r="G187" s="3" t="b">
        <f>AND(VALUE(LEFT(표2[[#This Row],[좌표]], FIND(",",표2[[#This Row],[좌표]], 1)-1)) &lt; 100, VALUE(LEFT(표2[[#This Row],[좌표]], FIND(",",표2[[#This Row],[좌표]], 1)-1)) &gt; -1)</f>
        <v>1</v>
      </c>
      <c r="H187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87" s="5">
        <f>COUNTIFS(표2[좌표],표2[[#This Row],[좌표]])</f>
        <v>1</v>
      </c>
      <c r="J187" s="5">
        <f>COUNTIFS(표6[좌표],표2[[#This Row],[좌표]])</f>
        <v>0</v>
      </c>
      <c r="K187" s="5" t="b">
        <f xml:space="preserve"> 표2[[#This Row],[회원]]+표2[[#This Row],[벽]] &lt;= 1</f>
        <v>1</v>
      </c>
    </row>
    <row r="188" spans="1:11" x14ac:dyDescent="0.3">
      <c r="A188" s="3" t="s">
        <v>923</v>
      </c>
      <c r="B188" s="3" t="s">
        <v>924</v>
      </c>
      <c r="C188" s="4" t="s">
        <v>925</v>
      </c>
      <c r="D188" s="3" t="s">
        <v>926</v>
      </c>
      <c r="E188" s="3" t="s">
        <v>927</v>
      </c>
      <c r="F188" s="3" t="str">
        <f>fn등급(표2[[#This Row],[번호]])</f>
        <v>-</v>
      </c>
      <c r="G188" s="3" t="b">
        <f>AND(VALUE(LEFT(표2[[#This Row],[좌표]], FIND(",",표2[[#This Row],[좌표]], 1)-1)) &lt; 100, VALUE(LEFT(표2[[#This Row],[좌표]], FIND(",",표2[[#This Row],[좌표]], 1)-1)) &gt; -1)</f>
        <v>1</v>
      </c>
      <c r="H188" s="3" t="b">
        <f>AND(VALUE(RIGHT(표2[[#This Row],[좌표]], LEN(표2[[#This Row],[좌표]]) - FIND(",",표2[[#This Row],[좌표]],1))) &lt;100, VALUE(RIGHT(표2[[#This Row],[좌표]], LEN(표2[[#This Row],[좌표]]) - FIND(",",표2[[#This Row],[좌표]],1)))&gt;-1)</f>
        <v>1</v>
      </c>
      <c r="I188" s="5">
        <f>COUNTIFS(표2[좌표],표2[[#This Row],[좌표]])</f>
        <v>1</v>
      </c>
      <c r="J188" s="5">
        <f>COUNTIFS(표6[좌표],표2[[#This Row],[좌표]])</f>
        <v>0</v>
      </c>
      <c r="K188" s="5" t="b">
        <f xml:space="preserve"> 표2[[#This Row],[회원]]+표2[[#This Row],[벽]] &lt;= 1</f>
        <v>1</v>
      </c>
    </row>
    <row r="189" spans="1:11" x14ac:dyDescent="0.3">
      <c r="C189" s="4"/>
      <c r="F189" s="5"/>
      <c r="G189" s="5"/>
      <c r="H189" s="5"/>
      <c r="I189" s="5"/>
      <c r="J189" s="5"/>
    </row>
    <row r="190" spans="1:11" x14ac:dyDescent="0.3">
      <c r="C190" s="4"/>
    </row>
    <row r="191" spans="1:11" x14ac:dyDescent="0.3">
      <c r="C191" s="4"/>
    </row>
    <row r="192" spans="1:11" x14ac:dyDescent="0.3">
      <c r="C192" s="4"/>
    </row>
    <row r="193" spans="3:3" x14ac:dyDescent="0.3">
      <c r="C193" s="4"/>
    </row>
    <row r="194" spans="3:3" x14ac:dyDescent="0.3">
      <c r="C194" s="4"/>
    </row>
    <row r="195" spans="3:3" x14ac:dyDescent="0.3">
      <c r="C195" s="4"/>
    </row>
    <row r="196" spans="3:3" x14ac:dyDescent="0.3">
      <c r="C196" s="4"/>
    </row>
    <row r="197" spans="3:3" x14ac:dyDescent="0.3">
      <c r="C197" s="4"/>
    </row>
    <row r="198" spans="3:3" x14ac:dyDescent="0.3">
      <c r="C198" s="4"/>
    </row>
    <row r="199" spans="3:3" x14ac:dyDescent="0.3">
      <c r="C199" s="4"/>
    </row>
    <row r="200" spans="3:3" x14ac:dyDescent="0.3">
      <c r="C200" s="4"/>
    </row>
    <row r="201" spans="3:3" x14ac:dyDescent="0.3">
      <c r="C201" s="4"/>
    </row>
    <row r="202" spans="3:3" x14ac:dyDescent="0.3">
      <c r="C202" s="4"/>
    </row>
    <row r="203" spans="3:3" x14ac:dyDescent="0.3">
      <c r="C203" s="4"/>
    </row>
    <row r="204" spans="3:3" x14ac:dyDescent="0.3">
      <c r="C204" s="4"/>
    </row>
    <row r="205" spans="3:3" x14ac:dyDescent="0.3">
      <c r="C205" s="4"/>
    </row>
    <row r="206" spans="3:3" x14ac:dyDescent="0.3">
      <c r="C206" s="4"/>
    </row>
    <row r="207" spans="3:3" x14ac:dyDescent="0.3">
      <c r="C207" s="4"/>
    </row>
    <row r="208" spans="3:3" x14ac:dyDescent="0.3">
      <c r="C208" s="4"/>
    </row>
    <row r="209" spans="3:3" x14ac:dyDescent="0.3">
      <c r="C209" s="4"/>
    </row>
    <row r="210" spans="3:3" x14ac:dyDescent="0.3">
      <c r="C210" s="4"/>
    </row>
    <row r="211" spans="3:3" x14ac:dyDescent="0.3">
      <c r="C211" s="4"/>
    </row>
    <row r="212" spans="3:3" x14ac:dyDescent="0.3">
      <c r="C212" s="4"/>
    </row>
    <row r="213" spans="3:3" x14ac:dyDescent="0.3">
      <c r="C213" s="4"/>
    </row>
    <row r="214" spans="3:3" x14ac:dyDescent="0.3">
      <c r="C214" s="4"/>
    </row>
    <row r="215" spans="3:3" x14ac:dyDescent="0.3">
      <c r="C215" s="4"/>
    </row>
    <row r="216" spans="3:3" x14ac:dyDescent="0.3">
      <c r="C216" s="4"/>
    </row>
    <row r="217" spans="3:3" x14ac:dyDescent="0.3">
      <c r="C217" s="4"/>
    </row>
    <row r="218" spans="3:3" x14ac:dyDescent="0.3">
      <c r="C218" s="4"/>
    </row>
    <row r="219" spans="3:3" x14ac:dyDescent="0.3">
      <c r="C219" s="4"/>
    </row>
    <row r="220" spans="3:3" x14ac:dyDescent="0.3">
      <c r="C220" s="4"/>
    </row>
    <row r="221" spans="3:3" x14ac:dyDescent="0.3">
      <c r="C221" s="4"/>
    </row>
    <row r="222" spans="3:3" x14ac:dyDescent="0.3">
      <c r="C222" s="4"/>
    </row>
    <row r="223" spans="3:3" x14ac:dyDescent="0.3">
      <c r="C223" s="4"/>
    </row>
    <row r="224" spans="3:3" x14ac:dyDescent="0.3">
      <c r="C224" s="4"/>
    </row>
    <row r="225" spans="3:3" x14ac:dyDescent="0.3">
      <c r="C225" s="4"/>
    </row>
    <row r="226" spans="3:3" x14ac:dyDescent="0.3">
      <c r="C226" s="4"/>
    </row>
    <row r="227" spans="3:3" x14ac:dyDescent="0.3">
      <c r="C227" s="4"/>
    </row>
    <row r="228" spans="3:3" x14ac:dyDescent="0.3">
      <c r="C228" s="4"/>
    </row>
    <row r="229" spans="3:3" x14ac:dyDescent="0.3">
      <c r="C229" s="4"/>
    </row>
    <row r="230" spans="3:3" x14ac:dyDescent="0.3">
      <c r="C230" s="4"/>
    </row>
    <row r="231" spans="3:3" x14ac:dyDescent="0.3">
      <c r="C231" s="4"/>
    </row>
    <row r="232" spans="3:3" x14ac:dyDescent="0.3">
      <c r="C232" s="4"/>
    </row>
    <row r="233" spans="3:3" x14ac:dyDescent="0.3">
      <c r="C233" s="4"/>
    </row>
    <row r="234" spans="3:3" x14ac:dyDescent="0.3">
      <c r="C234" s="4"/>
    </row>
    <row r="235" spans="3:3" x14ac:dyDescent="0.3">
      <c r="C235" s="4"/>
    </row>
    <row r="236" spans="3:3" x14ac:dyDescent="0.3">
      <c r="C236" s="4"/>
    </row>
    <row r="237" spans="3:3" x14ac:dyDescent="0.3">
      <c r="C237" s="4"/>
    </row>
    <row r="238" spans="3:3" x14ac:dyDescent="0.3">
      <c r="C238" s="4"/>
    </row>
    <row r="239" spans="3:3" x14ac:dyDescent="0.3">
      <c r="C239" s="4"/>
    </row>
    <row r="240" spans="3:3" x14ac:dyDescent="0.3">
      <c r="C240" s="4"/>
    </row>
    <row r="241" spans="3:3" x14ac:dyDescent="0.3">
      <c r="C241" s="4"/>
    </row>
    <row r="242" spans="3:3" x14ac:dyDescent="0.3">
      <c r="C242" s="4"/>
    </row>
    <row r="243" spans="3:3" x14ac:dyDescent="0.3">
      <c r="C243" s="4"/>
    </row>
    <row r="244" spans="3:3" x14ac:dyDescent="0.3">
      <c r="C244" s="4"/>
    </row>
    <row r="245" spans="3:3" x14ac:dyDescent="0.3">
      <c r="C245" s="4"/>
    </row>
    <row r="246" spans="3:3" x14ac:dyDescent="0.3">
      <c r="C246" s="4"/>
    </row>
    <row r="247" spans="3:3" x14ac:dyDescent="0.3">
      <c r="C247" s="4"/>
    </row>
    <row r="248" spans="3:3" x14ac:dyDescent="0.3">
      <c r="C248" s="4"/>
    </row>
    <row r="249" spans="3:3" x14ac:dyDescent="0.3">
      <c r="C249" s="4"/>
    </row>
    <row r="250" spans="3:3" x14ac:dyDescent="0.3">
      <c r="C250" s="4"/>
    </row>
    <row r="251" spans="3:3" x14ac:dyDescent="0.3">
      <c r="C251" s="4"/>
    </row>
    <row r="252" spans="3:3" x14ac:dyDescent="0.3">
      <c r="C252" s="4"/>
    </row>
    <row r="253" spans="3:3" x14ac:dyDescent="0.3">
      <c r="C253" s="4"/>
    </row>
    <row r="254" spans="3:3" x14ac:dyDescent="0.3">
      <c r="C254" s="4"/>
    </row>
    <row r="255" spans="3:3" x14ac:dyDescent="0.3">
      <c r="C255" s="4"/>
    </row>
    <row r="256" spans="3:3" x14ac:dyDescent="0.3">
      <c r="C256" s="4"/>
    </row>
    <row r="257" spans="3:3" x14ac:dyDescent="0.3">
      <c r="C257" s="4"/>
    </row>
    <row r="258" spans="3:3" x14ac:dyDescent="0.3">
      <c r="C258" s="4"/>
    </row>
    <row r="259" spans="3:3" x14ac:dyDescent="0.3">
      <c r="C259" s="4"/>
    </row>
    <row r="260" spans="3:3" x14ac:dyDescent="0.3">
      <c r="C260" s="4"/>
    </row>
    <row r="261" spans="3:3" x14ac:dyDescent="0.3">
      <c r="C261" s="4"/>
    </row>
    <row r="262" spans="3:3" x14ac:dyDescent="0.3">
      <c r="C262" s="4"/>
    </row>
    <row r="263" spans="3:3" x14ac:dyDescent="0.3">
      <c r="C263" s="4"/>
    </row>
    <row r="264" spans="3:3" x14ac:dyDescent="0.3">
      <c r="C264" s="4"/>
    </row>
    <row r="265" spans="3:3" x14ac:dyDescent="0.3">
      <c r="C265" s="4"/>
    </row>
    <row r="266" spans="3:3" x14ac:dyDescent="0.3">
      <c r="C266" s="4"/>
    </row>
    <row r="267" spans="3:3" x14ac:dyDescent="0.3">
      <c r="C267" s="4"/>
    </row>
    <row r="268" spans="3:3" x14ac:dyDescent="0.3">
      <c r="C268" s="4"/>
    </row>
    <row r="269" spans="3:3" x14ac:dyDescent="0.3">
      <c r="C269" s="4"/>
    </row>
    <row r="270" spans="3:3" x14ac:dyDescent="0.3">
      <c r="C270" s="4"/>
    </row>
    <row r="271" spans="3:3" x14ac:dyDescent="0.3">
      <c r="C271" s="4"/>
    </row>
    <row r="272" spans="3:3" x14ac:dyDescent="0.3">
      <c r="C272" s="4"/>
    </row>
    <row r="273" spans="3:3" x14ac:dyDescent="0.3">
      <c r="C273" s="4"/>
    </row>
    <row r="274" spans="3:3" x14ac:dyDescent="0.3">
      <c r="C274" s="4"/>
    </row>
    <row r="275" spans="3:3" x14ac:dyDescent="0.3">
      <c r="C275" s="4"/>
    </row>
    <row r="276" spans="3:3" x14ac:dyDescent="0.3">
      <c r="C276" s="4"/>
    </row>
    <row r="277" spans="3:3" x14ac:dyDescent="0.3">
      <c r="C277" s="4"/>
    </row>
    <row r="278" spans="3:3" x14ac:dyDescent="0.3">
      <c r="C278" s="4"/>
    </row>
    <row r="279" spans="3:3" x14ac:dyDescent="0.3">
      <c r="C279" s="4"/>
    </row>
    <row r="280" spans="3:3" x14ac:dyDescent="0.3">
      <c r="C280" s="4"/>
    </row>
    <row r="281" spans="3:3" x14ac:dyDescent="0.3">
      <c r="C281" s="4"/>
    </row>
    <row r="282" spans="3:3" x14ac:dyDescent="0.3">
      <c r="C282" s="4"/>
    </row>
    <row r="283" spans="3:3" x14ac:dyDescent="0.3">
      <c r="C283" s="4"/>
    </row>
    <row r="284" spans="3:3" x14ac:dyDescent="0.3">
      <c r="C284" s="4"/>
    </row>
    <row r="285" spans="3:3" x14ac:dyDescent="0.3">
      <c r="C285" s="4"/>
    </row>
    <row r="286" spans="3:3" x14ac:dyDescent="0.3">
      <c r="C286" s="4"/>
    </row>
    <row r="287" spans="3:3" x14ac:dyDescent="0.3">
      <c r="C287" s="4"/>
    </row>
    <row r="288" spans="3:3" x14ac:dyDescent="0.3">
      <c r="C288" s="4"/>
    </row>
    <row r="289" spans="3:3" x14ac:dyDescent="0.3">
      <c r="C289" s="4"/>
    </row>
    <row r="290" spans="3:3" x14ac:dyDescent="0.3">
      <c r="C290" s="4"/>
    </row>
    <row r="291" spans="3:3" x14ac:dyDescent="0.3">
      <c r="C291" s="4"/>
    </row>
    <row r="292" spans="3:3" x14ac:dyDescent="0.3">
      <c r="C292" s="4"/>
    </row>
    <row r="293" spans="3:3" x14ac:dyDescent="0.3">
      <c r="C293" s="4"/>
    </row>
    <row r="294" spans="3:3" x14ac:dyDescent="0.3">
      <c r="C294" s="4"/>
    </row>
    <row r="295" spans="3:3" x14ac:dyDescent="0.3">
      <c r="C295" s="4"/>
    </row>
    <row r="296" spans="3:3" x14ac:dyDescent="0.3">
      <c r="C296" s="4"/>
    </row>
    <row r="297" spans="3:3" x14ac:dyDescent="0.3">
      <c r="C297" s="4"/>
    </row>
    <row r="298" spans="3:3" x14ac:dyDescent="0.3">
      <c r="C298" s="4"/>
    </row>
    <row r="299" spans="3:3" x14ac:dyDescent="0.3">
      <c r="C299" s="4"/>
    </row>
    <row r="300" spans="3:3" x14ac:dyDescent="0.3">
      <c r="C300" s="4"/>
    </row>
    <row r="301" spans="3:3" x14ac:dyDescent="0.3">
      <c r="C301" s="4"/>
    </row>
    <row r="302" spans="3:3" x14ac:dyDescent="0.3">
      <c r="C302" s="4"/>
    </row>
    <row r="303" spans="3:3" x14ac:dyDescent="0.3">
      <c r="C303" s="4"/>
    </row>
    <row r="304" spans="3:3" x14ac:dyDescent="0.3">
      <c r="C304" s="4"/>
    </row>
    <row r="305" spans="3:3" x14ac:dyDescent="0.3">
      <c r="C305" s="4"/>
    </row>
    <row r="306" spans="3:3" x14ac:dyDescent="0.3">
      <c r="C306" s="4"/>
    </row>
    <row r="307" spans="3:3" x14ac:dyDescent="0.3">
      <c r="C307" s="4"/>
    </row>
    <row r="308" spans="3:3" x14ac:dyDescent="0.3">
      <c r="C308" s="4"/>
    </row>
    <row r="309" spans="3:3" x14ac:dyDescent="0.3">
      <c r="C309" s="4"/>
    </row>
    <row r="310" spans="3:3" x14ac:dyDescent="0.3">
      <c r="C310" s="4"/>
    </row>
    <row r="311" spans="3:3" x14ac:dyDescent="0.3">
      <c r="C311" s="4"/>
    </row>
    <row r="312" spans="3:3" x14ac:dyDescent="0.3">
      <c r="C312" s="4"/>
    </row>
    <row r="313" spans="3:3" x14ac:dyDescent="0.3">
      <c r="C313" s="4"/>
    </row>
    <row r="314" spans="3:3" x14ac:dyDescent="0.3">
      <c r="C314" s="4"/>
    </row>
    <row r="315" spans="3:3" x14ac:dyDescent="0.3">
      <c r="C315" s="4"/>
    </row>
    <row r="316" spans="3:3" x14ac:dyDescent="0.3">
      <c r="C316" s="4"/>
    </row>
    <row r="317" spans="3:3" x14ac:dyDescent="0.3">
      <c r="C317" s="4"/>
    </row>
    <row r="318" spans="3:3" x14ac:dyDescent="0.3">
      <c r="C318" s="4"/>
    </row>
    <row r="319" spans="3:3" x14ac:dyDescent="0.3">
      <c r="C319" s="4"/>
    </row>
    <row r="320" spans="3:3" x14ac:dyDescent="0.3">
      <c r="C320" s="4"/>
    </row>
    <row r="321" spans="3:3" x14ac:dyDescent="0.3">
      <c r="C321" s="4"/>
    </row>
    <row r="322" spans="3:3" x14ac:dyDescent="0.3">
      <c r="C322" s="4"/>
    </row>
    <row r="323" spans="3:3" x14ac:dyDescent="0.3">
      <c r="C323" s="4"/>
    </row>
    <row r="324" spans="3:3" x14ac:dyDescent="0.3">
      <c r="C324" s="4"/>
    </row>
    <row r="325" spans="3:3" x14ac:dyDescent="0.3">
      <c r="C325" s="4"/>
    </row>
    <row r="326" spans="3:3" x14ac:dyDescent="0.3">
      <c r="C326" s="4"/>
    </row>
    <row r="327" spans="3:3" x14ac:dyDescent="0.3">
      <c r="C327" s="4"/>
    </row>
    <row r="328" spans="3:3" x14ac:dyDescent="0.3">
      <c r="C328" s="4"/>
    </row>
    <row r="329" spans="3:3" x14ac:dyDescent="0.3">
      <c r="C329" s="4"/>
    </row>
    <row r="330" spans="3:3" x14ac:dyDescent="0.3">
      <c r="C330" s="4"/>
    </row>
    <row r="331" spans="3:3" x14ac:dyDescent="0.3">
      <c r="C331" s="4"/>
    </row>
    <row r="332" spans="3:3" x14ac:dyDescent="0.3">
      <c r="C332" s="4"/>
    </row>
    <row r="333" spans="3:3" x14ac:dyDescent="0.3">
      <c r="C333" s="4"/>
    </row>
    <row r="334" spans="3:3" x14ac:dyDescent="0.3">
      <c r="C334" s="4"/>
    </row>
    <row r="335" spans="3:3" x14ac:dyDescent="0.3">
      <c r="C335" s="4"/>
    </row>
    <row r="336" spans="3:3" x14ac:dyDescent="0.3">
      <c r="C336" s="4"/>
    </row>
    <row r="337" spans="3:3" x14ac:dyDescent="0.3">
      <c r="C337" s="4"/>
    </row>
    <row r="338" spans="3:3" x14ac:dyDescent="0.3">
      <c r="C338" s="4"/>
    </row>
    <row r="339" spans="3:3" x14ac:dyDescent="0.3">
      <c r="C339" s="4"/>
    </row>
    <row r="340" spans="3:3" x14ac:dyDescent="0.3">
      <c r="C340" s="4"/>
    </row>
    <row r="341" spans="3:3" x14ac:dyDescent="0.3">
      <c r="C341" s="4"/>
    </row>
    <row r="342" spans="3:3" x14ac:dyDescent="0.3">
      <c r="C342" s="4"/>
    </row>
    <row r="343" spans="3:3" x14ac:dyDescent="0.3">
      <c r="C343" s="4"/>
    </row>
    <row r="344" spans="3:3" x14ac:dyDescent="0.3">
      <c r="C344" s="4"/>
    </row>
    <row r="345" spans="3:3" x14ac:dyDescent="0.3">
      <c r="C345" s="4"/>
    </row>
    <row r="346" spans="3:3" x14ac:dyDescent="0.3">
      <c r="C346" s="4"/>
    </row>
    <row r="347" spans="3:3" x14ac:dyDescent="0.3">
      <c r="C347" s="4"/>
    </row>
    <row r="348" spans="3:3" x14ac:dyDescent="0.3">
      <c r="C348" s="4"/>
    </row>
    <row r="349" spans="3:3" x14ac:dyDescent="0.3">
      <c r="C349" s="4"/>
    </row>
    <row r="350" spans="3:3" x14ac:dyDescent="0.3">
      <c r="C350" s="4"/>
    </row>
    <row r="351" spans="3:3" x14ac:dyDescent="0.3">
      <c r="C351" s="4"/>
    </row>
    <row r="352" spans="3:3" x14ac:dyDescent="0.3">
      <c r="C352" s="4"/>
    </row>
    <row r="353" spans="3:3" x14ac:dyDescent="0.3">
      <c r="C353" s="4"/>
    </row>
    <row r="354" spans="3:3" x14ac:dyDescent="0.3">
      <c r="C354" s="4"/>
    </row>
    <row r="355" spans="3:3" x14ac:dyDescent="0.3">
      <c r="C355" s="4"/>
    </row>
    <row r="356" spans="3:3" x14ac:dyDescent="0.3">
      <c r="C356" s="4"/>
    </row>
    <row r="357" spans="3:3" x14ac:dyDescent="0.3">
      <c r="C357" s="4"/>
    </row>
    <row r="358" spans="3:3" x14ac:dyDescent="0.3">
      <c r="C358" s="4"/>
    </row>
    <row r="359" spans="3:3" x14ac:dyDescent="0.3">
      <c r="C359" s="4"/>
    </row>
    <row r="360" spans="3:3" x14ac:dyDescent="0.3">
      <c r="C360" s="4"/>
    </row>
    <row r="361" spans="3:3" x14ac:dyDescent="0.3">
      <c r="C361" s="4"/>
    </row>
    <row r="362" spans="3:3" x14ac:dyDescent="0.3">
      <c r="C362" s="4"/>
    </row>
    <row r="363" spans="3:3" x14ac:dyDescent="0.3">
      <c r="C363" s="4"/>
    </row>
    <row r="364" spans="3:3" x14ac:dyDescent="0.3">
      <c r="C364" s="4"/>
    </row>
    <row r="365" spans="3:3" x14ac:dyDescent="0.3">
      <c r="C365" s="4"/>
    </row>
    <row r="366" spans="3:3" x14ac:dyDescent="0.3">
      <c r="C366" s="4"/>
    </row>
    <row r="367" spans="3:3" x14ac:dyDescent="0.3">
      <c r="C367" s="4"/>
    </row>
    <row r="368" spans="3:3" x14ac:dyDescent="0.3">
      <c r="C368" s="4"/>
    </row>
    <row r="369" spans="3:3" x14ac:dyDescent="0.3">
      <c r="C369" s="4"/>
    </row>
    <row r="370" spans="3:3" x14ac:dyDescent="0.3">
      <c r="C370" s="4"/>
    </row>
    <row r="371" spans="3:3" x14ac:dyDescent="0.3">
      <c r="C371" s="4"/>
    </row>
    <row r="372" spans="3:3" x14ac:dyDescent="0.3">
      <c r="C372" s="4"/>
    </row>
    <row r="373" spans="3:3" x14ac:dyDescent="0.3">
      <c r="C373" s="4"/>
    </row>
    <row r="374" spans="3:3" x14ac:dyDescent="0.3">
      <c r="C374" s="4"/>
    </row>
    <row r="375" spans="3:3" x14ac:dyDescent="0.3">
      <c r="C375" s="4"/>
    </row>
    <row r="376" spans="3:3" x14ac:dyDescent="0.3">
      <c r="C376" s="4"/>
    </row>
    <row r="377" spans="3:3" x14ac:dyDescent="0.3">
      <c r="C377" s="4"/>
    </row>
    <row r="378" spans="3:3" x14ac:dyDescent="0.3">
      <c r="C378" s="4"/>
    </row>
    <row r="379" spans="3:3" x14ac:dyDescent="0.3">
      <c r="C379" s="4"/>
    </row>
    <row r="380" spans="3:3" x14ac:dyDescent="0.3">
      <c r="C380" s="4"/>
    </row>
    <row r="381" spans="3:3" x14ac:dyDescent="0.3">
      <c r="C381" s="4"/>
    </row>
    <row r="382" spans="3:3" x14ac:dyDescent="0.3">
      <c r="C382" s="4"/>
    </row>
    <row r="383" spans="3:3" x14ac:dyDescent="0.3">
      <c r="C383" s="4"/>
    </row>
    <row r="384" spans="3:3" x14ac:dyDescent="0.3">
      <c r="C384" s="4"/>
    </row>
    <row r="385" spans="3:3" x14ac:dyDescent="0.3">
      <c r="C385" s="4"/>
    </row>
    <row r="386" spans="3:3" x14ac:dyDescent="0.3">
      <c r="C386" s="4"/>
    </row>
    <row r="387" spans="3:3" x14ac:dyDescent="0.3">
      <c r="C387" s="4"/>
    </row>
    <row r="388" spans="3:3" x14ac:dyDescent="0.3">
      <c r="C388" s="4"/>
    </row>
    <row r="389" spans="3:3" x14ac:dyDescent="0.3">
      <c r="C389" s="4"/>
    </row>
    <row r="390" spans="3:3" x14ac:dyDescent="0.3">
      <c r="C390" s="4"/>
    </row>
    <row r="391" spans="3:3" x14ac:dyDescent="0.3">
      <c r="C391" s="4"/>
    </row>
    <row r="392" spans="3:3" x14ac:dyDescent="0.3">
      <c r="C392" s="4"/>
    </row>
    <row r="393" spans="3:3" x14ac:dyDescent="0.3">
      <c r="C393" s="4"/>
    </row>
    <row r="394" spans="3:3" x14ac:dyDescent="0.3">
      <c r="C394" s="4"/>
    </row>
    <row r="395" spans="3:3" x14ac:dyDescent="0.3">
      <c r="C395" s="4"/>
    </row>
    <row r="396" spans="3:3" x14ac:dyDescent="0.3">
      <c r="C396" s="4"/>
    </row>
    <row r="397" spans="3:3" x14ac:dyDescent="0.3">
      <c r="C397" s="4"/>
    </row>
    <row r="398" spans="3:3" x14ac:dyDescent="0.3">
      <c r="C398" s="4"/>
    </row>
    <row r="399" spans="3:3" x14ac:dyDescent="0.3">
      <c r="C399" s="4"/>
    </row>
    <row r="400" spans="3:3" x14ac:dyDescent="0.3">
      <c r="C400" s="4"/>
    </row>
    <row r="401" spans="3:3" x14ac:dyDescent="0.3">
      <c r="C401" s="4"/>
    </row>
    <row r="402" spans="3:3" x14ac:dyDescent="0.3">
      <c r="C402" s="4"/>
    </row>
    <row r="403" spans="3:3" x14ac:dyDescent="0.3">
      <c r="C403" s="4"/>
    </row>
    <row r="404" spans="3:3" x14ac:dyDescent="0.3">
      <c r="C404" s="4"/>
    </row>
    <row r="405" spans="3:3" x14ac:dyDescent="0.3">
      <c r="C405" s="4"/>
    </row>
    <row r="406" spans="3:3" x14ac:dyDescent="0.3">
      <c r="C406" s="4"/>
    </row>
    <row r="407" spans="3:3" x14ac:dyDescent="0.3">
      <c r="C407" s="4"/>
    </row>
    <row r="408" spans="3:3" x14ac:dyDescent="0.3">
      <c r="C408" s="4"/>
    </row>
    <row r="409" spans="3:3" x14ac:dyDescent="0.3">
      <c r="C409" s="4"/>
    </row>
    <row r="410" spans="3:3" x14ac:dyDescent="0.3">
      <c r="C410" s="4"/>
    </row>
    <row r="411" spans="3:3" x14ac:dyDescent="0.3">
      <c r="C411" s="4"/>
    </row>
    <row r="412" spans="3:3" x14ac:dyDescent="0.3">
      <c r="C412" s="4"/>
    </row>
    <row r="413" spans="3:3" x14ac:dyDescent="0.3">
      <c r="C413" s="4"/>
    </row>
    <row r="414" spans="3:3" x14ac:dyDescent="0.3">
      <c r="C414" s="4"/>
    </row>
    <row r="415" spans="3:3" x14ac:dyDescent="0.3">
      <c r="C415" s="4"/>
    </row>
    <row r="416" spans="3:3" x14ac:dyDescent="0.3">
      <c r="C416" s="4"/>
    </row>
    <row r="417" spans="3:3" x14ac:dyDescent="0.3">
      <c r="C417" s="4"/>
    </row>
    <row r="418" spans="3:3" x14ac:dyDescent="0.3">
      <c r="C418" s="4"/>
    </row>
    <row r="419" spans="3:3" x14ac:dyDescent="0.3">
      <c r="C419" s="4"/>
    </row>
    <row r="420" spans="3:3" x14ac:dyDescent="0.3">
      <c r="C420" s="4"/>
    </row>
    <row r="421" spans="3:3" x14ac:dyDescent="0.3">
      <c r="C421" s="4"/>
    </row>
    <row r="422" spans="3:3" x14ac:dyDescent="0.3">
      <c r="C422" s="4"/>
    </row>
    <row r="423" spans="3:3" x14ac:dyDescent="0.3">
      <c r="C423" s="4"/>
    </row>
    <row r="424" spans="3:3" x14ac:dyDescent="0.3">
      <c r="C424" s="4"/>
    </row>
    <row r="425" spans="3:3" x14ac:dyDescent="0.3">
      <c r="C425" s="4"/>
    </row>
    <row r="426" spans="3:3" x14ac:dyDescent="0.3">
      <c r="C426" s="4"/>
    </row>
    <row r="427" spans="3:3" x14ac:dyDescent="0.3">
      <c r="C427" s="4"/>
    </row>
    <row r="428" spans="3:3" x14ac:dyDescent="0.3">
      <c r="C428" s="4"/>
    </row>
    <row r="429" spans="3:3" x14ac:dyDescent="0.3">
      <c r="C429" s="4"/>
    </row>
    <row r="430" spans="3:3" x14ac:dyDescent="0.3">
      <c r="C430" s="4"/>
    </row>
    <row r="431" spans="3:3" x14ac:dyDescent="0.3">
      <c r="C431" s="4"/>
    </row>
    <row r="432" spans="3:3" x14ac:dyDescent="0.3">
      <c r="C432" s="4"/>
    </row>
    <row r="433" spans="3:3" x14ac:dyDescent="0.3">
      <c r="C433" s="4"/>
    </row>
    <row r="434" spans="3:3" x14ac:dyDescent="0.3">
      <c r="C434" s="4"/>
    </row>
    <row r="435" spans="3:3" x14ac:dyDescent="0.3">
      <c r="C435" s="4"/>
    </row>
    <row r="436" spans="3:3" x14ac:dyDescent="0.3">
      <c r="C436" s="4"/>
    </row>
    <row r="437" spans="3:3" x14ac:dyDescent="0.3">
      <c r="C437" s="4"/>
    </row>
    <row r="438" spans="3:3" x14ac:dyDescent="0.3">
      <c r="C438" s="4"/>
    </row>
    <row r="439" spans="3:3" x14ac:dyDescent="0.3">
      <c r="C439" s="4"/>
    </row>
    <row r="440" spans="3:3" x14ac:dyDescent="0.3">
      <c r="C440" s="4"/>
    </row>
    <row r="441" spans="3:3" x14ac:dyDescent="0.3">
      <c r="C441" s="4"/>
    </row>
    <row r="442" spans="3:3" x14ac:dyDescent="0.3">
      <c r="C442" s="4"/>
    </row>
    <row r="443" spans="3:3" x14ac:dyDescent="0.3">
      <c r="C443" s="4"/>
    </row>
    <row r="444" spans="3:3" x14ac:dyDescent="0.3">
      <c r="C444" s="4"/>
    </row>
    <row r="445" spans="3:3" x14ac:dyDescent="0.3">
      <c r="C445" s="4"/>
    </row>
    <row r="446" spans="3:3" x14ac:dyDescent="0.3">
      <c r="C446" s="4"/>
    </row>
    <row r="447" spans="3:3" x14ac:dyDescent="0.3">
      <c r="C447" s="4"/>
    </row>
    <row r="448" spans="3:3" x14ac:dyDescent="0.3">
      <c r="C448" s="4"/>
    </row>
    <row r="449" spans="3:3" x14ac:dyDescent="0.3">
      <c r="C449" s="4"/>
    </row>
    <row r="450" spans="3:3" x14ac:dyDescent="0.3">
      <c r="C450" s="4"/>
    </row>
    <row r="451" spans="3:3" x14ac:dyDescent="0.3">
      <c r="C451" s="4"/>
    </row>
    <row r="452" spans="3:3" x14ac:dyDescent="0.3">
      <c r="C452" s="4"/>
    </row>
    <row r="453" spans="3:3" x14ac:dyDescent="0.3">
      <c r="C453" s="4"/>
    </row>
    <row r="454" spans="3:3" x14ac:dyDescent="0.3">
      <c r="C454" s="4"/>
    </row>
    <row r="455" spans="3:3" x14ac:dyDescent="0.3">
      <c r="C455" s="4"/>
    </row>
    <row r="456" spans="3:3" x14ac:dyDescent="0.3">
      <c r="C456" s="4"/>
    </row>
    <row r="457" spans="3:3" x14ac:dyDescent="0.3">
      <c r="C457" s="4"/>
    </row>
    <row r="458" spans="3:3" x14ac:dyDescent="0.3">
      <c r="C458" s="4"/>
    </row>
    <row r="459" spans="3:3" x14ac:dyDescent="0.3">
      <c r="C459" s="4"/>
    </row>
    <row r="460" spans="3:3" x14ac:dyDescent="0.3">
      <c r="C460" s="4"/>
    </row>
    <row r="461" spans="3:3" x14ac:dyDescent="0.3">
      <c r="C461" s="4"/>
    </row>
    <row r="462" spans="3:3" x14ac:dyDescent="0.3">
      <c r="C462" s="4"/>
    </row>
    <row r="463" spans="3:3" x14ac:dyDescent="0.3">
      <c r="C463" s="4"/>
    </row>
    <row r="464" spans="3:3" x14ac:dyDescent="0.3">
      <c r="C464" s="4"/>
    </row>
    <row r="465" spans="3:3" x14ac:dyDescent="0.3">
      <c r="C465" s="4"/>
    </row>
    <row r="466" spans="3:3" x14ac:dyDescent="0.3">
      <c r="C466" s="4"/>
    </row>
    <row r="467" spans="3:3" x14ac:dyDescent="0.3">
      <c r="C467" s="4"/>
    </row>
    <row r="468" spans="3:3" x14ac:dyDescent="0.3">
      <c r="C468" s="4"/>
    </row>
    <row r="469" spans="3:3" x14ac:dyDescent="0.3">
      <c r="C469" s="4"/>
    </row>
    <row r="470" spans="3:3" x14ac:dyDescent="0.3">
      <c r="C470" s="4"/>
    </row>
    <row r="471" spans="3:3" x14ac:dyDescent="0.3">
      <c r="C471" s="4"/>
    </row>
    <row r="472" spans="3:3" x14ac:dyDescent="0.3">
      <c r="C472" s="4"/>
    </row>
    <row r="473" spans="3:3" x14ac:dyDescent="0.3">
      <c r="C473" s="4"/>
    </row>
    <row r="474" spans="3:3" x14ac:dyDescent="0.3">
      <c r="C474" s="4"/>
    </row>
    <row r="475" spans="3:3" x14ac:dyDescent="0.3">
      <c r="C475" s="4"/>
    </row>
    <row r="476" spans="3:3" x14ac:dyDescent="0.3">
      <c r="C476" s="4"/>
    </row>
    <row r="477" spans="3:3" x14ac:dyDescent="0.3">
      <c r="C477" s="4"/>
    </row>
    <row r="478" spans="3:3" x14ac:dyDescent="0.3">
      <c r="C478" s="4"/>
    </row>
    <row r="479" spans="3:3" x14ac:dyDescent="0.3">
      <c r="C479" s="4"/>
    </row>
    <row r="480" spans="3:3" x14ac:dyDescent="0.3">
      <c r="C480" s="4"/>
    </row>
    <row r="481" spans="3:3" x14ac:dyDescent="0.3">
      <c r="C481" s="4"/>
    </row>
    <row r="482" spans="3:3" x14ac:dyDescent="0.3">
      <c r="C482" s="4"/>
    </row>
    <row r="483" spans="3:3" x14ac:dyDescent="0.3">
      <c r="C483" s="4"/>
    </row>
    <row r="484" spans="3:3" x14ac:dyDescent="0.3">
      <c r="C484" s="4"/>
    </row>
    <row r="485" spans="3:3" x14ac:dyDescent="0.3">
      <c r="C485" s="4"/>
    </row>
    <row r="486" spans="3:3" x14ac:dyDescent="0.3">
      <c r="C486" s="4"/>
    </row>
    <row r="487" spans="3:3" x14ac:dyDescent="0.3">
      <c r="C487" s="4"/>
    </row>
    <row r="488" spans="3:3" x14ac:dyDescent="0.3">
      <c r="C488" s="4"/>
    </row>
    <row r="489" spans="3:3" x14ac:dyDescent="0.3">
      <c r="C489" s="4"/>
    </row>
  </sheetData>
  <phoneticPr fontId="1" type="noConversion"/>
  <dataValidations count="1">
    <dataValidation type="custom" allowBlank="1" showInputMessage="1" showErrorMessage="1" error="아래 조건에 부합하지 않는 항목이 있습니다._x000a_- 이미 등록된 좌표 (회원, 접근금지구역)_x000a_- 0-99의외 숫자 입력_x000a_- ',' 또는 숫자 이외 문자 입력_x000a_- 콤마는 1개만 입력되어야함" sqref="C2:C1048576">
      <formula1>AND($G2, $H2, $K2)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autoPict="0" r:id="rId5">
            <anchor moveWithCells="1">
              <from>
                <xdr:col>12</xdr:col>
                <xdr:colOff>28575</xdr:colOff>
                <xdr:row>0</xdr:row>
                <xdr:rowOff>190500</xdr:rowOff>
              </from>
              <to>
                <xdr:col>14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4098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140"/>
  <sheetViews>
    <sheetView zoomScaleNormal="100" workbookViewId="0">
      <selection activeCell="H5" sqref="H5"/>
    </sheetView>
  </sheetViews>
  <sheetFormatPr defaultRowHeight="16.5" x14ac:dyDescent="0.3"/>
  <cols>
    <col min="1" max="1" width="9" style="3"/>
    <col min="2" max="2" width="10.25" style="3" customWidth="1"/>
    <col min="3" max="3" width="10.875" style="3" customWidth="1"/>
    <col min="4" max="4" width="22" style="17" hidden="1" customWidth="1"/>
    <col min="5" max="6" width="0" style="17" hidden="1" customWidth="1"/>
    <col min="7" max="8" width="9" style="1"/>
    <col min="9" max="16" width="9" style="11"/>
    <col min="17" max="17" width="22" style="11" bestFit="1" customWidth="1"/>
    <col min="18" max="16384" width="9" style="11"/>
  </cols>
  <sheetData>
    <row r="1" spans="1:20" x14ac:dyDescent="0.3">
      <c r="A1" s="2" t="s">
        <v>1</v>
      </c>
      <c r="B1" s="2" t="s">
        <v>928</v>
      </c>
      <c r="C1" s="2" t="s">
        <v>929</v>
      </c>
      <c r="D1" s="15" t="s">
        <v>3629</v>
      </c>
      <c r="E1" s="15" t="s">
        <v>3630</v>
      </c>
      <c r="F1" s="15" t="s">
        <v>3631</v>
      </c>
      <c r="I1" s="11" t="s">
        <v>3631</v>
      </c>
      <c r="J1" s="11" t="s">
        <v>3634</v>
      </c>
      <c r="K1" s="11" t="s">
        <v>3629</v>
      </c>
      <c r="L1" s="11" t="s">
        <v>3632</v>
      </c>
      <c r="M1" s="11" t="s">
        <v>3632</v>
      </c>
      <c r="O1" s="11" t="s">
        <v>3633</v>
      </c>
      <c r="P1" s="11" t="s">
        <v>3634</v>
      </c>
      <c r="Q1" s="11" t="s">
        <v>3629</v>
      </c>
      <c r="R1" s="11" t="s">
        <v>3630</v>
      </c>
      <c r="S1" s="11" t="s">
        <v>3631</v>
      </c>
    </row>
    <row r="2" spans="1:20" x14ac:dyDescent="0.3">
      <c r="A2" s="3" t="s">
        <v>238</v>
      </c>
      <c r="B2" s="3" t="s">
        <v>930</v>
      </c>
      <c r="C2" s="8">
        <f>AVERAGEIF(표8[음식점 번호],표4[[#This Row],[번호]],표8[별점])</f>
        <v>2.8461538461538463</v>
      </c>
      <c r="D2" s="15" t="str">
        <f>VLOOKUP(표4[[#This Row],[번호]],표2[[번호]:[등급]],2,FALSE)</f>
        <v>미가미</v>
      </c>
      <c r="E2" s="15" t="str">
        <f>VLOOKUP(표4[[#This Row],[번호]],표2[[번호]:[등급]],3,FALSE)</f>
        <v>99,99</v>
      </c>
      <c r="F2" s="16" t="str">
        <f>VLOOKUP(표4[[#This Row],[번호]],표2[[번호]:[등급]],6,FALSE)</f>
        <v>-</v>
      </c>
      <c r="J2" s="11" t="s">
        <v>930</v>
      </c>
      <c r="L2" s="11" t="s">
        <v>3635</v>
      </c>
      <c r="M2" s="11" t="s">
        <v>3636</v>
      </c>
      <c r="O2" s="3" t="s">
        <v>238</v>
      </c>
      <c r="P2" s="3" t="s">
        <v>930</v>
      </c>
      <c r="Q2" s="15" t="s">
        <v>239</v>
      </c>
      <c r="R2" s="15" t="s">
        <v>240</v>
      </c>
      <c r="S2" s="16" t="s">
        <v>3637</v>
      </c>
    </row>
    <row r="3" spans="1:20" x14ac:dyDescent="0.3">
      <c r="A3" s="3" t="s">
        <v>243</v>
      </c>
      <c r="B3" s="3" t="s">
        <v>930</v>
      </c>
      <c r="C3" s="8">
        <f>AVERAGEIF(표8[음식점 번호],표4[[#This Row],[번호]],표8[별점])</f>
        <v>3</v>
      </c>
      <c r="D3" s="15" t="str">
        <f>VLOOKUP(표4[[#This Row],[번호]],표2[[번호]:[등급]],2,FALSE)</f>
        <v>이춘복스시</v>
      </c>
      <c r="E3" s="15" t="str">
        <f>VLOOKUP(표4[[#This Row],[번호]],표2[[번호]:[등급]],3,FALSE)</f>
        <v>19,5</v>
      </c>
      <c r="F3" s="16" t="str">
        <f>VLOOKUP(표4[[#This Row],[번호]],표2[[번호]:[등급]],6,FALSE)</f>
        <v>-</v>
      </c>
      <c r="O3" s="3" t="s">
        <v>243</v>
      </c>
      <c r="P3" s="3" t="s">
        <v>930</v>
      </c>
      <c r="Q3" s="15" t="s">
        <v>244</v>
      </c>
      <c r="R3" s="15" t="s">
        <v>245</v>
      </c>
      <c r="S3" s="16" t="s">
        <v>3637</v>
      </c>
    </row>
    <row r="4" spans="1:20" x14ac:dyDescent="0.3">
      <c r="A4" s="3" t="s">
        <v>248</v>
      </c>
      <c r="B4" s="3" t="s">
        <v>931</v>
      </c>
      <c r="C4" s="8">
        <f>AVERAGEIF(표8[음식점 번호],표4[[#This Row],[번호]],표8[별점])</f>
        <v>3.8</v>
      </c>
      <c r="D4" s="15" t="str">
        <f>VLOOKUP(표4[[#This Row],[번호]],표2[[번호]:[등급]],2,FALSE)</f>
        <v>The Park(뷔페식당)</v>
      </c>
      <c r="E4" s="15" t="str">
        <f>VLOOKUP(표4[[#This Row],[번호]],표2[[번호]:[등급]],3,FALSE)</f>
        <v>92,20</v>
      </c>
      <c r="F4" s="16" t="str">
        <f>VLOOKUP(표4[[#This Row],[번호]],표2[[번호]:[등급]],6,FALSE)</f>
        <v>-</v>
      </c>
      <c r="O4" s="3" t="s">
        <v>308</v>
      </c>
      <c r="P4" s="3" t="s">
        <v>930</v>
      </c>
      <c r="Q4" s="15" t="s">
        <v>309</v>
      </c>
      <c r="R4" s="15" t="s">
        <v>310</v>
      </c>
      <c r="S4" s="16" t="s">
        <v>3637</v>
      </c>
    </row>
    <row r="5" spans="1:20" x14ac:dyDescent="0.3">
      <c r="A5" s="3" t="s">
        <v>253</v>
      </c>
      <c r="B5" s="3" t="s">
        <v>932</v>
      </c>
      <c r="C5" s="8">
        <f>AVERAGEIF(표8[음식점 번호],표4[[#This Row],[번호]],표8[별점])</f>
        <v>3</v>
      </c>
      <c r="D5" s="15" t="str">
        <f>VLOOKUP(표4[[#This Row],[번호]],표2[[번호]:[등급]],2,FALSE)</f>
        <v>가나식당</v>
      </c>
      <c r="E5" s="15" t="str">
        <f>VLOOKUP(표4[[#This Row],[번호]],표2[[번호]:[등급]],3,FALSE)</f>
        <v>97,85</v>
      </c>
      <c r="F5" s="16" t="str">
        <f>VLOOKUP(표4[[#This Row],[번호]],표2[[번호]:[등급]],6,FALSE)</f>
        <v>-</v>
      </c>
      <c r="O5" s="3" t="s">
        <v>348</v>
      </c>
      <c r="P5" s="3" t="s">
        <v>930</v>
      </c>
      <c r="Q5" s="15" t="s">
        <v>349</v>
      </c>
      <c r="R5" s="15" t="s">
        <v>350</v>
      </c>
      <c r="S5" s="16" t="s">
        <v>3637</v>
      </c>
    </row>
    <row r="6" spans="1:20" x14ac:dyDescent="0.3">
      <c r="A6" s="3" t="s">
        <v>258</v>
      </c>
      <c r="B6" s="3" t="s">
        <v>933</v>
      </c>
      <c r="C6" s="8">
        <f>AVERAGEIF(표8[음식점 번호],표4[[#This Row],[번호]],표8[별점])</f>
        <v>4</v>
      </c>
      <c r="D6" s="15" t="str">
        <f>VLOOKUP(표4[[#This Row],[번호]],표2[[번호]:[등급]],2,FALSE)</f>
        <v>갈비식당</v>
      </c>
      <c r="E6" s="15" t="str">
        <f>VLOOKUP(표4[[#This Row],[번호]],표2[[번호]:[등급]],3,FALSE)</f>
        <v>15,15</v>
      </c>
      <c r="F6" s="16" t="str">
        <f>VLOOKUP(표4[[#This Row],[번호]],표2[[번호]:[등급]],6,FALSE)</f>
        <v>-</v>
      </c>
      <c r="O6" s="3" t="s">
        <v>353</v>
      </c>
      <c r="P6" s="3" t="s">
        <v>930</v>
      </c>
      <c r="Q6" s="15" t="s">
        <v>354</v>
      </c>
      <c r="R6" s="15" t="s">
        <v>355</v>
      </c>
      <c r="S6" s="16" t="s">
        <v>3637</v>
      </c>
      <c r="T6" s="13"/>
    </row>
    <row r="7" spans="1:20" x14ac:dyDescent="0.3">
      <c r="A7" s="3" t="s">
        <v>263</v>
      </c>
      <c r="B7" s="3" t="s">
        <v>934</v>
      </c>
      <c r="C7" s="8">
        <f>AVERAGEIF(표8[음식점 번호],표4[[#This Row],[번호]],표8[별점])</f>
        <v>4</v>
      </c>
      <c r="D7" s="15" t="str">
        <f>VLOOKUP(표4[[#This Row],[번호]],표2[[번호]:[등급]],2,FALSE)</f>
        <v>강남역 파스타</v>
      </c>
      <c r="E7" s="15" t="str">
        <f>VLOOKUP(표4[[#This Row],[번호]],표2[[번호]:[등급]],3,FALSE)</f>
        <v>0,20</v>
      </c>
      <c r="F7" s="16" t="str">
        <f>VLOOKUP(표4[[#This Row],[번호]],표2[[번호]:[등급]],6,FALSE)</f>
        <v>-</v>
      </c>
      <c r="O7" s="3" t="s">
        <v>373</v>
      </c>
      <c r="P7" s="3" t="s">
        <v>930</v>
      </c>
      <c r="Q7" s="15" t="s">
        <v>374</v>
      </c>
      <c r="R7" s="15" t="s">
        <v>375</v>
      </c>
      <c r="S7" s="16" t="s">
        <v>3637</v>
      </c>
      <c r="T7" s="13"/>
    </row>
    <row r="8" spans="1:20" x14ac:dyDescent="0.3">
      <c r="A8" s="3" t="s">
        <v>268</v>
      </c>
      <c r="B8" s="3" t="s">
        <v>935</v>
      </c>
      <c r="C8" s="8">
        <f>AVERAGEIF(표8[음식점 번호],표4[[#This Row],[번호]],표8[별점])</f>
        <v>4</v>
      </c>
      <c r="D8" s="15" t="str">
        <f>VLOOKUP(표4[[#This Row],[번호]],표2[[번호]:[등급]],2,FALSE)</f>
        <v>강식당</v>
      </c>
      <c r="E8" s="15" t="str">
        <f>VLOOKUP(표4[[#This Row],[번호]],표2[[번호]:[등급]],3,FALSE)</f>
        <v>22,82</v>
      </c>
      <c r="F8" s="16" t="str">
        <f>VLOOKUP(표4[[#This Row],[번호]],표2[[번호]:[등급]],6,FALSE)</f>
        <v>-</v>
      </c>
      <c r="O8" s="3" t="s">
        <v>383</v>
      </c>
      <c r="P8" s="3" t="s">
        <v>930</v>
      </c>
      <c r="Q8" s="15" t="s">
        <v>384</v>
      </c>
      <c r="R8" s="15" t="s">
        <v>385</v>
      </c>
      <c r="S8" s="16" t="s">
        <v>3637</v>
      </c>
      <c r="T8" s="13"/>
    </row>
    <row r="9" spans="1:20" x14ac:dyDescent="0.3">
      <c r="A9" s="3" t="s">
        <v>273</v>
      </c>
      <c r="B9" s="3" t="s">
        <v>936</v>
      </c>
      <c r="C9" s="8">
        <f>AVERAGEIF(표8[음식점 번호],표4[[#This Row],[번호]],표8[별점])</f>
        <v>3</v>
      </c>
      <c r="D9" s="15" t="str">
        <f>VLOOKUP(표4[[#This Row],[번호]],표2[[번호]:[등급]],2,FALSE)</f>
        <v>거만한식당</v>
      </c>
      <c r="E9" s="15" t="str">
        <f>VLOOKUP(표4[[#This Row],[번호]],표2[[번호]:[등급]],3,FALSE)</f>
        <v>68,69</v>
      </c>
      <c r="F9" s="16" t="str">
        <f>VLOOKUP(표4[[#This Row],[번호]],표2[[번호]:[등급]],6,FALSE)</f>
        <v>-</v>
      </c>
      <c r="O9" s="3" t="s">
        <v>458</v>
      </c>
      <c r="P9" s="3" t="s">
        <v>930</v>
      </c>
      <c r="Q9" s="15" t="s">
        <v>459</v>
      </c>
      <c r="R9" s="15" t="s">
        <v>460</v>
      </c>
      <c r="S9" s="16" t="s">
        <v>3638</v>
      </c>
      <c r="T9" s="13"/>
    </row>
    <row r="10" spans="1:20" x14ac:dyDescent="0.3">
      <c r="A10" s="3" t="s">
        <v>278</v>
      </c>
      <c r="B10" s="3" t="s">
        <v>931</v>
      </c>
      <c r="C10" s="8">
        <f>AVERAGEIF(표8[음식점 번호],표4[[#This Row],[번호]],표8[별점])</f>
        <v>2.3333333333333335</v>
      </c>
      <c r="D10" s="15" t="str">
        <f>VLOOKUP(표4[[#This Row],[번호]],표2[[번호]:[등급]],2,FALSE)</f>
        <v>계절식당</v>
      </c>
      <c r="E10" s="15" t="str">
        <f>VLOOKUP(표4[[#This Row],[번호]],표2[[번호]:[등급]],3,FALSE)</f>
        <v>96,34</v>
      </c>
      <c r="F10" s="16" t="str">
        <f>VLOOKUP(표4[[#This Row],[번호]],표2[[번호]:[등급]],6,FALSE)</f>
        <v>-</v>
      </c>
      <c r="O10" s="3" t="s">
        <v>463</v>
      </c>
      <c r="P10" s="3" t="s">
        <v>930</v>
      </c>
      <c r="Q10" s="15" t="s">
        <v>464</v>
      </c>
      <c r="R10" s="15" t="s">
        <v>465</v>
      </c>
      <c r="S10" s="16" t="s">
        <v>3638</v>
      </c>
      <c r="T10" s="13"/>
    </row>
    <row r="11" spans="1:20" x14ac:dyDescent="0.3">
      <c r="A11" s="3" t="s">
        <v>283</v>
      </c>
      <c r="B11" s="3" t="s">
        <v>935</v>
      </c>
      <c r="C11" s="8">
        <f>AVERAGEIF(표8[음식점 번호],표4[[#This Row],[번호]],표8[별점])</f>
        <v>4</v>
      </c>
      <c r="D11" s="15" t="str">
        <f>VLOOKUP(표4[[#This Row],[번호]],표2[[번호]:[등급]],2,FALSE)</f>
        <v>공리</v>
      </c>
      <c r="E11" s="15" t="str">
        <f>VLOOKUP(표4[[#This Row],[번호]],표2[[번호]:[등급]],3,FALSE)</f>
        <v>9,84</v>
      </c>
      <c r="F11" s="16" t="str">
        <f>VLOOKUP(표4[[#This Row],[번호]],표2[[번호]:[등급]],6,FALSE)</f>
        <v>-</v>
      </c>
      <c r="O11" s="3" t="s">
        <v>468</v>
      </c>
      <c r="P11" s="3" t="s">
        <v>930</v>
      </c>
      <c r="Q11" s="15" t="s">
        <v>469</v>
      </c>
      <c r="R11" s="15" t="s">
        <v>470</v>
      </c>
      <c r="S11" s="16" t="s">
        <v>3637</v>
      </c>
      <c r="T11" s="13"/>
    </row>
    <row r="12" spans="1:20" x14ac:dyDescent="0.3">
      <c r="A12" s="3" t="s">
        <v>288</v>
      </c>
      <c r="B12" s="3" t="s">
        <v>933</v>
      </c>
      <c r="C12" s="8">
        <f>AVERAGEIF(표8[음식점 번호],표4[[#This Row],[번호]],표8[별점])</f>
        <v>3</v>
      </c>
      <c r="D12" s="15" t="str">
        <f>VLOOKUP(표4[[#This Row],[번호]],표2[[번호]:[등급]],2,FALSE)</f>
        <v>구이마마</v>
      </c>
      <c r="E12" s="15" t="str">
        <f>VLOOKUP(표4[[#This Row],[번호]],표2[[번호]:[등급]],3,FALSE)</f>
        <v>77,14</v>
      </c>
      <c r="F12" s="16" t="str">
        <f>VLOOKUP(표4[[#This Row],[번호]],표2[[번호]:[등급]],6,FALSE)</f>
        <v>-</v>
      </c>
      <c r="O12" s="3" t="s">
        <v>478</v>
      </c>
      <c r="P12" s="3" t="s">
        <v>930</v>
      </c>
      <c r="Q12" s="15" t="s">
        <v>479</v>
      </c>
      <c r="R12" s="15" t="s">
        <v>480</v>
      </c>
      <c r="S12" s="16" t="s">
        <v>3637</v>
      </c>
      <c r="T12" s="13"/>
    </row>
    <row r="13" spans="1:20" x14ac:dyDescent="0.3">
      <c r="A13" s="3" t="s">
        <v>293</v>
      </c>
      <c r="B13" s="3" t="s">
        <v>936</v>
      </c>
      <c r="C13" s="8">
        <f>AVERAGEIF(표8[음식점 번호],표4[[#This Row],[번호]],표8[별점])</f>
        <v>5</v>
      </c>
      <c r="D13" s="15" t="str">
        <f>VLOOKUP(표4[[#This Row],[번호]],표2[[번호]:[등급]],2,FALSE)</f>
        <v>국수명가</v>
      </c>
      <c r="E13" s="15" t="str">
        <f>VLOOKUP(표4[[#This Row],[번호]],표2[[번호]:[등급]],3,FALSE)</f>
        <v>11,43</v>
      </c>
      <c r="F13" s="16" t="str">
        <f>VLOOKUP(표4[[#This Row],[번호]],표2[[번호]:[등급]],6,FALSE)</f>
        <v>맛집</v>
      </c>
      <c r="O13" s="3" t="s">
        <v>483</v>
      </c>
      <c r="P13" s="3" t="s">
        <v>930</v>
      </c>
      <c r="Q13" s="15" t="s">
        <v>484</v>
      </c>
      <c r="R13" s="15" t="s">
        <v>485</v>
      </c>
      <c r="S13" s="16" t="s">
        <v>3637</v>
      </c>
      <c r="T13" s="13"/>
    </row>
    <row r="14" spans="1:20" x14ac:dyDescent="0.3">
      <c r="A14" s="3" t="s">
        <v>298</v>
      </c>
      <c r="B14" s="3" t="s">
        <v>935</v>
      </c>
      <c r="C14" s="8">
        <f>AVERAGEIF(표8[음식점 번호],표4[[#This Row],[번호]],표8[별점])</f>
        <v>1</v>
      </c>
      <c r="D14" s="15" t="str">
        <f>VLOOKUP(표4[[#This Row],[번호]],표2[[번호]:[등급]],2,FALSE)</f>
        <v>금홍</v>
      </c>
      <c r="E14" s="15" t="str">
        <f>VLOOKUP(표4[[#This Row],[번호]],표2[[번호]:[등급]],3,FALSE)</f>
        <v>0,84</v>
      </c>
      <c r="F14" s="16" t="str">
        <f>VLOOKUP(표4[[#This Row],[번호]],표2[[번호]:[등급]],6,FALSE)</f>
        <v>-</v>
      </c>
      <c r="O14" s="3" t="s">
        <v>518</v>
      </c>
      <c r="P14" s="3" t="s">
        <v>930</v>
      </c>
      <c r="Q14" s="15" t="s">
        <v>519</v>
      </c>
      <c r="R14" s="15" t="s">
        <v>520</v>
      </c>
      <c r="S14" s="16" t="s">
        <v>3637</v>
      </c>
      <c r="T14" s="13"/>
    </row>
    <row r="15" spans="1:20" x14ac:dyDescent="0.3">
      <c r="A15" s="3" t="s">
        <v>303</v>
      </c>
      <c r="B15" s="3" t="s">
        <v>936</v>
      </c>
      <c r="C15" s="8">
        <f>AVERAGEIF(표8[음식점 번호],표4[[#This Row],[번호]],표8[별점])</f>
        <v>4</v>
      </c>
      <c r="D15" s="15" t="str">
        <f>VLOOKUP(표4[[#This Row],[번호]],표2[[번호]:[등급]],2,FALSE)</f>
        <v>기사식당</v>
      </c>
      <c r="E15" s="15" t="str">
        <f>VLOOKUP(표4[[#This Row],[번호]],표2[[번호]:[등급]],3,FALSE)</f>
        <v>21,0</v>
      </c>
      <c r="F15" s="16" t="str">
        <f>VLOOKUP(표4[[#This Row],[번호]],표2[[번호]:[등급]],6,FALSE)</f>
        <v>-</v>
      </c>
      <c r="O15" s="3" t="s">
        <v>533</v>
      </c>
      <c r="P15" s="3" t="s">
        <v>930</v>
      </c>
      <c r="Q15" s="15" t="s">
        <v>534</v>
      </c>
      <c r="R15" s="15" t="s">
        <v>535</v>
      </c>
      <c r="S15" s="16" t="s">
        <v>3638</v>
      </c>
      <c r="T15" s="13"/>
    </row>
    <row r="16" spans="1:20" x14ac:dyDescent="0.3">
      <c r="A16" s="3" t="s">
        <v>308</v>
      </c>
      <c r="B16" s="3" t="s">
        <v>930</v>
      </c>
      <c r="C16" s="8">
        <f>AVERAGEIF(표8[음식점 번호],표4[[#This Row],[번호]],표8[별점])</f>
        <v>1</v>
      </c>
      <c r="D16" s="15" t="str">
        <f>VLOOKUP(표4[[#This Row],[번호]],표2[[번호]:[등급]],2,FALSE)</f>
        <v>나나마구로</v>
      </c>
      <c r="E16" s="15" t="str">
        <f>VLOOKUP(표4[[#This Row],[번호]],표2[[번호]:[등급]],3,FALSE)</f>
        <v>36,62</v>
      </c>
      <c r="F16" s="16" t="str">
        <f>VLOOKUP(표4[[#This Row],[번호]],표2[[번호]:[등급]],6,FALSE)</f>
        <v>-</v>
      </c>
      <c r="O16" s="3" t="s">
        <v>558</v>
      </c>
      <c r="P16" s="3" t="s">
        <v>930</v>
      </c>
      <c r="Q16" s="15" t="s">
        <v>559</v>
      </c>
      <c r="R16" s="15" t="s">
        <v>560</v>
      </c>
      <c r="S16" s="16" t="s">
        <v>3638</v>
      </c>
      <c r="T16" s="13"/>
    </row>
    <row r="17" spans="1:20" x14ac:dyDescent="0.3">
      <c r="A17" s="3" t="s">
        <v>313</v>
      </c>
      <c r="B17" s="3" t="s">
        <v>937</v>
      </c>
      <c r="C17" s="8">
        <f>AVERAGEIF(표8[음식점 번호],표4[[#This Row],[번호]],표8[별점])</f>
        <v>2</v>
      </c>
      <c r="D17" s="15" t="str">
        <f>VLOOKUP(표4[[#This Row],[번호]],표2[[번호]:[등급]],2,FALSE)</f>
        <v>나나식당</v>
      </c>
      <c r="E17" s="15" t="str">
        <f>VLOOKUP(표4[[#This Row],[번호]],표2[[번호]:[등급]],3,FALSE)</f>
        <v>61,76</v>
      </c>
      <c r="F17" s="16" t="str">
        <f>VLOOKUP(표4[[#This Row],[번호]],표2[[번호]:[등급]],6,FALSE)</f>
        <v>-</v>
      </c>
      <c r="O17" s="3" t="s">
        <v>583</v>
      </c>
      <c r="P17" s="3" t="s">
        <v>930</v>
      </c>
      <c r="Q17" s="15" t="s">
        <v>584</v>
      </c>
      <c r="R17" s="15" t="s">
        <v>585</v>
      </c>
      <c r="S17" s="16" t="s">
        <v>3637</v>
      </c>
      <c r="T17" s="13"/>
    </row>
    <row r="18" spans="1:20" x14ac:dyDescent="0.3">
      <c r="A18" s="3" t="s">
        <v>318</v>
      </c>
      <c r="B18" s="3" t="s">
        <v>933</v>
      </c>
      <c r="C18" s="8">
        <f>AVERAGEIF(표8[음식점 번호],표4[[#This Row],[번호]],표8[별점])</f>
        <v>1</v>
      </c>
      <c r="D18" s="15" t="str">
        <f>VLOOKUP(표4[[#This Row],[번호]],표2[[번호]:[등급]],2,FALSE)</f>
        <v>남도미락</v>
      </c>
      <c r="E18" s="15" t="str">
        <f>VLOOKUP(표4[[#This Row],[번호]],표2[[번호]:[등급]],3,FALSE)</f>
        <v>24,2</v>
      </c>
      <c r="F18" s="16" t="str">
        <f>VLOOKUP(표4[[#This Row],[번호]],표2[[번호]:[등급]],6,FALSE)</f>
        <v>-</v>
      </c>
      <c r="O18" s="3" t="s">
        <v>598</v>
      </c>
      <c r="P18" s="3" t="s">
        <v>930</v>
      </c>
      <c r="Q18" s="15" t="s">
        <v>599</v>
      </c>
      <c r="R18" s="15" t="s">
        <v>600</v>
      </c>
      <c r="S18" s="16" t="s">
        <v>3638</v>
      </c>
      <c r="T18" s="13"/>
    </row>
    <row r="19" spans="1:20" x14ac:dyDescent="0.3">
      <c r="A19" s="3" t="s">
        <v>323</v>
      </c>
      <c r="B19" s="3" t="s">
        <v>935</v>
      </c>
      <c r="C19" s="8">
        <f>AVERAGEIF(표8[음식점 번호],표4[[#This Row],[번호]],표8[별점])</f>
        <v>5</v>
      </c>
      <c r="D19" s="15" t="str">
        <f>VLOOKUP(표4[[#This Row],[번호]],표2[[번호]:[등급]],2,FALSE)</f>
        <v>남식당</v>
      </c>
      <c r="E19" s="15" t="str">
        <f>VLOOKUP(표4[[#This Row],[번호]],표2[[번호]:[등급]],3,FALSE)</f>
        <v>62,85</v>
      </c>
      <c r="F19" s="16" t="str">
        <f>VLOOKUP(표4[[#This Row],[번호]],표2[[번호]:[등급]],6,FALSE)</f>
        <v>맛집</v>
      </c>
      <c r="O19" s="3" t="s">
        <v>613</v>
      </c>
      <c r="P19" s="3" t="s">
        <v>930</v>
      </c>
      <c r="Q19" s="15" t="s">
        <v>614</v>
      </c>
      <c r="R19" s="15" t="s">
        <v>615</v>
      </c>
      <c r="S19" s="16" t="s">
        <v>3637</v>
      </c>
      <c r="T19" s="13"/>
    </row>
    <row r="20" spans="1:20" x14ac:dyDescent="0.3">
      <c r="A20" s="3" t="s">
        <v>328</v>
      </c>
      <c r="B20" s="3" t="s">
        <v>935</v>
      </c>
      <c r="C20" s="8">
        <f>AVERAGEIF(표8[음식점 번호],표4[[#This Row],[번호]],표8[별점])</f>
        <v>3</v>
      </c>
      <c r="D20" s="15" t="str">
        <f>VLOOKUP(표4[[#This Row],[번호]],표2[[번호]:[등급]],2,FALSE)</f>
        <v>노독일처</v>
      </c>
      <c r="E20" s="15" t="str">
        <f>VLOOKUP(표4[[#This Row],[번호]],표2[[번호]:[등급]],3,FALSE)</f>
        <v>9,45</v>
      </c>
      <c r="F20" s="16" t="str">
        <f>VLOOKUP(표4[[#This Row],[번호]],표2[[번호]:[등급]],6,FALSE)</f>
        <v>-</v>
      </c>
      <c r="O20" s="3" t="s">
        <v>618</v>
      </c>
      <c r="P20" s="3" t="s">
        <v>930</v>
      </c>
      <c r="Q20" s="15" t="s">
        <v>619</v>
      </c>
      <c r="R20" s="15" t="s">
        <v>620</v>
      </c>
      <c r="S20" s="16" t="s">
        <v>3638</v>
      </c>
      <c r="T20" s="13"/>
    </row>
    <row r="21" spans="1:20" x14ac:dyDescent="0.3">
      <c r="A21" s="3" t="s">
        <v>333</v>
      </c>
      <c r="B21" s="3" t="s">
        <v>933</v>
      </c>
      <c r="C21" s="8">
        <f>AVERAGEIF(표8[음식점 번호],표4[[#This Row],[번호]],표8[별점])</f>
        <v>2</v>
      </c>
      <c r="D21" s="15" t="str">
        <f>VLOOKUP(표4[[#This Row],[번호]],표2[[번호]:[등급]],2,FALSE)</f>
        <v>노인식당</v>
      </c>
      <c r="E21" s="15" t="str">
        <f>VLOOKUP(표4[[#This Row],[번호]],표2[[번호]:[등급]],3,FALSE)</f>
        <v>67,43</v>
      </c>
      <c r="F21" s="16" t="str">
        <f>VLOOKUP(표4[[#This Row],[번호]],표2[[번호]:[등급]],6,FALSE)</f>
        <v>-</v>
      </c>
      <c r="O21" s="3" t="s">
        <v>623</v>
      </c>
      <c r="P21" s="3" t="s">
        <v>930</v>
      </c>
      <c r="Q21" s="15" t="s">
        <v>624</v>
      </c>
      <c r="R21" s="15" t="s">
        <v>625</v>
      </c>
      <c r="S21" s="16" t="s">
        <v>3637</v>
      </c>
      <c r="T21" s="13"/>
    </row>
    <row r="22" spans="1:20" x14ac:dyDescent="0.3">
      <c r="A22" s="3" t="s">
        <v>338</v>
      </c>
      <c r="B22" s="3" t="s">
        <v>933</v>
      </c>
      <c r="C22" s="8">
        <f>AVERAGEIF(표8[음식점 번호],표4[[#This Row],[번호]],표8[별점])</f>
        <v>5</v>
      </c>
      <c r="D22" s="15" t="str">
        <f>VLOOKUP(표4[[#This Row],[번호]],표2[[번호]:[등급]],2,FALSE)</f>
        <v>누룽누룽</v>
      </c>
      <c r="E22" s="15" t="str">
        <f>VLOOKUP(표4[[#This Row],[번호]],표2[[번호]:[등급]],3,FALSE)</f>
        <v>1,83</v>
      </c>
      <c r="F22" s="16" t="str">
        <f>VLOOKUP(표4[[#This Row],[번호]],표2[[번호]:[등급]],6,FALSE)</f>
        <v>맛집</v>
      </c>
      <c r="O22" s="3" t="s">
        <v>638</v>
      </c>
      <c r="P22" s="3" t="s">
        <v>930</v>
      </c>
      <c r="Q22" s="15" t="s">
        <v>639</v>
      </c>
      <c r="R22" s="15" t="s">
        <v>640</v>
      </c>
      <c r="S22" s="16" t="s">
        <v>3637</v>
      </c>
      <c r="T22" s="13"/>
    </row>
    <row r="23" spans="1:20" x14ac:dyDescent="0.3">
      <c r="A23" s="3" t="s">
        <v>343</v>
      </c>
      <c r="B23" s="3" t="s">
        <v>934</v>
      </c>
      <c r="C23" s="8">
        <f>AVERAGEIF(표8[음식점 번호],표4[[#This Row],[번호]],표8[별점])</f>
        <v>5</v>
      </c>
      <c r="D23" s="15" t="str">
        <f>VLOOKUP(표4[[#This Row],[번호]],표2[[번호]:[등급]],2,FALSE)</f>
        <v>다피타(da pitta)</v>
      </c>
      <c r="E23" s="15" t="str">
        <f>VLOOKUP(표4[[#This Row],[번호]],표2[[번호]:[등급]],3,FALSE)</f>
        <v>38,43</v>
      </c>
      <c r="F23" s="16" t="str">
        <f>VLOOKUP(표4[[#This Row],[번호]],표2[[번호]:[등급]],6,FALSE)</f>
        <v>맛집</v>
      </c>
      <c r="O23" s="3" t="s">
        <v>668</v>
      </c>
      <c r="P23" s="3" t="s">
        <v>930</v>
      </c>
      <c r="Q23" s="15" t="s">
        <v>669</v>
      </c>
      <c r="R23" s="15" t="s">
        <v>670</v>
      </c>
      <c r="S23" s="16" t="s">
        <v>3638</v>
      </c>
      <c r="T23" s="13"/>
    </row>
    <row r="24" spans="1:20" x14ac:dyDescent="0.3">
      <c r="A24" s="3" t="s">
        <v>348</v>
      </c>
      <c r="B24" s="3" t="s">
        <v>930</v>
      </c>
      <c r="C24" s="8">
        <f>AVERAGEIF(표8[음식점 번호],표4[[#This Row],[번호]],표8[별점])</f>
        <v>2</v>
      </c>
      <c r="D24" s="15" t="str">
        <f>VLOOKUP(표4[[#This Row],[번호]],표2[[번호]:[등급]],2,FALSE)</f>
        <v>대찬횟집</v>
      </c>
      <c r="E24" s="15" t="str">
        <f>VLOOKUP(표4[[#This Row],[번호]],표2[[번호]:[등급]],3,FALSE)</f>
        <v>99,0</v>
      </c>
      <c r="F24" s="16" t="str">
        <f>VLOOKUP(표4[[#This Row],[번호]],표2[[번호]:[등급]],6,FALSE)</f>
        <v>-</v>
      </c>
      <c r="O24" s="3" t="s">
        <v>708</v>
      </c>
      <c r="P24" s="3" t="s">
        <v>930</v>
      </c>
      <c r="Q24" s="15" t="s">
        <v>709</v>
      </c>
      <c r="R24" s="15" t="s">
        <v>710</v>
      </c>
      <c r="S24" s="16" t="s">
        <v>3638</v>
      </c>
      <c r="T24" s="13"/>
    </row>
    <row r="25" spans="1:20" x14ac:dyDescent="0.3">
      <c r="A25" s="3" t="s">
        <v>353</v>
      </c>
      <c r="B25" s="3" t="s">
        <v>930</v>
      </c>
      <c r="C25" s="8">
        <f>AVERAGEIF(표8[음식점 번호],표4[[#This Row],[번호]],표8[별점])</f>
        <v>1</v>
      </c>
      <c r="D25" s="15" t="str">
        <f>VLOOKUP(표4[[#This Row],[번호]],표2[[번호]:[등급]],2,FALSE)</f>
        <v>댓짱돈까스</v>
      </c>
      <c r="E25" s="15" t="str">
        <f>VLOOKUP(표4[[#This Row],[번호]],표2[[번호]:[등급]],3,FALSE)</f>
        <v>81,93</v>
      </c>
      <c r="F25" s="16" t="str">
        <f>VLOOKUP(표4[[#This Row],[번호]],표2[[번호]:[등급]],6,FALSE)</f>
        <v>-</v>
      </c>
      <c r="O25" s="3" t="s">
        <v>718</v>
      </c>
      <c r="P25" s="3" t="s">
        <v>930</v>
      </c>
      <c r="Q25" s="15" t="s">
        <v>719</v>
      </c>
      <c r="R25" s="15" t="s">
        <v>720</v>
      </c>
      <c r="S25" s="16" t="s">
        <v>3637</v>
      </c>
      <c r="T25" s="13"/>
    </row>
    <row r="26" spans="1:20" x14ac:dyDescent="0.3">
      <c r="A26" s="3" t="s">
        <v>358</v>
      </c>
      <c r="B26" s="3" t="s">
        <v>931</v>
      </c>
      <c r="C26" s="8">
        <f>AVERAGEIF(표8[음식점 번호],표4[[#This Row],[번호]],표8[별점])</f>
        <v>3</v>
      </c>
      <c r="D26" s="15" t="str">
        <f>VLOOKUP(표4[[#This Row],[번호]],표2[[번호]:[등급]],2,FALSE)</f>
        <v>더가든 키친</v>
      </c>
      <c r="E26" s="15" t="str">
        <f>VLOOKUP(표4[[#This Row],[번호]],표2[[번호]:[등급]],3,FALSE)</f>
        <v>8,2</v>
      </c>
      <c r="F26" s="16" t="str">
        <f>VLOOKUP(표4[[#This Row],[번호]],표2[[번호]:[등급]],6,FALSE)</f>
        <v>-</v>
      </c>
      <c r="O26" s="3" t="s">
        <v>728</v>
      </c>
      <c r="P26" s="3" t="s">
        <v>930</v>
      </c>
      <c r="Q26" s="15" t="s">
        <v>729</v>
      </c>
      <c r="R26" s="15" t="s">
        <v>730</v>
      </c>
      <c r="S26" s="16" t="s">
        <v>3637</v>
      </c>
      <c r="T26" s="13"/>
    </row>
    <row r="27" spans="1:20" x14ac:dyDescent="0.3">
      <c r="A27" s="3" t="s">
        <v>363</v>
      </c>
      <c r="B27" s="3" t="s">
        <v>933</v>
      </c>
      <c r="C27" s="8">
        <f>AVERAGEIF(표8[음식점 번호],표4[[#This Row],[번호]],표8[별점])</f>
        <v>3.3333333333333335</v>
      </c>
      <c r="D27" s="15" t="str">
        <f>VLOOKUP(표4[[#This Row],[번호]],표2[[번호]:[등급]],2,FALSE)</f>
        <v>더구어</v>
      </c>
      <c r="E27" s="15" t="str">
        <f>VLOOKUP(표4[[#This Row],[번호]],표2[[번호]:[등급]],3,FALSE)</f>
        <v>81,17</v>
      </c>
      <c r="F27" s="16" t="str">
        <f>VLOOKUP(표4[[#This Row],[번호]],표2[[번호]:[등급]],6,FALSE)</f>
        <v>-</v>
      </c>
      <c r="O27" s="3" t="s">
        <v>768</v>
      </c>
      <c r="P27" s="3" t="s">
        <v>930</v>
      </c>
      <c r="Q27" s="15" t="s">
        <v>769</v>
      </c>
      <c r="R27" s="15" t="s">
        <v>770</v>
      </c>
      <c r="S27" s="16" t="s">
        <v>3637</v>
      </c>
      <c r="T27" s="13"/>
    </row>
    <row r="28" spans="1:20" x14ac:dyDescent="0.3">
      <c r="A28" s="3" t="s">
        <v>368</v>
      </c>
      <c r="B28" s="3" t="s">
        <v>934</v>
      </c>
      <c r="C28" s="8">
        <f>AVERAGEIF(표8[음식점 번호],표4[[#This Row],[번호]],표8[별점])</f>
        <v>1</v>
      </c>
      <c r="D28" s="15" t="str">
        <f>VLOOKUP(표4[[#This Row],[번호]],표2[[번호]:[등급]],2,FALSE)</f>
        <v>델리세</v>
      </c>
      <c r="E28" s="15" t="str">
        <f>VLOOKUP(표4[[#This Row],[번호]],표2[[번호]:[등급]],3,FALSE)</f>
        <v>38,63</v>
      </c>
      <c r="F28" s="16" t="str">
        <f>VLOOKUP(표4[[#This Row],[번호]],표2[[번호]:[등급]],6,FALSE)</f>
        <v>-</v>
      </c>
      <c r="O28" s="3" t="s">
        <v>788</v>
      </c>
      <c r="P28" s="3" t="s">
        <v>930</v>
      </c>
      <c r="Q28" s="15" t="s">
        <v>789</v>
      </c>
      <c r="R28" s="15" t="s">
        <v>790</v>
      </c>
      <c r="S28" s="16" t="s">
        <v>3637</v>
      </c>
      <c r="T28" s="13"/>
    </row>
    <row r="29" spans="1:20" x14ac:dyDescent="0.3">
      <c r="A29" s="3" t="s">
        <v>373</v>
      </c>
      <c r="B29" s="3" t="s">
        <v>930</v>
      </c>
      <c r="C29" s="8">
        <f>AVERAGEIF(표8[음식점 번호],표4[[#This Row],[번호]],표8[별점])</f>
        <v>4</v>
      </c>
      <c r="D29" s="15" t="str">
        <f>VLOOKUP(표4[[#This Row],[번호]],표2[[번호]:[등급]],2,FALSE)</f>
        <v>도쿄하나 사당점</v>
      </c>
      <c r="E29" s="15" t="str">
        <f>VLOOKUP(표4[[#This Row],[번호]],표2[[번호]:[등급]],3,FALSE)</f>
        <v>98,37</v>
      </c>
      <c r="F29" s="16" t="str">
        <f>VLOOKUP(표4[[#This Row],[번호]],표2[[번호]:[등급]],6,FALSE)</f>
        <v>-</v>
      </c>
      <c r="O29" s="3" t="s">
        <v>803</v>
      </c>
      <c r="P29" s="3" t="s">
        <v>930</v>
      </c>
      <c r="Q29" s="15" t="s">
        <v>804</v>
      </c>
      <c r="R29" s="15" t="s">
        <v>805</v>
      </c>
      <c r="S29" s="16" t="s">
        <v>3637</v>
      </c>
      <c r="T29" s="13"/>
    </row>
    <row r="30" spans="1:20" x14ac:dyDescent="0.3">
      <c r="A30" s="3" t="s">
        <v>378</v>
      </c>
      <c r="B30" s="3" t="s">
        <v>932</v>
      </c>
      <c r="C30" s="8">
        <f>AVERAGEIF(표8[음식점 번호],표4[[#This Row],[번호]],표8[별점])</f>
        <v>2</v>
      </c>
      <c r="D30" s="15" t="str">
        <f>VLOOKUP(표4[[#This Row],[번호]],표2[[번호]:[등급]],2,FALSE)</f>
        <v>독식당</v>
      </c>
      <c r="E30" s="15" t="str">
        <f>VLOOKUP(표4[[#This Row],[번호]],표2[[번호]:[등급]],3,FALSE)</f>
        <v>62,76</v>
      </c>
      <c r="F30" s="16" t="str">
        <f>VLOOKUP(표4[[#This Row],[번호]],표2[[번호]:[등급]],6,FALSE)</f>
        <v>-</v>
      </c>
      <c r="O30" s="3" t="s">
        <v>818</v>
      </c>
      <c r="P30" s="3" t="s">
        <v>930</v>
      </c>
      <c r="Q30" s="15" t="s">
        <v>819</v>
      </c>
      <c r="R30" s="15" t="s">
        <v>820</v>
      </c>
      <c r="S30" s="16" t="s">
        <v>3637</v>
      </c>
      <c r="T30" s="13"/>
    </row>
    <row r="31" spans="1:20" x14ac:dyDescent="0.3">
      <c r="A31" s="3" t="s">
        <v>383</v>
      </c>
      <c r="B31" s="3" t="s">
        <v>930</v>
      </c>
      <c r="C31" s="8">
        <f>AVERAGEIF(표8[음식점 번호],표4[[#This Row],[번호]],표8[별점])</f>
        <v>4</v>
      </c>
      <c r="D31" s="15" t="str">
        <f>VLOOKUP(표4[[#This Row],[번호]],표2[[번호]:[등급]],2,FALSE)</f>
        <v>동신참치양재직영점</v>
      </c>
      <c r="E31" s="15" t="str">
        <f>VLOOKUP(표4[[#This Row],[번호]],표2[[번호]:[등급]],3,FALSE)</f>
        <v>8,71</v>
      </c>
      <c r="F31" s="16" t="str">
        <f>VLOOKUP(표4[[#This Row],[번호]],표2[[번호]:[등급]],6,FALSE)</f>
        <v>-</v>
      </c>
      <c r="O31" s="3" t="s">
        <v>823</v>
      </c>
      <c r="P31" s="3" t="s">
        <v>930</v>
      </c>
      <c r="Q31" s="15" t="s">
        <v>824</v>
      </c>
      <c r="R31" s="15" t="s">
        <v>825</v>
      </c>
      <c r="S31" s="16" t="s">
        <v>3637</v>
      </c>
      <c r="T31" s="13"/>
    </row>
    <row r="32" spans="1:20" x14ac:dyDescent="0.3">
      <c r="A32" s="3" t="s">
        <v>388</v>
      </c>
      <c r="B32" s="3" t="s">
        <v>931</v>
      </c>
      <c r="C32" s="8">
        <f>AVERAGEIF(표8[음식점 번호],표4[[#This Row],[번호]],표8[별점])</f>
        <v>3</v>
      </c>
      <c r="D32" s="15" t="str">
        <f>VLOOKUP(표4[[#This Row],[번호]],표2[[번호]:[등급]],2,FALSE)</f>
        <v>디오디아(DIODIA)</v>
      </c>
      <c r="E32" s="15" t="str">
        <f>VLOOKUP(표4[[#This Row],[번호]],표2[[번호]:[등급]],3,FALSE)</f>
        <v>58,75</v>
      </c>
      <c r="F32" s="16" t="str">
        <f>VLOOKUP(표4[[#This Row],[번호]],표2[[번호]:[등급]],6,FALSE)</f>
        <v>-</v>
      </c>
      <c r="O32" s="3" t="s">
        <v>843</v>
      </c>
      <c r="P32" s="3" t="s">
        <v>930</v>
      </c>
      <c r="Q32" s="15" t="s">
        <v>844</v>
      </c>
      <c r="R32" s="15" t="s">
        <v>845</v>
      </c>
      <c r="S32" s="16" t="s">
        <v>3637</v>
      </c>
      <c r="T32" s="13"/>
    </row>
    <row r="33" spans="1:20" x14ac:dyDescent="0.3">
      <c r="A33" s="3" t="s">
        <v>393</v>
      </c>
      <c r="B33" s="3" t="s">
        <v>938</v>
      </c>
      <c r="C33" s="8">
        <f>AVERAGEIF(표8[음식점 번호],표4[[#This Row],[번호]],표8[별점])</f>
        <v>1</v>
      </c>
      <c r="D33" s="15" t="str">
        <f>VLOOKUP(표4[[#This Row],[번호]],표2[[번호]:[등급]],2,FALSE)</f>
        <v>딸기식당</v>
      </c>
      <c r="E33" s="15" t="str">
        <f>VLOOKUP(표4[[#This Row],[번호]],표2[[번호]:[등급]],3,FALSE)</f>
        <v>76,1</v>
      </c>
      <c r="F33" s="16" t="str">
        <f>VLOOKUP(표4[[#This Row],[번호]],표2[[번호]:[등급]],6,FALSE)</f>
        <v>-</v>
      </c>
      <c r="O33" s="3" t="s">
        <v>913</v>
      </c>
      <c r="P33" s="3" t="s">
        <v>930</v>
      </c>
      <c r="Q33" s="15" t="s">
        <v>914</v>
      </c>
      <c r="R33" s="15" t="s">
        <v>915</v>
      </c>
      <c r="S33" s="16" t="s">
        <v>3638</v>
      </c>
      <c r="T33" s="13"/>
    </row>
    <row r="34" spans="1:20" x14ac:dyDescent="0.3">
      <c r="A34" s="3" t="s">
        <v>398</v>
      </c>
      <c r="B34" s="3" t="s">
        <v>937</v>
      </c>
      <c r="C34" s="8">
        <f>AVERAGEIF(표8[음식점 번호],표4[[#This Row],[번호]],표8[별점])</f>
        <v>1</v>
      </c>
      <c r="D34" s="15" t="str">
        <f>VLOOKUP(표4[[#This Row],[번호]],표2[[번호]:[등급]],2,FALSE)</f>
        <v>또봇식당</v>
      </c>
      <c r="E34" s="15" t="str">
        <f>VLOOKUP(표4[[#This Row],[번호]],표2[[번호]:[등급]],3,FALSE)</f>
        <v>23,93</v>
      </c>
      <c r="F34" s="16" t="str">
        <f>VLOOKUP(표4[[#This Row],[번호]],표2[[번호]:[등급]],6,FALSE)</f>
        <v>-</v>
      </c>
      <c r="O34" s="3"/>
      <c r="P34" s="3"/>
      <c r="Q34" s="15"/>
      <c r="R34" s="15"/>
      <c r="S34" s="16"/>
      <c r="T34" s="13"/>
    </row>
    <row r="35" spans="1:20" x14ac:dyDescent="0.3">
      <c r="A35" s="3" t="s">
        <v>403</v>
      </c>
      <c r="B35" s="3" t="s">
        <v>938</v>
      </c>
      <c r="C35" s="8">
        <f>AVERAGEIF(표8[음식점 번호],표4[[#This Row],[번호]],표8[별점])</f>
        <v>4</v>
      </c>
      <c r="D35" s="15" t="str">
        <f>VLOOKUP(표4[[#This Row],[번호]],표2[[번호]:[등급]],2,FALSE)</f>
        <v>러식당</v>
      </c>
      <c r="E35" s="15" t="str">
        <f>VLOOKUP(표4[[#This Row],[번호]],표2[[번호]:[등급]],3,FALSE)</f>
        <v>59,70</v>
      </c>
      <c r="F35" s="16" t="str">
        <f>VLOOKUP(표4[[#This Row],[번호]],표2[[번호]:[등급]],6,FALSE)</f>
        <v>-</v>
      </c>
      <c r="O35" s="3"/>
      <c r="P35" s="3"/>
      <c r="Q35" s="15"/>
      <c r="R35" s="15"/>
      <c r="S35" s="16"/>
      <c r="T35" s="13"/>
    </row>
    <row r="36" spans="1:20" x14ac:dyDescent="0.3">
      <c r="A36" s="3" t="s">
        <v>408</v>
      </c>
      <c r="B36" s="3" t="s">
        <v>938</v>
      </c>
      <c r="C36" s="8">
        <f>AVERAGEIF(표8[음식점 번호],표4[[#This Row],[번호]],표8[별점])</f>
        <v>5</v>
      </c>
      <c r="D36" s="15" t="str">
        <f>VLOOKUP(표4[[#This Row],[번호]],표2[[번호]:[등급]],2,FALSE)</f>
        <v>레몬식당</v>
      </c>
      <c r="E36" s="15" t="str">
        <f>VLOOKUP(표4[[#This Row],[번호]],표2[[번호]:[등급]],3,FALSE)</f>
        <v>30,5</v>
      </c>
      <c r="F36" s="16" t="str">
        <f>VLOOKUP(표4[[#This Row],[번호]],표2[[번호]:[등급]],6,FALSE)</f>
        <v>맛집</v>
      </c>
      <c r="O36" s="3"/>
      <c r="P36" s="3"/>
      <c r="Q36" s="15"/>
      <c r="R36" s="15"/>
      <c r="S36" s="16"/>
      <c r="T36" s="13"/>
    </row>
    <row r="37" spans="1:20" x14ac:dyDescent="0.3">
      <c r="A37" s="3" t="s">
        <v>413</v>
      </c>
      <c r="B37" s="3" t="s">
        <v>939</v>
      </c>
      <c r="C37" s="8">
        <f>AVERAGEIF(표8[음식점 번호],표4[[#This Row],[번호]],표8[별점])</f>
        <v>4</v>
      </c>
      <c r="D37" s="15" t="str">
        <f>VLOOKUP(표4[[#This Row],[번호]],표2[[번호]:[등급]],2,FALSE)</f>
        <v>롯데식당</v>
      </c>
      <c r="E37" s="15" t="str">
        <f>VLOOKUP(표4[[#This Row],[번호]],표2[[번호]:[등급]],3,FALSE)</f>
        <v>26,27</v>
      </c>
      <c r="F37" s="16" t="str">
        <f>VLOOKUP(표4[[#This Row],[번호]],표2[[번호]:[등급]],6,FALSE)</f>
        <v>-</v>
      </c>
      <c r="O37" s="3"/>
      <c r="P37" s="3"/>
      <c r="Q37" s="15"/>
      <c r="R37" s="15"/>
      <c r="S37" s="16"/>
      <c r="T37" s="13"/>
    </row>
    <row r="38" spans="1:20" x14ac:dyDescent="0.3">
      <c r="A38" s="3" t="s">
        <v>418</v>
      </c>
      <c r="B38" s="3" t="s">
        <v>935</v>
      </c>
      <c r="C38" s="8">
        <f>AVERAGEIF(표8[음식점 번호],표4[[#This Row],[번호]],표8[별점])</f>
        <v>2</v>
      </c>
      <c r="D38" s="15" t="str">
        <f>VLOOKUP(표4[[#This Row],[번호]],표2[[번호]:[등급]],2,FALSE)</f>
        <v>루안</v>
      </c>
      <c r="E38" s="15" t="str">
        <f>VLOOKUP(표4[[#This Row],[번호]],표2[[번호]:[등급]],3,FALSE)</f>
        <v>26,45</v>
      </c>
      <c r="F38" s="16" t="str">
        <f>VLOOKUP(표4[[#This Row],[번호]],표2[[번호]:[등급]],6,FALSE)</f>
        <v>-</v>
      </c>
      <c r="O38" s="3"/>
      <c r="P38" s="3"/>
      <c r="Q38" s="15"/>
      <c r="R38" s="15"/>
      <c r="S38" s="16"/>
      <c r="T38" s="13"/>
    </row>
    <row r="39" spans="1:20" x14ac:dyDescent="0.3">
      <c r="A39" s="3" t="s">
        <v>423</v>
      </c>
      <c r="B39" s="3" t="s">
        <v>935</v>
      </c>
      <c r="C39" s="8">
        <f>AVERAGEIF(표8[음식점 번호],표4[[#This Row],[번호]],표8[별점])</f>
        <v>2</v>
      </c>
      <c r="D39" s="15" t="str">
        <f>VLOOKUP(표4[[#This Row],[번호]],표2[[번호]:[등급]],2,FALSE)</f>
        <v>리밍</v>
      </c>
      <c r="E39" s="15" t="str">
        <f>VLOOKUP(표4[[#This Row],[번호]],표2[[번호]:[등급]],3,FALSE)</f>
        <v>73,69</v>
      </c>
      <c r="F39" s="16" t="str">
        <f>VLOOKUP(표4[[#This Row],[번호]],표2[[번호]:[등급]],6,FALSE)</f>
        <v>-</v>
      </c>
      <c r="O39" s="3"/>
      <c r="P39" s="3"/>
      <c r="Q39" s="15"/>
      <c r="R39" s="15"/>
      <c r="S39" s="16"/>
      <c r="T39" s="13"/>
    </row>
    <row r="40" spans="1:20" x14ac:dyDescent="0.3">
      <c r="A40" s="3" t="s">
        <v>428</v>
      </c>
      <c r="B40" s="3" t="s">
        <v>939</v>
      </c>
      <c r="C40" s="8">
        <f>AVERAGEIF(표8[음식점 번호],표4[[#This Row],[번호]],표8[별점])</f>
        <v>5</v>
      </c>
      <c r="D40" s="15" t="str">
        <f>VLOOKUP(표4[[#This Row],[번호]],표2[[번호]:[등급]],2,FALSE)</f>
        <v>리아식당</v>
      </c>
      <c r="E40" s="15" t="str">
        <f>VLOOKUP(표4[[#This Row],[번호]],표2[[번호]:[등급]],3,FALSE)</f>
        <v>78,16</v>
      </c>
      <c r="F40" s="16" t="str">
        <f>VLOOKUP(표4[[#This Row],[번호]],표2[[번호]:[등급]],6,FALSE)</f>
        <v>맛집</v>
      </c>
      <c r="O40" s="3"/>
      <c r="P40" s="3"/>
      <c r="Q40" s="15"/>
      <c r="R40" s="15"/>
      <c r="S40" s="16"/>
      <c r="T40" s="13"/>
    </row>
    <row r="41" spans="1:20" x14ac:dyDescent="0.3">
      <c r="A41" s="3" t="s">
        <v>433</v>
      </c>
      <c r="B41" s="3" t="s">
        <v>935</v>
      </c>
      <c r="C41" s="8">
        <f>AVERAGEIF(표8[음식점 번호],표4[[#This Row],[번호]],표8[별점])</f>
        <v>1</v>
      </c>
      <c r="D41" s="15" t="str">
        <f>VLOOKUP(표4[[#This Row],[번호]],표2[[번호]:[등급]],2,FALSE)</f>
        <v>리향</v>
      </c>
      <c r="E41" s="15" t="str">
        <f>VLOOKUP(표4[[#This Row],[번호]],표2[[번호]:[등급]],3,FALSE)</f>
        <v>10,49</v>
      </c>
      <c r="F41" s="16" t="str">
        <f>VLOOKUP(표4[[#This Row],[번호]],표2[[번호]:[등급]],6,FALSE)</f>
        <v>-</v>
      </c>
      <c r="O41" s="3"/>
      <c r="P41" s="3"/>
      <c r="Q41" s="15"/>
      <c r="R41" s="15"/>
      <c r="S41" s="16"/>
      <c r="T41" s="13"/>
    </row>
    <row r="42" spans="1:20" x14ac:dyDescent="0.3">
      <c r="A42" s="3" t="s">
        <v>438</v>
      </c>
      <c r="B42" s="3" t="s">
        <v>934</v>
      </c>
      <c r="C42" s="8">
        <f>AVERAGEIF(표8[음식점 번호],표4[[#This Row],[번호]],표8[별점])</f>
        <v>3.5</v>
      </c>
      <c r="D42" s="15" t="str">
        <f>VLOOKUP(표4[[#This Row],[번호]],표2[[번호]:[등급]],2,FALSE)</f>
        <v>마초셰프</v>
      </c>
      <c r="E42" s="15" t="str">
        <f>VLOOKUP(표4[[#This Row],[번호]],표2[[번호]:[등급]],3,FALSE)</f>
        <v>45,30</v>
      </c>
      <c r="F42" s="16" t="str">
        <f>VLOOKUP(표4[[#This Row],[번호]],표2[[번호]:[등급]],6,FALSE)</f>
        <v>-</v>
      </c>
      <c r="O42" s="3"/>
      <c r="P42" s="3"/>
      <c r="Q42" s="15"/>
      <c r="R42" s="15"/>
      <c r="S42" s="16"/>
      <c r="T42" s="13"/>
    </row>
    <row r="43" spans="1:20" x14ac:dyDescent="0.3">
      <c r="A43" s="3" t="s">
        <v>443</v>
      </c>
      <c r="B43" s="3" t="s">
        <v>935</v>
      </c>
      <c r="C43" s="8">
        <f>AVERAGEIF(표8[음식점 번호],표4[[#This Row],[번호]],표8[별점])</f>
        <v>4</v>
      </c>
      <c r="D43" s="15" t="str">
        <f>VLOOKUP(표4[[#This Row],[번호]],표2[[번호]:[등급]],2,FALSE)</f>
        <v>만다린</v>
      </c>
      <c r="E43" s="15" t="str">
        <f>VLOOKUP(표4[[#This Row],[번호]],표2[[번호]:[등급]],3,FALSE)</f>
        <v>51,75</v>
      </c>
      <c r="F43" s="16" t="str">
        <f>VLOOKUP(표4[[#This Row],[번호]],표2[[번호]:[등급]],6,FALSE)</f>
        <v>-</v>
      </c>
      <c r="O43" s="3"/>
      <c r="P43" s="3"/>
      <c r="Q43" s="15"/>
      <c r="R43" s="15"/>
      <c r="S43" s="16"/>
      <c r="T43" s="13"/>
    </row>
    <row r="44" spans="1:20" x14ac:dyDescent="0.3">
      <c r="A44" s="3" t="s">
        <v>448</v>
      </c>
      <c r="B44" s="3" t="s">
        <v>933</v>
      </c>
      <c r="C44" s="8">
        <f>AVERAGEIF(표8[음식점 번호],표4[[#This Row],[번호]],표8[별점])</f>
        <v>1</v>
      </c>
      <c r="D44" s="15" t="str">
        <f>VLOOKUP(표4[[#This Row],[번호]],표2[[번호]:[등급]],2,FALSE)</f>
        <v>맥도식당</v>
      </c>
      <c r="E44" s="15" t="str">
        <f>VLOOKUP(표4[[#This Row],[번호]],표2[[번호]:[등급]],3,FALSE)</f>
        <v>72,26</v>
      </c>
      <c r="F44" s="16" t="str">
        <f>VLOOKUP(표4[[#This Row],[번호]],표2[[번호]:[등급]],6,FALSE)</f>
        <v>-</v>
      </c>
      <c r="O44" s="3"/>
      <c r="P44" s="3"/>
      <c r="Q44" s="15"/>
      <c r="R44" s="15"/>
      <c r="S44" s="16"/>
      <c r="T44" s="13"/>
    </row>
    <row r="45" spans="1:20" x14ac:dyDescent="0.3">
      <c r="A45" s="3" t="s">
        <v>453</v>
      </c>
      <c r="B45" s="3" t="s">
        <v>938</v>
      </c>
      <c r="C45" s="8">
        <f>AVERAGEIF(표8[음식점 번호],표4[[#This Row],[번호]],표8[별점])</f>
        <v>1</v>
      </c>
      <c r="D45" s="15" t="str">
        <f>VLOOKUP(표4[[#This Row],[번호]],표2[[번호]:[등급]],2,FALSE)</f>
        <v>멜론식당</v>
      </c>
      <c r="E45" s="15" t="str">
        <f>VLOOKUP(표4[[#This Row],[번호]],표2[[번호]:[등급]],3,FALSE)</f>
        <v>41,97</v>
      </c>
      <c r="F45" s="16" t="str">
        <f>VLOOKUP(표4[[#This Row],[번호]],표2[[번호]:[등급]],6,FALSE)</f>
        <v>-</v>
      </c>
      <c r="O45" s="3"/>
      <c r="P45" s="3"/>
      <c r="Q45" s="15"/>
      <c r="R45" s="15"/>
      <c r="S45" s="16"/>
      <c r="T45" s="13"/>
    </row>
    <row r="46" spans="1:20" x14ac:dyDescent="0.3">
      <c r="A46" s="3" t="s">
        <v>458</v>
      </c>
      <c r="B46" s="3" t="s">
        <v>930</v>
      </c>
      <c r="C46" s="8">
        <f>AVERAGEIF(표8[음식점 번호],표4[[#This Row],[번호]],표8[별점])</f>
        <v>5</v>
      </c>
      <c r="D46" s="15" t="str">
        <f>VLOOKUP(표4[[#This Row],[번호]],표2[[번호]:[등급]],2,FALSE)</f>
        <v>묘오또</v>
      </c>
      <c r="E46" s="15" t="str">
        <f>VLOOKUP(표4[[#This Row],[번호]],표2[[번호]:[등급]],3,FALSE)</f>
        <v>45,23</v>
      </c>
      <c r="F46" s="16" t="str">
        <f>VLOOKUP(표4[[#This Row],[번호]],표2[[번호]:[등급]],6,FALSE)</f>
        <v>맛집</v>
      </c>
      <c r="O46" s="3"/>
      <c r="P46" s="3"/>
      <c r="Q46" s="15"/>
      <c r="R46" s="15"/>
      <c r="S46" s="16"/>
      <c r="T46" s="13"/>
    </row>
    <row r="47" spans="1:20" x14ac:dyDescent="0.3">
      <c r="A47" s="3" t="s">
        <v>463</v>
      </c>
      <c r="B47" s="3" t="s">
        <v>930</v>
      </c>
      <c r="C47" s="8">
        <f>AVERAGEIF(표8[음식점 번호],표4[[#This Row],[번호]],표8[별점])</f>
        <v>5</v>
      </c>
      <c r="D47" s="15" t="str">
        <f>VLOOKUP(표4[[#This Row],[번호]],표2[[번호]:[등급]],2,FALSE)</f>
        <v>물조은선주회집</v>
      </c>
      <c r="E47" s="15" t="str">
        <f>VLOOKUP(표4[[#This Row],[번호]],표2[[번호]:[등급]],3,FALSE)</f>
        <v>21,3</v>
      </c>
      <c r="F47" s="16" t="str">
        <f>VLOOKUP(표4[[#This Row],[번호]],표2[[번호]:[등급]],6,FALSE)</f>
        <v>맛집</v>
      </c>
      <c r="O47" s="3"/>
      <c r="P47" s="3"/>
      <c r="Q47" s="15"/>
      <c r="R47" s="15"/>
      <c r="S47" s="16"/>
      <c r="T47" s="13"/>
    </row>
    <row r="48" spans="1:20" x14ac:dyDescent="0.3">
      <c r="A48" s="3" t="s">
        <v>468</v>
      </c>
      <c r="B48" s="3" t="s">
        <v>930</v>
      </c>
      <c r="C48" s="8">
        <f>AVERAGEIF(표8[음식점 번호],표4[[#This Row],[번호]],표8[별점])</f>
        <v>3.3333333333333335</v>
      </c>
      <c r="D48" s="15" t="str">
        <f>VLOOKUP(표4[[#This Row],[번호]],표2[[번호]:[등급]],2,FALSE)</f>
        <v>미나토</v>
      </c>
      <c r="E48" s="15" t="str">
        <f>VLOOKUP(표4[[#This Row],[번호]],표2[[번호]:[등급]],3,FALSE)</f>
        <v>3,76</v>
      </c>
      <c r="F48" s="16" t="str">
        <f>VLOOKUP(표4[[#This Row],[번호]],표2[[번호]:[등급]],6,FALSE)</f>
        <v>-</v>
      </c>
      <c r="O48" s="3"/>
      <c r="P48" s="3"/>
      <c r="Q48" s="15"/>
      <c r="R48" s="15"/>
      <c r="S48" s="16"/>
      <c r="T48" s="13"/>
    </row>
    <row r="49" spans="1:20" x14ac:dyDescent="0.3">
      <c r="A49" s="3" t="s">
        <v>473</v>
      </c>
      <c r="B49" s="3" t="s">
        <v>939</v>
      </c>
      <c r="C49" s="8">
        <f>AVERAGEIF(표8[음식점 번호],표4[[#This Row],[번호]],표8[별점])</f>
        <v>5</v>
      </c>
      <c r="D49" s="15" t="str">
        <f>VLOOKUP(표4[[#This Row],[번호]],표2[[번호]:[등급]],2,FALSE)</f>
        <v>미식당</v>
      </c>
      <c r="E49" s="15" t="str">
        <f>VLOOKUP(표4[[#This Row],[번호]],표2[[번호]:[등급]],3,FALSE)</f>
        <v>49,66</v>
      </c>
      <c r="F49" s="16" t="str">
        <f>VLOOKUP(표4[[#This Row],[번호]],표2[[번호]:[등급]],6,FALSE)</f>
        <v>맛집</v>
      </c>
      <c r="O49" s="3"/>
      <c r="P49" s="3"/>
      <c r="Q49" s="15"/>
      <c r="R49" s="15"/>
      <c r="S49" s="16"/>
      <c r="T49" s="13"/>
    </row>
    <row r="50" spans="1:20" x14ac:dyDescent="0.3">
      <c r="A50" s="3" t="s">
        <v>478</v>
      </c>
      <c r="B50" s="3" t="s">
        <v>930</v>
      </c>
      <c r="C50" s="8">
        <f>AVERAGEIF(표8[음식점 번호],표4[[#This Row],[번호]],표8[별점])</f>
        <v>1</v>
      </c>
      <c r="D50" s="15" t="str">
        <f>VLOOKUP(표4[[#This Row],[번호]],표2[[번호]:[등급]],2,FALSE)</f>
        <v>미유끼</v>
      </c>
      <c r="E50" s="15" t="str">
        <f>VLOOKUP(표4[[#This Row],[번호]],표2[[번호]:[등급]],3,FALSE)</f>
        <v>42,82</v>
      </c>
      <c r="F50" s="16" t="str">
        <f>VLOOKUP(표4[[#This Row],[번호]],표2[[번호]:[등급]],6,FALSE)</f>
        <v>-</v>
      </c>
      <c r="O50" s="3"/>
      <c r="P50" s="3"/>
      <c r="Q50" s="15"/>
      <c r="R50" s="15"/>
      <c r="S50" s="16"/>
      <c r="T50" s="13"/>
    </row>
    <row r="51" spans="1:20" x14ac:dyDescent="0.3">
      <c r="A51" s="3" t="s">
        <v>483</v>
      </c>
      <c r="B51" s="3" t="s">
        <v>930</v>
      </c>
      <c r="C51" s="8">
        <f>AVERAGEIF(표8[음식점 번호],표4[[#This Row],[번호]],표8[별점])</f>
        <v>4</v>
      </c>
      <c r="D51" s="15" t="str">
        <f>VLOOKUP(표4[[#This Row],[번호]],표2[[번호]:[등급]],2,FALSE)</f>
        <v>미타니야</v>
      </c>
      <c r="E51" s="15" t="str">
        <f>VLOOKUP(표4[[#This Row],[번호]],표2[[번호]:[등급]],3,FALSE)</f>
        <v>63,97</v>
      </c>
      <c r="F51" s="16" t="str">
        <f>VLOOKUP(표4[[#This Row],[번호]],표2[[번호]:[등급]],6,FALSE)</f>
        <v>-</v>
      </c>
      <c r="O51" s="3"/>
      <c r="P51" s="3"/>
      <c r="Q51" s="15"/>
      <c r="R51" s="15"/>
      <c r="S51" s="16"/>
      <c r="T51" s="13"/>
    </row>
    <row r="52" spans="1:20" x14ac:dyDescent="0.3">
      <c r="A52" s="3" t="s">
        <v>488</v>
      </c>
      <c r="B52" s="3" t="s">
        <v>933</v>
      </c>
      <c r="C52" s="8">
        <f>AVERAGEIF(표8[음식점 번호],표4[[#This Row],[번호]],표8[별점])</f>
        <v>2</v>
      </c>
      <c r="D52" s="15" t="str">
        <f>VLOOKUP(표4[[#This Row],[번호]],표2[[번호]:[등급]],2,FALSE)</f>
        <v>반포면옥</v>
      </c>
      <c r="E52" s="15" t="str">
        <f>VLOOKUP(표4[[#This Row],[번호]],표2[[번호]:[등급]],3,FALSE)</f>
        <v>75,35</v>
      </c>
      <c r="F52" s="16" t="str">
        <f>VLOOKUP(표4[[#This Row],[번호]],표2[[번호]:[등급]],6,FALSE)</f>
        <v>-</v>
      </c>
      <c r="O52" s="3"/>
      <c r="P52" s="3"/>
      <c r="Q52" s="15"/>
      <c r="R52" s="15"/>
      <c r="S52" s="16"/>
      <c r="T52" s="13"/>
    </row>
    <row r="53" spans="1:20" x14ac:dyDescent="0.3">
      <c r="A53" s="3" t="s">
        <v>493</v>
      </c>
      <c r="B53" s="3" t="s">
        <v>933</v>
      </c>
      <c r="C53" s="8">
        <f>AVERAGEIF(표8[음식점 번호],표4[[#This Row],[번호]],표8[별점])</f>
        <v>2</v>
      </c>
      <c r="D53" s="15" t="str">
        <f>VLOOKUP(표4[[#This Row],[번호]],표2[[번호]:[등급]],2,FALSE)</f>
        <v>밥식당</v>
      </c>
      <c r="E53" s="15" t="str">
        <f>VLOOKUP(표4[[#This Row],[번호]],표2[[번호]:[등급]],3,FALSE)</f>
        <v>89,46</v>
      </c>
      <c r="F53" s="16" t="str">
        <f>VLOOKUP(표4[[#This Row],[번호]],표2[[번호]:[등급]],6,FALSE)</f>
        <v>-</v>
      </c>
      <c r="O53" s="3"/>
      <c r="P53" s="3"/>
      <c r="Q53" s="15"/>
      <c r="R53" s="15"/>
      <c r="S53" s="16"/>
      <c r="T53" s="13"/>
    </row>
    <row r="54" spans="1:20" x14ac:dyDescent="0.3">
      <c r="A54" s="3" t="s">
        <v>498</v>
      </c>
      <c r="B54" s="3" t="s">
        <v>939</v>
      </c>
      <c r="C54" s="8">
        <f>AVERAGEIF(표8[음식점 번호],표4[[#This Row],[번호]],표8[별점])</f>
        <v>5</v>
      </c>
      <c r="D54" s="15" t="str">
        <f>VLOOKUP(표4[[#This Row],[번호]],표2[[번호]:[등급]],2,FALSE)</f>
        <v>버거식당</v>
      </c>
      <c r="E54" s="15" t="str">
        <f>VLOOKUP(표4[[#This Row],[번호]],표2[[번호]:[등급]],3,FALSE)</f>
        <v>55,4</v>
      </c>
      <c r="F54" s="16" t="str">
        <f>VLOOKUP(표4[[#This Row],[번호]],표2[[번호]:[등급]],6,FALSE)</f>
        <v>맛집</v>
      </c>
      <c r="O54" s="3"/>
      <c r="P54" s="3"/>
      <c r="Q54" s="15"/>
      <c r="R54" s="15"/>
      <c r="S54" s="16"/>
      <c r="T54" s="13"/>
    </row>
    <row r="55" spans="1:20" x14ac:dyDescent="0.3">
      <c r="A55" s="3" t="s">
        <v>503</v>
      </c>
      <c r="B55" s="3" t="s">
        <v>938</v>
      </c>
      <c r="C55" s="8">
        <f>AVERAGEIF(표8[음식점 번호],표4[[#This Row],[번호]],표8[별점])</f>
        <v>4</v>
      </c>
      <c r="D55" s="15" t="str">
        <f>VLOOKUP(표4[[#This Row],[번호]],표2[[번호]:[등급]],2,FALSE)</f>
        <v>복숭아식당</v>
      </c>
      <c r="E55" s="15" t="str">
        <f>VLOOKUP(표4[[#This Row],[번호]],표2[[번호]:[등급]],3,FALSE)</f>
        <v>46,0</v>
      </c>
      <c r="F55" s="16" t="str">
        <f>VLOOKUP(표4[[#This Row],[번호]],표2[[번호]:[등급]],6,FALSE)</f>
        <v>-</v>
      </c>
      <c r="O55" s="3"/>
      <c r="P55" s="3"/>
      <c r="Q55" s="15"/>
      <c r="R55" s="15"/>
      <c r="S55" s="16"/>
      <c r="T55" s="13"/>
    </row>
    <row r="56" spans="1:20" x14ac:dyDescent="0.3">
      <c r="A56" s="3" t="s">
        <v>508</v>
      </c>
      <c r="B56" s="3" t="s">
        <v>933</v>
      </c>
      <c r="C56" s="8">
        <f>AVERAGEIF(표8[음식점 번호],표4[[#This Row],[번호]],표8[별점])</f>
        <v>4</v>
      </c>
      <c r="D56" s="15" t="str">
        <f>VLOOKUP(표4[[#This Row],[번호]],표2[[번호]:[등급]],2,FALSE)</f>
        <v>봉스구</v>
      </c>
      <c r="E56" s="15" t="str">
        <f>VLOOKUP(표4[[#This Row],[번호]],표2[[번호]:[등급]],3,FALSE)</f>
        <v>62,84</v>
      </c>
      <c r="F56" s="16" t="str">
        <f>VLOOKUP(표4[[#This Row],[번호]],표2[[번호]:[등급]],6,FALSE)</f>
        <v>-</v>
      </c>
      <c r="O56" s="3"/>
      <c r="P56" s="3"/>
      <c r="Q56" s="15"/>
      <c r="R56" s="15"/>
      <c r="S56" s="16"/>
      <c r="T56" s="13"/>
    </row>
    <row r="57" spans="1:20" x14ac:dyDescent="0.3">
      <c r="A57" s="3" t="s">
        <v>513</v>
      </c>
      <c r="B57" s="3" t="s">
        <v>935</v>
      </c>
      <c r="C57" s="8">
        <f>AVERAGEIF(표8[음식점 번호],표4[[#This Row],[번호]],표8[별점])</f>
        <v>2</v>
      </c>
      <c r="D57" s="15" t="str">
        <f>VLOOKUP(표4[[#This Row],[번호]],표2[[번호]:[등급]],2,FALSE)</f>
        <v>북경</v>
      </c>
      <c r="E57" s="15" t="str">
        <f>VLOOKUP(표4[[#This Row],[번호]],표2[[번호]:[등급]],3,FALSE)</f>
        <v>68,72</v>
      </c>
      <c r="F57" s="16" t="str">
        <f>VLOOKUP(표4[[#This Row],[번호]],표2[[번호]:[등급]],6,FALSE)</f>
        <v>-</v>
      </c>
      <c r="O57" s="3"/>
      <c r="P57" s="3"/>
      <c r="Q57" s="15"/>
      <c r="R57" s="15"/>
      <c r="S57" s="16"/>
      <c r="T57" s="13"/>
    </row>
    <row r="58" spans="1:20" x14ac:dyDescent="0.3">
      <c r="A58" s="3" t="s">
        <v>518</v>
      </c>
      <c r="B58" s="3" t="s">
        <v>930</v>
      </c>
      <c r="C58" s="8">
        <f>AVERAGEIF(표8[음식점 번호],표4[[#This Row],[번호]],표8[별점])</f>
        <v>4</v>
      </c>
      <c r="D58" s="15" t="str">
        <f>VLOOKUP(표4[[#This Row],[번호]],표2[[번호]:[등급]],2,FALSE)</f>
        <v>북해도</v>
      </c>
      <c r="E58" s="15" t="str">
        <f>VLOOKUP(표4[[#This Row],[번호]],표2[[번호]:[등급]],3,FALSE)</f>
        <v>67,15</v>
      </c>
      <c r="F58" s="16" t="str">
        <f>VLOOKUP(표4[[#This Row],[번호]],표2[[번호]:[등급]],6,FALSE)</f>
        <v>-</v>
      </c>
      <c r="O58" s="3"/>
      <c r="P58" s="3"/>
      <c r="Q58" s="15"/>
      <c r="R58" s="15"/>
      <c r="S58" s="16"/>
      <c r="T58" s="13"/>
    </row>
    <row r="59" spans="1:20" x14ac:dyDescent="0.3">
      <c r="A59" s="3" t="s">
        <v>523</v>
      </c>
      <c r="B59" s="3" t="s">
        <v>931</v>
      </c>
      <c r="C59" s="8">
        <f>AVERAGEIF(표8[음식점 번호],표4[[#This Row],[번호]],표8[별점])</f>
        <v>1</v>
      </c>
      <c r="D59" s="15" t="str">
        <f>VLOOKUP(표4[[#This Row],[번호]],표2[[번호]:[등급]],2,FALSE)</f>
        <v>빕수식당</v>
      </c>
      <c r="E59" s="15" t="str">
        <f>VLOOKUP(표4[[#This Row],[번호]],표2[[번호]:[등급]],3,FALSE)</f>
        <v>67,55</v>
      </c>
      <c r="F59" s="16" t="str">
        <f>VLOOKUP(표4[[#This Row],[번호]],표2[[번호]:[등급]],6,FALSE)</f>
        <v>-</v>
      </c>
      <c r="O59" s="3"/>
      <c r="P59" s="3"/>
      <c r="Q59" s="15"/>
      <c r="R59" s="15"/>
      <c r="S59" s="16"/>
      <c r="T59" s="13"/>
    </row>
    <row r="60" spans="1:20" x14ac:dyDescent="0.3">
      <c r="A60" s="3" t="s">
        <v>528</v>
      </c>
      <c r="B60" s="3" t="s">
        <v>938</v>
      </c>
      <c r="C60" s="8">
        <f>AVERAGEIF(표8[음식점 번호],표4[[#This Row],[번호]],표8[별점])</f>
        <v>4</v>
      </c>
      <c r="D60" s="15" t="str">
        <f>VLOOKUP(표4[[#This Row],[번호]],표2[[번호]:[등급]],2,FALSE)</f>
        <v>사과식당</v>
      </c>
      <c r="E60" s="15" t="str">
        <f>VLOOKUP(표4[[#This Row],[번호]],표2[[번호]:[등급]],3,FALSE)</f>
        <v>30,43</v>
      </c>
      <c r="F60" s="16" t="str">
        <f>VLOOKUP(표4[[#This Row],[번호]],표2[[번호]:[등급]],6,FALSE)</f>
        <v>-</v>
      </c>
      <c r="O60" s="3"/>
      <c r="P60" s="3"/>
      <c r="Q60" s="15"/>
      <c r="R60" s="15"/>
      <c r="S60" s="16"/>
      <c r="T60" s="13"/>
    </row>
    <row r="61" spans="1:20" x14ac:dyDescent="0.3">
      <c r="A61" s="3" t="s">
        <v>533</v>
      </c>
      <c r="B61" s="3" t="s">
        <v>930</v>
      </c>
      <c r="C61" s="8">
        <f>AVERAGEIF(표8[음식점 번호],표4[[#This Row],[번호]],표8[별점])</f>
        <v>5</v>
      </c>
      <c r="D61" s="15" t="str">
        <f>VLOOKUP(표4[[#This Row],[번호]],표2[[번호]:[등급]],2,FALSE)</f>
        <v>사조참치(사당역점)</v>
      </c>
      <c r="E61" s="15" t="str">
        <f>VLOOKUP(표4[[#This Row],[번호]],표2[[번호]:[등급]],3,FALSE)</f>
        <v>95,9</v>
      </c>
      <c r="F61" s="16" t="str">
        <f>VLOOKUP(표4[[#This Row],[번호]],표2[[번호]:[등급]],6,FALSE)</f>
        <v>맛집</v>
      </c>
      <c r="O61" s="3"/>
      <c r="P61" s="3"/>
      <c r="Q61" s="15"/>
      <c r="R61" s="15"/>
      <c r="S61" s="16"/>
      <c r="T61" s="13"/>
    </row>
    <row r="62" spans="1:20" x14ac:dyDescent="0.3">
      <c r="A62" s="3" t="s">
        <v>538</v>
      </c>
      <c r="B62" s="3" t="s">
        <v>933</v>
      </c>
      <c r="C62" s="8">
        <f>AVERAGEIF(표8[음식점 번호],표4[[#This Row],[번호]],표8[별점])</f>
        <v>3</v>
      </c>
      <c r="D62" s="15" t="str">
        <f>VLOOKUP(표4[[#This Row],[번호]],표2[[번호]:[등급]],2,FALSE)</f>
        <v>삼대나주곰탕</v>
      </c>
      <c r="E62" s="15" t="str">
        <f>VLOOKUP(표4[[#This Row],[번호]],표2[[번호]:[등급]],3,FALSE)</f>
        <v>86,72</v>
      </c>
      <c r="F62" s="16" t="str">
        <f>VLOOKUP(표4[[#This Row],[번호]],표2[[번호]:[등급]],6,FALSE)</f>
        <v>-</v>
      </c>
      <c r="O62" s="3"/>
      <c r="P62" s="3"/>
      <c r="Q62" s="15"/>
      <c r="R62" s="15"/>
      <c r="S62" s="16"/>
      <c r="T62" s="13"/>
    </row>
    <row r="63" spans="1:20" x14ac:dyDescent="0.3">
      <c r="A63" s="3" t="s">
        <v>543</v>
      </c>
      <c r="B63" s="3" t="s">
        <v>935</v>
      </c>
      <c r="C63" s="8">
        <f>AVERAGEIF(표8[음식점 번호],표4[[#This Row],[번호]],표8[별점])</f>
        <v>2.5</v>
      </c>
      <c r="D63" s="15" t="str">
        <f>VLOOKUP(표4[[#This Row],[번호]],표2[[번호]:[등급]],2,FALSE)</f>
        <v>삼성각</v>
      </c>
      <c r="E63" s="15" t="str">
        <f>VLOOKUP(표4[[#This Row],[번호]],표2[[번호]:[등급]],3,FALSE)</f>
        <v>25,71</v>
      </c>
      <c r="F63" s="16" t="str">
        <f>VLOOKUP(표4[[#This Row],[번호]],표2[[번호]:[등급]],6,FALSE)</f>
        <v>-</v>
      </c>
      <c r="O63" s="3"/>
      <c r="P63" s="3"/>
      <c r="Q63" s="15"/>
      <c r="R63" s="15"/>
      <c r="S63" s="16"/>
      <c r="T63" s="13"/>
    </row>
    <row r="64" spans="1:20" x14ac:dyDescent="0.3">
      <c r="A64" s="3" t="s">
        <v>548</v>
      </c>
      <c r="B64" s="3" t="s">
        <v>933</v>
      </c>
      <c r="C64" s="8">
        <f>AVERAGEIF(표8[음식점 번호],표4[[#This Row],[번호]],표8[별점])</f>
        <v>5</v>
      </c>
      <c r="D64" s="15" t="str">
        <f>VLOOKUP(표4[[#This Row],[번호]],표2[[번호]:[등급]],2,FALSE)</f>
        <v>생고기전문점</v>
      </c>
      <c r="E64" s="15" t="str">
        <f>VLOOKUP(표4[[#This Row],[번호]],표2[[번호]:[등급]],3,FALSE)</f>
        <v>32,18</v>
      </c>
      <c r="F64" s="16" t="str">
        <f>VLOOKUP(표4[[#This Row],[번호]],표2[[번호]:[등급]],6,FALSE)</f>
        <v>맛집</v>
      </c>
      <c r="O64" s="3"/>
      <c r="P64" s="3"/>
      <c r="Q64" s="15"/>
      <c r="R64" s="15"/>
      <c r="S64" s="16"/>
      <c r="T64" s="13"/>
    </row>
    <row r="65" spans="1:20" x14ac:dyDescent="0.3">
      <c r="A65" s="3" t="s">
        <v>553</v>
      </c>
      <c r="B65" s="3" t="s">
        <v>936</v>
      </c>
      <c r="C65" s="8">
        <f>AVERAGEIF(표8[음식점 번호],표4[[#This Row],[번호]],표8[별점])</f>
        <v>1</v>
      </c>
      <c r="D65" s="15" t="str">
        <f>VLOOKUP(표4[[#This Row],[번호]],표2[[번호]:[등급]],2,FALSE)</f>
        <v>서래면옥</v>
      </c>
      <c r="E65" s="15" t="str">
        <f>VLOOKUP(표4[[#This Row],[번호]],표2[[번호]:[등급]],3,FALSE)</f>
        <v>84,3</v>
      </c>
      <c r="F65" s="16" t="str">
        <f>VLOOKUP(표4[[#This Row],[번호]],표2[[번호]:[등급]],6,FALSE)</f>
        <v>-</v>
      </c>
      <c r="O65" s="3"/>
      <c r="P65" s="3"/>
      <c r="Q65" s="15"/>
      <c r="R65" s="15"/>
      <c r="S65" s="16"/>
      <c r="T65" s="13"/>
    </row>
    <row r="66" spans="1:20" x14ac:dyDescent="0.3">
      <c r="A66" s="3" t="s">
        <v>558</v>
      </c>
      <c r="B66" s="3" t="s">
        <v>930</v>
      </c>
      <c r="C66" s="8">
        <f>AVERAGEIF(표8[음식점 번호],표4[[#This Row],[번호]],표8[별점])</f>
        <v>5</v>
      </c>
      <c r="D66" s="15" t="str">
        <f>VLOOKUP(표4[[#This Row],[번호]],표2[[번호]:[등급]],2,FALSE)</f>
        <v>서래횟집</v>
      </c>
      <c r="E66" s="15" t="str">
        <f>VLOOKUP(표4[[#This Row],[번호]],표2[[번호]:[등급]],3,FALSE)</f>
        <v>63,67</v>
      </c>
      <c r="F66" s="16" t="str">
        <f>VLOOKUP(표4[[#This Row],[번호]],표2[[번호]:[등급]],6,FALSE)</f>
        <v>맛집</v>
      </c>
      <c r="O66" s="3"/>
      <c r="P66" s="3"/>
      <c r="Q66" s="15"/>
      <c r="R66" s="15"/>
      <c r="S66" s="16"/>
      <c r="T66" s="13"/>
    </row>
    <row r="67" spans="1:20" x14ac:dyDescent="0.3">
      <c r="A67" s="3" t="s">
        <v>563</v>
      </c>
      <c r="B67" s="3" t="s">
        <v>933</v>
      </c>
      <c r="C67" s="8">
        <f>AVERAGEIF(표8[음식점 번호],표4[[#This Row],[번호]],표8[별점])</f>
        <v>3</v>
      </c>
      <c r="D67" s="15" t="str">
        <f>VLOOKUP(표4[[#This Row],[번호]],표2[[번호]:[등급]],2,FALSE)</f>
        <v>서초갈비</v>
      </c>
      <c r="E67" s="15" t="str">
        <f>VLOOKUP(표4[[#This Row],[번호]],표2[[번호]:[등급]],3,FALSE)</f>
        <v>69,44</v>
      </c>
      <c r="F67" s="16" t="str">
        <f>VLOOKUP(표4[[#This Row],[번호]],표2[[번호]:[등급]],6,FALSE)</f>
        <v>-</v>
      </c>
      <c r="O67" s="3"/>
      <c r="P67" s="3"/>
      <c r="Q67" s="15"/>
      <c r="R67" s="15"/>
      <c r="S67" s="16"/>
      <c r="T67" s="13"/>
    </row>
    <row r="68" spans="1:20" x14ac:dyDescent="0.3">
      <c r="A68" s="3" t="s">
        <v>568</v>
      </c>
      <c r="B68" s="3" t="s">
        <v>933</v>
      </c>
      <c r="C68" s="8">
        <f>AVERAGEIF(표8[음식점 번호],표4[[#This Row],[번호]],표8[별점])</f>
        <v>2</v>
      </c>
      <c r="D68" s="15" t="str">
        <f>VLOOKUP(표4[[#This Row],[번호]],표2[[번호]:[등급]],2,FALSE)</f>
        <v>서초보쌈</v>
      </c>
      <c r="E68" s="15" t="str">
        <f>VLOOKUP(표4[[#This Row],[번호]],표2[[번호]:[등급]],3,FALSE)</f>
        <v>70,21</v>
      </c>
      <c r="F68" s="16" t="str">
        <f>VLOOKUP(표4[[#This Row],[번호]],표2[[번호]:[등급]],6,FALSE)</f>
        <v>-</v>
      </c>
      <c r="O68" s="3"/>
      <c r="P68" s="3"/>
      <c r="Q68" s="15"/>
      <c r="R68" s="15"/>
      <c r="S68" s="16"/>
      <c r="T68" s="13"/>
    </row>
    <row r="69" spans="1:20" x14ac:dyDescent="0.3">
      <c r="A69" s="3" t="s">
        <v>573</v>
      </c>
      <c r="B69" s="3" t="s">
        <v>933</v>
      </c>
      <c r="C69" s="8">
        <f>AVERAGEIF(표8[음식점 번호],표4[[#This Row],[번호]],표8[별점])</f>
        <v>5</v>
      </c>
      <c r="D69" s="15" t="str">
        <f>VLOOKUP(표4[[#This Row],[번호]],표2[[번호]:[등급]],2,FALSE)</f>
        <v>서초정육식당</v>
      </c>
      <c r="E69" s="15" t="str">
        <f>VLOOKUP(표4[[#This Row],[번호]],표2[[번호]:[등급]],3,FALSE)</f>
        <v>72,47</v>
      </c>
      <c r="F69" s="16" t="str">
        <f>VLOOKUP(표4[[#This Row],[번호]],표2[[번호]:[등급]],6,FALSE)</f>
        <v>맛집</v>
      </c>
      <c r="O69" s="3"/>
      <c r="P69" s="3"/>
      <c r="Q69" s="15"/>
      <c r="R69" s="15"/>
      <c r="S69" s="16"/>
      <c r="T69" s="13"/>
    </row>
    <row r="70" spans="1:20" x14ac:dyDescent="0.3">
      <c r="A70" s="3" t="s">
        <v>578</v>
      </c>
      <c r="B70" s="3" t="s">
        <v>935</v>
      </c>
      <c r="C70" s="8">
        <f>AVERAGEIF(표8[음식점 번호],표4[[#This Row],[번호]],표8[별점])</f>
        <v>3</v>
      </c>
      <c r="D70" s="15" t="str">
        <f>VLOOKUP(표4[[#This Row],[번호]],표2[[번호]:[등급]],2,FALSE)</f>
        <v>선궁</v>
      </c>
      <c r="E70" s="15" t="str">
        <f>VLOOKUP(표4[[#This Row],[번호]],표2[[번호]:[등급]],3,FALSE)</f>
        <v>89,8</v>
      </c>
      <c r="F70" s="16" t="str">
        <f>VLOOKUP(표4[[#This Row],[번호]],표2[[번호]:[등급]],6,FALSE)</f>
        <v>-</v>
      </c>
      <c r="O70" s="3"/>
      <c r="P70" s="3"/>
      <c r="Q70" s="15"/>
      <c r="R70" s="15"/>
      <c r="S70" s="16"/>
      <c r="T70" s="13"/>
    </row>
    <row r="71" spans="1:20" x14ac:dyDescent="0.3">
      <c r="A71" s="3" t="s">
        <v>583</v>
      </c>
      <c r="B71" s="3" t="s">
        <v>930</v>
      </c>
      <c r="C71" s="8">
        <f>AVERAGEIF(표8[음식점 번호],표4[[#This Row],[번호]],표8[별점])</f>
        <v>2</v>
      </c>
      <c r="D71" s="15" t="str">
        <f>VLOOKUP(표4[[#This Row],[번호]],표2[[번호]:[등급]],2,FALSE)</f>
        <v>설국</v>
      </c>
      <c r="E71" s="15" t="str">
        <f>VLOOKUP(표4[[#This Row],[번호]],표2[[번호]:[등급]],3,FALSE)</f>
        <v>15,10</v>
      </c>
      <c r="F71" s="16" t="str">
        <f>VLOOKUP(표4[[#This Row],[번호]],표2[[번호]:[등급]],6,FALSE)</f>
        <v>-</v>
      </c>
      <c r="O71" s="3"/>
      <c r="P71" s="3"/>
      <c r="Q71" s="15"/>
      <c r="R71" s="15"/>
      <c r="S71" s="16"/>
      <c r="T71" s="13"/>
    </row>
    <row r="72" spans="1:20" x14ac:dyDescent="0.3">
      <c r="A72" s="3" t="s">
        <v>588</v>
      </c>
      <c r="B72" s="3" t="s">
        <v>935</v>
      </c>
      <c r="C72" s="8">
        <f>AVERAGEIF(표8[음식점 번호],표4[[#This Row],[번호]],표8[별점])</f>
        <v>2</v>
      </c>
      <c r="D72" s="15" t="str">
        <f>VLOOKUP(표4[[#This Row],[번호]],표2[[번호]:[등급]],2,FALSE)</f>
        <v>성민양꼬치</v>
      </c>
      <c r="E72" s="15" t="str">
        <f>VLOOKUP(표4[[#This Row],[번호]],표2[[번호]:[등급]],3,FALSE)</f>
        <v>86,41</v>
      </c>
      <c r="F72" s="16" t="str">
        <f>VLOOKUP(표4[[#This Row],[번호]],표2[[번호]:[등급]],6,FALSE)</f>
        <v>-</v>
      </c>
      <c r="O72" s="3"/>
      <c r="P72" s="3"/>
      <c r="Q72" s="15"/>
      <c r="R72" s="15"/>
      <c r="S72" s="16"/>
      <c r="T72" s="13"/>
    </row>
    <row r="73" spans="1:20" x14ac:dyDescent="0.3">
      <c r="A73" s="3" t="s">
        <v>593</v>
      </c>
      <c r="B73" s="3" t="s">
        <v>935</v>
      </c>
      <c r="C73" s="8">
        <f>AVERAGEIF(표8[음식점 번호],표4[[#This Row],[번호]],표8[별점])</f>
        <v>5</v>
      </c>
      <c r="D73" s="15" t="str">
        <f>VLOOKUP(표4[[#This Row],[번호]],표2[[번호]:[등급]],2,FALSE)</f>
        <v>송쉐프</v>
      </c>
      <c r="E73" s="15" t="str">
        <f>VLOOKUP(표4[[#This Row],[번호]],표2[[번호]:[등급]],3,FALSE)</f>
        <v>71,69</v>
      </c>
      <c r="F73" s="16" t="str">
        <f>VLOOKUP(표4[[#This Row],[번호]],표2[[번호]:[등급]],6,FALSE)</f>
        <v>맛집</v>
      </c>
      <c r="O73" s="3"/>
      <c r="P73" s="3"/>
      <c r="Q73" s="15"/>
      <c r="R73" s="15"/>
      <c r="S73" s="16"/>
      <c r="T73" s="13"/>
    </row>
    <row r="74" spans="1:20" x14ac:dyDescent="0.3">
      <c r="A74" s="3" t="s">
        <v>598</v>
      </c>
      <c r="B74" s="3" t="s">
        <v>930</v>
      </c>
      <c r="C74" s="8">
        <f>AVERAGEIF(표8[음식점 번호],표4[[#This Row],[번호]],표8[별점])</f>
        <v>3.75</v>
      </c>
      <c r="D74" s="15" t="str">
        <f>VLOOKUP(표4[[#This Row],[번호]],표2[[번호]:[등급]],2,FALSE)</f>
        <v>송학횟집</v>
      </c>
      <c r="E74" s="15" t="str">
        <f>VLOOKUP(표4[[#This Row],[번호]],표2[[번호]:[등급]],3,FALSE)</f>
        <v>8,21</v>
      </c>
      <c r="F74" s="16" t="str">
        <f>VLOOKUP(표4[[#This Row],[번호]],표2[[번호]:[등급]],6,FALSE)</f>
        <v>맛집</v>
      </c>
      <c r="O74" s="3"/>
      <c r="P74" s="3"/>
      <c r="Q74" s="15"/>
      <c r="R74" s="15"/>
      <c r="S74" s="16"/>
      <c r="T74" s="13"/>
    </row>
    <row r="75" spans="1:20" x14ac:dyDescent="0.3">
      <c r="A75" s="3" t="s">
        <v>603</v>
      </c>
      <c r="B75" s="3" t="s">
        <v>933</v>
      </c>
      <c r="C75" s="8">
        <f>AVERAGEIF(표8[음식점 번호],표4[[#This Row],[번호]],표8[별점])</f>
        <v>4</v>
      </c>
      <c r="D75" s="15" t="str">
        <f>VLOOKUP(표4[[#This Row],[번호]],표2[[번호]:[등급]],2,FALSE)</f>
        <v>수라빔</v>
      </c>
      <c r="E75" s="15" t="str">
        <f>VLOOKUP(표4[[#This Row],[번호]],표2[[번호]:[등급]],3,FALSE)</f>
        <v>45,45</v>
      </c>
      <c r="F75" s="16" t="str">
        <f>VLOOKUP(표4[[#This Row],[번호]],표2[[번호]:[등급]],6,FALSE)</f>
        <v>-</v>
      </c>
      <c r="O75" s="3"/>
      <c r="P75" s="3"/>
      <c r="Q75" s="15"/>
      <c r="R75" s="15"/>
      <c r="S75" s="16"/>
      <c r="T75" s="13"/>
    </row>
    <row r="76" spans="1:20" x14ac:dyDescent="0.3">
      <c r="A76" s="3" t="s">
        <v>608</v>
      </c>
      <c r="B76" s="3" t="s">
        <v>938</v>
      </c>
      <c r="C76" s="8">
        <f>AVERAGEIF(표8[음식점 번호],표4[[#This Row],[번호]],표8[별점])</f>
        <v>3</v>
      </c>
      <c r="D76" s="15" t="str">
        <f>VLOOKUP(표4[[#This Row],[번호]],표2[[번호]:[등급]],2,FALSE)</f>
        <v>수박식당</v>
      </c>
      <c r="E76" s="15" t="str">
        <f>VLOOKUP(표4[[#This Row],[번호]],표2[[번호]:[등급]],3,FALSE)</f>
        <v>42,37</v>
      </c>
      <c r="F76" s="16" t="str">
        <f>VLOOKUP(표4[[#This Row],[번호]],표2[[번호]:[등급]],6,FALSE)</f>
        <v>-</v>
      </c>
      <c r="O76" s="3"/>
      <c r="P76" s="3"/>
      <c r="Q76" s="15"/>
      <c r="R76" s="15"/>
      <c r="S76" s="16"/>
      <c r="T76" s="13"/>
    </row>
    <row r="77" spans="1:20" x14ac:dyDescent="0.3">
      <c r="A77" s="3" t="s">
        <v>613</v>
      </c>
      <c r="B77" s="3" t="s">
        <v>930</v>
      </c>
      <c r="C77" s="8">
        <f>AVERAGEIF(표8[음식점 번호],표4[[#This Row],[번호]],표8[별점])</f>
        <v>1</v>
      </c>
      <c r="D77" s="15" t="str">
        <f>VLOOKUP(표4[[#This Row],[번호]],표2[[번호]:[등급]],2,FALSE)</f>
        <v>스시 다미선</v>
      </c>
      <c r="E77" s="15" t="str">
        <f>VLOOKUP(표4[[#This Row],[번호]],표2[[번호]:[등급]],3,FALSE)</f>
        <v>55,87</v>
      </c>
      <c r="F77" s="16" t="str">
        <f>VLOOKUP(표4[[#This Row],[번호]],표2[[번호]:[등급]],6,FALSE)</f>
        <v>-</v>
      </c>
      <c r="O77" s="3"/>
      <c r="P77" s="3"/>
      <c r="Q77" s="15"/>
      <c r="R77" s="15"/>
      <c r="S77" s="16"/>
      <c r="T77" s="13"/>
    </row>
    <row r="78" spans="1:20" x14ac:dyDescent="0.3">
      <c r="A78" s="3" t="s">
        <v>618</v>
      </c>
      <c r="B78" s="3" t="s">
        <v>930</v>
      </c>
      <c r="C78" s="8">
        <f>AVERAGEIF(표8[음식점 번호],표4[[#This Row],[번호]],표8[별점])</f>
        <v>5</v>
      </c>
      <c r="D78" s="15" t="str">
        <f>VLOOKUP(표4[[#This Row],[번호]],표2[[번호]:[등급]],2,FALSE)</f>
        <v>스시가</v>
      </c>
      <c r="E78" s="15" t="str">
        <f>VLOOKUP(표4[[#This Row],[번호]],표2[[번호]:[등급]],3,FALSE)</f>
        <v>43,25</v>
      </c>
      <c r="F78" s="16" t="str">
        <f>VLOOKUP(표4[[#This Row],[번호]],표2[[번호]:[등급]],6,FALSE)</f>
        <v>맛집</v>
      </c>
      <c r="O78" s="3"/>
      <c r="P78" s="3"/>
      <c r="Q78" s="15"/>
      <c r="R78" s="15"/>
      <c r="S78" s="16"/>
      <c r="T78" s="13"/>
    </row>
    <row r="79" spans="1:20" x14ac:dyDescent="0.3">
      <c r="A79" s="3" t="s">
        <v>623</v>
      </c>
      <c r="B79" s="3" t="s">
        <v>930</v>
      </c>
      <c r="C79" s="8">
        <f>AVERAGEIF(표8[음식점 번호],표4[[#This Row],[번호]],표8[별점])</f>
        <v>2</v>
      </c>
      <c r="D79" s="15" t="str">
        <f>VLOOKUP(표4[[#This Row],[번호]],표2[[번호]:[등급]],2,FALSE)</f>
        <v>식도원</v>
      </c>
      <c r="E79" s="15" t="str">
        <f>VLOOKUP(표4[[#This Row],[번호]],표2[[번호]:[등급]],3,FALSE)</f>
        <v>11,16</v>
      </c>
      <c r="F79" s="16" t="str">
        <f>VLOOKUP(표4[[#This Row],[번호]],표2[[번호]:[등급]],6,FALSE)</f>
        <v>-</v>
      </c>
      <c r="O79" s="3"/>
      <c r="P79" s="3"/>
      <c r="Q79" s="15"/>
      <c r="R79" s="15"/>
      <c r="S79" s="16"/>
      <c r="T79" s="13"/>
    </row>
    <row r="80" spans="1:20" x14ac:dyDescent="0.3">
      <c r="A80" s="3" t="s">
        <v>628</v>
      </c>
      <c r="B80" s="3" t="s">
        <v>932</v>
      </c>
      <c r="C80" s="8">
        <f>AVERAGEIF(표8[음식점 번호],표4[[#This Row],[번호]],표8[별점])</f>
        <v>3</v>
      </c>
      <c r="D80" s="15" t="str">
        <f>VLOOKUP(표4[[#This Row],[번호]],표2[[번호]:[등급]],2,FALSE)</f>
        <v>식식식당</v>
      </c>
      <c r="E80" s="15" t="str">
        <f>VLOOKUP(표4[[#This Row],[번호]],표2[[번호]:[등급]],3,FALSE)</f>
        <v>17,67</v>
      </c>
      <c r="F80" s="16" t="str">
        <f>VLOOKUP(표4[[#This Row],[번호]],표2[[번호]:[등급]],6,FALSE)</f>
        <v>-</v>
      </c>
      <c r="O80" s="3"/>
      <c r="P80" s="3"/>
      <c r="Q80" s="15"/>
      <c r="R80" s="15"/>
      <c r="S80" s="16"/>
      <c r="T80" s="13"/>
    </row>
    <row r="81" spans="1:20" x14ac:dyDescent="0.3">
      <c r="A81" s="3" t="s">
        <v>633</v>
      </c>
      <c r="B81" s="3" t="s">
        <v>933</v>
      </c>
      <c r="C81" s="8">
        <f>AVERAGEIF(표8[음식점 번호],표4[[#This Row],[번호]],표8[별점])</f>
        <v>5</v>
      </c>
      <c r="D81" s="15" t="str">
        <f>VLOOKUP(표4[[#This Row],[번호]],표2[[번호]:[등급]],2,FALSE)</f>
        <v>신촌설렁탕</v>
      </c>
      <c r="E81" s="15" t="str">
        <f>VLOOKUP(표4[[#This Row],[번호]],표2[[번호]:[등급]],3,FALSE)</f>
        <v>29,78</v>
      </c>
      <c r="F81" s="16" t="str">
        <f>VLOOKUP(표4[[#This Row],[번호]],표2[[번호]:[등급]],6,FALSE)</f>
        <v>맛집</v>
      </c>
      <c r="O81" s="3"/>
      <c r="P81" s="3"/>
      <c r="Q81" s="15"/>
      <c r="R81" s="15"/>
      <c r="S81" s="16"/>
      <c r="T81" s="13"/>
    </row>
    <row r="82" spans="1:20" x14ac:dyDescent="0.3">
      <c r="A82" s="3" t="s">
        <v>638</v>
      </c>
      <c r="B82" s="3" t="s">
        <v>930</v>
      </c>
      <c r="C82" s="8">
        <f>AVERAGEIF(표8[음식점 번호],표4[[#This Row],[번호]],표8[별점])</f>
        <v>1</v>
      </c>
      <c r="D82" s="15" t="str">
        <f>VLOOKUP(표4[[#This Row],[번호]],표2[[번호]:[등급]],2,FALSE)</f>
        <v>신태평양</v>
      </c>
      <c r="E82" s="15" t="str">
        <f>VLOOKUP(표4[[#This Row],[번호]],표2[[번호]:[등급]],3,FALSE)</f>
        <v>76,36</v>
      </c>
      <c r="F82" s="16" t="str">
        <f>VLOOKUP(표4[[#This Row],[번호]],표2[[번호]:[등급]],6,FALSE)</f>
        <v>-</v>
      </c>
      <c r="O82" s="3"/>
      <c r="P82" s="3"/>
      <c r="Q82" s="15"/>
      <c r="R82" s="15"/>
      <c r="S82" s="16"/>
      <c r="T82" s="13"/>
    </row>
    <row r="83" spans="1:20" x14ac:dyDescent="0.3">
      <c r="A83" s="3" t="s">
        <v>643</v>
      </c>
      <c r="B83" s="3" t="s">
        <v>935</v>
      </c>
      <c r="C83" s="8">
        <f>AVERAGEIF(표8[음식점 번호],표4[[#This Row],[번호]],표8[별점])</f>
        <v>2</v>
      </c>
      <c r="D83" s="15" t="str">
        <f>VLOOKUP(표4[[#This Row],[번호]],표2[[번호]:[등급]],2,FALSE)</f>
        <v>양쓰부</v>
      </c>
      <c r="E83" s="15" t="str">
        <f>VLOOKUP(표4[[#This Row],[번호]],표2[[번호]:[등급]],3,FALSE)</f>
        <v>19,33</v>
      </c>
      <c r="F83" s="16" t="str">
        <f>VLOOKUP(표4[[#This Row],[번호]],표2[[번호]:[등급]],6,FALSE)</f>
        <v>-</v>
      </c>
      <c r="O83" s="3"/>
      <c r="P83" s="3"/>
      <c r="Q83" s="15"/>
      <c r="R83" s="15"/>
      <c r="S83" s="16"/>
      <c r="T83" s="13"/>
    </row>
    <row r="84" spans="1:20" x14ac:dyDescent="0.3">
      <c r="A84" s="3" t="s">
        <v>648</v>
      </c>
      <c r="B84" s="3" t="s">
        <v>931</v>
      </c>
      <c r="C84" s="8">
        <f>AVERAGEIF(표8[음식점 번호],표4[[#This Row],[번호]],표8[별점])</f>
        <v>1</v>
      </c>
      <c r="D84" s="15" t="str">
        <f>VLOOKUP(표4[[#This Row],[번호]],표2[[번호]:[등급]],2,FALSE)</f>
        <v>어른식당</v>
      </c>
      <c r="E84" s="15" t="str">
        <f>VLOOKUP(표4[[#This Row],[번호]],표2[[번호]:[등급]],3,FALSE)</f>
        <v>69,95</v>
      </c>
      <c r="F84" s="16" t="str">
        <f>VLOOKUP(표4[[#This Row],[번호]],표2[[번호]:[등급]],6,FALSE)</f>
        <v>-</v>
      </c>
      <c r="O84" s="3"/>
      <c r="P84" s="3"/>
      <c r="Q84" s="15"/>
      <c r="R84" s="15"/>
      <c r="S84" s="16"/>
      <c r="T84" s="13"/>
    </row>
    <row r="85" spans="1:20" x14ac:dyDescent="0.3">
      <c r="A85" s="3" t="s">
        <v>653</v>
      </c>
      <c r="B85" s="3" t="s">
        <v>933</v>
      </c>
      <c r="C85" s="8">
        <f>AVERAGEIF(표8[음식점 번호],표4[[#This Row],[번호]],표8[별점])</f>
        <v>2</v>
      </c>
      <c r="D85" s="15" t="str">
        <f>VLOOKUP(표4[[#This Row],[번호]],표2[[번호]:[등급]],2,FALSE)</f>
        <v>엉터리생고기</v>
      </c>
      <c r="E85" s="15" t="str">
        <f>VLOOKUP(표4[[#This Row],[번호]],표2[[번호]:[등급]],3,FALSE)</f>
        <v>93,19</v>
      </c>
      <c r="F85" s="16" t="str">
        <f>VLOOKUP(표4[[#This Row],[번호]],표2[[번호]:[등급]],6,FALSE)</f>
        <v>-</v>
      </c>
      <c r="O85" s="3"/>
      <c r="P85" s="3"/>
      <c r="Q85" s="15"/>
      <c r="R85" s="15"/>
      <c r="S85" s="16"/>
      <c r="T85" s="13"/>
    </row>
    <row r="86" spans="1:20" x14ac:dyDescent="0.3">
      <c r="A86" s="3" t="s">
        <v>658</v>
      </c>
      <c r="B86" s="3" t="s">
        <v>937</v>
      </c>
      <c r="C86" s="8">
        <f>AVERAGEIF(표8[음식점 번호],표4[[#This Row],[번호]],표8[별점])</f>
        <v>1</v>
      </c>
      <c r="D86" s="15" t="str">
        <f>VLOOKUP(표4[[#This Row],[번호]],표2[[번호]:[등급]],2,FALSE)</f>
        <v>엉터리식당</v>
      </c>
      <c r="E86" s="15" t="str">
        <f>VLOOKUP(표4[[#This Row],[번호]],표2[[번호]:[등급]],3,FALSE)</f>
        <v>37,78</v>
      </c>
      <c r="F86" s="16" t="str">
        <f>VLOOKUP(표4[[#This Row],[번호]],표2[[번호]:[등급]],6,FALSE)</f>
        <v>-</v>
      </c>
      <c r="O86" s="3"/>
      <c r="P86" s="3"/>
      <c r="Q86" s="15"/>
      <c r="R86" s="15"/>
      <c r="S86" s="16"/>
      <c r="T86" s="13"/>
    </row>
    <row r="87" spans="1:20" x14ac:dyDescent="0.3">
      <c r="A87" s="3" t="s">
        <v>663</v>
      </c>
      <c r="B87" s="3" t="s">
        <v>935</v>
      </c>
      <c r="C87" s="8">
        <f>AVERAGEIF(표8[음식점 번호],표4[[#This Row],[번호]],표8[별점])</f>
        <v>2</v>
      </c>
      <c r="D87" s="15" t="str">
        <f>VLOOKUP(표4[[#This Row],[번호]],표2[[번호]:[등급]],2,FALSE)</f>
        <v>연화산</v>
      </c>
      <c r="E87" s="15" t="str">
        <f>VLOOKUP(표4[[#This Row],[번호]],표2[[번호]:[등급]],3,FALSE)</f>
        <v>91,52</v>
      </c>
      <c r="F87" s="16" t="str">
        <f>VLOOKUP(표4[[#This Row],[번호]],표2[[번호]:[등급]],6,FALSE)</f>
        <v>-</v>
      </c>
      <c r="O87" s="3"/>
      <c r="P87" s="3"/>
      <c r="Q87" s="15"/>
      <c r="R87" s="15"/>
      <c r="S87" s="16"/>
      <c r="T87" s="13"/>
    </row>
    <row r="88" spans="1:20" x14ac:dyDescent="0.3">
      <c r="A88" s="3" t="s">
        <v>668</v>
      </c>
      <c r="B88" s="3" t="s">
        <v>930</v>
      </c>
      <c r="C88" s="8">
        <f>AVERAGEIF(표8[음식점 번호],표4[[#This Row],[번호]],표8[별점])</f>
        <v>5</v>
      </c>
      <c r="D88" s="15" t="str">
        <f>VLOOKUP(표4[[#This Row],[번호]],표2[[번호]:[등급]],2,FALSE)</f>
        <v>영변</v>
      </c>
      <c r="E88" s="15" t="str">
        <f>VLOOKUP(표4[[#This Row],[번호]],표2[[번호]:[등급]],3,FALSE)</f>
        <v>3,36</v>
      </c>
      <c r="F88" s="16" t="str">
        <f>VLOOKUP(표4[[#This Row],[번호]],표2[[번호]:[등급]],6,FALSE)</f>
        <v>맛집</v>
      </c>
      <c r="O88" s="3"/>
      <c r="P88" s="3"/>
      <c r="Q88" s="15"/>
      <c r="R88" s="15"/>
      <c r="S88" s="16"/>
      <c r="T88" s="13"/>
    </row>
    <row r="89" spans="1:20" x14ac:dyDescent="0.3">
      <c r="A89" s="3" t="s">
        <v>673</v>
      </c>
      <c r="B89" s="3" t="s">
        <v>931</v>
      </c>
      <c r="C89" s="8">
        <f>AVERAGEIF(표8[음식점 번호],표4[[#This Row],[번호]],표8[별점])</f>
        <v>4</v>
      </c>
      <c r="D89" s="15" t="str">
        <f>VLOOKUP(표4[[#This Row],[번호]],표2[[번호]:[등급]],2,FALSE)</f>
        <v>영식당</v>
      </c>
      <c r="E89" s="15" t="str">
        <f>VLOOKUP(표4[[#This Row],[번호]],표2[[번호]:[등급]],3,FALSE)</f>
        <v>77,79</v>
      </c>
      <c r="F89" s="16" t="str">
        <f>VLOOKUP(표4[[#This Row],[번호]],표2[[번호]:[등급]],6,FALSE)</f>
        <v>-</v>
      </c>
      <c r="O89" s="3"/>
      <c r="P89" s="3"/>
      <c r="Q89" s="15"/>
      <c r="R89" s="15"/>
      <c r="S89" s="16"/>
      <c r="T89" s="13"/>
    </row>
    <row r="90" spans="1:20" x14ac:dyDescent="0.3">
      <c r="A90" s="3" t="s">
        <v>678</v>
      </c>
      <c r="B90" s="3" t="s">
        <v>938</v>
      </c>
      <c r="C90" s="8">
        <f>AVERAGEIF(표8[음식점 번호],표4[[#This Row],[번호]],표8[별점])</f>
        <v>3</v>
      </c>
      <c r="D90" s="15" t="str">
        <f>VLOOKUP(표4[[#This Row],[번호]],표2[[번호]:[등급]],2,FALSE)</f>
        <v>오렌지식당</v>
      </c>
      <c r="E90" s="15" t="str">
        <f>VLOOKUP(표4[[#This Row],[번호]],표2[[번호]:[등급]],3,FALSE)</f>
        <v>72,43</v>
      </c>
      <c r="F90" s="16" t="str">
        <f>VLOOKUP(표4[[#This Row],[번호]],표2[[번호]:[등급]],6,FALSE)</f>
        <v>-</v>
      </c>
      <c r="O90" s="3"/>
      <c r="P90" s="3"/>
      <c r="Q90" s="15"/>
      <c r="R90" s="15"/>
      <c r="S90" s="16"/>
      <c r="T90" s="13"/>
    </row>
    <row r="91" spans="1:20" x14ac:dyDescent="0.3">
      <c r="A91" s="3" t="s">
        <v>683</v>
      </c>
      <c r="B91" s="3" t="s">
        <v>933</v>
      </c>
      <c r="C91" s="8">
        <f>AVERAGEIF(표8[음식점 번호],표4[[#This Row],[번호]],표8[별점])</f>
        <v>5</v>
      </c>
      <c r="D91" s="15" t="str">
        <f>VLOOKUP(표4[[#This Row],[번호]],표2[[번호]:[등급]],2,FALSE)</f>
        <v>오발탄</v>
      </c>
      <c r="E91" s="15" t="str">
        <f>VLOOKUP(표4[[#This Row],[번호]],표2[[번호]:[등급]],3,FALSE)</f>
        <v>41,93</v>
      </c>
      <c r="F91" s="16" t="str">
        <f>VLOOKUP(표4[[#This Row],[번호]],표2[[번호]:[등급]],6,FALSE)</f>
        <v>맛집</v>
      </c>
      <c r="O91" s="3"/>
      <c r="P91" s="3"/>
      <c r="Q91" s="15"/>
      <c r="R91" s="15"/>
      <c r="S91" s="16"/>
      <c r="T91" s="13"/>
    </row>
    <row r="92" spans="1:20" x14ac:dyDescent="0.3">
      <c r="A92" s="3" t="s">
        <v>688</v>
      </c>
      <c r="B92" s="3" t="s">
        <v>933</v>
      </c>
      <c r="C92" s="8">
        <f>AVERAGEIF(표8[음식점 번호],표4[[#This Row],[번호]],표8[별점])</f>
        <v>4</v>
      </c>
      <c r="D92" s="15" t="str">
        <f>VLOOKUP(표4[[#This Row],[번호]],표2[[번호]:[등급]],2,FALSE)</f>
        <v>오선채</v>
      </c>
      <c r="E92" s="15" t="str">
        <f>VLOOKUP(표4[[#This Row],[번호]],표2[[번호]:[등급]],3,FALSE)</f>
        <v>28,69</v>
      </c>
      <c r="F92" s="16" t="str">
        <f>VLOOKUP(표4[[#This Row],[번호]],표2[[번호]:[등급]],6,FALSE)</f>
        <v>-</v>
      </c>
      <c r="O92" s="3"/>
      <c r="P92" s="3"/>
      <c r="Q92" s="15"/>
      <c r="R92" s="15"/>
      <c r="S92" s="16"/>
      <c r="T92" s="13"/>
    </row>
    <row r="93" spans="1:20" x14ac:dyDescent="0.3">
      <c r="A93" s="3" t="s">
        <v>693</v>
      </c>
      <c r="B93" s="3" t="s">
        <v>935</v>
      </c>
      <c r="C93" s="8">
        <f>AVERAGEIF(표8[음식점 번호],표4[[#This Row],[번호]],표8[별점])</f>
        <v>1</v>
      </c>
      <c r="D93" s="15" t="str">
        <f>VLOOKUP(표4[[#This Row],[번호]],표2[[번호]:[등급]],2,FALSE)</f>
        <v>용봉대반점</v>
      </c>
      <c r="E93" s="15" t="str">
        <f>VLOOKUP(표4[[#This Row],[번호]],표2[[번호]:[등급]],3,FALSE)</f>
        <v>23,24</v>
      </c>
      <c r="F93" s="16" t="str">
        <f>VLOOKUP(표4[[#This Row],[번호]],표2[[번호]:[등급]],6,FALSE)</f>
        <v>-</v>
      </c>
      <c r="O93" s="3"/>
      <c r="P93" s="3"/>
      <c r="Q93" s="15"/>
      <c r="R93" s="15"/>
      <c r="S93" s="16"/>
      <c r="T93" s="13"/>
    </row>
    <row r="94" spans="1:20" x14ac:dyDescent="0.3">
      <c r="A94" s="3" t="s">
        <v>698</v>
      </c>
      <c r="B94" s="3" t="s">
        <v>935</v>
      </c>
      <c r="C94" s="8">
        <f>AVERAGEIF(표8[음식점 번호],표4[[#This Row],[번호]],표8[별점])</f>
        <v>4</v>
      </c>
      <c r="D94" s="15" t="str">
        <f>VLOOKUP(표4[[#This Row],[번호]],표2[[번호]:[등급]],2,FALSE)</f>
        <v>우리식당</v>
      </c>
      <c r="E94" s="15" t="str">
        <f>VLOOKUP(표4[[#This Row],[번호]],표2[[번호]:[등급]],3,FALSE)</f>
        <v>62,1</v>
      </c>
      <c r="F94" s="16" t="str">
        <f>VLOOKUP(표4[[#This Row],[번호]],표2[[번호]:[등급]],6,FALSE)</f>
        <v>-</v>
      </c>
      <c r="O94" s="3"/>
      <c r="P94" s="3"/>
      <c r="Q94" s="15"/>
      <c r="R94" s="15"/>
      <c r="S94" s="16"/>
      <c r="T94" s="13"/>
    </row>
    <row r="95" spans="1:20" x14ac:dyDescent="0.3">
      <c r="A95" s="3" t="s">
        <v>703</v>
      </c>
      <c r="B95" s="3" t="s">
        <v>933</v>
      </c>
      <c r="C95" s="8">
        <f>AVERAGEIF(표8[음식점 번호],표4[[#This Row],[번호]],표8[별점])</f>
        <v>4</v>
      </c>
      <c r="D95" s="15" t="str">
        <f>VLOOKUP(표4[[#This Row],[번호]],표2[[번호]:[등급]],2,FALSE)</f>
        <v>우밀면옥</v>
      </c>
      <c r="E95" s="15" t="str">
        <f>VLOOKUP(표4[[#This Row],[번호]],표2[[번호]:[등급]],3,FALSE)</f>
        <v>72,10</v>
      </c>
      <c r="F95" s="16" t="str">
        <f>VLOOKUP(표4[[#This Row],[번호]],표2[[번호]:[등급]],6,FALSE)</f>
        <v>-</v>
      </c>
      <c r="O95" s="3"/>
      <c r="P95" s="3"/>
      <c r="Q95" s="15"/>
      <c r="R95" s="15"/>
      <c r="S95" s="16"/>
      <c r="T95" s="13"/>
    </row>
    <row r="96" spans="1:20" x14ac:dyDescent="0.3">
      <c r="A96" s="3" t="s">
        <v>708</v>
      </c>
      <c r="B96" s="3" t="s">
        <v>930</v>
      </c>
      <c r="C96" s="8">
        <f>AVERAGEIF(표8[음식점 번호],표4[[#This Row],[번호]],표8[별점])</f>
        <v>4.5</v>
      </c>
      <c r="D96" s="15" t="str">
        <f>VLOOKUP(표4[[#This Row],[번호]],표2[[번호]:[등급]],2,FALSE)</f>
        <v>유다까 회전초밥전문점</v>
      </c>
      <c r="E96" s="15" t="str">
        <f>VLOOKUP(표4[[#This Row],[번호]],표2[[번호]:[등급]],3,FALSE)</f>
        <v>99,6</v>
      </c>
      <c r="F96" s="16" t="str">
        <f>VLOOKUP(표4[[#This Row],[번호]],표2[[번호]:[등급]],6,FALSE)</f>
        <v>맛집</v>
      </c>
      <c r="O96" s="3"/>
      <c r="P96" s="3"/>
      <c r="Q96" s="15"/>
      <c r="R96" s="15"/>
      <c r="S96" s="16"/>
      <c r="T96" s="13"/>
    </row>
    <row r="97" spans="1:20" x14ac:dyDescent="0.3">
      <c r="A97" s="3" t="s">
        <v>713</v>
      </c>
      <c r="B97" s="3" t="s">
        <v>937</v>
      </c>
      <c r="C97" s="8">
        <f>AVERAGEIF(표8[음식점 번호],표4[[#This Row],[번호]],표8[별점])</f>
        <v>3</v>
      </c>
      <c r="D97" s="15" t="str">
        <f>VLOOKUP(표4[[#This Row],[번호]],표2[[번호]:[등급]],2,FALSE)</f>
        <v>윤식당</v>
      </c>
      <c r="E97" s="15" t="str">
        <f>VLOOKUP(표4[[#This Row],[번호]],표2[[번호]:[등급]],3,FALSE)</f>
        <v>35,40</v>
      </c>
      <c r="F97" s="16" t="str">
        <f>VLOOKUP(표4[[#This Row],[번호]],표2[[번호]:[등급]],6,FALSE)</f>
        <v>-</v>
      </c>
      <c r="O97" s="3"/>
      <c r="P97" s="3"/>
      <c r="Q97" s="15"/>
      <c r="R97" s="15"/>
      <c r="S97" s="16"/>
      <c r="T97" s="13"/>
    </row>
    <row r="98" spans="1:20" x14ac:dyDescent="0.3">
      <c r="A98" s="3" t="s">
        <v>718</v>
      </c>
      <c r="B98" s="3" t="s">
        <v>930</v>
      </c>
      <c r="C98" s="8">
        <f>AVERAGEIF(표8[음식점 번호],표4[[#This Row],[번호]],표8[별점])</f>
        <v>3</v>
      </c>
      <c r="D98" s="15" t="str">
        <f>VLOOKUP(표4[[#This Row],[번호]],표2[[번호]:[등급]],2,FALSE)</f>
        <v>이복춘참치</v>
      </c>
      <c r="E98" s="15" t="str">
        <f>VLOOKUP(표4[[#This Row],[번호]],표2[[번호]:[등급]],3,FALSE)</f>
        <v>58,63</v>
      </c>
      <c r="F98" s="16" t="str">
        <f>VLOOKUP(표4[[#This Row],[번호]],표2[[번호]:[등급]],6,FALSE)</f>
        <v>-</v>
      </c>
      <c r="O98" s="3"/>
      <c r="P98" s="3"/>
      <c r="Q98" s="15"/>
      <c r="R98" s="15"/>
      <c r="S98" s="16"/>
      <c r="T98" s="13"/>
    </row>
    <row r="99" spans="1:20" x14ac:dyDescent="0.3">
      <c r="A99" s="3" t="s">
        <v>723</v>
      </c>
      <c r="B99" s="3" t="s">
        <v>935</v>
      </c>
      <c r="C99" s="8">
        <f>AVERAGEIF(표8[음식점 번호],표4[[#This Row],[번호]],표8[별점])</f>
        <v>5</v>
      </c>
      <c r="D99" s="15" t="str">
        <f>VLOOKUP(표4[[#This Row],[번호]],표2[[번호]:[등급]],2,FALSE)</f>
        <v>이삭식당</v>
      </c>
      <c r="E99" s="15" t="str">
        <f>VLOOKUP(표4[[#This Row],[번호]],표2[[번호]:[등급]],3,FALSE)</f>
        <v>75,46</v>
      </c>
      <c r="F99" s="16" t="str">
        <f>VLOOKUP(표4[[#This Row],[번호]],표2[[번호]:[등급]],6,FALSE)</f>
        <v>맛집</v>
      </c>
      <c r="O99" s="3"/>
      <c r="P99" s="3"/>
      <c r="Q99" s="15"/>
      <c r="R99" s="15"/>
      <c r="S99" s="16"/>
      <c r="T99" s="13"/>
    </row>
    <row r="100" spans="1:20" x14ac:dyDescent="0.3">
      <c r="A100" s="3" t="s">
        <v>728</v>
      </c>
      <c r="B100" s="3" t="s">
        <v>930</v>
      </c>
      <c r="C100" s="8">
        <f>AVERAGEIF(표8[음식점 번호],표4[[#This Row],[번호]],표8[별점])</f>
        <v>4</v>
      </c>
      <c r="D100" s="15" t="str">
        <f>VLOOKUP(표4[[#This Row],[번호]],표2[[번호]:[등급]],2,FALSE)</f>
        <v>이자카야 나무</v>
      </c>
      <c r="E100" s="15" t="str">
        <f>VLOOKUP(표4[[#This Row],[번호]],표2[[번호]:[등급]],3,FALSE)</f>
        <v>80,65</v>
      </c>
      <c r="F100" s="16" t="str">
        <f>VLOOKUP(표4[[#This Row],[번호]],표2[[번호]:[등급]],6,FALSE)</f>
        <v>-</v>
      </c>
      <c r="O100" s="3"/>
      <c r="P100" s="3"/>
      <c r="Q100" s="15"/>
      <c r="R100" s="15"/>
      <c r="S100" s="16"/>
      <c r="T100" s="13"/>
    </row>
    <row r="101" spans="1:20" x14ac:dyDescent="0.3">
      <c r="A101" s="3" t="s">
        <v>733</v>
      </c>
      <c r="B101" s="3" t="s">
        <v>936</v>
      </c>
      <c r="C101" s="8">
        <f>AVERAGEIF(표8[음식점 번호],표4[[#This Row],[번호]],표8[별점])</f>
        <v>3</v>
      </c>
      <c r="D101" s="15" t="str">
        <f>VLOOKUP(표4[[#This Row],[번호]],표2[[번호]:[등급]],2,FALSE)</f>
        <v>일식당</v>
      </c>
      <c r="E101" s="15" t="str">
        <f>VLOOKUP(표4[[#This Row],[번호]],표2[[번호]:[등급]],3,FALSE)</f>
        <v>48,0</v>
      </c>
      <c r="F101" s="16" t="str">
        <f>VLOOKUP(표4[[#This Row],[번호]],표2[[번호]:[등급]],6,FALSE)</f>
        <v>-</v>
      </c>
      <c r="O101" s="3"/>
      <c r="P101" s="3"/>
      <c r="Q101" s="15"/>
      <c r="R101" s="15"/>
      <c r="S101" s="16"/>
      <c r="T101" s="13"/>
    </row>
    <row r="102" spans="1:20" x14ac:dyDescent="0.3">
      <c r="A102" s="3" t="s">
        <v>738</v>
      </c>
      <c r="B102" s="3" t="s">
        <v>935</v>
      </c>
      <c r="C102" s="8">
        <f>AVERAGEIF(표8[음식점 번호],표4[[#This Row],[번호]],표8[별점])</f>
        <v>1</v>
      </c>
      <c r="D102" s="15" t="str">
        <f>VLOOKUP(표4[[#This Row],[번호]],표2[[번호]:[등급]],2,FALSE)</f>
        <v>일일향</v>
      </c>
      <c r="E102" s="15" t="str">
        <f>VLOOKUP(표4[[#This Row],[번호]],표2[[번호]:[등급]],3,FALSE)</f>
        <v>86,1</v>
      </c>
      <c r="F102" s="16" t="str">
        <f>VLOOKUP(표4[[#This Row],[번호]],표2[[번호]:[등급]],6,FALSE)</f>
        <v>-</v>
      </c>
      <c r="O102" s="3"/>
      <c r="P102" s="3"/>
      <c r="Q102" s="15"/>
      <c r="R102" s="15"/>
      <c r="S102" s="16"/>
      <c r="T102" s="13"/>
    </row>
    <row r="103" spans="1:20" x14ac:dyDescent="0.3">
      <c r="A103" s="3" t="s">
        <v>743</v>
      </c>
      <c r="B103" s="3" t="s">
        <v>935</v>
      </c>
      <c r="C103" s="8">
        <f>AVERAGEIF(표8[음식점 번호],표4[[#This Row],[번호]],표8[별점])</f>
        <v>1</v>
      </c>
      <c r="D103" s="15" t="str">
        <f>VLOOKUP(표4[[#This Row],[번호]],표2[[번호]:[등급]],2,FALSE)</f>
        <v>일품헌</v>
      </c>
      <c r="E103" s="15" t="str">
        <f>VLOOKUP(표4[[#This Row],[번호]],표2[[번호]:[등급]],3,FALSE)</f>
        <v>75,66</v>
      </c>
      <c r="F103" s="16" t="str">
        <f>VLOOKUP(표4[[#This Row],[번호]],표2[[번호]:[등급]],6,FALSE)</f>
        <v>-</v>
      </c>
      <c r="O103" s="3"/>
      <c r="P103" s="3"/>
      <c r="Q103" s="15"/>
      <c r="R103" s="15"/>
      <c r="S103" s="16"/>
      <c r="T103" s="13"/>
    </row>
    <row r="104" spans="1:20" x14ac:dyDescent="0.3">
      <c r="A104" s="3" t="s">
        <v>748</v>
      </c>
      <c r="B104" s="3" t="s">
        <v>935</v>
      </c>
      <c r="C104" s="8">
        <f>AVERAGEIF(표8[음식점 번호],표4[[#This Row],[번호]],표8[별점])</f>
        <v>2</v>
      </c>
      <c r="D104" s="15" t="str">
        <f>VLOOKUP(표4[[#This Row],[번호]],표2[[번호]:[등급]],2,FALSE)</f>
        <v>임광루</v>
      </c>
      <c r="E104" s="15" t="str">
        <f>VLOOKUP(표4[[#This Row],[번호]],표2[[번호]:[등급]],3,FALSE)</f>
        <v>90,32</v>
      </c>
      <c r="F104" s="16" t="str">
        <f>VLOOKUP(표4[[#This Row],[번호]],표2[[번호]:[등급]],6,FALSE)</f>
        <v>-</v>
      </c>
      <c r="O104" s="3"/>
      <c r="P104" s="3"/>
      <c r="Q104" s="15"/>
      <c r="R104" s="15"/>
      <c r="S104" s="16"/>
      <c r="T104" s="13"/>
    </row>
    <row r="105" spans="1:20" x14ac:dyDescent="0.3">
      <c r="A105" s="3" t="s">
        <v>753</v>
      </c>
      <c r="B105" s="3" t="s">
        <v>938</v>
      </c>
      <c r="C105" s="8">
        <f>AVERAGEIF(표8[음식점 번호],표4[[#This Row],[번호]],표8[별점])</f>
        <v>3</v>
      </c>
      <c r="D105" s="15" t="str">
        <f>VLOOKUP(표4[[#This Row],[번호]],표2[[번호]:[등급]],2,FALSE)</f>
        <v>작은식당</v>
      </c>
      <c r="E105" s="15" t="str">
        <f>VLOOKUP(표4[[#This Row],[번호]],표2[[번호]:[등급]],3,FALSE)</f>
        <v>4,42</v>
      </c>
      <c r="F105" s="16" t="str">
        <f>VLOOKUP(표4[[#This Row],[번호]],표2[[번호]:[등급]],6,FALSE)</f>
        <v>-</v>
      </c>
      <c r="O105" s="3"/>
      <c r="P105" s="3"/>
      <c r="Q105" s="15"/>
      <c r="R105" s="15"/>
      <c r="S105" s="16"/>
      <c r="T105" s="13"/>
    </row>
    <row r="106" spans="1:20" x14ac:dyDescent="0.3">
      <c r="A106" s="3" t="s">
        <v>758</v>
      </c>
      <c r="B106" s="3" t="s">
        <v>932</v>
      </c>
      <c r="C106" s="8">
        <f>AVERAGEIF(표8[음식점 번호],표4[[#This Row],[번호]],표8[별점])</f>
        <v>1</v>
      </c>
      <c r="D106" s="15" t="str">
        <f>VLOOKUP(표4[[#This Row],[번호]],표2[[번호]:[등급]],2,FALSE)</f>
        <v>정보식당</v>
      </c>
      <c r="E106" s="15" t="str">
        <f>VLOOKUP(표4[[#This Row],[번호]],표2[[번호]:[등급]],3,FALSE)</f>
        <v>59,96</v>
      </c>
      <c r="F106" s="16" t="str">
        <f>VLOOKUP(표4[[#This Row],[번호]],표2[[번호]:[등급]],6,FALSE)</f>
        <v>-</v>
      </c>
      <c r="O106" s="3"/>
      <c r="P106" s="3"/>
      <c r="Q106" s="15"/>
      <c r="R106" s="15"/>
      <c r="S106" s="16"/>
      <c r="T106" s="13"/>
    </row>
    <row r="107" spans="1:20" x14ac:dyDescent="0.3">
      <c r="A107" s="3" t="s">
        <v>763</v>
      </c>
      <c r="B107" s="3" t="s">
        <v>936</v>
      </c>
      <c r="C107" s="8">
        <f>AVERAGEIF(표8[음식점 번호],표4[[#This Row],[번호]],표8[별점])</f>
        <v>5</v>
      </c>
      <c r="D107" s="15" t="str">
        <f>VLOOKUP(표4[[#This Row],[번호]],표2[[번호]:[등급]],2,FALSE)</f>
        <v>정여사 손칼국수</v>
      </c>
      <c r="E107" s="15" t="str">
        <f>VLOOKUP(표4[[#This Row],[번호]],표2[[번호]:[등급]],3,FALSE)</f>
        <v>66,16</v>
      </c>
      <c r="F107" s="16" t="str">
        <f>VLOOKUP(표4[[#This Row],[번호]],표2[[번호]:[등급]],6,FALSE)</f>
        <v>맛집</v>
      </c>
      <c r="O107" s="3"/>
      <c r="P107" s="3"/>
      <c r="Q107" s="15"/>
      <c r="R107" s="15"/>
      <c r="S107" s="16"/>
      <c r="T107" s="13"/>
    </row>
    <row r="108" spans="1:20" x14ac:dyDescent="0.3">
      <c r="A108" s="3" t="s">
        <v>768</v>
      </c>
      <c r="B108" s="3" t="s">
        <v>930</v>
      </c>
      <c r="C108" s="8">
        <f>AVERAGEIF(표8[음식점 번호],표4[[#This Row],[번호]],표8[별점])</f>
        <v>1</v>
      </c>
      <c r="D108" s="15" t="str">
        <f>VLOOKUP(표4[[#This Row],[번호]],표2[[번호]:[등급]],2,FALSE)</f>
        <v>조선횟집</v>
      </c>
      <c r="E108" s="15" t="str">
        <f>VLOOKUP(표4[[#This Row],[번호]],표2[[번호]:[등급]],3,FALSE)</f>
        <v>48,25</v>
      </c>
      <c r="F108" s="16" t="str">
        <f>VLOOKUP(표4[[#This Row],[번호]],표2[[번호]:[등급]],6,FALSE)</f>
        <v>-</v>
      </c>
      <c r="O108" s="3"/>
      <c r="P108" s="3"/>
      <c r="Q108" s="15"/>
      <c r="R108" s="15"/>
      <c r="S108" s="16"/>
      <c r="T108" s="13"/>
    </row>
    <row r="109" spans="1:20" x14ac:dyDescent="0.3">
      <c r="A109" s="3" t="s">
        <v>773</v>
      </c>
      <c r="B109" s="3" t="s">
        <v>935</v>
      </c>
      <c r="C109" s="8">
        <f>AVERAGEIF(표8[음식점 번호],표4[[#This Row],[번호]],표8[별점])</f>
        <v>2</v>
      </c>
      <c r="D109" s="15" t="str">
        <f>VLOOKUP(표4[[#This Row],[번호]],표2[[번호]:[등급]],2,FALSE)</f>
        <v>주미요</v>
      </c>
      <c r="E109" s="15" t="str">
        <f>VLOOKUP(표4[[#This Row],[번호]],표2[[번호]:[등급]],3,FALSE)</f>
        <v>27,8</v>
      </c>
      <c r="F109" s="16" t="str">
        <f>VLOOKUP(표4[[#This Row],[번호]],표2[[번호]:[등급]],6,FALSE)</f>
        <v>-</v>
      </c>
      <c r="O109" s="3"/>
      <c r="P109" s="3"/>
      <c r="Q109" s="15"/>
      <c r="R109" s="15"/>
      <c r="S109" s="16"/>
      <c r="T109" s="13"/>
    </row>
    <row r="110" spans="1:20" x14ac:dyDescent="0.3">
      <c r="A110" s="3" t="s">
        <v>778</v>
      </c>
      <c r="B110" s="3" t="s">
        <v>935</v>
      </c>
      <c r="C110" s="8">
        <f>AVERAGEIF(표8[음식점 번호],표4[[#This Row],[번호]],표8[별점])</f>
        <v>2.5</v>
      </c>
      <c r="D110" s="15" t="str">
        <f>VLOOKUP(표4[[#This Row],[번호]],표2[[번호]:[등급]],2,FALSE)</f>
        <v>중식당</v>
      </c>
      <c r="E110" s="15" t="str">
        <f>VLOOKUP(표4[[#This Row],[번호]],표2[[번호]:[등급]],3,FALSE)</f>
        <v>23,15</v>
      </c>
      <c r="F110" s="16" t="str">
        <f>VLOOKUP(표4[[#This Row],[번호]],표2[[번호]:[등급]],6,FALSE)</f>
        <v>-</v>
      </c>
      <c r="O110" s="3"/>
      <c r="P110" s="3"/>
      <c r="Q110" s="15"/>
      <c r="R110" s="15"/>
      <c r="S110" s="16"/>
      <c r="T110" s="13"/>
    </row>
    <row r="111" spans="1:20" x14ac:dyDescent="0.3">
      <c r="A111" s="3" t="s">
        <v>783</v>
      </c>
      <c r="B111" s="3" t="s">
        <v>933</v>
      </c>
      <c r="C111" s="8">
        <f>AVERAGEIF(표8[음식점 번호],표4[[#This Row],[번호]],표8[별점])</f>
        <v>2</v>
      </c>
      <c r="D111" s="15" t="str">
        <f>VLOOKUP(표4[[#This Row],[번호]],표2[[번호]:[등급]],2,FALSE)</f>
        <v>진도울돌목가는길</v>
      </c>
      <c r="E111" s="15" t="str">
        <f>VLOOKUP(표4[[#This Row],[번호]],표2[[번호]:[등급]],3,FALSE)</f>
        <v>44,6</v>
      </c>
      <c r="F111" s="16" t="str">
        <f>VLOOKUP(표4[[#This Row],[번호]],표2[[번호]:[등급]],6,FALSE)</f>
        <v>-</v>
      </c>
      <c r="O111" s="3"/>
      <c r="P111" s="3"/>
      <c r="Q111" s="15"/>
      <c r="R111" s="15"/>
      <c r="S111" s="16"/>
      <c r="T111" s="13"/>
    </row>
    <row r="112" spans="1:20" x14ac:dyDescent="0.3">
      <c r="A112" s="3" t="s">
        <v>788</v>
      </c>
      <c r="B112" s="3" t="s">
        <v>930</v>
      </c>
      <c r="C112" s="8">
        <f>AVERAGEIF(표8[음식점 번호],표4[[#This Row],[번호]],표8[별점])</f>
        <v>3</v>
      </c>
      <c r="D112" s="15" t="str">
        <f>VLOOKUP(표4[[#This Row],[번호]],표2[[번호]:[등급]],2,FALSE)</f>
        <v>진동둔횟집</v>
      </c>
      <c r="E112" s="15" t="str">
        <f>VLOOKUP(표4[[#This Row],[번호]],표2[[번호]:[등급]],3,FALSE)</f>
        <v>66,71</v>
      </c>
      <c r="F112" s="16" t="str">
        <f>VLOOKUP(표4[[#This Row],[번호]],표2[[번호]:[등급]],6,FALSE)</f>
        <v>-</v>
      </c>
      <c r="O112" s="3"/>
      <c r="P112" s="3"/>
      <c r="Q112" s="15"/>
      <c r="R112" s="15"/>
      <c r="S112" s="16"/>
      <c r="T112" s="13"/>
    </row>
    <row r="113" spans="1:20" x14ac:dyDescent="0.3">
      <c r="A113" s="3" t="s">
        <v>793</v>
      </c>
      <c r="B113" s="3" t="s">
        <v>933</v>
      </c>
      <c r="C113" s="8">
        <f>AVERAGEIF(표8[음식점 번호],표4[[#This Row],[번호]],표8[별점])</f>
        <v>4</v>
      </c>
      <c r="D113" s="15" t="str">
        <f>VLOOKUP(표4[[#This Row],[번호]],표2[[번호]:[등급]],2,FALSE)</f>
        <v>진상샤브샤브</v>
      </c>
      <c r="E113" s="15" t="str">
        <f>VLOOKUP(표4[[#This Row],[번호]],표2[[번호]:[등급]],3,FALSE)</f>
        <v>0,70</v>
      </c>
      <c r="F113" s="16" t="str">
        <f>VLOOKUP(표4[[#This Row],[번호]],표2[[번호]:[등급]],6,FALSE)</f>
        <v>-</v>
      </c>
      <c r="O113" s="3"/>
      <c r="P113" s="3"/>
      <c r="Q113" s="15"/>
      <c r="R113" s="15"/>
      <c r="S113" s="16"/>
      <c r="T113" s="13"/>
    </row>
    <row r="114" spans="1:20" x14ac:dyDescent="0.3">
      <c r="A114" s="3" t="s">
        <v>798</v>
      </c>
      <c r="B114" s="3" t="s">
        <v>936</v>
      </c>
      <c r="C114" s="8">
        <f>AVERAGEIF(표8[음식점 번호],표4[[#This Row],[번호]],표8[별점])</f>
        <v>5</v>
      </c>
      <c r="D114" s="15" t="str">
        <f>VLOOKUP(표4[[#This Row],[번호]],표2[[번호]:[등급]],2,FALSE)</f>
        <v>짝꿍 떡볶이</v>
      </c>
      <c r="E114" s="15" t="str">
        <f>VLOOKUP(표4[[#This Row],[번호]],표2[[번호]:[등급]],3,FALSE)</f>
        <v>79,41</v>
      </c>
      <c r="F114" s="16" t="str">
        <f>VLOOKUP(표4[[#This Row],[번호]],표2[[번호]:[등급]],6,FALSE)</f>
        <v>맛집</v>
      </c>
      <c r="O114" s="3"/>
      <c r="P114" s="3"/>
      <c r="Q114" s="15"/>
      <c r="R114" s="15"/>
      <c r="S114" s="16"/>
      <c r="T114" s="13"/>
    </row>
    <row r="115" spans="1:20" x14ac:dyDescent="0.3">
      <c r="A115" s="3" t="s">
        <v>803</v>
      </c>
      <c r="B115" s="3" t="s">
        <v>930</v>
      </c>
      <c r="C115" s="8">
        <f>AVERAGEIF(표8[음식점 번호],표4[[#This Row],[번호]],표8[별점])</f>
        <v>4</v>
      </c>
      <c r="D115" s="15" t="str">
        <f>VLOOKUP(표4[[#This Row],[번호]],표2[[번호]:[등급]],2,FALSE)</f>
        <v>짱돈까스</v>
      </c>
      <c r="E115" s="15" t="str">
        <f>VLOOKUP(표4[[#This Row],[번호]],표2[[번호]:[등급]],3,FALSE)</f>
        <v>9,63</v>
      </c>
      <c r="F115" s="16" t="str">
        <f>VLOOKUP(표4[[#This Row],[번호]],표2[[번호]:[등급]],6,FALSE)</f>
        <v>-</v>
      </c>
      <c r="O115" s="3"/>
      <c r="P115" s="3"/>
      <c r="Q115" s="15"/>
      <c r="R115" s="15"/>
      <c r="S115" s="16"/>
      <c r="T115" s="13"/>
    </row>
    <row r="116" spans="1:20" x14ac:dyDescent="0.3">
      <c r="A116" s="3" t="s">
        <v>808</v>
      </c>
      <c r="B116" s="3" t="s">
        <v>936</v>
      </c>
      <c r="C116" s="8">
        <f>AVERAGEIF(표8[음식점 번호],표4[[#This Row],[번호]],표8[별점])</f>
        <v>5</v>
      </c>
      <c r="D116" s="15" t="str">
        <f>VLOOKUP(표4[[#This Row],[번호]],표2[[번호]:[등급]],2,FALSE)</f>
        <v>천국식당</v>
      </c>
      <c r="E116" s="15" t="str">
        <f>VLOOKUP(표4[[#This Row],[번호]],표2[[번호]:[등급]],3,FALSE)</f>
        <v>61,25</v>
      </c>
      <c r="F116" s="16" t="str">
        <f>VLOOKUP(표4[[#This Row],[번호]],표2[[번호]:[등급]],6,FALSE)</f>
        <v>맛집</v>
      </c>
      <c r="O116" s="3"/>
      <c r="P116" s="3"/>
      <c r="Q116" s="15"/>
      <c r="R116" s="15"/>
      <c r="S116" s="16"/>
      <c r="T116" s="13"/>
    </row>
    <row r="117" spans="1:20" x14ac:dyDescent="0.3">
      <c r="A117" s="3" t="s">
        <v>813</v>
      </c>
      <c r="B117" s="3" t="s">
        <v>936</v>
      </c>
      <c r="C117" s="8">
        <f>AVERAGEIF(표8[음식점 번호],표4[[#This Row],[번호]],표8[별점])</f>
        <v>2</v>
      </c>
      <c r="D117" s="15" t="str">
        <f>VLOOKUP(표4[[#This Row],[번호]],표2[[번호]:[등급]],2,FALSE)</f>
        <v>청년식당</v>
      </c>
      <c r="E117" s="15" t="str">
        <f>VLOOKUP(표4[[#This Row],[번호]],표2[[번호]:[등급]],3,FALSE)</f>
        <v>13,1</v>
      </c>
      <c r="F117" s="16" t="str">
        <f>VLOOKUP(표4[[#This Row],[번호]],표2[[번호]:[등급]],6,FALSE)</f>
        <v>-</v>
      </c>
      <c r="O117" s="3"/>
      <c r="P117" s="3"/>
      <c r="Q117" s="15"/>
      <c r="R117" s="15"/>
      <c r="S117" s="16"/>
      <c r="T117" s="13"/>
    </row>
    <row r="118" spans="1:20" x14ac:dyDescent="0.3">
      <c r="A118" s="3" t="s">
        <v>818</v>
      </c>
      <c r="B118" s="3" t="s">
        <v>930</v>
      </c>
      <c r="C118" s="8">
        <f>AVERAGEIF(표8[음식점 번호],표4[[#This Row],[번호]],표8[별점])</f>
        <v>4</v>
      </c>
      <c r="D118" s="15" t="str">
        <f>VLOOKUP(표4[[#This Row],[번호]],표2[[번호]:[등급]],2,FALSE)</f>
        <v>청정해참치</v>
      </c>
      <c r="E118" s="15" t="str">
        <f>VLOOKUP(표4[[#This Row],[번호]],표2[[번호]:[등급]],3,FALSE)</f>
        <v>66,15</v>
      </c>
      <c r="F118" s="16" t="str">
        <f>VLOOKUP(표4[[#This Row],[번호]],표2[[번호]:[등급]],6,FALSE)</f>
        <v>-</v>
      </c>
      <c r="O118" s="3"/>
      <c r="P118" s="3"/>
      <c r="Q118" s="15"/>
      <c r="R118" s="15"/>
      <c r="S118" s="16"/>
      <c r="T118" s="13"/>
    </row>
    <row r="119" spans="1:20" x14ac:dyDescent="0.3">
      <c r="A119" s="3" t="s">
        <v>823</v>
      </c>
      <c r="B119" s="3" t="s">
        <v>930</v>
      </c>
      <c r="C119" s="8">
        <f>AVERAGEIF(표8[음식점 번호],표4[[#This Row],[번호]],표8[별점])</f>
        <v>2</v>
      </c>
      <c r="D119" s="15" t="str">
        <f>VLOOKUP(표4[[#This Row],[번호]],표2[[번호]:[등급]],2,FALSE)</f>
        <v>청정횟집</v>
      </c>
      <c r="E119" s="15" t="str">
        <f>VLOOKUP(표4[[#This Row],[번호]],표2[[번호]:[등급]],3,FALSE)</f>
        <v>11,79</v>
      </c>
      <c r="F119" s="16" t="str">
        <f>VLOOKUP(표4[[#This Row],[번호]],표2[[번호]:[등급]],6,FALSE)</f>
        <v>-</v>
      </c>
      <c r="O119" s="3"/>
      <c r="P119" s="3"/>
      <c r="Q119" s="15"/>
      <c r="R119" s="15"/>
      <c r="S119" s="16"/>
      <c r="T119" s="13"/>
    </row>
    <row r="120" spans="1:20" x14ac:dyDescent="0.3">
      <c r="A120" s="3" t="s">
        <v>828</v>
      </c>
      <c r="B120" s="3" t="s">
        <v>933</v>
      </c>
      <c r="C120" s="8">
        <f>AVERAGEIF(표8[음식점 번호],표4[[#This Row],[번호]],표8[별점])</f>
        <v>5</v>
      </c>
      <c r="D120" s="15" t="str">
        <f>VLOOKUP(표4[[#This Row],[번호]],표2[[번호]:[등급]],2,FALSE)</f>
        <v>초서사리원</v>
      </c>
      <c r="E120" s="15" t="str">
        <f>VLOOKUP(표4[[#This Row],[번호]],표2[[번호]:[등급]],3,FALSE)</f>
        <v>82,52</v>
      </c>
      <c r="F120" s="16" t="str">
        <f>VLOOKUP(표4[[#This Row],[번호]],표2[[번호]:[등급]],6,FALSE)</f>
        <v>맛집</v>
      </c>
      <c r="O120" s="3"/>
      <c r="P120" s="3"/>
      <c r="Q120" s="15"/>
      <c r="R120" s="15"/>
      <c r="S120" s="16"/>
      <c r="T120" s="13"/>
    </row>
    <row r="121" spans="1:20" x14ac:dyDescent="0.3">
      <c r="A121" s="3" t="s">
        <v>833</v>
      </c>
      <c r="B121" s="3" t="s">
        <v>935</v>
      </c>
      <c r="C121" s="8">
        <f>AVERAGEIF(표8[음식점 번호],표4[[#This Row],[번호]],표8[별점])</f>
        <v>2</v>
      </c>
      <c r="D121" s="15" t="str">
        <f>VLOOKUP(표4[[#This Row],[번호]],표2[[번호]:[등급]],2,FALSE)</f>
        <v>초선과여포</v>
      </c>
      <c r="E121" s="15" t="str">
        <f>VLOOKUP(표4[[#This Row],[번호]],표2[[번호]:[등급]],3,FALSE)</f>
        <v>30,16</v>
      </c>
      <c r="F121" s="16" t="str">
        <f>VLOOKUP(표4[[#This Row],[번호]],표2[[번호]:[등급]],6,FALSE)</f>
        <v>-</v>
      </c>
      <c r="O121" s="3"/>
      <c r="P121" s="3"/>
      <c r="Q121" s="15"/>
      <c r="R121" s="15"/>
      <c r="S121" s="16"/>
      <c r="T121" s="13"/>
    </row>
    <row r="122" spans="1:20" x14ac:dyDescent="0.3">
      <c r="A122" s="3" t="s">
        <v>838</v>
      </c>
      <c r="B122" s="3" t="s">
        <v>938</v>
      </c>
      <c r="C122" s="8">
        <f>AVERAGEIF(표8[음식점 번호],표4[[#This Row],[번호]],표8[별점])</f>
        <v>2</v>
      </c>
      <c r="D122" s="15" t="str">
        <f>VLOOKUP(표4[[#This Row],[번호]],표2[[번호]:[등급]],2,FALSE)</f>
        <v>킹콩식당</v>
      </c>
      <c r="E122" s="15" t="str">
        <f>VLOOKUP(표4[[#This Row],[번호]],표2[[번호]:[등급]],3,FALSE)</f>
        <v>90,24</v>
      </c>
      <c r="F122" s="16" t="str">
        <f>VLOOKUP(표4[[#This Row],[번호]],표2[[번호]:[등급]],6,FALSE)</f>
        <v>-</v>
      </c>
      <c r="O122" s="3"/>
      <c r="P122" s="3"/>
      <c r="Q122" s="15"/>
      <c r="R122" s="15"/>
      <c r="S122" s="16"/>
      <c r="T122" s="13"/>
    </row>
    <row r="123" spans="1:20" x14ac:dyDescent="0.3">
      <c r="A123" s="3" t="s">
        <v>843</v>
      </c>
      <c r="B123" s="3" t="s">
        <v>930</v>
      </c>
      <c r="C123" s="8">
        <f>AVERAGEIF(표8[음식점 번호],표4[[#This Row],[번호]],표8[별점])</f>
        <v>3</v>
      </c>
      <c r="D123" s="15" t="str">
        <f>VLOOKUP(표4[[#This Row],[번호]],표2[[번호]:[등급]],2,FALSE)</f>
        <v>태평양</v>
      </c>
      <c r="E123" s="15" t="str">
        <f>VLOOKUP(표4[[#This Row],[번호]],표2[[번호]:[등급]],3,FALSE)</f>
        <v>77,12</v>
      </c>
      <c r="F123" s="16" t="str">
        <f>VLOOKUP(표4[[#This Row],[번호]],표2[[번호]:[등급]],6,FALSE)</f>
        <v>-</v>
      </c>
      <c r="O123" s="3"/>
      <c r="P123" s="3"/>
      <c r="Q123" s="15"/>
      <c r="R123" s="15"/>
      <c r="S123" s="16"/>
      <c r="T123" s="13"/>
    </row>
    <row r="124" spans="1:20" x14ac:dyDescent="0.3">
      <c r="A124" s="3" t="s">
        <v>848</v>
      </c>
      <c r="B124" s="3" t="s">
        <v>938</v>
      </c>
      <c r="C124" s="8">
        <f>AVERAGEIF(표8[음식점 번호],표4[[#This Row],[번호]],표8[별점])</f>
        <v>2</v>
      </c>
      <c r="D124" s="15" t="str">
        <f>VLOOKUP(표4[[#This Row],[번호]],표2[[번호]:[등급]],2,FALSE)</f>
        <v>토마토식당</v>
      </c>
      <c r="E124" s="15" t="str">
        <f>VLOOKUP(표4[[#This Row],[번호]],표2[[번호]:[등급]],3,FALSE)</f>
        <v>7,77</v>
      </c>
      <c r="F124" s="16" t="str">
        <f>VLOOKUP(표4[[#This Row],[번호]],표2[[번호]:[등급]],6,FALSE)</f>
        <v>-</v>
      </c>
      <c r="O124" s="3"/>
      <c r="P124" s="3"/>
      <c r="Q124" s="15"/>
      <c r="R124" s="15"/>
      <c r="S124" s="16"/>
      <c r="T124" s="13"/>
    </row>
    <row r="125" spans="1:20" x14ac:dyDescent="0.3">
      <c r="A125" s="3" t="s">
        <v>853</v>
      </c>
      <c r="B125" s="3" t="s">
        <v>934</v>
      </c>
      <c r="C125" s="8">
        <f>AVERAGEIF(표8[음식점 번호],표4[[#This Row],[번호]],표8[별점])</f>
        <v>3</v>
      </c>
      <c r="D125" s="15" t="str">
        <f>VLOOKUP(표4[[#This Row],[번호]],표2[[번호]:[등급]],2,FALSE)</f>
        <v>톰볼라</v>
      </c>
      <c r="E125" s="15" t="str">
        <f>VLOOKUP(표4[[#This Row],[번호]],표2[[번호]:[등급]],3,FALSE)</f>
        <v>9,34</v>
      </c>
      <c r="F125" s="16" t="str">
        <f>VLOOKUP(표4[[#This Row],[번호]],표2[[번호]:[등급]],6,FALSE)</f>
        <v>-</v>
      </c>
      <c r="O125" s="3"/>
      <c r="P125" s="3"/>
      <c r="Q125" s="15"/>
      <c r="R125" s="15"/>
      <c r="S125" s="16"/>
      <c r="T125" s="13"/>
    </row>
    <row r="126" spans="1:20" x14ac:dyDescent="0.3">
      <c r="A126" s="3" t="s">
        <v>858</v>
      </c>
      <c r="B126" s="3" t="s">
        <v>936</v>
      </c>
      <c r="C126" s="8">
        <f>AVERAGEIF(표8[음식점 번호],표4[[#This Row],[번호]],표8[별점])</f>
        <v>4</v>
      </c>
      <c r="D126" s="15" t="str">
        <f>VLOOKUP(표4[[#This Row],[번호]],표2[[번호]:[등급]],2,FALSE)</f>
        <v>팝빙식당</v>
      </c>
      <c r="E126" s="15" t="str">
        <f>VLOOKUP(표4[[#This Row],[번호]],표2[[번호]:[등급]],3,FALSE)</f>
        <v>83,90</v>
      </c>
      <c r="F126" s="16" t="str">
        <f>VLOOKUP(표4[[#This Row],[번호]],표2[[번호]:[등급]],6,FALSE)</f>
        <v>-</v>
      </c>
      <c r="O126" s="3"/>
      <c r="P126" s="3"/>
      <c r="Q126" s="15"/>
      <c r="R126" s="15"/>
      <c r="S126" s="16"/>
      <c r="T126" s="13"/>
    </row>
    <row r="127" spans="1:20" x14ac:dyDescent="0.3">
      <c r="A127" s="3" t="s">
        <v>863</v>
      </c>
      <c r="B127" s="3" t="s">
        <v>934</v>
      </c>
      <c r="C127" s="8">
        <f>AVERAGEIF(표8[음식점 번호],표4[[#This Row],[번호]],표8[별점])</f>
        <v>3</v>
      </c>
      <c r="D127" s="15" t="str">
        <f>VLOOKUP(표4[[#This Row],[번호]],표2[[번호]:[등급]],2,FALSE)</f>
        <v>피제리아 하이웨이트립</v>
      </c>
      <c r="E127" s="15" t="str">
        <f>VLOOKUP(표4[[#This Row],[번호]],표2[[번호]:[등급]],3,FALSE)</f>
        <v>99,89</v>
      </c>
      <c r="F127" s="16" t="str">
        <f>VLOOKUP(표4[[#This Row],[번호]],표2[[번호]:[등급]],6,FALSE)</f>
        <v>-</v>
      </c>
      <c r="O127" s="3"/>
      <c r="P127" s="3"/>
      <c r="Q127" s="15"/>
      <c r="R127" s="15"/>
      <c r="S127" s="16"/>
      <c r="T127" s="13"/>
    </row>
    <row r="128" spans="1:20" x14ac:dyDescent="0.3">
      <c r="A128" s="3" t="s">
        <v>868</v>
      </c>
      <c r="B128" s="3" t="s">
        <v>933</v>
      </c>
      <c r="C128" s="8">
        <f>AVERAGEIF(표8[음식점 번호],표4[[#This Row],[번호]],표8[별점])</f>
        <v>4</v>
      </c>
      <c r="D128" s="15" t="str">
        <f>VLOOKUP(표4[[#This Row],[번호]],표2[[번호]:[등급]],2,FALSE)</f>
        <v>하루</v>
      </c>
      <c r="E128" s="15" t="str">
        <f>VLOOKUP(표4[[#This Row],[번호]],표2[[번호]:[등급]],3,FALSE)</f>
        <v>11,96</v>
      </c>
      <c r="F128" s="16" t="str">
        <f>VLOOKUP(표4[[#This Row],[번호]],표2[[번호]:[등급]],6,FALSE)</f>
        <v>-</v>
      </c>
      <c r="O128" s="3"/>
      <c r="P128" s="3"/>
      <c r="Q128" s="15"/>
      <c r="R128" s="15"/>
      <c r="S128" s="16"/>
      <c r="T128" s="13"/>
    </row>
    <row r="129" spans="1:20" x14ac:dyDescent="0.3">
      <c r="A129" s="3" t="s">
        <v>873</v>
      </c>
      <c r="B129" s="3" t="s">
        <v>931</v>
      </c>
      <c r="C129" s="8">
        <f>AVERAGEIF(표8[음식점 번호],표4[[#This Row],[번호]],표8[별점])</f>
        <v>2</v>
      </c>
      <c r="D129" s="15" t="str">
        <f>VLOOKUP(표4[[#This Row],[번호]],표2[[번호]:[등급]],2,FALSE)</f>
        <v>하루하루</v>
      </c>
      <c r="E129" s="15" t="str">
        <f>VLOOKUP(표4[[#This Row],[번호]],표2[[번호]:[등급]],3,FALSE)</f>
        <v>47,92</v>
      </c>
      <c r="F129" s="16" t="str">
        <f>VLOOKUP(표4[[#This Row],[번호]],표2[[번호]:[등급]],6,FALSE)</f>
        <v>-</v>
      </c>
      <c r="O129" s="3"/>
      <c r="P129" s="3"/>
      <c r="Q129" s="15"/>
      <c r="R129" s="15"/>
      <c r="S129" s="16"/>
      <c r="T129" s="13"/>
    </row>
    <row r="130" spans="1:20" x14ac:dyDescent="0.3">
      <c r="A130" s="3" t="s">
        <v>878</v>
      </c>
      <c r="B130" s="3" t="s">
        <v>934</v>
      </c>
      <c r="C130" s="8">
        <f>AVERAGEIF(표8[음식점 번호],표4[[#This Row],[번호]],표8[별점])</f>
        <v>3</v>
      </c>
      <c r="D130" s="15" t="str">
        <f>VLOOKUP(표4[[#This Row],[번호]],표2[[번호]:[등급]],2,FALSE)</f>
        <v>하우스(HOUSE)</v>
      </c>
      <c r="E130" s="15" t="str">
        <f>VLOOKUP(표4[[#This Row],[번호]],표2[[번호]:[등급]],3,FALSE)</f>
        <v>51,55</v>
      </c>
      <c r="F130" s="16" t="str">
        <f>VLOOKUP(표4[[#This Row],[번호]],표2[[번호]:[등급]],6,FALSE)</f>
        <v>-</v>
      </c>
      <c r="O130" s="3"/>
      <c r="P130" s="3"/>
      <c r="Q130" s="15"/>
      <c r="R130" s="15"/>
      <c r="S130" s="16"/>
      <c r="T130" s="13"/>
    </row>
    <row r="131" spans="1:20" x14ac:dyDescent="0.3">
      <c r="A131" s="3" t="s">
        <v>883</v>
      </c>
      <c r="B131" s="3" t="s">
        <v>933</v>
      </c>
      <c r="C131" s="8">
        <f>AVERAGEIF(표8[음식점 번호],표4[[#This Row],[번호]],표8[별점])</f>
        <v>1</v>
      </c>
      <c r="D131" s="15" t="str">
        <f>VLOOKUP(표4[[#This Row],[번호]],표2[[번호]:[등급]],2,FALSE)</f>
        <v>학생식당</v>
      </c>
      <c r="E131" s="15" t="str">
        <f>VLOOKUP(표4[[#This Row],[번호]],표2[[번호]:[등급]],3,FALSE)</f>
        <v>43,1</v>
      </c>
      <c r="F131" s="16" t="str">
        <f>VLOOKUP(표4[[#This Row],[번호]],표2[[번호]:[등급]],6,FALSE)</f>
        <v>-</v>
      </c>
      <c r="O131" s="3"/>
      <c r="P131" s="3"/>
      <c r="Q131" s="15"/>
      <c r="R131" s="15"/>
      <c r="S131" s="16"/>
      <c r="T131" s="13"/>
    </row>
    <row r="132" spans="1:20" x14ac:dyDescent="0.3">
      <c r="A132" s="3" t="s">
        <v>888</v>
      </c>
      <c r="B132" s="3" t="s">
        <v>933</v>
      </c>
      <c r="C132" s="8">
        <f>AVERAGEIF(표8[음식점 번호],표4[[#This Row],[번호]],표8[별점])</f>
        <v>3</v>
      </c>
      <c r="D132" s="15" t="str">
        <f>VLOOKUP(표4[[#This Row],[번호]],표2[[번호]:[등급]],2,FALSE)</f>
        <v>한국회관</v>
      </c>
      <c r="E132" s="15" t="str">
        <f>VLOOKUP(표4[[#This Row],[번호]],표2[[번호]:[등급]],3,FALSE)</f>
        <v>75,79</v>
      </c>
      <c r="F132" s="16" t="str">
        <f>VLOOKUP(표4[[#This Row],[번호]],표2[[번호]:[등급]],6,FALSE)</f>
        <v>-</v>
      </c>
      <c r="O132" s="3"/>
      <c r="P132" s="3"/>
      <c r="Q132" s="15"/>
      <c r="R132" s="15"/>
      <c r="S132" s="16"/>
      <c r="T132" s="13"/>
    </row>
    <row r="133" spans="1:20" x14ac:dyDescent="0.3">
      <c r="A133" s="3" t="s">
        <v>893</v>
      </c>
      <c r="B133" s="3" t="s">
        <v>933</v>
      </c>
      <c r="C133" s="8">
        <f>AVERAGEIF(표8[음식점 번호],표4[[#This Row],[번호]],표8[별점])</f>
        <v>3</v>
      </c>
      <c r="D133" s="15" t="str">
        <f>VLOOKUP(표4[[#This Row],[번호]],표2[[번호]:[등급]],2,FALSE)</f>
        <v>한라담</v>
      </c>
      <c r="E133" s="15" t="str">
        <f>VLOOKUP(표4[[#This Row],[번호]],표2[[번호]:[등급]],3,FALSE)</f>
        <v>76,8</v>
      </c>
      <c r="F133" s="16" t="str">
        <f>VLOOKUP(표4[[#This Row],[번호]],표2[[번호]:[등급]],6,FALSE)</f>
        <v>-</v>
      </c>
      <c r="O133" s="3"/>
      <c r="P133" s="3"/>
      <c r="Q133" s="15"/>
      <c r="R133" s="15"/>
      <c r="S133" s="16"/>
      <c r="T133" s="13"/>
    </row>
    <row r="134" spans="1:20" x14ac:dyDescent="0.3">
      <c r="A134" s="3" t="s">
        <v>898</v>
      </c>
      <c r="B134" s="3" t="s">
        <v>933</v>
      </c>
      <c r="C134" s="8">
        <f>AVERAGEIF(표8[음식점 번호],표4[[#This Row],[번호]],표8[별점])</f>
        <v>2</v>
      </c>
      <c r="D134" s="15" t="str">
        <f>VLOOKUP(표4[[#This Row],[번호]],표2[[번호]:[등급]],2,FALSE)</f>
        <v>한식식당</v>
      </c>
      <c r="E134" s="15" t="str">
        <f>VLOOKUP(표4[[#This Row],[번호]],표2[[번호]:[등급]],3,FALSE)</f>
        <v>27,45</v>
      </c>
      <c r="F134" s="16" t="str">
        <f>VLOOKUP(표4[[#This Row],[번호]],표2[[번호]:[등급]],6,FALSE)</f>
        <v>-</v>
      </c>
      <c r="O134" s="3"/>
      <c r="P134" s="3"/>
      <c r="Q134" s="15"/>
      <c r="R134" s="15"/>
      <c r="S134" s="16"/>
      <c r="T134" s="13"/>
    </row>
    <row r="135" spans="1:20" x14ac:dyDescent="0.3">
      <c r="A135" s="3" t="s">
        <v>903</v>
      </c>
      <c r="B135" s="3" t="s">
        <v>933</v>
      </c>
      <c r="C135" s="8">
        <f>AVERAGEIF(표8[음식점 번호],표4[[#This Row],[번호]],표8[별점])</f>
        <v>5</v>
      </c>
      <c r="D135" s="15" t="str">
        <f>VLOOKUP(표4[[#This Row],[번호]],표2[[번호]:[등급]],2,FALSE)</f>
        <v>한지박</v>
      </c>
      <c r="E135" s="15" t="str">
        <f>VLOOKUP(표4[[#This Row],[번호]],표2[[번호]:[등급]],3,FALSE)</f>
        <v>3,80</v>
      </c>
      <c r="F135" s="16" t="str">
        <f>VLOOKUP(표4[[#This Row],[번호]],표2[[번호]:[등급]],6,FALSE)</f>
        <v>맛집</v>
      </c>
      <c r="O135" s="3"/>
      <c r="P135" s="3"/>
      <c r="Q135" s="15"/>
      <c r="R135" s="15"/>
      <c r="S135" s="16"/>
      <c r="T135" s="13"/>
    </row>
    <row r="136" spans="1:20" x14ac:dyDescent="0.3">
      <c r="A136" s="3" t="s">
        <v>908</v>
      </c>
      <c r="B136" s="3" t="s">
        <v>933</v>
      </c>
      <c r="C136" s="8">
        <f>AVERAGEIF(표8[음식점 번호],표4[[#This Row],[번호]],표8[별점])</f>
        <v>1</v>
      </c>
      <c r="D136" s="15" t="str">
        <f>VLOOKUP(표4[[#This Row],[번호]],표2[[번호]:[등급]],2,FALSE)</f>
        <v>해우담</v>
      </c>
      <c r="E136" s="15" t="str">
        <f>VLOOKUP(표4[[#This Row],[번호]],표2[[번호]:[등급]],3,FALSE)</f>
        <v>37,68</v>
      </c>
      <c r="F136" s="16" t="str">
        <f>VLOOKUP(표4[[#This Row],[번호]],표2[[번호]:[등급]],6,FALSE)</f>
        <v>-</v>
      </c>
      <c r="O136" s="3"/>
      <c r="P136" s="3"/>
      <c r="Q136" s="15"/>
      <c r="R136" s="15"/>
      <c r="S136" s="16"/>
      <c r="T136" s="13"/>
    </row>
    <row r="137" spans="1:20" x14ac:dyDescent="0.3">
      <c r="A137" s="3" t="s">
        <v>913</v>
      </c>
      <c r="B137" s="3" t="s">
        <v>930</v>
      </c>
      <c r="C137" s="8">
        <f>AVERAGEIF(표8[음식점 번호],표4[[#This Row],[번호]],표8[별점])</f>
        <v>5</v>
      </c>
      <c r="D137" s="15" t="str">
        <f>VLOOKUP(표4[[#This Row],[번호]],표2[[번호]:[등급]],2,FALSE)</f>
        <v>화담</v>
      </c>
      <c r="E137" s="15" t="str">
        <f>VLOOKUP(표4[[#This Row],[번호]],표2[[번호]:[등급]],3,FALSE)</f>
        <v>56,67</v>
      </c>
      <c r="F137" s="16" t="str">
        <f>VLOOKUP(표4[[#This Row],[번호]],표2[[번호]:[등급]],6,FALSE)</f>
        <v>맛집</v>
      </c>
      <c r="O137" s="3"/>
      <c r="P137" s="3"/>
      <c r="Q137" s="15"/>
      <c r="R137" s="15"/>
      <c r="S137" s="16"/>
      <c r="T137" s="13"/>
    </row>
    <row r="138" spans="1:20" x14ac:dyDescent="0.3">
      <c r="A138" s="3" t="s">
        <v>918</v>
      </c>
      <c r="B138" s="3" t="s">
        <v>935</v>
      </c>
      <c r="C138" s="8">
        <f>AVERAGEIF(표8[음식점 번호],표4[[#This Row],[번호]],표8[별점])</f>
        <v>4</v>
      </c>
      <c r="D138" s="15" t="str">
        <f>VLOOKUP(표4[[#This Row],[번호]],표2[[번호]:[등급]],2,FALSE)</f>
        <v>황궁</v>
      </c>
      <c r="E138" s="15" t="str">
        <f>VLOOKUP(표4[[#This Row],[번호]],표2[[번호]:[등급]],3,FALSE)</f>
        <v>59,40</v>
      </c>
      <c r="F138" s="16" t="str">
        <f>VLOOKUP(표4[[#This Row],[번호]],표2[[번호]:[등급]],6,FALSE)</f>
        <v>-</v>
      </c>
      <c r="O138" s="3"/>
      <c r="P138" s="3"/>
      <c r="Q138" s="15"/>
      <c r="R138" s="15"/>
      <c r="S138" s="16"/>
      <c r="T138" s="13"/>
    </row>
    <row r="139" spans="1:20" x14ac:dyDescent="0.3">
      <c r="A139" s="3" t="s">
        <v>923</v>
      </c>
      <c r="B139" s="3" t="s">
        <v>935</v>
      </c>
      <c r="C139" s="8">
        <f>AVERAGEIF(표8[음식점 번호],표4[[#This Row],[번호]],표8[별점])</f>
        <v>4</v>
      </c>
      <c r="D139" s="15" t="str">
        <f>VLOOKUP(표4[[#This Row],[번호]],표2[[번호]:[등급]],2,FALSE)</f>
        <v>황제</v>
      </c>
      <c r="E139" s="15" t="str">
        <f>VLOOKUP(표4[[#This Row],[번호]],표2[[번호]:[등급]],3,FALSE)</f>
        <v>0,59</v>
      </c>
      <c r="F139" s="16" t="str">
        <f>VLOOKUP(표4[[#This Row],[번호]],표2[[번호]:[등급]],6,FALSE)</f>
        <v>-</v>
      </c>
      <c r="O139" s="3"/>
      <c r="P139" s="3"/>
      <c r="Q139" s="15"/>
      <c r="R139" s="15"/>
      <c r="S139" s="16"/>
      <c r="T139" s="13"/>
    </row>
    <row r="140" spans="1:20" x14ac:dyDescent="0.3">
      <c r="C140" s="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6</xdr:col>
                <xdr:colOff>133350</xdr:colOff>
                <xdr:row>0</xdr:row>
                <xdr:rowOff>114300</xdr:rowOff>
              </from>
              <to>
                <xdr:col>8</xdr:col>
                <xdr:colOff>104775</xdr:colOff>
                <xdr:row>2</xdr:row>
                <xdr:rowOff>142875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311"/>
  <sheetViews>
    <sheetView topLeftCell="A274" zoomScale="70" zoomScaleNormal="70" workbookViewId="0">
      <selection activeCell="D3" sqref="D3"/>
    </sheetView>
  </sheetViews>
  <sheetFormatPr defaultRowHeight="16.5" x14ac:dyDescent="0.3"/>
  <cols>
    <col min="1" max="1" width="6.5" style="3" customWidth="1"/>
    <col min="2" max="2" width="12.75" style="3" customWidth="1"/>
    <col min="3" max="3" width="17.875" style="3" bestFit="1" customWidth="1"/>
    <col min="4" max="4" width="150.25" style="3" bestFit="1" customWidth="1"/>
    <col min="5" max="5" width="7.75" style="3" customWidth="1"/>
    <col min="6" max="9" width="9" style="1"/>
    <col min="10" max="12" width="9" style="14"/>
    <col min="13" max="16384" width="9" style="1"/>
  </cols>
  <sheetData>
    <row r="1" spans="1:12" x14ac:dyDescent="0.3">
      <c r="A1" s="2" t="s">
        <v>940</v>
      </c>
      <c r="B1" s="2" t="s">
        <v>941</v>
      </c>
      <c r="C1" s="2" t="s">
        <v>942</v>
      </c>
      <c r="D1" s="2" t="s">
        <v>943</v>
      </c>
      <c r="E1" s="2" t="s">
        <v>944</v>
      </c>
      <c r="J1" s="18" t="s">
        <v>3640</v>
      </c>
      <c r="L1" s="14" t="s">
        <v>3641</v>
      </c>
    </row>
    <row r="2" spans="1:12" x14ac:dyDescent="0.3">
      <c r="A2" s="3">
        <v>1</v>
      </c>
      <c r="B2" s="3" t="s">
        <v>238</v>
      </c>
      <c r="C2" s="3" t="s">
        <v>945</v>
      </c>
      <c r="D2" s="3" t="s">
        <v>3642</v>
      </c>
      <c r="E2" s="9">
        <v>15000</v>
      </c>
      <c r="J2" s="14" t="str">
        <f>유저번호</f>
        <v>A001</v>
      </c>
      <c r="L2" s="3"/>
    </row>
    <row r="3" spans="1:12" x14ac:dyDescent="0.3">
      <c r="A3" s="3">
        <v>2</v>
      </c>
      <c r="B3" s="3" t="s">
        <v>238</v>
      </c>
      <c r="C3" s="3" t="s">
        <v>947</v>
      </c>
      <c r="D3" s="3" t="s">
        <v>948</v>
      </c>
      <c r="E3" s="9">
        <v>4000</v>
      </c>
      <c r="L3" s="3"/>
    </row>
    <row r="4" spans="1:12" x14ac:dyDescent="0.3">
      <c r="A4" s="3">
        <v>3</v>
      </c>
      <c r="B4" s="3" t="s">
        <v>238</v>
      </c>
      <c r="C4" s="3" t="s">
        <v>949</v>
      </c>
      <c r="D4" s="3" t="s">
        <v>950</v>
      </c>
      <c r="E4" s="9">
        <v>25000</v>
      </c>
      <c r="L4" s="3"/>
    </row>
    <row r="5" spans="1:12" x14ac:dyDescent="0.3">
      <c r="A5" s="3">
        <v>4</v>
      </c>
      <c r="B5" s="3" t="s">
        <v>238</v>
      </c>
      <c r="C5" s="3" t="s">
        <v>951</v>
      </c>
      <c r="D5" s="3" t="s">
        <v>952</v>
      </c>
      <c r="E5" s="9">
        <v>8000</v>
      </c>
      <c r="L5" s="3"/>
    </row>
    <row r="6" spans="1:12" x14ac:dyDescent="0.3">
      <c r="A6" s="3">
        <v>5</v>
      </c>
      <c r="B6" s="3" t="s">
        <v>238</v>
      </c>
      <c r="C6" s="3" t="s">
        <v>953</v>
      </c>
      <c r="D6" s="3" t="s">
        <v>954</v>
      </c>
      <c r="E6" s="9">
        <v>8000</v>
      </c>
      <c r="L6" s="3"/>
    </row>
    <row r="7" spans="1:12" x14ac:dyDescent="0.3">
      <c r="A7" s="3">
        <v>6</v>
      </c>
      <c r="B7" s="3" t="s">
        <v>238</v>
      </c>
      <c r="C7" s="3" t="s">
        <v>955</v>
      </c>
      <c r="D7" s="3" t="s">
        <v>956</v>
      </c>
      <c r="E7" s="9">
        <v>10000</v>
      </c>
      <c r="L7" s="3"/>
    </row>
    <row r="8" spans="1:12" x14ac:dyDescent="0.3">
      <c r="A8" s="3">
        <v>7</v>
      </c>
      <c r="B8" s="3" t="s">
        <v>238</v>
      </c>
      <c r="C8" s="3" t="s">
        <v>957</v>
      </c>
      <c r="D8" s="3" t="s">
        <v>958</v>
      </c>
      <c r="E8" s="9">
        <v>3000</v>
      </c>
      <c r="L8" s="3"/>
    </row>
    <row r="9" spans="1:12" x14ac:dyDescent="0.3">
      <c r="A9" s="3">
        <v>8</v>
      </c>
      <c r="B9" s="3" t="s">
        <v>238</v>
      </c>
      <c r="C9" s="3" t="s">
        <v>959</v>
      </c>
      <c r="D9" s="3" t="s">
        <v>960</v>
      </c>
      <c r="E9" s="9">
        <v>12000</v>
      </c>
      <c r="L9" s="3"/>
    </row>
    <row r="10" spans="1:12" x14ac:dyDescent="0.3">
      <c r="A10" s="3">
        <v>9</v>
      </c>
      <c r="B10" s="3" t="s">
        <v>238</v>
      </c>
      <c r="C10" s="3" t="s">
        <v>961</v>
      </c>
      <c r="D10" s="3" t="s">
        <v>962</v>
      </c>
      <c r="E10" s="9">
        <v>2500</v>
      </c>
      <c r="L10" s="3"/>
    </row>
    <row r="11" spans="1:12" x14ac:dyDescent="0.3">
      <c r="A11" s="3">
        <v>10</v>
      </c>
      <c r="B11" s="3" t="s">
        <v>238</v>
      </c>
      <c r="C11" s="3" t="s">
        <v>963</v>
      </c>
      <c r="D11" s="3" t="s">
        <v>964</v>
      </c>
      <c r="E11" s="9">
        <v>2000</v>
      </c>
      <c r="L11" s="3"/>
    </row>
    <row r="12" spans="1:12" x14ac:dyDescent="0.3">
      <c r="A12" s="3">
        <v>11</v>
      </c>
      <c r="B12" s="3" t="s">
        <v>238</v>
      </c>
      <c r="C12" s="3" t="s">
        <v>965</v>
      </c>
      <c r="D12" s="3" t="s">
        <v>964</v>
      </c>
      <c r="E12" s="9">
        <v>2000</v>
      </c>
      <c r="L12" s="3"/>
    </row>
    <row r="13" spans="1:12" x14ac:dyDescent="0.3">
      <c r="A13" s="3">
        <v>12</v>
      </c>
      <c r="B13" s="3" t="s">
        <v>243</v>
      </c>
      <c r="C13" s="3" t="s">
        <v>945</v>
      </c>
      <c r="D13" s="3" t="s">
        <v>946</v>
      </c>
      <c r="E13" s="9">
        <v>14000</v>
      </c>
      <c r="L13" s="12"/>
    </row>
    <row r="14" spans="1:12" x14ac:dyDescent="0.3">
      <c r="A14" s="3">
        <v>13</v>
      </c>
      <c r="B14" s="3" t="s">
        <v>243</v>
      </c>
      <c r="C14" s="3" t="s">
        <v>947</v>
      </c>
      <c r="D14" s="3" t="s">
        <v>948</v>
      </c>
      <c r="E14" s="9">
        <v>4000</v>
      </c>
      <c r="L14" s="12"/>
    </row>
    <row r="15" spans="1:12" x14ac:dyDescent="0.3">
      <c r="A15" s="3">
        <v>14</v>
      </c>
      <c r="B15" s="3" t="s">
        <v>243</v>
      </c>
      <c r="C15" s="3" t="s">
        <v>953</v>
      </c>
      <c r="D15" s="3" t="s">
        <v>954</v>
      </c>
      <c r="E15" s="9">
        <v>8000</v>
      </c>
      <c r="L15" s="12"/>
    </row>
    <row r="16" spans="1:12" x14ac:dyDescent="0.3">
      <c r="A16" s="3">
        <v>15</v>
      </c>
      <c r="B16" s="3" t="s">
        <v>243</v>
      </c>
      <c r="C16" s="3" t="s">
        <v>955</v>
      </c>
      <c r="D16" s="3" t="s">
        <v>956</v>
      </c>
      <c r="E16" s="9">
        <v>8000</v>
      </c>
      <c r="L16" s="12"/>
    </row>
    <row r="17" spans="1:12" x14ac:dyDescent="0.3">
      <c r="A17" s="3">
        <v>16</v>
      </c>
      <c r="B17" s="3" t="s">
        <v>243</v>
      </c>
      <c r="C17" s="3" t="s">
        <v>957</v>
      </c>
      <c r="D17" s="3" t="s">
        <v>958</v>
      </c>
      <c r="E17" s="9">
        <v>3000</v>
      </c>
      <c r="L17" s="12"/>
    </row>
    <row r="18" spans="1:12" x14ac:dyDescent="0.3">
      <c r="A18" s="3">
        <v>17</v>
      </c>
      <c r="B18" s="3" t="s">
        <v>243</v>
      </c>
      <c r="C18" s="3" t="s">
        <v>963</v>
      </c>
      <c r="D18" s="3" t="s">
        <v>964</v>
      </c>
      <c r="E18" s="9">
        <v>2000</v>
      </c>
      <c r="L18" s="12"/>
    </row>
    <row r="19" spans="1:12" x14ac:dyDescent="0.3">
      <c r="A19" s="3">
        <v>18</v>
      </c>
      <c r="B19" s="3" t="s">
        <v>248</v>
      </c>
      <c r="C19" s="3" t="s">
        <v>966</v>
      </c>
      <c r="D19" s="3" t="s">
        <v>967</v>
      </c>
      <c r="E19" s="9">
        <v>25000</v>
      </c>
      <c r="L19" s="12"/>
    </row>
    <row r="20" spans="1:12" x14ac:dyDescent="0.3">
      <c r="A20" s="3">
        <v>19</v>
      </c>
      <c r="B20" s="3" t="s">
        <v>248</v>
      </c>
      <c r="C20" s="3" t="s">
        <v>968</v>
      </c>
      <c r="D20" s="3" t="s">
        <v>969</v>
      </c>
      <c r="E20" s="9">
        <v>10000</v>
      </c>
      <c r="L20" s="12"/>
    </row>
    <row r="21" spans="1:12" x14ac:dyDescent="0.3">
      <c r="A21" s="3">
        <v>20</v>
      </c>
      <c r="B21" s="3" t="s">
        <v>248</v>
      </c>
      <c r="C21" s="3" t="s">
        <v>970</v>
      </c>
      <c r="D21" s="3" t="s">
        <v>971</v>
      </c>
      <c r="E21" s="9">
        <v>35000</v>
      </c>
      <c r="L21" s="12"/>
    </row>
    <row r="22" spans="1:12" x14ac:dyDescent="0.3">
      <c r="A22" s="3">
        <v>21</v>
      </c>
      <c r="B22" s="3" t="s">
        <v>248</v>
      </c>
      <c r="C22" s="3" t="s">
        <v>972</v>
      </c>
      <c r="D22" s="3" t="s">
        <v>973</v>
      </c>
      <c r="E22" s="9">
        <v>15000</v>
      </c>
      <c r="L22" s="12"/>
    </row>
    <row r="23" spans="1:12" x14ac:dyDescent="0.3">
      <c r="A23" s="3">
        <v>22</v>
      </c>
      <c r="B23" s="3" t="s">
        <v>248</v>
      </c>
      <c r="C23" s="3" t="s">
        <v>974</v>
      </c>
      <c r="D23" s="3" t="s">
        <v>975</v>
      </c>
      <c r="E23" s="9">
        <v>2000</v>
      </c>
      <c r="L23" s="12"/>
    </row>
    <row r="24" spans="1:12" x14ac:dyDescent="0.3">
      <c r="A24" s="3">
        <v>23</v>
      </c>
      <c r="B24" s="3" t="s">
        <v>248</v>
      </c>
      <c r="C24" s="3" t="s">
        <v>976</v>
      </c>
      <c r="D24" s="3" t="s">
        <v>977</v>
      </c>
      <c r="E24" s="9">
        <v>9000</v>
      </c>
      <c r="L24" s="12"/>
    </row>
    <row r="25" spans="1:12" x14ac:dyDescent="0.3">
      <c r="A25" s="3">
        <v>24</v>
      </c>
      <c r="B25" s="3" t="s">
        <v>248</v>
      </c>
      <c r="C25" s="3" t="s">
        <v>978</v>
      </c>
      <c r="D25" s="3" t="s">
        <v>979</v>
      </c>
      <c r="E25" s="9">
        <v>22000</v>
      </c>
      <c r="L25" s="12"/>
    </row>
    <row r="26" spans="1:12" x14ac:dyDescent="0.3">
      <c r="A26" s="3">
        <v>25</v>
      </c>
      <c r="B26" s="3" t="s">
        <v>248</v>
      </c>
      <c r="C26" s="3" t="s">
        <v>980</v>
      </c>
      <c r="D26" s="3" t="s">
        <v>981</v>
      </c>
      <c r="E26" s="9">
        <v>8000</v>
      </c>
      <c r="L26" s="12"/>
    </row>
    <row r="27" spans="1:12" x14ac:dyDescent="0.3">
      <c r="A27" s="3">
        <v>26</v>
      </c>
      <c r="B27" s="3" t="s">
        <v>248</v>
      </c>
      <c r="C27" s="3" t="s">
        <v>963</v>
      </c>
      <c r="D27" s="3" t="s">
        <v>964</v>
      </c>
      <c r="E27" s="9">
        <v>2000</v>
      </c>
      <c r="L27" s="12"/>
    </row>
    <row r="28" spans="1:12" x14ac:dyDescent="0.3">
      <c r="A28" s="3">
        <v>27</v>
      </c>
      <c r="B28" s="3" t="s">
        <v>253</v>
      </c>
      <c r="C28" s="3" t="s">
        <v>982</v>
      </c>
      <c r="D28" s="3" t="s">
        <v>983</v>
      </c>
      <c r="E28" s="9">
        <v>10000</v>
      </c>
      <c r="L28" s="12"/>
    </row>
    <row r="29" spans="1:12" x14ac:dyDescent="0.3">
      <c r="A29" s="3">
        <v>28</v>
      </c>
      <c r="B29" s="3" t="s">
        <v>253</v>
      </c>
      <c r="C29" s="3" t="s">
        <v>984</v>
      </c>
      <c r="D29" s="3" t="s">
        <v>985</v>
      </c>
      <c r="E29" s="9">
        <v>7000</v>
      </c>
      <c r="L29" s="12"/>
    </row>
    <row r="30" spans="1:12" x14ac:dyDescent="0.3">
      <c r="A30" s="3">
        <v>29</v>
      </c>
      <c r="B30" s="3" t="s">
        <v>253</v>
      </c>
      <c r="C30" s="3" t="s">
        <v>986</v>
      </c>
      <c r="D30" s="3" t="s">
        <v>987</v>
      </c>
      <c r="E30" s="9">
        <v>12000</v>
      </c>
      <c r="L30" s="12"/>
    </row>
    <row r="31" spans="1:12" x14ac:dyDescent="0.3">
      <c r="A31" s="3">
        <v>30</v>
      </c>
      <c r="B31" s="3" t="s">
        <v>253</v>
      </c>
      <c r="C31" s="3" t="s">
        <v>988</v>
      </c>
      <c r="D31" s="3" t="s">
        <v>989</v>
      </c>
      <c r="E31" s="9">
        <v>15000</v>
      </c>
      <c r="L31" s="12"/>
    </row>
    <row r="32" spans="1:12" x14ac:dyDescent="0.3">
      <c r="A32" s="3">
        <v>31</v>
      </c>
      <c r="B32" s="3" t="s">
        <v>253</v>
      </c>
      <c r="C32" s="3" t="s">
        <v>990</v>
      </c>
      <c r="D32" s="3" t="s">
        <v>991</v>
      </c>
      <c r="E32" s="9">
        <v>12000</v>
      </c>
      <c r="L32" s="12"/>
    </row>
    <row r="33" spans="1:12" x14ac:dyDescent="0.3">
      <c r="A33" s="3">
        <v>32</v>
      </c>
      <c r="B33" s="3" t="s">
        <v>258</v>
      </c>
      <c r="C33" s="3" t="s">
        <v>992</v>
      </c>
      <c r="D33" s="3" t="s">
        <v>993</v>
      </c>
      <c r="E33" s="9">
        <v>25000</v>
      </c>
      <c r="L33" s="12"/>
    </row>
    <row r="34" spans="1:12" x14ac:dyDescent="0.3">
      <c r="A34" s="3">
        <v>33</v>
      </c>
      <c r="B34" s="3" t="s">
        <v>258</v>
      </c>
      <c r="C34" s="3" t="s">
        <v>994</v>
      </c>
      <c r="D34" s="3" t="s">
        <v>995</v>
      </c>
      <c r="E34" s="9">
        <v>20000</v>
      </c>
      <c r="L34" s="12"/>
    </row>
    <row r="35" spans="1:12" x14ac:dyDescent="0.3">
      <c r="A35" s="3">
        <v>34</v>
      </c>
      <c r="B35" s="3" t="s">
        <v>258</v>
      </c>
      <c r="C35" s="3" t="s">
        <v>996</v>
      </c>
      <c r="D35" s="3" t="s">
        <v>997</v>
      </c>
      <c r="E35" s="9">
        <v>12000</v>
      </c>
      <c r="L35" s="12"/>
    </row>
    <row r="36" spans="1:12" x14ac:dyDescent="0.3">
      <c r="A36" s="3">
        <v>35</v>
      </c>
      <c r="B36" s="3" t="s">
        <v>258</v>
      </c>
      <c r="C36" s="3" t="s">
        <v>998</v>
      </c>
      <c r="D36" s="3" t="s">
        <v>999</v>
      </c>
      <c r="E36" s="9">
        <v>8000</v>
      </c>
      <c r="L36" s="12"/>
    </row>
    <row r="37" spans="1:12" x14ac:dyDescent="0.3">
      <c r="A37" s="3">
        <v>36</v>
      </c>
      <c r="B37" s="3" t="s">
        <v>258</v>
      </c>
      <c r="C37" s="3" t="s">
        <v>1000</v>
      </c>
      <c r="D37" s="3" t="s">
        <v>1001</v>
      </c>
      <c r="E37" s="9">
        <v>8000</v>
      </c>
      <c r="L37" s="12"/>
    </row>
    <row r="38" spans="1:12" x14ac:dyDescent="0.3">
      <c r="A38" s="3">
        <v>37</v>
      </c>
      <c r="B38" s="3" t="s">
        <v>258</v>
      </c>
      <c r="C38" s="3" t="s">
        <v>1002</v>
      </c>
      <c r="D38" s="3" t="s">
        <v>1003</v>
      </c>
      <c r="E38" s="9">
        <v>14000</v>
      </c>
      <c r="L38" s="12"/>
    </row>
    <row r="39" spans="1:12" x14ac:dyDescent="0.3">
      <c r="A39" s="3">
        <v>38</v>
      </c>
      <c r="B39" s="3" t="s">
        <v>258</v>
      </c>
      <c r="C39" s="3" t="s">
        <v>1004</v>
      </c>
      <c r="D39" s="3" t="s">
        <v>1005</v>
      </c>
      <c r="E39" s="9">
        <v>26000</v>
      </c>
      <c r="L39" s="12"/>
    </row>
    <row r="40" spans="1:12" x14ac:dyDescent="0.3">
      <c r="A40" s="3">
        <v>39</v>
      </c>
      <c r="B40" s="3" t="s">
        <v>258</v>
      </c>
      <c r="C40" s="3" t="s">
        <v>1006</v>
      </c>
      <c r="D40" s="3" t="s">
        <v>1007</v>
      </c>
      <c r="E40" s="9">
        <v>7000</v>
      </c>
      <c r="L40" s="12"/>
    </row>
    <row r="41" spans="1:12" x14ac:dyDescent="0.3">
      <c r="A41" s="3">
        <v>40</v>
      </c>
      <c r="B41" s="3" t="s">
        <v>258</v>
      </c>
      <c r="C41" s="3" t="s">
        <v>1008</v>
      </c>
      <c r="D41" s="3" t="s">
        <v>1009</v>
      </c>
      <c r="E41" s="9">
        <v>35000</v>
      </c>
      <c r="L41" s="12"/>
    </row>
    <row r="42" spans="1:12" x14ac:dyDescent="0.3">
      <c r="A42" s="3">
        <v>41</v>
      </c>
      <c r="B42" s="3" t="s">
        <v>258</v>
      </c>
      <c r="C42" s="3" t="s">
        <v>1010</v>
      </c>
      <c r="D42" s="3" t="s">
        <v>1011</v>
      </c>
      <c r="E42" s="9">
        <v>8000</v>
      </c>
      <c r="L42" s="12"/>
    </row>
    <row r="43" spans="1:12" x14ac:dyDescent="0.3">
      <c r="A43" s="3">
        <v>42</v>
      </c>
      <c r="B43" s="3" t="s">
        <v>258</v>
      </c>
      <c r="C43" s="3" t="s">
        <v>1012</v>
      </c>
      <c r="D43" s="3" t="s">
        <v>1013</v>
      </c>
      <c r="E43" s="9">
        <v>8000</v>
      </c>
      <c r="L43" s="12"/>
    </row>
    <row r="44" spans="1:12" x14ac:dyDescent="0.3">
      <c r="A44" s="3">
        <v>43</v>
      </c>
      <c r="B44" s="3" t="s">
        <v>263</v>
      </c>
      <c r="C44" s="3" t="s">
        <v>1014</v>
      </c>
      <c r="D44" s="3" t="s">
        <v>1015</v>
      </c>
      <c r="E44" s="9">
        <v>10000</v>
      </c>
      <c r="L44" s="12"/>
    </row>
    <row r="45" spans="1:12" x14ac:dyDescent="0.3">
      <c r="A45" s="3">
        <v>44</v>
      </c>
      <c r="B45" s="3" t="s">
        <v>263</v>
      </c>
      <c r="C45" s="3" t="s">
        <v>1016</v>
      </c>
      <c r="D45" s="3" t="s">
        <v>1017</v>
      </c>
      <c r="E45" s="9">
        <v>8000</v>
      </c>
      <c r="L45" s="12"/>
    </row>
    <row r="46" spans="1:12" x14ac:dyDescent="0.3">
      <c r="A46" s="3">
        <v>45</v>
      </c>
      <c r="B46" s="3" t="s">
        <v>263</v>
      </c>
      <c r="C46" s="3" t="s">
        <v>1018</v>
      </c>
      <c r="D46" s="3" t="s">
        <v>1019</v>
      </c>
      <c r="E46" s="9">
        <v>8000</v>
      </c>
      <c r="L46" s="12"/>
    </row>
    <row r="47" spans="1:12" x14ac:dyDescent="0.3">
      <c r="A47" s="3">
        <v>46</v>
      </c>
      <c r="B47" s="3" t="s">
        <v>263</v>
      </c>
      <c r="C47" s="3" t="s">
        <v>1020</v>
      </c>
      <c r="D47" s="3" t="s">
        <v>1021</v>
      </c>
      <c r="E47" s="9">
        <v>9000</v>
      </c>
      <c r="L47" s="12"/>
    </row>
    <row r="48" spans="1:12" x14ac:dyDescent="0.3">
      <c r="A48" s="3">
        <v>47</v>
      </c>
      <c r="B48" s="3" t="s">
        <v>263</v>
      </c>
      <c r="C48" s="3" t="s">
        <v>1022</v>
      </c>
      <c r="D48" s="3" t="s">
        <v>1023</v>
      </c>
      <c r="E48" s="9">
        <v>5000</v>
      </c>
      <c r="L48" s="12"/>
    </row>
    <row r="49" spans="1:12" x14ac:dyDescent="0.3">
      <c r="A49" s="3">
        <v>48</v>
      </c>
      <c r="B49" s="3" t="s">
        <v>263</v>
      </c>
      <c r="C49" s="3" t="s">
        <v>1024</v>
      </c>
      <c r="D49" s="3" t="s">
        <v>1025</v>
      </c>
      <c r="E49" s="9">
        <v>5000</v>
      </c>
      <c r="L49" s="12"/>
    </row>
    <row r="50" spans="1:12" x14ac:dyDescent="0.3">
      <c r="A50" s="3">
        <v>49</v>
      </c>
      <c r="B50" s="3" t="s">
        <v>263</v>
      </c>
      <c r="C50" s="3" t="s">
        <v>963</v>
      </c>
      <c r="D50" s="3" t="s">
        <v>1026</v>
      </c>
      <c r="E50" s="9">
        <v>2000</v>
      </c>
      <c r="L50" s="12"/>
    </row>
    <row r="51" spans="1:12" x14ac:dyDescent="0.3">
      <c r="A51" s="3">
        <v>50</v>
      </c>
      <c r="B51" s="3" t="s">
        <v>268</v>
      </c>
      <c r="C51" s="3" t="s">
        <v>1027</v>
      </c>
      <c r="D51" s="3" t="s">
        <v>1028</v>
      </c>
      <c r="E51" s="9">
        <v>4000</v>
      </c>
      <c r="L51" s="12"/>
    </row>
    <row r="52" spans="1:12" x14ac:dyDescent="0.3">
      <c r="A52" s="3">
        <v>51</v>
      </c>
      <c r="B52" s="3" t="s">
        <v>268</v>
      </c>
      <c r="C52" s="3" t="s">
        <v>1029</v>
      </c>
      <c r="D52" s="3" t="s">
        <v>1030</v>
      </c>
      <c r="E52" s="9">
        <v>5000</v>
      </c>
      <c r="L52" s="12"/>
    </row>
    <row r="53" spans="1:12" x14ac:dyDescent="0.3">
      <c r="A53" s="3">
        <v>52</v>
      </c>
      <c r="B53" s="3" t="s">
        <v>268</v>
      </c>
      <c r="C53" s="3" t="s">
        <v>1031</v>
      </c>
      <c r="D53" s="3" t="s">
        <v>1032</v>
      </c>
      <c r="E53" s="9">
        <v>6000</v>
      </c>
      <c r="L53" s="12"/>
    </row>
    <row r="54" spans="1:12" x14ac:dyDescent="0.3">
      <c r="A54" s="3">
        <v>53</v>
      </c>
      <c r="B54" s="3" t="s">
        <v>268</v>
      </c>
      <c r="C54" s="3" t="s">
        <v>1033</v>
      </c>
      <c r="D54" s="3" t="s">
        <v>1034</v>
      </c>
      <c r="E54" s="9">
        <v>18000</v>
      </c>
      <c r="L54" s="12"/>
    </row>
    <row r="55" spans="1:12" x14ac:dyDescent="0.3">
      <c r="A55" s="3">
        <v>54</v>
      </c>
      <c r="B55" s="3" t="s">
        <v>268</v>
      </c>
      <c r="C55" s="3" t="s">
        <v>1035</v>
      </c>
      <c r="D55" s="3" t="s">
        <v>1036</v>
      </c>
      <c r="E55" s="9">
        <v>7000</v>
      </c>
      <c r="L55" s="12"/>
    </row>
    <row r="56" spans="1:12" x14ac:dyDescent="0.3">
      <c r="A56" s="3">
        <v>55</v>
      </c>
      <c r="B56" s="3" t="s">
        <v>268</v>
      </c>
      <c r="C56" s="3" t="s">
        <v>1037</v>
      </c>
      <c r="D56" s="3" t="s">
        <v>1038</v>
      </c>
      <c r="E56" s="9">
        <v>4000</v>
      </c>
      <c r="L56" s="12"/>
    </row>
    <row r="57" spans="1:12" x14ac:dyDescent="0.3">
      <c r="A57" s="3">
        <v>56</v>
      </c>
      <c r="B57" s="3" t="s">
        <v>268</v>
      </c>
      <c r="C57" s="3" t="s">
        <v>963</v>
      </c>
      <c r="D57" s="3" t="s">
        <v>1026</v>
      </c>
      <c r="E57" s="9">
        <v>2000</v>
      </c>
      <c r="L57" s="12"/>
    </row>
    <row r="58" spans="1:12" x14ac:dyDescent="0.3">
      <c r="A58" s="3">
        <v>57</v>
      </c>
      <c r="B58" s="3" t="s">
        <v>273</v>
      </c>
      <c r="C58" s="3" t="s">
        <v>1039</v>
      </c>
      <c r="D58" s="3" t="s">
        <v>1040</v>
      </c>
      <c r="E58" s="9">
        <v>6000</v>
      </c>
      <c r="L58" s="12"/>
    </row>
    <row r="59" spans="1:12" x14ac:dyDescent="0.3">
      <c r="A59" s="3">
        <v>58</v>
      </c>
      <c r="B59" s="3" t="s">
        <v>273</v>
      </c>
      <c r="C59" s="3" t="s">
        <v>1041</v>
      </c>
      <c r="D59" s="3" t="s">
        <v>1042</v>
      </c>
      <c r="E59" s="9">
        <v>4000</v>
      </c>
      <c r="L59" s="12"/>
    </row>
    <row r="60" spans="1:12" x14ac:dyDescent="0.3">
      <c r="A60" s="3">
        <v>59</v>
      </c>
      <c r="B60" s="3" t="s">
        <v>273</v>
      </c>
      <c r="C60" s="3" t="s">
        <v>1043</v>
      </c>
      <c r="D60" s="3" t="s">
        <v>1044</v>
      </c>
      <c r="E60" s="9">
        <v>4000</v>
      </c>
      <c r="L60" s="12"/>
    </row>
    <row r="61" spans="1:12" x14ac:dyDescent="0.3">
      <c r="A61" s="3">
        <v>60</v>
      </c>
      <c r="B61" s="3" t="s">
        <v>273</v>
      </c>
      <c r="C61" s="3" t="s">
        <v>1045</v>
      </c>
      <c r="D61" s="3" t="s">
        <v>1046</v>
      </c>
      <c r="E61" s="9">
        <v>4000</v>
      </c>
      <c r="L61" s="12"/>
    </row>
    <row r="62" spans="1:12" x14ac:dyDescent="0.3">
      <c r="A62" s="3">
        <v>61</v>
      </c>
      <c r="B62" s="3" t="s">
        <v>273</v>
      </c>
      <c r="C62" s="3" t="s">
        <v>1047</v>
      </c>
      <c r="D62" s="3" t="s">
        <v>1048</v>
      </c>
      <c r="E62" s="9">
        <v>4000</v>
      </c>
      <c r="L62" s="12"/>
    </row>
    <row r="63" spans="1:12" x14ac:dyDescent="0.3">
      <c r="A63" s="3">
        <v>62</v>
      </c>
      <c r="B63" s="3" t="s">
        <v>278</v>
      </c>
      <c r="C63" s="3" t="s">
        <v>966</v>
      </c>
      <c r="D63" s="3" t="s">
        <v>967</v>
      </c>
      <c r="E63" s="9">
        <v>20000</v>
      </c>
      <c r="L63" s="12"/>
    </row>
    <row r="64" spans="1:12" x14ac:dyDescent="0.3">
      <c r="A64" s="3">
        <v>63</v>
      </c>
      <c r="B64" s="3" t="s">
        <v>278</v>
      </c>
      <c r="C64" s="3" t="s">
        <v>968</v>
      </c>
      <c r="D64" s="3" t="s">
        <v>969</v>
      </c>
      <c r="E64" s="9">
        <v>12000</v>
      </c>
      <c r="L64" s="12"/>
    </row>
    <row r="65" spans="1:12" x14ac:dyDescent="0.3">
      <c r="A65" s="3">
        <v>64</v>
      </c>
      <c r="B65" s="3" t="s">
        <v>278</v>
      </c>
      <c r="C65" s="3" t="s">
        <v>970</v>
      </c>
      <c r="D65" s="3" t="s">
        <v>971</v>
      </c>
      <c r="E65" s="9">
        <v>30000</v>
      </c>
      <c r="L65" s="12"/>
    </row>
    <row r="66" spans="1:12" x14ac:dyDescent="0.3">
      <c r="A66" s="3">
        <v>65</v>
      </c>
      <c r="B66" s="3" t="s">
        <v>278</v>
      </c>
      <c r="C66" s="3" t="s">
        <v>972</v>
      </c>
      <c r="D66" s="3" t="s">
        <v>973</v>
      </c>
      <c r="E66" s="9">
        <v>15000</v>
      </c>
      <c r="L66" s="12"/>
    </row>
    <row r="67" spans="1:12" x14ac:dyDescent="0.3">
      <c r="A67" s="3">
        <v>66</v>
      </c>
      <c r="B67" s="3" t="s">
        <v>278</v>
      </c>
      <c r="C67" s="3" t="s">
        <v>1049</v>
      </c>
      <c r="D67" s="3" t="s">
        <v>1050</v>
      </c>
      <c r="E67" s="9">
        <v>6000</v>
      </c>
      <c r="L67" s="12"/>
    </row>
    <row r="68" spans="1:12" x14ac:dyDescent="0.3">
      <c r="A68" s="3">
        <v>67</v>
      </c>
      <c r="B68" s="3" t="s">
        <v>278</v>
      </c>
      <c r="C68" s="3" t="s">
        <v>1051</v>
      </c>
      <c r="D68" s="3" t="s">
        <v>1052</v>
      </c>
      <c r="E68" s="9">
        <v>18000</v>
      </c>
      <c r="L68" s="12"/>
    </row>
    <row r="69" spans="1:12" x14ac:dyDescent="0.3">
      <c r="A69" s="3">
        <v>68</v>
      </c>
      <c r="B69" s="3" t="s">
        <v>278</v>
      </c>
      <c r="C69" s="3" t="s">
        <v>965</v>
      </c>
      <c r="D69" s="3" t="s">
        <v>1026</v>
      </c>
      <c r="E69" s="9">
        <v>2000</v>
      </c>
      <c r="L69" s="12"/>
    </row>
    <row r="70" spans="1:12" x14ac:dyDescent="0.3">
      <c r="A70" s="3">
        <v>69</v>
      </c>
      <c r="B70" s="3" t="s">
        <v>283</v>
      </c>
      <c r="C70" s="3" t="s">
        <v>1027</v>
      </c>
      <c r="D70" s="3" t="s">
        <v>1028</v>
      </c>
      <c r="E70" s="9">
        <v>7000</v>
      </c>
      <c r="L70" s="12"/>
    </row>
    <row r="71" spans="1:12" x14ac:dyDescent="0.3">
      <c r="A71" s="3">
        <v>70</v>
      </c>
      <c r="B71" s="3" t="s">
        <v>283</v>
      </c>
      <c r="C71" s="3" t="s">
        <v>1029</v>
      </c>
      <c r="D71" s="3" t="s">
        <v>1030</v>
      </c>
      <c r="E71" s="9">
        <v>8000</v>
      </c>
      <c r="L71" s="12"/>
    </row>
    <row r="72" spans="1:12" x14ac:dyDescent="0.3">
      <c r="A72" s="3">
        <v>71</v>
      </c>
      <c r="B72" s="3" t="s">
        <v>283</v>
      </c>
      <c r="C72" s="3" t="s">
        <v>1035</v>
      </c>
      <c r="D72" s="3" t="s">
        <v>1036</v>
      </c>
      <c r="E72" s="9">
        <v>10000</v>
      </c>
      <c r="L72" s="12"/>
    </row>
    <row r="73" spans="1:12" x14ac:dyDescent="0.3">
      <c r="A73" s="3">
        <v>72</v>
      </c>
      <c r="B73" s="3" t="s">
        <v>283</v>
      </c>
      <c r="C73" s="3" t="s">
        <v>1037</v>
      </c>
      <c r="D73" s="3" t="s">
        <v>1038</v>
      </c>
      <c r="E73" s="9">
        <v>4000</v>
      </c>
      <c r="L73" s="12"/>
    </row>
    <row r="74" spans="1:12" x14ac:dyDescent="0.3">
      <c r="A74" s="3">
        <v>73</v>
      </c>
      <c r="B74" s="3" t="s">
        <v>283</v>
      </c>
      <c r="C74" s="3" t="s">
        <v>963</v>
      </c>
      <c r="D74" s="3" t="s">
        <v>1026</v>
      </c>
      <c r="E74" s="9">
        <v>2000</v>
      </c>
      <c r="L74" s="12"/>
    </row>
    <row r="75" spans="1:12" x14ac:dyDescent="0.3">
      <c r="A75" s="3">
        <v>74</v>
      </c>
      <c r="B75" s="3" t="s">
        <v>288</v>
      </c>
      <c r="C75" s="3" t="s">
        <v>992</v>
      </c>
      <c r="D75" s="3" t="s">
        <v>1053</v>
      </c>
      <c r="E75" s="9">
        <v>5000</v>
      </c>
      <c r="L75" s="12"/>
    </row>
    <row r="76" spans="1:12" x14ac:dyDescent="0.3">
      <c r="A76" s="3">
        <v>75</v>
      </c>
      <c r="B76" s="3" t="s">
        <v>288</v>
      </c>
      <c r="C76" s="3" t="s">
        <v>994</v>
      </c>
      <c r="D76" s="3" t="s">
        <v>995</v>
      </c>
      <c r="E76" s="9">
        <v>6000</v>
      </c>
      <c r="L76" s="12"/>
    </row>
    <row r="77" spans="1:12" x14ac:dyDescent="0.3">
      <c r="A77" s="3">
        <v>76</v>
      </c>
      <c r="B77" s="3" t="s">
        <v>288</v>
      </c>
      <c r="C77" s="3" t="s">
        <v>996</v>
      </c>
      <c r="D77" s="3" t="s">
        <v>1054</v>
      </c>
      <c r="E77" s="9">
        <v>5500</v>
      </c>
      <c r="L77" s="12"/>
    </row>
    <row r="78" spans="1:12" x14ac:dyDescent="0.3">
      <c r="A78" s="3">
        <v>77</v>
      </c>
      <c r="B78" s="3" t="s">
        <v>288</v>
      </c>
      <c r="C78" s="3" t="s">
        <v>998</v>
      </c>
      <c r="D78" s="3" t="s">
        <v>999</v>
      </c>
      <c r="E78" s="9">
        <v>6000</v>
      </c>
      <c r="L78" s="12"/>
    </row>
    <row r="79" spans="1:12" x14ac:dyDescent="0.3">
      <c r="A79" s="3">
        <v>78</v>
      </c>
      <c r="B79" s="3" t="s">
        <v>288</v>
      </c>
      <c r="C79" s="3" t="s">
        <v>1000</v>
      </c>
      <c r="D79" s="3" t="s">
        <v>1001</v>
      </c>
      <c r="E79" s="9">
        <v>4500</v>
      </c>
      <c r="L79" s="12"/>
    </row>
    <row r="80" spans="1:12" x14ac:dyDescent="0.3">
      <c r="A80" s="3">
        <v>79</v>
      </c>
      <c r="B80" s="3" t="s">
        <v>288</v>
      </c>
      <c r="C80" s="3" t="s">
        <v>1002</v>
      </c>
      <c r="D80" s="3" t="s">
        <v>1055</v>
      </c>
      <c r="E80" s="9">
        <v>4000</v>
      </c>
      <c r="L80" s="12"/>
    </row>
    <row r="81" spans="1:12" x14ac:dyDescent="0.3">
      <c r="A81" s="3">
        <v>80</v>
      </c>
      <c r="B81" s="3" t="s">
        <v>288</v>
      </c>
      <c r="C81" s="3" t="s">
        <v>1004</v>
      </c>
      <c r="D81" s="3" t="s">
        <v>1005</v>
      </c>
      <c r="E81" s="9">
        <v>3000</v>
      </c>
      <c r="L81" s="12"/>
    </row>
    <row r="82" spans="1:12" x14ac:dyDescent="0.3">
      <c r="A82" s="3">
        <v>81</v>
      </c>
      <c r="B82" s="3" t="s">
        <v>288</v>
      </c>
      <c r="C82" s="3" t="s">
        <v>1006</v>
      </c>
      <c r="D82" s="3" t="s">
        <v>1007</v>
      </c>
      <c r="E82" s="9">
        <v>2500</v>
      </c>
      <c r="L82" s="12"/>
    </row>
    <row r="83" spans="1:12" x14ac:dyDescent="0.3">
      <c r="A83" s="3">
        <v>82</v>
      </c>
      <c r="B83" s="3" t="s">
        <v>288</v>
      </c>
      <c r="C83" s="3" t="s">
        <v>1008</v>
      </c>
      <c r="D83" s="3" t="s">
        <v>1009</v>
      </c>
      <c r="E83" s="9">
        <v>8000</v>
      </c>
      <c r="L83" s="12"/>
    </row>
    <row r="84" spans="1:12" x14ac:dyDescent="0.3">
      <c r="A84" s="3">
        <v>83</v>
      </c>
      <c r="B84" s="3" t="s">
        <v>288</v>
      </c>
      <c r="C84" s="3" t="s">
        <v>1056</v>
      </c>
      <c r="D84" s="3" t="s">
        <v>1057</v>
      </c>
      <c r="E84" s="9">
        <v>9000</v>
      </c>
      <c r="L84" s="12"/>
    </row>
    <row r="85" spans="1:12" x14ac:dyDescent="0.3">
      <c r="A85" s="3">
        <v>84</v>
      </c>
      <c r="B85" s="3" t="s">
        <v>288</v>
      </c>
      <c r="C85" s="3" t="s">
        <v>1010</v>
      </c>
      <c r="D85" s="3" t="s">
        <v>1011</v>
      </c>
      <c r="E85" s="9">
        <v>8000</v>
      </c>
      <c r="L85" s="12"/>
    </row>
    <row r="86" spans="1:12" x14ac:dyDescent="0.3">
      <c r="A86" s="3">
        <v>85</v>
      </c>
      <c r="B86" s="3" t="s">
        <v>288</v>
      </c>
      <c r="C86" s="3" t="s">
        <v>1012</v>
      </c>
      <c r="D86" s="3" t="s">
        <v>1013</v>
      </c>
      <c r="E86" s="9">
        <v>6000</v>
      </c>
      <c r="L86" s="12"/>
    </row>
    <row r="87" spans="1:12" x14ac:dyDescent="0.3">
      <c r="A87" s="3">
        <v>86</v>
      </c>
      <c r="B87" s="3" t="s">
        <v>288</v>
      </c>
      <c r="C87" s="3" t="s">
        <v>963</v>
      </c>
      <c r="D87" s="3" t="s">
        <v>1026</v>
      </c>
      <c r="E87" s="9">
        <v>1500</v>
      </c>
      <c r="L87" s="12"/>
    </row>
    <row r="88" spans="1:12" x14ac:dyDescent="0.3">
      <c r="A88" s="3">
        <v>87</v>
      </c>
      <c r="B88" s="3" t="s">
        <v>293</v>
      </c>
      <c r="C88" s="3" t="s">
        <v>1039</v>
      </c>
      <c r="D88" s="3" t="s">
        <v>1040</v>
      </c>
      <c r="E88" s="9">
        <v>4500</v>
      </c>
      <c r="L88" s="12"/>
    </row>
    <row r="89" spans="1:12" x14ac:dyDescent="0.3">
      <c r="A89" s="3">
        <v>88</v>
      </c>
      <c r="B89" s="3" t="s">
        <v>293</v>
      </c>
      <c r="C89" s="3" t="s">
        <v>1041</v>
      </c>
      <c r="D89" s="3" t="s">
        <v>1042</v>
      </c>
      <c r="E89" s="9">
        <v>3000</v>
      </c>
      <c r="L89" s="12"/>
    </row>
    <row r="90" spans="1:12" x14ac:dyDescent="0.3">
      <c r="A90" s="3">
        <v>89</v>
      </c>
      <c r="B90" s="3" t="s">
        <v>293</v>
      </c>
      <c r="C90" s="3" t="s">
        <v>1043</v>
      </c>
      <c r="D90" s="3" t="s">
        <v>1044</v>
      </c>
      <c r="E90" s="9">
        <v>2000</v>
      </c>
      <c r="L90" s="12"/>
    </row>
    <row r="91" spans="1:12" x14ac:dyDescent="0.3">
      <c r="A91" s="3">
        <v>90</v>
      </c>
      <c r="B91" s="3" t="s">
        <v>293</v>
      </c>
      <c r="C91" s="3" t="s">
        <v>1058</v>
      </c>
      <c r="D91" s="3" t="s">
        <v>1059</v>
      </c>
      <c r="E91" s="9">
        <v>500</v>
      </c>
      <c r="L91" s="12"/>
    </row>
    <row r="92" spans="1:12" x14ac:dyDescent="0.3">
      <c r="A92" s="3">
        <v>91</v>
      </c>
      <c r="B92" s="3" t="s">
        <v>293</v>
      </c>
      <c r="C92" s="3" t="s">
        <v>1045</v>
      </c>
      <c r="D92" s="3" t="s">
        <v>1046</v>
      </c>
      <c r="E92" s="9">
        <v>700</v>
      </c>
      <c r="L92" s="12"/>
    </row>
    <row r="93" spans="1:12" x14ac:dyDescent="0.3">
      <c r="A93" s="3">
        <v>92</v>
      </c>
      <c r="B93" s="3" t="s">
        <v>293</v>
      </c>
      <c r="C93" s="3" t="s">
        <v>1047</v>
      </c>
      <c r="D93" s="3" t="s">
        <v>1048</v>
      </c>
      <c r="E93" s="9">
        <v>700</v>
      </c>
      <c r="L93" s="12"/>
    </row>
    <row r="94" spans="1:12" x14ac:dyDescent="0.3">
      <c r="A94" s="3">
        <v>93</v>
      </c>
      <c r="B94" s="3" t="s">
        <v>293</v>
      </c>
      <c r="C94" s="3" t="s">
        <v>1060</v>
      </c>
      <c r="D94" s="3" t="s">
        <v>1061</v>
      </c>
      <c r="E94" s="9">
        <v>2500</v>
      </c>
      <c r="L94" s="12"/>
    </row>
    <row r="95" spans="1:12" x14ac:dyDescent="0.3">
      <c r="A95" s="3">
        <v>94</v>
      </c>
      <c r="B95" s="3" t="s">
        <v>293</v>
      </c>
      <c r="C95" s="3" t="s">
        <v>1062</v>
      </c>
      <c r="D95" s="3" t="s">
        <v>1063</v>
      </c>
      <c r="E95" s="9">
        <v>3500</v>
      </c>
      <c r="L95" s="12"/>
    </row>
    <row r="96" spans="1:12" x14ac:dyDescent="0.3">
      <c r="A96" s="3">
        <v>95</v>
      </c>
      <c r="B96" s="3" t="s">
        <v>293</v>
      </c>
      <c r="C96" s="3" t="s">
        <v>963</v>
      </c>
      <c r="D96" s="3" t="s">
        <v>1026</v>
      </c>
      <c r="E96" s="9">
        <v>1500</v>
      </c>
      <c r="L96" s="12"/>
    </row>
    <row r="97" spans="1:12" x14ac:dyDescent="0.3">
      <c r="A97" s="3">
        <v>96</v>
      </c>
      <c r="B97" s="3" t="s">
        <v>293</v>
      </c>
      <c r="C97" s="3" t="s">
        <v>965</v>
      </c>
      <c r="D97" s="3" t="s">
        <v>1026</v>
      </c>
      <c r="E97" s="9">
        <v>1500</v>
      </c>
      <c r="L97" s="12"/>
    </row>
    <row r="98" spans="1:12" x14ac:dyDescent="0.3">
      <c r="A98" s="3">
        <v>97</v>
      </c>
      <c r="B98" s="3" t="s">
        <v>298</v>
      </c>
      <c r="C98" s="3" t="s">
        <v>1027</v>
      </c>
      <c r="D98" s="3" t="s">
        <v>1028</v>
      </c>
      <c r="E98" s="9">
        <v>4000</v>
      </c>
      <c r="L98" s="12"/>
    </row>
    <row r="99" spans="1:12" x14ac:dyDescent="0.3">
      <c r="A99" s="3">
        <v>98</v>
      </c>
      <c r="B99" s="3" t="s">
        <v>298</v>
      </c>
      <c r="C99" s="3" t="s">
        <v>1029</v>
      </c>
      <c r="D99" s="3" t="s">
        <v>1030</v>
      </c>
      <c r="E99" s="9">
        <v>5000</v>
      </c>
      <c r="L99" s="12"/>
    </row>
    <row r="100" spans="1:12" x14ac:dyDescent="0.3">
      <c r="A100" s="3">
        <v>99</v>
      </c>
      <c r="B100" s="3" t="s">
        <v>298</v>
      </c>
      <c r="C100" s="3" t="s">
        <v>1031</v>
      </c>
      <c r="D100" s="3" t="s">
        <v>1032</v>
      </c>
      <c r="E100" s="9">
        <v>5000</v>
      </c>
      <c r="L100" s="12"/>
    </row>
    <row r="101" spans="1:12" x14ac:dyDescent="0.3">
      <c r="A101" s="3">
        <v>100</v>
      </c>
      <c r="B101" s="3" t="s">
        <v>298</v>
      </c>
      <c r="C101" s="3" t="s">
        <v>1033</v>
      </c>
      <c r="D101" s="3" t="s">
        <v>1034</v>
      </c>
      <c r="E101" s="9">
        <v>6000</v>
      </c>
      <c r="L101" s="12"/>
    </row>
    <row r="102" spans="1:12" x14ac:dyDescent="0.3">
      <c r="A102" s="3">
        <v>101</v>
      </c>
      <c r="B102" s="3" t="s">
        <v>298</v>
      </c>
      <c r="C102" s="3" t="s">
        <v>1035</v>
      </c>
      <c r="D102" s="3" t="s">
        <v>1036</v>
      </c>
      <c r="E102" s="9">
        <v>5000</v>
      </c>
      <c r="L102" s="12"/>
    </row>
    <row r="103" spans="1:12" x14ac:dyDescent="0.3">
      <c r="A103" s="3">
        <v>102</v>
      </c>
      <c r="B103" s="3" t="s">
        <v>298</v>
      </c>
      <c r="C103" s="3" t="s">
        <v>1037</v>
      </c>
      <c r="D103" s="3" t="s">
        <v>1038</v>
      </c>
      <c r="E103" s="9">
        <v>2000</v>
      </c>
      <c r="L103" s="12"/>
    </row>
    <row r="104" spans="1:12" x14ac:dyDescent="0.3">
      <c r="A104" s="3">
        <v>103</v>
      </c>
      <c r="B104" s="3" t="s">
        <v>298</v>
      </c>
      <c r="C104" s="3" t="s">
        <v>1064</v>
      </c>
      <c r="D104" s="3" t="s">
        <v>1065</v>
      </c>
      <c r="E104" s="9">
        <v>4000</v>
      </c>
      <c r="L104" s="12"/>
    </row>
    <row r="105" spans="1:12" x14ac:dyDescent="0.3">
      <c r="A105" s="3">
        <v>104</v>
      </c>
      <c r="B105" s="3" t="s">
        <v>298</v>
      </c>
      <c r="C105" s="3" t="s">
        <v>1066</v>
      </c>
      <c r="D105" s="3" t="s">
        <v>1067</v>
      </c>
      <c r="E105" s="9">
        <v>6500</v>
      </c>
      <c r="L105" s="12"/>
    </row>
    <row r="106" spans="1:12" x14ac:dyDescent="0.3">
      <c r="A106" s="3">
        <v>105</v>
      </c>
      <c r="B106" s="3" t="s">
        <v>298</v>
      </c>
      <c r="C106" s="3" t="s">
        <v>1068</v>
      </c>
      <c r="D106" s="3" t="s">
        <v>1069</v>
      </c>
      <c r="E106" s="9">
        <v>8000</v>
      </c>
      <c r="L106" s="12"/>
    </row>
    <row r="107" spans="1:12" x14ac:dyDescent="0.3">
      <c r="A107" s="3">
        <v>106</v>
      </c>
      <c r="B107" s="3" t="s">
        <v>303</v>
      </c>
      <c r="C107" s="3" t="s">
        <v>1039</v>
      </c>
      <c r="D107" s="3" t="s">
        <v>1040</v>
      </c>
      <c r="E107" s="9">
        <v>4500</v>
      </c>
      <c r="L107" s="12"/>
    </row>
    <row r="108" spans="1:12" x14ac:dyDescent="0.3">
      <c r="A108" s="3">
        <v>107</v>
      </c>
      <c r="B108" s="3" t="s">
        <v>303</v>
      </c>
      <c r="C108" s="3" t="s">
        <v>1041</v>
      </c>
      <c r="D108" s="3" t="s">
        <v>1042</v>
      </c>
      <c r="E108" s="9">
        <v>3000</v>
      </c>
      <c r="L108" s="12"/>
    </row>
    <row r="109" spans="1:12" x14ac:dyDescent="0.3">
      <c r="A109" s="3">
        <v>108</v>
      </c>
      <c r="B109" s="3" t="s">
        <v>303</v>
      </c>
      <c r="C109" s="3" t="s">
        <v>1043</v>
      </c>
      <c r="D109" s="3" t="s">
        <v>1044</v>
      </c>
      <c r="E109" s="9">
        <v>2000</v>
      </c>
      <c r="L109" s="12"/>
    </row>
    <row r="110" spans="1:12" x14ac:dyDescent="0.3">
      <c r="A110" s="3">
        <v>109</v>
      </c>
      <c r="B110" s="3" t="s">
        <v>303</v>
      </c>
      <c r="C110" s="3" t="s">
        <v>1058</v>
      </c>
      <c r="D110" s="3" t="s">
        <v>1070</v>
      </c>
      <c r="E110" s="9">
        <v>500</v>
      </c>
      <c r="L110" s="12"/>
    </row>
    <row r="111" spans="1:12" x14ac:dyDescent="0.3">
      <c r="A111" s="3">
        <v>110</v>
      </c>
      <c r="B111" s="3" t="s">
        <v>303</v>
      </c>
      <c r="C111" s="3" t="s">
        <v>1045</v>
      </c>
      <c r="D111" s="3" t="s">
        <v>1046</v>
      </c>
      <c r="E111" s="9">
        <v>700</v>
      </c>
      <c r="L111" s="12"/>
    </row>
    <row r="112" spans="1:12" x14ac:dyDescent="0.3">
      <c r="A112" s="3">
        <v>111</v>
      </c>
      <c r="B112" s="3" t="s">
        <v>303</v>
      </c>
      <c r="C112" s="3" t="s">
        <v>1047</v>
      </c>
      <c r="D112" s="3" t="s">
        <v>1071</v>
      </c>
      <c r="E112" s="9">
        <v>700</v>
      </c>
      <c r="L112" s="12"/>
    </row>
    <row r="113" spans="1:12" x14ac:dyDescent="0.3">
      <c r="A113" s="3">
        <v>112</v>
      </c>
      <c r="B113" s="3" t="s">
        <v>303</v>
      </c>
      <c r="C113" s="3" t="s">
        <v>1060</v>
      </c>
      <c r="D113" s="3" t="s">
        <v>1061</v>
      </c>
      <c r="E113" s="9">
        <v>2500</v>
      </c>
      <c r="L113" s="12"/>
    </row>
    <row r="114" spans="1:12" x14ac:dyDescent="0.3">
      <c r="A114" s="3">
        <v>113</v>
      </c>
      <c r="B114" s="3" t="s">
        <v>303</v>
      </c>
      <c r="C114" s="3" t="s">
        <v>1062</v>
      </c>
      <c r="D114" s="3" t="s">
        <v>1063</v>
      </c>
      <c r="E114" s="9">
        <v>3500</v>
      </c>
      <c r="L114" s="12"/>
    </row>
    <row r="115" spans="1:12" x14ac:dyDescent="0.3">
      <c r="A115" s="3">
        <v>114</v>
      </c>
      <c r="B115" s="3" t="s">
        <v>308</v>
      </c>
      <c r="C115" s="3" t="s">
        <v>945</v>
      </c>
      <c r="D115" s="3" t="s">
        <v>946</v>
      </c>
      <c r="E115" s="9">
        <v>15000</v>
      </c>
      <c r="L115" s="12"/>
    </row>
    <row r="116" spans="1:12" x14ac:dyDescent="0.3">
      <c r="A116" s="3">
        <v>115</v>
      </c>
      <c r="B116" s="3" t="s">
        <v>308</v>
      </c>
      <c r="C116" s="3" t="s">
        <v>947</v>
      </c>
      <c r="D116" s="3" t="s">
        <v>1072</v>
      </c>
      <c r="E116" s="9">
        <v>5000</v>
      </c>
      <c r="L116" s="12"/>
    </row>
    <row r="117" spans="1:12" x14ac:dyDescent="0.3">
      <c r="A117" s="3">
        <v>116</v>
      </c>
      <c r="B117" s="3" t="s">
        <v>308</v>
      </c>
      <c r="C117" s="3" t="s">
        <v>949</v>
      </c>
      <c r="D117" s="3" t="s">
        <v>1073</v>
      </c>
      <c r="E117" s="9">
        <v>4000</v>
      </c>
      <c r="L117" s="12"/>
    </row>
    <row r="118" spans="1:12" x14ac:dyDescent="0.3">
      <c r="A118" s="3">
        <v>117</v>
      </c>
      <c r="B118" s="3" t="s">
        <v>308</v>
      </c>
      <c r="C118" s="3" t="s">
        <v>951</v>
      </c>
      <c r="D118" s="3" t="s">
        <v>952</v>
      </c>
      <c r="E118" s="9">
        <v>17000</v>
      </c>
      <c r="L118" s="12"/>
    </row>
    <row r="119" spans="1:12" x14ac:dyDescent="0.3">
      <c r="A119" s="3">
        <v>118</v>
      </c>
      <c r="B119" s="3" t="s">
        <v>308</v>
      </c>
      <c r="C119" s="3" t="s">
        <v>953</v>
      </c>
      <c r="D119" s="3" t="s">
        <v>954</v>
      </c>
      <c r="E119" s="9">
        <v>11000</v>
      </c>
      <c r="L119" s="12"/>
    </row>
    <row r="120" spans="1:12" x14ac:dyDescent="0.3">
      <c r="A120" s="3">
        <v>119</v>
      </c>
      <c r="B120" s="3" t="s">
        <v>308</v>
      </c>
      <c r="C120" s="3" t="s">
        <v>955</v>
      </c>
      <c r="D120" s="3" t="s">
        <v>1074</v>
      </c>
      <c r="E120" s="9">
        <v>6000</v>
      </c>
      <c r="L120" s="12"/>
    </row>
    <row r="121" spans="1:12" x14ac:dyDescent="0.3">
      <c r="A121" s="3">
        <v>120</v>
      </c>
      <c r="B121" s="3" t="s">
        <v>308</v>
      </c>
      <c r="C121" s="3" t="s">
        <v>957</v>
      </c>
      <c r="D121" s="3" t="s">
        <v>958</v>
      </c>
      <c r="E121" s="9">
        <v>4500</v>
      </c>
      <c r="L121" s="12"/>
    </row>
    <row r="122" spans="1:12" x14ac:dyDescent="0.3">
      <c r="A122" s="3">
        <v>121</v>
      </c>
      <c r="B122" s="3" t="s">
        <v>308</v>
      </c>
      <c r="C122" s="3" t="s">
        <v>959</v>
      </c>
      <c r="D122" s="3" t="s">
        <v>960</v>
      </c>
      <c r="E122" s="9">
        <v>8500</v>
      </c>
      <c r="L122" s="12"/>
    </row>
    <row r="123" spans="1:12" x14ac:dyDescent="0.3">
      <c r="A123" s="3">
        <v>122</v>
      </c>
      <c r="B123" s="3" t="s">
        <v>308</v>
      </c>
      <c r="C123" s="3" t="s">
        <v>961</v>
      </c>
      <c r="D123" s="3" t="s">
        <v>962</v>
      </c>
      <c r="E123" s="9">
        <v>2000</v>
      </c>
      <c r="L123" s="12"/>
    </row>
    <row r="124" spans="1:12" x14ac:dyDescent="0.3">
      <c r="A124" s="3">
        <v>123</v>
      </c>
      <c r="B124" s="3" t="s">
        <v>313</v>
      </c>
      <c r="C124" s="3" t="s">
        <v>1075</v>
      </c>
      <c r="D124" s="3" t="s">
        <v>1076</v>
      </c>
      <c r="E124" s="9">
        <v>10000</v>
      </c>
      <c r="L124" s="12"/>
    </row>
    <row r="125" spans="1:12" x14ac:dyDescent="0.3">
      <c r="A125" s="3">
        <v>124</v>
      </c>
      <c r="B125" s="3" t="s">
        <v>313</v>
      </c>
      <c r="C125" s="3" t="s">
        <v>1077</v>
      </c>
      <c r="D125" s="3" t="s">
        <v>1078</v>
      </c>
      <c r="E125" s="9">
        <v>10500</v>
      </c>
      <c r="L125" s="12"/>
    </row>
    <row r="126" spans="1:12" x14ac:dyDescent="0.3">
      <c r="A126" s="3">
        <v>125</v>
      </c>
      <c r="B126" s="3" t="s">
        <v>313</v>
      </c>
      <c r="C126" s="3" t="s">
        <v>1079</v>
      </c>
      <c r="D126" s="3" t="s">
        <v>1080</v>
      </c>
      <c r="E126" s="9">
        <v>11000</v>
      </c>
      <c r="L126" s="12"/>
    </row>
    <row r="127" spans="1:12" x14ac:dyDescent="0.3">
      <c r="A127" s="3">
        <v>126</v>
      </c>
      <c r="B127" s="3" t="s">
        <v>313</v>
      </c>
      <c r="C127" s="3" t="s">
        <v>1081</v>
      </c>
      <c r="D127" s="3" t="s">
        <v>1082</v>
      </c>
      <c r="E127" s="9">
        <v>11000</v>
      </c>
      <c r="L127" s="12"/>
    </row>
    <row r="128" spans="1:12" x14ac:dyDescent="0.3">
      <c r="A128" s="3">
        <v>127</v>
      </c>
      <c r="B128" s="3" t="s">
        <v>313</v>
      </c>
      <c r="C128" s="3" t="s">
        <v>1083</v>
      </c>
      <c r="D128" s="3" t="s">
        <v>1084</v>
      </c>
      <c r="E128" s="9">
        <v>12000</v>
      </c>
      <c r="L128" s="12"/>
    </row>
    <row r="129" spans="1:12" x14ac:dyDescent="0.3">
      <c r="A129" s="3">
        <v>128</v>
      </c>
      <c r="B129" s="3" t="s">
        <v>313</v>
      </c>
      <c r="C129" s="3" t="s">
        <v>1085</v>
      </c>
      <c r="D129" s="3" t="s">
        <v>1086</v>
      </c>
      <c r="E129" s="9">
        <v>12000</v>
      </c>
      <c r="L129" s="12"/>
    </row>
    <row r="130" spans="1:12" x14ac:dyDescent="0.3">
      <c r="A130" s="3">
        <v>129</v>
      </c>
      <c r="B130" s="3" t="s">
        <v>313</v>
      </c>
      <c r="C130" s="3" t="s">
        <v>1087</v>
      </c>
      <c r="D130" s="3" t="s">
        <v>1088</v>
      </c>
      <c r="E130" s="9">
        <v>11000</v>
      </c>
      <c r="L130" s="12"/>
    </row>
    <row r="131" spans="1:12" x14ac:dyDescent="0.3">
      <c r="A131" s="3">
        <v>130</v>
      </c>
      <c r="B131" s="3" t="s">
        <v>318</v>
      </c>
      <c r="C131" s="3" t="s">
        <v>992</v>
      </c>
      <c r="D131" s="3" t="s">
        <v>993</v>
      </c>
      <c r="E131" s="9">
        <v>5000</v>
      </c>
      <c r="L131" s="12"/>
    </row>
    <row r="132" spans="1:12" x14ac:dyDescent="0.3">
      <c r="A132" s="3">
        <v>131</v>
      </c>
      <c r="B132" s="3" t="s">
        <v>318</v>
      </c>
      <c r="C132" s="3" t="s">
        <v>994</v>
      </c>
      <c r="D132" s="3" t="s">
        <v>1089</v>
      </c>
      <c r="E132" s="9">
        <v>6000</v>
      </c>
      <c r="L132" s="12"/>
    </row>
    <row r="133" spans="1:12" x14ac:dyDescent="0.3">
      <c r="A133" s="3">
        <v>132</v>
      </c>
      <c r="B133" s="3" t="s">
        <v>318</v>
      </c>
      <c r="C133" s="3" t="s">
        <v>996</v>
      </c>
      <c r="D133" s="3" t="s">
        <v>997</v>
      </c>
      <c r="E133" s="9">
        <v>5500</v>
      </c>
      <c r="L133" s="12"/>
    </row>
    <row r="134" spans="1:12" x14ac:dyDescent="0.3">
      <c r="A134" s="3">
        <v>133</v>
      </c>
      <c r="B134" s="3" t="s">
        <v>318</v>
      </c>
      <c r="C134" s="3" t="s">
        <v>998</v>
      </c>
      <c r="D134" s="3" t="s">
        <v>999</v>
      </c>
      <c r="E134" s="9">
        <v>6000</v>
      </c>
      <c r="L134" s="12"/>
    </row>
    <row r="135" spans="1:12" x14ac:dyDescent="0.3">
      <c r="A135" s="3">
        <v>134</v>
      </c>
      <c r="B135" s="3" t="s">
        <v>318</v>
      </c>
      <c r="C135" s="3" t="s">
        <v>1000</v>
      </c>
      <c r="D135" s="3" t="s">
        <v>1090</v>
      </c>
      <c r="E135" s="9">
        <v>4500</v>
      </c>
      <c r="L135" s="12"/>
    </row>
    <row r="136" spans="1:12" x14ac:dyDescent="0.3">
      <c r="A136" s="3">
        <v>135</v>
      </c>
      <c r="B136" s="3" t="s">
        <v>318</v>
      </c>
      <c r="C136" s="3" t="s">
        <v>1002</v>
      </c>
      <c r="D136" s="3" t="s">
        <v>1003</v>
      </c>
      <c r="E136" s="9">
        <v>4000</v>
      </c>
      <c r="L136" s="12"/>
    </row>
    <row r="137" spans="1:12" x14ac:dyDescent="0.3">
      <c r="A137" s="3">
        <v>136</v>
      </c>
      <c r="B137" s="3" t="s">
        <v>318</v>
      </c>
      <c r="C137" s="3" t="s">
        <v>1004</v>
      </c>
      <c r="D137" s="3" t="s">
        <v>1005</v>
      </c>
      <c r="E137" s="9">
        <v>3000</v>
      </c>
      <c r="L137" s="12"/>
    </row>
    <row r="138" spans="1:12" x14ac:dyDescent="0.3">
      <c r="A138" s="3">
        <v>137</v>
      </c>
      <c r="B138" s="3" t="s">
        <v>318</v>
      </c>
      <c r="C138" s="3" t="s">
        <v>1006</v>
      </c>
      <c r="D138" s="3" t="s">
        <v>1007</v>
      </c>
      <c r="E138" s="9">
        <v>2500</v>
      </c>
      <c r="L138" s="12"/>
    </row>
    <row r="139" spans="1:12" x14ac:dyDescent="0.3">
      <c r="A139" s="3">
        <v>138</v>
      </c>
      <c r="B139" s="3" t="s">
        <v>318</v>
      </c>
      <c r="C139" s="3" t="s">
        <v>1008</v>
      </c>
      <c r="D139" s="3" t="s">
        <v>1009</v>
      </c>
      <c r="E139" s="9">
        <v>8000</v>
      </c>
      <c r="L139" s="12"/>
    </row>
    <row r="140" spans="1:12" x14ac:dyDescent="0.3">
      <c r="A140" s="3">
        <v>139</v>
      </c>
      <c r="B140" s="3" t="s">
        <v>318</v>
      </c>
      <c r="C140" s="3" t="s">
        <v>1056</v>
      </c>
      <c r="D140" s="3" t="s">
        <v>1057</v>
      </c>
      <c r="E140" s="9">
        <v>9000</v>
      </c>
      <c r="L140" s="12"/>
    </row>
    <row r="141" spans="1:12" x14ac:dyDescent="0.3">
      <c r="A141" s="3">
        <v>140</v>
      </c>
      <c r="B141" s="3" t="s">
        <v>318</v>
      </c>
      <c r="C141" s="3" t="s">
        <v>1010</v>
      </c>
      <c r="D141" s="3" t="s">
        <v>1011</v>
      </c>
      <c r="E141" s="9">
        <v>8000</v>
      </c>
      <c r="L141" s="12"/>
    </row>
    <row r="142" spans="1:12" x14ac:dyDescent="0.3">
      <c r="A142" s="3">
        <v>141</v>
      </c>
      <c r="B142" s="3" t="s">
        <v>318</v>
      </c>
      <c r="C142" s="3" t="s">
        <v>1012</v>
      </c>
      <c r="D142" s="3" t="s">
        <v>1013</v>
      </c>
      <c r="E142" s="9">
        <v>6000</v>
      </c>
      <c r="L142" s="12"/>
    </row>
    <row r="143" spans="1:12" x14ac:dyDescent="0.3">
      <c r="A143" s="3">
        <v>142</v>
      </c>
      <c r="B143" s="3" t="s">
        <v>318</v>
      </c>
      <c r="C143" s="3" t="s">
        <v>965</v>
      </c>
      <c r="D143" s="3" t="s">
        <v>1026</v>
      </c>
      <c r="E143" s="9">
        <v>1500</v>
      </c>
      <c r="L143" s="12"/>
    </row>
    <row r="144" spans="1:12" x14ac:dyDescent="0.3">
      <c r="A144" s="3">
        <v>143</v>
      </c>
      <c r="B144" s="3" t="s">
        <v>323</v>
      </c>
      <c r="C144" s="3" t="s">
        <v>1027</v>
      </c>
      <c r="D144" s="3" t="s">
        <v>1028</v>
      </c>
      <c r="E144" s="9">
        <v>4000</v>
      </c>
      <c r="L144" s="12"/>
    </row>
    <row r="145" spans="1:12" x14ac:dyDescent="0.3">
      <c r="A145" s="3">
        <v>144</v>
      </c>
      <c r="B145" s="3" t="s">
        <v>323</v>
      </c>
      <c r="C145" s="3" t="s">
        <v>1029</v>
      </c>
      <c r="D145" s="3" t="s">
        <v>1030</v>
      </c>
      <c r="E145" s="9">
        <v>5000</v>
      </c>
      <c r="L145" s="12"/>
    </row>
    <row r="146" spans="1:12" x14ac:dyDescent="0.3">
      <c r="A146" s="3">
        <v>145</v>
      </c>
      <c r="B146" s="3" t="s">
        <v>323</v>
      </c>
      <c r="C146" s="3" t="s">
        <v>1031</v>
      </c>
      <c r="D146" s="3" t="s">
        <v>1032</v>
      </c>
      <c r="E146" s="9">
        <v>5000</v>
      </c>
      <c r="L146" s="12"/>
    </row>
    <row r="147" spans="1:12" x14ac:dyDescent="0.3">
      <c r="A147" s="3">
        <v>146</v>
      </c>
      <c r="B147" s="3" t="s">
        <v>323</v>
      </c>
      <c r="C147" s="3" t="s">
        <v>1033</v>
      </c>
      <c r="D147" s="3" t="s">
        <v>1034</v>
      </c>
      <c r="E147" s="9">
        <v>6000</v>
      </c>
      <c r="L147" s="12"/>
    </row>
    <row r="148" spans="1:12" x14ac:dyDescent="0.3">
      <c r="A148" s="3">
        <v>147</v>
      </c>
      <c r="B148" s="3" t="s">
        <v>323</v>
      </c>
      <c r="C148" s="3" t="s">
        <v>1035</v>
      </c>
      <c r="D148" s="3" t="s">
        <v>1036</v>
      </c>
      <c r="E148" s="9">
        <v>5000</v>
      </c>
      <c r="L148" s="12"/>
    </row>
    <row r="149" spans="1:12" x14ac:dyDescent="0.3">
      <c r="A149" s="3">
        <v>148</v>
      </c>
      <c r="B149" s="3" t="s">
        <v>323</v>
      </c>
      <c r="C149" s="3" t="s">
        <v>1037</v>
      </c>
      <c r="D149" s="3" t="s">
        <v>1038</v>
      </c>
      <c r="E149" s="9">
        <v>2000</v>
      </c>
      <c r="L149" s="12"/>
    </row>
    <row r="150" spans="1:12" x14ac:dyDescent="0.3">
      <c r="A150" s="3">
        <v>149</v>
      </c>
      <c r="B150" s="3" t="s">
        <v>323</v>
      </c>
      <c r="C150" s="3" t="s">
        <v>1064</v>
      </c>
      <c r="D150" s="3" t="s">
        <v>1065</v>
      </c>
      <c r="E150" s="9">
        <v>4000</v>
      </c>
      <c r="L150" s="12"/>
    </row>
    <row r="151" spans="1:12" x14ac:dyDescent="0.3">
      <c r="A151" s="3">
        <v>150</v>
      </c>
      <c r="B151" s="3" t="s">
        <v>323</v>
      </c>
      <c r="C151" s="3" t="s">
        <v>1066</v>
      </c>
      <c r="D151" s="3" t="s">
        <v>1067</v>
      </c>
      <c r="E151" s="9">
        <v>6500</v>
      </c>
      <c r="L151" s="12"/>
    </row>
    <row r="152" spans="1:12" x14ac:dyDescent="0.3">
      <c r="A152" s="3">
        <v>151</v>
      </c>
      <c r="B152" s="3" t="s">
        <v>323</v>
      </c>
      <c r="C152" s="3" t="s">
        <v>1068</v>
      </c>
      <c r="D152" s="3" t="s">
        <v>1069</v>
      </c>
      <c r="E152" s="9">
        <v>8000</v>
      </c>
      <c r="L152" s="12"/>
    </row>
    <row r="153" spans="1:12" x14ac:dyDescent="0.3">
      <c r="A153" s="3">
        <v>152</v>
      </c>
      <c r="B153" s="3" t="s">
        <v>328</v>
      </c>
      <c r="C153" s="3" t="s">
        <v>1027</v>
      </c>
      <c r="D153" s="3" t="s">
        <v>1028</v>
      </c>
      <c r="E153" s="9">
        <v>4000</v>
      </c>
      <c r="L153" s="12"/>
    </row>
    <row r="154" spans="1:12" x14ac:dyDescent="0.3">
      <c r="A154" s="3">
        <v>153</v>
      </c>
      <c r="B154" s="3" t="s">
        <v>328</v>
      </c>
      <c r="C154" s="3" t="s">
        <v>1029</v>
      </c>
      <c r="D154" s="3" t="s">
        <v>1030</v>
      </c>
      <c r="E154" s="9">
        <v>5000</v>
      </c>
      <c r="L154" s="12"/>
    </row>
    <row r="155" spans="1:12" x14ac:dyDescent="0.3">
      <c r="A155" s="3">
        <v>154</v>
      </c>
      <c r="B155" s="3" t="s">
        <v>328</v>
      </c>
      <c r="C155" s="3" t="s">
        <v>1031</v>
      </c>
      <c r="D155" s="3" t="s">
        <v>1032</v>
      </c>
      <c r="E155" s="9">
        <v>5000</v>
      </c>
      <c r="L155" s="12"/>
    </row>
    <row r="156" spans="1:12" x14ac:dyDescent="0.3">
      <c r="A156" s="3">
        <v>155</v>
      </c>
      <c r="B156" s="3" t="s">
        <v>328</v>
      </c>
      <c r="C156" s="3" t="s">
        <v>1033</v>
      </c>
      <c r="D156" s="3" t="s">
        <v>1034</v>
      </c>
      <c r="E156" s="9">
        <v>6000</v>
      </c>
      <c r="L156" s="12"/>
    </row>
    <row r="157" spans="1:12" x14ac:dyDescent="0.3">
      <c r="A157" s="3">
        <v>156</v>
      </c>
      <c r="B157" s="3" t="s">
        <v>328</v>
      </c>
      <c r="C157" s="3" t="s">
        <v>1035</v>
      </c>
      <c r="D157" s="3" t="s">
        <v>1036</v>
      </c>
      <c r="E157" s="9">
        <v>5000</v>
      </c>
      <c r="L157" s="12"/>
    </row>
    <row r="158" spans="1:12" x14ac:dyDescent="0.3">
      <c r="A158" s="3">
        <v>157</v>
      </c>
      <c r="B158" s="3" t="s">
        <v>328</v>
      </c>
      <c r="C158" s="3" t="s">
        <v>1037</v>
      </c>
      <c r="D158" s="3" t="s">
        <v>1038</v>
      </c>
      <c r="E158" s="9">
        <v>2000</v>
      </c>
      <c r="L158" s="12"/>
    </row>
    <row r="159" spans="1:12" x14ac:dyDescent="0.3">
      <c r="A159" s="3">
        <v>158</v>
      </c>
      <c r="B159" s="3" t="s">
        <v>328</v>
      </c>
      <c r="C159" s="3" t="s">
        <v>1064</v>
      </c>
      <c r="D159" s="3" t="s">
        <v>1065</v>
      </c>
      <c r="E159" s="9">
        <v>4000</v>
      </c>
      <c r="L159" s="12"/>
    </row>
    <row r="160" spans="1:12" x14ac:dyDescent="0.3">
      <c r="A160" s="3">
        <v>159</v>
      </c>
      <c r="B160" s="3" t="s">
        <v>328</v>
      </c>
      <c r="C160" s="3" t="s">
        <v>1066</v>
      </c>
      <c r="D160" s="3" t="s">
        <v>1067</v>
      </c>
      <c r="E160" s="9">
        <v>6500</v>
      </c>
      <c r="L160" s="12"/>
    </row>
    <row r="161" spans="1:12" x14ac:dyDescent="0.3">
      <c r="A161" s="3">
        <v>160</v>
      </c>
      <c r="B161" s="3" t="s">
        <v>328</v>
      </c>
      <c r="C161" s="3" t="s">
        <v>1068</v>
      </c>
      <c r="D161" s="3" t="s">
        <v>1069</v>
      </c>
      <c r="E161" s="9">
        <v>8000</v>
      </c>
      <c r="L161" s="12"/>
    </row>
    <row r="162" spans="1:12" x14ac:dyDescent="0.3">
      <c r="A162" s="3">
        <v>161</v>
      </c>
      <c r="B162" s="3" t="s">
        <v>333</v>
      </c>
      <c r="C162" s="3" t="s">
        <v>992</v>
      </c>
      <c r="D162" s="3" t="s">
        <v>993</v>
      </c>
      <c r="E162" s="9">
        <v>5000</v>
      </c>
      <c r="L162" s="12"/>
    </row>
    <row r="163" spans="1:12" x14ac:dyDescent="0.3">
      <c r="A163" s="3">
        <v>162</v>
      </c>
      <c r="B163" s="3" t="s">
        <v>333</v>
      </c>
      <c r="C163" s="3" t="s">
        <v>994</v>
      </c>
      <c r="D163" s="3" t="s">
        <v>995</v>
      </c>
      <c r="E163" s="9">
        <v>6000</v>
      </c>
      <c r="L163" s="12"/>
    </row>
    <row r="164" spans="1:12" x14ac:dyDescent="0.3">
      <c r="A164" s="3">
        <v>163</v>
      </c>
      <c r="B164" s="3" t="s">
        <v>333</v>
      </c>
      <c r="C164" s="3" t="s">
        <v>996</v>
      </c>
      <c r="D164" s="3" t="s">
        <v>997</v>
      </c>
      <c r="E164" s="9">
        <v>5500</v>
      </c>
      <c r="L164" s="12"/>
    </row>
    <row r="165" spans="1:12" x14ac:dyDescent="0.3">
      <c r="A165" s="3">
        <v>164</v>
      </c>
      <c r="B165" s="3" t="s">
        <v>333</v>
      </c>
      <c r="C165" s="3" t="s">
        <v>998</v>
      </c>
      <c r="D165" s="3" t="s">
        <v>999</v>
      </c>
      <c r="E165" s="9">
        <v>6000</v>
      </c>
      <c r="L165" s="12"/>
    </row>
    <row r="166" spans="1:12" x14ac:dyDescent="0.3">
      <c r="A166" s="3">
        <v>165</v>
      </c>
      <c r="B166" s="3" t="s">
        <v>333</v>
      </c>
      <c r="C166" s="3" t="s">
        <v>1000</v>
      </c>
      <c r="D166" s="3" t="s">
        <v>1001</v>
      </c>
      <c r="E166" s="9">
        <v>4500</v>
      </c>
      <c r="L166" s="12"/>
    </row>
    <row r="167" spans="1:12" x14ac:dyDescent="0.3">
      <c r="A167" s="3">
        <v>166</v>
      </c>
      <c r="B167" s="3" t="s">
        <v>333</v>
      </c>
      <c r="C167" s="3" t="s">
        <v>1002</v>
      </c>
      <c r="D167" s="3" t="s">
        <v>1003</v>
      </c>
      <c r="E167" s="9">
        <v>4000</v>
      </c>
      <c r="L167" s="12"/>
    </row>
    <row r="168" spans="1:12" x14ac:dyDescent="0.3">
      <c r="A168" s="3">
        <v>167</v>
      </c>
      <c r="B168" s="3" t="s">
        <v>333</v>
      </c>
      <c r="C168" s="3" t="s">
        <v>1004</v>
      </c>
      <c r="D168" s="3" t="s">
        <v>1005</v>
      </c>
      <c r="E168" s="9">
        <v>3000</v>
      </c>
      <c r="L168" s="12"/>
    </row>
    <row r="169" spans="1:12" x14ac:dyDescent="0.3">
      <c r="A169" s="3">
        <v>168</v>
      </c>
      <c r="B169" s="3" t="s">
        <v>333</v>
      </c>
      <c r="C169" s="3" t="s">
        <v>1006</v>
      </c>
      <c r="D169" s="3" t="s">
        <v>1007</v>
      </c>
      <c r="E169" s="9">
        <v>2500</v>
      </c>
      <c r="L169" s="12"/>
    </row>
    <row r="170" spans="1:12" x14ac:dyDescent="0.3">
      <c r="A170" s="3">
        <v>169</v>
      </c>
      <c r="B170" s="3" t="s">
        <v>333</v>
      </c>
      <c r="C170" s="3" t="s">
        <v>1008</v>
      </c>
      <c r="D170" s="3" t="s">
        <v>1009</v>
      </c>
      <c r="E170" s="9">
        <v>8000</v>
      </c>
      <c r="L170" s="12"/>
    </row>
    <row r="171" spans="1:12" x14ac:dyDescent="0.3">
      <c r="A171" s="3">
        <v>170</v>
      </c>
      <c r="B171" s="3" t="s">
        <v>333</v>
      </c>
      <c r="C171" s="3" t="s">
        <v>1056</v>
      </c>
      <c r="D171" s="3" t="s">
        <v>1057</v>
      </c>
      <c r="E171" s="9">
        <v>9000</v>
      </c>
      <c r="L171" s="12"/>
    </row>
    <row r="172" spans="1:12" x14ac:dyDescent="0.3">
      <c r="A172" s="3">
        <v>171</v>
      </c>
      <c r="B172" s="3" t="s">
        <v>333</v>
      </c>
      <c r="C172" s="3" t="s">
        <v>1010</v>
      </c>
      <c r="D172" s="3" t="s">
        <v>1011</v>
      </c>
      <c r="E172" s="9">
        <v>8000</v>
      </c>
      <c r="L172" s="12"/>
    </row>
    <row r="173" spans="1:12" x14ac:dyDescent="0.3">
      <c r="A173" s="3">
        <v>172</v>
      </c>
      <c r="B173" s="3" t="s">
        <v>333</v>
      </c>
      <c r="C173" s="3" t="s">
        <v>1012</v>
      </c>
      <c r="D173" s="3" t="s">
        <v>1013</v>
      </c>
      <c r="E173" s="9">
        <v>6000</v>
      </c>
      <c r="L173" s="12"/>
    </row>
    <row r="174" spans="1:12" x14ac:dyDescent="0.3">
      <c r="A174" s="3">
        <v>173</v>
      </c>
      <c r="B174" s="3" t="s">
        <v>333</v>
      </c>
      <c r="C174" s="3" t="s">
        <v>965</v>
      </c>
      <c r="D174" s="3" t="s">
        <v>1026</v>
      </c>
      <c r="E174" s="9">
        <v>1500</v>
      </c>
      <c r="L174" s="12"/>
    </row>
    <row r="175" spans="1:12" x14ac:dyDescent="0.3">
      <c r="A175" s="3">
        <v>174</v>
      </c>
      <c r="B175" s="3" t="s">
        <v>338</v>
      </c>
      <c r="C175" s="3" t="s">
        <v>992</v>
      </c>
      <c r="D175" s="3" t="s">
        <v>993</v>
      </c>
      <c r="E175" s="9">
        <v>5000</v>
      </c>
      <c r="L175" s="12"/>
    </row>
    <row r="176" spans="1:12" x14ac:dyDescent="0.3">
      <c r="A176" s="3">
        <v>175</v>
      </c>
      <c r="B176" s="3" t="s">
        <v>338</v>
      </c>
      <c r="C176" s="3" t="s">
        <v>994</v>
      </c>
      <c r="D176" s="3" t="s">
        <v>995</v>
      </c>
      <c r="E176" s="9">
        <v>6000</v>
      </c>
      <c r="L176" s="12"/>
    </row>
    <row r="177" spans="1:12" x14ac:dyDescent="0.3">
      <c r="A177" s="3">
        <v>176</v>
      </c>
      <c r="B177" s="3" t="s">
        <v>338</v>
      </c>
      <c r="C177" s="3" t="s">
        <v>996</v>
      </c>
      <c r="D177" s="3" t="s">
        <v>997</v>
      </c>
      <c r="E177" s="9">
        <v>5500</v>
      </c>
      <c r="L177" s="12"/>
    </row>
    <row r="178" spans="1:12" x14ac:dyDescent="0.3">
      <c r="A178" s="3">
        <v>177</v>
      </c>
      <c r="B178" s="3" t="s">
        <v>338</v>
      </c>
      <c r="C178" s="3" t="s">
        <v>998</v>
      </c>
      <c r="D178" s="3" t="s">
        <v>999</v>
      </c>
      <c r="E178" s="9">
        <v>6000</v>
      </c>
      <c r="L178" s="12"/>
    </row>
    <row r="179" spans="1:12" x14ac:dyDescent="0.3">
      <c r="A179" s="3">
        <v>178</v>
      </c>
      <c r="B179" s="3" t="s">
        <v>338</v>
      </c>
      <c r="C179" s="3" t="s">
        <v>1000</v>
      </c>
      <c r="D179" s="3" t="s">
        <v>1001</v>
      </c>
      <c r="E179" s="9">
        <v>4500</v>
      </c>
      <c r="L179" s="12"/>
    </row>
    <row r="180" spans="1:12" x14ac:dyDescent="0.3">
      <c r="A180" s="3">
        <v>179</v>
      </c>
      <c r="B180" s="3" t="s">
        <v>338</v>
      </c>
      <c r="C180" s="3" t="s">
        <v>1002</v>
      </c>
      <c r="D180" s="3" t="s">
        <v>1003</v>
      </c>
      <c r="E180" s="9">
        <v>4000</v>
      </c>
      <c r="L180" s="12"/>
    </row>
    <row r="181" spans="1:12" x14ac:dyDescent="0.3">
      <c r="A181" s="3">
        <v>180</v>
      </c>
      <c r="B181" s="3" t="s">
        <v>338</v>
      </c>
      <c r="C181" s="3" t="s">
        <v>1004</v>
      </c>
      <c r="D181" s="3" t="s">
        <v>1005</v>
      </c>
      <c r="E181" s="9">
        <v>3000</v>
      </c>
      <c r="L181" s="12"/>
    </row>
    <row r="182" spans="1:12" x14ac:dyDescent="0.3">
      <c r="A182" s="3">
        <v>181</v>
      </c>
      <c r="B182" s="3" t="s">
        <v>338</v>
      </c>
      <c r="C182" s="3" t="s">
        <v>1006</v>
      </c>
      <c r="D182" s="3" t="s">
        <v>1007</v>
      </c>
      <c r="E182" s="9">
        <v>2500</v>
      </c>
      <c r="L182" s="12"/>
    </row>
    <row r="183" spans="1:12" x14ac:dyDescent="0.3">
      <c r="A183" s="3">
        <v>182</v>
      </c>
      <c r="B183" s="3" t="s">
        <v>338</v>
      </c>
      <c r="C183" s="3" t="s">
        <v>1008</v>
      </c>
      <c r="D183" s="3" t="s">
        <v>1009</v>
      </c>
      <c r="E183" s="9">
        <v>8000</v>
      </c>
      <c r="L183" s="12"/>
    </row>
    <row r="184" spans="1:12" x14ac:dyDescent="0.3">
      <c r="A184" s="3">
        <v>183</v>
      </c>
      <c r="B184" s="3" t="s">
        <v>338</v>
      </c>
      <c r="C184" s="3" t="s">
        <v>1056</v>
      </c>
      <c r="D184" s="3" t="s">
        <v>1057</v>
      </c>
      <c r="E184" s="9">
        <v>9000</v>
      </c>
      <c r="L184" s="12"/>
    </row>
    <row r="185" spans="1:12" x14ac:dyDescent="0.3">
      <c r="A185" s="3">
        <v>184</v>
      </c>
      <c r="B185" s="3" t="s">
        <v>338</v>
      </c>
      <c r="C185" s="3" t="s">
        <v>1010</v>
      </c>
      <c r="D185" s="3" t="s">
        <v>1011</v>
      </c>
      <c r="E185" s="9">
        <v>8000</v>
      </c>
      <c r="L185" s="12"/>
    </row>
    <row r="186" spans="1:12" x14ac:dyDescent="0.3">
      <c r="A186" s="3">
        <v>185</v>
      </c>
      <c r="B186" s="3" t="s">
        <v>338</v>
      </c>
      <c r="C186" s="3" t="s">
        <v>1012</v>
      </c>
      <c r="D186" s="3" t="s">
        <v>1013</v>
      </c>
      <c r="E186" s="9">
        <v>6000</v>
      </c>
      <c r="L186" s="12"/>
    </row>
    <row r="187" spans="1:12" x14ac:dyDescent="0.3">
      <c r="A187" s="3">
        <v>186</v>
      </c>
      <c r="B187" s="3" t="s">
        <v>343</v>
      </c>
      <c r="C187" s="3" t="s">
        <v>1014</v>
      </c>
      <c r="D187" s="3" t="s">
        <v>1015</v>
      </c>
      <c r="E187" s="9">
        <v>4500</v>
      </c>
      <c r="L187" s="12"/>
    </row>
    <row r="188" spans="1:12" x14ac:dyDescent="0.3">
      <c r="A188" s="3">
        <v>187</v>
      </c>
      <c r="B188" s="3" t="s">
        <v>343</v>
      </c>
      <c r="C188" s="3" t="s">
        <v>1016</v>
      </c>
      <c r="D188" s="3" t="s">
        <v>1017</v>
      </c>
      <c r="E188" s="9">
        <v>6000</v>
      </c>
      <c r="L188" s="12"/>
    </row>
    <row r="189" spans="1:12" x14ac:dyDescent="0.3">
      <c r="A189" s="3">
        <v>188</v>
      </c>
      <c r="B189" s="3" t="s">
        <v>343</v>
      </c>
      <c r="C189" s="3" t="s">
        <v>1018</v>
      </c>
      <c r="D189" s="3" t="s">
        <v>1019</v>
      </c>
      <c r="E189" s="9">
        <v>7600</v>
      </c>
      <c r="L189" s="12"/>
    </row>
    <row r="190" spans="1:12" x14ac:dyDescent="0.3">
      <c r="A190" s="3">
        <v>189</v>
      </c>
      <c r="B190" s="3" t="s">
        <v>343</v>
      </c>
      <c r="C190" s="3" t="s">
        <v>1020</v>
      </c>
      <c r="D190" s="3" t="s">
        <v>1021</v>
      </c>
      <c r="E190" s="9">
        <v>5000</v>
      </c>
      <c r="L190" s="12"/>
    </row>
    <row r="191" spans="1:12" x14ac:dyDescent="0.3">
      <c r="A191" s="3">
        <v>190</v>
      </c>
      <c r="B191" s="3" t="s">
        <v>343</v>
      </c>
      <c r="C191" s="3" t="s">
        <v>1091</v>
      </c>
      <c r="D191" s="3" t="s">
        <v>1092</v>
      </c>
      <c r="E191" s="9">
        <v>6500</v>
      </c>
      <c r="L191" s="12"/>
    </row>
    <row r="192" spans="1:12" x14ac:dyDescent="0.3">
      <c r="A192" s="3">
        <v>191</v>
      </c>
      <c r="B192" s="3" t="s">
        <v>343</v>
      </c>
      <c r="C192" s="3" t="s">
        <v>1093</v>
      </c>
      <c r="D192" s="3" t="s">
        <v>1094</v>
      </c>
      <c r="E192" s="9">
        <v>9000</v>
      </c>
      <c r="L192" s="12"/>
    </row>
    <row r="193" spans="1:12" x14ac:dyDescent="0.3">
      <c r="A193" s="3">
        <v>192</v>
      </c>
      <c r="B193" s="3" t="s">
        <v>343</v>
      </c>
      <c r="C193" s="3" t="s">
        <v>1095</v>
      </c>
      <c r="D193" s="3" t="s">
        <v>1096</v>
      </c>
      <c r="E193" s="9">
        <v>2500</v>
      </c>
      <c r="L193" s="12"/>
    </row>
    <row r="194" spans="1:12" x14ac:dyDescent="0.3">
      <c r="A194" s="3">
        <v>193</v>
      </c>
      <c r="B194" s="3" t="s">
        <v>343</v>
      </c>
      <c r="C194" s="3" t="s">
        <v>1022</v>
      </c>
      <c r="D194" s="3" t="s">
        <v>1023</v>
      </c>
      <c r="E194" s="9">
        <v>6000</v>
      </c>
      <c r="L194" s="12"/>
    </row>
    <row r="195" spans="1:12" x14ac:dyDescent="0.3">
      <c r="A195" s="3">
        <v>194</v>
      </c>
      <c r="B195" s="3" t="s">
        <v>343</v>
      </c>
      <c r="C195" s="3" t="s">
        <v>1024</v>
      </c>
      <c r="D195" s="3" t="s">
        <v>1025</v>
      </c>
      <c r="E195" s="9">
        <v>5000</v>
      </c>
      <c r="L195" s="12"/>
    </row>
    <row r="196" spans="1:12" x14ac:dyDescent="0.3">
      <c r="A196" s="3">
        <v>195</v>
      </c>
      <c r="B196" s="3" t="s">
        <v>343</v>
      </c>
      <c r="C196" s="3" t="s">
        <v>963</v>
      </c>
      <c r="D196" s="3" t="s">
        <v>1026</v>
      </c>
      <c r="E196" s="9">
        <v>1500</v>
      </c>
      <c r="L196" s="12"/>
    </row>
    <row r="197" spans="1:12" x14ac:dyDescent="0.3">
      <c r="A197" s="3">
        <v>196</v>
      </c>
      <c r="B197" s="3" t="s">
        <v>348</v>
      </c>
      <c r="C197" s="3" t="s">
        <v>945</v>
      </c>
      <c r="D197" s="3" t="s">
        <v>1097</v>
      </c>
      <c r="E197" s="9">
        <v>15000</v>
      </c>
      <c r="L197" s="12"/>
    </row>
    <row r="198" spans="1:12" x14ac:dyDescent="0.3">
      <c r="A198" s="3">
        <v>197</v>
      </c>
      <c r="B198" s="3" t="s">
        <v>348</v>
      </c>
      <c r="C198" s="3" t="s">
        <v>947</v>
      </c>
      <c r="D198" s="3" t="s">
        <v>948</v>
      </c>
      <c r="E198" s="9">
        <v>5000</v>
      </c>
      <c r="L198" s="12"/>
    </row>
    <row r="199" spans="1:12" x14ac:dyDescent="0.3">
      <c r="A199" s="3">
        <v>198</v>
      </c>
      <c r="B199" s="3" t="s">
        <v>348</v>
      </c>
      <c r="C199" s="3" t="s">
        <v>949</v>
      </c>
      <c r="D199" s="3" t="s">
        <v>1073</v>
      </c>
      <c r="E199" s="9">
        <v>4000</v>
      </c>
      <c r="L199" s="12"/>
    </row>
    <row r="200" spans="1:12" x14ac:dyDescent="0.3">
      <c r="A200" s="3">
        <v>199</v>
      </c>
      <c r="B200" s="3" t="s">
        <v>348</v>
      </c>
      <c r="C200" s="3" t="s">
        <v>951</v>
      </c>
      <c r="D200" s="3" t="s">
        <v>952</v>
      </c>
      <c r="E200" s="9">
        <v>17000</v>
      </c>
      <c r="L200" s="12"/>
    </row>
    <row r="201" spans="1:12" x14ac:dyDescent="0.3">
      <c r="A201" s="3">
        <v>200</v>
      </c>
      <c r="B201" s="3" t="s">
        <v>348</v>
      </c>
      <c r="C201" s="3" t="s">
        <v>953</v>
      </c>
      <c r="D201" s="3" t="s">
        <v>954</v>
      </c>
      <c r="E201" s="9">
        <v>11000</v>
      </c>
      <c r="L201" s="12"/>
    </row>
    <row r="202" spans="1:12" x14ac:dyDescent="0.3">
      <c r="A202" s="3">
        <v>201</v>
      </c>
      <c r="B202" s="3" t="s">
        <v>348</v>
      </c>
      <c r="C202" s="3" t="s">
        <v>955</v>
      </c>
      <c r="D202" s="3" t="s">
        <v>1074</v>
      </c>
      <c r="E202" s="9">
        <v>6000</v>
      </c>
      <c r="L202" s="12"/>
    </row>
    <row r="203" spans="1:12" x14ac:dyDescent="0.3">
      <c r="A203" s="3">
        <v>202</v>
      </c>
      <c r="B203" s="3" t="s">
        <v>348</v>
      </c>
      <c r="C203" s="3" t="s">
        <v>957</v>
      </c>
      <c r="D203" s="3" t="s">
        <v>958</v>
      </c>
      <c r="E203" s="9">
        <v>4500</v>
      </c>
      <c r="L203" s="12"/>
    </row>
    <row r="204" spans="1:12" x14ac:dyDescent="0.3">
      <c r="A204" s="3">
        <v>203</v>
      </c>
      <c r="B204" s="3" t="s">
        <v>348</v>
      </c>
      <c r="C204" s="3" t="s">
        <v>959</v>
      </c>
      <c r="D204" s="3" t="s">
        <v>960</v>
      </c>
      <c r="E204" s="9">
        <v>8500</v>
      </c>
      <c r="L204" s="12"/>
    </row>
    <row r="205" spans="1:12" x14ac:dyDescent="0.3">
      <c r="A205" s="3">
        <v>204</v>
      </c>
      <c r="B205" s="3" t="s">
        <v>348</v>
      </c>
      <c r="C205" s="3" t="s">
        <v>961</v>
      </c>
      <c r="D205" s="3" t="s">
        <v>962</v>
      </c>
      <c r="E205" s="9">
        <v>2000</v>
      </c>
      <c r="L205" s="12"/>
    </row>
    <row r="206" spans="1:12" x14ac:dyDescent="0.3">
      <c r="A206" s="3">
        <v>205</v>
      </c>
      <c r="B206" s="3" t="s">
        <v>353</v>
      </c>
      <c r="C206" s="3" t="s">
        <v>945</v>
      </c>
      <c r="D206" s="3" t="s">
        <v>1097</v>
      </c>
      <c r="E206" s="9">
        <v>15000</v>
      </c>
      <c r="L206" s="12"/>
    </row>
    <row r="207" spans="1:12" x14ac:dyDescent="0.3">
      <c r="A207" s="3">
        <v>206</v>
      </c>
      <c r="B207" s="3" t="s">
        <v>353</v>
      </c>
      <c r="C207" s="3" t="s">
        <v>947</v>
      </c>
      <c r="D207" s="3" t="s">
        <v>948</v>
      </c>
      <c r="E207" s="9">
        <v>5000</v>
      </c>
      <c r="L207" s="12"/>
    </row>
    <row r="208" spans="1:12" x14ac:dyDescent="0.3">
      <c r="A208" s="3">
        <v>207</v>
      </c>
      <c r="B208" s="3" t="s">
        <v>353</v>
      </c>
      <c r="C208" s="3" t="s">
        <v>949</v>
      </c>
      <c r="D208" s="3" t="s">
        <v>1073</v>
      </c>
      <c r="E208" s="9">
        <v>4000</v>
      </c>
      <c r="L208" s="12"/>
    </row>
    <row r="209" spans="1:12" x14ac:dyDescent="0.3">
      <c r="A209" s="3">
        <v>208</v>
      </c>
      <c r="B209" s="3" t="s">
        <v>353</v>
      </c>
      <c r="C209" s="3" t="s">
        <v>951</v>
      </c>
      <c r="D209" s="3" t="s">
        <v>952</v>
      </c>
      <c r="E209" s="9">
        <v>17000</v>
      </c>
      <c r="L209" s="12"/>
    </row>
    <row r="210" spans="1:12" x14ac:dyDescent="0.3">
      <c r="A210" s="3">
        <v>209</v>
      </c>
      <c r="B210" s="3" t="s">
        <v>353</v>
      </c>
      <c r="C210" s="3" t="s">
        <v>953</v>
      </c>
      <c r="D210" s="3" t="s">
        <v>954</v>
      </c>
      <c r="E210" s="9">
        <v>11000</v>
      </c>
      <c r="L210" s="12"/>
    </row>
    <row r="211" spans="1:12" x14ac:dyDescent="0.3">
      <c r="A211" s="3">
        <v>210</v>
      </c>
      <c r="B211" s="3" t="s">
        <v>353</v>
      </c>
      <c r="C211" s="3" t="s">
        <v>955</v>
      </c>
      <c r="D211" s="3" t="s">
        <v>1074</v>
      </c>
      <c r="E211" s="9">
        <v>6000</v>
      </c>
      <c r="L211" s="12"/>
    </row>
    <row r="212" spans="1:12" x14ac:dyDescent="0.3">
      <c r="A212" s="3">
        <v>211</v>
      </c>
      <c r="B212" s="3" t="s">
        <v>353</v>
      </c>
      <c r="C212" s="3" t="s">
        <v>957</v>
      </c>
      <c r="D212" s="3" t="s">
        <v>958</v>
      </c>
      <c r="E212" s="9">
        <v>4500</v>
      </c>
      <c r="L212" s="12"/>
    </row>
    <row r="213" spans="1:12" x14ac:dyDescent="0.3">
      <c r="A213" s="3">
        <v>212</v>
      </c>
      <c r="B213" s="3" t="s">
        <v>353</v>
      </c>
      <c r="C213" s="3" t="s">
        <v>959</v>
      </c>
      <c r="D213" s="3" t="s">
        <v>960</v>
      </c>
      <c r="E213" s="9">
        <v>8500</v>
      </c>
      <c r="L213" s="12"/>
    </row>
    <row r="214" spans="1:12" x14ac:dyDescent="0.3">
      <c r="A214" s="3">
        <v>213</v>
      </c>
      <c r="B214" s="3" t="s">
        <v>353</v>
      </c>
      <c r="C214" s="3" t="s">
        <v>961</v>
      </c>
      <c r="D214" s="3" t="s">
        <v>962</v>
      </c>
      <c r="E214" s="9">
        <v>2000</v>
      </c>
      <c r="L214" s="12"/>
    </row>
    <row r="215" spans="1:12" x14ac:dyDescent="0.3">
      <c r="A215" s="3">
        <v>214</v>
      </c>
      <c r="B215" s="3" t="s">
        <v>358</v>
      </c>
      <c r="C215" s="3" t="s">
        <v>966</v>
      </c>
      <c r="D215" s="3" t="s">
        <v>967</v>
      </c>
      <c r="E215" s="9">
        <v>18000</v>
      </c>
      <c r="L215" s="12"/>
    </row>
    <row r="216" spans="1:12" x14ac:dyDescent="0.3">
      <c r="A216" s="3">
        <v>215</v>
      </c>
      <c r="B216" s="3" t="s">
        <v>358</v>
      </c>
      <c r="C216" s="3" t="s">
        <v>968</v>
      </c>
      <c r="D216" s="3" t="s">
        <v>969</v>
      </c>
      <c r="E216" s="9">
        <v>4500</v>
      </c>
      <c r="L216" s="12"/>
    </row>
    <row r="217" spans="1:12" x14ac:dyDescent="0.3">
      <c r="A217" s="3">
        <v>216</v>
      </c>
      <c r="B217" s="3" t="s">
        <v>358</v>
      </c>
      <c r="C217" s="3" t="s">
        <v>970</v>
      </c>
      <c r="D217" s="3" t="s">
        <v>971</v>
      </c>
      <c r="E217" s="9">
        <v>16000</v>
      </c>
      <c r="L217" s="12"/>
    </row>
    <row r="218" spans="1:12" x14ac:dyDescent="0.3">
      <c r="A218" s="3">
        <v>217</v>
      </c>
      <c r="B218" s="3" t="s">
        <v>358</v>
      </c>
      <c r="C218" s="3" t="s">
        <v>972</v>
      </c>
      <c r="D218" s="3" t="s">
        <v>973</v>
      </c>
      <c r="E218" s="9">
        <v>9000</v>
      </c>
      <c r="L218" s="12"/>
    </row>
    <row r="219" spans="1:12" x14ac:dyDescent="0.3">
      <c r="A219" s="3">
        <v>218</v>
      </c>
      <c r="B219" s="3" t="s">
        <v>358</v>
      </c>
      <c r="C219" s="3" t="s">
        <v>974</v>
      </c>
      <c r="D219" s="3" t="s">
        <v>975</v>
      </c>
      <c r="E219" s="9">
        <v>2500</v>
      </c>
      <c r="L219" s="12"/>
    </row>
    <row r="220" spans="1:12" x14ac:dyDescent="0.3">
      <c r="A220" s="3">
        <v>219</v>
      </c>
      <c r="B220" s="3" t="s">
        <v>358</v>
      </c>
      <c r="C220" s="3" t="s">
        <v>976</v>
      </c>
      <c r="D220" s="3" t="s">
        <v>977</v>
      </c>
      <c r="E220" s="9">
        <v>5000</v>
      </c>
      <c r="L220" s="12"/>
    </row>
    <row r="221" spans="1:12" x14ac:dyDescent="0.3">
      <c r="A221" s="3">
        <v>220</v>
      </c>
      <c r="B221" s="3" t="s">
        <v>358</v>
      </c>
      <c r="C221" s="3" t="s">
        <v>978</v>
      </c>
      <c r="D221" s="3" t="s">
        <v>979</v>
      </c>
      <c r="E221" s="9">
        <v>15000</v>
      </c>
      <c r="L221" s="12"/>
    </row>
    <row r="222" spans="1:12" x14ac:dyDescent="0.3">
      <c r="A222" s="3">
        <v>221</v>
      </c>
      <c r="B222" s="3" t="s">
        <v>358</v>
      </c>
      <c r="C222" s="3" t="s">
        <v>980</v>
      </c>
      <c r="D222" s="3" t="s">
        <v>981</v>
      </c>
      <c r="E222" s="9">
        <v>9000</v>
      </c>
      <c r="L222" s="12"/>
    </row>
    <row r="223" spans="1:12" x14ac:dyDescent="0.3">
      <c r="A223" s="3">
        <v>222</v>
      </c>
      <c r="B223" s="3" t="s">
        <v>358</v>
      </c>
      <c r="C223" s="3" t="s">
        <v>1049</v>
      </c>
      <c r="D223" s="3" t="s">
        <v>1050</v>
      </c>
      <c r="E223" s="9">
        <v>7000</v>
      </c>
      <c r="L223" s="12"/>
    </row>
    <row r="224" spans="1:12" x14ac:dyDescent="0.3">
      <c r="A224" s="3">
        <v>223</v>
      </c>
      <c r="B224" s="3" t="s">
        <v>358</v>
      </c>
      <c r="C224" s="3" t="s">
        <v>1051</v>
      </c>
      <c r="D224" s="3" t="s">
        <v>1052</v>
      </c>
      <c r="E224" s="9">
        <v>12000</v>
      </c>
      <c r="L224" s="12"/>
    </row>
    <row r="225" spans="1:12" x14ac:dyDescent="0.3">
      <c r="A225" s="3">
        <v>224</v>
      </c>
      <c r="B225" s="3" t="s">
        <v>363</v>
      </c>
      <c r="C225" s="3" t="s">
        <v>992</v>
      </c>
      <c r="D225" s="3" t="s">
        <v>993</v>
      </c>
      <c r="E225" s="9">
        <v>5000</v>
      </c>
      <c r="L225" s="12"/>
    </row>
    <row r="226" spans="1:12" x14ac:dyDescent="0.3">
      <c r="A226" s="3">
        <v>225</v>
      </c>
      <c r="B226" s="3" t="s">
        <v>363</v>
      </c>
      <c r="C226" s="3" t="s">
        <v>994</v>
      </c>
      <c r="D226" s="3" t="s">
        <v>995</v>
      </c>
      <c r="E226" s="9">
        <v>6000</v>
      </c>
      <c r="L226" s="12"/>
    </row>
    <row r="227" spans="1:12" x14ac:dyDescent="0.3">
      <c r="A227" s="3">
        <v>226</v>
      </c>
      <c r="B227" s="3" t="s">
        <v>363</v>
      </c>
      <c r="C227" s="3" t="s">
        <v>996</v>
      </c>
      <c r="D227" s="3" t="s">
        <v>997</v>
      </c>
      <c r="E227" s="9">
        <v>5500</v>
      </c>
      <c r="L227" s="12"/>
    </row>
    <row r="228" spans="1:12" x14ac:dyDescent="0.3">
      <c r="A228" s="3">
        <v>227</v>
      </c>
      <c r="B228" s="3" t="s">
        <v>363</v>
      </c>
      <c r="C228" s="3" t="s">
        <v>998</v>
      </c>
      <c r="D228" s="3" t="s">
        <v>999</v>
      </c>
      <c r="E228" s="9">
        <v>6000</v>
      </c>
      <c r="L228" s="12"/>
    </row>
    <row r="229" spans="1:12" x14ac:dyDescent="0.3">
      <c r="A229" s="3">
        <v>228</v>
      </c>
      <c r="B229" s="3" t="s">
        <v>363</v>
      </c>
      <c r="C229" s="3" t="s">
        <v>1000</v>
      </c>
      <c r="D229" s="3" t="s">
        <v>1001</v>
      </c>
      <c r="E229" s="9">
        <v>4500</v>
      </c>
      <c r="L229" s="12"/>
    </row>
    <row r="230" spans="1:12" x14ac:dyDescent="0.3">
      <c r="A230" s="3">
        <v>229</v>
      </c>
      <c r="B230" s="3" t="s">
        <v>363</v>
      </c>
      <c r="C230" s="3" t="s">
        <v>1002</v>
      </c>
      <c r="D230" s="3" t="s">
        <v>1003</v>
      </c>
      <c r="E230" s="9">
        <v>4000</v>
      </c>
      <c r="L230" s="12"/>
    </row>
    <row r="231" spans="1:12" x14ac:dyDescent="0.3">
      <c r="A231" s="3">
        <v>230</v>
      </c>
      <c r="B231" s="3" t="s">
        <v>363</v>
      </c>
      <c r="C231" s="3" t="s">
        <v>1004</v>
      </c>
      <c r="D231" s="3" t="s">
        <v>1005</v>
      </c>
      <c r="E231" s="9">
        <v>3000</v>
      </c>
      <c r="L231" s="12"/>
    </row>
    <row r="232" spans="1:12" x14ac:dyDescent="0.3">
      <c r="A232" s="3">
        <v>231</v>
      </c>
      <c r="B232" s="3" t="s">
        <v>363</v>
      </c>
      <c r="C232" s="3" t="s">
        <v>1006</v>
      </c>
      <c r="D232" s="3" t="s">
        <v>1007</v>
      </c>
      <c r="E232" s="9">
        <v>2500</v>
      </c>
      <c r="L232" s="12"/>
    </row>
    <row r="233" spans="1:12" x14ac:dyDescent="0.3">
      <c r="A233" s="3">
        <v>232</v>
      </c>
      <c r="B233" s="3" t="s">
        <v>363</v>
      </c>
      <c r="C233" s="3" t="s">
        <v>1008</v>
      </c>
      <c r="D233" s="3" t="s">
        <v>1009</v>
      </c>
      <c r="E233" s="9">
        <v>8000</v>
      </c>
      <c r="L233" s="12"/>
    </row>
    <row r="234" spans="1:12" x14ac:dyDescent="0.3">
      <c r="A234" s="3">
        <v>233</v>
      </c>
      <c r="B234" s="3" t="s">
        <v>363</v>
      </c>
      <c r="C234" s="3" t="s">
        <v>1056</v>
      </c>
      <c r="D234" s="3" t="s">
        <v>1057</v>
      </c>
      <c r="E234" s="9">
        <v>9000</v>
      </c>
      <c r="L234" s="12"/>
    </row>
    <row r="235" spans="1:12" x14ac:dyDescent="0.3">
      <c r="A235" s="3">
        <v>234</v>
      </c>
      <c r="B235" s="3" t="s">
        <v>363</v>
      </c>
      <c r="C235" s="3" t="s">
        <v>1010</v>
      </c>
      <c r="D235" s="3" t="s">
        <v>1011</v>
      </c>
      <c r="E235" s="9">
        <v>8000</v>
      </c>
      <c r="L235" s="12"/>
    </row>
    <row r="236" spans="1:12" x14ac:dyDescent="0.3">
      <c r="A236" s="3">
        <v>235</v>
      </c>
      <c r="B236" s="3" t="s">
        <v>363</v>
      </c>
      <c r="C236" s="3" t="s">
        <v>1012</v>
      </c>
      <c r="D236" s="3" t="s">
        <v>1013</v>
      </c>
      <c r="E236" s="9">
        <v>6000</v>
      </c>
      <c r="L236" s="12"/>
    </row>
    <row r="237" spans="1:12" x14ac:dyDescent="0.3">
      <c r="A237" s="3">
        <v>236</v>
      </c>
      <c r="B237" s="3" t="s">
        <v>368</v>
      </c>
      <c r="C237" s="3" t="s">
        <v>1014</v>
      </c>
      <c r="D237" s="3" t="s">
        <v>1015</v>
      </c>
      <c r="E237" s="9">
        <v>4500</v>
      </c>
      <c r="L237" s="12"/>
    </row>
    <row r="238" spans="1:12" x14ac:dyDescent="0.3">
      <c r="A238" s="3">
        <v>237</v>
      </c>
      <c r="B238" s="3" t="s">
        <v>368</v>
      </c>
      <c r="C238" s="3" t="s">
        <v>1016</v>
      </c>
      <c r="D238" s="3" t="s">
        <v>1017</v>
      </c>
      <c r="E238" s="9">
        <v>6000</v>
      </c>
      <c r="L238" s="12"/>
    </row>
    <row r="239" spans="1:12" x14ac:dyDescent="0.3">
      <c r="A239" s="3">
        <v>238</v>
      </c>
      <c r="B239" s="3" t="s">
        <v>368</v>
      </c>
      <c r="C239" s="3" t="s">
        <v>1018</v>
      </c>
      <c r="D239" s="3" t="s">
        <v>1019</v>
      </c>
      <c r="E239" s="9">
        <v>7600</v>
      </c>
      <c r="L239" s="12"/>
    </row>
    <row r="240" spans="1:12" x14ac:dyDescent="0.3">
      <c r="A240" s="3">
        <v>239</v>
      </c>
      <c r="B240" s="3" t="s">
        <v>368</v>
      </c>
      <c r="C240" s="3" t="s">
        <v>1020</v>
      </c>
      <c r="D240" s="3" t="s">
        <v>1021</v>
      </c>
      <c r="E240" s="9">
        <v>5000</v>
      </c>
      <c r="L240" s="12"/>
    </row>
    <row r="241" spans="1:12" x14ac:dyDescent="0.3">
      <c r="A241" s="3">
        <v>240</v>
      </c>
      <c r="B241" s="3" t="s">
        <v>368</v>
      </c>
      <c r="C241" s="3" t="s">
        <v>1091</v>
      </c>
      <c r="D241" s="3" t="s">
        <v>1092</v>
      </c>
      <c r="E241" s="9">
        <v>6500</v>
      </c>
      <c r="L241" s="12"/>
    </row>
    <row r="242" spans="1:12" x14ac:dyDescent="0.3">
      <c r="A242" s="3">
        <v>241</v>
      </c>
      <c r="B242" s="3" t="s">
        <v>368</v>
      </c>
      <c r="C242" s="3" t="s">
        <v>1093</v>
      </c>
      <c r="D242" s="3" t="s">
        <v>1094</v>
      </c>
      <c r="E242" s="9">
        <v>9000</v>
      </c>
      <c r="L242" s="12"/>
    </row>
    <row r="243" spans="1:12" x14ac:dyDescent="0.3">
      <c r="A243" s="3">
        <v>242</v>
      </c>
      <c r="B243" s="3" t="s">
        <v>368</v>
      </c>
      <c r="C243" s="3" t="s">
        <v>1095</v>
      </c>
      <c r="D243" s="3" t="s">
        <v>1096</v>
      </c>
      <c r="E243" s="9">
        <v>2500</v>
      </c>
      <c r="L243" s="12"/>
    </row>
    <row r="244" spans="1:12" x14ac:dyDescent="0.3">
      <c r="A244" s="3">
        <v>243</v>
      </c>
      <c r="B244" s="3" t="s">
        <v>368</v>
      </c>
      <c r="C244" s="3" t="s">
        <v>1022</v>
      </c>
      <c r="D244" s="3" t="s">
        <v>1023</v>
      </c>
      <c r="E244" s="9">
        <v>6000</v>
      </c>
      <c r="L244" s="12"/>
    </row>
    <row r="245" spans="1:12" x14ac:dyDescent="0.3">
      <c r="A245" s="3">
        <v>244</v>
      </c>
      <c r="B245" s="3" t="s">
        <v>368</v>
      </c>
      <c r="C245" s="3" t="s">
        <v>1024</v>
      </c>
      <c r="D245" s="3" t="s">
        <v>1025</v>
      </c>
      <c r="E245" s="9">
        <v>5000</v>
      </c>
      <c r="L245" s="12"/>
    </row>
    <row r="246" spans="1:12" x14ac:dyDescent="0.3">
      <c r="A246" s="3">
        <v>245</v>
      </c>
      <c r="B246" s="3" t="s">
        <v>373</v>
      </c>
      <c r="C246" s="3" t="s">
        <v>945</v>
      </c>
      <c r="D246" s="3" t="s">
        <v>1097</v>
      </c>
      <c r="E246" s="9">
        <v>15000</v>
      </c>
      <c r="L246" s="12"/>
    </row>
    <row r="247" spans="1:12" x14ac:dyDescent="0.3">
      <c r="A247" s="3">
        <v>246</v>
      </c>
      <c r="B247" s="3" t="s">
        <v>373</v>
      </c>
      <c r="C247" s="3" t="s">
        <v>947</v>
      </c>
      <c r="D247" s="3" t="s">
        <v>948</v>
      </c>
      <c r="E247" s="9">
        <v>5000</v>
      </c>
      <c r="L247" s="12"/>
    </row>
    <row r="248" spans="1:12" x14ac:dyDescent="0.3">
      <c r="A248" s="3">
        <v>247</v>
      </c>
      <c r="B248" s="3" t="s">
        <v>373</v>
      </c>
      <c r="C248" s="3" t="s">
        <v>949</v>
      </c>
      <c r="D248" s="3" t="s">
        <v>1073</v>
      </c>
      <c r="E248" s="9">
        <v>4000</v>
      </c>
      <c r="L248" s="12"/>
    </row>
    <row r="249" spans="1:12" x14ac:dyDescent="0.3">
      <c r="A249" s="3">
        <v>248</v>
      </c>
      <c r="B249" s="3" t="s">
        <v>373</v>
      </c>
      <c r="C249" s="3" t="s">
        <v>951</v>
      </c>
      <c r="D249" s="3" t="s">
        <v>952</v>
      </c>
      <c r="E249" s="9">
        <v>17000</v>
      </c>
      <c r="L249" s="12"/>
    </row>
    <row r="250" spans="1:12" x14ac:dyDescent="0.3">
      <c r="A250" s="3">
        <v>249</v>
      </c>
      <c r="B250" s="3" t="s">
        <v>373</v>
      </c>
      <c r="C250" s="3" t="s">
        <v>953</v>
      </c>
      <c r="D250" s="3" t="s">
        <v>954</v>
      </c>
      <c r="E250" s="9">
        <v>11000</v>
      </c>
      <c r="L250" s="12"/>
    </row>
    <row r="251" spans="1:12" x14ac:dyDescent="0.3">
      <c r="A251" s="3">
        <v>250</v>
      </c>
      <c r="B251" s="3" t="s">
        <v>373</v>
      </c>
      <c r="C251" s="3" t="s">
        <v>955</v>
      </c>
      <c r="D251" s="3" t="s">
        <v>1074</v>
      </c>
      <c r="E251" s="9">
        <v>6000</v>
      </c>
      <c r="L251" s="12"/>
    </row>
    <row r="252" spans="1:12" x14ac:dyDescent="0.3">
      <c r="A252" s="3">
        <v>251</v>
      </c>
      <c r="B252" s="3" t="s">
        <v>373</v>
      </c>
      <c r="C252" s="3" t="s">
        <v>957</v>
      </c>
      <c r="D252" s="3" t="s">
        <v>958</v>
      </c>
      <c r="E252" s="9">
        <v>4500</v>
      </c>
      <c r="L252" s="12"/>
    </row>
    <row r="253" spans="1:12" x14ac:dyDescent="0.3">
      <c r="A253" s="3">
        <v>252</v>
      </c>
      <c r="B253" s="3" t="s">
        <v>373</v>
      </c>
      <c r="C253" s="3" t="s">
        <v>959</v>
      </c>
      <c r="D253" s="3" t="s">
        <v>960</v>
      </c>
      <c r="E253" s="9">
        <v>8500</v>
      </c>
      <c r="L253" s="12"/>
    </row>
    <row r="254" spans="1:12" x14ac:dyDescent="0.3">
      <c r="A254" s="3">
        <v>253</v>
      </c>
      <c r="B254" s="3" t="s">
        <v>373</v>
      </c>
      <c r="C254" s="3" t="s">
        <v>961</v>
      </c>
      <c r="D254" s="3" t="s">
        <v>962</v>
      </c>
      <c r="E254" s="9">
        <v>2000</v>
      </c>
      <c r="L254" s="12"/>
    </row>
    <row r="255" spans="1:12" x14ac:dyDescent="0.3">
      <c r="A255" s="3">
        <v>254</v>
      </c>
      <c r="B255" s="3" t="s">
        <v>378</v>
      </c>
      <c r="C255" s="3" t="s">
        <v>982</v>
      </c>
      <c r="D255" s="3" t="s">
        <v>983</v>
      </c>
      <c r="E255" s="9">
        <v>10000</v>
      </c>
      <c r="L255" s="12"/>
    </row>
    <row r="256" spans="1:12" x14ac:dyDescent="0.3">
      <c r="A256" s="3">
        <v>255</v>
      </c>
      <c r="B256" s="3" t="s">
        <v>378</v>
      </c>
      <c r="C256" s="3" t="s">
        <v>1098</v>
      </c>
      <c r="D256" s="3" t="s">
        <v>1099</v>
      </c>
      <c r="E256" s="9">
        <v>11000</v>
      </c>
      <c r="L256" s="12"/>
    </row>
    <row r="257" spans="1:12" x14ac:dyDescent="0.3">
      <c r="A257" s="3">
        <v>256</v>
      </c>
      <c r="B257" s="3" t="s">
        <v>378</v>
      </c>
      <c r="C257" s="3" t="s">
        <v>1100</v>
      </c>
      <c r="D257" s="3" t="s">
        <v>1101</v>
      </c>
      <c r="E257" s="9">
        <v>9000</v>
      </c>
      <c r="L257" s="12"/>
    </row>
    <row r="258" spans="1:12" x14ac:dyDescent="0.3">
      <c r="A258" s="3">
        <v>257</v>
      </c>
      <c r="B258" s="3" t="s">
        <v>378</v>
      </c>
      <c r="C258" s="3" t="s">
        <v>984</v>
      </c>
      <c r="D258" s="3" t="s">
        <v>985</v>
      </c>
      <c r="E258" s="9">
        <v>6000</v>
      </c>
      <c r="L258" s="12"/>
    </row>
    <row r="259" spans="1:12" x14ac:dyDescent="0.3">
      <c r="A259" s="3">
        <v>258</v>
      </c>
      <c r="B259" s="3" t="s">
        <v>378</v>
      </c>
      <c r="C259" s="3" t="s">
        <v>986</v>
      </c>
      <c r="D259" s="3" t="s">
        <v>987</v>
      </c>
      <c r="E259" s="9">
        <v>6500</v>
      </c>
      <c r="L259" s="12"/>
    </row>
    <row r="260" spans="1:12" x14ac:dyDescent="0.3">
      <c r="A260" s="3">
        <v>259</v>
      </c>
      <c r="B260" s="3" t="s">
        <v>378</v>
      </c>
      <c r="C260" s="3" t="s">
        <v>988</v>
      </c>
      <c r="D260" s="3" t="s">
        <v>989</v>
      </c>
      <c r="E260" s="9">
        <v>13000</v>
      </c>
      <c r="L260" s="12"/>
    </row>
    <row r="261" spans="1:12" x14ac:dyDescent="0.3">
      <c r="A261" s="3">
        <v>260</v>
      </c>
      <c r="B261" s="3" t="s">
        <v>378</v>
      </c>
      <c r="C261" s="3" t="s">
        <v>990</v>
      </c>
      <c r="D261" s="3" t="s">
        <v>991</v>
      </c>
      <c r="E261" s="9">
        <v>11000</v>
      </c>
      <c r="L261" s="12"/>
    </row>
    <row r="262" spans="1:12" x14ac:dyDescent="0.3">
      <c r="A262" s="3">
        <v>261</v>
      </c>
      <c r="B262" s="3" t="s">
        <v>383</v>
      </c>
      <c r="C262" s="3" t="s">
        <v>945</v>
      </c>
      <c r="D262" s="3" t="s">
        <v>1097</v>
      </c>
      <c r="E262" s="9">
        <v>15000</v>
      </c>
      <c r="L262" s="12"/>
    </row>
    <row r="263" spans="1:12" x14ac:dyDescent="0.3">
      <c r="A263" s="3">
        <v>262</v>
      </c>
      <c r="B263" s="3" t="s">
        <v>383</v>
      </c>
      <c r="C263" s="3" t="s">
        <v>947</v>
      </c>
      <c r="D263" s="3" t="s">
        <v>948</v>
      </c>
      <c r="E263" s="9">
        <v>5000</v>
      </c>
      <c r="L263" s="12"/>
    </row>
    <row r="264" spans="1:12" x14ac:dyDescent="0.3">
      <c r="A264" s="3">
        <v>263</v>
      </c>
      <c r="B264" s="3" t="s">
        <v>383</v>
      </c>
      <c r="C264" s="3" t="s">
        <v>949</v>
      </c>
      <c r="D264" s="3" t="s">
        <v>1073</v>
      </c>
      <c r="E264" s="9">
        <v>4000</v>
      </c>
      <c r="L264" s="12"/>
    </row>
    <row r="265" spans="1:12" x14ac:dyDescent="0.3">
      <c r="A265" s="3">
        <v>264</v>
      </c>
      <c r="B265" s="3" t="s">
        <v>383</v>
      </c>
      <c r="C265" s="3" t="s">
        <v>951</v>
      </c>
      <c r="D265" s="3" t="s">
        <v>952</v>
      </c>
      <c r="E265" s="9">
        <v>17000</v>
      </c>
      <c r="L265" s="12"/>
    </row>
    <row r="266" spans="1:12" x14ac:dyDescent="0.3">
      <c r="A266" s="3">
        <v>265</v>
      </c>
      <c r="B266" s="3" t="s">
        <v>383</v>
      </c>
      <c r="C266" s="3" t="s">
        <v>953</v>
      </c>
      <c r="D266" s="3" t="s">
        <v>954</v>
      </c>
      <c r="E266" s="9">
        <v>11000</v>
      </c>
      <c r="L266" s="12"/>
    </row>
    <row r="267" spans="1:12" x14ac:dyDescent="0.3">
      <c r="A267" s="3">
        <v>266</v>
      </c>
      <c r="B267" s="3" t="s">
        <v>383</v>
      </c>
      <c r="C267" s="3" t="s">
        <v>955</v>
      </c>
      <c r="D267" s="3" t="s">
        <v>1074</v>
      </c>
      <c r="E267" s="9">
        <v>6000</v>
      </c>
      <c r="L267" s="12"/>
    </row>
    <row r="268" spans="1:12" x14ac:dyDescent="0.3">
      <c r="A268" s="3">
        <v>267</v>
      </c>
      <c r="B268" s="3" t="s">
        <v>383</v>
      </c>
      <c r="C268" s="3" t="s">
        <v>957</v>
      </c>
      <c r="D268" s="3" t="s">
        <v>958</v>
      </c>
      <c r="E268" s="9">
        <v>4500</v>
      </c>
      <c r="L268" s="12"/>
    </row>
    <row r="269" spans="1:12" x14ac:dyDescent="0.3">
      <c r="A269" s="3">
        <v>268</v>
      </c>
      <c r="B269" s="3" t="s">
        <v>383</v>
      </c>
      <c r="C269" s="3" t="s">
        <v>959</v>
      </c>
      <c r="D269" s="3" t="s">
        <v>960</v>
      </c>
      <c r="E269" s="9">
        <v>8500</v>
      </c>
      <c r="L269" s="12"/>
    </row>
    <row r="270" spans="1:12" x14ac:dyDescent="0.3">
      <c r="A270" s="3">
        <v>269</v>
      </c>
      <c r="B270" s="3" t="s">
        <v>383</v>
      </c>
      <c r="C270" s="3" t="s">
        <v>961</v>
      </c>
      <c r="D270" s="3" t="s">
        <v>962</v>
      </c>
      <c r="E270" s="9">
        <v>2000</v>
      </c>
      <c r="L270" s="12"/>
    </row>
    <row r="271" spans="1:12" x14ac:dyDescent="0.3">
      <c r="A271" s="3">
        <v>270</v>
      </c>
      <c r="B271" s="3" t="s">
        <v>1102</v>
      </c>
      <c r="C271" s="3" t="s">
        <v>963</v>
      </c>
      <c r="D271" s="3" t="s">
        <v>1026</v>
      </c>
      <c r="E271" s="9">
        <v>1500</v>
      </c>
      <c r="L271" s="12"/>
    </row>
    <row r="272" spans="1:12" x14ac:dyDescent="0.3">
      <c r="A272" s="3">
        <v>271</v>
      </c>
      <c r="B272" s="3" t="s">
        <v>388</v>
      </c>
      <c r="C272" s="3" t="s">
        <v>966</v>
      </c>
      <c r="D272" s="3" t="s">
        <v>967</v>
      </c>
      <c r="E272" s="9">
        <v>18000</v>
      </c>
      <c r="L272" s="12"/>
    </row>
    <row r="273" spans="1:12" x14ac:dyDescent="0.3">
      <c r="A273" s="3">
        <v>272</v>
      </c>
      <c r="B273" s="3" t="s">
        <v>388</v>
      </c>
      <c r="C273" s="3" t="s">
        <v>968</v>
      </c>
      <c r="D273" s="3" t="s">
        <v>969</v>
      </c>
      <c r="E273" s="9">
        <v>4500</v>
      </c>
      <c r="L273" s="12"/>
    </row>
    <row r="274" spans="1:12" x14ac:dyDescent="0.3">
      <c r="A274" s="3">
        <v>273</v>
      </c>
      <c r="B274" s="3" t="s">
        <v>388</v>
      </c>
      <c r="C274" s="3" t="s">
        <v>970</v>
      </c>
      <c r="D274" s="3" t="s">
        <v>971</v>
      </c>
      <c r="E274" s="9">
        <v>16000</v>
      </c>
      <c r="L274" s="12"/>
    </row>
    <row r="275" spans="1:12" x14ac:dyDescent="0.3">
      <c r="A275" s="3">
        <v>274</v>
      </c>
      <c r="B275" s="3" t="s">
        <v>388</v>
      </c>
      <c r="C275" s="3" t="s">
        <v>972</v>
      </c>
      <c r="D275" s="3" t="s">
        <v>973</v>
      </c>
      <c r="E275" s="9">
        <v>9000</v>
      </c>
      <c r="L275" s="12"/>
    </row>
    <row r="276" spans="1:12" x14ac:dyDescent="0.3">
      <c r="A276" s="3">
        <v>275</v>
      </c>
      <c r="B276" s="3" t="s">
        <v>388</v>
      </c>
      <c r="C276" s="3" t="s">
        <v>974</v>
      </c>
      <c r="D276" s="3" t="s">
        <v>975</v>
      </c>
      <c r="E276" s="9">
        <v>2500</v>
      </c>
      <c r="L276" s="12"/>
    </row>
    <row r="277" spans="1:12" x14ac:dyDescent="0.3">
      <c r="A277" s="3">
        <v>276</v>
      </c>
      <c r="B277" s="3" t="s">
        <v>388</v>
      </c>
      <c r="C277" s="3" t="s">
        <v>976</v>
      </c>
      <c r="D277" s="3" t="s">
        <v>977</v>
      </c>
      <c r="E277" s="9">
        <v>5000</v>
      </c>
      <c r="L277" s="12"/>
    </row>
    <row r="278" spans="1:12" x14ac:dyDescent="0.3">
      <c r="A278" s="3">
        <v>277</v>
      </c>
      <c r="B278" s="3" t="s">
        <v>388</v>
      </c>
      <c r="C278" s="3" t="s">
        <v>978</v>
      </c>
      <c r="D278" s="3" t="s">
        <v>979</v>
      </c>
      <c r="E278" s="9">
        <v>15000</v>
      </c>
      <c r="L278" s="12"/>
    </row>
    <row r="279" spans="1:12" x14ac:dyDescent="0.3">
      <c r="A279" s="3">
        <v>278</v>
      </c>
      <c r="B279" s="3" t="s">
        <v>388</v>
      </c>
      <c r="C279" s="3" t="s">
        <v>980</v>
      </c>
      <c r="D279" s="3" t="s">
        <v>981</v>
      </c>
      <c r="E279" s="9">
        <v>9000</v>
      </c>
      <c r="L279" s="12"/>
    </row>
    <row r="280" spans="1:12" x14ac:dyDescent="0.3">
      <c r="A280" s="3">
        <v>279</v>
      </c>
      <c r="B280" s="3" t="s">
        <v>388</v>
      </c>
      <c r="C280" s="3" t="s">
        <v>1049</v>
      </c>
      <c r="D280" s="3" t="s">
        <v>1050</v>
      </c>
      <c r="E280" s="9">
        <v>7000</v>
      </c>
      <c r="L280" s="12"/>
    </row>
    <row r="281" spans="1:12" x14ac:dyDescent="0.3">
      <c r="A281" s="3">
        <v>280</v>
      </c>
      <c r="B281" s="3" t="s">
        <v>388</v>
      </c>
      <c r="C281" s="3" t="s">
        <v>1051</v>
      </c>
      <c r="D281" s="3" t="s">
        <v>1052</v>
      </c>
      <c r="E281" s="9">
        <v>12000</v>
      </c>
      <c r="L281" s="12"/>
    </row>
    <row r="282" spans="1:12" x14ac:dyDescent="0.3">
      <c r="A282" s="3">
        <v>281</v>
      </c>
      <c r="B282" s="3" t="s">
        <v>393</v>
      </c>
      <c r="C282" s="3" t="s">
        <v>1103</v>
      </c>
      <c r="D282" s="3" t="s">
        <v>1104</v>
      </c>
      <c r="E282" s="9">
        <v>1500</v>
      </c>
      <c r="L282" s="12"/>
    </row>
    <row r="283" spans="1:12" x14ac:dyDescent="0.3">
      <c r="A283" s="3">
        <v>282</v>
      </c>
      <c r="B283" s="3" t="s">
        <v>393</v>
      </c>
      <c r="C283" s="3" t="s">
        <v>1105</v>
      </c>
      <c r="D283" s="3" t="s">
        <v>1106</v>
      </c>
      <c r="E283" s="9">
        <v>2000</v>
      </c>
      <c r="L283" s="12"/>
    </row>
    <row r="284" spans="1:12" x14ac:dyDescent="0.3">
      <c r="A284" s="3">
        <v>283</v>
      </c>
      <c r="B284" s="3" t="s">
        <v>393</v>
      </c>
      <c r="C284" s="3" t="s">
        <v>1107</v>
      </c>
      <c r="D284" s="3" t="s">
        <v>1108</v>
      </c>
      <c r="E284" s="9">
        <v>1500</v>
      </c>
      <c r="L284" s="12"/>
    </row>
    <row r="285" spans="1:12" x14ac:dyDescent="0.3">
      <c r="A285" s="3">
        <v>284</v>
      </c>
      <c r="B285" s="3" t="s">
        <v>393</v>
      </c>
      <c r="C285" s="3" t="s">
        <v>1109</v>
      </c>
      <c r="D285" s="3" t="s">
        <v>1110</v>
      </c>
      <c r="E285" s="9">
        <v>2000</v>
      </c>
      <c r="L285" s="12"/>
    </row>
    <row r="286" spans="1:12" x14ac:dyDescent="0.3">
      <c r="A286" s="3">
        <v>285</v>
      </c>
      <c r="B286" s="3" t="s">
        <v>393</v>
      </c>
      <c r="C286" s="3" t="s">
        <v>1111</v>
      </c>
      <c r="D286" s="3" t="s">
        <v>1112</v>
      </c>
      <c r="E286" s="9">
        <v>2000</v>
      </c>
      <c r="L286" s="12"/>
    </row>
    <row r="287" spans="1:12" x14ac:dyDescent="0.3">
      <c r="A287" s="3">
        <v>286</v>
      </c>
      <c r="B287" s="3" t="s">
        <v>393</v>
      </c>
      <c r="C287" s="3" t="s">
        <v>1113</v>
      </c>
      <c r="D287" s="3" t="s">
        <v>1114</v>
      </c>
      <c r="E287" s="9">
        <v>2500</v>
      </c>
      <c r="L287" s="12"/>
    </row>
    <row r="288" spans="1:12" x14ac:dyDescent="0.3">
      <c r="A288" s="3">
        <v>287</v>
      </c>
      <c r="B288" s="3" t="s">
        <v>393</v>
      </c>
      <c r="C288" s="3" t="s">
        <v>1115</v>
      </c>
      <c r="D288" s="3" t="s">
        <v>1116</v>
      </c>
      <c r="E288" s="9">
        <v>2000</v>
      </c>
      <c r="L288" s="12"/>
    </row>
    <row r="289" spans="1:12" x14ac:dyDescent="0.3">
      <c r="A289" s="3">
        <v>288</v>
      </c>
      <c r="B289" s="3" t="s">
        <v>393</v>
      </c>
      <c r="C289" s="3" t="s">
        <v>1117</v>
      </c>
      <c r="D289" s="3" t="s">
        <v>1118</v>
      </c>
      <c r="E289" s="9">
        <v>2500</v>
      </c>
      <c r="L289" s="12"/>
    </row>
    <row r="290" spans="1:12" x14ac:dyDescent="0.3">
      <c r="A290" s="3">
        <v>289</v>
      </c>
      <c r="B290" s="3" t="s">
        <v>393</v>
      </c>
      <c r="C290" s="3" t="s">
        <v>1119</v>
      </c>
      <c r="D290" s="3" t="s">
        <v>1120</v>
      </c>
      <c r="E290" s="9">
        <v>3000</v>
      </c>
      <c r="L290" s="12"/>
    </row>
    <row r="291" spans="1:12" x14ac:dyDescent="0.3">
      <c r="A291" s="3">
        <v>290</v>
      </c>
      <c r="B291" s="3" t="s">
        <v>398</v>
      </c>
      <c r="C291" s="3" t="s">
        <v>1075</v>
      </c>
      <c r="D291" s="3" t="s">
        <v>1076</v>
      </c>
      <c r="E291" s="9">
        <v>10000</v>
      </c>
      <c r="L291" s="12"/>
    </row>
    <row r="292" spans="1:12" x14ac:dyDescent="0.3">
      <c r="A292" s="3">
        <v>291</v>
      </c>
      <c r="B292" s="3" t="s">
        <v>398</v>
      </c>
      <c r="C292" s="3" t="s">
        <v>1077</v>
      </c>
      <c r="D292" s="3" t="s">
        <v>1078</v>
      </c>
      <c r="E292" s="9">
        <v>10500</v>
      </c>
      <c r="L292" s="12"/>
    </row>
    <row r="293" spans="1:12" x14ac:dyDescent="0.3">
      <c r="A293" s="3">
        <v>292</v>
      </c>
      <c r="B293" s="3" t="s">
        <v>398</v>
      </c>
      <c r="C293" s="3" t="s">
        <v>1079</v>
      </c>
      <c r="D293" s="3" t="s">
        <v>1080</v>
      </c>
      <c r="E293" s="9">
        <v>11000</v>
      </c>
      <c r="L293" s="12"/>
    </row>
    <row r="294" spans="1:12" x14ac:dyDescent="0.3">
      <c r="A294" s="3">
        <v>293</v>
      </c>
      <c r="B294" s="3" t="s">
        <v>398</v>
      </c>
      <c r="C294" s="3" t="s">
        <v>1081</v>
      </c>
      <c r="D294" s="3" t="s">
        <v>1082</v>
      </c>
      <c r="E294" s="9">
        <v>11000</v>
      </c>
      <c r="L294" s="12"/>
    </row>
    <row r="295" spans="1:12" x14ac:dyDescent="0.3">
      <c r="A295" s="3">
        <v>294</v>
      </c>
      <c r="B295" s="3" t="s">
        <v>398</v>
      </c>
      <c r="C295" s="3" t="s">
        <v>1083</v>
      </c>
      <c r="D295" s="3" t="s">
        <v>1084</v>
      </c>
      <c r="E295" s="9">
        <v>12000</v>
      </c>
      <c r="L295" s="12"/>
    </row>
    <row r="296" spans="1:12" x14ac:dyDescent="0.3">
      <c r="A296" s="3">
        <v>295</v>
      </c>
      <c r="B296" s="3" t="s">
        <v>398</v>
      </c>
      <c r="C296" s="3" t="s">
        <v>1085</v>
      </c>
      <c r="D296" s="3" t="s">
        <v>1086</v>
      </c>
      <c r="E296" s="9">
        <v>12000</v>
      </c>
      <c r="L296" s="12"/>
    </row>
    <row r="297" spans="1:12" x14ac:dyDescent="0.3">
      <c r="A297" s="3">
        <v>296</v>
      </c>
      <c r="B297" s="3" t="s">
        <v>398</v>
      </c>
      <c r="C297" s="3" t="s">
        <v>1087</v>
      </c>
      <c r="D297" s="3" t="s">
        <v>1121</v>
      </c>
      <c r="E297" s="9">
        <v>11000</v>
      </c>
      <c r="L297" s="12"/>
    </row>
    <row r="298" spans="1:12" x14ac:dyDescent="0.3">
      <c r="A298" s="3">
        <v>297</v>
      </c>
      <c r="B298" s="3" t="s">
        <v>403</v>
      </c>
      <c r="C298" s="3" t="s">
        <v>1103</v>
      </c>
      <c r="D298" s="3" t="s">
        <v>1104</v>
      </c>
      <c r="E298" s="9">
        <v>1500</v>
      </c>
      <c r="L298" s="12"/>
    </row>
    <row r="299" spans="1:12" x14ac:dyDescent="0.3">
      <c r="A299" s="3">
        <v>298</v>
      </c>
      <c r="B299" s="3" t="s">
        <v>403</v>
      </c>
      <c r="C299" s="3" t="s">
        <v>1105</v>
      </c>
      <c r="D299" s="3" t="s">
        <v>1106</v>
      </c>
      <c r="E299" s="9">
        <v>2000</v>
      </c>
      <c r="L299" s="12"/>
    </row>
    <row r="300" spans="1:12" x14ac:dyDescent="0.3">
      <c r="A300" s="3">
        <v>299</v>
      </c>
      <c r="B300" s="3" t="s">
        <v>403</v>
      </c>
      <c r="C300" s="3" t="s">
        <v>1107</v>
      </c>
      <c r="D300" s="3" t="s">
        <v>1108</v>
      </c>
      <c r="E300" s="9">
        <v>1500</v>
      </c>
      <c r="L300" s="12"/>
    </row>
    <row r="301" spans="1:12" x14ac:dyDescent="0.3">
      <c r="A301" s="3">
        <v>300</v>
      </c>
      <c r="B301" s="3" t="s">
        <v>403</v>
      </c>
      <c r="C301" s="3" t="s">
        <v>1109</v>
      </c>
      <c r="D301" s="3" t="s">
        <v>1110</v>
      </c>
      <c r="E301" s="9">
        <v>2000</v>
      </c>
      <c r="L301" s="12"/>
    </row>
    <row r="302" spans="1:12" x14ac:dyDescent="0.3">
      <c r="A302" s="3">
        <v>301</v>
      </c>
      <c r="B302" s="3" t="s">
        <v>403</v>
      </c>
      <c r="C302" s="3" t="s">
        <v>1111</v>
      </c>
      <c r="D302" s="3" t="s">
        <v>1112</v>
      </c>
      <c r="E302" s="9">
        <v>2000</v>
      </c>
      <c r="L302" s="12"/>
    </row>
    <row r="303" spans="1:12" x14ac:dyDescent="0.3">
      <c r="A303" s="3">
        <v>302</v>
      </c>
      <c r="B303" s="3" t="s">
        <v>403</v>
      </c>
      <c r="C303" s="3" t="s">
        <v>1113</v>
      </c>
      <c r="D303" s="3" t="s">
        <v>1114</v>
      </c>
      <c r="E303" s="9">
        <v>2500</v>
      </c>
      <c r="L303" s="12"/>
    </row>
    <row r="304" spans="1:12" x14ac:dyDescent="0.3">
      <c r="A304" s="3">
        <v>303</v>
      </c>
      <c r="B304" s="3" t="s">
        <v>403</v>
      </c>
      <c r="C304" s="3" t="s">
        <v>1115</v>
      </c>
      <c r="D304" s="3" t="s">
        <v>1116</v>
      </c>
      <c r="E304" s="9">
        <v>2000</v>
      </c>
      <c r="L304" s="12"/>
    </row>
    <row r="305" spans="1:12" x14ac:dyDescent="0.3">
      <c r="A305" s="3">
        <v>304</v>
      </c>
      <c r="B305" s="3" t="s">
        <v>403</v>
      </c>
      <c r="C305" s="3" t="s">
        <v>1117</v>
      </c>
      <c r="D305" s="3" t="s">
        <v>1118</v>
      </c>
      <c r="E305" s="9">
        <v>2500</v>
      </c>
      <c r="L305" s="12"/>
    </row>
    <row r="306" spans="1:12" x14ac:dyDescent="0.3">
      <c r="A306" s="3">
        <v>305</v>
      </c>
      <c r="B306" s="3" t="s">
        <v>403</v>
      </c>
      <c r="C306" s="3" t="s">
        <v>1119</v>
      </c>
      <c r="D306" s="3" t="s">
        <v>1120</v>
      </c>
      <c r="E306" s="9">
        <v>3000</v>
      </c>
      <c r="L306" s="12"/>
    </row>
    <row r="307" spans="1:12" x14ac:dyDescent="0.3">
      <c r="A307" s="3">
        <v>306</v>
      </c>
      <c r="B307" s="3" t="s">
        <v>408</v>
      </c>
      <c r="C307" s="3" t="s">
        <v>1103</v>
      </c>
      <c r="D307" s="3" t="s">
        <v>1104</v>
      </c>
      <c r="E307" s="9">
        <v>1500</v>
      </c>
      <c r="L307" s="12"/>
    </row>
    <row r="308" spans="1:12" x14ac:dyDescent="0.3">
      <c r="A308" s="3">
        <v>307</v>
      </c>
      <c r="B308" s="3" t="s">
        <v>408</v>
      </c>
      <c r="C308" s="3" t="s">
        <v>1105</v>
      </c>
      <c r="D308" s="3" t="s">
        <v>1106</v>
      </c>
      <c r="E308" s="9">
        <v>2000</v>
      </c>
      <c r="L308" s="12"/>
    </row>
    <row r="309" spans="1:12" x14ac:dyDescent="0.3">
      <c r="A309" s="3">
        <v>308</v>
      </c>
      <c r="B309" s="3" t="s">
        <v>408</v>
      </c>
      <c r="C309" s="3" t="s">
        <v>1107</v>
      </c>
      <c r="D309" s="3" t="s">
        <v>1108</v>
      </c>
      <c r="E309" s="9">
        <v>1500</v>
      </c>
      <c r="L309" s="12"/>
    </row>
    <row r="310" spans="1:12" x14ac:dyDescent="0.3">
      <c r="A310" s="3">
        <v>309</v>
      </c>
      <c r="B310" s="3" t="s">
        <v>408</v>
      </c>
      <c r="C310" s="3" t="s">
        <v>1109</v>
      </c>
      <c r="D310" s="3" t="s">
        <v>1110</v>
      </c>
      <c r="E310" s="9">
        <v>2000</v>
      </c>
      <c r="L310" s="12"/>
    </row>
    <row r="311" spans="1:12" x14ac:dyDescent="0.3">
      <c r="A311" s="3">
        <v>310</v>
      </c>
      <c r="B311" s="3" t="s">
        <v>408</v>
      </c>
      <c r="C311" s="3" t="s">
        <v>1111</v>
      </c>
      <c r="D311" s="3" t="s">
        <v>1112</v>
      </c>
      <c r="E311" s="9">
        <v>2000</v>
      </c>
      <c r="L311" s="12"/>
    </row>
    <row r="312" spans="1:12" x14ac:dyDescent="0.3">
      <c r="A312" s="3">
        <v>311</v>
      </c>
      <c r="B312" s="3" t="s">
        <v>408</v>
      </c>
      <c r="C312" s="3" t="s">
        <v>1113</v>
      </c>
      <c r="D312" s="3" t="s">
        <v>1114</v>
      </c>
      <c r="E312" s="9">
        <v>2500</v>
      </c>
      <c r="L312" s="12"/>
    </row>
    <row r="313" spans="1:12" x14ac:dyDescent="0.3">
      <c r="A313" s="3">
        <v>312</v>
      </c>
      <c r="B313" s="3" t="s">
        <v>408</v>
      </c>
      <c r="C313" s="3" t="s">
        <v>1115</v>
      </c>
      <c r="D313" s="3" t="s">
        <v>1116</v>
      </c>
      <c r="E313" s="9">
        <v>2000</v>
      </c>
      <c r="L313" s="12"/>
    </row>
    <row r="314" spans="1:12" x14ac:dyDescent="0.3">
      <c r="A314" s="3">
        <v>313</v>
      </c>
      <c r="B314" s="3" t="s">
        <v>408</v>
      </c>
      <c r="C314" s="3" t="s">
        <v>1117</v>
      </c>
      <c r="D314" s="3" t="s">
        <v>1118</v>
      </c>
      <c r="E314" s="9">
        <v>2500</v>
      </c>
      <c r="L314" s="12"/>
    </row>
    <row r="315" spans="1:12" x14ac:dyDescent="0.3">
      <c r="A315" s="3">
        <v>314</v>
      </c>
      <c r="B315" s="3" t="s">
        <v>408</v>
      </c>
      <c r="C315" s="3" t="s">
        <v>1119</v>
      </c>
      <c r="D315" s="3" t="s">
        <v>1120</v>
      </c>
      <c r="E315" s="9">
        <v>3000</v>
      </c>
      <c r="L315" s="12"/>
    </row>
    <row r="316" spans="1:12" x14ac:dyDescent="0.3">
      <c r="A316" s="3">
        <v>315</v>
      </c>
      <c r="B316" s="3" t="s">
        <v>413</v>
      </c>
      <c r="C316" s="3" t="s">
        <v>945</v>
      </c>
      <c r="D316" s="3" t="s">
        <v>1097</v>
      </c>
      <c r="E316" s="9">
        <v>15000</v>
      </c>
      <c r="L316" s="12"/>
    </row>
    <row r="317" spans="1:12" x14ac:dyDescent="0.3">
      <c r="A317" s="3">
        <v>316</v>
      </c>
      <c r="B317" s="3" t="s">
        <v>413</v>
      </c>
      <c r="C317" s="3" t="s">
        <v>947</v>
      </c>
      <c r="D317" s="3" t="s">
        <v>948</v>
      </c>
      <c r="E317" s="9">
        <v>5000</v>
      </c>
      <c r="L317" s="12"/>
    </row>
    <row r="318" spans="1:12" x14ac:dyDescent="0.3">
      <c r="A318" s="3">
        <v>317</v>
      </c>
      <c r="B318" s="3" t="s">
        <v>413</v>
      </c>
      <c r="C318" s="3" t="s">
        <v>949</v>
      </c>
      <c r="D318" s="3" t="s">
        <v>1073</v>
      </c>
      <c r="E318" s="9">
        <v>4000</v>
      </c>
      <c r="L318" s="12"/>
    </row>
    <row r="319" spans="1:12" x14ac:dyDescent="0.3">
      <c r="A319" s="3">
        <v>318</v>
      </c>
      <c r="B319" s="3" t="s">
        <v>413</v>
      </c>
      <c r="C319" s="3" t="s">
        <v>951</v>
      </c>
      <c r="D319" s="3" t="s">
        <v>952</v>
      </c>
      <c r="E319" s="9">
        <v>17000</v>
      </c>
      <c r="L319" s="12"/>
    </row>
    <row r="320" spans="1:12" x14ac:dyDescent="0.3">
      <c r="A320" s="3">
        <v>319</v>
      </c>
      <c r="B320" s="3" t="s">
        <v>413</v>
      </c>
      <c r="C320" s="3" t="s">
        <v>953</v>
      </c>
      <c r="D320" s="3" t="s">
        <v>954</v>
      </c>
      <c r="E320" s="9">
        <v>11000</v>
      </c>
      <c r="L320" s="12"/>
    </row>
    <row r="321" spans="1:12" x14ac:dyDescent="0.3">
      <c r="A321" s="3">
        <v>320</v>
      </c>
      <c r="B321" s="3" t="s">
        <v>413</v>
      </c>
      <c r="C321" s="3" t="s">
        <v>955</v>
      </c>
      <c r="D321" s="3" t="s">
        <v>1074</v>
      </c>
      <c r="E321" s="9">
        <v>6000</v>
      </c>
      <c r="L321" s="12"/>
    </row>
    <row r="322" spans="1:12" x14ac:dyDescent="0.3">
      <c r="A322" s="3">
        <v>321</v>
      </c>
      <c r="B322" s="3" t="s">
        <v>413</v>
      </c>
      <c r="C322" s="3" t="s">
        <v>957</v>
      </c>
      <c r="D322" s="3" t="s">
        <v>958</v>
      </c>
      <c r="E322" s="9">
        <v>4500</v>
      </c>
      <c r="L322" s="12"/>
    </row>
    <row r="323" spans="1:12" x14ac:dyDescent="0.3">
      <c r="A323" s="3">
        <v>322</v>
      </c>
      <c r="B323" s="3" t="s">
        <v>413</v>
      </c>
      <c r="C323" s="3" t="s">
        <v>959</v>
      </c>
      <c r="D323" s="3" t="s">
        <v>960</v>
      </c>
      <c r="E323" s="9">
        <v>8500</v>
      </c>
      <c r="L323" s="12"/>
    </row>
    <row r="324" spans="1:12" x14ac:dyDescent="0.3">
      <c r="A324" s="3">
        <v>323</v>
      </c>
      <c r="B324" s="3" t="s">
        <v>413</v>
      </c>
      <c r="C324" s="3" t="s">
        <v>961</v>
      </c>
      <c r="D324" s="3" t="s">
        <v>962</v>
      </c>
      <c r="E324" s="9">
        <v>2000</v>
      </c>
      <c r="L324" s="12"/>
    </row>
    <row r="325" spans="1:12" x14ac:dyDescent="0.3">
      <c r="A325" s="3">
        <v>324</v>
      </c>
      <c r="B325" s="3" t="s">
        <v>418</v>
      </c>
      <c r="C325" s="3" t="s">
        <v>1027</v>
      </c>
      <c r="D325" s="3" t="s">
        <v>1028</v>
      </c>
      <c r="E325" s="9">
        <v>4000</v>
      </c>
      <c r="L325" s="12"/>
    </row>
    <row r="326" spans="1:12" x14ac:dyDescent="0.3">
      <c r="A326" s="3">
        <v>325</v>
      </c>
      <c r="B326" s="3" t="s">
        <v>418</v>
      </c>
      <c r="C326" s="3" t="s">
        <v>1029</v>
      </c>
      <c r="D326" s="3" t="s">
        <v>1030</v>
      </c>
      <c r="E326" s="9">
        <v>5000</v>
      </c>
      <c r="L326" s="12"/>
    </row>
    <row r="327" spans="1:12" x14ac:dyDescent="0.3">
      <c r="A327" s="3">
        <v>326</v>
      </c>
      <c r="B327" s="3" t="s">
        <v>418</v>
      </c>
      <c r="C327" s="3" t="s">
        <v>1031</v>
      </c>
      <c r="D327" s="3" t="s">
        <v>1032</v>
      </c>
      <c r="E327" s="9">
        <v>5000</v>
      </c>
      <c r="L327" s="12"/>
    </row>
    <row r="328" spans="1:12" x14ac:dyDescent="0.3">
      <c r="A328" s="3">
        <v>327</v>
      </c>
      <c r="B328" s="3" t="s">
        <v>418</v>
      </c>
      <c r="C328" s="3" t="s">
        <v>1033</v>
      </c>
      <c r="D328" s="3" t="s">
        <v>1034</v>
      </c>
      <c r="E328" s="9">
        <v>6000</v>
      </c>
      <c r="L328" s="12"/>
    </row>
    <row r="329" spans="1:12" x14ac:dyDescent="0.3">
      <c r="A329" s="3">
        <v>328</v>
      </c>
      <c r="B329" s="3" t="s">
        <v>418</v>
      </c>
      <c r="C329" s="3" t="s">
        <v>1035</v>
      </c>
      <c r="D329" s="3" t="s">
        <v>1036</v>
      </c>
      <c r="E329" s="9">
        <v>5000</v>
      </c>
      <c r="L329" s="12"/>
    </row>
    <row r="330" spans="1:12" x14ac:dyDescent="0.3">
      <c r="A330" s="3">
        <v>329</v>
      </c>
      <c r="B330" s="3" t="s">
        <v>418</v>
      </c>
      <c r="C330" s="3" t="s">
        <v>1037</v>
      </c>
      <c r="D330" s="3" t="s">
        <v>1038</v>
      </c>
      <c r="E330" s="9">
        <v>2000</v>
      </c>
      <c r="L330" s="12"/>
    </row>
    <row r="331" spans="1:12" x14ac:dyDescent="0.3">
      <c r="A331" s="3">
        <v>330</v>
      </c>
      <c r="B331" s="3" t="s">
        <v>418</v>
      </c>
      <c r="C331" s="3" t="s">
        <v>1064</v>
      </c>
      <c r="D331" s="3" t="s">
        <v>1065</v>
      </c>
      <c r="E331" s="9">
        <v>4000</v>
      </c>
      <c r="L331" s="12"/>
    </row>
    <row r="332" spans="1:12" x14ac:dyDescent="0.3">
      <c r="A332" s="3">
        <v>331</v>
      </c>
      <c r="B332" s="3" t="s">
        <v>418</v>
      </c>
      <c r="C332" s="3" t="s">
        <v>1066</v>
      </c>
      <c r="D332" s="3" t="s">
        <v>1067</v>
      </c>
      <c r="E332" s="9">
        <v>6500</v>
      </c>
      <c r="L332" s="12"/>
    </row>
    <row r="333" spans="1:12" x14ac:dyDescent="0.3">
      <c r="A333" s="3">
        <v>332</v>
      </c>
      <c r="B333" s="3" t="s">
        <v>418</v>
      </c>
      <c r="C333" s="3" t="s">
        <v>1068</v>
      </c>
      <c r="D333" s="3" t="s">
        <v>1069</v>
      </c>
      <c r="E333" s="9">
        <v>8000</v>
      </c>
      <c r="L333" s="12"/>
    </row>
    <row r="334" spans="1:12" x14ac:dyDescent="0.3">
      <c r="A334" s="3">
        <v>333</v>
      </c>
      <c r="B334" s="3" t="s">
        <v>423</v>
      </c>
      <c r="C334" s="3" t="s">
        <v>1027</v>
      </c>
      <c r="D334" s="3" t="s">
        <v>1028</v>
      </c>
      <c r="E334" s="9">
        <v>4000</v>
      </c>
      <c r="L334" s="12"/>
    </row>
    <row r="335" spans="1:12" x14ac:dyDescent="0.3">
      <c r="A335" s="3">
        <v>334</v>
      </c>
      <c r="B335" s="3" t="s">
        <v>423</v>
      </c>
      <c r="C335" s="3" t="s">
        <v>1029</v>
      </c>
      <c r="D335" s="3" t="s">
        <v>1030</v>
      </c>
      <c r="E335" s="9">
        <v>5000</v>
      </c>
      <c r="L335" s="12"/>
    </row>
    <row r="336" spans="1:12" x14ac:dyDescent="0.3">
      <c r="A336" s="3">
        <v>335</v>
      </c>
      <c r="B336" s="3" t="s">
        <v>423</v>
      </c>
      <c r="C336" s="3" t="s">
        <v>1031</v>
      </c>
      <c r="D336" s="3" t="s">
        <v>1032</v>
      </c>
      <c r="E336" s="9">
        <v>5000</v>
      </c>
      <c r="L336" s="12"/>
    </row>
    <row r="337" spans="1:12" x14ac:dyDescent="0.3">
      <c r="A337" s="3">
        <v>336</v>
      </c>
      <c r="B337" s="3" t="s">
        <v>423</v>
      </c>
      <c r="C337" s="3" t="s">
        <v>1033</v>
      </c>
      <c r="D337" s="3" t="s">
        <v>1034</v>
      </c>
      <c r="E337" s="9">
        <v>6000</v>
      </c>
      <c r="L337" s="12"/>
    </row>
    <row r="338" spans="1:12" x14ac:dyDescent="0.3">
      <c r="A338" s="3">
        <v>337</v>
      </c>
      <c r="B338" s="3" t="s">
        <v>423</v>
      </c>
      <c r="C338" s="3" t="s">
        <v>1035</v>
      </c>
      <c r="D338" s="3" t="s">
        <v>1036</v>
      </c>
      <c r="E338" s="9">
        <v>5000</v>
      </c>
      <c r="L338" s="12"/>
    </row>
    <row r="339" spans="1:12" x14ac:dyDescent="0.3">
      <c r="A339" s="3">
        <v>338</v>
      </c>
      <c r="B339" s="3" t="s">
        <v>423</v>
      </c>
      <c r="C339" s="3" t="s">
        <v>1037</v>
      </c>
      <c r="D339" s="3" t="s">
        <v>1038</v>
      </c>
      <c r="E339" s="9">
        <v>2000</v>
      </c>
      <c r="L339" s="12"/>
    </row>
    <row r="340" spans="1:12" x14ac:dyDescent="0.3">
      <c r="A340" s="3">
        <v>339</v>
      </c>
      <c r="B340" s="3" t="s">
        <v>423</v>
      </c>
      <c r="C340" s="3" t="s">
        <v>1064</v>
      </c>
      <c r="D340" s="3" t="s">
        <v>1065</v>
      </c>
      <c r="E340" s="9">
        <v>4000</v>
      </c>
      <c r="L340" s="12"/>
    </row>
    <row r="341" spans="1:12" x14ac:dyDescent="0.3">
      <c r="A341" s="3">
        <v>340</v>
      </c>
      <c r="B341" s="3" t="s">
        <v>423</v>
      </c>
      <c r="C341" s="3" t="s">
        <v>1066</v>
      </c>
      <c r="D341" s="3" t="s">
        <v>1067</v>
      </c>
      <c r="E341" s="9">
        <v>6500</v>
      </c>
      <c r="L341" s="12"/>
    </row>
    <row r="342" spans="1:12" x14ac:dyDescent="0.3">
      <c r="A342" s="3">
        <v>341</v>
      </c>
      <c r="B342" s="3" t="s">
        <v>423</v>
      </c>
      <c r="C342" s="3" t="s">
        <v>1068</v>
      </c>
      <c r="D342" s="3" t="s">
        <v>1069</v>
      </c>
      <c r="E342" s="9">
        <v>8000</v>
      </c>
      <c r="L342" s="12"/>
    </row>
    <row r="343" spans="1:12" x14ac:dyDescent="0.3">
      <c r="A343" s="3">
        <v>342</v>
      </c>
      <c r="B343" s="3" t="s">
        <v>428</v>
      </c>
      <c r="C343" s="3" t="s">
        <v>945</v>
      </c>
      <c r="D343" s="3" t="s">
        <v>1097</v>
      </c>
      <c r="E343" s="9">
        <v>15000</v>
      </c>
      <c r="L343" s="12"/>
    </row>
    <row r="344" spans="1:12" x14ac:dyDescent="0.3">
      <c r="A344" s="3">
        <v>343</v>
      </c>
      <c r="B344" s="3" t="s">
        <v>428</v>
      </c>
      <c r="C344" s="3" t="s">
        <v>947</v>
      </c>
      <c r="D344" s="3" t="s">
        <v>948</v>
      </c>
      <c r="E344" s="9">
        <v>5000</v>
      </c>
      <c r="L344" s="12"/>
    </row>
    <row r="345" spans="1:12" x14ac:dyDescent="0.3">
      <c r="A345" s="3">
        <v>344</v>
      </c>
      <c r="B345" s="3" t="s">
        <v>428</v>
      </c>
      <c r="C345" s="3" t="s">
        <v>949</v>
      </c>
      <c r="D345" s="3" t="s">
        <v>1073</v>
      </c>
      <c r="E345" s="9">
        <v>4000</v>
      </c>
      <c r="L345" s="12"/>
    </row>
    <row r="346" spans="1:12" x14ac:dyDescent="0.3">
      <c r="A346" s="3">
        <v>345</v>
      </c>
      <c r="B346" s="3" t="s">
        <v>428</v>
      </c>
      <c r="C346" s="3" t="s">
        <v>951</v>
      </c>
      <c r="D346" s="3" t="s">
        <v>952</v>
      </c>
      <c r="E346" s="9">
        <v>17000</v>
      </c>
      <c r="L346" s="12"/>
    </row>
    <row r="347" spans="1:12" x14ac:dyDescent="0.3">
      <c r="A347" s="3">
        <v>346</v>
      </c>
      <c r="B347" s="3" t="s">
        <v>428</v>
      </c>
      <c r="C347" s="3" t="s">
        <v>953</v>
      </c>
      <c r="D347" s="3" t="s">
        <v>954</v>
      </c>
      <c r="E347" s="9">
        <v>11000</v>
      </c>
      <c r="L347" s="12"/>
    </row>
    <row r="348" spans="1:12" x14ac:dyDescent="0.3">
      <c r="A348" s="3">
        <v>347</v>
      </c>
      <c r="B348" s="3" t="s">
        <v>428</v>
      </c>
      <c r="C348" s="3" t="s">
        <v>955</v>
      </c>
      <c r="D348" s="3" t="s">
        <v>1074</v>
      </c>
      <c r="E348" s="9">
        <v>6000</v>
      </c>
      <c r="L348" s="12"/>
    </row>
    <row r="349" spans="1:12" x14ac:dyDescent="0.3">
      <c r="A349" s="3">
        <v>348</v>
      </c>
      <c r="B349" s="3" t="s">
        <v>428</v>
      </c>
      <c r="C349" s="3" t="s">
        <v>957</v>
      </c>
      <c r="D349" s="3" t="s">
        <v>958</v>
      </c>
      <c r="E349" s="9">
        <v>4500</v>
      </c>
      <c r="L349" s="12"/>
    </row>
    <row r="350" spans="1:12" x14ac:dyDescent="0.3">
      <c r="A350" s="3">
        <v>349</v>
      </c>
      <c r="B350" s="3" t="s">
        <v>428</v>
      </c>
      <c r="C350" s="3" t="s">
        <v>959</v>
      </c>
      <c r="D350" s="3" t="s">
        <v>960</v>
      </c>
      <c r="E350" s="9">
        <v>8500</v>
      </c>
      <c r="L350" s="12"/>
    </row>
    <row r="351" spans="1:12" x14ac:dyDescent="0.3">
      <c r="A351" s="3">
        <v>350</v>
      </c>
      <c r="B351" s="3" t="s">
        <v>428</v>
      </c>
      <c r="C351" s="3" t="s">
        <v>961</v>
      </c>
      <c r="D351" s="3" t="s">
        <v>962</v>
      </c>
      <c r="E351" s="9">
        <v>2000</v>
      </c>
      <c r="L351" s="12"/>
    </row>
    <row r="352" spans="1:12" x14ac:dyDescent="0.3">
      <c r="A352" s="3">
        <v>351</v>
      </c>
      <c r="B352" s="3" t="s">
        <v>433</v>
      </c>
      <c r="C352" s="3" t="s">
        <v>1027</v>
      </c>
      <c r="D352" s="3" t="s">
        <v>1028</v>
      </c>
      <c r="E352" s="9">
        <v>4000</v>
      </c>
      <c r="L352" s="12"/>
    </row>
    <row r="353" spans="1:12" x14ac:dyDescent="0.3">
      <c r="A353" s="3">
        <v>352</v>
      </c>
      <c r="B353" s="3" t="s">
        <v>433</v>
      </c>
      <c r="C353" s="3" t="s">
        <v>1029</v>
      </c>
      <c r="D353" s="3" t="s">
        <v>1030</v>
      </c>
      <c r="E353" s="9">
        <v>5000</v>
      </c>
      <c r="L353" s="12"/>
    </row>
    <row r="354" spans="1:12" x14ac:dyDescent="0.3">
      <c r="A354" s="3">
        <v>353</v>
      </c>
      <c r="B354" s="3" t="s">
        <v>433</v>
      </c>
      <c r="C354" s="3" t="s">
        <v>1031</v>
      </c>
      <c r="D354" s="3" t="s">
        <v>1032</v>
      </c>
      <c r="E354" s="9">
        <v>5000</v>
      </c>
      <c r="L354" s="12"/>
    </row>
    <row r="355" spans="1:12" x14ac:dyDescent="0.3">
      <c r="A355" s="3">
        <v>354</v>
      </c>
      <c r="B355" s="3" t="s">
        <v>433</v>
      </c>
      <c r="C355" s="3" t="s">
        <v>1033</v>
      </c>
      <c r="D355" s="3" t="s">
        <v>1034</v>
      </c>
      <c r="E355" s="9">
        <v>6000</v>
      </c>
      <c r="L355" s="12"/>
    </row>
    <row r="356" spans="1:12" x14ac:dyDescent="0.3">
      <c r="A356" s="3">
        <v>355</v>
      </c>
      <c r="B356" s="3" t="s">
        <v>433</v>
      </c>
      <c r="C356" s="3" t="s">
        <v>1035</v>
      </c>
      <c r="D356" s="3" t="s">
        <v>1036</v>
      </c>
      <c r="E356" s="9">
        <v>5000</v>
      </c>
      <c r="L356" s="12"/>
    </row>
    <row r="357" spans="1:12" x14ac:dyDescent="0.3">
      <c r="A357" s="3">
        <v>356</v>
      </c>
      <c r="B357" s="3" t="s">
        <v>433</v>
      </c>
      <c r="C357" s="3" t="s">
        <v>1037</v>
      </c>
      <c r="D357" s="3" t="s">
        <v>1038</v>
      </c>
      <c r="E357" s="9">
        <v>2000</v>
      </c>
      <c r="L357" s="12"/>
    </row>
    <row r="358" spans="1:12" x14ac:dyDescent="0.3">
      <c r="A358" s="3">
        <v>357</v>
      </c>
      <c r="B358" s="3" t="s">
        <v>433</v>
      </c>
      <c r="C358" s="3" t="s">
        <v>1064</v>
      </c>
      <c r="D358" s="3" t="s">
        <v>1065</v>
      </c>
      <c r="E358" s="9">
        <v>4000</v>
      </c>
      <c r="L358" s="12"/>
    </row>
    <row r="359" spans="1:12" x14ac:dyDescent="0.3">
      <c r="A359" s="3">
        <v>358</v>
      </c>
      <c r="B359" s="3" t="s">
        <v>433</v>
      </c>
      <c r="C359" s="3" t="s">
        <v>1066</v>
      </c>
      <c r="D359" s="3" t="s">
        <v>1067</v>
      </c>
      <c r="E359" s="9">
        <v>6500</v>
      </c>
      <c r="L359" s="12"/>
    </row>
    <row r="360" spans="1:12" x14ac:dyDescent="0.3">
      <c r="A360" s="3">
        <v>359</v>
      </c>
      <c r="B360" s="3" t="s">
        <v>433</v>
      </c>
      <c r="C360" s="3" t="s">
        <v>1068</v>
      </c>
      <c r="D360" s="3" t="s">
        <v>1069</v>
      </c>
      <c r="E360" s="9">
        <v>8000</v>
      </c>
      <c r="L360" s="12"/>
    </row>
    <row r="361" spans="1:12" x14ac:dyDescent="0.3">
      <c r="A361" s="3">
        <v>360</v>
      </c>
      <c r="B361" s="3" t="s">
        <v>438</v>
      </c>
      <c r="C361" s="3" t="s">
        <v>1014</v>
      </c>
      <c r="D361" s="3" t="s">
        <v>1015</v>
      </c>
      <c r="E361" s="9">
        <v>4500</v>
      </c>
      <c r="L361" s="12"/>
    </row>
    <row r="362" spans="1:12" x14ac:dyDescent="0.3">
      <c r="A362" s="3">
        <v>361</v>
      </c>
      <c r="B362" s="3" t="s">
        <v>438</v>
      </c>
      <c r="C362" s="3" t="s">
        <v>1016</v>
      </c>
      <c r="D362" s="3" t="s">
        <v>1017</v>
      </c>
      <c r="E362" s="9">
        <v>6000</v>
      </c>
      <c r="L362" s="12"/>
    </row>
    <row r="363" spans="1:12" x14ac:dyDescent="0.3">
      <c r="A363" s="3">
        <v>362</v>
      </c>
      <c r="B363" s="3" t="s">
        <v>438</v>
      </c>
      <c r="C363" s="3" t="s">
        <v>1018</v>
      </c>
      <c r="D363" s="3" t="s">
        <v>1019</v>
      </c>
      <c r="E363" s="9">
        <v>7600</v>
      </c>
      <c r="L363" s="12"/>
    </row>
    <row r="364" spans="1:12" x14ac:dyDescent="0.3">
      <c r="A364" s="3">
        <v>363</v>
      </c>
      <c r="B364" s="3" t="s">
        <v>438</v>
      </c>
      <c r="C364" s="3" t="s">
        <v>1020</v>
      </c>
      <c r="D364" s="3" t="s">
        <v>1021</v>
      </c>
      <c r="E364" s="9">
        <v>5000</v>
      </c>
      <c r="L364" s="12"/>
    </row>
    <row r="365" spans="1:12" x14ac:dyDescent="0.3">
      <c r="A365" s="3">
        <v>364</v>
      </c>
      <c r="B365" s="3" t="s">
        <v>438</v>
      </c>
      <c r="C365" s="3" t="s">
        <v>1091</v>
      </c>
      <c r="D365" s="3" t="s">
        <v>1092</v>
      </c>
      <c r="E365" s="9">
        <v>6500</v>
      </c>
      <c r="L365" s="12"/>
    </row>
    <row r="366" spans="1:12" x14ac:dyDescent="0.3">
      <c r="A366" s="3">
        <v>365</v>
      </c>
      <c r="B366" s="3" t="s">
        <v>438</v>
      </c>
      <c r="C366" s="3" t="s">
        <v>1093</v>
      </c>
      <c r="D366" s="3" t="s">
        <v>1094</v>
      </c>
      <c r="E366" s="9">
        <v>9000</v>
      </c>
      <c r="L366" s="12"/>
    </row>
    <row r="367" spans="1:12" x14ac:dyDescent="0.3">
      <c r="A367" s="3">
        <v>366</v>
      </c>
      <c r="B367" s="3" t="s">
        <v>438</v>
      </c>
      <c r="C367" s="3" t="s">
        <v>1095</v>
      </c>
      <c r="D367" s="3" t="s">
        <v>1096</v>
      </c>
      <c r="E367" s="9">
        <v>2500</v>
      </c>
      <c r="L367" s="12"/>
    </row>
    <row r="368" spans="1:12" x14ac:dyDescent="0.3">
      <c r="A368" s="3">
        <v>367</v>
      </c>
      <c r="B368" s="3" t="s">
        <v>438</v>
      </c>
      <c r="C368" s="3" t="s">
        <v>1022</v>
      </c>
      <c r="D368" s="3" t="s">
        <v>1023</v>
      </c>
      <c r="E368" s="9">
        <v>6000</v>
      </c>
      <c r="L368" s="12"/>
    </row>
    <row r="369" spans="1:12" x14ac:dyDescent="0.3">
      <c r="A369" s="3">
        <v>368</v>
      </c>
      <c r="B369" s="3" t="s">
        <v>438</v>
      </c>
      <c r="C369" s="3" t="s">
        <v>1024</v>
      </c>
      <c r="D369" s="3" t="s">
        <v>1025</v>
      </c>
      <c r="E369" s="9">
        <v>5000</v>
      </c>
      <c r="L369" s="12"/>
    </row>
    <row r="370" spans="1:12" x14ac:dyDescent="0.3">
      <c r="A370" s="3">
        <v>369</v>
      </c>
      <c r="B370" s="3" t="s">
        <v>438</v>
      </c>
      <c r="C370" s="3" t="s">
        <v>965</v>
      </c>
      <c r="D370" s="3" t="s">
        <v>1026</v>
      </c>
      <c r="E370" s="9">
        <v>1500</v>
      </c>
      <c r="L370" s="12"/>
    </row>
    <row r="371" spans="1:12" x14ac:dyDescent="0.3">
      <c r="A371" s="3">
        <v>370</v>
      </c>
      <c r="B371" s="3" t="s">
        <v>443</v>
      </c>
      <c r="C371" s="3" t="s">
        <v>1027</v>
      </c>
      <c r="D371" s="3" t="s">
        <v>1028</v>
      </c>
      <c r="E371" s="9">
        <v>4000</v>
      </c>
      <c r="L371" s="12"/>
    </row>
    <row r="372" spans="1:12" x14ac:dyDescent="0.3">
      <c r="A372" s="3">
        <v>371</v>
      </c>
      <c r="B372" s="3" t="s">
        <v>443</v>
      </c>
      <c r="C372" s="3" t="s">
        <v>1029</v>
      </c>
      <c r="D372" s="3" t="s">
        <v>1030</v>
      </c>
      <c r="E372" s="9">
        <v>5000</v>
      </c>
      <c r="L372" s="12"/>
    </row>
    <row r="373" spans="1:12" x14ac:dyDescent="0.3">
      <c r="A373" s="3">
        <v>372</v>
      </c>
      <c r="B373" s="3" t="s">
        <v>443</v>
      </c>
      <c r="C373" s="3" t="s">
        <v>1031</v>
      </c>
      <c r="D373" s="3" t="s">
        <v>1032</v>
      </c>
      <c r="E373" s="9">
        <v>5000</v>
      </c>
      <c r="L373" s="12"/>
    </row>
    <row r="374" spans="1:12" x14ac:dyDescent="0.3">
      <c r="A374" s="3">
        <v>373</v>
      </c>
      <c r="B374" s="3" t="s">
        <v>443</v>
      </c>
      <c r="C374" s="3" t="s">
        <v>1033</v>
      </c>
      <c r="D374" s="3" t="s">
        <v>1034</v>
      </c>
      <c r="E374" s="9">
        <v>6000</v>
      </c>
      <c r="L374" s="12"/>
    </row>
    <row r="375" spans="1:12" x14ac:dyDescent="0.3">
      <c r="A375" s="3">
        <v>374</v>
      </c>
      <c r="B375" s="3" t="s">
        <v>443</v>
      </c>
      <c r="C375" s="3" t="s">
        <v>1035</v>
      </c>
      <c r="D375" s="3" t="s">
        <v>1036</v>
      </c>
      <c r="E375" s="9">
        <v>5000</v>
      </c>
      <c r="L375" s="12"/>
    </row>
    <row r="376" spans="1:12" x14ac:dyDescent="0.3">
      <c r="A376" s="3">
        <v>375</v>
      </c>
      <c r="B376" s="3" t="s">
        <v>443</v>
      </c>
      <c r="C376" s="3" t="s">
        <v>1037</v>
      </c>
      <c r="D376" s="3" t="s">
        <v>1038</v>
      </c>
      <c r="E376" s="9">
        <v>2000</v>
      </c>
      <c r="L376" s="12"/>
    </row>
    <row r="377" spans="1:12" x14ac:dyDescent="0.3">
      <c r="A377" s="3">
        <v>376</v>
      </c>
      <c r="B377" s="3" t="s">
        <v>443</v>
      </c>
      <c r="C377" s="3" t="s">
        <v>1064</v>
      </c>
      <c r="D377" s="3" t="s">
        <v>1065</v>
      </c>
      <c r="E377" s="9">
        <v>4000</v>
      </c>
      <c r="L377" s="12"/>
    </row>
    <row r="378" spans="1:12" x14ac:dyDescent="0.3">
      <c r="A378" s="3">
        <v>377</v>
      </c>
      <c r="B378" s="3" t="s">
        <v>443</v>
      </c>
      <c r="C378" s="3" t="s">
        <v>1066</v>
      </c>
      <c r="D378" s="3" t="s">
        <v>1067</v>
      </c>
      <c r="E378" s="9">
        <v>6500</v>
      </c>
      <c r="L378" s="12"/>
    </row>
    <row r="379" spans="1:12" x14ac:dyDescent="0.3">
      <c r="A379" s="3">
        <v>378</v>
      </c>
      <c r="B379" s="3" t="s">
        <v>443</v>
      </c>
      <c r="C379" s="3" t="s">
        <v>1068</v>
      </c>
      <c r="D379" s="3" t="s">
        <v>1069</v>
      </c>
      <c r="E379" s="9">
        <v>8000</v>
      </c>
      <c r="L379" s="12"/>
    </row>
    <row r="380" spans="1:12" x14ac:dyDescent="0.3">
      <c r="A380" s="3">
        <v>379</v>
      </c>
      <c r="B380" s="3" t="s">
        <v>448</v>
      </c>
      <c r="C380" s="3" t="s">
        <v>992</v>
      </c>
      <c r="D380" s="3" t="s">
        <v>993</v>
      </c>
      <c r="E380" s="9">
        <v>5000</v>
      </c>
      <c r="L380" s="12"/>
    </row>
    <row r="381" spans="1:12" x14ac:dyDescent="0.3">
      <c r="A381" s="3">
        <v>380</v>
      </c>
      <c r="B381" s="3" t="s">
        <v>448</v>
      </c>
      <c r="C381" s="3" t="s">
        <v>994</v>
      </c>
      <c r="D381" s="3" t="s">
        <v>995</v>
      </c>
      <c r="E381" s="9">
        <v>6000</v>
      </c>
      <c r="L381" s="12"/>
    </row>
    <row r="382" spans="1:12" x14ac:dyDescent="0.3">
      <c r="A382" s="3">
        <v>381</v>
      </c>
      <c r="B382" s="3" t="s">
        <v>448</v>
      </c>
      <c r="C382" s="3" t="s">
        <v>996</v>
      </c>
      <c r="D382" s="3" t="s">
        <v>997</v>
      </c>
      <c r="E382" s="9">
        <v>5500</v>
      </c>
      <c r="L382" s="12"/>
    </row>
    <row r="383" spans="1:12" x14ac:dyDescent="0.3">
      <c r="A383" s="3">
        <v>382</v>
      </c>
      <c r="B383" s="3" t="s">
        <v>448</v>
      </c>
      <c r="C383" s="3" t="s">
        <v>998</v>
      </c>
      <c r="D383" s="3" t="s">
        <v>999</v>
      </c>
      <c r="E383" s="9">
        <v>6000</v>
      </c>
      <c r="L383" s="12"/>
    </row>
    <row r="384" spans="1:12" x14ac:dyDescent="0.3">
      <c r="A384" s="3">
        <v>383</v>
      </c>
      <c r="B384" s="3" t="s">
        <v>448</v>
      </c>
      <c r="C384" s="3" t="s">
        <v>1000</v>
      </c>
      <c r="D384" s="3" t="s">
        <v>1001</v>
      </c>
      <c r="E384" s="9">
        <v>4500</v>
      </c>
      <c r="L384" s="12"/>
    </row>
    <row r="385" spans="1:12" x14ac:dyDescent="0.3">
      <c r="A385" s="3">
        <v>384</v>
      </c>
      <c r="B385" s="3" t="s">
        <v>448</v>
      </c>
      <c r="C385" s="3" t="s">
        <v>1002</v>
      </c>
      <c r="D385" s="3" t="s">
        <v>1003</v>
      </c>
      <c r="E385" s="9">
        <v>4000</v>
      </c>
      <c r="L385" s="12"/>
    </row>
    <row r="386" spans="1:12" x14ac:dyDescent="0.3">
      <c r="A386" s="3">
        <v>385</v>
      </c>
      <c r="B386" s="3" t="s">
        <v>448</v>
      </c>
      <c r="C386" s="3" t="s">
        <v>1004</v>
      </c>
      <c r="D386" s="3" t="s">
        <v>1005</v>
      </c>
      <c r="E386" s="9">
        <v>3000</v>
      </c>
      <c r="L386" s="12"/>
    </row>
    <row r="387" spans="1:12" x14ac:dyDescent="0.3">
      <c r="A387" s="3">
        <v>386</v>
      </c>
      <c r="B387" s="3" t="s">
        <v>448</v>
      </c>
      <c r="C387" s="3" t="s">
        <v>1006</v>
      </c>
      <c r="D387" s="3" t="s">
        <v>1007</v>
      </c>
      <c r="E387" s="9">
        <v>2500</v>
      </c>
      <c r="L387" s="12"/>
    </row>
    <row r="388" spans="1:12" x14ac:dyDescent="0.3">
      <c r="A388" s="3">
        <v>387</v>
      </c>
      <c r="B388" s="3" t="s">
        <v>448</v>
      </c>
      <c r="C388" s="3" t="s">
        <v>1008</v>
      </c>
      <c r="D388" s="3" t="s">
        <v>1009</v>
      </c>
      <c r="E388" s="9">
        <v>8000</v>
      </c>
      <c r="L388" s="12"/>
    </row>
    <row r="389" spans="1:12" x14ac:dyDescent="0.3">
      <c r="A389" s="3">
        <v>388</v>
      </c>
      <c r="B389" s="3" t="s">
        <v>448</v>
      </c>
      <c r="C389" s="3" t="s">
        <v>1056</v>
      </c>
      <c r="D389" s="3" t="s">
        <v>1057</v>
      </c>
      <c r="E389" s="9">
        <v>9000</v>
      </c>
      <c r="L389" s="12"/>
    </row>
    <row r="390" spans="1:12" x14ac:dyDescent="0.3">
      <c r="A390" s="3">
        <v>389</v>
      </c>
      <c r="B390" s="3" t="s">
        <v>448</v>
      </c>
      <c r="C390" s="3" t="s">
        <v>1010</v>
      </c>
      <c r="D390" s="3" t="s">
        <v>1011</v>
      </c>
      <c r="E390" s="9">
        <v>8000</v>
      </c>
      <c r="L390" s="12"/>
    </row>
    <row r="391" spans="1:12" x14ac:dyDescent="0.3">
      <c r="A391" s="3">
        <v>390</v>
      </c>
      <c r="B391" s="3" t="s">
        <v>448</v>
      </c>
      <c r="C391" s="3" t="s">
        <v>1012</v>
      </c>
      <c r="D391" s="3" t="s">
        <v>1013</v>
      </c>
      <c r="E391" s="9">
        <v>6000</v>
      </c>
      <c r="L391" s="12"/>
    </row>
    <row r="392" spans="1:12" x14ac:dyDescent="0.3">
      <c r="A392" s="3">
        <v>391</v>
      </c>
      <c r="B392" s="3" t="s">
        <v>448</v>
      </c>
      <c r="C392" s="3" t="s">
        <v>965</v>
      </c>
      <c r="D392" s="3" t="s">
        <v>1026</v>
      </c>
      <c r="E392" s="9">
        <v>1500</v>
      </c>
      <c r="L392" s="12"/>
    </row>
    <row r="393" spans="1:12" x14ac:dyDescent="0.3">
      <c r="A393" s="3">
        <v>392</v>
      </c>
      <c r="B393" s="3" t="s">
        <v>453</v>
      </c>
      <c r="C393" s="3" t="s">
        <v>1103</v>
      </c>
      <c r="D393" s="3" t="s">
        <v>1104</v>
      </c>
      <c r="E393" s="9">
        <v>1500</v>
      </c>
      <c r="L393" s="12"/>
    </row>
    <row r="394" spans="1:12" x14ac:dyDescent="0.3">
      <c r="A394" s="3">
        <v>393</v>
      </c>
      <c r="B394" s="3" t="s">
        <v>453</v>
      </c>
      <c r="C394" s="3" t="s">
        <v>1105</v>
      </c>
      <c r="D394" s="3" t="s">
        <v>1106</v>
      </c>
      <c r="E394" s="9">
        <v>2000</v>
      </c>
      <c r="L394" s="12"/>
    </row>
    <row r="395" spans="1:12" x14ac:dyDescent="0.3">
      <c r="A395" s="3">
        <v>394</v>
      </c>
      <c r="B395" s="3" t="s">
        <v>453</v>
      </c>
      <c r="C395" s="3" t="s">
        <v>1107</v>
      </c>
      <c r="D395" s="3" t="s">
        <v>1108</v>
      </c>
      <c r="E395" s="9">
        <v>1500</v>
      </c>
      <c r="L395" s="12"/>
    </row>
    <row r="396" spans="1:12" x14ac:dyDescent="0.3">
      <c r="A396" s="3">
        <v>395</v>
      </c>
      <c r="B396" s="3" t="s">
        <v>453</v>
      </c>
      <c r="C396" s="3" t="s">
        <v>1109</v>
      </c>
      <c r="D396" s="3" t="s">
        <v>1110</v>
      </c>
      <c r="E396" s="9">
        <v>2000</v>
      </c>
      <c r="L396" s="12"/>
    </row>
    <row r="397" spans="1:12" x14ac:dyDescent="0.3">
      <c r="A397" s="3">
        <v>396</v>
      </c>
      <c r="B397" s="3" t="s">
        <v>453</v>
      </c>
      <c r="C397" s="3" t="s">
        <v>1111</v>
      </c>
      <c r="D397" s="3" t="s">
        <v>1112</v>
      </c>
      <c r="E397" s="9">
        <v>2000</v>
      </c>
      <c r="L397" s="12"/>
    </row>
    <row r="398" spans="1:12" x14ac:dyDescent="0.3">
      <c r="A398" s="3">
        <v>397</v>
      </c>
      <c r="B398" s="3" t="s">
        <v>453</v>
      </c>
      <c r="C398" s="3" t="s">
        <v>1113</v>
      </c>
      <c r="D398" s="3" t="s">
        <v>1114</v>
      </c>
      <c r="E398" s="9">
        <v>2500</v>
      </c>
      <c r="L398" s="12"/>
    </row>
    <row r="399" spans="1:12" x14ac:dyDescent="0.3">
      <c r="A399" s="3">
        <v>398</v>
      </c>
      <c r="B399" s="3" t="s">
        <v>453</v>
      </c>
      <c r="C399" s="3" t="s">
        <v>1115</v>
      </c>
      <c r="D399" s="3" t="s">
        <v>1116</v>
      </c>
      <c r="E399" s="9">
        <v>2000</v>
      </c>
      <c r="L399" s="12"/>
    </row>
    <row r="400" spans="1:12" x14ac:dyDescent="0.3">
      <c r="A400" s="3">
        <v>399</v>
      </c>
      <c r="B400" s="3" t="s">
        <v>453</v>
      </c>
      <c r="C400" s="3" t="s">
        <v>1117</v>
      </c>
      <c r="D400" s="3" t="s">
        <v>1118</v>
      </c>
      <c r="E400" s="9">
        <v>2500</v>
      </c>
      <c r="L400" s="12"/>
    </row>
    <row r="401" spans="1:12" x14ac:dyDescent="0.3">
      <c r="A401" s="3">
        <v>400</v>
      </c>
      <c r="B401" s="3" t="s">
        <v>453</v>
      </c>
      <c r="C401" s="3" t="s">
        <v>1119</v>
      </c>
      <c r="D401" s="3" t="s">
        <v>1120</v>
      </c>
      <c r="E401" s="9">
        <v>3000</v>
      </c>
      <c r="L401" s="12"/>
    </row>
    <row r="402" spans="1:12" x14ac:dyDescent="0.3">
      <c r="A402" s="3">
        <v>401</v>
      </c>
      <c r="B402" s="3" t="s">
        <v>458</v>
      </c>
      <c r="C402" s="3" t="s">
        <v>945</v>
      </c>
      <c r="D402" s="3" t="s">
        <v>1097</v>
      </c>
      <c r="E402" s="9">
        <v>15000</v>
      </c>
      <c r="L402" s="12"/>
    </row>
    <row r="403" spans="1:12" x14ac:dyDescent="0.3">
      <c r="A403" s="3">
        <v>402</v>
      </c>
      <c r="B403" s="3" t="s">
        <v>458</v>
      </c>
      <c r="C403" s="3" t="s">
        <v>947</v>
      </c>
      <c r="D403" s="3" t="s">
        <v>948</v>
      </c>
      <c r="E403" s="9">
        <v>5000</v>
      </c>
      <c r="L403" s="12"/>
    </row>
    <row r="404" spans="1:12" x14ac:dyDescent="0.3">
      <c r="A404" s="3">
        <v>403</v>
      </c>
      <c r="B404" s="3" t="s">
        <v>458</v>
      </c>
      <c r="C404" s="3" t="s">
        <v>949</v>
      </c>
      <c r="D404" s="3" t="s">
        <v>1073</v>
      </c>
      <c r="E404" s="9">
        <v>4000</v>
      </c>
      <c r="L404" s="12"/>
    </row>
    <row r="405" spans="1:12" x14ac:dyDescent="0.3">
      <c r="A405" s="3">
        <v>404</v>
      </c>
      <c r="B405" s="3" t="s">
        <v>458</v>
      </c>
      <c r="C405" s="3" t="s">
        <v>951</v>
      </c>
      <c r="D405" s="3" t="s">
        <v>952</v>
      </c>
      <c r="E405" s="9">
        <v>17000</v>
      </c>
      <c r="L405" s="12"/>
    </row>
    <row r="406" spans="1:12" x14ac:dyDescent="0.3">
      <c r="A406" s="3">
        <v>405</v>
      </c>
      <c r="B406" s="3" t="s">
        <v>458</v>
      </c>
      <c r="C406" s="3" t="s">
        <v>953</v>
      </c>
      <c r="D406" s="3" t="s">
        <v>954</v>
      </c>
      <c r="E406" s="9">
        <v>11000</v>
      </c>
      <c r="L406" s="12"/>
    </row>
    <row r="407" spans="1:12" x14ac:dyDescent="0.3">
      <c r="A407" s="3">
        <v>406</v>
      </c>
      <c r="B407" s="3" t="s">
        <v>458</v>
      </c>
      <c r="C407" s="3" t="s">
        <v>955</v>
      </c>
      <c r="D407" s="3" t="s">
        <v>1074</v>
      </c>
      <c r="E407" s="9">
        <v>6000</v>
      </c>
      <c r="L407" s="12"/>
    </row>
    <row r="408" spans="1:12" x14ac:dyDescent="0.3">
      <c r="A408" s="3">
        <v>407</v>
      </c>
      <c r="B408" s="3" t="s">
        <v>458</v>
      </c>
      <c r="C408" s="3" t="s">
        <v>957</v>
      </c>
      <c r="D408" s="3" t="s">
        <v>958</v>
      </c>
      <c r="E408" s="9">
        <v>4500</v>
      </c>
      <c r="L408" s="12"/>
    </row>
    <row r="409" spans="1:12" x14ac:dyDescent="0.3">
      <c r="A409" s="3">
        <v>408</v>
      </c>
      <c r="B409" s="3" t="s">
        <v>458</v>
      </c>
      <c r="C409" s="3" t="s">
        <v>959</v>
      </c>
      <c r="D409" s="3" t="s">
        <v>960</v>
      </c>
      <c r="E409" s="9">
        <v>8500</v>
      </c>
      <c r="L409" s="12"/>
    </row>
    <row r="410" spans="1:12" x14ac:dyDescent="0.3">
      <c r="A410" s="3">
        <v>409</v>
      </c>
      <c r="B410" s="3" t="s">
        <v>458</v>
      </c>
      <c r="C410" s="3" t="s">
        <v>961</v>
      </c>
      <c r="D410" s="3" t="s">
        <v>962</v>
      </c>
      <c r="E410" s="9">
        <v>2000</v>
      </c>
      <c r="L410" s="12"/>
    </row>
    <row r="411" spans="1:12" x14ac:dyDescent="0.3">
      <c r="A411" s="3">
        <v>410</v>
      </c>
      <c r="B411" s="3" t="s">
        <v>463</v>
      </c>
      <c r="C411" s="3" t="s">
        <v>945</v>
      </c>
      <c r="D411" s="3" t="s">
        <v>1097</v>
      </c>
      <c r="E411" s="9">
        <v>15000</v>
      </c>
      <c r="L411" s="12"/>
    </row>
    <row r="412" spans="1:12" x14ac:dyDescent="0.3">
      <c r="A412" s="3">
        <v>411</v>
      </c>
      <c r="B412" s="3" t="s">
        <v>463</v>
      </c>
      <c r="C412" s="3" t="s">
        <v>947</v>
      </c>
      <c r="D412" s="3" t="s">
        <v>948</v>
      </c>
      <c r="E412" s="9">
        <v>5000</v>
      </c>
      <c r="L412" s="12"/>
    </row>
    <row r="413" spans="1:12" x14ac:dyDescent="0.3">
      <c r="A413" s="3">
        <v>412</v>
      </c>
      <c r="B413" s="3" t="s">
        <v>463</v>
      </c>
      <c r="C413" s="3" t="s">
        <v>949</v>
      </c>
      <c r="D413" s="3" t="s">
        <v>1073</v>
      </c>
      <c r="E413" s="9">
        <v>4000</v>
      </c>
      <c r="L413" s="12"/>
    </row>
    <row r="414" spans="1:12" x14ac:dyDescent="0.3">
      <c r="A414" s="3">
        <v>413</v>
      </c>
      <c r="B414" s="3" t="s">
        <v>463</v>
      </c>
      <c r="C414" s="3" t="s">
        <v>951</v>
      </c>
      <c r="D414" s="3" t="s">
        <v>952</v>
      </c>
      <c r="E414" s="9">
        <v>17000</v>
      </c>
      <c r="L414" s="12"/>
    </row>
    <row r="415" spans="1:12" x14ac:dyDescent="0.3">
      <c r="A415" s="3">
        <v>414</v>
      </c>
      <c r="B415" s="3" t="s">
        <v>463</v>
      </c>
      <c r="C415" s="3" t="s">
        <v>953</v>
      </c>
      <c r="D415" s="3" t="s">
        <v>954</v>
      </c>
      <c r="E415" s="9">
        <v>11000</v>
      </c>
      <c r="L415" s="12"/>
    </row>
    <row r="416" spans="1:12" x14ac:dyDescent="0.3">
      <c r="A416" s="3">
        <v>415</v>
      </c>
      <c r="B416" s="3" t="s">
        <v>463</v>
      </c>
      <c r="C416" s="3" t="s">
        <v>955</v>
      </c>
      <c r="D416" s="3" t="s">
        <v>1074</v>
      </c>
      <c r="E416" s="9">
        <v>6000</v>
      </c>
      <c r="L416" s="12"/>
    </row>
    <row r="417" spans="1:12" x14ac:dyDescent="0.3">
      <c r="A417" s="3">
        <v>416</v>
      </c>
      <c r="B417" s="3" t="s">
        <v>463</v>
      </c>
      <c r="C417" s="3" t="s">
        <v>957</v>
      </c>
      <c r="D417" s="3" t="s">
        <v>958</v>
      </c>
      <c r="E417" s="9">
        <v>4500</v>
      </c>
      <c r="L417" s="12"/>
    </row>
    <row r="418" spans="1:12" x14ac:dyDescent="0.3">
      <c r="A418" s="3">
        <v>417</v>
      </c>
      <c r="B418" s="3" t="s">
        <v>463</v>
      </c>
      <c r="C418" s="3" t="s">
        <v>959</v>
      </c>
      <c r="D418" s="3" t="s">
        <v>960</v>
      </c>
      <c r="E418" s="9">
        <v>8500</v>
      </c>
      <c r="L418" s="12"/>
    </row>
    <row r="419" spans="1:12" x14ac:dyDescent="0.3">
      <c r="A419" s="3">
        <v>418</v>
      </c>
      <c r="B419" s="3" t="s">
        <v>463</v>
      </c>
      <c r="C419" s="3" t="s">
        <v>961</v>
      </c>
      <c r="D419" s="3" t="s">
        <v>962</v>
      </c>
      <c r="E419" s="9">
        <v>2000</v>
      </c>
      <c r="L419" s="12"/>
    </row>
    <row r="420" spans="1:12" x14ac:dyDescent="0.3">
      <c r="A420" s="3">
        <v>419</v>
      </c>
      <c r="B420" s="3" t="s">
        <v>468</v>
      </c>
      <c r="C420" s="3" t="s">
        <v>945</v>
      </c>
      <c r="D420" s="3" t="s">
        <v>1097</v>
      </c>
      <c r="E420" s="9">
        <v>15000</v>
      </c>
      <c r="L420" s="12"/>
    </row>
    <row r="421" spans="1:12" x14ac:dyDescent="0.3">
      <c r="A421" s="3">
        <v>420</v>
      </c>
      <c r="B421" s="3" t="s">
        <v>468</v>
      </c>
      <c r="C421" s="3" t="s">
        <v>947</v>
      </c>
      <c r="D421" s="3" t="s">
        <v>948</v>
      </c>
      <c r="E421" s="9">
        <v>5000</v>
      </c>
      <c r="L421" s="12"/>
    </row>
    <row r="422" spans="1:12" x14ac:dyDescent="0.3">
      <c r="A422" s="3">
        <v>421</v>
      </c>
      <c r="B422" s="3" t="s">
        <v>468</v>
      </c>
      <c r="C422" s="3" t="s">
        <v>949</v>
      </c>
      <c r="D422" s="3" t="s">
        <v>1073</v>
      </c>
      <c r="E422" s="9">
        <v>4000</v>
      </c>
      <c r="L422" s="12"/>
    </row>
    <row r="423" spans="1:12" x14ac:dyDescent="0.3">
      <c r="A423" s="3">
        <v>422</v>
      </c>
      <c r="B423" s="3" t="s">
        <v>468</v>
      </c>
      <c r="C423" s="3" t="s">
        <v>951</v>
      </c>
      <c r="D423" s="3" t="s">
        <v>952</v>
      </c>
      <c r="E423" s="9">
        <v>17000</v>
      </c>
      <c r="L423" s="12"/>
    </row>
    <row r="424" spans="1:12" x14ac:dyDescent="0.3">
      <c r="A424" s="3">
        <v>423</v>
      </c>
      <c r="B424" s="3" t="s">
        <v>468</v>
      </c>
      <c r="C424" s="3" t="s">
        <v>953</v>
      </c>
      <c r="D424" s="3" t="s">
        <v>954</v>
      </c>
      <c r="E424" s="9">
        <v>11000</v>
      </c>
      <c r="L424" s="12"/>
    </row>
    <row r="425" spans="1:12" x14ac:dyDescent="0.3">
      <c r="A425" s="3">
        <v>424</v>
      </c>
      <c r="B425" s="3" t="s">
        <v>468</v>
      </c>
      <c r="C425" s="3" t="s">
        <v>955</v>
      </c>
      <c r="D425" s="3" t="s">
        <v>1074</v>
      </c>
      <c r="E425" s="9">
        <v>6000</v>
      </c>
      <c r="L425" s="12"/>
    </row>
    <row r="426" spans="1:12" x14ac:dyDescent="0.3">
      <c r="A426" s="3">
        <v>425</v>
      </c>
      <c r="B426" s="3" t="s">
        <v>468</v>
      </c>
      <c r="C426" s="3" t="s">
        <v>957</v>
      </c>
      <c r="D426" s="3" t="s">
        <v>958</v>
      </c>
      <c r="E426" s="9">
        <v>4500</v>
      </c>
      <c r="L426" s="12"/>
    </row>
    <row r="427" spans="1:12" x14ac:dyDescent="0.3">
      <c r="A427" s="3">
        <v>426</v>
      </c>
      <c r="B427" s="3" t="s">
        <v>468</v>
      </c>
      <c r="C427" s="3" t="s">
        <v>959</v>
      </c>
      <c r="D427" s="3" t="s">
        <v>960</v>
      </c>
      <c r="E427" s="9">
        <v>8500</v>
      </c>
      <c r="L427" s="12"/>
    </row>
    <row r="428" spans="1:12" x14ac:dyDescent="0.3">
      <c r="A428" s="3">
        <v>427</v>
      </c>
      <c r="B428" s="3" t="s">
        <v>468</v>
      </c>
      <c r="C428" s="3" t="s">
        <v>961</v>
      </c>
      <c r="D428" s="3" t="s">
        <v>962</v>
      </c>
      <c r="E428" s="9">
        <v>2000</v>
      </c>
      <c r="L428" s="12"/>
    </row>
    <row r="429" spans="1:12" x14ac:dyDescent="0.3">
      <c r="A429" s="3">
        <v>428</v>
      </c>
      <c r="B429" s="3" t="s">
        <v>473</v>
      </c>
      <c r="C429" s="3" t="s">
        <v>945</v>
      </c>
      <c r="D429" s="3" t="s">
        <v>1097</v>
      </c>
      <c r="E429" s="9">
        <v>15000</v>
      </c>
      <c r="L429" s="12"/>
    </row>
    <row r="430" spans="1:12" x14ac:dyDescent="0.3">
      <c r="A430" s="3">
        <v>429</v>
      </c>
      <c r="B430" s="3" t="s">
        <v>473</v>
      </c>
      <c r="C430" s="3" t="s">
        <v>947</v>
      </c>
      <c r="D430" s="3" t="s">
        <v>948</v>
      </c>
      <c r="E430" s="9">
        <v>5000</v>
      </c>
      <c r="L430" s="12"/>
    </row>
    <row r="431" spans="1:12" x14ac:dyDescent="0.3">
      <c r="A431" s="3">
        <v>430</v>
      </c>
      <c r="B431" s="3" t="s">
        <v>473</v>
      </c>
      <c r="C431" s="3" t="s">
        <v>949</v>
      </c>
      <c r="D431" s="3" t="s">
        <v>1073</v>
      </c>
      <c r="E431" s="9">
        <v>4000</v>
      </c>
      <c r="L431" s="12"/>
    </row>
    <row r="432" spans="1:12" x14ac:dyDescent="0.3">
      <c r="A432" s="3">
        <v>431</v>
      </c>
      <c r="B432" s="3" t="s">
        <v>473</v>
      </c>
      <c r="C432" s="3" t="s">
        <v>951</v>
      </c>
      <c r="D432" s="3" t="s">
        <v>952</v>
      </c>
      <c r="E432" s="9">
        <v>17000</v>
      </c>
      <c r="L432" s="12"/>
    </row>
    <row r="433" spans="1:12" x14ac:dyDescent="0.3">
      <c r="A433" s="3">
        <v>432</v>
      </c>
      <c r="B433" s="3" t="s">
        <v>473</v>
      </c>
      <c r="C433" s="3" t="s">
        <v>953</v>
      </c>
      <c r="D433" s="3" t="s">
        <v>954</v>
      </c>
      <c r="E433" s="9">
        <v>11000</v>
      </c>
      <c r="L433" s="12"/>
    </row>
    <row r="434" spans="1:12" x14ac:dyDescent="0.3">
      <c r="A434" s="3">
        <v>433</v>
      </c>
      <c r="B434" s="3" t="s">
        <v>473</v>
      </c>
      <c r="C434" s="3" t="s">
        <v>955</v>
      </c>
      <c r="D434" s="3" t="s">
        <v>1074</v>
      </c>
      <c r="E434" s="9">
        <v>6000</v>
      </c>
      <c r="L434" s="12"/>
    </row>
    <row r="435" spans="1:12" x14ac:dyDescent="0.3">
      <c r="A435" s="3">
        <v>434</v>
      </c>
      <c r="B435" s="3" t="s">
        <v>473</v>
      </c>
      <c r="C435" s="3" t="s">
        <v>957</v>
      </c>
      <c r="D435" s="3" t="s">
        <v>958</v>
      </c>
      <c r="E435" s="9">
        <v>4500</v>
      </c>
      <c r="L435" s="12"/>
    </row>
    <row r="436" spans="1:12" x14ac:dyDescent="0.3">
      <c r="A436" s="3">
        <v>435</v>
      </c>
      <c r="B436" s="3" t="s">
        <v>473</v>
      </c>
      <c r="C436" s="3" t="s">
        <v>959</v>
      </c>
      <c r="D436" s="3" t="s">
        <v>960</v>
      </c>
      <c r="E436" s="9">
        <v>8500</v>
      </c>
      <c r="L436" s="12"/>
    </row>
    <row r="437" spans="1:12" x14ac:dyDescent="0.3">
      <c r="A437" s="3">
        <v>436</v>
      </c>
      <c r="B437" s="3" t="s">
        <v>473</v>
      </c>
      <c r="C437" s="3" t="s">
        <v>961</v>
      </c>
      <c r="D437" s="3" t="s">
        <v>962</v>
      </c>
      <c r="E437" s="9">
        <v>2000</v>
      </c>
      <c r="L437" s="12"/>
    </row>
    <row r="438" spans="1:12" x14ac:dyDescent="0.3">
      <c r="A438" s="3">
        <v>437</v>
      </c>
      <c r="B438" s="3" t="s">
        <v>478</v>
      </c>
      <c r="C438" s="3" t="s">
        <v>945</v>
      </c>
      <c r="D438" s="3" t="s">
        <v>1097</v>
      </c>
      <c r="E438" s="9">
        <v>15000</v>
      </c>
      <c r="L438" s="12"/>
    </row>
    <row r="439" spans="1:12" x14ac:dyDescent="0.3">
      <c r="A439" s="3">
        <v>438</v>
      </c>
      <c r="B439" s="3" t="s">
        <v>478</v>
      </c>
      <c r="C439" s="3" t="s">
        <v>947</v>
      </c>
      <c r="D439" s="3" t="s">
        <v>948</v>
      </c>
      <c r="E439" s="9">
        <v>5000</v>
      </c>
      <c r="L439" s="12"/>
    </row>
    <row r="440" spans="1:12" x14ac:dyDescent="0.3">
      <c r="A440" s="3">
        <v>439</v>
      </c>
      <c r="B440" s="3" t="s">
        <v>478</v>
      </c>
      <c r="C440" s="3" t="s">
        <v>949</v>
      </c>
      <c r="D440" s="3" t="s">
        <v>1073</v>
      </c>
      <c r="E440" s="9">
        <v>4000</v>
      </c>
      <c r="L440" s="12"/>
    </row>
    <row r="441" spans="1:12" x14ac:dyDescent="0.3">
      <c r="A441" s="3">
        <v>440</v>
      </c>
      <c r="B441" s="3" t="s">
        <v>478</v>
      </c>
      <c r="C441" s="3" t="s">
        <v>951</v>
      </c>
      <c r="D441" s="3" t="s">
        <v>952</v>
      </c>
      <c r="E441" s="9">
        <v>17000</v>
      </c>
      <c r="L441" s="12"/>
    </row>
    <row r="442" spans="1:12" x14ac:dyDescent="0.3">
      <c r="A442" s="3">
        <v>441</v>
      </c>
      <c r="B442" s="3" t="s">
        <v>478</v>
      </c>
      <c r="C442" s="3" t="s">
        <v>953</v>
      </c>
      <c r="D442" s="3" t="s">
        <v>954</v>
      </c>
      <c r="E442" s="9">
        <v>11000</v>
      </c>
      <c r="L442" s="12"/>
    </row>
    <row r="443" spans="1:12" x14ac:dyDescent="0.3">
      <c r="A443" s="3">
        <v>442</v>
      </c>
      <c r="B443" s="3" t="s">
        <v>478</v>
      </c>
      <c r="C443" s="3" t="s">
        <v>955</v>
      </c>
      <c r="D443" s="3" t="s">
        <v>1074</v>
      </c>
      <c r="E443" s="9">
        <v>6000</v>
      </c>
      <c r="L443" s="12"/>
    </row>
    <row r="444" spans="1:12" x14ac:dyDescent="0.3">
      <c r="A444" s="3">
        <v>443</v>
      </c>
      <c r="B444" s="3" t="s">
        <v>478</v>
      </c>
      <c r="C444" s="3" t="s">
        <v>957</v>
      </c>
      <c r="D444" s="3" t="s">
        <v>958</v>
      </c>
      <c r="E444" s="9">
        <v>4500</v>
      </c>
      <c r="L444" s="12"/>
    </row>
    <row r="445" spans="1:12" x14ac:dyDescent="0.3">
      <c r="A445" s="3">
        <v>444</v>
      </c>
      <c r="B445" s="3" t="s">
        <v>478</v>
      </c>
      <c r="C445" s="3" t="s">
        <v>959</v>
      </c>
      <c r="D445" s="3" t="s">
        <v>960</v>
      </c>
      <c r="E445" s="9">
        <v>8500</v>
      </c>
      <c r="L445" s="12"/>
    </row>
    <row r="446" spans="1:12" x14ac:dyDescent="0.3">
      <c r="A446" s="3">
        <v>445</v>
      </c>
      <c r="B446" s="3" t="s">
        <v>478</v>
      </c>
      <c r="C446" s="3" t="s">
        <v>961</v>
      </c>
      <c r="D446" s="3" t="s">
        <v>962</v>
      </c>
      <c r="E446" s="9">
        <v>2000</v>
      </c>
      <c r="L446" s="12"/>
    </row>
    <row r="447" spans="1:12" x14ac:dyDescent="0.3">
      <c r="A447" s="3">
        <v>446</v>
      </c>
      <c r="B447" s="3" t="s">
        <v>483</v>
      </c>
      <c r="C447" s="3" t="s">
        <v>945</v>
      </c>
      <c r="D447" s="3" t="s">
        <v>1097</v>
      </c>
      <c r="E447" s="9">
        <v>15000</v>
      </c>
      <c r="L447" s="12"/>
    </row>
    <row r="448" spans="1:12" x14ac:dyDescent="0.3">
      <c r="A448" s="3">
        <v>447</v>
      </c>
      <c r="B448" s="3" t="s">
        <v>483</v>
      </c>
      <c r="C448" s="3" t="s">
        <v>947</v>
      </c>
      <c r="D448" s="3" t="s">
        <v>948</v>
      </c>
      <c r="E448" s="9">
        <v>5000</v>
      </c>
      <c r="L448" s="12"/>
    </row>
    <row r="449" spans="1:12" x14ac:dyDescent="0.3">
      <c r="A449" s="3">
        <v>448</v>
      </c>
      <c r="B449" s="3" t="s">
        <v>483</v>
      </c>
      <c r="C449" s="3" t="s">
        <v>949</v>
      </c>
      <c r="D449" s="3" t="s">
        <v>1073</v>
      </c>
      <c r="E449" s="9">
        <v>4000</v>
      </c>
      <c r="L449" s="12"/>
    </row>
    <row r="450" spans="1:12" x14ac:dyDescent="0.3">
      <c r="A450" s="3">
        <v>449</v>
      </c>
      <c r="B450" s="3" t="s">
        <v>483</v>
      </c>
      <c r="C450" s="3" t="s">
        <v>951</v>
      </c>
      <c r="D450" s="3" t="s">
        <v>952</v>
      </c>
      <c r="E450" s="9">
        <v>17000</v>
      </c>
      <c r="L450" s="12"/>
    </row>
    <row r="451" spans="1:12" x14ac:dyDescent="0.3">
      <c r="A451" s="3">
        <v>450</v>
      </c>
      <c r="B451" s="3" t="s">
        <v>483</v>
      </c>
      <c r="C451" s="3" t="s">
        <v>953</v>
      </c>
      <c r="D451" s="3" t="s">
        <v>954</v>
      </c>
      <c r="E451" s="9">
        <v>11000</v>
      </c>
      <c r="L451" s="12"/>
    </row>
    <row r="452" spans="1:12" x14ac:dyDescent="0.3">
      <c r="A452" s="3">
        <v>451</v>
      </c>
      <c r="B452" s="3" t="s">
        <v>483</v>
      </c>
      <c r="C452" s="3" t="s">
        <v>955</v>
      </c>
      <c r="D452" s="3" t="s">
        <v>1074</v>
      </c>
      <c r="E452" s="9">
        <v>6000</v>
      </c>
      <c r="L452" s="12"/>
    </row>
    <row r="453" spans="1:12" x14ac:dyDescent="0.3">
      <c r="A453" s="3">
        <v>452</v>
      </c>
      <c r="B453" s="3" t="s">
        <v>483</v>
      </c>
      <c r="C453" s="3" t="s">
        <v>957</v>
      </c>
      <c r="D453" s="3" t="s">
        <v>958</v>
      </c>
      <c r="E453" s="9">
        <v>4500</v>
      </c>
      <c r="L453" s="12"/>
    </row>
    <row r="454" spans="1:12" x14ac:dyDescent="0.3">
      <c r="A454" s="3">
        <v>453</v>
      </c>
      <c r="B454" s="3" t="s">
        <v>483</v>
      </c>
      <c r="C454" s="3" t="s">
        <v>959</v>
      </c>
      <c r="D454" s="3" t="s">
        <v>960</v>
      </c>
      <c r="E454" s="9">
        <v>8500</v>
      </c>
      <c r="L454" s="12"/>
    </row>
    <row r="455" spans="1:12" x14ac:dyDescent="0.3">
      <c r="A455" s="3">
        <v>454</v>
      </c>
      <c r="B455" s="3" t="s">
        <v>483</v>
      </c>
      <c r="C455" s="3" t="s">
        <v>961</v>
      </c>
      <c r="D455" s="3" t="s">
        <v>962</v>
      </c>
      <c r="E455" s="9">
        <v>2000</v>
      </c>
      <c r="L455" s="12"/>
    </row>
    <row r="456" spans="1:12" x14ac:dyDescent="0.3">
      <c r="A456" s="3">
        <v>455</v>
      </c>
      <c r="B456" s="3" t="s">
        <v>488</v>
      </c>
      <c r="C456" s="3" t="s">
        <v>992</v>
      </c>
      <c r="D456" s="3" t="s">
        <v>993</v>
      </c>
      <c r="E456" s="9">
        <v>5000</v>
      </c>
      <c r="L456" s="12"/>
    </row>
    <row r="457" spans="1:12" x14ac:dyDescent="0.3">
      <c r="A457" s="3">
        <v>456</v>
      </c>
      <c r="B457" s="3" t="s">
        <v>488</v>
      </c>
      <c r="C457" s="3" t="s">
        <v>994</v>
      </c>
      <c r="D457" s="3" t="s">
        <v>995</v>
      </c>
      <c r="E457" s="9">
        <v>6000</v>
      </c>
      <c r="L457" s="12"/>
    </row>
    <row r="458" spans="1:12" x14ac:dyDescent="0.3">
      <c r="A458" s="3">
        <v>457</v>
      </c>
      <c r="B458" s="3" t="s">
        <v>488</v>
      </c>
      <c r="C458" s="3" t="s">
        <v>996</v>
      </c>
      <c r="D458" s="3" t="s">
        <v>997</v>
      </c>
      <c r="E458" s="9">
        <v>5500</v>
      </c>
      <c r="L458" s="12"/>
    </row>
    <row r="459" spans="1:12" x14ac:dyDescent="0.3">
      <c r="A459" s="3">
        <v>458</v>
      </c>
      <c r="B459" s="3" t="s">
        <v>488</v>
      </c>
      <c r="C459" s="3" t="s">
        <v>998</v>
      </c>
      <c r="D459" s="3" t="s">
        <v>999</v>
      </c>
      <c r="E459" s="9">
        <v>6000</v>
      </c>
      <c r="L459" s="12"/>
    </row>
    <row r="460" spans="1:12" x14ac:dyDescent="0.3">
      <c r="A460" s="3">
        <v>459</v>
      </c>
      <c r="B460" s="3" t="s">
        <v>488</v>
      </c>
      <c r="C460" s="3" t="s">
        <v>1000</v>
      </c>
      <c r="D460" s="3" t="s">
        <v>1001</v>
      </c>
      <c r="E460" s="9">
        <v>4500</v>
      </c>
      <c r="L460" s="12"/>
    </row>
    <row r="461" spans="1:12" x14ac:dyDescent="0.3">
      <c r="A461" s="3">
        <v>460</v>
      </c>
      <c r="B461" s="3" t="s">
        <v>488</v>
      </c>
      <c r="C461" s="3" t="s">
        <v>1002</v>
      </c>
      <c r="D461" s="3" t="s">
        <v>1003</v>
      </c>
      <c r="E461" s="9">
        <v>4000</v>
      </c>
      <c r="L461" s="12"/>
    </row>
    <row r="462" spans="1:12" x14ac:dyDescent="0.3">
      <c r="A462" s="3">
        <v>461</v>
      </c>
      <c r="B462" s="3" t="s">
        <v>488</v>
      </c>
      <c r="C462" s="3" t="s">
        <v>1004</v>
      </c>
      <c r="D462" s="3" t="s">
        <v>1005</v>
      </c>
      <c r="E462" s="9">
        <v>3000</v>
      </c>
      <c r="L462" s="12"/>
    </row>
    <row r="463" spans="1:12" x14ac:dyDescent="0.3">
      <c r="A463" s="3">
        <v>462</v>
      </c>
      <c r="B463" s="3" t="s">
        <v>488</v>
      </c>
      <c r="C463" s="3" t="s">
        <v>1006</v>
      </c>
      <c r="D463" s="3" t="s">
        <v>1007</v>
      </c>
      <c r="E463" s="9">
        <v>2500</v>
      </c>
      <c r="L463" s="12"/>
    </row>
    <row r="464" spans="1:12" x14ac:dyDescent="0.3">
      <c r="A464" s="3">
        <v>463</v>
      </c>
      <c r="B464" s="3" t="s">
        <v>488</v>
      </c>
      <c r="C464" s="3" t="s">
        <v>1008</v>
      </c>
      <c r="D464" s="3" t="s">
        <v>1009</v>
      </c>
      <c r="E464" s="9">
        <v>8000</v>
      </c>
      <c r="L464" s="12"/>
    </row>
    <row r="465" spans="1:12" x14ac:dyDescent="0.3">
      <c r="A465" s="3">
        <v>464</v>
      </c>
      <c r="B465" s="3" t="s">
        <v>488</v>
      </c>
      <c r="C465" s="3" t="s">
        <v>1056</v>
      </c>
      <c r="D465" s="3" t="s">
        <v>1057</v>
      </c>
      <c r="E465" s="9">
        <v>9000</v>
      </c>
      <c r="L465" s="12"/>
    </row>
    <row r="466" spans="1:12" x14ac:dyDescent="0.3">
      <c r="A466" s="3">
        <v>465</v>
      </c>
      <c r="B466" s="3" t="s">
        <v>488</v>
      </c>
      <c r="C466" s="3" t="s">
        <v>1010</v>
      </c>
      <c r="D466" s="3" t="s">
        <v>1011</v>
      </c>
      <c r="E466" s="9">
        <v>8000</v>
      </c>
      <c r="L466" s="12"/>
    </row>
    <row r="467" spans="1:12" x14ac:dyDescent="0.3">
      <c r="A467" s="3">
        <v>466</v>
      </c>
      <c r="B467" s="3" t="s">
        <v>488</v>
      </c>
      <c r="C467" s="3" t="s">
        <v>1012</v>
      </c>
      <c r="D467" s="3" t="s">
        <v>1013</v>
      </c>
      <c r="E467" s="9">
        <v>6000</v>
      </c>
      <c r="L467" s="12"/>
    </row>
    <row r="468" spans="1:12" x14ac:dyDescent="0.3">
      <c r="A468" s="3">
        <v>467</v>
      </c>
      <c r="B468" s="3" t="s">
        <v>493</v>
      </c>
      <c r="C468" s="3" t="s">
        <v>992</v>
      </c>
      <c r="D468" s="3" t="s">
        <v>993</v>
      </c>
      <c r="E468" s="9">
        <v>5000</v>
      </c>
      <c r="L468" s="12"/>
    </row>
    <row r="469" spans="1:12" x14ac:dyDescent="0.3">
      <c r="A469" s="3">
        <v>468</v>
      </c>
      <c r="B469" s="3" t="s">
        <v>493</v>
      </c>
      <c r="C469" s="3" t="s">
        <v>994</v>
      </c>
      <c r="D469" s="3" t="s">
        <v>995</v>
      </c>
      <c r="E469" s="9">
        <v>6000</v>
      </c>
      <c r="L469" s="12"/>
    </row>
    <row r="470" spans="1:12" x14ac:dyDescent="0.3">
      <c r="A470" s="3">
        <v>469</v>
      </c>
      <c r="B470" s="3" t="s">
        <v>493</v>
      </c>
      <c r="C470" s="3" t="s">
        <v>996</v>
      </c>
      <c r="D470" s="3" t="s">
        <v>997</v>
      </c>
      <c r="E470" s="9">
        <v>5500</v>
      </c>
      <c r="L470" s="12"/>
    </row>
    <row r="471" spans="1:12" x14ac:dyDescent="0.3">
      <c r="A471" s="3">
        <v>470</v>
      </c>
      <c r="B471" s="3" t="s">
        <v>493</v>
      </c>
      <c r="C471" s="3" t="s">
        <v>998</v>
      </c>
      <c r="D471" s="3" t="s">
        <v>999</v>
      </c>
      <c r="E471" s="9">
        <v>6000</v>
      </c>
      <c r="L471" s="12"/>
    </row>
    <row r="472" spans="1:12" x14ac:dyDescent="0.3">
      <c r="A472" s="3">
        <v>471</v>
      </c>
      <c r="B472" s="3" t="s">
        <v>493</v>
      </c>
      <c r="C472" s="3" t="s">
        <v>1000</v>
      </c>
      <c r="D472" s="3" t="s">
        <v>1001</v>
      </c>
      <c r="E472" s="9">
        <v>4500</v>
      </c>
      <c r="L472" s="12"/>
    </row>
    <row r="473" spans="1:12" x14ac:dyDescent="0.3">
      <c r="A473" s="3">
        <v>472</v>
      </c>
      <c r="B473" s="3" t="s">
        <v>493</v>
      </c>
      <c r="C473" s="3" t="s">
        <v>1002</v>
      </c>
      <c r="D473" s="3" t="s">
        <v>1003</v>
      </c>
      <c r="E473" s="9">
        <v>4000</v>
      </c>
      <c r="L473" s="12"/>
    </row>
    <row r="474" spans="1:12" x14ac:dyDescent="0.3">
      <c r="A474" s="3">
        <v>473</v>
      </c>
      <c r="B474" s="3" t="s">
        <v>493</v>
      </c>
      <c r="C474" s="3" t="s">
        <v>1004</v>
      </c>
      <c r="D474" s="3" t="s">
        <v>1005</v>
      </c>
      <c r="E474" s="9">
        <v>3000</v>
      </c>
      <c r="L474" s="12"/>
    </row>
    <row r="475" spans="1:12" x14ac:dyDescent="0.3">
      <c r="A475" s="3">
        <v>474</v>
      </c>
      <c r="B475" s="3" t="s">
        <v>493</v>
      </c>
      <c r="C475" s="3" t="s">
        <v>1006</v>
      </c>
      <c r="D475" s="3" t="s">
        <v>1007</v>
      </c>
      <c r="E475" s="9">
        <v>2500</v>
      </c>
      <c r="L475" s="12"/>
    </row>
    <row r="476" spans="1:12" x14ac:dyDescent="0.3">
      <c r="A476" s="3">
        <v>475</v>
      </c>
      <c r="B476" s="3" t="s">
        <v>493</v>
      </c>
      <c r="C476" s="3" t="s">
        <v>1008</v>
      </c>
      <c r="D476" s="3" t="s">
        <v>1009</v>
      </c>
      <c r="E476" s="9">
        <v>8000</v>
      </c>
      <c r="L476" s="12"/>
    </row>
    <row r="477" spans="1:12" x14ac:dyDescent="0.3">
      <c r="A477" s="3">
        <v>476</v>
      </c>
      <c r="B477" s="3" t="s">
        <v>493</v>
      </c>
      <c r="C477" s="3" t="s">
        <v>1056</v>
      </c>
      <c r="D477" s="3" t="s">
        <v>1057</v>
      </c>
      <c r="E477" s="9">
        <v>9000</v>
      </c>
      <c r="L477" s="12"/>
    </row>
    <row r="478" spans="1:12" x14ac:dyDescent="0.3">
      <c r="A478" s="3">
        <v>477</v>
      </c>
      <c r="B478" s="3" t="s">
        <v>493</v>
      </c>
      <c r="C478" s="3" t="s">
        <v>1010</v>
      </c>
      <c r="D478" s="3" t="s">
        <v>1011</v>
      </c>
      <c r="E478" s="9">
        <v>8000</v>
      </c>
      <c r="L478" s="12"/>
    </row>
    <row r="479" spans="1:12" x14ac:dyDescent="0.3">
      <c r="A479" s="3">
        <v>478</v>
      </c>
      <c r="B479" s="3" t="s">
        <v>493</v>
      </c>
      <c r="C479" s="3" t="s">
        <v>1012</v>
      </c>
      <c r="D479" s="3" t="s">
        <v>1013</v>
      </c>
      <c r="E479" s="9">
        <v>6000</v>
      </c>
      <c r="L479" s="12"/>
    </row>
    <row r="480" spans="1:12" x14ac:dyDescent="0.3">
      <c r="A480" s="3">
        <v>479</v>
      </c>
      <c r="B480" s="3" t="s">
        <v>498</v>
      </c>
      <c r="C480" s="3" t="s">
        <v>945</v>
      </c>
      <c r="D480" s="3" t="s">
        <v>1097</v>
      </c>
      <c r="E480" s="9">
        <v>15000</v>
      </c>
      <c r="L480" s="12"/>
    </row>
    <row r="481" spans="1:12" x14ac:dyDescent="0.3">
      <c r="A481" s="3">
        <v>480</v>
      </c>
      <c r="B481" s="3" t="s">
        <v>498</v>
      </c>
      <c r="C481" s="3" t="s">
        <v>947</v>
      </c>
      <c r="D481" s="3" t="s">
        <v>948</v>
      </c>
      <c r="E481" s="9">
        <v>5000</v>
      </c>
      <c r="L481" s="12"/>
    </row>
    <row r="482" spans="1:12" x14ac:dyDescent="0.3">
      <c r="A482" s="3">
        <v>481</v>
      </c>
      <c r="B482" s="3" t="s">
        <v>498</v>
      </c>
      <c r="C482" s="3" t="s">
        <v>949</v>
      </c>
      <c r="D482" s="3" t="s">
        <v>1073</v>
      </c>
      <c r="E482" s="9">
        <v>4000</v>
      </c>
      <c r="L482" s="12"/>
    </row>
    <row r="483" spans="1:12" x14ac:dyDescent="0.3">
      <c r="A483" s="3">
        <v>482</v>
      </c>
      <c r="B483" s="3" t="s">
        <v>498</v>
      </c>
      <c r="C483" s="3" t="s">
        <v>951</v>
      </c>
      <c r="D483" s="3" t="s">
        <v>952</v>
      </c>
      <c r="E483" s="9">
        <v>17000</v>
      </c>
      <c r="L483" s="12"/>
    </row>
    <row r="484" spans="1:12" x14ac:dyDescent="0.3">
      <c r="A484" s="3">
        <v>483</v>
      </c>
      <c r="B484" s="3" t="s">
        <v>498</v>
      </c>
      <c r="C484" s="3" t="s">
        <v>953</v>
      </c>
      <c r="D484" s="3" t="s">
        <v>954</v>
      </c>
      <c r="E484" s="9">
        <v>11000</v>
      </c>
      <c r="L484" s="12"/>
    </row>
    <row r="485" spans="1:12" x14ac:dyDescent="0.3">
      <c r="A485" s="3">
        <v>484</v>
      </c>
      <c r="B485" s="3" t="s">
        <v>498</v>
      </c>
      <c r="C485" s="3" t="s">
        <v>955</v>
      </c>
      <c r="D485" s="3" t="s">
        <v>1074</v>
      </c>
      <c r="E485" s="9">
        <v>6000</v>
      </c>
      <c r="L485" s="12"/>
    </row>
    <row r="486" spans="1:12" x14ac:dyDescent="0.3">
      <c r="A486" s="3">
        <v>485</v>
      </c>
      <c r="B486" s="3" t="s">
        <v>498</v>
      </c>
      <c r="C486" s="3" t="s">
        <v>957</v>
      </c>
      <c r="D486" s="3" t="s">
        <v>958</v>
      </c>
      <c r="E486" s="9">
        <v>4500</v>
      </c>
      <c r="L486" s="12"/>
    </row>
    <row r="487" spans="1:12" x14ac:dyDescent="0.3">
      <c r="A487" s="3">
        <v>486</v>
      </c>
      <c r="B487" s="3" t="s">
        <v>498</v>
      </c>
      <c r="C487" s="3" t="s">
        <v>959</v>
      </c>
      <c r="D487" s="3" t="s">
        <v>960</v>
      </c>
      <c r="E487" s="9">
        <v>8500</v>
      </c>
      <c r="L487" s="12"/>
    </row>
    <row r="488" spans="1:12" x14ac:dyDescent="0.3">
      <c r="A488" s="3">
        <v>487</v>
      </c>
      <c r="B488" s="3" t="s">
        <v>498</v>
      </c>
      <c r="C488" s="3" t="s">
        <v>961</v>
      </c>
      <c r="D488" s="3" t="s">
        <v>962</v>
      </c>
      <c r="E488" s="9">
        <v>2000</v>
      </c>
      <c r="L488" s="12"/>
    </row>
    <row r="489" spans="1:12" x14ac:dyDescent="0.3">
      <c r="A489" s="3">
        <v>488</v>
      </c>
      <c r="B489" s="3" t="s">
        <v>503</v>
      </c>
      <c r="C489" s="3" t="s">
        <v>1103</v>
      </c>
      <c r="D489" s="3" t="s">
        <v>1104</v>
      </c>
      <c r="E489" s="9">
        <v>1500</v>
      </c>
      <c r="L489" s="12"/>
    </row>
    <row r="490" spans="1:12" x14ac:dyDescent="0.3">
      <c r="A490" s="3">
        <v>489</v>
      </c>
      <c r="B490" s="3" t="s">
        <v>503</v>
      </c>
      <c r="C490" s="3" t="s">
        <v>1105</v>
      </c>
      <c r="D490" s="3" t="s">
        <v>1106</v>
      </c>
      <c r="E490" s="9">
        <v>2000</v>
      </c>
      <c r="L490" s="12"/>
    </row>
    <row r="491" spans="1:12" x14ac:dyDescent="0.3">
      <c r="A491" s="3">
        <v>490</v>
      </c>
      <c r="B491" s="3" t="s">
        <v>503</v>
      </c>
      <c r="C491" s="3" t="s">
        <v>1107</v>
      </c>
      <c r="D491" s="3" t="s">
        <v>1108</v>
      </c>
      <c r="E491" s="9">
        <v>1500</v>
      </c>
      <c r="L491" s="12"/>
    </row>
    <row r="492" spans="1:12" x14ac:dyDescent="0.3">
      <c r="A492" s="3">
        <v>491</v>
      </c>
      <c r="B492" s="3" t="s">
        <v>503</v>
      </c>
      <c r="C492" s="3" t="s">
        <v>1109</v>
      </c>
      <c r="D492" s="3" t="s">
        <v>1110</v>
      </c>
      <c r="E492" s="9">
        <v>2000</v>
      </c>
      <c r="L492" s="12"/>
    </row>
    <row r="493" spans="1:12" x14ac:dyDescent="0.3">
      <c r="A493" s="3">
        <v>492</v>
      </c>
      <c r="B493" s="3" t="s">
        <v>503</v>
      </c>
      <c r="C493" s="3" t="s">
        <v>1111</v>
      </c>
      <c r="D493" s="3" t="s">
        <v>1112</v>
      </c>
      <c r="E493" s="9">
        <v>2000</v>
      </c>
      <c r="L493" s="12"/>
    </row>
    <row r="494" spans="1:12" x14ac:dyDescent="0.3">
      <c r="A494" s="3">
        <v>493</v>
      </c>
      <c r="B494" s="3" t="s">
        <v>503</v>
      </c>
      <c r="C494" s="3" t="s">
        <v>1113</v>
      </c>
      <c r="D494" s="3" t="s">
        <v>1114</v>
      </c>
      <c r="E494" s="9">
        <v>2500</v>
      </c>
      <c r="L494" s="12"/>
    </row>
    <row r="495" spans="1:12" x14ac:dyDescent="0.3">
      <c r="A495" s="3">
        <v>494</v>
      </c>
      <c r="B495" s="3" t="s">
        <v>503</v>
      </c>
      <c r="C495" s="3" t="s">
        <v>1115</v>
      </c>
      <c r="D495" s="3" t="s">
        <v>1116</v>
      </c>
      <c r="E495" s="9">
        <v>2000</v>
      </c>
      <c r="L495" s="12"/>
    </row>
    <row r="496" spans="1:12" x14ac:dyDescent="0.3">
      <c r="A496" s="3">
        <v>495</v>
      </c>
      <c r="B496" s="3" t="s">
        <v>503</v>
      </c>
      <c r="C496" s="3" t="s">
        <v>1117</v>
      </c>
      <c r="D496" s="3" t="s">
        <v>1118</v>
      </c>
      <c r="E496" s="9">
        <v>2500</v>
      </c>
      <c r="L496" s="12"/>
    </row>
    <row r="497" spans="1:12" x14ac:dyDescent="0.3">
      <c r="A497" s="3">
        <v>496</v>
      </c>
      <c r="B497" s="3" t="s">
        <v>503</v>
      </c>
      <c r="C497" s="3" t="s">
        <v>1119</v>
      </c>
      <c r="D497" s="3" t="s">
        <v>1120</v>
      </c>
      <c r="E497" s="9">
        <v>3000</v>
      </c>
      <c r="L497" s="12"/>
    </row>
    <row r="498" spans="1:12" x14ac:dyDescent="0.3">
      <c r="A498" s="3">
        <v>497</v>
      </c>
      <c r="B498" s="3" t="s">
        <v>508</v>
      </c>
      <c r="C498" s="3" t="s">
        <v>992</v>
      </c>
      <c r="D498" s="3" t="s">
        <v>993</v>
      </c>
      <c r="E498" s="9">
        <v>5000</v>
      </c>
      <c r="L498" s="12"/>
    </row>
    <row r="499" spans="1:12" x14ac:dyDescent="0.3">
      <c r="A499" s="3">
        <v>498</v>
      </c>
      <c r="B499" s="3" t="s">
        <v>508</v>
      </c>
      <c r="C499" s="3" t="s">
        <v>994</v>
      </c>
      <c r="D499" s="3" t="s">
        <v>995</v>
      </c>
      <c r="E499" s="9">
        <v>6000</v>
      </c>
      <c r="L499" s="12"/>
    </row>
    <row r="500" spans="1:12" x14ac:dyDescent="0.3">
      <c r="A500" s="3">
        <v>499</v>
      </c>
      <c r="B500" s="3" t="s">
        <v>508</v>
      </c>
      <c r="C500" s="3" t="s">
        <v>996</v>
      </c>
      <c r="D500" s="3" t="s">
        <v>997</v>
      </c>
      <c r="E500" s="9">
        <v>5500</v>
      </c>
      <c r="L500" s="12"/>
    </row>
    <row r="501" spans="1:12" x14ac:dyDescent="0.3">
      <c r="A501" s="3">
        <v>500</v>
      </c>
      <c r="B501" s="3" t="s">
        <v>508</v>
      </c>
      <c r="C501" s="3" t="s">
        <v>998</v>
      </c>
      <c r="D501" s="3" t="s">
        <v>999</v>
      </c>
      <c r="E501" s="9">
        <v>6000</v>
      </c>
      <c r="L501" s="12"/>
    </row>
    <row r="502" spans="1:12" x14ac:dyDescent="0.3">
      <c r="A502" s="3">
        <v>501</v>
      </c>
      <c r="B502" s="3" t="s">
        <v>508</v>
      </c>
      <c r="C502" s="3" t="s">
        <v>1000</v>
      </c>
      <c r="D502" s="3" t="s">
        <v>1001</v>
      </c>
      <c r="E502" s="9">
        <v>4500</v>
      </c>
      <c r="L502" s="12"/>
    </row>
    <row r="503" spans="1:12" x14ac:dyDescent="0.3">
      <c r="A503" s="3">
        <v>502</v>
      </c>
      <c r="B503" s="3" t="s">
        <v>508</v>
      </c>
      <c r="C503" s="3" t="s">
        <v>1002</v>
      </c>
      <c r="D503" s="3" t="s">
        <v>1003</v>
      </c>
      <c r="E503" s="9">
        <v>4000</v>
      </c>
      <c r="L503" s="12"/>
    </row>
    <row r="504" spans="1:12" x14ac:dyDescent="0.3">
      <c r="A504" s="3">
        <v>503</v>
      </c>
      <c r="B504" s="3" t="s">
        <v>508</v>
      </c>
      <c r="C504" s="3" t="s">
        <v>1004</v>
      </c>
      <c r="D504" s="3" t="s">
        <v>1005</v>
      </c>
      <c r="E504" s="9">
        <v>3000</v>
      </c>
      <c r="L504" s="12"/>
    </row>
    <row r="505" spans="1:12" x14ac:dyDescent="0.3">
      <c r="A505" s="3">
        <v>504</v>
      </c>
      <c r="B505" s="3" t="s">
        <v>508</v>
      </c>
      <c r="C505" s="3" t="s">
        <v>1006</v>
      </c>
      <c r="D505" s="3" t="s">
        <v>1007</v>
      </c>
      <c r="E505" s="9">
        <v>2500</v>
      </c>
      <c r="L505" s="12"/>
    </row>
    <row r="506" spans="1:12" x14ac:dyDescent="0.3">
      <c r="A506" s="3">
        <v>505</v>
      </c>
      <c r="B506" s="3" t="s">
        <v>508</v>
      </c>
      <c r="C506" s="3" t="s">
        <v>1008</v>
      </c>
      <c r="D506" s="3" t="s">
        <v>1009</v>
      </c>
      <c r="E506" s="9">
        <v>8000</v>
      </c>
      <c r="L506" s="12"/>
    </row>
    <row r="507" spans="1:12" x14ac:dyDescent="0.3">
      <c r="A507" s="3">
        <v>506</v>
      </c>
      <c r="B507" s="3" t="s">
        <v>508</v>
      </c>
      <c r="C507" s="3" t="s">
        <v>1056</v>
      </c>
      <c r="D507" s="3" t="s">
        <v>1057</v>
      </c>
      <c r="E507" s="9">
        <v>9000</v>
      </c>
      <c r="L507" s="12"/>
    </row>
    <row r="508" spans="1:12" x14ac:dyDescent="0.3">
      <c r="A508" s="3">
        <v>507</v>
      </c>
      <c r="B508" s="3" t="s">
        <v>508</v>
      </c>
      <c r="C508" s="3" t="s">
        <v>1010</v>
      </c>
      <c r="D508" s="3" t="s">
        <v>1011</v>
      </c>
      <c r="E508" s="9">
        <v>8000</v>
      </c>
      <c r="L508" s="12"/>
    </row>
    <row r="509" spans="1:12" x14ac:dyDescent="0.3">
      <c r="A509" s="3">
        <v>508</v>
      </c>
      <c r="B509" s="3" t="s">
        <v>508</v>
      </c>
      <c r="C509" s="3" t="s">
        <v>1012</v>
      </c>
      <c r="D509" s="3" t="s">
        <v>1013</v>
      </c>
      <c r="E509" s="9">
        <v>6000</v>
      </c>
      <c r="L509" s="12"/>
    </row>
    <row r="510" spans="1:12" x14ac:dyDescent="0.3">
      <c r="A510" s="3">
        <v>509</v>
      </c>
      <c r="B510" s="3" t="s">
        <v>513</v>
      </c>
      <c r="C510" s="3" t="s">
        <v>1027</v>
      </c>
      <c r="D510" s="3" t="s">
        <v>1028</v>
      </c>
      <c r="E510" s="9">
        <v>4000</v>
      </c>
      <c r="L510" s="12"/>
    </row>
    <row r="511" spans="1:12" x14ac:dyDescent="0.3">
      <c r="A511" s="3">
        <v>510</v>
      </c>
      <c r="B511" s="3" t="s">
        <v>513</v>
      </c>
      <c r="C511" s="3" t="s">
        <v>1029</v>
      </c>
      <c r="D511" s="3" t="s">
        <v>1030</v>
      </c>
      <c r="E511" s="9">
        <v>5000</v>
      </c>
      <c r="L511" s="12"/>
    </row>
    <row r="512" spans="1:12" x14ac:dyDescent="0.3">
      <c r="A512" s="3">
        <v>511</v>
      </c>
      <c r="B512" s="3" t="s">
        <v>513</v>
      </c>
      <c r="C512" s="3" t="s">
        <v>1031</v>
      </c>
      <c r="D512" s="3" t="s">
        <v>1032</v>
      </c>
      <c r="E512" s="9">
        <v>5000</v>
      </c>
      <c r="L512" s="12"/>
    </row>
    <row r="513" spans="1:12" x14ac:dyDescent="0.3">
      <c r="A513" s="3">
        <v>512</v>
      </c>
      <c r="B513" s="3" t="s">
        <v>513</v>
      </c>
      <c r="C513" s="3" t="s">
        <v>1033</v>
      </c>
      <c r="D513" s="3" t="s">
        <v>1034</v>
      </c>
      <c r="E513" s="9">
        <v>6000</v>
      </c>
      <c r="L513" s="12"/>
    </row>
    <row r="514" spans="1:12" x14ac:dyDescent="0.3">
      <c r="A514" s="3">
        <v>513</v>
      </c>
      <c r="B514" s="3" t="s">
        <v>513</v>
      </c>
      <c r="C514" s="3" t="s">
        <v>1035</v>
      </c>
      <c r="D514" s="3" t="s">
        <v>1036</v>
      </c>
      <c r="E514" s="9">
        <v>5000</v>
      </c>
      <c r="L514" s="12"/>
    </row>
    <row r="515" spans="1:12" x14ac:dyDescent="0.3">
      <c r="A515" s="3">
        <v>514</v>
      </c>
      <c r="B515" s="3" t="s">
        <v>513</v>
      </c>
      <c r="C515" s="3" t="s">
        <v>1037</v>
      </c>
      <c r="D515" s="3" t="s">
        <v>1038</v>
      </c>
      <c r="E515" s="9">
        <v>2000</v>
      </c>
      <c r="L515" s="12"/>
    </row>
    <row r="516" spans="1:12" x14ac:dyDescent="0.3">
      <c r="A516" s="3">
        <v>515</v>
      </c>
      <c r="B516" s="3" t="s">
        <v>513</v>
      </c>
      <c r="C516" s="3" t="s">
        <v>1064</v>
      </c>
      <c r="D516" s="3" t="s">
        <v>1065</v>
      </c>
      <c r="E516" s="9">
        <v>4000</v>
      </c>
      <c r="L516" s="12"/>
    </row>
    <row r="517" spans="1:12" x14ac:dyDescent="0.3">
      <c r="A517" s="3">
        <v>516</v>
      </c>
      <c r="B517" s="3" t="s">
        <v>513</v>
      </c>
      <c r="C517" s="3" t="s">
        <v>1066</v>
      </c>
      <c r="D517" s="3" t="s">
        <v>1067</v>
      </c>
      <c r="E517" s="9">
        <v>6500</v>
      </c>
      <c r="L517" s="12"/>
    </row>
    <row r="518" spans="1:12" x14ac:dyDescent="0.3">
      <c r="A518" s="3">
        <v>517</v>
      </c>
      <c r="B518" s="3" t="s">
        <v>513</v>
      </c>
      <c r="C518" s="3" t="s">
        <v>1068</v>
      </c>
      <c r="D518" s="3" t="s">
        <v>1069</v>
      </c>
      <c r="E518" s="9">
        <v>8000</v>
      </c>
      <c r="L518" s="12"/>
    </row>
    <row r="519" spans="1:12" x14ac:dyDescent="0.3">
      <c r="A519" s="3">
        <v>518</v>
      </c>
      <c r="B519" s="3" t="s">
        <v>518</v>
      </c>
      <c r="C519" s="3" t="s">
        <v>945</v>
      </c>
      <c r="D519" s="3" t="s">
        <v>1097</v>
      </c>
      <c r="E519" s="9">
        <v>15000</v>
      </c>
      <c r="L519" s="12"/>
    </row>
    <row r="520" spans="1:12" x14ac:dyDescent="0.3">
      <c r="A520" s="3">
        <v>519</v>
      </c>
      <c r="B520" s="3" t="s">
        <v>518</v>
      </c>
      <c r="C520" s="3" t="s">
        <v>947</v>
      </c>
      <c r="D520" s="3" t="s">
        <v>948</v>
      </c>
      <c r="E520" s="9">
        <v>5000</v>
      </c>
      <c r="L520" s="12"/>
    </row>
    <row r="521" spans="1:12" x14ac:dyDescent="0.3">
      <c r="A521" s="3">
        <v>520</v>
      </c>
      <c r="B521" s="3" t="s">
        <v>518</v>
      </c>
      <c r="C521" s="3" t="s">
        <v>949</v>
      </c>
      <c r="D521" s="3" t="s">
        <v>1073</v>
      </c>
      <c r="E521" s="9">
        <v>4000</v>
      </c>
      <c r="L521" s="12"/>
    </row>
    <row r="522" spans="1:12" x14ac:dyDescent="0.3">
      <c r="A522" s="3">
        <v>521</v>
      </c>
      <c r="B522" s="3" t="s">
        <v>518</v>
      </c>
      <c r="C522" s="3" t="s">
        <v>951</v>
      </c>
      <c r="D522" s="3" t="s">
        <v>952</v>
      </c>
      <c r="E522" s="9">
        <v>17000</v>
      </c>
      <c r="L522" s="12"/>
    </row>
    <row r="523" spans="1:12" x14ac:dyDescent="0.3">
      <c r="A523" s="3">
        <v>522</v>
      </c>
      <c r="B523" s="3" t="s">
        <v>518</v>
      </c>
      <c r="C523" s="3" t="s">
        <v>953</v>
      </c>
      <c r="D523" s="3" t="s">
        <v>954</v>
      </c>
      <c r="E523" s="9">
        <v>11000</v>
      </c>
      <c r="L523" s="12"/>
    </row>
    <row r="524" spans="1:12" x14ac:dyDescent="0.3">
      <c r="A524" s="3">
        <v>523</v>
      </c>
      <c r="B524" s="3" t="s">
        <v>518</v>
      </c>
      <c r="C524" s="3" t="s">
        <v>955</v>
      </c>
      <c r="D524" s="3" t="s">
        <v>1074</v>
      </c>
      <c r="E524" s="9">
        <v>6000</v>
      </c>
      <c r="L524" s="12"/>
    </row>
    <row r="525" spans="1:12" x14ac:dyDescent="0.3">
      <c r="A525" s="3">
        <v>524</v>
      </c>
      <c r="B525" s="3" t="s">
        <v>518</v>
      </c>
      <c r="C525" s="3" t="s">
        <v>957</v>
      </c>
      <c r="D525" s="3" t="s">
        <v>958</v>
      </c>
      <c r="E525" s="9">
        <v>4500</v>
      </c>
      <c r="L525" s="12"/>
    </row>
    <row r="526" spans="1:12" x14ac:dyDescent="0.3">
      <c r="A526" s="3">
        <v>525</v>
      </c>
      <c r="B526" s="3" t="s">
        <v>518</v>
      </c>
      <c r="C526" s="3" t="s">
        <v>959</v>
      </c>
      <c r="D526" s="3" t="s">
        <v>960</v>
      </c>
      <c r="E526" s="9">
        <v>8500</v>
      </c>
      <c r="L526" s="12"/>
    </row>
    <row r="527" spans="1:12" x14ac:dyDescent="0.3">
      <c r="A527" s="3">
        <v>526</v>
      </c>
      <c r="B527" s="3" t="s">
        <v>518</v>
      </c>
      <c r="C527" s="3" t="s">
        <v>961</v>
      </c>
      <c r="D527" s="3" t="s">
        <v>962</v>
      </c>
      <c r="E527" s="9">
        <v>2000</v>
      </c>
      <c r="L527" s="12"/>
    </row>
    <row r="528" spans="1:12" x14ac:dyDescent="0.3">
      <c r="A528" s="3">
        <v>527</v>
      </c>
      <c r="B528" s="3" t="s">
        <v>523</v>
      </c>
      <c r="C528" s="3" t="s">
        <v>966</v>
      </c>
      <c r="D528" s="3" t="s">
        <v>967</v>
      </c>
      <c r="E528" s="9">
        <v>18000</v>
      </c>
      <c r="L528" s="12"/>
    </row>
    <row r="529" spans="1:12" x14ac:dyDescent="0.3">
      <c r="A529" s="3">
        <v>528</v>
      </c>
      <c r="B529" s="3" t="s">
        <v>523</v>
      </c>
      <c r="C529" s="3" t="s">
        <v>968</v>
      </c>
      <c r="D529" s="3" t="s">
        <v>969</v>
      </c>
      <c r="E529" s="9">
        <v>4500</v>
      </c>
      <c r="L529" s="12"/>
    </row>
    <row r="530" spans="1:12" x14ac:dyDescent="0.3">
      <c r="A530" s="3">
        <v>529</v>
      </c>
      <c r="B530" s="3" t="s">
        <v>523</v>
      </c>
      <c r="C530" s="3" t="s">
        <v>970</v>
      </c>
      <c r="D530" s="3" t="s">
        <v>971</v>
      </c>
      <c r="E530" s="9">
        <v>16000</v>
      </c>
      <c r="L530" s="12"/>
    </row>
    <row r="531" spans="1:12" x14ac:dyDescent="0.3">
      <c r="A531" s="3">
        <v>530</v>
      </c>
      <c r="B531" s="3" t="s">
        <v>523</v>
      </c>
      <c r="C531" s="3" t="s">
        <v>972</v>
      </c>
      <c r="D531" s="3" t="s">
        <v>973</v>
      </c>
      <c r="E531" s="9">
        <v>9000</v>
      </c>
      <c r="L531" s="12"/>
    </row>
    <row r="532" spans="1:12" x14ac:dyDescent="0.3">
      <c r="A532" s="3">
        <v>531</v>
      </c>
      <c r="B532" s="3" t="s">
        <v>523</v>
      </c>
      <c r="C532" s="3" t="s">
        <v>974</v>
      </c>
      <c r="D532" s="3" t="s">
        <v>975</v>
      </c>
      <c r="E532" s="9">
        <v>2500</v>
      </c>
      <c r="L532" s="12"/>
    </row>
    <row r="533" spans="1:12" x14ac:dyDescent="0.3">
      <c r="A533" s="3">
        <v>532</v>
      </c>
      <c r="B533" s="3" t="s">
        <v>523</v>
      </c>
      <c r="C533" s="3" t="s">
        <v>976</v>
      </c>
      <c r="D533" s="3" t="s">
        <v>977</v>
      </c>
      <c r="E533" s="9">
        <v>5000</v>
      </c>
      <c r="L533" s="12"/>
    </row>
    <row r="534" spans="1:12" x14ac:dyDescent="0.3">
      <c r="A534" s="3">
        <v>533</v>
      </c>
      <c r="B534" s="3" t="s">
        <v>523</v>
      </c>
      <c r="C534" s="3" t="s">
        <v>978</v>
      </c>
      <c r="D534" s="3" t="s">
        <v>979</v>
      </c>
      <c r="E534" s="9">
        <v>15000</v>
      </c>
      <c r="L534" s="12"/>
    </row>
    <row r="535" spans="1:12" x14ac:dyDescent="0.3">
      <c r="A535" s="3">
        <v>534</v>
      </c>
      <c r="B535" s="3" t="s">
        <v>523</v>
      </c>
      <c r="C535" s="3" t="s">
        <v>980</v>
      </c>
      <c r="D535" s="3" t="s">
        <v>981</v>
      </c>
      <c r="E535" s="9">
        <v>9000</v>
      </c>
      <c r="L535" s="12"/>
    </row>
    <row r="536" spans="1:12" x14ac:dyDescent="0.3">
      <c r="A536" s="3">
        <v>535</v>
      </c>
      <c r="B536" s="3" t="s">
        <v>523</v>
      </c>
      <c r="C536" s="3" t="s">
        <v>1049</v>
      </c>
      <c r="D536" s="3" t="s">
        <v>1050</v>
      </c>
      <c r="E536" s="9">
        <v>7000</v>
      </c>
      <c r="L536" s="12"/>
    </row>
    <row r="537" spans="1:12" x14ac:dyDescent="0.3">
      <c r="A537" s="3">
        <v>536</v>
      </c>
      <c r="B537" s="3" t="s">
        <v>523</v>
      </c>
      <c r="C537" s="3" t="s">
        <v>1051</v>
      </c>
      <c r="D537" s="3" t="s">
        <v>1052</v>
      </c>
      <c r="E537" s="9">
        <v>12000</v>
      </c>
      <c r="L537" s="12"/>
    </row>
    <row r="538" spans="1:12" x14ac:dyDescent="0.3">
      <c r="A538" s="3">
        <v>537</v>
      </c>
      <c r="B538" s="3" t="s">
        <v>523</v>
      </c>
      <c r="C538" s="3" t="s">
        <v>965</v>
      </c>
      <c r="D538" s="3" t="s">
        <v>1026</v>
      </c>
      <c r="E538" s="9">
        <v>1500</v>
      </c>
      <c r="L538" s="12"/>
    </row>
    <row r="539" spans="1:12" x14ac:dyDescent="0.3">
      <c r="A539" s="3">
        <v>538</v>
      </c>
      <c r="B539" s="3" t="s">
        <v>528</v>
      </c>
      <c r="C539" s="3" t="s">
        <v>1103</v>
      </c>
      <c r="D539" s="3" t="s">
        <v>1104</v>
      </c>
      <c r="E539" s="9">
        <v>1500</v>
      </c>
      <c r="L539" s="12"/>
    </row>
    <row r="540" spans="1:12" x14ac:dyDescent="0.3">
      <c r="A540" s="3">
        <v>539</v>
      </c>
      <c r="B540" s="3" t="s">
        <v>528</v>
      </c>
      <c r="C540" s="3" t="s">
        <v>1105</v>
      </c>
      <c r="D540" s="3" t="s">
        <v>1106</v>
      </c>
      <c r="E540" s="9">
        <v>2000</v>
      </c>
      <c r="L540" s="12"/>
    </row>
    <row r="541" spans="1:12" x14ac:dyDescent="0.3">
      <c r="A541" s="3">
        <v>540</v>
      </c>
      <c r="B541" s="3" t="s">
        <v>528</v>
      </c>
      <c r="C541" s="3" t="s">
        <v>1107</v>
      </c>
      <c r="D541" s="3" t="s">
        <v>1108</v>
      </c>
      <c r="E541" s="9">
        <v>1500</v>
      </c>
      <c r="L541" s="12"/>
    </row>
    <row r="542" spans="1:12" x14ac:dyDescent="0.3">
      <c r="A542" s="3">
        <v>541</v>
      </c>
      <c r="B542" s="3" t="s">
        <v>528</v>
      </c>
      <c r="C542" s="3" t="s">
        <v>1109</v>
      </c>
      <c r="D542" s="3" t="s">
        <v>1110</v>
      </c>
      <c r="E542" s="9">
        <v>2000</v>
      </c>
      <c r="L542" s="12"/>
    </row>
    <row r="543" spans="1:12" x14ac:dyDescent="0.3">
      <c r="A543" s="3">
        <v>542</v>
      </c>
      <c r="B543" s="3" t="s">
        <v>528</v>
      </c>
      <c r="C543" s="3" t="s">
        <v>1111</v>
      </c>
      <c r="D543" s="3" t="s">
        <v>1112</v>
      </c>
      <c r="E543" s="9">
        <v>2000</v>
      </c>
      <c r="L543" s="12"/>
    </row>
    <row r="544" spans="1:12" x14ac:dyDescent="0.3">
      <c r="A544" s="3">
        <v>543</v>
      </c>
      <c r="B544" s="3" t="s">
        <v>528</v>
      </c>
      <c r="C544" s="3" t="s">
        <v>1113</v>
      </c>
      <c r="D544" s="3" t="s">
        <v>1114</v>
      </c>
      <c r="E544" s="9">
        <v>2500</v>
      </c>
      <c r="L544" s="12"/>
    </row>
    <row r="545" spans="1:12" x14ac:dyDescent="0.3">
      <c r="A545" s="3">
        <v>544</v>
      </c>
      <c r="B545" s="3" t="s">
        <v>528</v>
      </c>
      <c r="C545" s="3" t="s">
        <v>1115</v>
      </c>
      <c r="D545" s="3" t="s">
        <v>1116</v>
      </c>
      <c r="E545" s="9">
        <v>2000</v>
      </c>
      <c r="L545" s="12"/>
    </row>
    <row r="546" spans="1:12" x14ac:dyDescent="0.3">
      <c r="A546" s="3">
        <v>545</v>
      </c>
      <c r="B546" s="3" t="s">
        <v>528</v>
      </c>
      <c r="C546" s="3" t="s">
        <v>1117</v>
      </c>
      <c r="D546" s="3" t="s">
        <v>1118</v>
      </c>
      <c r="E546" s="9">
        <v>2500</v>
      </c>
      <c r="L546" s="12"/>
    </row>
    <row r="547" spans="1:12" x14ac:dyDescent="0.3">
      <c r="A547" s="3">
        <v>546</v>
      </c>
      <c r="B547" s="3" t="s">
        <v>528</v>
      </c>
      <c r="C547" s="3" t="s">
        <v>1119</v>
      </c>
      <c r="D547" s="3" t="s">
        <v>1120</v>
      </c>
      <c r="E547" s="9">
        <v>3000</v>
      </c>
      <c r="L547" s="12"/>
    </row>
    <row r="548" spans="1:12" x14ac:dyDescent="0.3">
      <c r="A548" s="3">
        <v>547</v>
      </c>
      <c r="B548" s="3" t="s">
        <v>533</v>
      </c>
      <c r="C548" s="3" t="s">
        <v>945</v>
      </c>
      <c r="D548" s="3" t="s">
        <v>1097</v>
      </c>
      <c r="E548" s="9">
        <v>15000</v>
      </c>
      <c r="L548" s="12"/>
    </row>
    <row r="549" spans="1:12" x14ac:dyDescent="0.3">
      <c r="A549" s="3">
        <v>548</v>
      </c>
      <c r="B549" s="3" t="s">
        <v>533</v>
      </c>
      <c r="C549" s="3" t="s">
        <v>947</v>
      </c>
      <c r="D549" s="3" t="s">
        <v>948</v>
      </c>
      <c r="E549" s="9">
        <v>5000</v>
      </c>
      <c r="L549" s="12"/>
    </row>
    <row r="550" spans="1:12" x14ac:dyDescent="0.3">
      <c r="A550" s="3">
        <v>549</v>
      </c>
      <c r="B550" s="3" t="s">
        <v>533</v>
      </c>
      <c r="C550" s="3" t="s">
        <v>949</v>
      </c>
      <c r="D550" s="3" t="s">
        <v>1073</v>
      </c>
      <c r="E550" s="9">
        <v>4000</v>
      </c>
      <c r="L550" s="12"/>
    </row>
    <row r="551" spans="1:12" x14ac:dyDescent="0.3">
      <c r="A551" s="3">
        <v>550</v>
      </c>
      <c r="B551" s="3" t="s">
        <v>533</v>
      </c>
      <c r="C551" s="3" t="s">
        <v>951</v>
      </c>
      <c r="D551" s="3" t="s">
        <v>952</v>
      </c>
      <c r="E551" s="9">
        <v>17000</v>
      </c>
      <c r="L551" s="12"/>
    </row>
    <row r="552" spans="1:12" x14ac:dyDescent="0.3">
      <c r="A552" s="3">
        <v>551</v>
      </c>
      <c r="B552" s="3" t="s">
        <v>533</v>
      </c>
      <c r="C552" s="3" t="s">
        <v>953</v>
      </c>
      <c r="D552" s="3" t="s">
        <v>954</v>
      </c>
      <c r="E552" s="9">
        <v>11000</v>
      </c>
      <c r="L552" s="12"/>
    </row>
    <row r="553" spans="1:12" x14ac:dyDescent="0.3">
      <c r="A553" s="3">
        <v>552</v>
      </c>
      <c r="B553" s="3" t="s">
        <v>533</v>
      </c>
      <c r="C553" s="3" t="s">
        <v>955</v>
      </c>
      <c r="D553" s="3" t="s">
        <v>1074</v>
      </c>
      <c r="E553" s="9">
        <v>6000</v>
      </c>
      <c r="L553" s="12"/>
    </row>
    <row r="554" spans="1:12" x14ac:dyDescent="0.3">
      <c r="A554" s="3">
        <v>553</v>
      </c>
      <c r="B554" s="3" t="s">
        <v>533</v>
      </c>
      <c r="C554" s="3" t="s">
        <v>957</v>
      </c>
      <c r="D554" s="3" t="s">
        <v>958</v>
      </c>
      <c r="E554" s="9">
        <v>4500</v>
      </c>
      <c r="L554" s="12"/>
    </row>
    <row r="555" spans="1:12" x14ac:dyDescent="0.3">
      <c r="A555" s="3">
        <v>554</v>
      </c>
      <c r="B555" s="3" t="s">
        <v>533</v>
      </c>
      <c r="C555" s="3" t="s">
        <v>959</v>
      </c>
      <c r="D555" s="3" t="s">
        <v>960</v>
      </c>
      <c r="E555" s="9">
        <v>8500</v>
      </c>
      <c r="L555" s="12"/>
    </row>
    <row r="556" spans="1:12" x14ac:dyDescent="0.3">
      <c r="A556" s="3">
        <v>555</v>
      </c>
      <c r="B556" s="3" t="s">
        <v>533</v>
      </c>
      <c r="C556" s="3" t="s">
        <v>961</v>
      </c>
      <c r="D556" s="3" t="s">
        <v>962</v>
      </c>
      <c r="E556" s="9">
        <v>2000</v>
      </c>
      <c r="L556" s="12"/>
    </row>
    <row r="557" spans="1:12" x14ac:dyDescent="0.3">
      <c r="A557" s="3">
        <v>556</v>
      </c>
      <c r="B557" s="3" t="s">
        <v>538</v>
      </c>
      <c r="C557" s="3" t="s">
        <v>992</v>
      </c>
      <c r="D557" s="3" t="s">
        <v>993</v>
      </c>
      <c r="E557" s="9">
        <v>5000</v>
      </c>
      <c r="L557" s="12"/>
    </row>
    <row r="558" spans="1:12" x14ac:dyDescent="0.3">
      <c r="A558" s="3">
        <v>557</v>
      </c>
      <c r="B558" s="3" t="s">
        <v>538</v>
      </c>
      <c r="C558" s="3" t="s">
        <v>994</v>
      </c>
      <c r="D558" s="3" t="s">
        <v>995</v>
      </c>
      <c r="E558" s="9">
        <v>6000</v>
      </c>
      <c r="L558" s="12"/>
    </row>
    <row r="559" spans="1:12" x14ac:dyDescent="0.3">
      <c r="A559" s="3">
        <v>558</v>
      </c>
      <c r="B559" s="3" t="s">
        <v>538</v>
      </c>
      <c r="C559" s="3" t="s">
        <v>996</v>
      </c>
      <c r="D559" s="3" t="s">
        <v>997</v>
      </c>
      <c r="E559" s="9">
        <v>5500</v>
      </c>
      <c r="L559" s="12"/>
    </row>
    <row r="560" spans="1:12" x14ac:dyDescent="0.3">
      <c r="A560" s="3">
        <v>559</v>
      </c>
      <c r="B560" s="3" t="s">
        <v>538</v>
      </c>
      <c r="C560" s="3" t="s">
        <v>998</v>
      </c>
      <c r="D560" s="3" t="s">
        <v>999</v>
      </c>
      <c r="E560" s="9">
        <v>6000</v>
      </c>
      <c r="L560" s="12"/>
    </row>
    <row r="561" spans="1:12" x14ac:dyDescent="0.3">
      <c r="A561" s="3">
        <v>560</v>
      </c>
      <c r="B561" s="3" t="s">
        <v>538</v>
      </c>
      <c r="C561" s="3" t="s">
        <v>1000</v>
      </c>
      <c r="D561" s="3" t="s">
        <v>1001</v>
      </c>
      <c r="E561" s="9">
        <v>4500</v>
      </c>
      <c r="L561" s="12"/>
    </row>
    <row r="562" spans="1:12" x14ac:dyDescent="0.3">
      <c r="A562" s="3">
        <v>561</v>
      </c>
      <c r="B562" s="3" t="s">
        <v>538</v>
      </c>
      <c r="C562" s="3" t="s">
        <v>1002</v>
      </c>
      <c r="D562" s="3" t="s">
        <v>1003</v>
      </c>
      <c r="E562" s="9">
        <v>4000</v>
      </c>
      <c r="L562" s="12"/>
    </row>
    <row r="563" spans="1:12" x14ac:dyDescent="0.3">
      <c r="A563" s="3">
        <v>562</v>
      </c>
      <c r="B563" s="3" t="s">
        <v>538</v>
      </c>
      <c r="C563" s="3" t="s">
        <v>1004</v>
      </c>
      <c r="D563" s="3" t="s">
        <v>1005</v>
      </c>
      <c r="E563" s="9">
        <v>3000</v>
      </c>
      <c r="L563" s="12"/>
    </row>
    <row r="564" spans="1:12" x14ac:dyDescent="0.3">
      <c r="A564" s="3">
        <v>563</v>
      </c>
      <c r="B564" s="3" t="s">
        <v>538</v>
      </c>
      <c r="C564" s="3" t="s">
        <v>1006</v>
      </c>
      <c r="D564" s="3" t="s">
        <v>1007</v>
      </c>
      <c r="E564" s="9">
        <v>2500</v>
      </c>
      <c r="L564" s="12"/>
    </row>
    <row r="565" spans="1:12" x14ac:dyDescent="0.3">
      <c r="A565" s="3">
        <v>564</v>
      </c>
      <c r="B565" s="3" t="s">
        <v>538</v>
      </c>
      <c r="C565" s="3" t="s">
        <v>1008</v>
      </c>
      <c r="D565" s="3" t="s">
        <v>1009</v>
      </c>
      <c r="E565" s="9">
        <v>8000</v>
      </c>
      <c r="L565" s="12"/>
    </row>
    <row r="566" spans="1:12" x14ac:dyDescent="0.3">
      <c r="A566" s="3">
        <v>565</v>
      </c>
      <c r="B566" s="3" t="s">
        <v>538</v>
      </c>
      <c r="C566" s="3" t="s">
        <v>1056</v>
      </c>
      <c r="D566" s="3" t="s">
        <v>1057</v>
      </c>
      <c r="E566" s="9">
        <v>9000</v>
      </c>
      <c r="L566" s="12"/>
    </row>
    <row r="567" spans="1:12" x14ac:dyDescent="0.3">
      <c r="A567" s="3">
        <v>566</v>
      </c>
      <c r="B567" s="3" t="s">
        <v>538</v>
      </c>
      <c r="C567" s="3" t="s">
        <v>1010</v>
      </c>
      <c r="D567" s="3" t="s">
        <v>1011</v>
      </c>
      <c r="E567" s="9">
        <v>8000</v>
      </c>
      <c r="L567" s="12"/>
    </row>
    <row r="568" spans="1:12" x14ac:dyDescent="0.3">
      <c r="A568" s="3">
        <v>567</v>
      </c>
      <c r="B568" s="3" t="s">
        <v>538</v>
      </c>
      <c r="C568" s="3" t="s">
        <v>1012</v>
      </c>
      <c r="D568" s="3" t="s">
        <v>1013</v>
      </c>
      <c r="E568" s="9">
        <v>6000</v>
      </c>
      <c r="L568" s="12"/>
    </row>
    <row r="569" spans="1:12" x14ac:dyDescent="0.3">
      <c r="A569" s="3">
        <v>568</v>
      </c>
      <c r="B569" s="3" t="s">
        <v>543</v>
      </c>
      <c r="C569" s="3" t="s">
        <v>1027</v>
      </c>
      <c r="D569" s="3" t="s">
        <v>1028</v>
      </c>
      <c r="E569" s="9">
        <v>4000</v>
      </c>
      <c r="L569" s="12"/>
    </row>
    <row r="570" spans="1:12" x14ac:dyDescent="0.3">
      <c r="A570" s="3">
        <v>569</v>
      </c>
      <c r="B570" s="3" t="s">
        <v>543</v>
      </c>
      <c r="C570" s="3" t="s">
        <v>1029</v>
      </c>
      <c r="D570" s="3" t="s">
        <v>1030</v>
      </c>
      <c r="E570" s="9">
        <v>5000</v>
      </c>
      <c r="L570" s="12"/>
    </row>
    <row r="571" spans="1:12" x14ac:dyDescent="0.3">
      <c r="A571" s="3">
        <v>570</v>
      </c>
      <c r="B571" s="3" t="s">
        <v>543</v>
      </c>
      <c r="C571" s="3" t="s">
        <v>1031</v>
      </c>
      <c r="D571" s="3" t="s">
        <v>1032</v>
      </c>
      <c r="E571" s="9">
        <v>5000</v>
      </c>
      <c r="L571" s="12"/>
    </row>
    <row r="572" spans="1:12" x14ac:dyDescent="0.3">
      <c r="A572" s="3">
        <v>571</v>
      </c>
      <c r="B572" s="3" t="s">
        <v>543</v>
      </c>
      <c r="C572" s="3" t="s">
        <v>1033</v>
      </c>
      <c r="D572" s="3" t="s">
        <v>1034</v>
      </c>
      <c r="E572" s="9">
        <v>6000</v>
      </c>
      <c r="L572" s="12"/>
    </row>
    <row r="573" spans="1:12" x14ac:dyDescent="0.3">
      <c r="A573" s="3">
        <v>572</v>
      </c>
      <c r="B573" s="3" t="s">
        <v>543</v>
      </c>
      <c r="C573" s="3" t="s">
        <v>1035</v>
      </c>
      <c r="D573" s="3" t="s">
        <v>1036</v>
      </c>
      <c r="E573" s="9">
        <v>5000</v>
      </c>
      <c r="L573" s="12"/>
    </row>
    <row r="574" spans="1:12" x14ac:dyDescent="0.3">
      <c r="A574" s="3">
        <v>573</v>
      </c>
      <c r="B574" s="3" t="s">
        <v>543</v>
      </c>
      <c r="C574" s="3" t="s">
        <v>1037</v>
      </c>
      <c r="D574" s="3" t="s">
        <v>1038</v>
      </c>
      <c r="E574" s="9">
        <v>2000</v>
      </c>
      <c r="L574" s="12"/>
    </row>
    <row r="575" spans="1:12" x14ac:dyDescent="0.3">
      <c r="A575" s="3">
        <v>574</v>
      </c>
      <c r="B575" s="3" t="s">
        <v>543</v>
      </c>
      <c r="C575" s="3" t="s">
        <v>1064</v>
      </c>
      <c r="D575" s="3" t="s">
        <v>1065</v>
      </c>
      <c r="E575" s="9">
        <v>4000</v>
      </c>
      <c r="L575" s="12"/>
    </row>
    <row r="576" spans="1:12" x14ac:dyDescent="0.3">
      <c r="A576" s="3">
        <v>575</v>
      </c>
      <c r="B576" s="3" t="s">
        <v>543</v>
      </c>
      <c r="C576" s="3" t="s">
        <v>1066</v>
      </c>
      <c r="D576" s="3" t="s">
        <v>1067</v>
      </c>
      <c r="E576" s="9">
        <v>6500</v>
      </c>
      <c r="L576" s="12"/>
    </row>
    <row r="577" spans="1:12" x14ac:dyDescent="0.3">
      <c r="A577" s="3">
        <v>576</v>
      </c>
      <c r="B577" s="3" t="s">
        <v>543</v>
      </c>
      <c r="C577" s="3" t="s">
        <v>1068</v>
      </c>
      <c r="D577" s="3" t="s">
        <v>1069</v>
      </c>
      <c r="E577" s="9">
        <v>8000</v>
      </c>
      <c r="L577" s="12"/>
    </row>
    <row r="578" spans="1:12" x14ac:dyDescent="0.3">
      <c r="A578" s="3">
        <v>577</v>
      </c>
      <c r="B578" s="3" t="s">
        <v>548</v>
      </c>
      <c r="C578" s="3" t="s">
        <v>992</v>
      </c>
      <c r="D578" s="3" t="s">
        <v>993</v>
      </c>
      <c r="E578" s="9">
        <v>5000</v>
      </c>
      <c r="L578" s="12"/>
    </row>
    <row r="579" spans="1:12" x14ac:dyDescent="0.3">
      <c r="A579" s="3">
        <v>578</v>
      </c>
      <c r="B579" s="3" t="s">
        <v>548</v>
      </c>
      <c r="C579" s="3" t="s">
        <v>994</v>
      </c>
      <c r="D579" s="3" t="s">
        <v>995</v>
      </c>
      <c r="E579" s="9">
        <v>6000</v>
      </c>
      <c r="L579" s="12"/>
    </row>
    <row r="580" spans="1:12" x14ac:dyDescent="0.3">
      <c r="A580" s="3">
        <v>579</v>
      </c>
      <c r="B580" s="3" t="s">
        <v>548</v>
      </c>
      <c r="C580" s="3" t="s">
        <v>996</v>
      </c>
      <c r="D580" s="3" t="s">
        <v>997</v>
      </c>
      <c r="E580" s="9">
        <v>5500</v>
      </c>
      <c r="L580" s="12"/>
    </row>
    <row r="581" spans="1:12" x14ac:dyDescent="0.3">
      <c r="A581" s="3">
        <v>580</v>
      </c>
      <c r="B581" s="3" t="s">
        <v>548</v>
      </c>
      <c r="C581" s="3" t="s">
        <v>998</v>
      </c>
      <c r="D581" s="3" t="s">
        <v>999</v>
      </c>
      <c r="E581" s="9">
        <v>6000</v>
      </c>
      <c r="L581" s="12"/>
    </row>
    <row r="582" spans="1:12" x14ac:dyDescent="0.3">
      <c r="A582" s="3">
        <v>581</v>
      </c>
      <c r="B582" s="3" t="s">
        <v>548</v>
      </c>
      <c r="C582" s="3" t="s">
        <v>1000</v>
      </c>
      <c r="D582" s="3" t="s">
        <v>1001</v>
      </c>
      <c r="E582" s="9">
        <v>4500</v>
      </c>
      <c r="L582" s="12"/>
    </row>
    <row r="583" spans="1:12" x14ac:dyDescent="0.3">
      <c r="A583" s="3">
        <v>582</v>
      </c>
      <c r="B583" s="3" t="s">
        <v>548</v>
      </c>
      <c r="C583" s="3" t="s">
        <v>1002</v>
      </c>
      <c r="D583" s="3" t="s">
        <v>1003</v>
      </c>
      <c r="E583" s="9">
        <v>4000</v>
      </c>
      <c r="L583" s="12"/>
    </row>
    <row r="584" spans="1:12" x14ac:dyDescent="0.3">
      <c r="A584" s="3">
        <v>583</v>
      </c>
      <c r="B584" s="3" t="s">
        <v>548</v>
      </c>
      <c r="C584" s="3" t="s">
        <v>1004</v>
      </c>
      <c r="D584" s="3" t="s">
        <v>1005</v>
      </c>
      <c r="E584" s="9">
        <v>3000</v>
      </c>
      <c r="L584" s="12"/>
    </row>
    <row r="585" spans="1:12" x14ac:dyDescent="0.3">
      <c r="A585" s="3">
        <v>584</v>
      </c>
      <c r="B585" s="3" t="s">
        <v>548</v>
      </c>
      <c r="C585" s="3" t="s">
        <v>1006</v>
      </c>
      <c r="D585" s="3" t="s">
        <v>1007</v>
      </c>
      <c r="E585" s="9">
        <v>2500</v>
      </c>
      <c r="L585" s="12"/>
    </row>
    <row r="586" spans="1:12" x14ac:dyDescent="0.3">
      <c r="A586" s="3">
        <v>585</v>
      </c>
      <c r="B586" s="3" t="s">
        <v>548</v>
      </c>
      <c r="C586" s="3" t="s">
        <v>1008</v>
      </c>
      <c r="D586" s="3" t="s">
        <v>1009</v>
      </c>
      <c r="E586" s="9">
        <v>8000</v>
      </c>
      <c r="L586" s="12"/>
    </row>
    <row r="587" spans="1:12" x14ac:dyDescent="0.3">
      <c r="A587" s="3">
        <v>586</v>
      </c>
      <c r="B587" s="3" t="s">
        <v>548</v>
      </c>
      <c r="C587" s="3" t="s">
        <v>1056</v>
      </c>
      <c r="D587" s="3" t="s">
        <v>1057</v>
      </c>
      <c r="E587" s="9">
        <v>9000</v>
      </c>
      <c r="L587" s="12"/>
    </row>
    <row r="588" spans="1:12" x14ac:dyDescent="0.3">
      <c r="A588" s="3">
        <v>587</v>
      </c>
      <c r="B588" s="3" t="s">
        <v>548</v>
      </c>
      <c r="C588" s="3" t="s">
        <v>1010</v>
      </c>
      <c r="D588" s="3" t="s">
        <v>1011</v>
      </c>
      <c r="E588" s="9">
        <v>8000</v>
      </c>
      <c r="L588" s="12"/>
    </row>
    <row r="589" spans="1:12" x14ac:dyDescent="0.3">
      <c r="A589" s="3">
        <v>588</v>
      </c>
      <c r="B589" s="3" t="s">
        <v>548</v>
      </c>
      <c r="C589" s="3" t="s">
        <v>1012</v>
      </c>
      <c r="D589" s="3" t="s">
        <v>1013</v>
      </c>
      <c r="E589" s="9">
        <v>6000</v>
      </c>
      <c r="L589" s="12"/>
    </row>
    <row r="590" spans="1:12" x14ac:dyDescent="0.3">
      <c r="A590" s="3">
        <v>589</v>
      </c>
      <c r="B590" s="3" t="s">
        <v>553</v>
      </c>
      <c r="C590" s="3" t="s">
        <v>1039</v>
      </c>
      <c r="D590" s="3" t="s">
        <v>1040</v>
      </c>
      <c r="E590" s="9">
        <v>4500</v>
      </c>
      <c r="L590" s="12"/>
    </row>
    <row r="591" spans="1:12" x14ac:dyDescent="0.3">
      <c r="A591" s="3">
        <v>590</v>
      </c>
      <c r="B591" s="3" t="s">
        <v>553</v>
      </c>
      <c r="C591" s="3" t="s">
        <v>1041</v>
      </c>
      <c r="D591" s="3" t="s">
        <v>1042</v>
      </c>
      <c r="E591" s="9">
        <v>3000</v>
      </c>
      <c r="L591" s="12"/>
    </row>
    <row r="592" spans="1:12" x14ac:dyDescent="0.3">
      <c r="A592" s="3">
        <v>591</v>
      </c>
      <c r="B592" s="3" t="s">
        <v>553</v>
      </c>
      <c r="C592" s="3" t="s">
        <v>1043</v>
      </c>
      <c r="D592" s="3" t="s">
        <v>1044</v>
      </c>
      <c r="E592" s="9">
        <v>2000</v>
      </c>
      <c r="L592" s="12"/>
    </row>
    <row r="593" spans="1:12" x14ac:dyDescent="0.3">
      <c r="A593" s="3">
        <v>592</v>
      </c>
      <c r="B593" s="3" t="s">
        <v>553</v>
      </c>
      <c r="C593" s="3" t="s">
        <v>1058</v>
      </c>
      <c r="D593" s="3" t="s">
        <v>1059</v>
      </c>
      <c r="E593" s="9">
        <v>500</v>
      </c>
      <c r="L593" s="12"/>
    </row>
    <row r="594" spans="1:12" x14ac:dyDescent="0.3">
      <c r="A594" s="3">
        <v>593</v>
      </c>
      <c r="B594" s="3" t="s">
        <v>553</v>
      </c>
      <c r="C594" s="3" t="s">
        <v>1045</v>
      </c>
      <c r="D594" s="3" t="s">
        <v>1046</v>
      </c>
      <c r="E594" s="9">
        <v>700</v>
      </c>
      <c r="L594" s="12"/>
    </row>
    <row r="595" spans="1:12" x14ac:dyDescent="0.3">
      <c r="A595" s="3">
        <v>594</v>
      </c>
      <c r="B595" s="3" t="s">
        <v>553</v>
      </c>
      <c r="C595" s="3" t="s">
        <v>1047</v>
      </c>
      <c r="D595" s="3" t="s">
        <v>1048</v>
      </c>
      <c r="E595" s="9">
        <v>700</v>
      </c>
      <c r="L595" s="12"/>
    </row>
    <row r="596" spans="1:12" x14ac:dyDescent="0.3">
      <c r="A596" s="3">
        <v>595</v>
      </c>
      <c r="B596" s="3" t="s">
        <v>553</v>
      </c>
      <c r="C596" s="3" t="s">
        <v>1060</v>
      </c>
      <c r="D596" s="3" t="s">
        <v>1061</v>
      </c>
      <c r="E596" s="9">
        <v>2500</v>
      </c>
      <c r="L596" s="12"/>
    </row>
    <row r="597" spans="1:12" x14ac:dyDescent="0.3">
      <c r="A597" s="3">
        <v>596</v>
      </c>
      <c r="B597" s="3" t="s">
        <v>553</v>
      </c>
      <c r="C597" s="3" t="s">
        <v>1062</v>
      </c>
      <c r="D597" s="3" t="s">
        <v>1063</v>
      </c>
      <c r="E597" s="9">
        <v>3500</v>
      </c>
      <c r="L597" s="12"/>
    </row>
    <row r="598" spans="1:12" x14ac:dyDescent="0.3">
      <c r="A598" s="3">
        <v>597</v>
      </c>
      <c r="B598" s="3" t="s">
        <v>558</v>
      </c>
      <c r="C598" s="3" t="s">
        <v>945</v>
      </c>
      <c r="D598" s="3" t="s">
        <v>1097</v>
      </c>
      <c r="E598" s="9">
        <v>15000</v>
      </c>
      <c r="L598" s="12"/>
    </row>
    <row r="599" spans="1:12" x14ac:dyDescent="0.3">
      <c r="A599" s="3">
        <v>598</v>
      </c>
      <c r="B599" s="3" t="s">
        <v>558</v>
      </c>
      <c r="C599" s="3" t="s">
        <v>947</v>
      </c>
      <c r="D599" s="3" t="s">
        <v>948</v>
      </c>
      <c r="E599" s="9">
        <v>5000</v>
      </c>
      <c r="L599" s="12"/>
    </row>
    <row r="600" spans="1:12" x14ac:dyDescent="0.3">
      <c r="A600" s="3">
        <v>599</v>
      </c>
      <c r="B600" s="3" t="s">
        <v>558</v>
      </c>
      <c r="C600" s="3" t="s">
        <v>949</v>
      </c>
      <c r="D600" s="3" t="s">
        <v>1073</v>
      </c>
      <c r="E600" s="9">
        <v>4000</v>
      </c>
      <c r="L600" s="12"/>
    </row>
    <row r="601" spans="1:12" x14ac:dyDescent="0.3">
      <c r="A601" s="3">
        <v>600</v>
      </c>
      <c r="B601" s="3" t="s">
        <v>558</v>
      </c>
      <c r="C601" s="3" t="s">
        <v>951</v>
      </c>
      <c r="D601" s="3" t="s">
        <v>952</v>
      </c>
      <c r="E601" s="9">
        <v>17000</v>
      </c>
      <c r="L601" s="12"/>
    </row>
    <row r="602" spans="1:12" x14ac:dyDescent="0.3">
      <c r="A602" s="3">
        <v>601</v>
      </c>
      <c r="B602" s="3" t="s">
        <v>558</v>
      </c>
      <c r="C602" s="3" t="s">
        <v>953</v>
      </c>
      <c r="D602" s="3" t="s">
        <v>954</v>
      </c>
      <c r="E602" s="9">
        <v>11000</v>
      </c>
      <c r="L602" s="12"/>
    </row>
    <row r="603" spans="1:12" x14ac:dyDescent="0.3">
      <c r="A603" s="3">
        <v>602</v>
      </c>
      <c r="B603" s="3" t="s">
        <v>558</v>
      </c>
      <c r="C603" s="3" t="s">
        <v>955</v>
      </c>
      <c r="D603" s="3" t="s">
        <v>1074</v>
      </c>
      <c r="E603" s="9">
        <v>6000</v>
      </c>
      <c r="L603" s="12"/>
    </row>
    <row r="604" spans="1:12" x14ac:dyDescent="0.3">
      <c r="A604" s="3">
        <v>603</v>
      </c>
      <c r="B604" s="3" t="s">
        <v>558</v>
      </c>
      <c r="C604" s="3" t="s">
        <v>957</v>
      </c>
      <c r="D604" s="3" t="s">
        <v>958</v>
      </c>
      <c r="E604" s="9">
        <v>4500</v>
      </c>
      <c r="L604" s="12"/>
    </row>
    <row r="605" spans="1:12" x14ac:dyDescent="0.3">
      <c r="A605" s="3">
        <v>604</v>
      </c>
      <c r="B605" s="3" t="s">
        <v>558</v>
      </c>
      <c r="C605" s="3" t="s">
        <v>959</v>
      </c>
      <c r="D605" s="3" t="s">
        <v>960</v>
      </c>
      <c r="E605" s="9">
        <v>8500</v>
      </c>
      <c r="L605" s="12"/>
    </row>
    <row r="606" spans="1:12" x14ac:dyDescent="0.3">
      <c r="A606" s="3">
        <v>605</v>
      </c>
      <c r="B606" s="3" t="s">
        <v>558</v>
      </c>
      <c r="C606" s="3" t="s">
        <v>961</v>
      </c>
      <c r="D606" s="3" t="s">
        <v>962</v>
      </c>
      <c r="E606" s="9">
        <v>2000</v>
      </c>
      <c r="L606" s="12"/>
    </row>
    <row r="607" spans="1:12" x14ac:dyDescent="0.3">
      <c r="A607" s="3">
        <v>606</v>
      </c>
      <c r="B607" s="3" t="s">
        <v>563</v>
      </c>
      <c r="C607" s="3" t="s">
        <v>992</v>
      </c>
      <c r="D607" s="3" t="s">
        <v>993</v>
      </c>
      <c r="E607" s="9">
        <v>5000</v>
      </c>
      <c r="L607" s="12"/>
    </row>
    <row r="608" spans="1:12" x14ac:dyDescent="0.3">
      <c r="A608" s="3">
        <v>607</v>
      </c>
      <c r="B608" s="3" t="s">
        <v>563</v>
      </c>
      <c r="C608" s="3" t="s">
        <v>994</v>
      </c>
      <c r="D608" s="3" t="s">
        <v>995</v>
      </c>
      <c r="E608" s="9">
        <v>6000</v>
      </c>
      <c r="L608" s="12"/>
    </row>
    <row r="609" spans="1:12" x14ac:dyDescent="0.3">
      <c r="A609" s="3">
        <v>608</v>
      </c>
      <c r="B609" s="3" t="s">
        <v>563</v>
      </c>
      <c r="C609" s="3" t="s">
        <v>996</v>
      </c>
      <c r="D609" s="3" t="s">
        <v>997</v>
      </c>
      <c r="E609" s="9">
        <v>5500</v>
      </c>
      <c r="L609" s="12"/>
    </row>
    <row r="610" spans="1:12" x14ac:dyDescent="0.3">
      <c r="A610" s="3">
        <v>609</v>
      </c>
      <c r="B610" s="3" t="s">
        <v>563</v>
      </c>
      <c r="C610" s="3" t="s">
        <v>998</v>
      </c>
      <c r="D610" s="3" t="s">
        <v>999</v>
      </c>
      <c r="E610" s="9">
        <v>6000</v>
      </c>
      <c r="L610" s="12"/>
    </row>
    <row r="611" spans="1:12" x14ac:dyDescent="0.3">
      <c r="A611" s="3">
        <v>610</v>
      </c>
      <c r="B611" s="3" t="s">
        <v>563</v>
      </c>
      <c r="C611" s="3" t="s">
        <v>1000</v>
      </c>
      <c r="D611" s="3" t="s">
        <v>1001</v>
      </c>
      <c r="E611" s="9">
        <v>4500</v>
      </c>
      <c r="L611" s="12"/>
    </row>
    <row r="612" spans="1:12" x14ac:dyDescent="0.3">
      <c r="A612" s="3">
        <v>611</v>
      </c>
      <c r="B612" s="3" t="s">
        <v>563</v>
      </c>
      <c r="C612" s="3" t="s">
        <v>1002</v>
      </c>
      <c r="D612" s="3" t="s">
        <v>1003</v>
      </c>
      <c r="E612" s="9">
        <v>4000</v>
      </c>
      <c r="L612" s="12"/>
    </row>
    <row r="613" spans="1:12" x14ac:dyDescent="0.3">
      <c r="A613" s="3">
        <v>612</v>
      </c>
      <c r="B613" s="3" t="s">
        <v>563</v>
      </c>
      <c r="C613" s="3" t="s">
        <v>1004</v>
      </c>
      <c r="D613" s="3" t="s">
        <v>1005</v>
      </c>
      <c r="E613" s="9">
        <v>3000</v>
      </c>
      <c r="L613" s="12"/>
    </row>
    <row r="614" spans="1:12" x14ac:dyDescent="0.3">
      <c r="A614" s="3">
        <v>613</v>
      </c>
      <c r="B614" s="3" t="s">
        <v>563</v>
      </c>
      <c r="C614" s="3" t="s">
        <v>1006</v>
      </c>
      <c r="D614" s="3" t="s">
        <v>1007</v>
      </c>
      <c r="E614" s="9">
        <v>2500</v>
      </c>
      <c r="L614" s="12"/>
    </row>
    <row r="615" spans="1:12" x14ac:dyDescent="0.3">
      <c r="A615" s="3">
        <v>614</v>
      </c>
      <c r="B615" s="3" t="s">
        <v>563</v>
      </c>
      <c r="C615" s="3" t="s">
        <v>1008</v>
      </c>
      <c r="D615" s="3" t="s">
        <v>1009</v>
      </c>
      <c r="E615" s="9">
        <v>8000</v>
      </c>
      <c r="L615" s="12"/>
    </row>
    <row r="616" spans="1:12" x14ac:dyDescent="0.3">
      <c r="A616" s="3">
        <v>615</v>
      </c>
      <c r="B616" s="3" t="s">
        <v>563</v>
      </c>
      <c r="C616" s="3" t="s">
        <v>1056</v>
      </c>
      <c r="D616" s="3" t="s">
        <v>1057</v>
      </c>
      <c r="E616" s="9">
        <v>9000</v>
      </c>
      <c r="L616" s="12"/>
    </row>
    <row r="617" spans="1:12" x14ac:dyDescent="0.3">
      <c r="A617" s="3">
        <v>616</v>
      </c>
      <c r="B617" s="3" t="s">
        <v>563</v>
      </c>
      <c r="C617" s="3" t="s">
        <v>1010</v>
      </c>
      <c r="D617" s="3" t="s">
        <v>1011</v>
      </c>
      <c r="E617" s="9">
        <v>8000</v>
      </c>
      <c r="L617" s="12"/>
    </row>
    <row r="618" spans="1:12" x14ac:dyDescent="0.3">
      <c r="A618" s="3">
        <v>617</v>
      </c>
      <c r="B618" s="3" t="s">
        <v>563</v>
      </c>
      <c r="C618" s="3" t="s">
        <v>1012</v>
      </c>
      <c r="D618" s="3" t="s">
        <v>1013</v>
      </c>
      <c r="E618" s="9">
        <v>6000</v>
      </c>
      <c r="L618" s="12"/>
    </row>
    <row r="619" spans="1:12" x14ac:dyDescent="0.3">
      <c r="A619" s="3">
        <v>618</v>
      </c>
      <c r="B619" s="3" t="s">
        <v>568</v>
      </c>
      <c r="C619" s="3" t="s">
        <v>992</v>
      </c>
      <c r="D619" s="3" t="s">
        <v>993</v>
      </c>
      <c r="E619" s="9">
        <v>5000</v>
      </c>
      <c r="L619" s="12"/>
    </row>
    <row r="620" spans="1:12" x14ac:dyDescent="0.3">
      <c r="A620" s="3">
        <v>619</v>
      </c>
      <c r="B620" s="3" t="s">
        <v>568</v>
      </c>
      <c r="C620" s="3" t="s">
        <v>994</v>
      </c>
      <c r="D620" s="3" t="s">
        <v>995</v>
      </c>
      <c r="E620" s="9">
        <v>6000</v>
      </c>
      <c r="L620" s="12"/>
    </row>
    <row r="621" spans="1:12" x14ac:dyDescent="0.3">
      <c r="A621" s="3">
        <v>620</v>
      </c>
      <c r="B621" s="3" t="s">
        <v>568</v>
      </c>
      <c r="C621" s="3" t="s">
        <v>996</v>
      </c>
      <c r="D621" s="3" t="s">
        <v>997</v>
      </c>
      <c r="E621" s="9">
        <v>5500</v>
      </c>
      <c r="L621" s="12"/>
    </row>
    <row r="622" spans="1:12" x14ac:dyDescent="0.3">
      <c r="A622" s="3">
        <v>621</v>
      </c>
      <c r="B622" s="3" t="s">
        <v>568</v>
      </c>
      <c r="C622" s="3" t="s">
        <v>998</v>
      </c>
      <c r="D622" s="3" t="s">
        <v>999</v>
      </c>
      <c r="E622" s="9">
        <v>6000</v>
      </c>
      <c r="L622" s="12"/>
    </row>
    <row r="623" spans="1:12" x14ac:dyDescent="0.3">
      <c r="A623" s="3">
        <v>622</v>
      </c>
      <c r="B623" s="3" t="s">
        <v>568</v>
      </c>
      <c r="C623" s="3" t="s">
        <v>1000</v>
      </c>
      <c r="D623" s="3" t="s">
        <v>1001</v>
      </c>
      <c r="E623" s="9">
        <v>4500</v>
      </c>
      <c r="L623" s="12"/>
    </row>
    <row r="624" spans="1:12" x14ac:dyDescent="0.3">
      <c r="A624" s="3">
        <v>623</v>
      </c>
      <c r="B624" s="3" t="s">
        <v>568</v>
      </c>
      <c r="C624" s="3" t="s">
        <v>1002</v>
      </c>
      <c r="D624" s="3" t="s">
        <v>1003</v>
      </c>
      <c r="E624" s="9">
        <v>4000</v>
      </c>
      <c r="L624" s="12"/>
    </row>
    <row r="625" spans="1:12" x14ac:dyDescent="0.3">
      <c r="A625" s="3">
        <v>624</v>
      </c>
      <c r="B625" s="3" t="s">
        <v>568</v>
      </c>
      <c r="C625" s="3" t="s">
        <v>1004</v>
      </c>
      <c r="D625" s="3" t="s">
        <v>1005</v>
      </c>
      <c r="E625" s="9">
        <v>3000</v>
      </c>
      <c r="L625" s="12"/>
    </row>
    <row r="626" spans="1:12" x14ac:dyDescent="0.3">
      <c r="A626" s="3">
        <v>625</v>
      </c>
      <c r="B626" s="3" t="s">
        <v>568</v>
      </c>
      <c r="C626" s="3" t="s">
        <v>1006</v>
      </c>
      <c r="D626" s="3" t="s">
        <v>1007</v>
      </c>
      <c r="E626" s="9">
        <v>2500</v>
      </c>
      <c r="L626" s="12"/>
    </row>
    <row r="627" spans="1:12" x14ac:dyDescent="0.3">
      <c r="A627" s="3">
        <v>626</v>
      </c>
      <c r="B627" s="3" t="s">
        <v>568</v>
      </c>
      <c r="C627" s="3" t="s">
        <v>1008</v>
      </c>
      <c r="D627" s="3" t="s">
        <v>1009</v>
      </c>
      <c r="E627" s="9">
        <v>8000</v>
      </c>
      <c r="L627" s="12"/>
    </row>
    <row r="628" spans="1:12" x14ac:dyDescent="0.3">
      <c r="A628" s="3">
        <v>627</v>
      </c>
      <c r="B628" s="3" t="s">
        <v>568</v>
      </c>
      <c r="C628" s="3" t="s">
        <v>1056</v>
      </c>
      <c r="D628" s="3" t="s">
        <v>1057</v>
      </c>
      <c r="E628" s="9">
        <v>9000</v>
      </c>
      <c r="L628" s="12"/>
    </row>
    <row r="629" spans="1:12" x14ac:dyDescent="0.3">
      <c r="A629" s="3">
        <v>628</v>
      </c>
      <c r="B629" s="3" t="s">
        <v>568</v>
      </c>
      <c r="C629" s="3" t="s">
        <v>1010</v>
      </c>
      <c r="D629" s="3" t="s">
        <v>1011</v>
      </c>
      <c r="E629" s="9">
        <v>8000</v>
      </c>
      <c r="L629" s="12"/>
    </row>
    <row r="630" spans="1:12" x14ac:dyDescent="0.3">
      <c r="A630" s="3">
        <v>629</v>
      </c>
      <c r="B630" s="3" t="s">
        <v>568</v>
      </c>
      <c r="C630" s="3" t="s">
        <v>1012</v>
      </c>
      <c r="D630" s="3" t="s">
        <v>1013</v>
      </c>
      <c r="E630" s="9">
        <v>6000</v>
      </c>
      <c r="L630" s="12"/>
    </row>
    <row r="631" spans="1:12" x14ac:dyDescent="0.3">
      <c r="A631" s="3">
        <v>630</v>
      </c>
      <c r="B631" s="3" t="s">
        <v>573</v>
      </c>
      <c r="C631" s="3" t="s">
        <v>992</v>
      </c>
      <c r="D631" s="3" t="s">
        <v>993</v>
      </c>
      <c r="E631" s="9">
        <v>5000</v>
      </c>
      <c r="L631" s="12"/>
    </row>
    <row r="632" spans="1:12" x14ac:dyDescent="0.3">
      <c r="A632" s="3">
        <v>631</v>
      </c>
      <c r="B632" s="3" t="s">
        <v>573</v>
      </c>
      <c r="C632" s="3" t="s">
        <v>994</v>
      </c>
      <c r="D632" s="3" t="s">
        <v>995</v>
      </c>
      <c r="E632" s="9">
        <v>6000</v>
      </c>
      <c r="L632" s="12"/>
    </row>
    <row r="633" spans="1:12" x14ac:dyDescent="0.3">
      <c r="A633" s="3">
        <v>632</v>
      </c>
      <c r="B633" s="3" t="s">
        <v>573</v>
      </c>
      <c r="C633" s="3" t="s">
        <v>996</v>
      </c>
      <c r="D633" s="3" t="s">
        <v>997</v>
      </c>
      <c r="E633" s="9">
        <v>5500</v>
      </c>
      <c r="L633" s="12"/>
    </row>
    <row r="634" spans="1:12" x14ac:dyDescent="0.3">
      <c r="A634" s="3">
        <v>633</v>
      </c>
      <c r="B634" s="3" t="s">
        <v>573</v>
      </c>
      <c r="C634" s="3" t="s">
        <v>998</v>
      </c>
      <c r="D634" s="3" t="s">
        <v>999</v>
      </c>
      <c r="E634" s="9">
        <v>6000</v>
      </c>
      <c r="L634" s="12"/>
    </row>
    <row r="635" spans="1:12" x14ac:dyDescent="0.3">
      <c r="A635" s="3">
        <v>634</v>
      </c>
      <c r="B635" s="3" t="s">
        <v>573</v>
      </c>
      <c r="C635" s="3" t="s">
        <v>1000</v>
      </c>
      <c r="D635" s="3" t="s">
        <v>1001</v>
      </c>
      <c r="E635" s="9">
        <v>4500</v>
      </c>
      <c r="L635" s="12"/>
    </row>
    <row r="636" spans="1:12" x14ac:dyDescent="0.3">
      <c r="A636" s="3">
        <v>635</v>
      </c>
      <c r="B636" s="3" t="s">
        <v>573</v>
      </c>
      <c r="C636" s="3" t="s">
        <v>1002</v>
      </c>
      <c r="D636" s="3" t="s">
        <v>1003</v>
      </c>
      <c r="E636" s="9">
        <v>4000</v>
      </c>
      <c r="L636" s="12"/>
    </row>
    <row r="637" spans="1:12" x14ac:dyDescent="0.3">
      <c r="A637" s="3">
        <v>636</v>
      </c>
      <c r="B637" s="3" t="s">
        <v>573</v>
      </c>
      <c r="C637" s="3" t="s">
        <v>1004</v>
      </c>
      <c r="D637" s="3" t="s">
        <v>1005</v>
      </c>
      <c r="E637" s="9">
        <v>3000</v>
      </c>
      <c r="L637" s="12"/>
    </row>
    <row r="638" spans="1:12" x14ac:dyDescent="0.3">
      <c r="A638" s="3">
        <v>637</v>
      </c>
      <c r="B638" s="3" t="s">
        <v>573</v>
      </c>
      <c r="C638" s="3" t="s">
        <v>1006</v>
      </c>
      <c r="D638" s="3" t="s">
        <v>1007</v>
      </c>
      <c r="E638" s="9">
        <v>2500</v>
      </c>
      <c r="L638" s="12"/>
    </row>
    <row r="639" spans="1:12" x14ac:dyDescent="0.3">
      <c r="A639" s="3">
        <v>638</v>
      </c>
      <c r="B639" s="3" t="s">
        <v>573</v>
      </c>
      <c r="C639" s="3" t="s">
        <v>1008</v>
      </c>
      <c r="D639" s="3" t="s">
        <v>1009</v>
      </c>
      <c r="E639" s="9">
        <v>8000</v>
      </c>
      <c r="L639" s="12"/>
    </row>
    <row r="640" spans="1:12" x14ac:dyDescent="0.3">
      <c r="A640" s="3">
        <v>639</v>
      </c>
      <c r="B640" s="3" t="s">
        <v>573</v>
      </c>
      <c r="C640" s="3" t="s">
        <v>1056</v>
      </c>
      <c r="D640" s="3" t="s">
        <v>1057</v>
      </c>
      <c r="E640" s="9">
        <v>9000</v>
      </c>
      <c r="L640" s="12"/>
    </row>
    <row r="641" spans="1:12" x14ac:dyDescent="0.3">
      <c r="A641" s="3">
        <v>640</v>
      </c>
      <c r="B641" s="3" t="s">
        <v>573</v>
      </c>
      <c r="C641" s="3" t="s">
        <v>1010</v>
      </c>
      <c r="D641" s="3" t="s">
        <v>1011</v>
      </c>
      <c r="E641" s="9">
        <v>8000</v>
      </c>
      <c r="L641" s="12"/>
    </row>
    <row r="642" spans="1:12" x14ac:dyDescent="0.3">
      <c r="A642" s="3">
        <v>641</v>
      </c>
      <c r="B642" s="3" t="s">
        <v>573</v>
      </c>
      <c r="C642" s="3" t="s">
        <v>1012</v>
      </c>
      <c r="D642" s="3" t="s">
        <v>1013</v>
      </c>
      <c r="E642" s="9">
        <v>6000</v>
      </c>
      <c r="L642" s="12"/>
    </row>
    <row r="643" spans="1:12" x14ac:dyDescent="0.3">
      <c r="A643" s="3">
        <v>642</v>
      </c>
      <c r="B643" s="3" t="s">
        <v>578</v>
      </c>
      <c r="C643" s="3" t="s">
        <v>1027</v>
      </c>
      <c r="D643" s="3" t="s">
        <v>1028</v>
      </c>
      <c r="E643" s="9">
        <v>4000</v>
      </c>
      <c r="L643" s="12"/>
    </row>
    <row r="644" spans="1:12" x14ac:dyDescent="0.3">
      <c r="A644" s="3">
        <v>643</v>
      </c>
      <c r="B644" s="3" t="s">
        <v>578</v>
      </c>
      <c r="C644" s="3" t="s">
        <v>1029</v>
      </c>
      <c r="D644" s="3" t="s">
        <v>1030</v>
      </c>
      <c r="E644" s="9">
        <v>5000</v>
      </c>
      <c r="L644" s="12"/>
    </row>
    <row r="645" spans="1:12" x14ac:dyDescent="0.3">
      <c r="A645" s="3">
        <v>644</v>
      </c>
      <c r="B645" s="3" t="s">
        <v>578</v>
      </c>
      <c r="C645" s="3" t="s">
        <v>1031</v>
      </c>
      <c r="D645" s="3" t="s">
        <v>1032</v>
      </c>
      <c r="E645" s="9">
        <v>5000</v>
      </c>
      <c r="L645" s="12"/>
    </row>
    <row r="646" spans="1:12" x14ac:dyDescent="0.3">
      <c r="A646" s="3">
        <v>645</v>
      </c>
      <c r="B646" s="3" t="s">
        <v>578</v>
      </c>
      <c r="C646" s="3" t="s">
        <v>1033</v>
      </c>
      <c r="D646" s="3" t="s">
        <v>1034</v>
      </c>
      <c r="E646" s="9">
        <v>6000</v>
      </c>
      <c r="L646" s="12"/>
    </row>
    <row r="647" spans="1:12" x14ac:dyDescent="0.3">
      <c r="A647" s="3">
        <v>646</v>
      </c>
      <c r="B647" s="3" t="s">
        <v>578</v>
      </c>
      <c r="C647" s="3" t="s">
        <v>1035</v>
      </c>
      <c r="D647" s="3" t="s">
        <v>1036</v>
      </c>
      <c r="E647" s="9">
        <v>5000</v>
      </c>
      <c r="L647" s="12"/>
    </row>
    <row r="648" spans="1:12" x14ac:dyDescent="0.3">
      <c r="A648" s="3">
        <v>647</v>
      </c>
      <c r="B648" s="3" t="s">
        <v>578</v>
      </c>
      <c r="C648" s="3" t="s">
        <v>1037</v>
      </c>
      <c r="D648" s="3" t="s">
        <v>1038</v>
      </c>
      <c r="E648" s="9">
        <v>2000</v>
      </c>
      <c r="L648" s="12"/>
    </row>
    <row r="649" spans="1:12" x14ac:dyDescent="0.3">
      <c r="A649" s="3">
        <v>648</v>
      </c>
      <c r="B649" s="3" t="s">
        <v>578</v>
      </c>
      <c r="C649" s="3" t="s">
        <v>1064</v>
      </c>
      <c r="D649" s="3" t="s">
        <v>1065</v>
      </c>
      <c r="E649" s="9">
        <v>4000</v>
      </c>
      <c r="L649" s="12"/>
    </row>
    <row r="650" spans="1:12" x14ac:dyDescent="0.3">
      <c r="A650" s="3">
        <v>649</v>
      </c>
      <c r="B650" s="3" t="s">
        <v>578</v>
      </c>
      <c r="C650" s="3" t="s">
        <v>1066</v>
      </c>
      <c r="D650" s="3" t="s">
        <v>1067</v>
      </c>
      <c r="E650" s="9">
        <v>6500</v>
      </c>
      <c r="L650" s="12"/>
    </row>
    <row r="651" spans="1:12" x14ac:dyDescent="0.3">
      <c r="A651" s="3">
        <v>650</v>
      </c>
      <c r="B651" s="3" t="s">
        <v>578</v>
      </c>
      <c r="C651" s="3" t="s">
        <v>1068</v>
      </c>
      <c r="D651" s="3" t="s">
        <v>1069</v>
      </c>
      <c r="E651" s="9">
        <v>8000</v>
      </c>
      <c r="L651" s="12"/>
    </row>
    <row r="652" spans="1:12" x14ac:dyDescent="0.3">
      <c r="A652" s="3">
        <v>651</v>
      </c>
      <c r="B652" s="3" t="s">
        <v>578</v>
      </c>
      <c r="C652" s="3" t="s">
        <v>965</v>
      </c>
      <c r="D652" s="3" t="s">
        <v>1026</v>
      </c>
      <c r="E652" s="9">
        <v>1500</v>
      </c>
      <c r="L652" s="12"/>
    </row>
    <row r="653" spans="1:12" x14ac:dyDescent="0.3">
      <c r="A653" s="3">
        <v>652</v>
      </c>
      <c r="B653" s="3" t="s">
        <v>583</v>
      </c>
      <c r="C653" s="3" t="s">
        <v>945</v>
      </c>
      <c r="D653" s="3" t="s">
        <v>1097</v>
      </c>
      <c r="E653" s="9">
        <v>15000</v>
      </c>
      <c r="L653" s="12"/>
    </row>
    <row r="654" spans="1:12" x14ac:dyDescent="0.3">
      <c r="A654" s="3">
        <v>653</v>
      </c>
      <c r="B654" s="3" t="s">
        <v>583</v>
      </c>
      <c r="C654" s="3" t="s">
        <v>947</v>
      </c>
      <c r="D654" s="3" t="s">
        <v>948</v>
      </c>
      <c r="E654" s="9">
        <v>5000</v>
      </c>
      <c r="L654" s="12"/>
    </row>
    <row r="655" spans="1:12" x14ac:dyDescent="0.3">
      <c r="A655" s="3">
        <v>654</v>
      </c>
      <c r="B655" s="3" t="s">
        <v>583</v>
      </c>
      <c r="C655" s="3" t="s">
        <v>949</v>
      </c>
      <c r="D655" s="3" t="s">
        <v>1073</v>
      </c>
      <c r="E655" s="9">
        <v>4000</v>
      </c>
      <c r="L655" s="12"/>
    </row>
    <row r="656" spans="1:12" x14ac:dyDescent="0.3">
      <c r="A656" s="3">
        <v>655</v>
      </c>
      <c r="B656" s="3" t="s">
        <v>583</v>
      </c>
      <c r="C656" s="3" t="s">
        <v>951</v>
      </c>
      <c r="D656" s="3" t="s">
        <v>952</v>
      </c>
      <c r="E656" s="9">
        <v>17000</v>
      </c>
      <c r="L656" s="12"/>
    </row>
    <row r="657" spans="1:12" x14ac:dyDescent="0.3">
      <c r="A657" s="3">
        <v>656</v>
      </c>
      <c r="B657" s="3" t="s">
        <v>583</v>
      </c>
      <c r="C657" s="3" t="s">
        <v>953</v>
      </c>
      <c r="D657" s="3" t="s">
        <v>954</v>
      </c>
      <c r="E657" s="9">
        <v>11000</v>
      </c>
      <c r="L657" s="12"/>
    </row>
    <row r="658" spans="1:12" x14ac:dyDescent="0.3">
      <c r="A658" s="3">
        <v>657</v>
      </c>
      <c r="B658" s="3" t="s">
        <v>583</v>
      </c>
      <c r="C658" s="3" t="s">
        <v>955</v>
      </c>
      <c r="D658" s="3" t="s">
        <v>1074</v>
      </c>
      <c r="E658" s="9">
        <v>6000</v>
      </c>
      <c r="L658" s="12"/>
    </row>
    <row r="659" spans="1:12" x14ac:dyDescent="0.3">
      <c r="A659" s="3">
        <v>658</v>
      </c>
      <c r="B659" s="3" t="s">
        <v>583</v>
      </c>
      <c r="C659" s="3" t="s">
        <v>957</v>
      </c>
      <c r="D659" s="3" t="s">
        <v>958</v>
      </c>
      <c r="E659" s="9">
        <v>4500</v>
      </c>
      <c r="L659" s="12"/>
    </row>
    <row r="660" spans="1:12" x14ac:dyDescent="0.3">
      <c r="A660" s="3">
        <v>659</v>
      </c>
      <c r="B660" s="3" t="s">
        <v>583</v>
      </c>
      <c r="C660" s="3" t="s">
        <v>959</v>
      </c>
      <c r="D660" s="3" t="s">
        <v>960</v>
      </c>
      <c r="E660" s="9">
        <v>8500</v>
      </c>
      <c r="L660" s="12"/>
    </row>
    <row r="661" spans="1:12" x14ac:dyDescent="0.3">
      <c r="A661" s="3">
        <v>660</v>
      </c>
      <c r="B661" s="3" t="s">
        <v>583</v>
      </c>
      <c r="C661" s="3" t="s">
        <v>961</v>
      </c>
      <c r="D661" s="3" t="s">
        <v>962</v>
      </c>
      <c r="E661" s="9">
        <v>2000</v>
      </c>
      <c r="L661" s="12"/>
    </row>
    <row r="662" spans="1:12" x14ac:dyDescent="0.3">
      <c r="A662" s="3">
        <v>661</v>
      </c>
      <c r="B662" s="3" t="s">
        <v>588</v>
      </c>
      <c r="C662" s="3" t="s">
        <v>1027</v>
      </c>
      <c r="D662" s="3" t="s">
        <v>1028</v>
      </c>
      <c r="E662" s="9">
        <v>4000</v>
      </c>
      <c r="L662" s="12"/>
    </row>
    <row r="663" spans="1:12" x14ac:dyDescent="0.3">
      <c r="A663" s="3">
        <v>662</v>
      </c>
      <c r="B663" s="3" t="s">
        <v>588</v>
      </c>
      <c r="C663" s="3" t="s">
        <v>1029</v>
      </c>
      <c r="D663" s="3" t="s">
        <v>1030</v>
      </c>
      <c r="E663" s="9">
        <v>5000</v>
      </c>
      <c r="L663" s="12"/>
    </row>
    <row r="664" spans="1:12" x14ac:dyDescent="0.3">
      <c r="A664" s="3">
        <v>663</v>
      </c>
      <c r="B664" s="3" t="s">
        <v>588</v>
      </c>
      <c r="C664" s="3" t="s">
        <v>1031</v>
      </c>
      <c r="D664" s="3" t="s">
        <v>1032</v>
      </c>
      <c r="E664" s="9">
        <v>5000</v>
      </c>
      <c r="L664" s="12"/>
    </row>
    <row r="665" spans="1:12" x14ac:dyDescent="0.3">
      <c r="A665" s="3">
        <v>664</v>
      </c>
      <c r="B665" s="3" t="s">
        <v>588</v>
      </c>
      <c r="C665" s="3" t="s">
        <v>1033</v>
      </c>
      <c r="D665" s="3" t="s">
        <v>1034</v>
      </c>
      <c r="E665" s="9">
        <v>6000</v>
      </c>
      <c r="L665" s="12"/>
    </row>
    <row r="666" spans="1:12" x14ac:dyDescent="0.3">
      <c r="A666" s="3">
        <v>665</v>
      </c>
      <c r="B666" s="3" t="s">
        <v>588</v>
      </c>
      <c r="C666" s="3" t="s">
        <v>1035</v>
      </c>
      <c r="D666" s="3" t="s">
        <v>1036</v>
      </c>
      <c r="E666" s="9">
        <v>5000</v>
      </c>
      <c r="L666" s="12"/>
    </row>
    <row r="667" spans="1:12" x14ac:dyDescent="0.3">
      <c r="A667" s="3">
        <v>666</v>
      </c>
      <c r="B667" s="3" t="s">
        <v>588</v>
      </c>
      <c r="C667" s="3" t="s">
        <v>1037</v>
      </c>
      <c r="D667" s="3" t="s">
        <v>1038</v>
      </c>
      <c r="E667" s="9">
        <v>2000</v>
      </c>
      <c r="L667" s="12"/>
    </row>
    <row r="668" spans="1:12" x14ac:dyDescent="0.3">
      <c r="A668" s="3">
        <v>667</v>
      </c>
      <c r="B668" s="3" t="s">
        <v>588</v>
      </c>
      <c r="C668" s="3" t="s">
        <v>1064</v>
      </c>
      <c r="D668" s="3" t="s">
        <v>1065</v>
      </c>
      <c r="E668" s="9">
        <v>4000</v>
      </c>
      <c r="L668" s="12"/>
    </row>
    <row r="669" spans="1:12" x14ac:dyDescent="0.3">
      <c r="A669" s="3">
        <v>668</v>
      </c>
      <c r="B669" s="3" t="s">
        <v>588</v>
      </c>
      <c r="C669" s="3" t="s">
        <v>1066</v>
      </c>
      <c r="D669" s="3" t="s">
        <v>1067</v>
      </c>
      <c r="E669" s="9">
        <v>6500</v>
      </c>
      <c r="L669" s="12"/>
    </row>
    <row r="670" spans="1:12" x14ac:dyDescent="0.3">
      <c r="A670" s="3">
        <v>669</v>
      </c>
      <c r="B670" s="3" t="s">
        <v>588</v>
      </c>
      <c r="C670" s="3" t="s">
        <v>1068</v>
      </c>
      <c r="D670" s="3" t="s">
        <v>1069</v>
      </c>
      <c r="E670" s="9">
        <v>8000</v>
      </c>
      <c r="L670" s="12"/>
    </row>
    <row r="671" spans="1:12" x14ac:dyDescent="0.3">
      <c r="A671" s="3">
        <v>670</v>
      </c>
      <c r="B671" s="3" t="s">
        <v>593</v>
      </c>
      <c r="C671" s="3" t="s">
        <v>1027</v>
      </c>
      <c r="D671" s="3" t="s">
        <v>1028</v>
      </c>
      <c r="E671" s="9">
        <v>4000</v>
      </c>
      <c r="L671" s="12"/>
    </row>
    <row r="672" spans="1:12" x14ac:dyDescent="0.3">
      <c r="A672" s="3">
        <v>671</v>
      </c>
      <c r="B672" s="3" t="s">
        <v>593</v>
      </c>
      <c r="C672" s="3" t="s">
        <v>1029</v>
      </c>
      <c r="D672" s="3" t="s">
        <v>1030</v>
      </c>
      <c r="E672" s="9">
        <v>5000</v>
      </c>
      <c r="L672" s="12"/>
    </row>
    <row r="673" spans="1:12" x14ac:dyDescent="0.3">
      <c r="A673" s="3">
        <v>672</v>
      </c>
      <c r="B673" s="3" t="s">
        <v>593</v>
      </c>
      <c r="C673" s="3" t="s">
        <v>1031</v>
      </c>
      <c r="D673" s="3" t="s">
        <v>1032</v>
      </c>
      <c r="E673" s="9">
        <v>5000</v>
      </c>
      <c r="L673" s="12"/>
    </row>
    <row r="674" spans="1:12" x14ac:dyDescent="0.3">
      <c r="A674" s="3">
        <v>673</v>
      </c>
      <c r="B674" s="3" t="s">
        <v>593</v>
      </c>
      <c r="C674" s="3" t="s">
        <v>1033</v>
      </c>
      <c r="D674" s="3" t="s">
        <v>1034</v>
      </c>
      <c r="E674" s="9">
        <v>6000</v>
      </c>
      <c r="L674" s="12"/>
    </row>
    <row r="675" spans="1:12" x14ac:dyDescent="0.3">
      <c r="A675" s="3">
        <v>674</v>
      </c>
      <c r="B675" s="3" t="s">
        <v>593</v>
      </c>
      <c r="C675" s="3" t="s">
        <v>1035</v>
      </c>
      <c r="D675" s="3" t="s">
        <v>1036</v>
      </c>
      <c r="E675" s="9">
        <v>5000</v>
      </c>
      <c r="L675" s="12"/>
    </row>
    <row r="676" spans="1:12" x14ac:dyDescent="0.3">
      <c r="A676" s="3">
        <v>675</v>
      </c>
      <c r="B676" s="3" t="s">
        <v>593</v>
      </c>
      <c r="C676" s="3" t="s">
        <v>1037</v>
      </c>
      <c r="D676" s="3" t="s">
        <v>1038</v>
      </c>
      <c r="E676" s="9">
        <v>2000</v>
      </c>
      <c r="L676" s="12"/>
    </row>
    <row r="677" spans="1:12" x14ac:dyDescent="0.3">
      <c r="A677" s="3">
        <v>676</v>
      </c>
      <c r="B677" s="3" t="s">
        <v>593</v>
      </c>
      <c r="C677" s="3" t="s">
        <v>1064</v>
      </c>
      <c r="D677" s="3" t="s">
        <v>1065</v>
      </c>
      <c r="E677" s="9">
        <v>4000</v>
      </c>
      <c r="L677" s="12"/>
    </row>
    <row r="678" spans="1:12" x14ac:dyDescent="0.3">
      <c r="A678" s="3">
        <v>677</v>
      </c>
      <c r="B678" s="3" t="s">
        <v>593</v>
      </c>
      <c r="C678" s="3" t="s">
        <v>1066</v>
      </c>
      <c r="D678" s="3" t="s">
        <v>1067</v>
      </c>
      <c r="E678" s="9">
        <v>6500</v>
      </c>
      <c r="L678" s="12"/>
    </row>
    <row r="679" spans="1:12" x14ac:dyDescent="0.3">
      <c r="A679" s="3">
        <v>678</v>
      </c>
      <c r="B679" s="3" t="s">
        <v>593</v>
      </c>
      <c r="C679" s="3" t="s">
        <v>1068</v>
      </c>
      <c r="D679" s="3" t="s">
        <v>1069</v>
      </c>
      <c r="E679" s="9">
        <v>8000</v>
      </c>
      <c r="L679" s="12"/>
    </row>
    <row r="680" spans="1:12" x14ac:dyDescent="0.3">
      <c r="A680" s="3">
        <v>679</v>
      </c>
      <c r="B680" s="3" t="s">
        <v>598</v>
      </c>
      <c r="C680" s="3" t="s">
        <v>945</v>
      </c>
      <c r="D680" s="3" t="s">
        <v>1097</v>
      </c>
      <c r="E680" s="9">
        <v>15000</v>
      </c>
      <c r="L680" s="12"/>
    </row>
    <row r="681" spans="1:12" x14ac:dyDescent="0.3">
      <c r="A681" s="3">
        <v>680</v>
      </c>
      <c r="B681" s="3" t="s">
        <v>598</v>
      </c>
      <c r="C681" s="3" t="s">
        <v>947</v>
      </c>
      <c r="D681" s="3" t="s">
        <v>948</v>
      </c>
      <c r="E681" s="9">
        <v>5000</v>
      </c>
      <c r="L681" s="12"/>
    </row>
    <row r="682" spans="1:12" x14ac:dyDescent="0.3">
      <c r="A682" s="3">
        <v>681</v>
      </c>
      <c r="B682" s="3" t="s">
        <v>598</v>
      </c>
      <c r="C682" s="3" t="s">
        <v>949</v>
      </c>
      <c r="D682" s="3" t="s">
        <v>1073</v>
      </c>
      <c r="E682" s="9">
        <v>4000</v>
      </c>
      <c r="L682" s="12"/>
    </row>
    <row r="683" spans="1:12" x14ac:dyDescent="0.3">
      <c r="A683" s="3">
        <v>682</v>
      </c>
      <c r="B683" s="3" t="s">
        <v>598</v>
      </c>
      <c r="C683" s="3" t="s">
        <v>951</v>
      </c>
      <c r="D683" s="3" t="s">
        <v>952</v>
      </c>
      <c r="E683" s="9">
        <v>17000</v>
      </c>
      <c r="L683" s="12"/>
    </row>
    <row r="684" spans="1:12" x14ac:dyDescent="0.3">
      <c r="A684" s="3">
        <v>683</v>
      </c>
      <c r="B684" s="3" t="s">
        <v>598</v>
      </c>
      <c r="C684" s="3" t="s">
        <v>953</v>
      </c>
      <c r="D684" s="3" t="s">
        <v>954</v>
      </c>
      <c r="E684" s="9">
        <v>11000</v>
      </c>
      <c r="L684" s="12"/>
    </row>
    <row r="685" spans="1:12" x14ac:dyDescent="0.3">
      <c r="A685" s="3">
        <v>684</v>
      </c>
      <c r="B685" s="3" t="s">
        <v>598</v>
      </c>
      <c r="C685" s="3" t="s">
        <v>955</v>
      </c>
      <c r="D685" s="3" t="s">
        <v>1074</v>
      </c>
      <c r="E685" s="9">
        <v>6000</v>
      </c>
      <c r="L685" s="12"/>
    </row>
    <row r="686" spans="1:12" x14ac:dyDescent="0.3">
      <c r="A686" s="3">
        <v>685</v>
      </c>
      <c r="B686" s="3" t="s">
        <v>598</v>
      </c>
      <c r="C686" s="3" t="s">
        <v>957</v>
      </c>
      <c r="D686" s="3" t="s">
        <v>958</v>
      </c>
      <c r="E686" s="9">
        <v>4500</v>
      </c>
      <c r="L686" s="12"/>
    </row>
    <row r="687" spans="1:12" x14ac:dyDescent="0.3">
      <c r="A687" s="3">
        <v>686</v>
      </c>
      <c r="B687" s="3" t="s">
        <v>598</v>
      </c>
      <c r="C687" s="3" t="s">
        <v>959</v>
      </c>
      <c r="D687" s="3" t="s">
        <v>960</v>
      </c>
      <c r="E687" s="9">
        <v>8500</v>
      </c>
      <c r="L687" s="12"/>
    </row>
    <row r="688" spans="1:12" x14ac:dyDescent="0.3">
      <c r="A688" s="3">
        <v>687</v>
      </c>
      <c r="B688" s="3" t="s">
        <v>598</v>
      </c>
      <c r="C688" s="3" t="s">
        <v>961</v>
      </c>
      <c r="D688" s="3" t="s">
        <v>962</v>
      </c>
      <c r="E688" s="9">
        <v>2000</v>
      </c>
      <c r="L688" s="12"/>
    </row>
    <row r="689" spans="1:12" x14ac:dyDescent="0.3">
      <c r="A689" s="3">
        <v>688</v>
      </c>
      <c r="B689" s="3" t="s">
        <v>603</v>
      </c>
      <c r="C689" s="3" t="s">
        <v>992</v>
      </c>
      <c r="D689" s="3" t="s">
        <v>993</v>
      </c>
      <c r="E689" s="9">
        <v>5000</v>
      </c>
      <c r="L689" s="12"/>
    </row>
    <row r="690" spans="1:12" x14ac:dyDescent="0.3">
      <c r="A690" s="3">
        <v>689</v>
      </c>
      <c r="B690" s="3" t="s">
        <v>603</v>
      </c>
      <c r="C690" s="3" t="s">
        <v>994</v>
      </c>
      <c r="D690" s="3" t="s">
        <v>995</v>
      </c>
      <c r="E690" s="9">
        <v>6000</v>
      </c>
      <c r="L690" s="12"/>
    </row>
    <row r="691" spans="1:12" x14ac:dyDescent="0.3">
      <c r="A691" s="3">
        <v>690</v>
      </c>
      <c r="B691" s="3" t="s">
        <v>603</v>
      </c>
      <c r="C691" s="3" t="s">
        <v>996</v>
      </c>
      <c r="D691" s="3" t="s">
        <v>997</v>
      </c>
      <c r="E691" s="9">
        <v>5500</v>
      </c>
      <c r="L691" s="12"/>
    </row>
    <row r="692" spans="1:12" x14ac:dyDescent="0.3">
      <c r="A692" s="3">
        <v>691</v>
      </c>
      <c r="B692" s="3" t="s">
        <v>603</v>
      </c>
      <c r="C692" s="3" t="s">
        <v>998</v>
      </c>
      <c r="D692" s="3" t="s">
        <v>999</v>
      </c>
      <c r="E692" s="9">
        <v>6000</v>
      </c>
      <c r="L692" s="12"/>
    </row>
    <row r="693" spans="1:12" x14ac:dyDescent="0.3">
      <c r="A693" s="3">
        <v>692</v>
      </c>
      <c r="B693" s="3" t="s">
        <v>603</v>
      </c>
      <c r="C693" s="3" t="s">
        <v>1000</v>
      </c>
      <c r="D693" s="3" t="s">
        <v>1001</v>
      </c>
      <c r="E693" s="9">
        <v>4500</v>
      </c>
      <c r="L693" s="12"/>
    </row>
    <row r="694" spans="1:12" x14ac:dyDescent="0.3">
      <c r="A694" s="3">
        <v>693</v>
      </c>
      <c r="B694" s="3" t="s">
        <v>603</v>
      </c>
      <c r="C694" s="3" t="s">
        <v>1002</v>
      </c>
      <c r="D694" s="3" t="s">
        <v>1003</v>
      </c>
      <c r="E694" s="9">
        <v>4000</v>
      </c>
      <c r="L694" s="12"/>
    </row>
    <row r="695" spans="1:12" x14ac:dyDescent="0.3">
      <c r="A695" s="3">
        <v>694</v>
      </c>
      <c r="B695" s="3" t="s">
        <v>603</v>
      </c>
      <c r="C695" s="3" t="s">
        <v>1004</v>
      </c>
      <c r="D695" s="3" t="s">
        <v>1005</v>
      </c>
      <c r="E695" s="9">
        <v>3000</v>
      </c>
      <c r="L695" s="12"/>
    </row>
    <row r="696" spans="1:12" x14ac:dyDescent="0.3">
      <c r="A696" s="3">
        <v>695</v>
      </c>
      <c r="B696" s="3" t="s">
        <v>603</v>
      </c>
      <c r="C696" s="3" t="s">
        <v>1006</v>
      </c>
      <c r="D696" s="3" t="s">
        <v>1007</v>
      </c>
      <c r="E696" s="9">
        <v>2500</v>
      </c>
      <c r="L696" s="12"/>
    </row>
    <row r="697" spans="1:12" x14ac:dyDescent="0.3">
      <c r="A697" s="3">
        <v>696</v>
      </c>
      <c r="B697" s="3" t="s">
        <v>603</v>
      </c>
      <c r="C697" s="3" t="s">
        <v>1008</v>
      </c>
      <c r="D697" s="3" t="s">
        <v>1009</v>
      </c>
      <c r="E697" s="9">
        <v>8000</v>
      </c>
      <c r="L697" s="12"/>
    </row>
    <row r="698" spans="1:12" x14ac:dyDescent="0.3">
      <c r="A698" s="3">
        <v>697</v>
      </c>
      <c r="B698" s="3" t="s">
        <v>603</v>
      </c>
      <c r="C698" s="3" t="s">
        <v>1056</v>
      </c>
      <c r="D698" s="3" t="s">
        <v>1057</v>
      </c>
      <c r="E698" s="9">
        <v>9000</v>
      </c>
      <c r="L698" s="12"/>
    </row>
    <row r="699" spans="1:12" x14ac:dyDescent="0.3">
      <c r="A699" s="3">
        <v>698</v>
      </c>
      <c r="B699" s="3" t="s">
        <v>603</v>
      </c>
      <c r="C699" s="3" t="s">
        <v>1010</v>
      </c>
      <c r="D699" s="3" t="s">
        <v>1011</v>
      </c>
      <c r="E699" s="9">
        <v>8000</v>
      </c>
      <c r="L699" s="12"/>
    </row>
    <row r="700" spans="1:12" x14ac:dyDescent="0.3">
      <c r="A700" s="3">
        <v>699</v>
      </c>
      <c r="B700" s="3" t="s">
        <v>603</v>
      </c>
      <c r="C700" s="3" t="s">
        <v>1012</v>
      </c>
      <c r="D700" s="3" t="s">
        <v>1013</v>
      </c>
      <c r="E700" s="9">
        <v>6000</v>
      </c>
      <c r="L700" s="12"/>
    </row>
    <row r="701" spans="1:12" x14ac:dyDescent="0.3">
      <c r="A701" s="3">
        <v>700</v>
      </c>
      <c r="B701" s="3" t="s">
        <v>608</v>
      </c>
      <c r="C701" s="3" t="s">
        <v>1103</v>
      </c>
      <c r="D701" s="3" t="s">
        <v>1104</v>
      </c>
      <c r="E701" s="9">
        <v>1500</v>
      </c>
      <c r="L701" s="12"/>
    </row>
    <row r="702" spans="1:12" x14ac:dyDescent="0.3">
      <c r="A702" s="3">
        <v>701</v>
      </c>
      <c r="B702" s="3" t="s">
        <v>608</v>
      </c>
      <c r="C702" s="3" t="s">
        <v>1105</v>
      </c>
      <c r="D702" s="3" t="s">
        <v>1106</v>
      </c>
      <c r="E702" s="9">
        <v>2000</v>
      </c>
      <c r="L702" s="12"/>
    </row>
    <row r="703" spans="1:12" x14ac:dyDescent="0.3">
      <c r="A703" s="3">
        <v>702</v>
      </c>
      <c r="B703" s="3" t="s">
        <v>608</v>
      </c>
      <c r="C703" s="3" t="s">
        <v>1107</v>
      </c>
      <c r="D703" s="3" t="s">
        <v>1108</v>
      </c>
      <c r="E703" s="9">
        <v>1500</v>
      </c>
      <c r="L703" s="12"/>
    </row>
    <row r="704" spans="1:12" x14ac:dyDescent="0.3">
      <c r="A704" s="3">
        <v>703</v>
      </c>
      <c r="B704" s="3" t="s">
        <v>608</v>
      </c>
      <c r="C704" s="3" t="s">
        <v>1109</v>
      </c>
      <c r="D704" s="3" t="s">
        <v>1110</v>
      </c>
      <c r="E704" s="9">
        <v>2000</v>
      </c>
      <c r="L704" s="12"/>
    </row>
    <row r="705" spans="1:12" x14ac:dyDescent="0.3">
      <c r="A705" s="3">
        <v>704</v>
      </c>
      <c r="B705" s="3" t="s">
        <v>608</v>
      </c>
      <c r="C705" s="3" t="s">
        <v>1111</v>
      </c>
      <c r="D705" s="3" t="s">
        <v>1112</v>
      </c>
      <c r="E705" s="9">
        <v>2000</v>
      </c>
      <c r="L705" s="12"/>
    </row>
    <row r="706" spans="1:12" x14ac:dyDescent="0.3">
      <c r="A706" s="3">
        <v>705</v>
      </c>
      <c r="B706" s="3" t="s">
        <v>608</v>
      </c>
      <c r="C706" s="3" t="s">
        <v>1113</v>
      </c>
      <c r="D706" s="3" t="s">
        <v>1114</v>
      </c>
      <c r="E706" s="9">
        <v>2500</v>
      </c>
      <c r="L706" s="12"/>
    </row>
    <row r="707" spans="1:12" x14ac:dyDescent="0.3">
      <c r="A707" s="3">
        <v>706</v>
      </c>
      <c r="B707" s="3" t="s">
        <v>608</v>
      </c>
      <c r="C707" s="3" t="s">
        <v>1115</v>
      </c>
      <c r="D707" s="3" t="s">
        <v>1116</v>
      </c>
      <c r="E707" s="9">
        <v>2000</v>
      </c>
      <c r="L707" s="12"/>
    </row>
    <row r="708" spans="1:12" x14ac:dyDescent="0.3">
      <c r="A708" s="3">
        <v>707</v>
      </c>
      <c r="B708" s="3" t="s">
        <v>608</v>
      </c>
      <c r="C708" s="3" t="s">
        <v>1117</v>
      </c>
      <c r="D708" s="3" t="s">
        <v>1118</v>
      </c>
      <c r="E708" s="9">
        <v>2500</v>
      </c>
      <c r="L708" s="12"/>
    </row>
    <row r="709" spans="1:12" x14ac:dyDescent="0.3">
      <c r="A709" s="3">
        <v>708</v>
      </c>
      <c r="B709" s="3" t="s">
        <v>608</v>
      </c>
      <c r="C709" s="3" t="s">
        <v>1119</v>
      </c>
      <c r="D709" s="3" t="s">
        <v>1120</v>
      </c>
      <c r="E709" s="9">
        <v>3000</v>
      </c>
      <c r="L709" s="12"/>
    </row>
    <row r="710" spans="1:12" x14ac:dyDescent="0.3">
      <c r="A710" s="3">
        <v>709</v>
      </c>
      <c r="B710" s="3" t="s">
        <v>613</v>
      </c>
      <c r="C710" s="3" t="s">
        <v>945</v>
      </c>
      <c r="D710" s="3" t="s">
        <v>1097</v>
      </c>
      <c r="E710" s="9">
        <v>15000</v>
      </c>
      <c r="L710" s="12"/>
    </row>
    <row r="711" spans="1:12" x14ac:dyDescent="0.3">
      <c r="A711" s="3">
        <v>710</v>
      </c>
      <c r="B711" s="3" t="s">
        <v>613</v>
      </c>
      <c r="C711" s="3" t="s">
        <v>947</v>
      </c>
      <c r="D711" s="3" t="s">
        <v>948</v>
      </c>
      <c r="E711" s="9">
        <v>5000</v>
      </c>
      <c r="L711" s="12"/>
    </row>
    <row r="712" spans="1:12" x14ac:dyDescent="0.3">
      <c r="A712" s="3">
        <v>711</v>
      </c>
      <c r="B712" s="3" t="s">
        <v>613</v>
      </c>
      <c r="C712" s="3" t="s">
        <v>949</v>
      </c>
      <c r="D712" s="3" t="s">
        <v>1073</v>
      </c>
      <c r="E712" s="9">
        <v>4000</v>
      </c>
      <c r="L712" s="12"/>
    </row>
    <row r="713" spans="1:12" x14ac:dyDescent="0.3">
      <c r="A713" s="3">
        <v>712</v>
      </c>
      <c r="B713" s="3" t="s">
        <v>613</v>
      </c>
      <c r="C713" s="3" t="s">
        <v>951</v>
      </c>
      <c r="D713" s="3" t="s">
        <v>952</v>
      </c>
      <c r="E713" s="9">
        <v>17000</v>
      </c>
      <c r="L713" s="12"/>
    </row>
    <row r="714" spans="1:12" x14ac:dyDescent="0.3">
      <c r="A714" s="3">
        <v>713</v>
      </c>
      <c r="B714" s="3" t="s">
        <v>613</v>
      </c>
      <c r="C714" s="3" t="s">
        <v>953</v>
      </c>
      <c r="D714" s="3" t="s">
        <v>954</v>
      </c>
      <c r="E714" s="9">
        <v>11000</v>
      </c>
      <c r="L714" s="12"/>
    </row>
    <row r="715" spans="1:12" x14ac:dyDescent="0.3">
      <c r="A715" s="3">
        <v>714</v>
      </c>
      <c r="B715" s="3" t="s">
        <v>613</v>
      </c>
      <c r="C715" s="3" t="s">
        <v>955</v>
      </c>
      <c r="D715" s="3" t="s">
        <v>1074</v>
      </c>
      <c r="E715" s="9">
        <v>6000</v>
      </c>
      <c r="L715" s="12"/>
    </row>
    <row r="716" spans="1:12" x14ac:dyDescent="0.3">
      <c r="A716" s="3">
        <v>715</v>
      </c>
      <c r="B716" s="3" t="s">
        <v>613</v>
      </c>
      <c r="C716" s="3" t="s">
        <v>957</v>
      </c>
      <c r="D716" s="3" t="s">
        <v>958</v>
      </c>
      <c r="E716" s="9">
        <v>4500</v>
      </c>
      <c r="L716" s="12"/>
    </row>
    <row r="717" spans="1:12" x14ac:dyDescent="0.3">
      <c r="A717" s="3">
        <v>716</v>
      </c>
      <c r="B717" s="3" t="s">
        <v>613</v>
      </c>
      <c r="C717" s="3" t="s">
        <v>959</v>
      </c>
      <c r="D717" s="3" t="s">
        <v>960</v>
      </c>
      <c r="E717" s="9">
        <v>8500</v>
      </c>
      <c r="L717" s="12"/>
    </row>
    <row r="718" spans="1:12" x14ac:dyDescent="0.3">
      <c r="A718" s="3">
        <v>717</v>
      </c>
      <c r="B718" s="3" t="s">
        <v>613</v>
      </c>
      <c r="C718" s="3" t="s">
        <v>961</v>
      </c>
      <c r="D718" s="3" t="s">
        <v>962</v>
      </c>
      <c r="E718" s="9">
        <v>2000</v>
      </c>
      <c r="L718" s="12"/>
    </row>
    <row r="719" spans="1:12" x14ac:dyDescent="0.3">
      <c r="A719" s="3">
        <v>718</v>
      </c>
      <c r="B719" s="3" t="s">
        <v>618</v>
      </c>
      <c r="C719" s="3" t="s">
        <v>945</v>
      </c>
      <c r="D719" s="3" t="s">
        <v>1097</v>
      </c>
      <c r="E719" s="9">
        <v>15000</v>
      </c>
      <c r="L719" s="12"/>
    </row>
    <row r="720" spans="1:12" x14ac:dyDescent="0.3">
      <c r="A720" s="3">
        <v>719</v>
      </c>
      <c r="B720" s="3" t="s">
        <v>618</v>
      </c>
      <c r="C720" s="3" t="s">
        <v>947</v>
      </c>
      <c r="D720" s="3" t="s">
        <v>948</v>
      </c>
      <c r="E720" s="9">
        <v>5000</v>
      </c>
      <c r="L720" s="12"/>
    </row>
    <row r="721" spans="1:12" x14ac:dyDescent="0.3">
      <c r="A721" s="3">
        <v>720</v>
      </c>
      <c r="B721" s="3" t="s">
        <v>618</v>
      </c>
      <c r="C721" s="3" t="s">
        <v>949</v>
      </c>
      <c r="D721" s="3" t="s">
        <v>1073</v>
      </c>
      <c r="E721" s="9">
        <v>4000</v>
      </c>
      <c r="L721" s="12"/>
    </row>
    <row r="722" spans="1:12" x14ac:dyDescent="0.3">
      <c r="A722" s="3">
        <v>721</v>
      </c>
      <c r="B722" s="3" t="s">
        <v>618</v>
      </c>
      <c r="C722" s="3" t="s">
        <v>951</v>
      </c>
      <c r="D722" s="3" t="s">
        <v>952</v>
      </c>
      <c r="E722" s="9">
        <v>17000</v>
      </c>
      <c r="L722" s="12"/>
    </row>
    <row r="723" spans="1:12" x14ac:dyDescent="0.3">
      <c r="A723" s="3">
        <v>722</v>
      </c>
      <c r="B723" s="3" t="s">
        <v>618</v>
      </c>
      <c r="C723" s="3" t="s">
        <v>953</v>
      </c>
      <c r="D723" s="3" t="s">
        <v>954</v>
      </c>
      <c r="E723" s="9">
        <v>11000</v>
      </c>
      <c r="L723" s="12"/>
    </row>
    <row r="724" spans="1:12" x14ac:dyDescent="0.3">
      <c r="A724" s="3">
        <v>723</v>
      </c>
      <c r="B724" s="3" t="s">
        <v>618</v>
      </c>
      <c r="C724" s="3" t="s">
        <v>955</v>
      </c>
      <c r="D724" s="3" t="s">
        <v>1074</v>
      </c>
      <c r="E724" s="9">
        <v>6000</v>
      </c>
      <c r="L724" s="12"/>
    </row>
    <row r="725" spans="1:12" x14ac:dyDescent="0.3">
      <c r="A725" s="3">
        <v>724</v>
      </c>
      <c r="B725" s="3" t="s">
        <v>618</v>
      </c>
      <c r="C725" s="3" t="s">
        <v>957</v>
      </c>
      <c r="D725" s="3" t="s">
        <v>958</v>
      </c>
      <c r="E725" s="9">
        <v>4500</v>
      </c>
      <c r="L725" s="12"/>
    </row>
    <row r="726" spans="1:12" x14ac:dyDescent="0.3">
      <c r="A726" s="3">
        <v>725</v>
      </c>
      <c r="B726" s="3" t="s">
        <v>618</v>
      </c>
      <c r="C726" s="3" t="s">
        <v>959</v>
      </c>
      <c r="D726" s="3" t="s">
        <v>960</v>
      </c>
      <c r="E726" s="9">
        <v>8500</v>
      </c>
      <c r="L726" s="12"/>
    </row>
    <row r="727" spans="1:12" x14ac:dyDescent="0.3">
      <c r="A727" s="3">
        <v>726</v>
      </c>
      <c r="B727" s="3" t="s">
        <v>618</v>
      </c>
      <c r="C727" s="3" t="s">
        <v>961</v>
      </c>
      <c r="D727" s="3" t="s">
        <v>962</v>
      </c>
      <c r="E727" s="9">
        <v>2000</v>
      </c>
      <c r="L727" s="12"/>
    </row>
    <row r="728" spans="1:12" x14ac:dyDescent="0.3">
      <c r="A728" s="3">
        <v>727</v>
      </c>
      <c r="B728" s="3" t="s">
        <v>623</v>
      </c>
      <c r="C728" s="3" t="s">
        <v>945</v>
      </c>
      <c r="D728" s="3" t="s">
        <v>1097</v>
      </c>
      <c r="E728" s="9">
        <v>15000</v>
      </c>
      <c r="L728" s="12"/>
    </row>
    <row r="729" spans="1:12" x14ac:dyDescent="0.3">
      <c r="A729" s="3">
        <v>728</v>
      </c>
      <c r="B729" s="3" t="s">
        <v>623</v>
      </c>
      <c r="C729" s="3" t="s">
        <v>947</v>
      </c>
      <c r="D729" s="3" t="s">
        <v>948</v>
      </c>
      <c r="E729" s="9">
        <v>5000</v>
      </c>
      <c r="L729" s="12"/>
    </row>
    <row r="730" spans="1:12" x14ac:dyDescent="0.3">
      <c r="A730" s="3">
        <v>729</v>
      </c>
      <c r="B730" s="3" t="s">
        <v>623</v>
      </c>
      <c r="C730" s="3" t="s">
        <v>949</v>
      </c>
      <c r="D730" s="3" t="s">
        <v>1073</v>
      </c>
      <c r="E730" s="9">
        <v>4000</v>
      </c>
      <c r="L730" s="12"/>
    </row>
    <row r="731" spans="1:12" x14ac:dyDescent="0.3">
      <c r="A731" s="3">
        <v>730</v>
      </c>
      <c r="B731" s="3" t="s">
        <v>623</v>
      </c>
      <c r="C731" s="3" t="s">
        <v>951</v>
      </c>
      <c r="D731" s="3" t="s">
        <v>952</v>
      </c>
      <c r="E731" s="9">
        <v>17000</v>
      </c>
      <c r="L731" s="12"/>
    </row>
    <row r="732" spans="1:12" x14ac:dyDescent="0.3">
      <c r="A732" s="3">
        <v>731</v>
      </c>
      <c r="B732" s="3" t="s">
        <v>623</v>
      </c>
      <c r="C732" s="3" t="s">
        <v>953</v>
      </c>
      <c r="D732" s="3" t="s">
        <v>954</v>
      </c>
      <c r="E732" s="9">
        <v>11000</v>
      </c>
      <c r="L732" s="12"/>
    </row>
    <row r="733" spans="1:12" x14ac:dyDescent="0.3">
      <c r="A733" s="3">
        <v>732</v>
      </c>
      <c r="B733" s="3" t="s">
        <v>623</v>
      </c>
      <c r="C733" s="3" t="s">
        <v>955</v>
      </c>
      <c r="D733" s="3" t="s">
        <v>1074</v>
      </c>
      <c r="E733" s="9">
        <v>6000</v>
      </c>
      <c r="L733" s="12"/>
    </row>
    <row r="734" spans="1:12" x14ac:dyDescent="0.3">
      <c r="A734" s="3">
        <v>733</v>
      </c>
      <c r="B734" s="3" t="s">
        <v>623</v>
      </c>
      <c r="C734" s="3" t="s">
        <v>957</v>
      </c>
      <c r="D734" s="3" t="s">
        <v>958</v>
      </c>
      <c r="E734" s="9">
        <v>4500</v>
      </c>
      <c r="L734" s="12"/>
    </row>
    <row r="735" spans="1:12" x14ac:dyDescent="0.3">
      <c r="A735" s="3">
        <v>734</v>
      </c>
      <c r="B735" s="3" t="s">
        <v>623</v>
      </c>
      <c r="C735" s="3" t="s">
        <v>959</v>
      </c>
      <c r="D735" s="3" t="s">
        <v>960</v>
      </c>
      <c r="E735" s="9">
        <v>8500</v>
      </c>
      <c r="L735" s="12"/>
    </row>
    <row r="736" spans="1:12" x14ac:dyDescent="0.3">
      <c r="A736" s="3">
        <v>735</v>
      </c>
      <c r="B736" s="3" t="s">
        <v>623</v>
      </c>
      <c r="C736" s="3" t="s">
        <v>961</v>
      </c>
      <c r="D736" s="3" t="s">
        <v>962</v>
      </c>
      <c r="E736" s="9">
        <v>2000</v>
      </c>
      <c r="L736" s="12"/>
    </row>
    <row r="737" spans="1:12" x14ac:dyDescent="0.3">
      <c r="A737" s="3">
        <v>736</v>
      </c>
      <c r="B737" s="3" t="s">
        <v>628</v>
      </c>
      <c r="C737" s="3" t="s">
        <v>982</v>
      </c>
      <c r="D737" s="3" t="s">
        <v>983</v>
      </c>
      <c r="E737" s="9">
        <v>10000</v>
      </c>
      <c r="L737" s="12"/>
    </row>
    <row r="738" spans="1:12" x14ac:dyDescent="0.3">
      <c r="A738" s="3">
        <v>737</v>
      </c>
      <c r="B738" s="3" t="s">
        <v>628</v>
      </c>
      <c r="C738" s="3" t="s">
        <v>1098</v>
      </c>
      <c r="D738" s="3" t="s">
        <v>1099</v>
      </c>
      <c r="E738" s="9">
        <v>11000</v>
      </c>
      <c r="L738" s="12"/>
    </row>
    <row r="739" spans="1:12" x14ac:dyDescent="0.3">
      <c r="A739" s="3">
        <v>738</v>
      </c>
      <c r="B739" s="3" t="s">
        <v>628</v>
      </c>
      <c r="C739" s="3" t="s">
        <v>1100</v>
      </c>
      <c r="D739" s="3" t="s">
        <v>1101</v>
      </c>
      <c r="E739" s="9">
        <v>9000</v>
      </c>
      <c r="L739" s="12"/>
    </row>
    <row r="740" spans="1:12" x14ac:dyDescent="0.3">
      <c r="A740" s="3">
        <v>739</v>
      </c>
      <c r="B740" s="3" t="s">
        <v>628</v>
      </c>
      <c r="C740" s="3" t="s">
        <v>984</v>
      </c>
      <c r="D740" s="3" t="s">
        <v>985</v>
      </c>
      <c r="E740" s="9">
        <v>6000</v>
      </c>
      <c r="L740" s="12"/>
    </row>
    <row r="741" spans="1:12" x14ac:dyDescent="0.3">
      <c r="A741" s="3">
        <v>740</v>
      </c>
      <c r="B741" s="3" t="s">
        <v>628</v>
      </c>
      <c r="C741" s="3" t="s">
        <v>986</v>
      </c>
      <c r="D741" s="3" t="s">
        <v>987</v>
      </c>
      <c r="E741" s="9">
        <v>6500</v>
      </c>
      <c r="L741" s="12"/>
    </row>
    <row r="742" spans="1:12" x14ac:dyDescent="0.3">
      <c r="A742" s="3">
        <v>741</v>
      </c>
      <c r="B742" s="3" t="s">
        <v>628</v>
      </c>
      <c r="C742" s="3" t="s">
        <v>988</v>
      </c>
      <c r="D742" s="3" t="s">
        <v>989</v>
      </c>
      <c r="E742" s="9">
        <v>13000</v>
      </c>
      <c r="L742" s="12"/>
    </row>
    <row r="743" spans="1:12" x14ac:dyDescent="0.3">
      <c r="A743" s="3">
        <v>742</v>
      </c>
      <c r="B743" s="3" t="s">
        <v>628</v>
      </c>
      <c r="C743" s="3" t="s">
        <v>990</v>
      </c>
      <c r="D743" s="3" t="s">
        <v>991</v>
      </c>
      <c r="E743" s="9">
        <v>11000</v>
      </c>
      <c r="L743" s="12"/>
    </row>
    <row r="744" spans="1:12" x14ac:dyDescent="0.3">
      <c r="A744" s="3">
        <v>743</v>
      </c>
      <c r="B744" s="3" t="s">
        <v>633</v>
      </c>
      <c r="C744" s="3" t="s">
        <v>992</v>
      </c>
      <c r="D744" s="3" t="s">
        <v>993</v>
      </c>
      <c r="E744" s="9">
        <v>5000</v>
      </c>
      <c r="L744" s="12"/>
    </row>
    <row r="745" spans="1:12" x14ac:dyDescent="0.3">
      <c r="A745" s="3">
        <v>744</v>
      </c>
      <c r="B745" s="3" t="s">
        <v>633</v>
      </c>
      <c r="C745" s="3" t="s">
        <v>994</v>
      </c>
      <c r="D745" s="3" t="s">
        <v>995</v>
      </c>
      <c r="E745" s="9">
        <v>6000</v>
      </c>
      <c r="L745" s="12"/>
    </row>
    <row r="746" spans="1:12" x14ac:dyDescent="0.3">
      <c r="A746" s="3">
        <v>745</v>
      </c>
      <c r="B746" s="3" t="s">
        <v>633</v>
      </c>
      <c r="C746" s="3" t="s">
        <v>996</v>
      </c>
      <c r="D746" s="3" t="s">
        <v>997</v>
      </c>
      <c r="E746" s="9">
        <v>5500</v>
      </c>
      <c r="L746" s="12"/>
    </row>
    <row r="747" spans="1:12" x14ac:dyDescent="0.3">
      <c r="A747" s="3">
        <v>746</v>
      </c>
      <c r="B747" s="3" t="s">
        <v>633</v>
      </c>
      <c r="C747" s="3" t="s">
        <v>998</v>
      </c>
      <c r="D747" s="3" t="s">
        <v>999</v>
      </c>
      <c r="E747" s="9">
        <v>6000</v>
      </c>
      <c r="L747" s="12"/>
    </row>
    <row r="748" spans="1:12" x14ac:dyDescent="0.3">
      <c r="A748" s="3">
        <v>747</v>
      </c>
      <c r="B748" s="3" t="s">
        <v>633</v>
      </c>
      <c r="C748" s="3" t="s">
        <v>1000</v>
      </c>
      <c r="D748" s="3" t="s">
        <v>1001</v>
      </c>
      <c r="E748" s="9">
        <v>4500</v>
      </c>
      <c r="L748" s="12"/>
    </row>
    <row r="749" spans="1:12" x14ac:dyDescent="0.3">
      <c r="A749" s="3">
        <v>748</v>
      </c>
      <c r="B749" s="3" t="s">
        <v>633</v>
      </c>
      <c r="C749" s="3" t="s">
        <v>1002</v>
      </c>
      <c r="D749" s="3" t="s">
        <v>1003</v>
      </c>
      <c r="E749" s="9">
        <v>4000</v>
      </c>
      <c r="L749" s="12"/>
    </row>
    <row r="750" spans="1:12" x14ac:dyDescent="0.3">
      <c r="A750" s="3">
        <v>749</v>
      </c>
      <c r="B750" s="3" t="s">
        <v>633</v>
      </c>
      <c r="C750" s="3" t="s">
        <v>1004</v>
      </c>
      <c r="D750" s="3" t="s">
        <v>1005</v>
      </c>
      <c r="E750" s="9">
        <v>3000</v>
      </c>
      <c r="L750" s="12"/>
    </row>
    <row r="751" spans="1:12" x14ac:dyDescent="0.3">
      <c r="A751" s="3">
        <v>750</v>
      </c>
      <c r="B751" s="3" t="s">
        <v>633</v>
      </c>
      <c r="C751" s="3" t="s">
        <v>1006</v>
      </c>
      <c r="D751" s="3" t="s">
        <v>1007</v>
      </c>
      <c r="E751" s="9">
        <v>2500</v>
      </c>
      <c r="L751" s="12"/>
    </row>
    <row r="752" spans="1:12" x14ac:dyDescent="0.3">
      <c r="A752" s="3">
        <v>751</v>
      </c>
      <c r="B752" s="3" t="s">
        <v>633</v>
      </c>
      <c r="C752" s="3" t="s">
        <v>1008</v>
      </c>
      <c r="D752" s="3" t="s">
        <v>1009</v>
      </c>
      <c r="E752" s="9">
        <v>8000</v>
      </c>
      <c r="L752" s="12"/>
    </row>
    <row r="753" spans="1:12" x14ac:dyDescent="0.3">
      <c r="A753" s="3">
        <v>752</v>
      </c>
      <c r="B753" s="3" t="s">
        <v>633</v>
      </c>
      <c r="C753" s="3" t="s">
        <v>1056</v>
      </c>
      <c r="D753" s="3" t="s">
        <v>1057</v>
      </c>
      <c r="E753" s="9">
        <v>9000</v>
      </c>
      <c r="L753" s="12"/>
    </row>
    <row r="754" spans="1:12" x14ac:dyDescent="0.3">
      <c r="A754" s="3">
        <v>753</v>
      </c>
      <c r="B754" s="3" t="s">
        <v>633</v>
      </c>
      <c r="C754" s="3" t="s">
        <v>1010</v>
      </c>
      <c r="D754" s="3" t="s">
        <v>1011</v>
      </c>
      <c r="E754" s="9">
        <v>8000</v>
      </c>
      <c r="L754" s="12"/>
    </row>
    <row r="755" spans="1:12" x14ac:dyDescent="0.3">
      <c r="A755" s="3">
        <v>754</v>
      </c>
      <c r="B755" s="3" t="s">
        <v>633</v>
      </c>
      <c r="C755" s="3" t="s">
        <v>1012</v>
      </c>
      <c r="D755" s="3" t="s">
        <v>1013</v>
      </c>
      <c r="E755" s="9">
        <v>6000</v>
      </c>
      <c r="L755" s="12"/>
    </row>
    <row r="756" spans="1:12" x14ac:dyDescent="0.3">
      <c r="A756" s="3">
        <v>755</v>
      </c>
      <c r="B756" s="3" t="s">
        <v>638</v>
      </c>
      <c r="C756" s="3" t="s">
        <v>945</v>
      </c>
      <c r="D756" s="3" t="s">
        <v>1097</v>
      </c>
      <c r="E756" s="9">
        <v>15000</v>
      </c>
      <c r="L756" s="12"/>
    </row>
    <row r="757" spans="1:12" x14ac:dyDescent="0.3">
      <c r="A757" s="3">
        <v>756</v>
      </c>
      <c r="B757" s="3" t="s">
        <v>638</v>
      </c>
      <c r="C757" s="3" t="s">
        <v>947</v>
      </c>
      <c r="D757" s="3" t="s">
        <v>948</v>
      </c>
      <c r="E757" s="9">
        <v>5000</v>
      </c>
      <c r="L757" s="12"/>
    </row>
    <row r="758" spans="1:12" x14ac:dyDescent="0.3">
      <c r="A758" s="3">
        <v>757</v>
      </c>
      <c r="B758" s="3" t="s">
        <v>638</v>
      </c>
      <c r="C758" s="3" t="s">
        <v>949</v>
      </c>
      <c r="D758" s="3" t="s">
        <v>1073</v>
      </c>
      <c r="E758" s="9">
        <v>4000</v>
      </c>
      <c r="L758" s="12"/>
    </row>
    <row r="759" spans="1:12" x14ac:dyDescent="0.3">
      <c r="A759" s="3">
        <v>758</v>
      </c>
      <c r="B759" s="3" t="s">
        <v>638</v>
      </c>
      <c r="C759" s="3" t="s">
        <v>951</v>
      </c>
      <c r="D759" s="3" t="s">
        <v>952</v>
      </c>
      <c r="E759" s="9">
        <v>17000</v>
      </c>
      <c r="L759" s="12"/>
    </row>
    <row r="760" spans="1:12" x14ac:dyDescent="0.3">
      <c r="A760" s="3">
        <v>759</v>
      </c>
      <c r="B760" s="3" t="s">
        <v>638</v>
      </c>
      <c r="C760" s="3" t="s">
        <v>953</v>
      </c>
      <c r="D760" s="3" t="s">
        <v>954</v>
      </c>
      <c r="E760" s="9">
        <v>11000</v>
      </c>
      <c r="L760" s="12"/>
    </row>
    <row r="761" spans="1:12" x14ac:dyDescent="0.3">
      <c r="A761" s="3">
        <v>760</v>
      </c>
      <c r="B761" s="3" t="s">
        <v>638</v>
      </c>
      <c r="C761" s="3" t="s">
        <v>955</v>
      </c>
      <c r="D761" s="3" t="s">
        <v>1074</v>
      </c>
      <c r="E761" s="9">
        <v>6000</v>
      </c>
      <c r="L761" s="12"/>
    </row>
    <row r="762" spans="1:12" x14ac:dyDescent="0.3">
      <c r="A762" s="3">
        <v>761</v>
      </c>
      <c r="B762" s="3" t="s">
        <v>638</v>
      </c>
      <c r="C762" s="3" t="s">
        <v>957</v>
      </c>
      <c r="D762" s="3" t="s">
        <v>958</v>
      </c>
      <c r="E762" s="9">
        <v>4500</v>
      </c>
      <c r="L762" s="12"/>
    </row>
    <row r="763" spans="1:12" x14ac:dyDescent="0.3">
      <c r="A763" s="3">
        <v>762</v>
      </c>
      <c r="B763" s="3" t="s">
        <v>638</v>
      </c>
      <c r="C763" s="3" t="s">
        <v>959</v>
      </c>
      <c r="D763" s="3" t="s">
        <v>960</v>
      </c>
      <c r="E763" s="9">
        <v>8500</v>
      </c>
      <c r="L763" s="12"/>
    </row>
    <row r="764" spans="1:12" x14ac:dyDescent="0.3">
      <c r="A764" s="3">
        <v>763</v>
      </c>
      <c r="B764" s="3" t="s">
        <v>638</v>
      </c>
      <c r="C764" s="3" t="s">
        <v>961</v>
      </c>
      <c r="D764" s="3" t="s">
        <v>962</v>
      </c>
      <c r="E764" s="9">
        <v>2000</v>
      </c>
      <c r="L764" s="12"/>
    </row>
    <row r="765" spans="1:12" x14ac:dyDescent="0.3">
      <c r="A765" s="3">
        <v>764</v>
      </c>
      <c r="B765" s="3" t="s">
        <v>643</v>
      </c>
      <c r="C765" s="3" t="s">
        <v>1027</v>
      </c>
      <c r="D765" s="3" t="s">
        <v>1028</v>
      </c>
      <c r="E765" s="9">
        <v>4000</v>
      </c>
      <c r="L765" s="12"/>
    </row>
    <row r="766" spans="1:12" x14ac:dyDescent="0.3">
      <c r="A766" s="3">
        <v>765</v>
      </c>
      <c r="B766" s="3" t="s">
        <v>643</v>
      </c>
      <c r="C766" s="3" t="s">
        <v>1029</v>
      </c>
      <c r="D766" s="3" t="s">
        <v>1030</v>
      </c>
      <c r="E766" s="9">
        <v>5000</v>
      </c>
      <c r="L766" s="12"/>
    </row>
    <row r="767" spans="1:12" x14ac:dyDescent="0.3">
      <c r="A767" s="3">
        <v>766</v>
      </c>
      <c r="B767" s="3" t="s">
        <v>643</v>
      </c>
      <c r="C767" s="3" t="s">
        <v>1031</v>
      </c>
      <c r="D767" s="3" t="s">
        <v>1032</v>
      </c>
      <c r="E767" s="9">
        <v>5000</v>
      </c>
      <c r="L767" s="12"/>
    </row>
    <row r="768" spans="1:12" x14ac:dyDescent="0.3">
      <c r="A768" s="3">
        <v>767</v>
      </c>
      <c r="B768" s="3" t="s">
        <v>643</v>
      </c>
      <c r="C768" s="3" t="s">
        <v>1033</v>
      </c>
      <c r="D768" s="3" t="s">
        <v>1034</v>
      </c>
      <c r="E768" s="9">
        <v>6000</v>
      </c>
      <c r="L768" s="12"/>
    </row>
    <row r="769" spans="1:12" x14ac:dyDescent="0.3">
      <c r="A769" s="3">
        <v>768</v>
      </c>
      <c r="B769" s="3" t="s">
        <v>643</v>
      </c>
      <c r="C769" s="3" t="s">
        <v>1035</v>
      </c>
      <c r="D769" s="3" t="s">
        <v>1036</v>
      </c>
      <c r="E769" s="9">
        <v>5000</v>
      </c>
      <c r="L769" s="12"/>
    </row>
    <row r="770" spans="1:12" x14ac:dyDescent="0.3">
      <c r="A770" s="3">
        <v>769</v>
      </c>
      <c r="B770" s="3" t="s">
        <v>643</v>
      </c>
      <c r="C770" s="3" t="s">
        <v>1037</v>
      </c>
      <c r="D770" s="3" t="s">
        <v>1038</v>
      </c>
      <c r="E770" s="9">
        <v>2000</v>
      </c>
      <c r="L770" s="12"/>
    </row>
    <row r="771" spans="1:12" x14ac:dyDescent="0.3">
      <c r="A771" s="3">
        <v>770</v>
      </c>
      <c r="B771" s="3" t="s">
        <v>643</v>
      </c>
      <c r="C771" s="3" t="s">
        <v>1064</v>
      </c>
      <c r="D771" s="3" t="s">
        <v>1065</v>
      </c>
      <c r="E771" s="9">
        <v>4000</v>
      </c>
      <c r="L771" s="12"/>
    </row>
    <row r="772" spans="1:12" x14ac:dyDescent="0.3">
      <c r="A772" s="3">
        <v>771</v>
      </c>
      <c r="B772" s="3" t="s">
        <v>643</v>
      </c>
      <c r="C772" s="3" t="s">
        <v>1066</v>
      </c>
      <c r="D772" s="3" t="s">
        <v>1067</v>
      </c>
      <c r="E772" s="9">
        <v>6500</v>
      </c>
      <c r="L772" s="12"/>
    </row>
    <row r="773" spans="1:12" x14ac:dyDescent="0.3">
      <c r="A773" s="3">
        <v>772</v>
      </c>
      <c r="B773" s="3" t="s">
        <v>643</v>
      </c>
      <c r="C773" s="3" t="s">
        <v>1068</v>
      </c>
      <c r="D773" s="3" t="s">
        <v>1069</v>
      </c>
      <c r="E773" s="9">
        <v>8000</v>
      </c>
      <c r="L773" s="12"/>
    </row>
    <row r="774" spans="1:12" x14ac:dyDescent="0.3">
      <c r="A774" s="3">
        <v>773</v>
      </c>
      <c r="B774" s="3" t="s">
        <v>648</v>
      </c>
      <c r="C774" s="3" t="s">
        <v>966</v>
      </c>
      <c r="D774" s="3" t="s">
        <v>967</v>
      </c>
      <c r="E774" s="9">
        <v>18000</v>
      </c>
      <c r="L774" s="12"/>
    </row>
    <row r="775" spans="1:12" x14ac:dyDescent="0.3">
      <c r="A775" s="3">
        <v>774</v>
      </c>
      <c r="B775" s="3" t="s">
        <v>648</v>
      </c>
      <c r="C775" s="3" t="s">
        <v>968</v>
      </c>
      <c r="D775" s="3" t="s">
        <v>969</v>
      </c>
      <c r="E775" s="9">
        <v>4500</v>
      </c>
      <c r="L775" s="12"/>
    </row>
    <row r="776" spans="1:12" x14ac:dyDescent="0.3">
      <c r="A776" s="3">
        <v>775</v>
      </c>
      <c r="B776" s="3" t="s">
        <v>648</v>
      </c>
      <c r="C776" s="3" t="s">
        <v>970</v>
      </c>
      <c r="D776" s="3" t="s">
        <v>971</v>
      </c>
      <c r="E776" s="9">
        <v>16000</v>
      </c>
      <c r="L776" s="12"/>
    </row>
    <row r="777" spans="1:12" x14ac:dyDescent="0.3">
      <c r="A777" s="3">
        <v>776</v>
      </c>
      <c r="B777" s="3" t="s">
        <v>648</v>
      </c>
      <c r="C777" s="3" t="s">
        <v>972</v>
      </c>
      <c r="D777" s="3" t="s">
        <v>973</v>
      </c>
      <c r="E777" s="9">
        <v>9000</v>
      </c>
      <c r="L777" s="12"/>
    </row>
    <row r="778" spans="1:12" x14ac:dyDescent="0.3">
      <c r="A778" s="3">
        <v>777</v>
      </c>
      <c r="B778" s="3" t="s">
        <v>648</v>
      </c>
      <c r="C778" s="3" t="s">
        <v>974</v>
      </c>
      <c r="D778" s="3" t="s">
        <v>975</v>
      </c>
      <c r="E778" s="9">
        <v>2500</v>
      </c>
      <c r="L778" s="12"/>
    </row>
    <row r="779" spans="1:12" x14ac:dyDescent="0.3">
      <c r="A779" s="3">
        <v>778</v>
      </c>
      <c r="B779" s="3" t="s">
        <v>648</v>
      </c>
      <c r="C779" s="3" t="s">
        <v>976</v>
      </c>
      <c r="D779" s="3" t="s">
        <v>977</v>
      </c>
      <c r="E779" s="9">
        <v>5000</v>
      </c>
      <c r="L779" s="12"/>
    </row>
    <row r="780" spans="1:12" x14ac:dyDescent="0.3">
      <c r="A780" s="3">
        <v>779</v>
      </c>
      <c r="B780" s="3" t="s">
        <v>648</v>
      </c>
      <c r="C780" s="3" t="s">
        <v>978</v>
      </c>
      <c r="D780" s="3" t="s">
        <v>979</v>
      </c>
      <c r="E780" s="9">
        <v>15000</v>
      </c>
      <c r="L780" s="12"/>
    </row>
    <row r="781" spans="1:12" x14ac:dyDescent="0.3">
      <c r="A781" s="3">
        <v>780</v>
      </c>
      <c r="B781" s="3" t="s">
        <v>648</v>
      </c>
      <c r="C781" s="3" t="s">
        <v>980</v>
      </c>
      <c r="D781" s="3" t="s">
        <v>981</v>
      </c>
      <c r="E781" s="9">
        <v>9000</v>
      </c>
      <c r="L781" s="12"/>
    </row>
    <row r="782" spans="1:12" x14ac:dyDescent="0.3">
      <c r="A782" s="3">
        <v>781</v>
      </c>
      <c r="B782" s="3" t="s">
        <v>648</v>
      </c>
      <c r="C782" s="3" t="s">
        <v>1049</v>
      </c>
      <c r="D782" s="3" t="s">
        <v>1050</v>
      </c>
      <c r="E782" s="9">
        <v>7000</v>
      </c>
      <c r="L782" s="12"/>
    </row>
    <row r="783" spans="1:12" x14ac:dyDescent="0.3">
      <c r="A783" s="3">
        <v>782</v>
      </c>
      <c r="B783" s="3" t="s">
        <v>648</v>
      </c>
      <c r="C783" s="3" t="s">
        <v>1051</v>
      </c>
      <c r="D783" s="3" t="s">
        <v>1052</v>
      </c>
      <c r="E783" s="9">
        <v>12000</v>
      </c>
      <c r="L783" s="12"/>
    </row>
    <row r="784" spans="1:12" x14ac:dyDescent="0.3">
      <c r="A784" s="3">
        <v>783</v>
      </c>
      <c r="B784" s="3" t="s">
        <v>653</v>
      </c>
      <c r="C784" s="3" t="s">
        <v>992</v>
      </c>
      <c r="D784" s="3" t="s">
        <v>993</v>
      </c>
      <c r="E784" s="9">
        <v>5000</v>
      </c>
      <c r="L784" s="12"/>
    </row>
    <row r="785" spans="1:12" x14ac:dyDescent="0.3">
      <c r="A785" s="3">
        <v>784</v>
      </c>
      <c r="B785" s="3" t="s">
        <v>653</v>
      </c>
      <c r="C785" s="3" t="s">
        <v>994</v>
      </c>
      <c r="D785" s="3" t="s">
        <v>995</v>
      </c>
      <c r="E785" s="9">
        <v>6000</v>
      </c>
      <c r="L785" s="12"/>
    </row>
    <row r="786" spans="1:12" x14ac:dyDescent="0.3">
      <c r="A786" s="3">
        <v>785</v>
      </c>
      <c r="B786" s="3" t="s">
        <v>653</v>
      </c>
      <c r="C786" s="3" t="s">
        <v>996</v>
      </c>
      <c r="D786" s="3" t="s">
        <v>997</v>
      </c>
      <c r="E786" s="9">
        <v>5500</v>
      </c>
      <c r="L786" s="12"/>
    </row>
    <row r="787" spans="1:12" x14ac:dyDescent="0.3">
      <c r="A787" s="3">
        <v>786</v>
      </c>
      <c r="B787" s="3" t="s">
        <v>653</v>
      </c>
      <c r="C787" s="3" t="s">
        <v>998</v>
      </c>
      <c r="D787" s="3" t="s">
        <v>999</v>
      </c>
      <c r="E787" s="9">
        <v>6000</v>
      </c>
      <c r="L787" s="12"/>
    </row>
    <row r="788" spans="1:12" x14ac:dyDescent="0.3">
      <c r="A788" s="3">
        <v>787</v>
      </c>
      <c r="B788" s="3" t="s">
        <v>653</v>
      </c>
      <c r="C788" s="3" t="s">
        <v>1000</v>
      </c>
      <c r="D788" s="3" t="s">
        <v>1001</v>
      </c>
      <c r="E788" s="9">
        <v>4500</v>
      </c>
      <c r="L788" s="12"/>
    </row>
    <row r="789" spans="1:12" x14ac:dyDescent="0.3">
      <c r="A789" s="3">
        <v>788</v>
      </c>
      <c r="B789" s="3" t="s">
        <v>653</v>
      </c>
      <c r="C789" s="3" t="s">
        <v>1002</v>
      </c>
      <c r="D789" s="3" t="s">
        <v>1003</v>
      </c>
      <c r="E789" s="9">
        <v>4000</v>
      </c>
      <c r="L789" s="12"/>
    </row>
    <row r="790" spans="1:12" x14ac:dyDescent="0.3">
      <c r="A790" s="3">
        <v>789</v>
      </c>
      <c r="B790" s="3" t="s">
        <v>653</v>
      </c>
      <c r="C790" s="3" t="s">
        <v>1004</v>
      </c>
      <c r="D790" s="3" t="s">
        <v>1005</v>
      </c>
      <c r="E790" s="9">
        <v>3000</v>
      </c>
      <c r="L790" s="12"/>
    </row>
    <row r="791" spans="1:12" x14ac:dyDescent="0.3">
      <c r="A791" s="3">
        <v>790</v>
      </c>
      <c r="B791" s="3" t="s">
        <v>653</v>
      </c>
      <c r="C791" s="3" t="s">
        <v>1006</v>
      </c>
      <c r="D791" s="3" t="s">
        <v>1007</v>
      </c>
      <c r="E791" s="9">
        <v>2500</v>
      </c>
      <c r="L791" s="12"/>
    </row>
    <row r="792" spans="1:12" x14ac:dyDescent="0.3">
      <c r="A792" s="3">
        <v>791</v>
      </c>
      <c r="B792" s="3" t="s">
        <v>653</v>
      </c>
      <c r="C792" s="3" t="s">
        <v>1008</v>
      </c>
      <c r="D792" s="3" t="s">
        <v>1009</v>
      </c>
      <c r="E792" s="9">
        <v>8000</v>
      </c>
      <c r="L792" s="12"/>
    </row>
    <row r="793" spans="1:12" x14ac:dyDescent="0.3">
      <c r="A793" s="3">
        <v>792</v>
      </c>
      <c r="B793" s="3" t="s">
        <v>653</v>
      </c>
      <c r="C793" s="3" t="s">
        <v>1056</v>
      </c>
      <c r="D793" s="3" t="s">
        <v>1057</v>
      </c>
      <c r="E793" s="9">
        <v>9000</v>
      </c>
      <c r="L793" s="12"/>
    </row>
    <row r="794" spans="1:12" x14ac:dyDescent="0.3">
      <c r="A794" s="3">
        <v>793</v>
      </c>
      <c r="B794" s="3" t="s">
        <v>653</v>
      </c>
      <c r="C794" s="3" t="s">
        <v>1010</v>
      </c>
      <c r="D794" s="3" t="s">
        <v>1011</v>
      </c>
      <c r="E794" s="9">
        <v>8000</v>
      </c>
      <c r="L794" s="12"/>
    </row>
    <row r="795" spans="1:12" x14ac:dyDescent="0.3">
      <c r="A795" s="3">
        <v>794</v>
      </c>
      <c r="B795" s="3" t="s">
        <v>653</v>
      </c>
      <c r="C795" s="3" t="s">
        <v>1012</v>
      </c>
      <c r="D795" s="3" t="s">
        <v>1013</v>
      </c>
      <c r="E795" s="9">
        <v>6000</v>
      </c>
      <c r="L795" s="12"/>
    </row>
    <row r="796" spans="1:12" x14ac:dyDescent="0.3">
      <c r="A796" s="3">
        <v>795</v>
      </c>
      <c r="B796" s="3" t="s">
        <v>658</v>
      </c>
      <c r="C796" s="3" t="s">
        <v>1075</v>
      </c>
      <c r="D796" s="3" t="s">
        <v>1076</v>
      </c>
      <c r="E796" s="9">
        <v>10000</v>
      </c>
      <c r="L796" s="12"/>
    </row>
    <row r="797" spans="1:12" x14ac:dyDescent="0.3">
      <c r="A797" s="3">
        <v>796</v>
      </c>
      <c r="B797" s="3" t="s">
        <v>658</v>
      </c>
      <c r="C797" s="3" t="s">
        <v>1077</v>
      </c>
      <c r="D797" s="3" t="s">
        <v>1078</v>
      </c>
      <c r="E797" s="9">
        <v>10500</v>
      </c>
      <c r="L797" s="12"/>
    </row>
    <row r="798" spans="1:12" x14ac:dyDescent="0.3">
      <c r="A798" s="3">
        <v>797</v>
      </c>
      <c r="B798" s="3" t="s">
        <v>658</v>
      </c>
      <c r="C798" s="3" t="s">
        <v>1079</v>
      </c>
      <c r="D798" s="3" t="s">
        <v>1080</v>
      </c>
      <c r="E798" s="9">
        <v>11000</v>
      </c>
      <c r="L798" s="12"/>
    </row>
    <row r="799" spans="1:12" x14ac:dyDescent="0.3">
      <c r="A799" s="3">
        <v>798</v>
      </c>
      <c r="B799" s="3" t="s">
        <v>658</v>
      </c>
      <c r="C799" s="3" t="s">
        <v>1081</v>
      </c>
      <c r="D799" s="3" t="s">
        <v>1082</v>
      </c>
      <c r="E799" s="9">
        <v>11000</v>
      </c>
      <c r="L799" s="12"/>
    </row>
    <row r="800" spans="1:12" x14ac:dyDescent="0.3">
      <c r="A800" s="3">
        <v>799</v>
      </c>
      <c r="B800" s="3" t="s">
        <v>658</v>
      </c>
      <c r="C800" s="3" t="s">
        <v>1083</v>
      </c>
      <c r="D800" s="3" t="s">
        <v>1084</v>
      </c>
      <c r="E800" s="9">
        <v>12000</v>
      </c>
      <c r="L800" s="12"/>
    </row>
    <row r="801" spans="1:12" x14ac:dyDescent="0.3">
      <c r="A801" s="3">
        <v>800</v>
      </c>
      <c r="B801" s="3" t="s">
        <v>658</v>
      </c>
      <c r="C801" s="3" t="s">
        <v>1085</v>
      </c>
      <c r="D801" s="3" t="s">
        <v>1086</v>
      </c>
      <c r="E801" s="9">
        <v>12000</v>
      </c>
      <c r="L801" s="12"/>
    </row>
    <row r="802" spans="1:12" x14ac:dyDescent="0.3">
      <c r="A802" s="3">
        <v>801</v>
      </c>
      <c r="B802" s="3" t="s">
        <v>658</v>
      </c>
      <c r="C802" s="3" t="s">
        <v>1087</v>
      </c>
      <c r="D802" s="3" t="s">
        <v>1121</v>
      </c>
      <c r="E802" s="9">
        <v>11000</v>
      </c>
      <c r="L802" s="12"/>
    </row>
    <row r="803" spans="1:12" x14ac:dyDescent="0.3">
      <c r="A803" s="3">
        <v>802</v>
      </c>
      <c r="B803" s="3" t="s">
        <v>663</v>
      </c>
      <c r="C803" s="3" t="s">
        <v>1027</v>
      </c>
      <c r="D803" s="3" t="s">
        <v>1028</v>
      </c>
      <c r="E803" s="9">
        <v>4000</v>
      </c>
      <c r="L803" s="12"/>
    </row>
    <row r="804" spans="1:12" x14ac:dyDescent="0.3">
      <c r="A804" s="3">
        <v>803</v>
      </c>
      <c r="B804" s="3" t="s">
        <v>663</v>
      </c>
      <c r="C804" s="3" t="s">
        <v>1029</v>
      </c>
      <c r="D804" s="3" t="s">
        <v>1030</v>
      </c>
      <c r="E804" s="9">
        <v>5000</v>
      </c>
      <c r="L804" s="12"/>
    </row>
    <row r="805" spans="1:12" x14ac:dyDescent="0.3">
      <c r="A805" s="3">
        <v>804</v>
      </c>
      <c r="B805" s="3" t="s">
        <v>663</v>
      </c>
      <c r="C805" s="3" t="s">
        <v>1031</v>
      </c>
      <c r="D805" s="3" t="s">
        <v>1032</v>
      </c>
      <c r="E805" s="9">
        <v>5000</v>
      </c>
      <c r="L805" s="12"/>
    </row>
    <row r="806" spans="1:12" x14ac:dyDescent="0.3">
      <c r="A806" s="3">
        <v>805</v>
      </c>
      <c r="B806" s="3" t="s">
        <v>663</v>
      </c>
      <c r="C806" s="3" t="s">
        <v>1033</v>
      </c>
      <c r="D806" s="3" t="s">
        <v>1034</v>
      </c>
      <c r="E806" s="9">
        <v>6000</v>
      </c>
      <c r="L806" s="12"/>
    </row>
    <row r="807" spans="1:12" x14ac:dyDescent="0.3">
      <c r="A807" s="3">
        <v>806</v>
      </c>
      <c r="B807" s="3" t="s">
        <v>663</v>
      </c>
      <c r="C807" s="3" t="s">
        <v>1035</v>
      </c>
      <c r="D807" s="3" t="s">
        <v>1036</v>
      </c>
      <c r="E807" s="9">
        <v>5000</v>
      </c>
      <c r="L807" s="12"/>
    </row>
    <row r="808" spans="1:12" x14ac:dyDescent="0.3">
      <c r="A808" s="3">
        <v>807</v>
      </c>
      <c r="B808" s="3" t="s">
        <v>663</v>
      </c>
      <c r="C808" s="3" t="s">
        <v>1037</v>
      </c>
      <c r="D808" s="3" t="s">
        <v>1038</v>
      </c>
      <c r="E808" s="9">
        <v>2000</v>
      </c>
      <c r="L808" s="12"/>
    </row>
    <row r="809" spans="1:12" x14ac:dyDescent="0.3">
      <c r="A809" s="3">
        <v>808</v>
      </c>
      <c r="B809" s="3" t="s">
        <v>663</v>
      </c>
      <c r="C809" s="3" t="s">
        <v>1064</v>
      </c>
      <c r="D809" s="3" t="s">
        <v>1065</v>
      </c>
      <c r="E809" s="9">
        <v>4000</v>
      </c>
      <c r="L809" s="12"/>
    </row>
    <row r="810" spans="1:12" x14ac:dyDescent="0.3">
      <c r="A810" s="3">
        <v>809</v>
      </c>
      <c r="B810" s="3" t="s">
        <v>663</v>
      </c>
      <c r="C810" s="3" t="s">
        <v>1066</v>
      </c>
      <c r="D810" s="3" t="s">
        <v>1067</v>
      </c>
      <c r="E810" s="9">
        <v>6500</v>
      </c>
      <c r="L810" s="12"/>
    </row>
    <row r="811" spans="1:12" x14ac:dyDescent="0.3">
      <c r="A811" s="3">
        <v>810</v>
      </c>
      <c r="B811" s="3" t="s">
        <v>663</v>
      </c>
      <c r="C811" s="3" t="s">
        <v>1068</v>
      </c>
      <c r="D811" s="3" t="s">
        <v>1069</v>
      </c>
      <c r="E811" s="9">
        <v>8000</v>
      </c>
      <c r="L811" s="12"/>
    </row>
    <row r="812" spans="1:12" x14ac:dyDescent="0.3">
      <c r="A812" s="3">
        <v>811</v>
      </c>
      <c r="B812" s="3" t="s">
        <v>668</v>
      </c>
      <c r="C812" s="3" t="s">
        <v>945</v>
      </c>
      <c r="D812" s="3" t="s">
        <v>1097</v>
      </c>
      <c r="E812" s="9">
        <v>15000</v>
      </c>
      <c r="L812" s="12"/>
    </row>
    <row r="813" spans="1:12" x14ac:dyDescent="0.3">
      <c r="A813" s="3">
        <v>812</v>
      </c>
      <c r="B813" s="3" t="s">
        <v>668</v>
      </c>
      <c r="C813" s="3" t="s">
        <v>947</v>
      </c>
      <c r="D813" s="3" t="s">
        <v>948</v>
      </c>
      <c r="E813" s="9">
        <v>5000</v>
      </c>
      <c r="L813" s="12"/>
    </row>
    <row r="814" spans="1:12" x14ac:dyDescent="0.3">
      <c r="A814" s="3">
        <v>813</v>
      </c>
      <c r="B814" s="3" t="s">
        <v>668</v>
      </c>
      <c r="C814" s="3" t="s">
        <v>949</v>
      </c>
      <c r="D814" s="3" t="s">
        <v>1073</v>
      </c>
      <c r="E814" s="9">
        <v>4000</v>
      </c>
      <c r="L814" s="12"/>
    </row>
    <row r="815" spans="1:12" x14ac:dyDescent="0.3">
      <c r="A815" s="3">
        <v>814</v>
      </c>
      <c r="B815" s="3" t="s">
        <v>668</v>
      </c>
      <c r="C815" s="3" t="s">
        <v>951</v>
      </c>
      <c r="D815" s="3" t="s">
        <v>952</v>
      </c>
      <c r="E815" s="9">
        <v>17000</v>
      </c>
      <c r="L815" s="12"/>
    </row>
    <row r="816" spans="1:12" x14ac:dyDescent="0.3">
      <c r="A816" s="3">
        <v>815</v>
      </c>
      <c r="B816" s="3" t="s">
        <v>668</v>
      </c>
      <c r="C816" s="3" t="s">
        <v>953</v>
      </c>
      <c r="D816" s="3" t="s">
        <v>954</v>
      </c>
      <c r="E816" s="9">
        <v>11000</v>
      </c>
      <c r="L816" s="12"/>
    </row>
    <row r="817" spans="1:12" x14ac:dyDescent="0.3">
      <c r="A817" s="3">
        <v>816</v>
      </c>
      <c r="B817" s="3" t="s">
        <v>668</v>
      </c>
      <c r="C817" s="3" t="s">
        <v>955</v>
      </c>
      <c r="D817" s="3" t="s">
        <v>1074</v>
      </c>
      <c r="E817" s="9">
        <v>6000</v>
      </c>
      <c r="L817" s="12"/>
    </row>
    <row r="818" spans="1:12" x14ac:dyDescent="0.3">
      <c r="A818" s="3">
        <v>817</v>
      </c>
      <c r="B818" s="3" t="s">
        <v>668</v>
      </c>
      <c r="C818" s="3" t="s">
        <v>957</v>
      </c>
      <c r="D818" s="3" t="s">
        <v>958</v>
      </c>
      <c r="E818" s="9">
        <v>4500</v>
      </c>
      <c r="L818" s="12"/>
    </row>
    <row r="819" spans="1:12" x14ac:dyDescent="0.3">
      <c r="A819" s="3">
        <v>818</v>
      </c>
      <c r="B819" s="3" t="s">
        <v>668</v>
      </c>
      <c r="C819" s="3" t="s">
        <v>959</v>
      </c>
      <c r="D819" s="3" t="s">
        <v>960</v>
      </c>
      <c r="E819" s="9">
        <v>8500</v>
      </c>
      <c r="L819" s="12"/>
    </row>
    <row r="820" spans="1:12" x14ac:dyDescent="0.3">
      <c r="A820" s="3">
        <v>819</v>
      </c>
      <c r="B820" s="3" t="s">
        <v>668</v>
      </c>
      <c r="C820" s="3" t="s">
        <v>961</v>
      </c>
      <c r="D820" s="3" t="s">
        <v>962</v>
      </c>
      <c r="E820" s="9">
        <v>2000</v>
      </c>
      <c r="L820" s="12"/>
    </row>
    <row r="821" spans="1:12" x14ac:dyDescent="0.3">
      <c r="A821" s="3">
        <v>820</v>
      </c>
      <c r="B821" s="3" t="s">
        <v>673</v>
      </c>
      <c r="C821" s="3" t="s">
        <v>966</v>
      </c>
      <c r="D821" s="3" t="s">
        <v>967</v>
      </c>
      <c r="E821" s="9">
        <v>18000</v>
      </c>
      <c r="L821" s="12"/>
    </row>
    <row r="822" spans="1:12" x14ac:dyDescent="0.3">
      <c r="A822" s="3">
        <v>821</v>
      </c>
      <c r="B822" s="3" t="s">
        <v>673</v>
      </c>
      <c r="C822" s="3" t="s">
        <v>968</v>
      </c>
      <c r="D822" s="3" t="s">
        <v>969</v>
      </c>
      <c r="E822" s="9">
        <v>4500</v>
      </c>
      <c r="L822" s="12"/>
    </row>
    <row r="823" spans="1:12" x14ac:dyDescent="0.3">
      <c r="A823" s="3">
        <v>822</v>
      </c>
      <c r="B823" s="3" t="s">
        <v>673</v>
      </c>
      <c r="C823" s="3" t="s">
        <v>970</v>
      </c>
      <c r="D823" s="3" t="s">
        <v>971</v>
      </c>
      <c r="E823" s="9">
        <v>16000</v>
      </c>
      <c r="L823" s="12"/>
    </row>
    <row r="824" spans="1:12" x14ac:dyDescent="0.3">
      <c r="A824" s="3">
        <v>823</v>
      </c>
      <c r="B824" s="3" t="s">
        <v>673</v>
      </c>
      <c r="C824" s="3" t="s">
        <v>972</v>
      </c>
      <c r="D824" s="3" t="s">
        <v>973</v>
      </c>
      <c r="E824" s="9">
        <v>9000</v>
      </c>
      <c r="L824" s="12"/>
    </row>
    <row r="825" spans="1:12" x14ac:dyDescent="0.3">
      <c r="A825" s="3">
        <v>824</v>
      </c>
      <c r="B825" s="3" t="s">
        <v>673</v>
      </c>
      <c r="C825" s="3" t="s">
        <v>974</v>
      </c>
      <c r="D825" s="3" t="s">
        <v>975</v>
      </c>
      <c r="E825" s="9">
        <v>2500</v>
      </c>
      <c r="L825" s="12"/>
    </row>
    <row r="826" spans="1:12" x14ac:dyDescent="0.3">
      <c r="A826" s="3">
        <v>825</v>
      </c>
      <c r="B826" s="3" t="s">
        <v>673</v>
      </c>
      <c r="C826" s="3" t="s">
        <v>976</v>
      </c>
      <c r="D826" s="3" t="s">
        <v>977</v>
      </c>
      <c r="E826" s="9">
        <v>5000</v>
      </c>
      <c r="L826" s="12"/>
    </row>
    <row r="827" spans="1:12" x14ac:dyDescent="0.3">
      <c r="A827" s="3">
        <v>826</v>
      </c>
      <c r="B827" s="3" t="s">
        <v>673</v>
      </c>
      <c r="C827" s="3" t="s">
        <v>978</v>
      </c>
      <c r="D827" s="3" t="s">
        <v>979</v>
      </c>
      <c r="E827" s="9">
        <v>15000</v>
      </c>
      <c r="L827" s="12"/>
    </row>
    <row r="828" spans="1:12" x14ac:dyDescent="0.3">
      <c r="A828" s="3">
        <v>827</v>
      </c>
      <c r="B828" s="3" t="s">
        <v>673</v>
      </c>
      <c r="C828" s="3" t="s">
        <v>980</v>
      </c>
      <c r="D828" s="3" t="s">
        <v>981</v>
      </c>
      <c r="E828" s="9">
        <v>9000</v>
      </c>
      <c r="L828" s="12"/>
    </row>
    <row r="829" spans="1:12" x14ac:dyDescent="0.3">
      <c r="A829" s="3">
        <v>828</v>
      </c>
      <c r="B829" s="3" t="s">
        <v>673</v>
      </c>
      <c r="C829" s="3" t="s">
        <v>1049</v>
      </c>
      <c r="D829" s="3" t="s">
        <v>1050</v>
      </c>
      <c r="E829" s="9">
        <v>7000</v>
      </c>
      <c r="L829" s="12"/>
    </row>
    <row r="830" spans="1:12" x14ac:dyDescent="0.3">
      <c r="A830" s="3">
        <v>829</v>
      </c>
      <c r="B830" s="3" t="s">
        <v>673</v>
      </c>
      <c r="C830" s="3" t="s">
        <v>1051</v>
      </c>
      <c r="D830" s="3" t="s">
        <v>1052</v>
      </c>
      <c r="E830" s="9">
        <v>12000</v>
      </c>
      <c r="L830" s="12"/>
    </row>
    <row r="831" spans="1:12" x14ac:dyDescent="0.3">
      <c r="A831" s="3">
        <v>830</v>
      </c>
      <c r="B831" s="3" t="s">
        <v>678</v>
      </c>
      <c r="C831" s="3" t="s">
        <v>1103</v>
      </c>
      <c r="D831" s="3" t="s">
        <v>1104</v>
      </c>
      <c r="E831" s="9">
        <v>1500</v>
      </c>
      <c r="L831" s="12"/>
    </row>
    <row r="832" spans="1:12" x14ac:dyDescent="0.3">
      <c r="A832" s="3">
        <v>831</v>
      </c>
      <c r="B832" s="3" t="s">
        <v>678</v>
      </c>
      <c r="C832" s="3" t="s">
        <v>1105</v>
      </c>
      <c r="D832" s="3" t="s">
        <v>1106</v>
      </c>
      <c r="E832" s="9">
        <v>2000</v>
      </c>
      <c r="L832" s="12"/>
    </row>
    <row r="833" spans="1:12" x14ac:dyDescent="0.3">
      <c r="A833" s="3">
        <v>832</v>
      </c>
      <c r="B833" s="3" t="s">
        <v>678</v>
      </c>
      <c r="C833" s="3" t="s">
        <v>1107</v>
      </c>
      <c r="D833" s="3" t="s">
        <v>1108</v>
      </c>
      <c r="E833" s="9">
        <v>1500</v>
      </c>
      <c r="L833" s="12"/>
    </row>
    <row r="834" spans="1:12" x14ac:dyDescent="0.3">
      <c r="A834" s="3">
        <v>833</v>
      </c>
      <c r="B834" s="3" t="s">
        <v>678</v>
      </c>
      <c r="C834" s="3" t="s">
        <v>1109</v>
      </c>
      <c r="D834" s="3" t="s">
        <v>1110</v>
      </c>
      <c r="E834" s="9">
        <v>2000</v>
      </c>
      <c r="L834" s="12"/>
    </row>
    <row r="835" spans="1:12" x14ac:dyDescent="0.3">
      <c r="A835" s="3">
        <v>834</v>
      </c>
      <c r="B835" s="3" t="s">
        <v>678</v>
      </c>
      <c r="C835" s="3" t="s">
        <v>1111</v>
      </c>
      <c r="D835" s="3" t="s">
        <v>1112</v>
      </c>
      <c r="E835" s="9">
        <v>2000</v>
      </c>
      <c r="L835" s="12"/>
    </row>
    <row r="836" spans="1:12" x14ac:dyDescent="0.3">
      <c r="A836" s="3">
        <v>835</v>
      </c>
      <c r="B836" s="3" t="s">
        <v>678</v>
      </c>
      <c r="C836" s="3" t="s">
        <v>1113</v>
      </c>
      <c r="D836" s="3" t="s">
        <v>1114</v>
      </c>
      <c r="E836" s="9">
        <v>2500</v>
      </c>
      <c r="L836" s="12"/>
    </row>
    <row r="837" spans="1:12" x14ac:dyDescent="0.3">
      <c r="A837" s="3">
        <v>836</v>
      </c>
      <c r="B837" s="3" t="s">
        <v>678</v>
      </c>
      <c r="C837" s="3" t="s">
        <v>1115</v>
      </c>
      <c r="D837" s="3" t="s">
        <v>1116</v>
      </c>
      <c r="E837" s="9">
        <v>2000</v>
      </c>
      <c r="L837" s="12"/>
    </row>
    <row r="838" spans="1:12" x14ac:dyDescent="0.3">
      <c r="A838" s="3">
        <v>837</v>
      </c>
      <c r="B838" s="3" t="s">
        <v>678</v>
      </c>
      <c r="C838" s="3" t="s">
        <v>1117</v>
      </c>
      <c r="D838" s="3" t="s">
        <v>1118</v>
      </c>
      <c r="E838" s="9">
        <v>2500</v>
      </c>
      <c r="L838" s="12"/>
    </row>
    <row r="839" spans="1:12" x14ac:dyDescent="0.3">
      <c r="A839" s="3">
        <v>838</v>
      </c>
      <c r="B839" s="3" t="s">
        <v>678</v>
      </c>
      <c r="C839" s="3" t="s">
        <v>1119</v>
      </c>
      <c r="D839" s="3" t="s">
        <v>1120</v>
      </c>
      <c r="E839" s="9">
        <v>3000</v>
      </c>
      <c r="L839" s="12"/>
    </row>
    <row r="840" spans="1:12" x14ac:dyDescent="0.3">
      <c r="A840" s="3">
        <v>839</v>
      </c>
      <c r="B840" s="3" t="s">
        <v>683</v>
      </c>
      <c r="C840" s="3" t="s">
        <v>992</v>
      </c>
      <c r="D840" s="3" t="s">
        <v>993</v>
      </c>
      <c r="E840" s="9">
        <v>5000</v>
      </c>
      <c r="L840" s="12"/>
    </row>
    <row r="841" spans="1:12" x14ac:dyDescent="0.3">
      <c r="A841" s="3">
        <v>840</v>
      </c>
      <c r="B841" s="3" t="s">
        <v>683</v>
      </c>
      <c r="C841" s="3" t="s">
        <v>994</v>
      </c>
      <c r="D841" s="3" t="s">
        <v>995</v>
      </c>
      <c r="E841" s="9">
        <v>6000</v>
      </c>
      <c r="L841" s="12"/>
    </row>
    <row r="842" spans="1:12" x14ac:dyDescent="0.3">
      <c r="A842" s="3">
        <v>841</v>
      </c>
      <c r="B842" s="3" t="s">
        <v>683</v>
      </c>
      <c r="C842" s="3" t="s">
        <v>996</v>
      </c>
      <c r="D842" s="3" t="s">
        <v>997</v>
      </c>
      <c r="E842" s="9">
        <v>5500</v>
      </c>
      <c r="L842" s="12"/>
    </row>
    <row r="843" spans="1:12" x14ac:dyDescent="0.3">
      <c r="A843" s="3">
        <v>842</v>
      </c>
      <c r="B843" s="3" t="s">
        <v>683</v>
      </c>
      <c r="C843" s="3" t="s">
        <v>998</v>
      </c>
      <c r="D843" s="3" t="s">
        <v>999</v>
      </c>
      <c r="E843" s="9">
        <v>6000</v>
      </c>
      <c r="L843" s="12"/>
    </row>
    <row r="844" spans="1:12" x14ac:dyDescent="0.3">
      <c r="A844" s="3">
        <v>843</v>
      </c>
      <c r="B844" s="3" t="s">
        <v>683</v>
      </c>
      <c r="C844" s="3" t="s">
        <v>1000</v>
      </c>
      <c r="D844" s="3" t="s">
        <v>1001</v>
      </c>
      <c r="E844" s="9">
        <v>4500</v>
      </c>
      <c r="L844" s="12"/>
    </row>
    <row r="845" spans="1:12" x14ac:dyDescent="0.3">
      <c r="A845" s="3">
        <v>844</v>
      </c>
      <c r="B845" s="3" t="s">
        <v>683</v>
      </c>
      <c r="C845" s="3" t="s">
        <v>1002</v>
      </c>
      <c r="D845" s="3" t="s">
        <v>1003</v>
      </c>
      <c r="E845" s="9">
        <v>4000</v>
      </c>
      <c r="L845" s="12"/>
    </row>
    <row r="846" spans="1:12" x14ac:dyDescent="0.3">
      <c r="A846" s="3">
        <v>845</v>
      </c>
      <c r="B846" s="3" t="s">
        <v>683</v>
      </c>
      <c r="C846" s="3" t="s">
        <v>1004</v>
      </c>
      <c r="D846" s="3" t="s">
        <v>1005</v>
      </c>
      <c r="E846" s="9">
        <v>3000</v>
      </c>
      <c r="L846" s="12"/>
    </row>
    <row r="847" spans="1:12" x14ac:dyDescent="0.3">
      <c r="A847" s="3">
        <v>846</v>
      </c>
      <c r="B847" s="3" t="s">
        <v>683</v>
      </c>
      <c r="C847" s="3" t="s">
        <v>1006</v>
      </c>
      <c r="D847" s="3" t="s">
        <v>1007</v>
      </c>
      <c r="E847" s="9">
        <v>2500</v>
      </c>
      <c r="L847" s="12"/>
    </row>
    <row r="848" spans="1:12" x14ac:dyDescent="0.3">
      <c r="A848" s="3">
        <v>847</v>
      </c>
      <c r="B848" s="3" t="s">
        <v>683</v>
      </c>
      <c r="C848" s="3" t="s">
        <v>1008</v>
      </c>
      <c r="D848" s="3" t="s">
        <v>1009</v>
      </c>
      <c r="E848" s="9">
        <v>8000</v>
      </c>
      <c r="L848" s="12"/>
    </row>
    <row r="849" spans="1:12" x14ac:dyDescent="0.3">
      <c r="A849" s="3">
        <v>848</v>
      </c>
      <c r="B849" s="3" t="s">
        <v>683</v>
      </c>
      <c r="C849" s="3" t="s">
        <v>1056</v>
      </c>
      <c r="D849" s="3" t="s">
        <v>1057</v>
      </c>
      <c r="E849" s="9">
        <v>9000</v>
      </c>
      <c r="L849" s="12"/>
    </row>
    <row r="850" spans="1:12" x14ac:dyDescent="0.3">
      <c r="A850" s="3">
        <v>849</v>
      </c>
      <c r="B850" s="3" t="s">
        <v>683</v>
      </c>
      <c r="C850" s="3" t="s">
        <v>1010</v>
      </c>
      <c r="D850" s="3" t="s">
        <v>1011</v>
      </c>
      <c r="E850" s="9">
        <v>8000</v>
      </c>
      <c r="L850" s="12"/>
    </row>
    <row r="851" spans="1:12" x14ac:dyDescent="0.3">
      <c r="A851" s="3">
        <v>850</v>
      </c>
      <c r="B851" s="3" t="s">
        <v>683</v>
      </c>
      <c r="C851" s="3" t="s">
        <v>1012</v>
      </c>
      <c r="D851" s="3" t="s">
        <v>1013</v>
      </c>
      <c r="E851" s="9">
        <v>6000</v>
      </c>
      <c r="L851" s="12"/>
    </row>
    <row r="852" spans="1:12" x14ac:dyDescent="0.3">
      <c r="A852" s="3">
        <v>851</v>
      </c>
      <c r="B852" s="3" t="s">
        <v>688</v>
      </c>
      <c r="C852" s="3" t="s">
        <v>992</v>
      </c>
      <c r="D852" s="3" t="s">
        <v>993</v>
      </c>
      <c r="E852" s="9">
        <v>5000</v>
      </c>
      <c r="L852" s="12"/>
    </row>
    <row r="853" spans="1:12" x14ac:dyDescent="0.3">
      <c r="A853" s="3">
        <v>852</v>
      </c>
      <c r="B853" s="3" t="s">
        <v>688</v>
      </c>
      <c r="C853" s="3" t="s">
        <v>994</v>
      </c>
      <c r="D853" s="3" t="s">
        <v>995</v>
      </c>
      <c r="E853" s="9">
        <v>6000</v>
      </c>
      <c r="L853" s="12"/>
    </row>
    <row r="854" spans="1:12" x14ac:dyDescent="0.3">
      <c r="A854" s="3">
        <v>853</v>
      </c>
      <c r="B854" s="3" t="s">
        <v>688</v>
      </c>
      <c r="C854" s="3" t="s">
        <v>996</v>
      </c>
      <c r="D854" s="3" t="s">
        <v>997</v>
      </c>
      <c r="E854" s="9">
        <v>5500</v>
      </c>
      <c r="L854" s="12"/>
    </row>
    <row r="855" spans="1:12" x14ac:dyDescent="0.3">
      <c r="A855" s="3">
        <v>854</v>
      </c>
      <c r="B855" s="3" t="s">
        <v>688</v>
      </c>
      <c r="C855" s="3" t="s">
        <v>998</v>
      </c>
      <c r="D855" s="3" t="s">
        <v>999</v>
      </c>
      <c r="E855" s="9">
        <v>6000</v>
      </c>
      <c r="L855" s="12"/>
    </row>
    <row r="856" spans="1:12" x14ac:dyDescent="0.3">
      <c r="A856" s="3">
        <v>855</v>
      </c>
      <c r="B856" s="3" t="s">
        <v>688</v>
      </c>
      <c r="C856" s="3" t="s">
        <v>1000</v>
      </c>
      <c r="D856" s="3" t="s">
        <v>1001</v>
      </c>
      <c r="E856" s="9">
        <v>4500</v>
      </c>
      <c r="L856" s="12"/>
    </row>
    <row r="857" spans="1:12" x14ac:dyDescent="0.3">
      <c r="A857" s="3">
        <v>856</v>
      </c>
      <c r="B857" s="3" t="s">
        <v>688</v>
      </c>
      <c r="C857" s="3" t="s">
        <v>1002</v>
      </c>
      <c r="D857" s="3" t="s">
        <v>1003</v>
      </c>
      <c r="E857" s="9">
        <v>4000</v>
      </c>
      <c r="L857" s="12"/>
    </row>
    <row r="858" spans="1:12" x14ac:dyDescent="0.3">
      <c r="A858" s="3">
        <v>857</v>
      </c>
      <c r="B858" s="3" t="s">
        <v>688</v>
      </c>
      <c r="C858" s="3" t="s">
        <v>1004</v>
      </c>
      <c r="D858" s="3" t="s">
        <v>1005</v>
      </c>
      <c r="E858" s="9">
        <v>3000</v>
      </c>
      <c r="L858" s="12"/>
    </row>
    <row r="859" spans="1:12" x14ac:dyDescent="0.3">
      <c r="A859" s="3">
        <v>858</v>
      </c>
      <c r="B859" s="3" t="s">
        <v>688</v>
      </c>
      <c r="C859" s="3" t="s">
        <v>1006</v>
      </c>
      <c r="D859" s="3" t="s">
        <v>1007</v>
      </c>
      <c r="E859" s="9">
        <v>2500</v>
      </c>
      <c r="L859" s="12"/>
    </row>
    <row r="860" spans="1:12" x14ac:dyDescent="0.3">
      <c r="A860" s="3">
        <v>859</v>
      </c>
      <c r="B860" s="3" t="s">
        <v>688</v>
      </c>
      <c r="C860" s="3" t="s">
        <v>1008</v>
      </c>
      <c r="D860" s="3" t="s">
        <v>1009</v>
      </c>
      <c r="E860" s="9">
        <v>8000</v>
      </c>
      <c r="L860" s="12"/>
    </row>
    <row r="861" spans="1:12" x14ac:dyDescent="0.3">
      <c r="A861" s="3">
        <v>860</v>
      </c>
      <c r="B861" s="3" t="s">
        <v>688</v>
      </c>
      <c r="C861" s="3" t="s">
        <v>1056</v>
      </c>
      <c r="D861" s="3" t="s">
        <v>1057</v>
      </c>
      <c r="E861" s="9">
        <v>9000</v>
      </c>
      <c r="L861" s="12"/>
    </row>
    <row r="862" spans="1:12" x14ac:dyDescent="0.3">
      <c r="A862" s="3">
        <v>861</v>
      </c>
      <c r="B862" s="3" t="s">
        <v>688</v>
      </c>
      <c r="C862" s="3" t="s">
        <v>1010</v>
      </c>
      <c r="D862" s="3" t="s">
        <v>1011</v>
      </c>
      <c r="E862" s="9">
        <v>8000</v>
      </c>
      <c r="L862" s="12"/>
    </row>
    <row r="863" spans="1:12" x14ac:dyDescent="0.3">
      <c r="A863" s="3">
        <v>862</v>
      </c>
      <c r="B863" s="3" t="s">
        <v>688</v>
      </c>
      <c r="C863" s="3" t="s">
        <v>1012</v>
      </c>
      <c r="D863" s="3" t="s">
        <v>1013</v>
      </c>
      <c r="E863" s="9">
        <v>6000</v>
      </c>
      <c r="L863" s="12"/>
    </row>
    <row r="864" spans="1:12" x14ac:dyDescent="0.3">
      <c r="A864" s="3">
        <v>863</v>
      </c>
      <c r="B864" s="3" t="s">
        <v>693</v>
      </c>
      <c r="C864" s="3" t="s">
        <v>1027</v>
      </c>
      <c r="D864" s="3" t="s">
        <v>1028</v>
      </c>
      <c r="E864" s="9">
        <v>4000</v>
      </c>
      <c r="L864" s="12"/>
    </row>
    <row r="865" spans="1:12" x14ac:dyDescent="0.3">
      <c r="A865" s="3">
        <v>864</v>
      </c>
      <c r="B865" s="3" t="s">
        <v>693</v>
      </c>
      <c r="C865" s="3" t="s">
        <v>1029</v>
      </c>
      <c r="D865" s="3" t="s">
        <v>1030</v>
      </c>
      <c r="E865" s="9">
        <v>5000</v>
      </c>
      <c r="L865" s="12"/>
    </row>
    <row r="866" spans="1:12" x14ac:dyDescent="0.3">
      <c r="A866" s="3">
        <v>865</v>
      </c>
      <c r="B866" s="3" t="s">
        <v>693</v>
      </c>
      <c r="C866" s="3" t="s">
        <v>1031</v>
      </c>
      <c r="D866" s="3" t="s">
        <v>1032</v>
      </c>
      <c r="E866" s="9">
        <v>5000</v>
      </c>
      <c r="L866" s="12"/>
    </row>
    <row r="867" spans="1:12" x14ac:dyDescent="0.3">
      <c r="A867" s="3">
        <v>866</v>
      </c>
      <c r="B867" s="3" t="s">
        <v>693</v>
      </c>
      <c r="C867" s="3" t="s">
        <v>1033</v>
      </c>
      <c r="D867" s="3" t="s">
        <v>1034</v>
      </c>
      <c r="E867" s="9">
        <v>6000</v>
      </c>
      <c r="L867" s="12"/>
    </row>
    <row r="868" spans="1:12" x14ac:dyDescent="0.3">
      <c r="A868" s="3">
        <v>867</v>
      </c>
      <c r="B868" s="3" t="s">
        <v>693</v>
      </c>
      <c r="C868" s="3" t="s">
        <v>1035</v>
      </c>
      <c r="D868" s="3" t="s">
        <v>1036</v>
      </c>
      <c r="E868" s="9">
        <v>5000</v>
      </c>
      <c r="L868" s="12"/>
    </row>
    <row r="869" spans="1:12" x14ac:dyDescent="0.3">
      <c r="A869" s="3">
        <v>868</v>
      </c>
      <c r="B869" s="3" t="s">
        <v>693</v>
      </c>
      <c r="C869" s="3" t="s">
        <v>1037</v>
      </c>
      <c r="D869" s="3" t="s">
        <v>1038</v>
      </c>
      <c r="E869" s="9">
        <v>2000</v>
      </c>
      <c r="L869" s="12"/>
    </row>
    <row r="870" spans="1:12" x14ac:dyDescent="0.3">
      <c r="A870" s="3">
        <v>869</v>
      </c>
      <c r="B870" s="3" t="s">
        <v>693</v>
      </c>
      <c r="C870" s="3" t="s">
        <v>1064</v>
      </c>
      <c r="D870" s="3" t="s">
        <v>1065</v>
      </c>
      <c r="E870" s="9">
        <v>4000</v>
      </c>
      <c r="L870" s="12"/>
    </row>
    <row r="871" spans="1:12" x14ac:dyDescent="0.3">
      <c r="A871" s="3">
        <v>870</v>
      </c>
      <c r="B871" s="3" t="s">
        <v>693</v>
      </c>
      <c r="C871" s="3" t="s">
        <v>1066</v>
      </c>
      <c r="D871" s="3" t="s">
        <v>1067</v>
      </c>
      <c r="E871" s="9">
        <v>6500</v>
      </c>
      <c r="L871" s="12"/>
    </row>
    <row r="872" spans="1:12" x14ac:dyDescent="0.3">
      <c r="A872" s="3">
        <v>871</v>
      </c>
      <c r="B872" s="3" t="s">
        <v>693</v>
      </c>
      <c r="C872" s="3" t="s">
        <v>1068</v>
      </c>
      <c r="D872" s="3" t="s">
        <v>1069</v>
      </c>
      <c r="E872" s="9">
        <v>8000</v>
      </c>
      <c r="L872" s="12"/>
    </row>
    <row r="873" spans="1:12" x14ac:dyDescent="0.3">
      <c r="A873" s="3">
        <v>872</v>
      </c>
      <c r="B873" s="3" t="s">
        <v>698</v>
      </c>
      <c r="C873" s="3" t="s">
        <v>1027</v>
      </c>
      <c r="D873" s="3" t="s">
        <v>1028</v>
      </c>
      <c r="E873" s="9">
        <v>4000</v>
      </c>
      <c r="L873" s="12"/>
    </row>
    <row r="874" spans="1:12" x14ac:dyDescent="0.3">
      <c r="A874" s="3">
        <v>873</v>
      </c>
      <c r="B874" s="3" t="s">
        <v>698</v>
      </c>
      <c r="C874" s="3" t="s">
        <v>1029</v>
      </c>
      <c r="D874" s="3" t="s">
        <v>1030</v>
      </c>
      <c r="E874" s="9">
        <v>5000</v>
      </c>
      <c r="L874" s="12"/>
    </row>
    <row r="875" spans="1:12" x14ac:dyDescent="0.3">
      <c r="A875" s="3">
        <v>874</v>
      </c>
      <c r="B875" s="3" t="s">
        <v>698</v>
      </c>
      <c r="C875" s="3" t="s">
        <v>1031</v>
      </c>
      <c r="D875" s="3" t="s">
        <v>1032</v>
      </c>
      <c r="E875" s="9">
        <v>5000</v>
      </c>
      <c r="L875" s="12"/>
    </row>
    <row r="876" spans="1:12" x14ac:dyDescent="0.3">
      <c r="A876" s="3">
        <v>875</v>
      </c>
      <c r="B876" s="3" t="s">
        <v>698</v>
      </c>
      <c r="C876" s="3" t="s">
        <v>1033</v>
      </c>
      <c r="D876" s="3" t="s">
        <v>1034</v>
      </c>
      <c r="E876" s="9">
        <v>6000</v>
      </c>
      <c r="L876" s="12"/>
    </row>
    <row r="877" spans="1:12" x14ac:dyDescent="0.3">
      <c r="A877" s="3">
        <v>876</v>
      </c>
      <c r="B877" s="3" t="s">
        <v>698</v>
      </c>
      <c r="C877" s="3" t="s">
        <v>1035</v>
      </c>
      <c r="D877" s="3" t="s">
        <v>1036</v>
      </c>
      <c r="E877" s="9">
        <v>5000</v>
      </c>
      <c r="L877" s="12"/>
    </row>
    <row r="878" spans="1:12" x14ac:dyDescent="0.3">
      <c r="A878" s="3">
        <v>877</v>
      </c>
      <c r="B878" s="3" t="s">
        <v>698</v>
      </c>
      <c r="C878" s="3" t="s">
        <v>1037</v>
      </c>
      <c r="D878" s="3" t="s">
        <v>1038</v>
      </c>
      <c r="E878" s="9">
        <v>2000</v>
      </c>
      <c r="L878" s="12"/>
    </row>
    <row r="879" spans="1:12" x14ac:dyDescent="0.3">
      <c r="A879" s="3">
        <v>878</v>
      </c>
      <c r="B879" s="3" t="s">
        <v>698</v>
      </c>
      <c r="C879" s="3" t="s">
        <v>1064</v>
      </c>
      <c r="D879" s="3" t="s">
        <v>1065</v>
      </c>
      <c r="E879" s="9">
        <v>4000</v>
      </c>
      <c r="L879" s="12"/>
    </row>
    <row r="880" spans="1:12" x14ac:dyDescent="0.3">
      <c r="A880" s="3">
        <v>879</v>
      </c>
      <c r="B880" s="3" t="s">
        <v>698</v>
      </c>
      <c r="C880" s="3" t="s">
        <v>1066</v>
      </c>
      <c r="D880" s="3" t="s">
        <v>1067</v>
      </c>
      <c r="E880" s="9">
        <v>6500</v>
      </c>
      <c r="L880" s="12"/>
    </row>
    <row r="881" spans="1:12" x14ac:dyDescent="0.3">
      <c r="A881" s="3">
        <v>880</v>
      </c>
      <c r="B881" s="3" t="s">
        <v>698</v>
      </c>
      <c r="C881" s="3" t="s">
        <v>1068</v>
      </c>
      <c r="D881" s="3" t="s">
        <v>1069</v>
      </c>
      <c r="E881" s="9">
        <v>8000</v>
      </c>
      <c r="L881" s="12"/>
    </row>
    <row r="882" spans="1:12" x14ac:dyDescent="0.3">
      <c r="A882" s="3">
        <v>881</v>
      </c>
      <c r="B882" s="3" t="s">
        <v>703</v>
      </c>
      <c r="C882" s="3" t="s">
        <v>992</v>
      </c>
      <c r="D882" s="3" t="s">
        <v>993</v>
      </c>
      <c r="E882" s="9">
        <v>5000</v>
      </c>
      <c r="L882" s="12"/>
    </row>
    <row r="883" spans="1:12" x14ac:dyDescent="0.3">
      <c r="A883" s="3">
        <v>882</v>
      </c>
      <c r="B883" s="3" t="s">
        <v>703</v>
      </c>
      <c r="C883" s="3" t="s">
        <v>994</v>
      </c>
      <c r="D883" s="3" t="s">
        <v>995</v>
      </c>
      <c r="E883" s="9">
        <v>6000</v>
      </c>
      <c r="L883" s="12"/>
    </row>
    <row r="884" spans="1:12" x14ac:dyDescent="0.3">
      <c r="A884" s="3">
        <v>883</v>
      </c>
      <c r="B884" s="3" t="s">
        <v>703</v>
      </c>
      <c r="C884" s="3" t="s">
        <v>996</v>
      </c>
      <c r="D884" s="3" t="s">
        <v>997</v>
      </c>
      <c r="E884" s="9">
        <v>5500</v>
      </c>
      <c r="L884" s="12"/>
    </row>
    <row r="885" spans="1:12" x14ac:dyDescent="0.3">
      <c r="A885" s="3">
        <v>884</v>
      </c>
      <c r="B885" s="3" t="s">
        <v>703</v>
      </c>
      <c r="C885" s="3" t="s">
        <v>998</v>
      </c>
      <c r="D885" s="3" t="s">
        <v>999</v>
      </c>
      <c r="E885" s="9">
        <v>6000</v>
      </c>
      <c r="L885" s="12"/>
    </row>
    <row r="886" spans="1:12" x14ac:dyDescent="0.3">
      <c r="A886" s="3">
        <v>885</v>
      </c>
      <c r="B886" s="3" t="s">
        <v>703</v>
      </c>
      <c r="C886" s="3" t="s">
        <v>1000</v>
      </c>
      <c r="D886" s="3" t="s">
        <v>1001</v>
      </c>
      <c r="E886" s="9">
        <v>4500</v>
      </c>
      <c r="L886" s="12"/>
    </row>
    <row r="887" spans="1:12" x14ac:dyDescent="0.3">
      <c r="A887" s="3">
        <v>886</v>
      </c>
      <c r="B887" s="3" t="s">
        <v>703</v>
      </c>
      <c r="C887" s="3" t="s">
        <v>1002</v>
      </c>
      <c r="D887" s="3" t="s">
        <v>1003</v>
      </c>
      <c r="E887" s="9">
        <v>4000</v>
      </c>
      <c r="L887" s="12"/>
    </row>
    <row r="888" spans="1:12" x14ac:dyDescent="0.3">
      <c r="A888" s="3">
        <v>887</v>
      </c>
      <c r="B888" s="3" t="s">
        <v>703</v>
      </c>
      <c r="C888" s="3" t="s">
        <v>1004</v>
      </c>
      <c r="D888" s="3" t="s">
        <v>1005</v>
      </c>
      <c r="E888" s="9">
        <v>3000</v>
      </c>
      <c r="L888" s="12"/>
    </row>
    <row r="889" spans="1:12" x14ac:dyDescent="0.3">
      <c r="A889" s="3">
        <v>888</v>
      </c>
      <c r="B889" s="3" t="s">
        <v>703</v>
      </c>
      <c r="C889" s="3" t="s">
        <v>1006</v>
      </c>
      <c r="D889" s="3" t="s">
        <v>1007</v>
      </c>
      <c r="E889" s="9">
        <v>2500</v>
      </c>
      <c r="L889" s="12"/>
    </row>
    <row r="890" spans="1:12" x14ac:dyDescent="0.3">
      <c r="A890" s="3">
        <v>889</v>
      </c>
      <c r="B890" s="3" t="s">
        <v>703</v>
      </c>
      <c r="C890" s="3" t="s">
        <v>1008</v>
      </c>
      <c r="D890" s="3" t="s">
        <v>1009</v>
      </c>
      <c r="E890" s="9">
        <v>8000</v>
      </c>
      <c r="L890" s="12"/>
    </row>
    <row r="891" spans="1:12" x14ac:dyDescent="0.3">
      <c r="A891" s="3">
        <v>890</v>
      </c>
      <c r="B891" s="3" t="s">
        <v>703</v>
      </c>
      <c r="C891" s="3" t="s">
        <v>1056</v>
      </c>
      <c r="D891" s="3" t="s">
        <v>1057</v>
      </c>
      <c r="E891" s="9">
        <v>9000</v>
      </c>
      <c r="L891" s="12"/>
    </row>
    <row r="892" spans="1:12" x14ac:dyDescent="0.3">
      <c r="A892" s="3">
        <v>891</v>
      </c>
      <c r="B892" s="3" t="s">
        <v>703</v>
      </c>
      <c r="C892" s="3" t="s">
        <v>1010</v>
      </c>
      <c r="D892" s="3" t="s">
        <v>1011</v>
      </c>
      <c r="E892" s="9">
        <v>8000</v>
      </c>
      <c r="L892" s="12"/>
    </row>
    <row r="893" spans="1:12" x14ac:dyDescent="0.3">
      <c r="A893" s="3">
        <v>892</v>
      </c>
      <c r="B893" s="3" t="s">
        <v>703</v>
      </c>
      <c r="C893" s="3" t="s">
        <v>1012</v>
      </c>
      <c r="D893" s="3" t="s">
        <v>1013</v>
      </c>
      <c r="E893" s="9">
        <v>6000</v>
      </c>
      <c r="L893" s="12"/>
    </row>
    <row r="894" spans="1:12" x14ac:dyDescent="0.3">
      <c r="A894" s="3">
        <v>893</v>
      </c>
      <c r="B894" s="3" t="s">
        <v>708</v>
      </c>
      <c r="C894" s="3" t="s">
        <v>945</v>
      </c>
      <c r="D894" s="3" t="s">
        <v>1097</v>
      </c>
      <c r="E894" s="9">
        <v>15000</v>
      </c>
      <c r="L894" s="12"/>
    </row>
    <row r="895" spans="1:12" x14ac:dyDescent="0.3">
      <c r="A895" s="3">
        <v>894</v>
      </c>
      <c r="B895" s="3" t="s">
        <v>708</v>
      </c>
      <c r="C895" s="3" t="s">
        <v>947</v>
      </c>
      <c r="D895" s="3" t="s">
        <v>948</v>
      </c>
      <c r="E895" s="9">
        <v>5000</v>
      </c>
      <c r="L895" s="12"/>
    </row>
    <row r="896" spans="1:12" x14ac:dyDescent="0.3">
      <c r="A896" s="3">
        <v>895</v>
      </c>
      <c r="B896" s="3" t="s">
        <v>708</v>
      </c>
      <c r="C896" s="3" t="s">
        <v>949</v>
      </c>
      <c r="D896" s="3" t="s">
        <v>1073</v>
      </c>
      <c r="E896" s="9">
        <v>4000</v>
      </c>
      <c r="L896" s="12"/>
    </row>
    <row r="897" spans="1:12" x14ac:dyDescent="0.3">
      <c r="A897" s="3">
        <v>896</v>
      </c>
      <c r="B897" s="3" t="s">
        <v>708</v>
      </c>
      <c r="C897" s="3" t="s">
        <v>951</v>
      </c>
      <c r="D897" s="3" t="s">
        <v>952</v>
      </c>
      <c r="E897" s="9">
        <v>17000</v>
      </c>
      <c r="L897" s="12"/>
    </row>
    <row r="898" spans="1:12" x14ac:dyDescent="0.3">
      <c r="A898" s="3">
        <v>897</v>
      </c>
      <c r="B898" s="3" t="s">
        <v>708</v>
      </c>
      <c r="C898" s="3" t="s">
        <v>953</v>
      </c>
      <c r="D898" s="3" t="s">
        <v>954</v>
      </c>
      <c r="E898" s="9">
        <v>11000</v>
      </c>
      <c r="L898" s="12"/>
    </row>
    <row r="899" spans="1:12" x14ac:dyDescent="0.3">
      <c r="A899" s="3">
        <v>898</v>
      </c>
      <c r="B899" s="3" t="s">
        <v>708</v>
      </c>
      <c r="C899" s="3" t="s">
        <v>955</v>
      </c>
      <c r="D899" s="3" t="s">
        <v>1074</v>
      </c>
      <c r="E899" s="9">
        <v>6000</v>
      </c>
      <c r="L899" s="12"/>
    </row>
    <row r="900" spans="1:12" x14ac:dyDescent="0.3">
      <c r="A900" s="3">
        <v>899</v>
      </c>
      <c r="B900" s="3" t="s">
        <v>708</v>
      </c>
      <c r="C900" s="3" t="s">
        <v>957</v>
      </c>
      <c r="D900" s="3" t="s">
        <v>958</v>
      </c>
      <c r="E900" s="9">
        <v>4500</v>
      </c>
      <c r="L900" s="12"/>
    </row>
    <row r="901" spans="1:12" x14ac:dyDescent="0.3">
      <c r="A901" s="3">
        <v>900</v>
      </c>
      <c r="B901" s="3" t="s">
        <v>708</v>
      </c>
      <c r="C901" s="3" t="s">
        <v>959</v>
      </c>
      <c r="D901" s="3" t="s">
        <v>960</v>
      </c>
      <c r="E901" s="9">
        <v>8500</v>
      </c>
      <c r="L901" s="12"/>
    </row>
    <row r="902" spans="1:12" x14ac:dyDescent="0.3">
      <c r="A902" s="3">
        <v>901</v>
      </c>
      <c r="B902" s="3" t="s">
        <v>708</v>
      </c>
      <c r="C902" s="3" t="s">
        <v>961</v>
      </c>
      <c r="D902" s="3" t="s">
        <v>962</v>
      </c>
      <c r="E902" s="9">
        <v>2000</v>
      </c>
      <c r="L902" s="12"/>
    </row>
    <row r="903" spans="1:12" x14ac:dyDescent="0.3">
      <c r="A903" s="3">
        <v>902</v>
      </c>
      <c r="B903" s="3" t="s">
        <v>713</v>
      </c>
      <c r="C903" s="3" t="s">
        <v>1075</v>
      </c>
      <c r="D903" s="3" t="s">
        <v>1076</v>
      </c>
      <c r="E903" s="9">
        <v>10000</v>
      </c>
      <c r="L903" s="12"/>
    </row>
    <row r="904" spans="1:12" x14ac:dyDescent="0.3">
      <c r="A904" s="3">
        <v>903</v>
      </c>
      <c r="B904" s="3" t="s">
        <v>713</v>
      </c>
      <c r="C904" s="3" t="s">
        <v>1077</v>
      </c>
      <c r="D904" s="3" t="s">
        <v>1078</v>
      </c>
      <c r="E904" s="9">
        <v>10500</v>
      </c>
      <c r="L904" s="12"/>
    </row>
    <row r="905" spans="1:12" x14ac:dyDescent="0.3">
      <c r="A905" s="3">
        <v>904</v>
      </c>
      <c r="B905" s="3" t="s">
        <v>713</v>
      </c>
      <c r="C905" s="3" t="s">
        <v>1079</v>
      </c>
      <c r="D905" s="3" t="s">
        <v>1080</v>
      </c>
      <c r="E905" s="9">
        <v>11000</v>
      </c>
      <c r="L905" s="12"/>
    </row>
    <row r="906" spans="1:12" x14ac:dyDescent="0.3">
      <c r="A906" s="3">
        <v>905</v>
      </c>
      <c r="B906" s="3" t="s">
        <v>713</v>
      </c>
      <c r="C906" s="3" t="s">
        <v>1081</v>
      </c>
      <c r="D906" s="3" t="s">
        <v>1082</v>
      </c>
      <c r="E906" s="9">
        <v>11000</v>
      </c>
      <c r="L906" s="12"/>
    </row>
    <row r="907" spans="1:12" x14ac:dyDescent="0.3">
      <c r="A907" s="3">
        <v>906</v>
      </c>
      <c r="B907" s="3" t="s">
        <v>713</v>
      </c>
      <c r="C907" s="3" t="s">
        <v>1083</v>
      </c>
      <c r="D907" s="3" t="s">
        <v>1084</v>
      </c>
      <c r="E907" s="9">
        <v>12000</v>
      </c>
      <c r="L907" s="12"/>
    </row>
    <row r="908" spans="1:12" x14ac:dyDescent="0.3">
      <c r="A908" s="3">
        <v>907</v>
      </c>
      <c r="B908" s="3" t="s">
        <v>713</v>
      </c>
      <c r="C908" s="3" t="s">
        <v>1085</v>
      </c>
      <c r="D908" s="3" t="s">
        <v>1086</v>
      </c>
      <c r="E908" s="9">
        <v>12000</v>
      </c>
      <c r="L908" s="12"/>
    </row>
    <row r="909" spans="1:12" x14ac:dyDescent="0.3">
      <c r="A909" s="3">
        <v>908</v>
      </c>
      <c r="B909" s="3" t="s">
        <v>713</v>
      </c>
      <c r="C909" s="3" t="s">
        <v>1087</v>
      </c>
      <c r="D909" s="3" t="s">
        <v>1121</v>
      </c>
      <c r="E909" s="9">
        <v>11000</v>
      </c>
      <c r="L909" s="12"/>
    </row>
    <row r="910" spans="1:12" x14ac:dyDescent="0.3">
      <c r="A910" s="3">
        <v>909</v>
      </c>
      <c r="B910" s="3" t="s">
        <v>718</v>
      </c>
      <c r="C910" s="3" t="s">
        <v>945</v>
      </c>
      <c r="D910" s="3" t="s">
        <v>1097</v>
      </c>
      <c r="E910" s="9">
        <v>15000</v>
      </c>
      <c r="L910" s="12"/>
    </row>
    <row r="911" spans="1:12" x14ac:dyDescent="0.3">
      <c r="A911" s="3">
        <v>910</v>
      </c>
      <c r="B911" s="3" t="s">
        <v>718</v>
      </c>
      <c r="C911" s="3" t="s">
        <v>947</v>
      </c>
      <c r="D911" s="3" t="s">
        <v>948</v>
      </c>
      <c r="E911" s="9">
        <v>5000</v>
      </c>
      <c r="L911" s="12"/>
    </row>
    <row r="912" spans="1:12" x14ac:dyDescent="0.3">
      <c r="A912" s="3">
        <v>911</v>
      </c>
      <c r="B912" s="3" t="s">
        <v>718</v>
      </c>
      <c r="C912" s="3" t="s">
        <v>949</v>
      </c>
      <c r="D912" s="3" t="s">
        <v>1073</v>
      </c>
      <c r="E912" s="9">
        <v>4000</v>
      </c>
      <c r="L912" s="12"/>
    </row>
    <row r="913" spans="1:12" x14ac:dyDescent="0.3">
      <c r="A913" s="3">
        <v>912</v>
      </c>
      <c r="B913" s="3" t="s">
        <v>718</v>
      </c>
      <c r="C913" s="3" t="s">
        <v>951</v>
      </c>
      <c r="D913" s="3" t="s">
        <v>952</v>
      </c>
      <c r="E913" s="9">
        <v>17000</v>
      </c>
      <c r="L913" s="12"/>
    </row>
    <row r="914" spans="1:12" x14ac:dyDescent="0.3">
      <c r="A914" s="3">
        <v>913</v>
      </c>
      <c r="B914" s="3" t="s">
        <v>718</v>
      </c>
      <c r="C914" s="3" t="s">
        <v>953</v>
      </c>
      <c r="D914" s="3" t="s">
        <v>954</v>
      </c>
      <c r="E914" s="9">
        <v>11000</v>
      </c>
      <c r="L914" s="12"/>
    </row>
    <row r="915" spans="1:12" x14ac:dyDescent="0.3">
      <c r="A915" s="3">
        <v>914</v>
      </c>
      <c r="B915" s="3" t="s">
        <v>718</v>
      </c>
      <c r="C915" s="3" t="s">
        <v>955</v>
      </c>
      <c r="D915" s="3" t="s">
        <v>1074</v>
      </c>
      <c r="E915" s="9">
        <v>6000</v>
      </c>
      <c r="L915" s="12"/>
    </row>
    <row r="916" spans="1:12" x14ac:dyDescent="0.3">
      <c r="A916" s="3">
        <v>915</v>
      </c>
      <c r="B916" s="3" t="s">
        <v>718</v>
      </c>
      <c r="C916" s="3" t="s">
        <v>957</v>
      </c>
      <c r="D916" s="3" t="s">
        <v>958</v>
      </c>
      <c r="E916" s="9">
        <v>4500</v>
      </c>
      <c r="L916" s="12"/>
    </row>
    <row r="917" spans="1:12" x14ac:dyDescent="0.3">
      <c r="A917" s="3">
        <v>916</v>
      </c>
      <c r="B917" s="3" t="s">
        <v>718</v>
      </c>
      <c r="C917" s="3" t="s">
        <v>959</v>
      </c>
      <c r="D917" s="3" t="s">
        <v>960</v>
      </c>
      <c r="E917" s="9">
        <v>8500</v>
      </c>
      <c r="L917" s="12"/>
    </row>
    <row r="918" spans="1:12" x14ac:dyDescent="0.3">
      <c r="A918" s="3">
        <v>917</v>
      </c>
      <c r="B918" s="3" t="s">
        <v>718</v>
      </c>
      <c r="C918" s="3" t="s">
        <v>961</v>
      </c>
      <c r="D918" s="3" t="s">
        <v>962</v>
      </c>
      <c r="E918" s="9">
        <v>2000</v>
      </c>
      <c r="L918" s="12"/>
    </row>
    <row r="919" spans="1:12" x14ac:dyDescent="0.3">
      <c r="A919" s="3">
        <v>918</v>
      </c>
      <c r="B919" s="3" t="s">
        <v>723</v>
      </c>
      <c r="C919" s="3" t="s">
        <v>1027</v>
      </c>
      <c r="D919" s="3" t="s">
        <v>1028</v>
      </c>
      <c r="E919" s="9">
        <v>4000</v>
      </c>
      <c r="L919" s="12"/>
    </row>
    <row r="920" spans="1:12" x14ac:dyDescent="0.3">
      <c r="A920" s="3">
        <v>919</v>
      </c>
      <c r="B920" s="3" t="s">
        <v>723</v>
      </c>
      <c r="C920" s="3" t="s">
        <v>1029</v>
      </c>
      <c r="D920" s="3" t="s">
        <v>1030</v>
      </c>
      <c r="E920" s="9">
        <v>5000</v>
      </c>
      <c r="L920" s="12"/>
    </row>
    <row r="921" spans="1:12" x14ac:dyDescent="0.3">
      <c r="A921" s="3">
        <v>920</v>
      </c>
      <c r="B921" s="3" t="s">
        <v>723</v>
      </c>
      <c r="C921" s="3" t="s">
        <v>1031</v>
      </c>
      <c r="D921" s="3" t="s">
        <v>1032</v>
      </c>
      <c r="E921" s="9">
        <v>5000</v>
      </c>
      <c r="L921" s="12"/>
    </row>
    <row r="922" spans="1:12" x14ac:dyDescent="0.3">
      <c r="A922" s="3">
        <v>921</v>
      </c>
      <c r="B922" s="3" t="s">
        <v>723</v>
      </c>
      <c r="C922" s="3" t="s">
        <v>1033</v>
      </c>
      <c r="D922" s="3" t="s">
        <v>1034</v>
      </c>
      <c r="E922" s="9">
        <v>6000</v>
      </c>
      <c r="L922" s="12"/>
    </row>
    <row r="923" spans="1:12" x14ac:dyDescent="0.3">
      <c r="A923" s="3">
        <v>922</v>
      </c>
      <c r="B923" s="3" t="s">
        <v>723</v>
      </c>
      <c r="C923" s="3" t="s">
        <v>1035</v>
      </c>
      <c r="D923" s="3" t="s">
        <v>1036</v>
      </c>
      <c r="E923" s="9">
        <v>5000</v>
      </c>
      <c r="L923" s="12"/>
    </row>
    <row r="924" spans="1:12" x14ac:dyDescent="0.3">
      <c r="A924" s="3">
        <v>923</v>
      </c>
      <c r="B924" s="3" t="s">
        <v>723</v>
      </c>
      <c r="C924" s="3" t="s">
        <v>1037</v>
      </c>
      <c r="D924" s="3" t="s">
        <v>1038</v>
      </c>
      <c r="E924" s="9">
        <v>2000</v>
      </c>
      <c r="L924" s="12"/>
    </row>
    <row r="925" spans="1:12" x14ac:dyDescent="0.3">
      <c r="A925" s="3">
        <v>924</v>
      </c>
      <c r="B925" s="3" t="s">
        <v>723</v>
      </c>
      <c r="C925" s="3" t="s">
        <v>1064</v>
      </c>
      <c r="D925" s="3" t="s">
        <v>1065</v>
      </c>
      <c r="E925" s="9">
        <v>4000</v>
      </c>
      <c r="L925" s="12"/>
    </row>
    <row r="926" spans="1:12" x14ac:dyDescent="0.3">
      <c r="A926" s="3">
        <v>925</v>
      </c>
      <c r="B926" s="3" t="s">
        <v>723</v>
      </c>
      <c r="C926" s="3" t="s">
        <v>1066</v>
      </c>
      <c r="D926" s="3" t="s">
        <v>1067</v>
      </c>
      <c r="E926" s="9">
        <v>6500</v>
      </c>
      <c r="L926" s="12"/>
    </row>
    <row r="927" spans="1:12" x14ac:dyDescent="0.3">
      <c r="A927" s="3">
        <v>926</v>
      </c>
      <c r="B927" s="3" t="s">
        <v>723</v>
      </c>
      <c r="C927" s="3" t="s">
        <v>1068</v>
      </c>
      <c r="D927" s="3" t="s">
        <v>1069</v>
      </c>
      <c r="E927" s="9">
        <v>8000</v>
      </c>
      <c r="L927" s="12"/>
    </row>
    <row r="928" spans="1:12" x14ac:dyDescent="0.3">
      <c r="A928" s="3">
        <v>927</v>
      </c>
      <c r="B928" s="3" t="s">
        <v>728</v>
      </c>
      <c r="C928" s="3" t="s">
        <v>945</v>
      </c>
      <c r="D928" s="3" t="s">
        <v>1097</v>
      </c>
      <c r="E928" s="9">
        <v>15000</v>
      </c>
      <c r="L928" s="12"/>
    </row>
    <row r="929" spans="1:12" x14ac:dyDescent="0.3">
      <c r="A929" s="3">
        <v>928</v>
      </c>
      <c r="B929" s="3" t="s">
        <v>728</v>
      </c>
      <c r="C929" s="3" t="s">
        <v>947</v>
      </c>
      <c r="D929" s="3" t="s">
        <v>948</v>
      </c>
      <c r="E929" s="9">
        <v>5000</v>
      </c>
      <c r="L929" s="12"/>
    </row>
    <row r="930" spans="1:12" x14ac:dyDescent="0.3">
      <c r="A930" s="3">
        <v>929</v>
      </c>
      <c r="B930" s="3" t="s">
        <v>728</v>
      </c>
      <c r="C930" s="3" t="s">
        <v>949</v>
      </c>
      <c r="D930" s="3" t="s">
        <v>1073</v>
      </c>
      <c r="E930" s="9">
        <v>4000</v>
      </c>
      <c r="L930" s="12"/>
    </row>
    <row r="931" spans="1:12" x14ac:dyDescent="0.3">
      <c r="A931" s="3">
        <v>930</v>
      </c>
      <c r="B931" s="3" t="s">
        <v>728</v>
      </c>
      <c r="C931" s="3" t="s">
        <v>951</v>
      </c>
      <c r="D931" s="3" t="s">
        <v>952</v>
      </c>
      <c r="E931" s="9">
        <v>17000</v>
      </c>
      <c r="L931" s="12"/>
    </row>
    <row r="932" spans="1:12" x14ac:dyDescent="0.3">
      <c r="A932" s="3">
        <v>931</v>
      </c>
      <c r="B932" s="3" t="s">
        <v>728</v>
      </c>
      <c r="C932" s="3" t="s">
        <v>953</v>
      </c>
      <c r="D932" s="3" t="s">
        <v>954</v>
      </c>
      <c r="E932" s="9">
        <v>11000</v>
      </c>
      <c r="L932" s="12"/>
    </row>
    <row r="933" spans="1:12" x14ac:dyDescent="0.3">
      <c r="A933" s="3">
        <v>932</v>
      </c>
      <c r="B933" s="3" t="s">
        <v>728</v>
      </c>
      <c r="C933" s="3" t="s">
        <v>955</v>
      </c>
      <c r="D933" s="3" t="s">
        <v>1074</v>
      </c>
      <c r="E933" s="9">
        <v>6000</v>
      </c>
      <c r="L933" s="12"/>
    </row>
    <row r="934" spans="1:12" x14ac:dyDescent="0.3">
      <c r="A934" s="3">
        <v>933</v>
      </c>
      <c r="B934" s="3" t="s">
        <v>728</v>
      </c>
      <c r="C934" s="3" t="s">
        <v>957</v>
      </c>
      <c r="D934" s="3" t="s">
        <v>958</v>
      </c>
      <c r="E934" s="9">
        <v>4500</v>
      </c>
      <c r="L934" s="12"/>
    </row>
    <row r="935" spans="1:12" x14ac:dyDescent="0.3">
      <c r="A935" s="3">
        <v>934</v>
      </c>
      <c r="B935" s="3" t="s">
        <v>728</v>
      </c>
      <c r="C935" s="3" t="s">
        <v>959</v>
      </c>
      <c r="D935" s="3" t="s">
        <v>960</v>
      </c>
      <c r="E935" s="9">
        <v>8500</v>
      </c>
      <c r="L935" s="12"/>
    </row>
    <row r="936" spans="1:12" x14ac:dyDescent="0.3">
      <c r="A936" s="3">
        <v>935</v>
      </c>
      <c r="B936" s="3" t="s">
        <v>728</v>
      </c>
      <c r="C936" s="3" t="s">
        <v>961</v>
      </c>
      <c r="D936" s="3" t="s">
        <v>962</v>
      </c>
      <c r="E936" s="9">
        <v>2000</v>
      </c>
      <c r="L936" s="12"/>
    </row>
    <row r="937" spans="1:12" x14ac:dyDescent="0.3">
      <c r="A937" s="3">
        <v>936</v>
      </c>
      <c r="B937" s="3" t="s">
        <v>733</v>
      </c>
      <c r="C937" s="3" t="s">
        <v>1039</v>
      </c>
      <c r="D937" s="3" t="s">
        <v>1040</v>
      </c>
      <c r="E937" s="9">
        <v>4500</v>
      </c>
      <c r="L937" s="12"/>
    </row>
    <row r="938" spans="1:12" x14ac:dyDescent="0.3">
      <c r="A938" s="3">
        <v>937</v>
      </c>
      <c r="B938" s="3" t="s">
        <v>733</v>
      </c>
      <c r="C938" s="3" t="s">
        <v>1041</v>
      </c>
      <c r="D938" s="3" t="s">
        <v>1042</v>
      </c>
      <c r="E938" s="9">
        <v>3000</v>
      </c>
      <c r="L938" s="12"/>
    </row>
    <row r="939" spans="1:12" x14ac:dyDescent="0.3">
      <c r="A939" s="3">
        <v>938</v>
      </c>
      <c r="B939" s="3" t="s">
        <v>733</v>
      </c>
      <c r="C939" s="3" t="s">
        <v>1043</v>
      </c>
      <c r="D939" s="3" t="s">
        <v>1044</v>
      </c>
      <c r="E939" s="9">
        <v>2000</v>
      </c>
      <c r="L939" s="12"/>
    </row>
    <row r="940" spans="1:12" x14ac:dyDescent="0.3">
      <c r="A940" s="3">
        <v>939</v>
      </c>
      <c r="B940" s="3" t="s">
        <v>733</v>
      </c>
      <c r="C940" s="3" t="s">
        <v>1058</v>
      </c>
      <c r="D940" s="3" t="s">
        <v>1059</v>
      </c>
      <c r="E940" s="9">
        <v>500</v>
      </c>
      <c r="L940" s="12"/>
    </row>
    <row r="941" spans="1:12" x14ac:dyDescent="0.3">
      <c r="A941" s="3">
        <v>940</v>
      </c>
      <c r="B941" s="3" t="s">
        <v>733</v>
      </c>
      <c r="C941" s="3" t="s">
        <v>1045</v>
      </c>
      <c r="D941" s="3" t="s">
        <v>1046</v>
      </c>
      <c r="E941" s="9">
        <v>700</v>
      </c>
      <c r="L941" s="12"/>
    </row>
    <row r="942" spans="1:12" x14ac:dyDescent="0.3">
      <c r="A942" s="3">
        <v>941</v>
      </c>
      <c r="B942" s="3" t="s">
        <v>733</v>
      </c>
      <c r="C942" s="3" t="s">
        <v>1047</v>
      </c>
      <c r="D942" s="3" t="s">
        <v>1048</v>
      </c>
      <c r="E942" s="9">
        <v>700</v>
      </c>
      <c r="L942" s="12"/>
    </row>
    <row r="943" spans="1:12" x14ac:dyDescent="0.3">
      <c r="A943" s="3">
        <v>942</v>
      </c>
      <c r="B943" s="3" t="s">
        <v>733</v>
      </c>
      <c r="C943" s="3" t="s">
        <v>1060</v>
      </c>
      <c r="D943" s="3" t="s">
        <v>1061</v>
      </c>
      <c r="E943" s="9">
        <v>2500</v>
      </c>
      <c r="L943" s="12"/>
    </row>
    <row r="944" spans="1:12" x14ac:dyDescent="0.3">
      <c r="A944" s="3">
        <v>943</v>
      </c>
      <c r="B944" s="3" t="s">
        <v>733</v>
      </c>
      <c r="C944" s="3" t="s">
        <v>1062</v>
      </c>
      <c r="D944" s="3" t="s">
        <v>1063</v>
      </c>
      <c r="E944" s="9">
        <v>3500</v>
      </c>
      <c r="L944" s="12"/>
    </row>
    <row r="945" spans="1:12" x14ac:dyDescent="0.3">
      <c r="A945" s="3">
        <v>944</v>
      </c>
      <c r="B945" s="3" t="s">
        <v>738</v>
      </c>
      <c r="C945" s="3" t="s">
        <v>1027</v>
      </c>
      <c r="D945" s="3" t="s">
        <v>1028</v>
      </c>
      <c r="E945" s="9">
        <v>4000</v>
      </c>
      <c r="L945" s="12"/>
    </row>
    <row r="946" spans="1:12" x14ac:dyDescent="0.3">
      <c r="A946" s="3">
        <v>945</v>
      </c>
      <c r="B946" s="3" t="s">
        <v>738</v>
      </c>
      <c r="C946" s="3" t="s">
        <v>1029</v>
      </c>
      <c r="D946" s="3" t="s">
        <v>1030</v>
      </c>
      <c r="E946" s="9">
        <v>5000</v>
      </c>
      <c r="L946" s="12"/>
    </row>
    <row r="947" spans="1:12" x14ac:dyDescent="0.3">
      <c r="A947" s="3">
        <v>946</v>
      </c>
      <c r="B947" s="3" t="s">
        <v>738</v>
      </c>
      <c r="C947" s="3" t="s">
        <v>1031</v>
      </c>
      <c r="D947" s="3" t="s">
        <v>1032</v>
      </c>
      <c r="E947" s="9">
        <v>5000</v>
      </c>
      <c r="L947" s="12"/>
    </row>
    <row r="948" spans="1:12" x14ac:dyDescent="0.3">
      <c r="A948" s="3">
        <v>947</v>
      </c>
      <c r="B948" s="3" t="s">
        <v>738</v>
      </c>
      <c r="C948" s="3" t="s">
        <v>1033</v>
      </c>
      <c r="D948" s="3" t="s">
        <v>1034</v>
      </c>
      <c r="E948" s="9">
        <v>6000</v>
      </c>
      <c r="L948" s="12"/>
    </row>
    <row r="949" spans="1:12" x14ac:dyDescent="0.3">
      <c r="A949" s="3">
        <v>948</v>
      </c>
      <c r="B949" s="3" t="s">
        <v>738</v>
      </c>
      <c r="C949" s="3" t="s">
        <v>1035</v>
      </c>
      <c r="D949" s="3" t="s">
        <v>1036</v>
      </c>
      <c r="E949" s="9">
        <v>5000</v>
      </c>
      <c r="L949" s="12"/>
    </row>
    <row r="950" spans="1:12" x14ac:dyDescent="0.3">
      <c r="A950" s="3">
        <v>949</v>
      </c>
      <c r="B950" s="3" t="s">
        <v>738</v>
      </c>
      <c r="C950" s="3" t="s">
        <v>1037</v>
      </c>
      <c r="D950" s="3" t="s">
        <v>1038</v>
      </c>
      <c r="E950" s="9">
        <v>2000</v>
      </c>
      <c r="L950" s="12"/>
    </row>
    <row r="951" spans="1:12" x14ac:dyDescent="0.3">
      <c r="A951" s="3">
        <v>950</v>
      </c>
      <c r="B951" s="3" t="s">
        <v>738</v>
      </c>
      <c r="C951" s="3" t="s">
        <v>1064</v>
      </c>
      <c r="D951" s="3" t="s">
        <v>1065</v>
      </c>
      <c r="E951" s="9">
        <v>4000</v>
      </c>
      <c r="L951" s="12"/>
    </row>
    <row r="952" spans="1:12" x14ac:dyDescent="0.3">
      <c r="A952" s="3">
        <v>951</v>
      </c>
      <c r="B952" s="3" t="s">
        <v>738</v>
      </c>
      <c r="C952" s="3" t="s">
        <v>1066</v>
      </c>
      <c r="D952" s="3" t="s">
        <v>1067</v>
      </c>
      <c r="E952" s="9">
        <v>6500</v>
      </c>
      <c r="L952" s="12"/>
    </row>
    <row r="953" spans="1:12" x14ac:dyDescent="0.3">
      <c r="A953" s="3">
        <v>952</v>
      </c>
      <c r="B953" s="3" t="s">
        <v>738</v>
      </c>
      <c r="C953" s="3" t="s">
        <v>1068</v>
      </c>
      <c r="D953" s="3" t="s">
        <v>1069</v>
      </c>
      <c r="E953" s="9">
        <v>8000</v>
      </c>
      <c r="L953" s="12"/>
    </row>
    <row r="954" spans="1:12" x14ac:dyDescent="0.3">
      <c r="A954" s="3">
        <v>953</v>
      </c>
      <c r="B954" s="3" t="s">
        <v>743</v>
      </c>
      <c r="C954" s="3" t="s">
        <v>1027</v>
      </c>
      <c r="D954" s="3" t="s">
        <v>1028</v>
      </c>
      <c r="E954" s="9">
        <v>4000</v>
      </c>
      <c r="L954" s="12"/>
    </row>
    <row r="955" spans="1:12" x14ac:dyDescent="0.3">
      <c r="A955" s="3">
        <v>954</v>
      </c>
      <c r="B955" s="3" t="s">
        <v>743</v>
      </c>
      <c r="C955" s="3" t="s">
        <v>1029</v>
      </c>
      <c r="D955" s="3" t="s">
        <v>1030</v>
      </c>
      <c r="E955" s="9">
        <v>5000</v>
      </c>
      <c r="L955" s="12"/>
    </row>
    <row r="956" spans="1:12" x14ac:dyDescent="0.3">
      <c r="A956" s="3">
        <v>955</v>
      </c>
      <c r="B956" s="3" t="s">
        <v>743</v>
      </c>
      <c r="C956" s="3" t="s">
        <v>1031</v>
      </c>
      <c r="D956" s="3" t="s">
        <v>1032</v>
      </c>
      <c r="E956" s="9">
        <v>5000</v>
      </c>
      <c r="L956" s="12"/>
    </row>
    <row r="957" spans="1:12" x14ac:dyDescent="0.3">
      <c r="A957" s="3">
        <v>956</v>
      </c>
      <c r="B957" s="3" t="s">
        <v>743</v>
      </c>
      <c r="C957" s="3" t="s">
        <v>1033</v>
      </c>
      <c r="D957" s="3" t="s">
        <v>1034</v>
      </c>
      <c r="E957" s="9">
        <v>6000</v>
      </c>
      <c r="L957" s="12"/>
    </row>
    <row r="958" spans="1:12" x14ac:dyDescent="0.3">
      <c r="A958" s="3">
        <v>957</v>
      </c>
      <c r="B958" s="3" t="s">
        <v>743</v>
      </c>
      <c r="C958" s="3" t="s">
        <v>1035</v>
      </c>
      <c r="D958" s="3" t="s">
        <v>1036</v>
      </c>
      <c r="E958" s="9">
        <v>5000</v>
      </c>
      <c r="L958" s="12"/>
    </row>
    <row r="959" spans="1:12" x14ac:dyDescent="0.3">
      <c r="A959" s="3">
        <v>958</v>
      </c>
      <c r="B959" s="3" t="s">
        <v>743</v>
      </c>
      <c r="C959" s="3" t="s">
        <v>1037</v>
      </c>
      <c r="D959" s="3" t="s">
        <v>1038</v>
      </c>
      <c r="E959" s="9">
        <v>2000</v>
      </c>
      <c r="L959" s="12"/>
    </row>
    <row r="960" spans="1:12" x14ac:dyDescent="0.3">
      <c r="A960" s="3">
        <v>959</v>
      </c>
      <c r="B960" s="3" t="s">
        <v>743</v>
      </c>
      <c r="C960" s="3" t="s">
        <v>1064</v>
      </c>
      <c r="D960" s="3" t="s">
        <v>1065</v>
      </c>
      <c r="E960" s="9">
        <v>4000</v>
      </c>
      <c r="L960" s="12"/>
    </row>
    <row r="961" spans="1:12" x14ac:dyDescent="0.3">
      <c r="A961" s="3">
        <v>960</v>
      </c>
      <c r="B961" s="3" t="s">
        <v>743</v>
      </c>
      <c r="C961" s="3" t="s">
        <v>1066</v>
      </c>
      <c r="D961" s="3" t="s">
        <v>1067</v>
      </c>
      <c r="E961" s="9">
        <v>6500</v>
      </c>
      <c r="L961" s="12"/>
    </row>
    <row r="962" spans="1:12" x14ac:dyDescent="0.3">
      <c r="A962" s="3">
        <v>961</v>
      </c>
      <c r="B962" s="3" t="s">
        <v>743</v>
      </c>
      <c r="C962" s="3" t="s">
        <v>1068</v>
      </c>
      <c r="D962" s="3" t="s">
        <v>1069</v>
      </c>
      <c r="E962" s="9">
        <v>8000</v>
      </c>
      <c r="L962" s="12"/>
    </row>
    <row r="963" spans="1:12" x14ac:dyDescent="0.3">
      <c r="A963" s="3">
        <v>962</v>
      </c>
      <c r="B963" s="3" t="s">
        <v>748</v>
      </c>
      <c r="C963" s="3" t="s">
        <v>1027</v>
      </c>
      <c r="D963" s="3" t="s">
        <v>1028</v>
      </c>
      <c r="E963" s="9">
        <v>4000</v>
      </c>
      <c r="L963" s="12"/>
    </row>
    <row r="964" spans="1:12" x14ac:dyDescent="0.3">
      <c r="A964" s="3">
        <v>963</v>
      </c>
      <c r="B964" s="3" t="s">
        <v>748</v>
      </c>
      <c r="C964" s="3" t="s">
        <v>1029</v>
      </c>
      <c r="D964" s="3" t="s">
        <v>1030</v>
      </c>
      <c r="E964" s="9">
        <v>5000</v>
      </c>
      <c r="L964" s="12"/>
    </row>
    <row r="965" spans="1:12" x14ac:dyDescent="0.3">
      <c r="A965" s="3">
        <v>964</v>
      </c>
      <c r="B965" s="3" t="s">
        <v>748</v>
      </c>
      <c r="C965" s="3" t="s">
        <v>1031</v>
      </c>
      <c r="D965" s="3" t="s">
        <v>1032</v>
      </c>
      <c r="E965" s="9">
        <v>5000</v>
      </c>
      <c r="L965" s="12"/>
    </row>
    <row r="966" spans="1:12" x14ac:dyDescent="0.3">
      <c r="A966" s="3">
        <v>965</v>
      </c>
      <c r="B966" s="3" t="s">
        <v>748</v>
      </c>
      <c r="C966" s="3" t="s">
        <v>1033</v>
      </c>
      <c r="D966" s="3" t="s">
        <v>1034</v>
      </c>
      <c r="E966" s="9">
        <v>6000</v>
      </c>
      <c r="L966" s="12"/>
    </row>
    <row r="967" spans="1:12" x14ac:dyDescent="0.3">
      <c r="A967" s="3">
        <v>966</v>
      </c>
      <c r="B967" s="3" t="s">
        <v>748</v>
      </c>
      <c r="C967" s="3" t="s">
        <v>1035</v>
      </c>
      <c r="D967" s="3" t="s">
        <v>1036</v>
      </c>
      <c r="E967" s="9">
        <v>5000</v>
      </c>
      <c r="L967" s="12"/>
    </row>
    <row r="968" spans="1:12" x14ac:dyDescent="0.3">
      <c r="A968" s="3">
        <v>967</v>
      </c>
      <c r="B968" s="3" t="s">
        <v>748</v>
      </c>
      <c r="C968" s="3" t="s">
        <v>1037</v>
      </c>
      <c r="D968" s="3" t="s">
        <v>1038</v>
      </c>
      <c r="E968" s="9">
        <v>2000</v>
      </c>
      <c r="L968" s="12"/>
    </row>
    <row r="969" spans="1:12" x14ac:dyDescent="0.3">
      <c r="A969" s="3">
        <v>968</v>
      </c>
      <c r="B969" s="3" t="s">
        <v>748</v>
      </c>
      <c r="C969" s="3" t="s">
        <v>1064</v>
      </c>
      <c r="D969" s="3" t="s">
        <v>1065</v>
      </c>
      <c r="E969" s="9">
        <v>4000</v>
      </c>
      <c r="L969" s="12"/>
    </row>
    <row r="970" spans="1:12" x14ac:dyDescent="0.3">
      <c r="A970" s="3">
        <v>969</v>
      </c>
      <c r="B970" s="3" t="s">
        <v>748</v>
      </c>
      <c r="C970" s="3" t="s">
        <v>1066</v>
      </c>
      <c r="D970" s="3" t="s">
        <v>1067</v>
      </c>
      <c r="E970" s="9">
        <v>6500</v>
      </c>
      <c r="L970" s="12"/>
    </row>
    <row r="971" spans="1:12" x14ac:dyDescent="0.3">
      <c r="A971" s="3">
        <v>970</v>
      </c>
      <c r="B971" s="3" t="s">
        <v>748</v>
      </c>
      <c r="C971" s="3" t="s">
        <v>1068</v>
      </c>
      <c r="D971" s="3" t="s">
        <v>1069</v>
      </c>
      <c r="E971" s="9">
        <v>8000</v>
      </c>
      <c r="L971" s="12"/>
    </row>
    <row r="972" spans="1:12" x14ac:dyDescent="0.3">
      <c r="A972" s="3">
        <v>971</v>
      </c>
      <c r="B972" s="3" t="s">
        <v>753</v>
      </c>
      <c r="C972" s="3" t="s">
        <v>1103</v>
      </c>
      <c r="D972" s="3" t="s">
        <v>1104</v>
      </c>
      <c r="E972" s="9">
        <v>1500</v>
      </c>
      <c r="L972" s="12"/>
    </row>
    <row r="973" spans="1:12" x14ac:dyDescent="0.3">
      <c r="A973" s="3">
        <v>972</v>
      </c>
      <c r="B973" s="3" t="s">
        <v>753</v>
      </c>
      <c r="C973" s="3" t="s">
        <v>1105</v>
      </c>
      <c r="D973" s="3" t="s">
        <v>1106</v>
      </c>
      <c r="E973" s="9">
        <v>2000</v>
      </c>
      <c r="L973" s="12"/>
    </row>
    <row r="974" spans="1:12" x14ac:dyDescent="0.3">
      <c r="A974" s="3">
        <v>973</v>
      </c>
      <c r="B974" s="3" t="s">
        <v>753</v>
      </c>
      <c r="C974" s="3" t="s">
        <v>1107</v>
      </c>
      <c r="D974" s="3" t="s">
        <v>1108</v>
      </c>
      <c r="E974" s="9">
        <v>1500</v>
      </c>
      <c r="L974" s="12"/>
    </row>
    <row r="975" spans="1:12" x14ac:dyDescent="0.3">
      <c r="A975" s="3">
        <v>974</v>
      </c>
      <c r="B975" s="3" t="s">
        <v>753</v>
      </c>
      <c r="C975" s="3" t="s">
        <v>1109</v>
      </c>
      <c r="D975" s="3" t="s">
        <v>1110</v>
      </c>
      <c r="E975" s="9">
        <v>2000</v>
      </c>
      <c r="L975" s="12"/>
    </row>
    <row r="976" spans="1:12" x14ac:dyDescent="0.3">
      <c r="A976" s="3">
        <v>975</v>
      </c>
      <c r="B976" s="3" t="s">
        <v>753</v>
      </c>
      <c r="C976" s="3" t="s">
        <v>1111</v>
      </c>
      <c r="D976" s="3" t="s">
        <v>1112</v>
      </c>
      <c r="E976" s="9">
        <v>2000</v>
      </c>
      <c r="L976" s="12"/>
    </row>
    <row r="977" spans="1:12" x14ac:dyDescent="0.3">
      <c r="A977" s="3">
        <v>976</v>
      </c>
      <c r="B977" s="3" t="s">
        <v>753</v>
      </c>
      <c r="C977" s="3" t="s">
        <v>1113</v>
      </c>
      <c r="D977" s="3" t="s">
        <v>1114</v>
      </c>
      <c r="E977" s="9">
        <v>2500</v>
      </c>
      <c r="L977" s="12"/>
    </row>
    <row r="978" spans="1:12" x14ac:dyDescent="0.3">
      <c r="A978" s="3">
        <v>977</v>
      </c>
      <c r="B978" s="3" t="s">
        <v>753</v>
      </c>
      <c r="C978" s="3" t="s">
        <v>1115</v>
      </c>
      <c r="D978" s="3" t="s">
        <v>1116</v>
      </c>
      <c r="E978" s="9">
        <v>2000</v>
      </c>
      <c r="L978" s="12"/>
    </row>
    <row r="979" spans="1:12" x14ac:dyDescent="0.3">
      <c r="A979" s="3">
        <v>978</v>
      </c>
      <c r="B979" s="3" t="s">
        <v>753</v>
      </c>
      <c r="C979" s="3" t="s">
        <v>1117</v>
      </c>
      <c r="D979" s="3" t="s">
        <v>1118</v>
      </c>
      <c r="E979" s="9">
        <v>2500</v>
      </c>
      <c r="L979" s="12"/>
    </row>
    <row r="980" spans="1:12" x14ac:dyDescent="0.3">
      <c r="A980" s="3">
        <v>979</v>
      </c>
      <c r="B980" s="3" t="s">
        <v>753</v>
      </c>
      <c r="C980" s="3" t="s">
        <v>1119</v>
      </c>
      <c r="D980" s="3" t="s">
        <v>1120</v>
      </c>
      <c r="E980" s="9">
        <v>3000</v>
      </c>
      <c r="L980" s="12"/>
    </row>
    <row r="981" spans="1:12" x14ac:dyDescent="0.3">
      <c r="A981" s="3">
        <v>980</v>
      </c>
      <c r="B981" s="3" t="s">
        <v>758</v>
      </c>
      <c r="C981" s="3" t="s">
        <v>982</v>
      </c>
      <c r="D981" s="3" t="s">
        <v>983</v>
      </c>
      <c r="E981" s="9">
        <v>10000</v>
      </c>
      <c r="L981" s="12"/>
    </row>
    <row r="982" spans="1:12" x14ac:dyDescent="0.3">
      <c r="A982" s="3">
        <v>981</v>
      </c>
      <c r="B982" s="3" t="s">
        <v>758</v>
      </c>
      <c r="C982" s="3" t="s">
        <v>1098</v>
      </c>
      <c r="D982" s="3" t="s">
        <v>1099</v>
      </c>
      <c r="E982" s="9">
        <v>11000</v>
      </c>
      <c r="L982" s="12"/>
    </row>
    <row r="983" spans="1:12" x14ac:dyDescent="0.3">
      <c r="A983" s="3">
        <v>982</v>
      </c>
      <c r="B983" s="3" t="s">
        <v>758</v>
      </c>
      <c r="C983" s="3" t="s">
        <v>1100</v>
      </c>
      <c r="D983" s="3" t="s">
        <v>1101</v>
      </c>
      <c r="E983" s="9">
        <v>9000</v>
      </c>
      <c r="L983" s="12"/>
    </row>
    <row r="984" spans="1:12" x14ac:dyDescent="0.3">
      <c r="A984" s="3">
        <v>983</v>
      </c>
      <c r="B984" s="3" t="s">
        <v>758</v>
      </c>
      <c r="C984" s="3" t="s">
        <v>984</v>
      </c>
      <c r="D984" s="3" t="s">
        <v>985</v>
      </c>
      <c r="E984" s="9">
        <v>6000</v>
      </c>
      <c r="L984" s="12"/>
    </row>
    <row r="985" spans="1:12" x14ac:dyDescent="0.3">
      <c r="A985" s="3">
        <v>984</v>
      </c>
      <c r="B985" s="3" t="s">
        <v>758</v>
      </c>
      <c r="C985" s="3" t="s">
        <v>986</v>
      </c>
      <c r="D985" s="3" t="s">
        <v>987</v>
      </c>
      <c r="E985" s="9">
        <v>6500</v>
      </c>
      <c r="L985" s="12"/>
    </row>
    <row r="986" spans="1:12" x14ac:dyDescent="0.3">
      <c r="A986" s="3">
        <v>985</v>
      </c>
      <c r="B986" s="3" t="s">
        <v>758</v>
      </c>
      <c r="C986" s="3" t="s">
        <v>988</v>
      </c>
      <c r="D986" s="3" t="s">
        <v>989</v>
      </c>
      <c r="E986" s="9">
        <v>13000</v>
      </c>
      <c r="L986" s="12"/>
    </row>
    <row r="987" spans="1:12" x14ac:dyDescent="0.3">
      <c r="A987" s="3">
        <v>986</v>
      </c>
      <c r="B987" s="3" t="s">
        <v>758</v>
      </c>
      <c r="C987" s="3" t="s">
        <v>990</v>
      </c>
      <c r="D987" s="3" t="s">
        <v>991</v>
      </c>
      <c r="E987" s="9">
        <v>11000</v>
      </c>
      <c r="L987" s="12"/>
    </row>
    <row r="988" spans="1:12" x14ac:dyDescent="0.3">
      <c r="A988" s="3">
        <v>987</v>
      </c>
      <c r="B988" s="3" t="s">
        <v>758</v>
      </c>
      <c r="C988" s="3" t="s">
        <v>963</v>
      </c>
      <c r="D988" s="3" t="s">
        <v>1026</v>
      </c>
      <c r="E988" s="9">
        <v>1500</v>
      </c>
      <c r="L988" s="12"/>
    </row>
    <row r="989" spans="1:12" x14ac:dyDescent="0.3">
      <c r="A989" s="3">
        <v>988</v>
      </c>
      <c r="B989" s="3" t="s">
        <v>763</v>
      </c>
      <c r="C989" s="3" t="s">
        <v>1039</v>
      </c>
      <c r="D989" s="3" t="s">
        <v>1040</v>
      </c>
      <c r="E989" s="9">
        <v>4500</v>
      </c>
      <c r="L989" s="12"/>
    </row>
    <row r="990" spans="1:12" x14ac:dyDescent="0.3">
      <c r="A990" s="3">
        <v>989</v>
      </c>
      <c r="B990" s="3" t="s">
        <v>763</v>
      </c>
      <c r="C990" s="3" t="s">
        <v>1041</v>
      </c>
      <c r="D990" s="3" t="s">
        <v>1042</v>
      </c>
      <c r="E990" s="9">
        <v>3000</v>
      </c>
      <c r="L990" s="12"/>
    </row>
    <row r="991" spans="1:12" x14ac:dyDescent="0.3">
      <c r="A991" s="3">
        <v>990</v>
      </c>
      <c r="B991" s="3" t="s">
        <v>763</v>
      </c>
      <c r="C991" s="3" t="s">
        <v>1043</v>
      </c>
      <c r="D991" s="3" t="s">
        <v>1044</v>
      </c>
      <c r="E991" s="9">
        <v>2000</v>
      </c>
      <c r="L991" s="12"/>
    </row>
    <row r="992" spans="1:12" x14ac:dyDescent="0.3">
      <c r="A992" s="3">
        <v>991</v>
      </c>
      <c r="B992" s="3" t="s">
        <v>763</v>
      </c>
      <c r="C992" s="3" t="s">
        <v>1058</v>
      </c>
      <c r="D992" s="3" t="s">
        <v>1059</v>
      </c>
      <c r="E992" s="9">
        <v>500</v>
      </c>
      <c r="L992" s="12"/>
    </row>
    <row r="993" spans="1:12" x14ac:dyDescent="0.3">
      <c r="A993" s="3">
        <v>992</v>
      </c>
      <c r="B993" s="3" t="s">
        <v>763</v>
      </c>
      <c r="C993" s="3" t="s">
        <v>1045</v>
      </c>
      <c r="D993" s="3" t="s">
        <v>1046</v>
      </c>
      <c r="E993" s="9">
        <v>700</v>
      </c>
      <c r="L993" s="12"/>
    </row>
    <row r="994" spans="1:12" x14ac:dyDescent="0.3">
      <c r="A994" s="3">
        <v>993</v>
      </c>
      <c r="B994" s="3" t="s">
        <v>763</v>
      </c>
      <c r="C994" s="3" t="s">
        <v>1047</v>
      </c>
      <c r="D994" s="3" t="s">
        <v>1048</v>
      </c>
      <c r="E994" s="9">
        <v>700</v>
      </c>
      <c r="L994" s="12"/>
    </row>
    <row r="995" spans="1:12" x14ac:dyDescent="0.3">
      <c r="A995" s="3">
        <v>994</v>
      </c>
      <c r="B995" s="3" t="s">
        <v>763</v>
      </c>
      <c r="C995" s="3" t="s">
        <v>1060</v>
      </c>
      <c r="D995" s="3" t="s">
        <v>1061</v>
      </c>
      <c r="E995" s="9">
        <v>2500</v>
      </c>
      <c r="L995" s="12"/>
    </row>
    <row r="996" spans="1:12" x14ac:dyDescent="0.3">
      <c r="A996" s="3">
        <v>995</v>
      </c>
      <c r="B996" s="3" t="s">
        <v>763</v>
      </c>
      <c r="C996" s="3" t="s">
        <v>1062</v>
      </c>
      <c r="D996" s="3" t="s">
        <v>1063</v>
      </c>
      <c r="E996" s="9">
        <v>3500</v>
      </c>
      <c r="L996" s="12"/>
    </row>
    <row r="997" spans="1:12" x14ac:dyDescent="0.3">
      <c r="A997" s="3">
        <v>996</v>
      </c>
      <c r="B997" s="3" t="s">
        <v>768</v>
      </c>
      <c r="C997" s="3" t="s">
        <v>945</v>
      </c>
      <c r="D997" s="3" t="s">
        <v>1097</v>
      </c>
      <c r="E997" s="9">
        <v>15000</v>
      </c>
      <c r="L997" s="12"/>
    </row>
    <row r="998" spans="1:12" x14ac:dyDescent="0.3">
      <c r="A998" s="3">
        <v>997</v>
      </c>
      <c r="B998" s="3" t="s">
        <v>768</v>
      </c>
      <c r="C998" s="3" t="s">
        <v>947</v>
      </c>
      <c r="D998" s="3" t="s">
        <v>948</v>
      </c>
      <c r="E998" s="9">
        <v>5000</v>
      </c>
      <c r="L998" s="12"/>
    </row>
    <row r="999" spans="1:12" x14ac:dyDescent="0.3">
      <c r="A999" s="3">
        <v>998</v>
      </c>
      <c r="B999" s="3" t="s">
        <v>768</v>
      </c>
      <c r="C999" s="3" t="s">
        <v>949</v>
      </c>
      <c r="D999" s="3" t="s">
        <v>1073</v>
      </c>
      <c r="E999" s="9">
        <v>4000</v>
      </c>
      <c r="L999" s="12"/>
    </row>
    <row r="1000" spans="1:12" x14ac:dyDescent="0.3">
      <c r="A1000" s="3">
        <v>999</v>
      </c>
      <c r="B1000" s="3" t="s">
        <v>768</v>
      </c>
      <c r="C1000" s="3" t="s">
        <v>951</v>
      </c>
      <c r="D1000" s="3" t="s">
        <v>952</v>
      </c>
      <c r="E1000" s="9">
        <v>17000</v>
      </c>
      <c r="L1000" s="12"/>
    </row>
    <row r="1001" spans="1:12" x14ac:dyDescent="0.3">
      <c r="A1001" s="3">
        <v>1000</v>
      </c>
      <c r="B1001" s="3" t="s">
        <v>768</v>
      </c>
      <c r="C1001" s="3" t="s">
        <v>953</v>
      </c>
      <c r="D1001" s="3" t="s">
        <v>954</v>
      </c>
      <c r="E1001" s="9">
        <v>11000</v>
      </c>
      <c r="L1001" s="12"/>
    </row>
    <row r="1002" spans="1:12" x14ac:dyDescent="0.3">
      <c r="A1002" s="3">
        <v>1001</v>
      </c>
      <c r="B1002" s="3" t="s">
        <v>768</v>
      </c>
      <c r="C1002" s="3" t="s">
        <v>955</v>
      </c>
      <c r="D1002" s="3" t="s">
        <v>1074</v>
      </c>
      <c r="E1002" s="9">
        <v>6000</v>
      </c>
      <c r="L1002" s="12"/>
    </row>
    <row r="1003" spans="1:12" x14ac:dyDescent="0.3">
      <c r="A1003" s="3">
        <v>1002</v>
      </c>
      <c r="B1003" s="3" t="s">
        <v>768</v>
      </c>
      <c r="C1003" s="3" t="s">
        <v>957</v>
      </c>
      <c r="D1003" s="3" t="s">
        <v>958</v>
      </c>
      <c r="E1003" s="9">
        <v>4500</v>
      </c>
      <c r="L1003" s="12"/>
    </row>
    <row r="1004" spans="1:12" x14ac:dyDescent="0.3">
      <c r="A1004" s="3">
        <v>1003</v>
      </c>
      <c r="B1004" s="3" t="s">
        <v>768</v>
      </c>
      <c r="C1004" s="3" t="s">
        <v>959</v>
      </c>
      <c r="D1004" s="3" t="s">
        <v>960</v>
      </c>
      <c r="E1004" s="9">
        <v>8500</v>
      </c>
      <c r="L1004" s="12"/>
    </row>
    <row r="1005" spans="1:12" x14ac:dyDescent="0.3">
      <c r="A1005" s="3">
        <v>1004</v>
      </c>
      <c r="B1005" s="3" t="s">
        <v>768</v>
      </c>
      <c r="C1005" s="3" t="s">
        <v>961</v>
      </c>
      <c r="D1005" s="3" t="s">
        <v>962</v>
      </c>
      <c r="E1005" s="9">
        <v>2000</v>
      </c>
      <c r="L1005" s="12"/>
    </row>
    <row r="1006" spans="1:12" x14ac:dyDescent="0.3">
      <c r="A1006" s="3">
        <v>1005</v>
      </c>
      <c r="B1006" s="3" t="s">
        <v>773</v>
      </c>
      <c r="C1006" s="3" t="s">
        <v>1027</v>
      </c>
      <c r="D1006" s="3" t="s">
        <v>1028</v>
      </c>
      <c r="E1006" s="9">
        <v>4000</v>
      </c>
      <c r="L1006" s="12"/>
    </row>
    <row r="1007" spans="1:12" x14ac:dyDescent="0.3">
      <c r="A1007" s="3">
        <v>1006</v>
      </c>
      <c r="B1007" s="3" t="s">
        <v>773</v>
      </c>
      <c r="C1007" s="3" t="s">
        <v>1029</v>
      </c>
      <c r="D1007" s="3" t="s">
        <v>1030</v>
      </c>
      <c r="E1007" s="9">
        <v>5000</v>
      </c>
      <c r="L1007" s="12"/>
    </row>
    <row r="1008" spans="1:12" x14ac:dyDescent="0.3">
      <c r="A1008" s="3">
        <v>1007</v>
      </c>
      <c r="B1008" s="3" t="s">
        <v>773</v>
      </c>
      <c r="C1008" s="3" t="s">
        <v>1031</v>
      </c>
      <c r="D1008" s="3" t="s">
        <v>1032</v>
      </c>
      <c r="E1008" s="9">
        <v>5000</v>
      </c>
      <c r="L1008" s="12"/>
    </row>
    <row r="1009" spans="1:12" x14ac:dyDescent="0.3">
      <c r="A1009" s="3">
        <v>1008</v>
      </c>
      <c r="B1009" s="3" t="s">
        <v>773</v>
      </c>
      <c r="C1009" s="3" t="s">
        <v>1033</v>
      </c>
      <c r="D1009" s="3" t="s">
        <v>1034</v>
      </c>
      <c r="E1009" s="9">
        <v>6000</v>
      </c>
      <c r="L1009" s="12"/>
    </row>
    <row r="1010" spans="1:12" x14ac:dyDescent="0.3">
      <c r="A1010" s="3">
        <v>1009</v>
      </c>
      <c r="B1010" s="3" t="s">
        <v>773</v>
      </c>
      <c r="C1010" s="3" t="s">
        <v>1035</v>
      </c>
      <c r="D1010" s="3" t="s">
        <v>1036</v>
      </c>
      <c r="E1010" s="9">
        <v>5000</v>
      </c>
      <c r="L1010" s="12"/>
    </row>
    <row r="1011" spans="1:12" x14ac:dyDescent="0.3">
      <c r="A1011" s="3">
        <v>1010</v>
      </c>
      <c r="B1011" s="3" t="s">
        <v>773</v>
      </c>
      <c r="C1011" s="3" t="s">
        <v>1037</v>
      </c>
      <c r="D1011" s="3" t="s">
        <v>1038</v>
      </c>
      <c r="E1011" s="9">
        <v>2000</v>
      </c>
      <c r="L1011" s="12"/>
    </row>
    <row r="1012" spans="1:12" x14ac:dyDescent="0.3">
      <c r="A1012" s="3">
        <v>1011</v>
      </c>
      <c r="B1012" s="3" t="s">
        <v>773</v>
      </c>
      <c r="C1012" s="3" t="s">
        <v>1064</v>
      </c>
      <c r="D1012" s="3" t="s">
        <v>1065</v>
      </c>
      <c r="E1012" s="9">
        <v>4000</v>
      </c>
      <c r="L1012" s="12"/>
    </row>
    <row r="1013" spans="1:12" x14ac:dyDescent="0.3">
      <c r="A1013" s="3">
        <v>1012</v>
      </c>
      <c r="B1013" s="3" t="s">
        <v>773</v>
      </c>
      <c r="C1013" s="3" t="s">
        <v>1066</v>
      </c>
      <c r="D1013" s="3" t="s">
        <v>1067</v>
      </c>
      <c r="E1013" s="9">
        <v>6500</v>
      </c>
      <c r="L1013" s="12"/>
    </row>
    <row r="1014" spans="1:12" x14ac:dyDescent="0.3">
      <c r="A1014" s="3">
        <v>1013</v>
      </c>
      <c r="B1014" s="3" t="s">
        <v>773</v>
      </c>
      <c r="C1014" s="3" t="s">
        <v>1068</v>
      </c>
      <c r="D1014" s="3" t="s">
        <v>1069</v>
      </c>
      <c r="E1014" s="9">
        <v>8000</v>
      </c>
      <c r="L1014" s="12"/>
    </row>
    <row r="1015" spans="1:12" x14ac:dyDescent="0.3">
      <c r="A1015" s="3">
        <v>1014</v>
      </c>
      <c r="B1015" s="3" t="s">
        <v>778</v>
      </c>
      <c r="C1015" s="3" t="s">
        <v>1027</v>
      </c>
      <c r="D1015" s="3" t="s">
        <v>1028</v>
      </c>
      <c r="E1015" s="9">
        <v>4000</v>
      </c>
      <c r="L1015" s="12"/>
    </row>
    <row r="1016" spans="1:12" x14ac:dyDescent="0.3">
      <c r="A1016" s="3">
        <v>1015</v>
      </c>
      <c r="B1016" s="3" t="s">
        <v>778</v>
      </c>
      <c r="C1016" s="3" t="s">
        <v>1029</v>
      </c>
      <c r="D1016" s="3" t="s">
        <v>1030</v>
      </c>
      <c r="E1016" s="9">
        <v>5000</v>
      </c>
      <c r="L1016" s="12"/>
    </row>
    <row r="1017" spans="1:12" x14ac:dyDescent="0.3">
      <c r="A1017" s="3">
        <v>1016</v>
      </c>
      <c r="B1017" s="3" t="s">
        <v>778</v>
      </c>
      <c r="C1017" s="3" t="s">
        <v>1031</v>
      </c>
      <c r="D1017" s="3" t="s">
        <v>1032</v>
      </c>
      <c r="E1017" s="9">
        <v>5000</v>
      </c>
      <c r="L1017" s="12"/>
    </row>
    <row r="1018" spans="1:12" x14ac:dyDescent="0.3">
      <c r="A1018" s="3">
        <v>1017</v>
      </c>
      <c r="B1018" s="3" t="s">
        <v>778</v>
      </c>
      <c r="C1018" s="3" t="s">
        <v>1033</v>
      </c>
      <c r="D1018" s="3" t="s">
        <v>1034</v>
      </c>
      <c r="E1018" s="9">
        <v>6000</v>
      </c>
      <c r="L1018" s="12"/>
    </row>
    <row r="1019" spans="1:12" x14ac:dyDescent="0.3">
      <c r="A1019" s="3">
        <v>1018</v>
      </c>
      <c r="B1019" s="3" t="s">
        <v>778</v>
      </c>
      <c r="C1019" s="3" t="s">
        <v>1035</v>
      </c>
      <c r="D1019" s="3" t="s">
        <v>1036</v>
      </c>
      <c r="E1019" s="9">
        <v>5000</v>
      </c>
      <c r="L1019" s="12"/>
    </row>
    <row r="1020" spans="1:12" x14ac:dyDescent="0.3">
      <c r="A1020" s="3">
        <v>1019</v>
      </c>
      <c r="B1020" s="3" t="s">
        <v>778</v>
      </c>
      <c r="C1020" s="3" t="s">
        <v>1037</v>
      </c>
      <c r="D1020" s="3" t="s">
        <v>1038</v>
      </c>
      <c r="E1020" s="9">
        <v>2000</v>
      </c>
      <c r="L1020" s="12"/>
    </row>
    <row r="1021" spans="1:12" x14ac:dyDescent="0.3">
      <c r="A1021" s="3">
        <v>1020</v>
      </c>
      <c r="B1021" s="3" t="s">
        <v>778</v>
      </c>
      <c r="C1021" s="3" t="s">
        <v>1064</v>
      </c>
      <c r="D1021" s="3" t="s">
        <v>1065</v>
      </c>
      <c r="E1021" s="9">
        <v>4000</v>
      </c>
      <c r="L1021" s="12"/>
    </row>
    <row r="1022" spans="1:12" x14ac:dyDescent="0.3">
      <c r="A1022" s="3">
        <v>1021</v>
      </c>
      <c r="B1022" s="3" t="s">
        <v>778</v>
      </c>
      <c r="C1022" s="3" t="s">
        <v>1066</v>
      </c>
      <c r="D1022" s="3" t="s">
        <v>1067</v>
      </c>
      <c r="E1022" s="9">
        <v>6500</v>
      </c>
      <c r="L1022" s="12"/>
    </row>
    <row r="1023" spans="1:12" x14ac:dyDescent="0.3">
      <c r="A1023" s="3">
        <v>1022</v>
      </c>
      <c r="B1023" s="3" t="s">
        <v>778</v>
      </c>
      <c r="C1023" s="3" t="s">
        <v>1068</v>
      </c>
      <c r="D1023" s="3" t="s">
        <v>1069</v>
      </c>
      <c r="E1023" s="9">
        <v>8000</v>
      </c>
      <c r="L1023" s="12"/>
    </row>
    <row r="1024" spans="1:12" x14ac:dyDescent="0.3">
      <c r="A1024" s="3">
        <v>1023</v>
      </c>
      <c r="B1024" s="3" t="s">
        <v>783</v>
      </c>
      <c r="C1024" s="3" t="s">
        <v>992</v>
      </c>
      <c r="D1024" s="3" t="s">
        <v>993</v>
      </c>
      <c r="E1024" s="9">
        <v>5000</v>
      </c>
      <c r="L1024" s="12"/>
    </row>
    <row r="1025" spans="1:12" x14ac:dyDescent="0.3">
      <c r="A1025" s="3">
        <v>1024</v>
      </c>
      <c r="B1025" s="3" t="s">
        <v>783</v>
      </c>
      <c r="C1025" s="3" t="s">
        <v>994</v>
      </c>
      <c r="D1025" s="3" t="s">
        <v>995</v>
      </c>
      <c r="E1025" s="9">
        <v>6000</v>
      </c>
      <c r="L1025" s="12"/>
    </row>
    <row r="1026" spans="1:12" x14ac:dyDescent="0.3">
      <c r="A1026" s="3">
        <v>1025</v>
      </c>
      <c r="B1026" s="3" t="s">
        <v>783</v>
      </c>
      <c r="C1026" s="3" t="s">
        <v>996</v>
      </c>
      <c r="D1026" s="3" t="s">
        <v>997</v>
      </c>
      <c r="E1026" s="9">
        <v>5500</v>
      </c>
      <c r="L1026" s="12"/>
    </row>
    <row r="1027" spans="1:12" x14ac:dyDescent="0.3">
      <c r="A1027" s="3">
        <v>1026</v>
      </c>
      <c r="B1027" s="3" t="s">
        <v>783</v>
      </c>
      <c r="C1027" s="3" t="s">
        <v>998</v>
      </c>
      <c r="D1027" s="3" t="s">
        <v>999</v>
      </c>
      <c r="E1027" s="9">
        <v>6000</v>
      </c>
      <c r="L1027" s="12"/>
    </row>
    <row r="1028" spans="1:12" x14ac:dyDescent="0.3">
      <c r="A1028" s="3">
        <v>1027</v>
      </c>
      <c r="B1028" s="3" t="s">
        <v>783</v>
      </c>
      <c r="C1028" s="3" t="s">
        <v>1000</v>
      </c>
      <c r="D1028" s="3" t="s">
        <v>1001</v>
      </c>
      <c r="E1028" s="9">
        <v>4500</v>
      </c>
      <c r="L1028" s="12"/>
    </row>
    <row r="1029" spans="1:12" x14ac:dyDescent="0.3">
      <c r="A1029" s="3">
        <v>1028</v>
      </c>
      <c r="B1029" s="3" t="s">
        <v>783</v>
      </c>
      <c r="C1029" s="3" t="s">
        <v>1002</v>
      </c>
      <c r="D1029" s="3" t="s">
        <v>1003</v>
      </c>
      <c r="E1029" s="9">
        <v>4000</v>
      </c>
      <c r="L1029" s="12"/>
    </row>
    <row r="1030" spans="1:12" x14ac:dyDescent="0.3">
      <c r="A1030" s="3">
        <v>1029</v>
      </c>
      <c r="B1030" s="3" t="s">
        <v>783</v>
      </c>
      <c r="C1030" s="3" t="s">
        <v>1004</v>
      </c>
      <c r="D1030" s="3" t="s">
        <v>1005</v>
      </c>
      <c r="E1030" s="9">
        <v>3000</v>
      </c>
      <c r="L1030" s="12"/>
    </row>
    <row r="1031" spans="1:12" x14ac:dyDescent="0.3">
      <c r="A1031" s="3">
        <v>1030</v>
      </c>
      <c r="B1031" s="3" t="s">
        <v>783</v>
      </c>
      <c r="C1031" s="3" t="s">
        <v>1006</v>
      </c>
      <c r="D1031" s="3" t="s">
        <v>1007</v>
      </c>
      <c r="E1031" s="9">
        <v>2500</v>
      </c>
      <c r="L1031" s="12"/>
    </row>
    <row r="1032" spans="1:12" x14ac:dyDescent="0.3">
      <c r="A1032" s="3">
        <v>1031</v>
      </c>
      <c r="B1032" s="3" t="s">
        <v>783</v>
      </c>
      <c r="C1032" s="3" t="s">
        <v>1008</v>
      </c>
      <c r="D1032" s="3" t="s">
        <v>1009</v>
      </c>
      <c r="E1032" s="9">
        <v>8000</v>
      </c>
      <c r="L1032" s="12"/>
    </row>
    <row r="1033" spans="1:12" x14ac:dyDescent="0.3">
      <c r="A1033" s="3">
        <v>1032</v>
      </c>
      <c r="B1033" s="3" t="s">
        <v>783</v>
      </c>
      <c r="C1033" s="3" t="s">
        <v>1056</v>
      </c>
      <c r="D1033" s="3" t="s">
        <v>1057</v>
      </c>
      <c r="E1033" s="9">
        <v>9000</v>
      </c>
      <c r="L1033" s="12"/>
    </row>
    <row r="1034" spans="1:12" x14ac:dyDescent="0.3">
      <c r="A1034" s="3">
        <v>1033</v>
      </c>
      <c r="B1034" s="3" t="s">
        <v>783</v>
      </c>
      <c r="C1034" s="3" t="s">
        <v>1010</v>
      </c>
      <c r="D1034" s="3" t="s">
        <v>1011</v>
      </c>
      <c r="E1034" s="9">
        <v>8000</v>
      </c>
      <c r="L1034" s="12"/>
    </row>
    <row r="1035" spans="1:12" x14ac:dyDescent="0.3">
      <c r="A1035" s="3">
        <v>1034</v>
      </c>
      <c r="B1035" s="3" t="s">
        <v>783</v>
      </c>
      <c r="C1035" s="3" t="s">
        <v>1012</v>
      </c>
      <c r="D1035" s="3" t="s">
        <v>1013</v>
      </c>
      <c r="E1035" s="9">
        <v>6000</v>
      </c>
      <c r="L1035" s="12"/>
    </row>
    <row r="1036" spans="1:12" x14ac:dyDescent="0.3">
      <c r="A1036" s="3">
        <v>1035</v>
      </c>
      <c r="B1036" s="3" t="s">
        <v>788</v>
      </c>
      <c r="C1036" s="3" t="s">
        <v>945</v>
      </c>
      <c r="D1036" s="3" t="s">
        <v>1097</v>
      </c>
      <c r="E1036" s="9">
        <v>15000</v>
      </c>
      <c r="L1036" s="12"/>
    </row>
    <row r="1037" spans="1:12" x14ac:dyDescent="0.3">
      <c r="A1037" s="3">
        <v>1036</v>
      </c>
      <c r="B1037" s="3" t="s">
        <v>788</v>
      </c>
      <c r="C1037" s="3" t="s">
        <v>947</v>
      </c>
      <c r="D1037" s="3" t="s">
        <v>948</v>
      </c>
      <c r="E1037" s="9">
        <v>5000</v>
      </c>
      <c r="L1037" s="12"/>
    </row>
    <row r="1038" spans="1:12" x14ac:dyDescent="0.3">
      <c r="A1038" s="3">
        <v>1037</v>
      </c>
      <c r="B1038" s="3" t="s">
        <v>788</v>
      </c>
      <c r="C1038" s="3" t="s">
        <v>949</v>
      </c>
      <c r="D1038" s="3" t="s">
        <v>1073</v>
      </c>
      <c r="E1038" s="9">
        <v>4000</v>
      </c>
      <c r="L1038" s="12"/>
    </row>
    <row r="1039" spans="1:12" x14ac:dyDescent="0.3">
      <c r="A1039" s="3">
        <v>1038</v>
      </c>
      <c r="B1039" s="3" t="s">
        <v>788</v>
      </c>
      <c r="C1039" s="3" t="s">
        <v>951</v>
      </c>
      <c r="D1039" s="3" t="s">
        <v>952</v>
      </c>
      <c r="E1039" s="9">
        <v>17000</v>
      </c>
      <c r="L1039" s="12"/>
    </row>
    <row r="1040" spans="1:12" x14ac:dyDescent="0.3">
      <c r="A1040" s="3">
        <v>1039</v>
      </c>
      <c r="B1040" s="3" t="s">
        <v>788</v>
      </c>
      <c r="C1040" s="3" t="s">
        <v>953</v>
      </c>
      <c r="D1040" s="3" t="s">
        <v>954</v>
      </c>
      <c r="E1040" s="9">
        <v>11000</v>
      </c>
      <c r="L1040" s="12"/>
    </row>
    <row r="1041" spans="1:12" x14ac:dyDescent="0.3">
      <c r="A1041" s="3">
        <v>1040</v>
      </c>
      <c r="B1041" s="3" t="s">
        <v>788</v>
      </c>
      <c r="C1041" s="3" t="s">
        <v>955</v>
      </c>
      <c r="D1041" s="3" t="s">
        <v>1074</v>
      </c>
      <c r="E1041" s="9">
        <v>6000</v>
      </c>
      <c r="L1041" s="12"/>
    </row>
    <row r="1042" spans="1:12" x14ac:dyDescent="0.3">
      <c r="A1042" s="3">
        <v>1041</v>
      </c>
      <c r="B1042" s="3" t="s">
        <v>788</v>
      </c>
      <c r="C1042" s="3" t="s">
        <v>957</v>
      </c>
      <c r="D1042" s="3" t="s">
        <v>958</v>
      </c>
      <c r="E1042" s="9">
        <v>4500</v>
      </c>
      <c r="L1042" s="12"/>
    </row>
    <row r="1043" spans="1:12" x14ac:dyDescent="0.3">
      <c r="A1043" s="3">
        <v>1042</v>
      </c>
      <c r="B1043" s="3" t="s">
        <v>788</v>
      </c>
      <c r="C1043" s="3" t="s">
        <v>959</v>
      </c>
      <c r="D1043" s="3" t="s">
        <v>960</v>
      </c>
      <c r="E1043" s="9">
        <v>8500</v>
      </c>
      <c r="L1043" s="12"/>
    </row>
    <row r="1044" spans="1:12" x14ac:dyDescent="0.3">
      <c r="A1044" s="3">
        <v>1043</v>
      </c>
      <c r="B1044" s="3" t="s">
        <v>788</v>
      </c>
      <c r="C1044" s="3" t="s">
        <v>961</v>
      </c>
      <c r="D1044" s="3" t="s">
        <v>962</v>
      </c>
      <c r="E1044" s="9">
        <v>2000</v>
      </c>
      <c r="L1044" s="12"/>
    </row>
    <row r="1045" spans="1:12" x14ac:dyDescent="0.3">
      <c r="A1045" s="3">
        <v>1044</v>
      </c>
      <c r="B1045" s="3" t="s">
        <v>793</v>
      </c>
      <c r="C1045" s="3" t="s">
        <v>992</v>
      </c>
      <c r="D1045" s="3" t="s">
        <v>993</v>
      </c>
      <c r="E1045" s="9">
        <v>5000</v>
      </c>
      <c r="L1045" s="12"/>
    </row>
    <row r="1046" spans="1:12" x14ac:dyDescent="0.3">
      <c r="A1046" s="3">
        <v>1045</v>
      </c>
      <c r="B1046" s="3" t="s">
        <v>793</v>
      </c>
      <c r="C1046" s="3" t="s">
        <v>994</v>
      </c>
      <c r="D1046" s="3" t="s">
        <v>995</v>
      </c>
      <c r="E1046" s="9">
        <v>6000</v>
      </c>
      <c r="L1046" s="12"/>
    </row>
    <row r="1047" spans="1:12" x14ac:dyDescent="0.3">
      <c r="A1047" s="3">
        <v>1046</v>
      </c>
      <c r="B1047" s="3" t="s">
        <v>793</v>
      </c>
      <c r="C1047" s="3" t="s">
        <v>996</v>
      </c>
      <c r="D1047" s="3" t="s">
        <v>997</v>
      </c>
      <c r="E1047" s="9">
        <v>5500</v>
      </c>
      <c r="L1047" s="12"/>
    </row>
    <row r="1048" spans="1:12" x14ac:dyDescent="0.3">
      <c r="A1048" s="3">
        <v>1047</v>
      </c>
      <c r="B1048" s="3" t="s">
        <v>793</v>
      </c>
      <c r="C1048" s="3" t="s">
        <v>998</v>
      </c>
      <c r="D1048" s="3" t="s">
        <v>999</v>
      </c>
      <c r="E1048" s="9">
        <v>6000</v>
      </c>
      <c r="L1048" s="12"/>
    </row>
    <row r="1049" spans="1:12" x14ac:dyDescent="0.3">
      <c r="A1049" s="3">
        <v>1048</v>
      </c>
      <c r="B1049" s="3" t="s">
        <v>793</v>
      </c>
      <c r="C1049" s="3" t="s">
        <v>1000</v>
      </c>
      <c r="D1049" s="3" t="s">
        <v>1001</v>
      </c>
      <c r="E1049" s="9">
        <v>4500</v>
      </c>
      <c r="L1049" s="12"/>
    </row>
    <row r="1050" spans="1:12" x14ac:dyDescent="0.3">
      <c r="A1050" s="3">
        <v>1049</v>
      </c>
      <c r="B1050" s="3" t="s">
        <v>793</v>
      </c>
      <c r="C1050" s="3" t="s">
        <v>1002</v>
      </c>
      <c r="D1050" s="3" t="s">
        <v>1003</v>
      </c>
      <c r="E1050" s="9">
        <v>4000</v>
      </c>
      <c r="L1050" s="12"/>
    </row>
    <row r="1051" spans="1:12" x14ac:dyDescent="0.3">
      <c r="A1051" s="3">
        <v>1050</v>
      </c>
      <c r="B1051" s="3" t="s">
        <v>793</v>
      </c>
      <c r="C1051" s="3" t="s">
        <v>1004</v>
      </c>
      <c r="D1051" s="3" t="s">
        <v>1005</v>
      </c>
      <c r="E1051" s="9">
        <v>3000</v>
      </c>
      <c r="L1051" s="12"/>
    </row>
    <row r="1052" spans="1:12" x14ac:dyDescent="0.3">
      <c r="A1052" s="3">
        <v>1051</v>
      </c>
      <c r="B1052" s="3" t="s">
        <v>793</v>
      </c>
      <c r="C1052" s="3" t="s">
        <v>1006</v>
      </c>
      <c r="D1052" s="3" t="s">
        <v>1007</v>
      </c>
      <c r="E1052" s="9">
        <v>2500</v>
      </c>
      <c r="L1052" s="12"/>
    </row>
    <row r="1053" spans="1:12" x14ac:dyDescent="0.3">
      <c r="A1053" s="3">
        <v>1052</v>
      </c>
      <c r="B1053" s="3" t="s">
        <v>793</v>
      </c>
      <c r="C1053" s="3" t="s">
        <v>1008</v>
      </c>
      <c r="D1053" s="3" t="s">
        <v>1009</v>
      </c>
      <c r="E1053" s="9">
        <v>8000</v>
      </c>
      <c r="L1053" s="12"/>
    </row>
    <row r="1054" spans="1:12" x14ac:dyDescent="0.3">
      <c r="A1054" s="3">
        <v>1053</v>
      </c>
      <c r="B1054" s="3" t="s">
        <v>793</v>
      </c>
      <c r="C1054" s="3" t="s">
        <v>1056</v>
      </c>
      <c r="D1054" s="3" t="s">
        <v>1057</v>
      </c>
      <c r="E1054" s="9">
        <v>9000</v>
      </c>
      <c r="L1054" s="12"/>
    </row>
    <row r="1055" spans="1:12" x14ac:dyDescent="0.3">
      <c r="A1055" s="3">
        <v>1054</v>
      </c>
      <c r="B1055" s="3" t="s">
        <v>793</v>
      </c>
      <c r="C1055" s="3" t="s">
        <v>1010</v>
      </c>
      <c r="D1055" s="3" t="s">
        <v>1011</v>
      </c>
      <c r="E1055" s="9">
        <v>8000</v>
      </c>
      <c r="L1055" s="12"/>
    </row>
    <row r="1056" spans="1:12" x14ac:dyDescent="0.3">
      <c r="A1056" s="3">
        <v>1055</v>
      </c>
      <c r="B1056" s="3" t="s">
        <v>793</v>
      </c>
      <c r="C1056" s="3" t="s">
        <v>1012</v>
      </c>
      <c r="D1056" s="3" t="s">
        <v>1013</v>
      </c>
      <c r="E1056" s="9">
        <v>6000</v>
      </c>
      <c r="L1056" s="12"/>
    </row>
    <row r="1057" spans="1:12" x14ac:dyDescent="0.3">
      <c r="A1057" s="3">
        <v>1056</v>
      </c>
      <c r="B1057" s="3" t="s">
        <v>798</v>
      </c>
      <c r="C1057" s="3" t="s">
        <v>1039</v>
      </c>
      <c r="D1057" s="3" t="s">
        <v>1040</v>
      </c>
      <c r="E1057" s="9">
        <v>4500</v>
      </c>
      <c r="L1057" s="12"/>
    </row>
    <row r="1058" spans="1:12" x14ac:dyDescent="0.3">
      <c r="A1058" s="3">
        <v>1057</v>
      </c>
      <c r="B1058" s="3" t="s">
        <v>798</v>
      </c>
      <c r="C1058" s="3" t="s">
        <v>1041</v>
      </c>
      <c r="D1058" s="3" t="s">
        <v>1042</v>
      </c>
      <c r="E1058" s="9">
        <v>3000</v>
      </c>
      <c r="L1058" s="12"/>
    </row>
    <row r="1059" spans="1:12" x14ac:dyDescent="0.3">
      <c r="A1059" s="3">
        <v>1058</v>
      </c>
      <c r="B1059" s="3" t="s">
        <v>798</v>
      </c>
      <c r="C1059" s="3" t="s">
        <v>1043</v>
      </c>
      <c r="D1059" s="3" t="s">
        <v>1044</v>
      </c>
      <c r="E1059" s="9">
        <v>2000</v>
      </c>
      <c r="L1059" s="12"/>
    </row>
    <row r="1060" spans="1:12" x14ac:dyDescent="0.3">
      <c r="A1060" s="3">
        <v>1059</v>
      </c>
      <c r="B1060" s="3" t="s">
        <v>798</v>
      </c>
      <c r="C1060" s="3" t="s">
        <v>1058</v>
      </c>
      <c r="D1060" s="3" t="s">
        <v>1059</v>
      </c>
      <c r="E1060" s="9">
        <v>500</v>
      </c>
      <c r="L1060" s="12"/>
    </row>
    <row r="1061" spans="1:12" x14ac:dyDescent="0.3">
      <c r="A1061" s="3">
        <v>1060</v>
      </c>
      <c r="B1061" s="3" t="s">
        <v>798</v>
      </c>
      <c r="C1061" s="3" t="s">
        <v>1045</v>
      </c>
      <c r="D1061" s="3" t="s">
        <v>1046</v>
      </c>
      <c r="E1061" s="9">
        <v>700</v>
      </c>
      <c r="L1061" s="12"/>
    </row>
    <row r="1062" spans="1:12" x14ac:dyDescent="0.3">
      <c r="A1062" s="3">
        <v>1061</v>
      </c>
      <c r="B1062" s="3" t="s">
        <v>798</v>
      </c>
      <c r="C1062" s="3" t="s">
        <v>1047</v>
      </c>
      <c r="D1062" s="3" t="s">
        <v>1048</v>
      </c>
      <c r="E1062" s="9">
        <v>700</v>
      </c>
      <c r="L1062" s="12"/>
    </row>
    <row r="1063" spans="1:12" x14ac:dyDescent="0.3">
      <c r="A1063" s="3">
        <v>1062</v>
      </c>
      <c r="B1063" s="3" t="s">
        <v>798</v>
      </c>
      <c r="C1063" s="3" t="s">
        <v>1060</v>
      </c>
      <c r="D1063" s="3" t="s">
        <v>1061</v>
      </c>
      <c r="E1063" s="9">
        <v>2500</v>
      </c>
      <c r="L1063" s="12"/>
    </row>
    <row r="1064" spans="1:12" x14ac:dyDescent="0.3">
      <c r="A1064" s="3">
        <v>1063</v>
      </c>
      <c r="B1064" s="3" t="s">
        <v>798</v>
      </c>
      <c r="C1064" s="3" t="s">
        <v>1062</v>
      </c>
      <c r="D1064" s="3" t="s">
        <v>1063</v>
      </c>
      <c r="E1064" s="9">
        <v>3500</v>
      </c>
      <c r="L1064" s="12"/>
    </row>
    <row r="1065" spans="1:12" x14ac:dyDescent="0.3">
      <c r="A1065" s="3">
        <v>1064</v>
      </c>
      <c r="B1065" s="3" t="s">
        <v>803</v>
      </c>
      <c r="C1065" s="3" t="s">
        <v>945</v>
      </c>
      <c r="D1065" s="3" t="s">
        <v>1097</v>
      </c>
      <c r="E1065" s="9">
        <v>15000</v>
      </c>
      <c r="L1065" s="12"/>
    </row>
    <row r="1066" spans="1:12" x14ac:dyDescent="0.3">
      <c r="A1066" s="3">
        <v>1065</v>
      </c>
      <c r="B1066" s="3" t="s">
        <v>803</v>
      </c>
      <c r="C1066" s="3" t="s">
        <v>947</v>
      </c>
      <c r="D1066" s="3" t="s">
        <v>948</v>
      </c>
      <c r="E1066" s="9">
        <v>5000</v>
      </c>
      <c r="L1066" s="12"/>
    </row>
    <row r="1067" spans="1:12" x14ac:dyDescent="0.3">
      <c r="A1067" s="3">
        <v>1066</v>
      </c>
      <c r="B1067" s="3" t="s">
        <v>803</v>
      </c>
      <c r="C1067" s="3" t="s">
        <v>949</v>
      </c>
      <c r="D1067" s="3" t="s">
        <v>1073</v>
      </c>
      <c r="E1067" s="9">
        <v>4000</v>
      </c>
      <c r="L1067" s="12"/>
    </row>
    <row r="1068" spans="1:12" x14ac:dyDescent="0.3">
      <c r="A1068" s="3">
        <v>1067</v>
      </c>
      <c r="B1068" s="3" t="s">
        <v>803</v>
      </c>
      <c r="C1068" s="3" t="s">
        <v>951</v>
      </c>
      <c r="D1068" s="3" t="s">
        <v>952</v>
      </c>
      <c r="E1068" s="9">
        <v>17000</v>
      </c>
      <c r="L1068" s="12"/>
    </row>
    <row r="1069" spans="1:12" x14ac:dyDescent="0.3">
      <c r="A1069" s="3">
        <v>1068</v>
      </c>
      <c r="B1069" s="3" t="s">
        <v>803</v>
      </c>
      <c r="C1069" s="3" t="s">
        <v>953</v>
      </c>
      <c r="D1069" s="3" t="s">
        <v>954</v>
      </c>
      <c r="E1069" s="9">
        <v>11000</v>
      </c>
      <c r="L1069" s="12"/>
    </row>
    <row r="1070" spans="1:12" x14ac:dyDescent="0.3">
      <c r="A1070" s="3">
        <v>1069</v>
      </c>
      <c r="B1070" s="3" t="s">
        <v>803</v>
      </c>
      <c r="C1070" s="3" t="s">
        <v>955</v>
      </c>
      <c r="D1070" s="3" t="s">
        <v>1074</v>
      </c>
      <c r="E1070" s="9">
        <v>6000</v>
      </c>
      <c r="L1070" s="12"/>
    </row>
    <row r="1071" spans="1:12" x14ac:dyDescent="0.3">
      <c r="A1071" s="3">
        <v>1070</v>
      </c>
      <c r="B1071" s="3" t="s">
        <v>803</v>
      </c>
      <c r="C1071" s="3" t="s">
        <v>957</v>
      </c>
      <c r="D1071" s="3" t="s">
        <v>958</v>
      </c>
      <c r="E1071" s="9">
        <v>4500</v>
      </c>
      <c r="L1071" s="12"/>
    </row>
    <row r="1072" spans="1:12" x14ac:dyDescent="0.3">
      <c r="A1072" s="3">
        <v>1071</v>
      </c>
      <c r="B1072" s="3" t="s">
        <v>803</v>
      </c>
      <c r="C1072" s="3" t="s">
        <v>959</v>
      </c>
      <c r="D1072" s="3" t="s">
        <v>960</v>
      </c>
      <c r="E1072" s="9">
        <v>8500</v>
      </c>
      <c r="L1072" s="12"/>
    </row>
    <row r="1073" spans="1:12" x14ac:dyDescent="0.3">
      <c r="A1073" s="3">
        <v>1072</v>
      </c>
      <c r="B1073" s="3" t="s">
        <v>803</v>
      </c>
      <c r="C1073" s="3" t="s">
        <v>961</v>
      </c>
      <c r="D1073" s="3" t="s">
        <v>962</v>
      </c>
      <c r="E1073" s="9">
        <v>2000</v>
      </c>
      <c r="L1073" s="12"/>
    </row>
    <row r="1074" spans="1:12" x14ac:dyDescent="0.3">
      <c r="A1074" s="3">
        <v>1073</v>
      </c>
      <c r="B1074" s="3" t="s">
        <v>808</v>
      </c>
      <c r="C1074" s="3" t="s">
        <v>1039</v>
      </c>
      <c r="D1074" s="3" t="s">
        <v>1040</v>
      </c>
      <c r="E1074" s="9">
        <v>4500</v>
      </c>
      <c r="L1074" s="12"/>
    </row>
    <row r="1075" spans="1:12" x14ac:dyDescent="0.3">
      <c r="A1075" s="3">
        <v>1074</v>
      </c>
      <c r="B1075" s="3" t="s">
        <v>808</v>
      </c>
      <c r="C1075" s="3" t="s">
        <v>1041</v>
      </c>
      <c r="D1075" s="3" t="s">
        <v>1042</v>
      </c>
      <c r="E1075" s="9">
        <v>3000</v>
      </c>
      <c r="L1075" s="12"/>
    </row>
    <row r="1076" spans="1:12" x14ac:dyDescent="0.3">
      <c r="A1076" s="3">
        <v>1075</v>
      </c>
      <c r="B1076" s="3" t="s">
        <v>808</v>
      </c>
      <c r="C1076" s="3" t="s">
        <v>1043</v>
      </c>
      <c r="D1076" s="3" t="s">
        <v>1044</v>
      </c>
      <c r="E1076" s="9">
        <v>2000</v>
      </c>
      <c r="L1076" s="12"/>
    </row>
    <row r="1077" spans="1:12" x14ac:dyDescent="0.3">
      <c r="A1077" s="3">
        <v>1076</v>
      </c>
      <c r="B1077" s="3" t="s">
        <v>808</v>
      </c>
      <c r="C1077" s="3" t="s">
        <v>1058</v>
      </c>
      <c r="D1077" s="3" t="s">
        <v>1059</v>
      </c>
      <c r="E1077" s="9">
        <v>500</v>
      </c>
      <c r="L1077" s="12"/>
    </row>
    <row r="1078" spans="1:12" x14ac:dyDescent="0.3">
      <c r="A1078" s="3">
        <v>1077</v>
      </c>
      <c r="B1078" s="3" t="s">
        <v>808</v>
      </c>
      <c r="C1078" s="3" t="s">
        <v>1045</v>
      </c>
      <c r="D1078" s="3" t="s">
        <v>1046</v>
      </c>
      <c r="E1078" s="9">
        <v>700</v>
      </c>
      <c r="L1078" s="12"/>
    </row>
    <row r="1079" spans="1:12" x14ac:dyDescent="0.3">
      <c r="A1079" s="3">
        <v>1078</v>
      </c>
      <c r="B1079" s="3" t="s">
        <v>808</v>
      </c>
      <c r="C1079" s="3" t="s">
        <v>1047</v>
      </c>
      <c r="D1079" s="3" t="s">
        <v>1048</v>
      </c>
      <c r="E1079" s="9">
        <v>700</v>
      </c>
      <c r="L1079" s="12"/>
    </row>
    <row r="1080" spans="1:12" x14ac:dyDescent="0.3">
      <c r="A1080" s="3">
        <v>1079</v>
      </c>
      <c r="B1080" s="3" t="s">
        <v>808</v>
      </c>
      <c r="C1080" s="3" t="s">
        <v>1060</v>
      </c>
      <c r="D1080" s="3" t="s">
        <v>1061</v>
      </c>
      <c r="E1080" s="9">
        <v>2500</v>
      </c>
      <c r="L1080" s="12"/>
    </row>
    <row r="1081" spans="1:12" x14ac:dyDescent="0.3">
      <c r="A1081" s="3">
        <v>1080</v>
      </c>
      <c r="B1081" s="3" t="s">
        <v>808</v>
      </c>
      <c r="C1081" s="3" t="s">
        <v>1062</v>
      </c>
      <c r="D1081" s="3" t="s">
        <v>1063</v>
      </c>
      <c r="E1081" s="9">
        <v>3500</v>
      </c>
      <c r="L1081" s="12"/>
    </row>
    <row r="1082" spans="1:12" x14ac:dyDescent="0.3">
      <c r="A1082" s="3">
        <v>1081</v>
      </c>
      <c r="B1082" s="3" t="s">
        <v>813</v>
      </c>
      <c r="C1082" s="3" t="s">
        <v>1039</v>
      </c>
      <c r="D1082" s="3" t="s">
        <v>1040</v>
      </c>
      <c r="E1082" s="9">
        <v>4500</v>
      </c>
      <c r="L1082" s="12"/>
    </row>
    <row r="1083" spans="1:12" x14ac:dyDescent="0.3">
      <c r="A1083" s="3">
        <v>1082</v>
      </c>
      <c r="B1083" s="3" t="s">
        <v>813</v>
      </c>
      <c r="C1083" s="3" t="s">
        <v>1041</v>
      </c>
      <c r="D1083" s="3" t="s">
        <v>1042</v>
      </c>
      <c r="E1083" s="9">
        <v>3000</v>
      </c>
      <c r="L1083" s="12"/>
    </row>
    <row r="1084" spans="1:12" x14ac:dyDescent="0.3">
      <c r="A1084" s="3">
        <v>1083</v>
      </c>
      <c r="B1084" s="3" t="s">
        <v>813</v>
      </c>
      <c r="C1084" s="3" t="s">
        <v>1043</v>
      </c>
      <c r="D1084" s="3" t="s">
        <v>1044</v>
      </c>
      <c r="E1084" s="9">
        <v>2000</v>
      </c>
      <c r="L1084" s="12"/>
    </row>
    <row r="1085" spans="1:12" x14ac:dyDescent="0.3">
      <c r="A1085" s="3">
        <v>1084</v>
      </c>
      <c r="B1085" s="3" t="s">
        <v>813</v>
      </c>
      <c r="C1085" s="3" t="s">
        <v>1058</v>
      </c>
      <c r="D1085" s="3" t="s">
        <v>1059</v>
      </c>
      <c r="E1085" s="9">
        <v>500</v>
      </c>
      <c r="L1085" s="12"/>
    </row>
    <row r="1086" spans="1:12" x14ac:dyDescent="0.3">
      <c r="A1086" s="3">
        <v>1085</v>
      </c>
      <c r="B1086" s="3" t="s">
        <v>813</v>
      </c>
      <c r="C1086" s="3" t="s">
        <v>1045</v>
      </c>
      <c r="D1086" s="3" t="s">
        <v>1046</v>
      </c>
      <c r="E1086" s="9">
        <v>700</v>
      </c>
      <c r="L1086" s="12"/>
    </row>
    <row r="1087" spans="1:12" x14ac:dyDescent="0.3">
      <c r="A1087" s="3">
        <v>1086</v>
      </c>
      <c r="B1087" s="3" t="s">
        <v>813</v>
      </c>
      <c r="C1087" s="3" t="s">
        <v>1047</v>
      </c>
      <c r="D1087" s="3" t="s">
        <v>1048</v>
      </c>
      <c r="E1087" s="9">
        <v>700</v>
      </c>
      <c r="L1087" s="12"/>
    </row>
    <row r="1088" spans="1:12" x14ac:dyDescent="0.3">
      <c r="A1088" s="3">
        <v>1087</v>
      </c>
      <c r="B1088" s="3" t="s">
        <v>813</v>
      </c>
      <c r="C1088" s="3" t="s">
        <v>1060</v>
      </c>
      <c r="D1088" s="3" t="s">
        <v>1061</v>
      </c>
      <c r="E1088" s="9">
        <v>2500</v>
      </c>
      <c r="L1088" s="12"/>
    </row>
    <row r="1089" spans="1:12" x14ac:dyDescent="0.3">
      <c r="A1089" s="3">
        <v>1088</v>
      </c>
      <c r="B1089" s="3" t="s">
        <v>813</v>
      </c>
      <c r="C1089" s="3" t="s">
        <v>1062</v>
      </c>
      <c r="D1089" s="3" t="s">
        <v>1063</v>
      </c>
      <c r="E1089" s="9">
        <v>3500</v>
      </c>
      <c r="L1089" s="12"/>
    </row>
    <row r="1090" spans="1:12" x14ac:dyDescent="0.3">
      <c r="A1090" s="3">
        <v>1089</v>
      </c>
      <c r="B1090" s="3" t="s">
        <v>818</v>
      </c>
      <c r="C1090" s="3" t="s">
        <v>945</v>
      </c>
      <c r="D1090" s="3" t="s">
        <v>1097</v>
      </c>
      <c r="E1090" s="9">
        <v>15000</v>
      </c>
      <c r="L1090" s="12"/>
    </row>
    <row r="1091" spans="1:12" x14ac:dyDescent="0.3">
      <c r="A1091" s="3">
        <v>1090</v>
      </c>
      <c r="B1091" s="3" t="s">
        <v>818</v>
      </c>
      <c r="C1091" s="3" t="s">
        <v>947</v>
      </c>
      <c r="D1091" s="3" t="s">
        <v>948</v>
      </c>
      <c r="E1091" s="9">
        <v>5000</v>
      </c>
      <c r="L1091" s="12"/>
    </row>
    <row r="1092" spans="1:12" x14ac:dyDescent="0.3">
      <c r="A1092" s="3">
        <v>1091</v>
      </c>
      <c r="B1092" s="3" t="s">
        <v>818</v>
      </c>
      <c r="C1092" s="3" t="s">
        <v>949</v>
      </c>
      <c r="D1092" s="3" t="s">
        <v>1073</v>
      </c>
      <c r="E1092" s="9">
        <v>4000</v>
      </c>
      <c r="L1092" s="12"/>
    </row>
    <row r="1093" spans="1:12" x14ac:dyDescent="0.3">
      <c r="A1093" s="3">
        <v>1092</v>
      </c>
      <c r="B1093" s="3" t="s">
        <v>818</v>
      </c>
      <c r="C1093" s="3" t="s">
        <v>951</v>
      </c>
      <c r="D1093" s="3" t="s">
        <v>952</v>
      </c>
      <c r="E1093" s="9">
        <v>17000</v>
      </c>
      <c r="L1093" s="12"/>
    </row>
    <row r="1094" spans="1:12" x14ac:dyDescent="0.3">
      <c r="A1094" s="3">
        <v>1093</v>
      </c>
      <c r="B1094" s="3" t="s">
        <v>818</v>
      </c>
      <c r="C1094" s="3" t="s">
        <v>953</v>
      </c>
      <c r="D1094" s="3" t="s">
        <v>954</v>
      </c>
      <c r="E1094" s="9">
        <v>11000</v>
      </c>
      <c r="L1094" s="12"/>
    </row>
    <row r="1095" spans="1:12" x14ac:dyDescent="0.3">
      <c r="A1095" s="3">
        <v>1094</v>
      </c>
      <c r="B1095" s="3" t="s">
        <v>818</v>
      </c>
      <c r="C1095" s="3" t="s">
        <v>955</v>
      </c>
      <c r="D1095" s="3" t="s">
        <v>1074</v>
      </c>
      <c r="E1095" s="9">
        <v>6000</v>
      </c>
      <c r="L1095" s="12"/>
    </row>
    <row r="1096" spans="1:12" x14ac:dyDescent="0.3">
      <c r="A1096" s="3">
        <v>1095</v>
      </c>
      <c r="B1096" s="3" t="s">
        <v>818</v>
      </c>
      <c r="C1096" s="3" t="s">
        <v>957</v>
      </c>
      <c r="D1096" s="3" t="s">
        <v>958</v>
      </c>
      <c r="E1096" s="9">
        <v>4500</v>
      </c>
      <c r="L1096" s="12"/>
    </row>
    <row r="1097" spans="1:12" x14ac:dyDescent="0.3">
      <c r="A1097" s="3">
        <v>1096</v>
      </c>
      <c r="B1097" s="3" t="s">
        <v>818</v>
      </c>
      <c r="C1097" s="3" t="s">
        <v>959</v>
      </c>
      <c r="D1097" s="3" t="s">
        <v>960</v>
      </c>
      <c r="E1097" s="9">
        <v>8500</v>
      </c>
      <c r="L1097" s="12"/>
    </row>
    <row r="1098" spans="1:12" x14ac:dyDescent="0.3">
      <c r="A1098" s="3">
        <v>1097</v>
      </c>
      <c r="B1098" s="3" t="s">
        <v>818</v>
      </c>
      <c r="C1098" s="3" t="s">
        <v>961</v>
      </c>
      <c r="D1098" s="3" t="s">
        <v>962</v>
      </c>
      <c r="E1098" s="9">
        <v>2000</v>
      </c>
      <c r="L1098" s="12"/>
    </row>
    <row r="1099" spans="1:12" x14ac:dyDescent="0.3">
      <c r="A1099" s="3">
        <v>1098</v>
      </c>
      <c r="B1099" s="3" t="s">
        <v>823</v>
      </c>
      <c r="C1099" s="3" t="s">
        <v>945</v>
      </c>
      <c r="D1099" s="3" t="s">
        <v>1097</v>
      </c>
      <c r="E1099" s="9">
        <v>15000</v>
      </c>
      <c r="L1099" s="12"/>
    </row>
    <row r="1100" spans="1:12" x14ac:dyDescent="0.3">
      <c r="A1100" s="3">
        <v>1099</v>
      </c>
      <c r="B1100" s="3" t="s">
        <v>823</v>
      </c>
      <c r="C1100" s="3" t="s">
        <v>947</v>
      </c>
      <c r="D1100" s="3" t="s">
        <v>948</v>
      </c>
      <c r="E1100" s="9">
        <v>5000</v>
      </c>
      <c r="L1100" s="12"/>
    </row>
    <row r="1101" spans="1:12" x14ac:dyDescent="0.3">
      <c r="A1101" s="3">
        <v>1100</v>
      </c>
      <c r="B1101" s="3" t="s">
        <v>823</v>
      </c>
      <c r="C1101" s="3" t="s">
        <v>949</v>
      </c>
      <c r="D1101" s="3" t="s">
        <v>1073</v>
      </c>
      <c r="E1101" s="9">
        <v>4000</v>
      </c>
      <c r="L1101" s="12"/>
    </row>
    <row r="1102" spans="1:12" x14ac:dyDescent="0.3">
      <c r="A1102" s="3">
        <v>1101</v>
      </c>
      <c r="B1102" s="3" t="s">
        <v>823</v>
      </c>
      <c r="C1102" s="3" t="s">
        <v>951</v>
      </c>
      <c r="D1102" s="3" t="s">
        <v>952</v>
      </c>
      <c r="E1102" s="9">
        <v>17000</v>
      </c>
      <c r="L1102" s="12"/>
    </row>
    <row r="1103" spans="1:12" x14ac:dyDescent="0.3">
      <c r="A1103" s="3">
        <v>1102</v>
      </c>
      <c r="B1103" s="3" t="s">
        <v>823</v>
      </c>
      <c r="C1103" s="3" t="s">
        <v>953</v>
      </c>
      <c r="D1103" s="3" t="s">
        <v>954</v>
      </c>
      <c r="E1103" s="9">
        <v>11000</v>
      </c>
      <c r="L1103" s="12"/>
    </row>
    <row r="1104" spans="1:12" x14ac:dyDescent="0.3">
      <c r="A1104" s="3">
        <v>1103</v>
      </c>
      <c r="B1104" s="3" t="s">
        <v>823</v>
      </c>
      <c r="C1104" s="3" t="s">
        <v>955</v>
      </c>
      <c r="D1104" s="3" t="s">
        <v>1074</v>
      </c>
      <c r="E1104" s="9">
        <v>6000</v>
      </c>
      <c r="L1104" s="12"/>
    </row>
    <row r="1105" spans="1:12" x14ac:dyDescent="0.3">
      <c r="A1105" s="3">
        <v>1104</v>
      </c>
      <c r="B1105" s="3" t="s">
        <v>823</v>
      </c>
      <c r="C1105" s="3" t="s">
        <v>957</v>
      </c>
      <c r="D1105" s="3" t="s">
        <v>958</v>
      </c>
      <c r="E1105" s="9">
        <v>4500</v>
      </c>
      <c r="L1105" s="12"/>
    </row>
    <row r="1106" spans="1:12" x14ac:dyDescent="0.3">
      <c r="A1106" s="3">
        <v>1105</v>
      </c>
      <c r="B1106" s="3" t="s">
        <v>823</v>
      </c>
      <c r="C1106" s="3" t="s">
        <v>959</v>
      </c>
      <c r="D1106" s="3" t="s">
        <v>960</v>
      </c>
      <c r="E1106" s="9">
        <v>8500</v>
      </c>
      <c r="L1106" s="12"/>
    </row>
    <row r="1107" spans="1:12" x14ac:dyDescent="0.3">
      <c r="A1107" s="3">
        <v>1106</v>
      </c>
      <c r="B1107" s="3" t="s">
        <v>823</v>
      </c>
      <c r="C1107" s="3" t="s">
        <v>961</v>
      </c>
      <c r="D1107" s="3" t="s">
        <v>962</v>
      </c>
      <c r="E1107" s="9">
        <v>2000</v>
      </c>
      <c r="L1107" s="12"/>
    </row>
    <row r="1108" spans="1:12" x14ac:dyDescent="0.3">
      <c r="A1108" s="3">
        <v>1107</v>
      </c>
      <c r="B1108" s="3" t="s">
        <v>828</v>
      </c>
      <c r="C1108" s="3" t="s">
        <v>992</v>
      </c>
      <c r="D1108" s="3" t="s">
        <v>993</v>
      </c>
      <c r="E1108" s="9">
        <v>5000</v>
      </c>
      <c r="L1108" s="12"/>
    </row>
    <row r="1109" spans="1:12" x14ac:dyDescent="0.3">
      <c r="A1109" s="3">
        <v>1108</v>
      </c>
      <c r="B1109" s="3" t="s">
        <v>828</v>
      </c>
      <c r="C1109" s="3" t="s">
        <v>994</v>
      </c>
      <c r="D1109" s="3" t="s">
        <v>995</v>
      </c>
      <c r="E1109" s="9">
        <v>6000</v>
      </c>
      <c r="L1109" s="12"/>
    </row>
    <row r="1110" spans="1:12" x14ac:dyDescent="0.3">
      <c r="A1110" s="3">
        <v>1109</v>
      </c>
      <c r="B1110" s="3" t="s">
        <v>828</v>
      </c>
      <c r="C1110" s="3" t="s">
        <v>996</v>
      </c>
      <c r="D1110" s="3" t="s">
        <v>997</v>
      </c>
      <c r="E1110" s="9">
        <v>5500</v>
      </c>
      <c r="L1110" s="12"/>
    </row>
    <row r="1111" spans="1:12" x14ac:dyDescent="0.3">
      <c r="A1111" s="3">
        <v>1110</v>
      </c>
      <c r="B1111" s="3" t="s">
        <v>828</v>
      </c>
      <c r="C1111" s="3" t="s">
        <v>998</v>
      </c>
      <c r="D1111" s="3" t="s">
        <v>999</v>
      </c>
      <c r="E1111" s="9">
        <v>6000</v>
      </c>
      <c r="L1111" s="12"/>
    </row>
    <row r="1112" spans="1:12" x14ac:dyDescent="0.3">
      <c r="A1112" s="3">
        <v>1111</v>
      </c>
      <c r="B1112" s="3" t="s">
        <v>828</v>
      </c>
      <c r="C1112" s="3" t="s">
        <v>1000</v>
      </c>
      <c r="D1112" s="3" t="s">
        <v>1001</v>
      </c>
      <c r="E1112" s="9">
        <v>4500</v>
      </c>
      <c r="L1112" s="12"/>
    </row>
    <row r="1113" spans="1:12" x14ac:dyDescent="0.3">
      <c r="A1113" s="3">
        <v>1112</v>
      </c>
      <c r="B1113" s="3" t="s">
        <v>828</v>
      </c>
      <c r="C1113" s="3" t="s">
        <v>1002</v>
      </c>
      <c r="D1113" s="3" t="s">
        <v>1003</v>
      </c>
      <c r="E1113" s="9">
        <v>4000</v>
      </c>
      <c r="L1113" s="12"/>
    </row>
    <row r="1114" spans="1:12" x14ac:dyDescent="0.3">
      <c r="A1114" s="3">
        <v>1113</v>
      </c>
      <c r="B1114" s="3" t="s">
        <v>828</v>
      </c>
      <c r="C1114" s="3" t="s">
        <v>1004</v>
      </c>
      <c r="D1114" s="3" t="s">
        <v>1005</v>
      </c>
      <c r="E1114" s="9">
        <v>3000</v>
      </c>
      <c r="L1114" s="12"/>
    </row>
    <row r="1115" spans="1:12" x14ac:dyDescent="0.3">
      <c r="A1115" s="3">
        <v>1114</v>
      </c>
      <c r="B1115" s="3" t="s">
        <v>828</v>
      </c>
      <c r="C1115" s="3" t="s">
        <v>1006</v>
      </c>
      <c r="D1115" s="3" t="s">
        <v>1007</v>
      </c>
      <c r="E1115" s="9">
        <v>2500</v>
      </c>
      <c r="L1115" s="12"/>
    </row>
    <row r="1116" spans="1:12" x14ac:dyDescent="0.3">
      <c r="A1116" s="3">
        <v>1115</v>
      </c>
      <c r="B1116" s="3" t="s">
        <v>828</v>
      </c>
      <c r="C1116" s="3" t="s">
        <v>1008</v>
      </c>
      <c r="D1116" s="3" t="s">
        <v>1009</v>
      </c>
      <c r="E1116" s="9">
        <v>8000</v>
      </c>
      <c r="L1116" s="12"/>
    </row>
    <row r="1117" spans="1:12" x14ac:dyDescent="0.3">
      <c r="A1117" s="3">
        <v>1116</v>
      </c>
      <c r="B1117" s="3" t="s">
        <v>828</v>
      </c>
      <c r="C1117" s="3" t="s">
        <v>1056</v>
      </c>
      <c r="D1117" s="3" t="s">
        <v>1057</v>
      </c>
      <c r="E1117" s="9">
        <v>9000</v>
      </c>
      <c r="L1117" s="12"/>
    </row>
    <row r="1118" spans="1:12" x14ac:dyDescent="0.3">
      <c r="A1118" s="3">
        <v>1117</v>
      </c>
      <c r="B1118" s="3" t="s">
        <v>828</v>
      </c>
      <c r="C1118" s="3" t="s">
        <v>1010</v>
      </c>
      <c r="D1118" s="3" t="s">
        <v>1011</v>
      </c>
      <c r="E1118" s="9">
        <v>8000</v>
      </c>
      <c r="L1118" s="12"/>
    </row>
    <row r="1119" spans="1:12" x14ac:dyDescent="0.3">
      <c r="A1119" s="3">
        <v>1118</v>
      </c>
      <c r="B1119" s="3" t="s">
        <v>828</v>
      </c>
      <c r="C1119" s="3" t="s">
        <v>1012</v>
      </c>
      <c r="D1119" s="3" t="s">
        <v>1013</v>
      </c>
      <c r="E1119" s="9">
        <v>6000</v>
      </c>
      <c r="L1119" s="12"/>
    </row>
    <row r="1120" spans="1:12" x14ac:dyDescent="0.3">
      <c r="A1120" s="3">
        <v>1119</v>
      </c>
      <c r="B1120" s="3" t="s">
        <v>833</v>
      </c>
      <c r="C1120" s="3" t="s">
        <v>1027</v>
      </c>
      <c r="D1120" s="3" t="s">
        <v>1028</v>
      </c>
      <c r="E1120" s="9">
        <v>4000</v>
      </c>
      <c r="L1120" s="12"/>
    </row>
    <row r="1121" spans="1:12" x14ac:dyDescent="0.3">
      <c r="A1121" s="3">
        <v>1120</v>
      </c>
      <c r="B1121" s="3" t="s">
        <v>833</v>
      </c>
      <c r="C1121" s="3" t="s">
        <v>1029</v>
      </c>
      <c r="D1121" s="3" t="s">
        <v>1030</v>
      </c>
      <c r="E1121" s="9">
        <v>5000</v>
      </c>
      <c r="L1121" s="12"/>
    </row>
    <row r="1122" spans="1:12" x14ac:dyDescent="0.3">
      <c r="A1122" s="3">
        <v>1121</v>
      </c>
      <c r="B1122" s="3" t="s">
        <v>833</v>
      </c>
      <c r="C1122" s="3" t="s">
        <v>1031</v>
      </c>
      <c r="D1122" s="3" t="s">
        <v>1032</v>
      </c>
      <c r="E1122" s="9">
        <v>5000</v>
      </c>
      <c r="L1122" s="12"/>
    </row>
    <row r="1123" spans="1:12" x14ac:dyDescent="0.3">
      <c r="A1123" s="3">
        <v>1122</v>
      </c>
      <c r="B1123" s="3" t="s">
        <v>833</v>
      </c>
      <c r="C1123" s="3" t="s">
        <v>1033</v>
      </c>
      <c r="D1123" s="3" t="s">
        <v>1034</v>
      </c>
      <c r="E1123" s="9">
        <v>6000</v>
      </c>
      <c r="L1123" s="12"/>
    </row>
    <row r="1124" spans="1:12" x14ac:dyDescent="0.3">
      <c r="A1124" s="3">
        <v>1123</v>
      </c>
      <c r="B1124" s="3" t="s">
        <v>833</v>
      </c>
      <c r="C1124" s="3" t="s">
        <v>1035</v>
      </c>
      <c r="D1124" s="3" t="s">
        <v>1036</v>
      </c>
      <c r="E1124" s="9">
        <v>5000</v>
      </c>
      <c r="L1124" s="12"/>
    </row>
    <row r="1125" spans="1:12" x14ac:dyDescent="0.3">
      <c r="A1125" s="3">
        <v>1124</v>
      </c>
      <c r="B1125" s="3" t="s">
        <v>833</v>
      </c>
      <c r="C1125" s="3" t="s">
        <v>1037</v>
      </c>
      <c r="D1125" s="3" t="s">
        <v>1038</v>
      </c>
      <c r="E1125" s="9">
        <v>2000</v>
      </c>
      <c r="L1125" s="12"/>
    </row>
    <row r="1126" spans="1:12" x14ac:dyDescent="0.3">
      <c r="A1126" s="3">
        <v>1125</v>
      </c>
      <c r="B1126" s="3" t="s">
        <v>833</v>
      </c>
      <c r="C1126" s="3" t="s">
        <v>1064</v>
      </c>
      <c r="D1126" s="3" t="s">
        <v>1065</v>
      </c>
      <c r="E1126" s="9">
        <v>4000</v>
      </c>
      <c r="L1126" s="12"/>
    </row>
    <row r="1127" spans="1:12" x14ac:dyDescent="0.3">
      <c r="A1127" s="3">
        <v>1126</v>
      </c>
      <c r="B1127" s="3" t="s">
        <v>833</v>
      </c>
      <c r="C1127" s="3" t="s">
        <v>1066</v>
      </c>
      <c r="D1127" s="3" t="s">
        <v>1067</v>
      </c>
      <c r="E1127" s="9">
        <v>6500</v>
      </c>
      <c r="L1127" s="12"/>
    </row>
    <row r="1128" spans="1:12" x14ac:dyDescent="0.3">
      <c r="A1128" s="3">
        <v>1127</v>
      </c>
      <c r="B1128" s="3" t="s">
        <v>833</v>
      </c>
      <c r="C1128" s="3" t="s">
        <v>1068</v>
      </c>
      <c r="D1128" s="3" t="s">
        <v>1069</v>
      </c>
      <c r="E1128" s="9">
        <v>8000</v>
      </c>
      <c r="L1128" s="12"/>
    </row>
    <row r="1129" spans="1:12" x14ac:dyDescent="0.3">
      <c r="A1129" s="3">
        <v>1128</v>
      </c>
      <c r="B1129" s="3" t="s">
        <v>838</v>
      </c>
      <c r="C1129" s="3" t="s">
        <v>1103</v>
      </c>
      <c r="D1129" s="3" t="s">
        <v>1104</v>
      </c>
      <c r="E1129" s="9">
        <v>1500</v>
      </c>
      <c r="L1129" s="12"/>
    </row>
    <row r="1130" spans="1:12" x14ac:dyDescent="0.3">
      <c r="A1130" s="3">
        <v>1129</v>
      </c>
      <c r="B1130" s="3" t="s">
        <v>838</v>
      </c>
      <c r="C1130" s="3" t="s">
        <v>1105</v>
      </c>
      <c r="D1130" s="3" t="s">
        <v>1106</v>
      </c>
      <c r="E1130" s="9">
        <v>2000</v>
      </c>
      <c r="L1130" s="12"/>
    </row>
    <row r="1131" spans="1:12" x14ac:dyDescent="0.3">
      <c r="A1131" s="3">
        <v>1130</v>
      </c>
      <c r="B1131" s="3" t="s">
        <v>838</v>
      </c>
      <c r="C1131" s="3" t="s">
        <v>1107</v>
      </c>
      <c r="D1131" s="3" t="s">
        <v>1108</v>
      </c>
      <c r="E1131" s="9">
        <v>1500</v>
      </c>
      <c r="L1131" s="12"/>
    </row>
    <row r="1132" spans="1:12" x14ac:dyDescent="0.3">
      <c r="A1132" s="3">
        <v>1131</v>
      </c>
      <c r="B1132" s="3" t="s">
        <v>838</v>
      </c>
      <c r="C1132" s="3" t="s">
        <v>1109</v>
      </c>
      <c r="D1132" s="3" t="s">
        <v>1110</v>
      </c>
      <c r="E1132" s="9">
        <v>2000</v>
      </c>
      <c r="L1132" s="12"/>
    </row>
    <row r="1133" spans="1:12" x14ac:dyDescent="0.3">
      <c r="A1133" s="3">
        <v>1132</v>
      </c>
      <c r="B1133" s="3" t="s">
        <v>838</v>
      </c>
      <c r="C1133" s="3" t="s">
        <v>1111</v>
      </c>
      <c r="D1133" s="3" t="s">
        <v>1112</v>
      </c>
      <c r="E1133" s="9">
        <v>2000</v>
      </c>
      <c r="L1133" s="12"/>
    </row>
    <row r="1134" spans="1:12" x14ac:dyDescent="0.3">
      <c r="A1134" s="3">
        <v>1133</v>
      </c>
      <c r="B1134" s="3" t="s">
        <v>838</v>
      </c>
      <c r="C1134" s="3" t="s">
        <v>1113</v>
      </c>
      <c r="D1134" s="3" t="s">
        <v>1114</v>
      </c>
      <c r="E1134" s="9">
        <v>2500</v>
      </c>
      <c r="L1134" s="12"/>
    </row>
    <row r="1135" spans="1:12" x14ac:dyDescent="0.3">
      <c r="A1135" s="3">
        <v>1134</v>
      </c>
      <c r="B1135" s="3" t="s">
        <v>838</v>
      </c>
      <c r="C1135" s="3" t="s">
        <v>1115</v>
      </c>
      <c r="D1135" s="3" t="s">
        <v>1116</v>
      </c>
      <c r="E1135" s="9">
        <v>2000</v>
      </c>
      <c r="L1135" s="12"/>
    </row>
    <row r="1136" spans="1:12" x14ac:dyDescent="0.3">
      <c r="A1136" s="3">
        <v>1135</v>
      </c>
      <c r="B1136" s="3" t="s">
        <v>838</v>
      </c>
      <c r="C1136" s="3" t="s">
        <v>1117</v>
      </c>
      <c r="D1136" s="3" t="s">
        <v>1118</v>
      </c>
      <c r="E1136" s="9">
        <v>2500</v>
      </c>
      <c r="L1136" s="12"/>
    </row>
    <row r="1137" spans="1:12" x14ac:dyDescent="0.3">
      <c r="A1137" s="3">
        <v>1136</v>
      </c>
      <c r="B1137" s="3" t="s">
        <v>838</v>
      </c>
      <c r="C1137" s="3" t="s">
        <v>1119</v>
      </c>
      <c r="D1137" s="3" t="s">
        <v>1120</v>
      </c>
      <c r="E1137" s="9">
        <v>3000</v>
      </c>
      <c r="L1137" s="12"/>
    </row>
    <row r="1138" spans="1:12" x14ac:dyDescent="0.3">
      <c r="A1138" s="3">
        <v>1137</v>
      </c>
      <c r="B1138" s="3" t="s">
        <v>843</v>
      </c>
      <c r="C1138" s="3" t="s">
        <v>945</v>
      </c>
      <c r="D1138" s="3" t="s">
        <v>1097</v>
      </c>
      <c r="E1138" s="9">
        <v>15000</v>
      </c>
      <c r="L1138" s="12"/>
    </row>
    <row r="1139" spans="1:12" x14ac:dyDescent="0.3">
      <c r="A1139" s="3">
        <v>1138</v>
      </c>
      <c r="B1139" s="3" t="s">
        <v>843</v>
      </c>
      <c r="C1139" s="3" t="s">
        <v>947</v>
      </c>
      <c r="D1139" s="3" t="s">
        <v>948</v>
      </c>
      <c r="E1139" s="9">
        <v>5000</v>
      </c>
      <c r="L1139" s="12"/>
    </row>
    <row r="1140" spans="1:12" x14ac:dyDescent="0.3">
      <c r="A1140" s="3">
        <v>1139</v>
      </c>
      <c r="B1140" s="3" t="s">
        <v>843</v>
      </c>
      <c r="C1140" s="3" t="s">
        <v>949</v>
      </c>
      <c r="D1140" s="3" t="s">
        <v>1073</v>
      </c>
      <c r="E1140" s="9">
        <v>4000</v>
      </c>
      <c r="L1140" s="12"/>
    </row>
    <row r="1141" spans="1:12" x14ac:dyDescent="0.3">
      <c r="A1141" s="3">
        <v>1140</v>
      </c>
      <c r="B1141" s="3" t="s">
        <v>843</v>
      </c>
      <c r="C1141" s="3" t="s">
        <v>951</v>
      </c>
      <c r="D1141" s="3" t="s">
        <v>952</v>
      </c>
      <c r="E1141" s="9">
        <v>17000</v>
      </c>
      <c r="L1141" s="12"/>
    </row>
    <row r="1142" spans="1:12" x14ac:dyDescent="0.3">
      <c r="A1142" s="3">
        <v>1141</v>
      </c>
      <c r="B1142" s="3" t="s">
        <v>843</v>
      </c>
      <c r="C1142" s="3" t="s">
        <v>953</v>
      </c>
      <c r="D1142" s="3" t="s">
        <v>954</v>
      </c>
      <c r="E1142" s="9">
        <v>11000</v>
      </c>
      <c r="L1142" s="12"/>
    </row>
    <row r="1143" spans="1:12" x14ac:dyDescent="0.3">
      <c r="A1143" s="3">
        <v>1142</v>
      </c>
      <c r="B1143" s="3" t="s">
        <v>843</v>
      </c>
      <c r="C1143" s="3" t="s">
        <v>955</v>
      </c>
      <c r="D1143" s="3" t="s">
        <v>1074</v>
      </c>
      <c r="E1143" s="9">
        <v>6000</v>
      </c>
      <c r="L1143" s="12"/>
    </row>
    <row r="1144" spans="1:12" x14ac:dyDescent="0.3">
      <c r="A1144" s="3">
        <v>1143</v>
      </c>
      <c r="B1144" s="3" t="s">
        <v>843</v>
      </c>
      <c r="C1144" s="3" t="s">
        <v>957</v>
      </c>
      <c r="D1144" s="3" t="s">
        <v>958</v>
      </c>
      <c r="E1144" s="9">
        <v>4500</v>
      </c>
      <c r="L1144" s="12"/>
    </row>
    <row r="1145" spans="1:12" x14ac:dyDescent="0.3">
      <c r="A1145" s="3">
        <v>1144</v>
      </c>
      <c r="B1145" s="3" t="s">
        <v>843</v>
      </c>
      <c r="C1145" s="3" t="s">
        <v>959</v>
      </c>
      <c r="D1145" s="3" t="s">
        <v>960</v>
      </c>
      <c r="E1145" s="9">
        <v>8500</v>
      </c>
      <c r="L1145" s="12"/>
    </row>
    <row r="1146" spans="1:12" x14ac:dyDescent="0.3">
      <c r="A1146" s="3">
        <v>1145</v>
      </c>
      <c r="B1146" s="3" t="s">
        <v>843</v>
      </c>
      <c r="C1146" s="3" t="s">
        <v>961</v>
      </c>
      <c r="D1146" s="3" t="s">
        <v>962</v>
      </c>
      <c r="E1146" s="9">
        <v>2000</v>
      </c>
      <c r="L1146" s="12"/>
    </row>
    <row r="1147" spans="1:12" x14ac:dyDescent="0.3">
      <c r="A1147" s="3">
        <v>1146</v>
      </c>
      <c r="B1147" s="3" t="s">
        <v>848</v>
      </c>
      <c r="C1147" s="3" t="s">
        <v>1103</v>
      </c>
      <c r="D1147" s="3" t="s">
        <v>1104</v>
      </c>
      <c r="E1147" s="9">
        <v>1500</v>
      </c>
      <c r="L1147" s="12"/>
    </row>
    <row r="1148" spans="1:12" x14ac:dyDescent="0.3">
      <c r="A1148" s="3">
        <v>1147</v>
      </c>
      <c r="B1148" s="3" t="s">
        <v>848</v>
      </c>
      <c r="C1148" s="3" t="s">
        <v>1105</v>
      </c>
      <c r="D1148" s="3" t="s">
        <v>1106</v>
      </c>
      <c r="E1148" s="9">
        <v>2000</v>
      </c>
      <c r="L1148" s="12"/>
    </row>
    <row r="1149" spans="1:12" x14ac:dyDescent="0.3">
      <c r="A1149" s="3">
        <v>1148</v>
      </c>
      <c r="B1149" s="3" t="s">
        <v>848</v>
      </c>
      <c r="C1149" s="3" t="s">
        <v>1107</v>
      </c>
      <c r="D1149" s="3" t="s">
        <v>1108</v>
      </c>
      <c r="E1149" s="9">
        <v>1500</v>
      </c>
      <c r="L1149" s="12"/>
    </row>
    <row r="1150" spans="1:12" x14ac:dyDescent="0.3">
      <c r="A1150" s="3">
        <v>1149</v>
      </c>
      <c r="B1150" s="3" t="s">
        <v>848</v>
      </c>
      <c r="C1150" s="3" t="s">
        <v>1109</v>
      </c>
      <c r="D1150" s="3" t="s">
        <v>1110</v>
      </c>
      <c r="E1150" s="9">
        <v>2000</v>
      </c>
      <c r="L1150" s="12"/>
    </row>
    <row r="1151" spans="1:12" x14ac:dyDescent="0.3">
      <c r="A1151" s="3">
        <v>1150</v>
      </c>
      <c r="B1151" s="3" t="s">
        <v>848</v>
      </c>
      <c r="C1151" s="3" t="s">
        <v>1111</v>
      </c>
      <c r="D1151" s="3" t="s">
        <v>1112</v>
      </c>
      <c r="E1151" s="9">
        <v>2000</v>
      </c>
      <c r="L1151" s="12"/>
    </row>
    <row r="1152" spans="1:12" x14ac:dyDescent="0.3">
      <c r="A1152" s="3">
        <v>1151</v>
      </c>
      <c r="B1152" s="3" t="s">
        <v>848</v>
      </c>
      <c r="C1152" s="3" t="s">
        <v>1113</v>
      </c>
      <c r="D1152" s="3" t="s">
        <v>1114</v>
      </c>
      <c r="E1152" s="9">
        <v>2500</v>
      </c>
      <c r="L1152" s="12"/>
    </row>
    <row r="1153" spans="1:12" x14ac:dyDescent="0.3">
      <c r="A1153" s="3">
        <v>1152</v>
      </c>
      <c r="B1153" s="3" t="s">
        <v>848</v>
      </c>
      <c r="C1153" s="3" t="s">
        <v>1115</v>
      </c>
      <c r="D1153" s="3" t="s">
        <v>1116</v>
      </c>
      <c r="E1153" s="9">
        <v>2000</v>
      </c>
      <c r="L1153" s="12"/>
    </row>
    <row r="1154" spans="1:12" x14ac:dyDescent="0.3">
      <c r="A1154" s="3">
        <v>1153</v>
      </c>
      <c r="B1154" s="3" t="s">
        <v>848</v>
      </c>
      <c r="C1154" s="3" t="s">
        <v>1117</v>
      </c>
      <c r="D1154" s="3" t="s">
        <v>1118</v>
      </c>
      <c r="E1154" s="9">
        <v>2500</v>
      </c>
      <c r="L1154" s="12"/>
    </row>
    <row r="1155" spans="1:12" x14ac:dyDescent="0.3">
      <c r="A1155" s="3">
        <v>1154</v>
      </c>
      <c r="B1155" s="3" t="s">
        <v>848</v>
      </c>
      <c r="C1155" s="3" t="s">
        <v>1119</v>
      </c>
      <c r="D1155" s="3" t="s">
        <v>1120</v>
      </c>
      <c r="E1155" s="9">
        <v>3000</v>
      </c>
      <c r="L1155" s="12"/>
    </row>
    <row r="1156" spans="1:12" x14ac:dyDescent="0.3">
      <c r="A1156" s="3">
        <v>1155</v>
      </c>
      <c r="B1156" s="3" t="s">
        <v>853</v>
      </c>
      <c r="C1156" s="3" t="s">
        <v>1014</v>
      </c>
      <c r="D1156" s="3" t="s">
        <v>1015</v>
      </c>
      <c r="E1156" s="9">
        <v>4500</v>
      </c>
      <c r="L1156" s="12"/>
    </row>
    <row r="1157" spans="1:12" x14ac:dyDescent="0.3">
      <c r="A1157" s="3">
        <v>1156</v>
      </c>
      <c r="B1157" s="3" t="s">
        <v>853</v>
      </c>
      <c r="C1157" s="3" t="s">
        <v>1016</v>
      </c>
      <c r="D1157" s="3" t="s">
        <v>1017</v>
      </c>
      <c r="E1157" s="9">
        <v>6000</v>
      </c>
      <c r="L1157" s="12"/>
    </row>
    <row r="1158" spans="1:12" x14ac:dyDescent="0.3">
      <c r="A1158" s="3">
        <v>1157</v>
      </c>
      <c r="B1158" s="3" t="s">
        <v>853</v>
      </c>
      <c r="C1158" s="3" t="s">
        <v>1018</v>
      </c>
      <c r="D1158" s="3" t="s">
        <v>1019</v>
      </c>
      <c r="E1158" s="9">
        <v>7600</v>
      </c>
      <c r="L1158" s="12"/>
    </row>
    <row r="1159" spans="1:12" x14ac:dyDescent="0.3">
      <c r="A1159" s="3">
        <v>1158</v>
      </c>
      <c r="B1159" s="3" t="s">
        <v>853</v>
      </c>
      <c r="C1159" s="3" t="s">
        <v>1020</v>
      </c>
      <c r="D1159" s="3" t="s">
        <v>1021</v>
      </c>
      <c r="E1159" s="9">
        <v>5000</v>
      </c>
      <c r="L1159" s="12"/>
    </row>
    <row r="1160" spans="1:12" x14ac:dyDescent="0.3">
      <c r="A1160" s="3">
        <v>1159</v>
      </c>
      <c r="B1160" s="3" t="s">
        <v>853</v>
      </c>
      <c r="C1160" s="3" t="s">
        <v>1091</v>
      </c>
      <c r="D1160" s="3" t="s">
        <v>1092</v>
      </c>
      <c r="E1160" s="9">
        <v>6500</v>
      </c>
      <c r="L1160" s="12"/>
    </row>
    <row r="1161" spans="1:12" x14ac:dyDescent="0.3">
      <c r="A1161" s="3">
        <v>1160</v>
      </c>
      <c r="B1161" s="3" t="s">
        <v>853</v>
      </c>
      <c r="C1161" s="3" t="s">
        <v>1093</v>
      </c>
      <c r="D1161" s="3" t="s">
        <v>1094</v>
      </c>
      <c r="E1161" s="9">
        <v>9000</v>
      </c>
      <c r="L1161" s="12"/>
    </row>
    <row r="1162" spans="1:12" x14ac:dyDescent="0.3">
      <c r="A1162" s="3">
        <v>1161</v>
      </c>
      <c r="B1162" s="3" t="s">
        <v>853</v>
      </c>
      <c r="C1162" s="3" t="s">
        <v>1095</v>
      </c>
      <c r="D1162" s="3" t="s">
        <v>1096</v>
      </c>
      <c r="E1162" s="9">
        <v>2500</v>
      </c>
      <c r="L1162" s="12"/>
    </row>
    <row r="1163" spans="1:12" x14ac:dyDescent="0.3">
      <c r="A1163" s="3">
        <v>1162</v>
      </c>
      <c r="B1163" s="3" t="s">
        <v>853</v>
      </c>
      <c r="C1163" s="3" t="s">
        <v>1022</v>
      </c>
      <c r="D1163" s="3" t="s">
        <v>1023</v>
      </c>
      <c r="E1163" s="9">
        <v>6000</v>
      </c>
      <c r="L1163" s="12"/>
    </row>
    <row r="1164" spans="1:12" x14ac:dyDescent="0.3">
      <c r="A1164" s="3">
        <v>1163</v>
      </c>
      <c r="B1164" s="3" t="s">
        <v>853</v>
      </c>
      <c r="C1164" s="3" t="s">
        <v>1024</v>
      </c>
      <c r="D1164" s="3" t="s">
        <v>1025</v>
      </c>
      <c r="E1164" s="9">
        <v>5000</v>
      </c>
      <c r="L1164" s="12"/>
    </row>
    <row r="1165" spans="1:12" x14ac:dyDescent="0.3">
      <c r="A1165" s="3">
        <v>1164</v>
      </c>
      <c r="B1165" s="3" t="s">
        <v>858</v>
      </c>
      <c r="C1165" s="3" t="s">
        <v>1039</v>
      </c>
      <c r="D1165" s="3" t="s">
        <v>1040</v>
      </c>
      <c r="E1165" s="9">
        <v>4500</v>
      </c>
      <c r="L1165" s="12"/>
    </row>
    <row r="1166" spans="1:12" x14ac:dyDescent="0.3">
      <c r="A1166" s="3">
        <v>1165</v>
      </c>
      <c r="B1166" s="3" t="s">
        <v>858</v>
      </c>
      <c r="C1166" s="3" t="s">
        <v>1041</v>
      </c>
      <c r="D1166" s="3" t="s">
        <v>1042</v>
      </c>
      <c r="E1166" s="9">
        <v>3000</v>
      </c>
      <c r="L1166" s="12"/>
    </row>
    <row r="1167" spans="1:12" x14ac:dyDescent="0.3">
      <c r="A1167" s="3">
        <v>1166</v>
      </c>
      <c r="B1167" s="3" t="s">
        <v>858</v>
      </c>
      <c r="C1167" s="3" t="s">
        <v>1043</v>
      </c>
      <c r="D1167" s="3" t="s">
        <v>1044</v>
      </c>
      <c r="E1167" s="9">
        <v>2000</v>
      </c>
      <c r="L1167" s="12"/>
    </row>
    <row r="1168" spans="1:12" x14ac:dyDescent="0.3">
      <c r="A1168" s="3">
        <v>1167</v>
      </c>
      <c r="B1168" s="3" t="s">
        <v>858</v>
      </c>
      <c r="C1168" s="3" t="s">
        <v>1058</v>
      </c>
      <c r="D1168" s="3" t="s">
        <v>1059</v>
      </c>
      <c r="E1168" s="9">
        <v>500</v>
      </c>
      <c r="L1168" s="12"/>
    </row>
    <row r="1169" spans="1:12" x14ac:dyDescent="0.3">
      <c r="A1169" s="3">
        <v>1168</v>
      </c>
      <c r="B1169" s="3" t="s">
        <v>858</v>
      </c>
      <c r="C1169" s="3" t="s">
        <v>1045</v>
      </c>
      <c r="D1169" s="3" t="s">
        <v>1046</v>
      </c>
      <c r="E1169" s="9">
        <v>700</v>
      </c>
      <c r="L1169" s="12"/>
    </row>
    <row r="1170" spans="1:12" x14ac:dyDescent="0.3">
      <c r="A1170" s="3">
        <v>1169</v>
      </c>
      <c r="B1170" s="3" t="s">
        <v>858</v>
      </c>
      <c r="C1170" s="3" t="s">
        <v>1047</v>
      </c>
      <c r="D1170" s="3" t="s">
        <v>1048</v>
      </c>
      <c r="E1170" s="9">
        <v>700</v>
      </c>
      <c r="L1170" s="12"/>
    </row>
    <row r="1171" spans="1:12" x14ac:dyDescent="0.3">
      <c r="A1171" s="3">
        <v>1170</v>
      </c>
      <c r="B1171" s="3" t="s">
        <v>858</v>
      </c>
      <c r="C1171" s="3" t="s">
        <v>1060</v>
      </c>
      <c r="D1171" s="3" t="s">
        <v>1061</v>
      </c>
      <c r="E1171" s="9">
        <v>2500</v>
      </c>
      <c r="L1171" s="12"/>
    </row>
    <row r="1172" spans="1:12" x14ac:dyDescent="0.3">
      <c r="A1172" s="3">
        <v>1171</v>
      </c>
      <c r="B1172" s="3" t="s">
        <v>858</v>
      </c>
      <c r="C1172" s="3" t="s">
        <v>1062</v>
      </c>
      <c r="D1172" s="3" t="s">
        <v>1063</v>
      </c>
      <c r="E1172" s="9">
        <v>3500</v>
      </c>
      <c r="L1172" s="12"/>
    </row>
    <row r="1173" spans="1:12" x14ac:dyDescent="0.3">
      <c r="A1173" s="3">
        <v>1172</v>
      </c>
      <c r="B1173" s="3" t="s">
        <v>863</v>
      </c>
      <c r="C1173" s="3" t="s">
        <v>1014</v>
      </c>
      <c r="D1173" s="3" t="s">
        <v>1015</v>
      </c>
      <c r="E1173" s="9">
        <v>4500</v>
      </c>
      <c r="L1173" s="12"/>
    </row>
    <row r="1174" spans="1:12" x14ac:dyDescent="0.3">
      <c r="A1174" s="3">
        <v>1173</v>
      </c>
      <c r="B1174" s="3" t="s">
        <v>863</v>
      </c>
      <c r="C1174" s="3" t="s">
        <v>1016</v>
      </c>
      <c r="D1174" s="3" t="s">
        <v>1017</v>
      </c>
      <c r="E1174" s="9">
        <v>6000</v>
      </c>
      <c r="L1174" s="12"/>
    </row>
    <row r="1175" spans="1:12" x14ac:dyDescent="0.3">
      <c r="A1175" s="3">
        <v>1174</v>
      </c>
      <c r="B1175" s="3" t="s">
        <v>863</v>
      </c>
      <c r="C1175" s="3" t="s">
        <v>1018</v>
      </c>
      <c r="D1175" s="3" t="s">
        <v>1019</v>
      </c>
      <c r="E1175" s="9">
        <v>7600</v>
      </c>
      <c r="L1175" s="12"/>
    </row>
    <row r="1176" spans="1:12" x14ac:dyDescent="0.3">
      <c r="A1176" s="3">
        <v>1175</v>
      </c>
      <c r="B1176" s="3" t="s">
        <v>863</v>
      </c>
      <c r="C1176" s="3" t="s">
        <v>1020</v>
      </c>
      <c r="D1176" s="3" t="s">
        <v>1021</v>
      </c>
      <c r="E1176" s="9">
        <v>5000</v>
      </c>
      <c r="L1176" s="12"/>
    </row>
    <row r="1177" spans="1:12" x14ac:dyDescent="0.3">
      <c r="A1177" s="3">
        <v>1176</v>
      </c>
      <c r="B1177" s="3" t="s">
        <v>863</v>
      </c>
      <c r="C1177" s="3" t="s">
        <v>1091</v>
      </c>
      <c r="D1177" s="3" t="s">
        <v>1092</v>
      </c>
      <c r="E1177" s="9">
        <v>6500</v>
      </c>
      <c r="L1177" s="12"/>
    </row>
    <row r="1178" spans="1:12" x14ac:dyDescent="0.3">
      <c r="A1178" s="3">
        <v>1177</v>
      </c>
      <c r="B1178" s="3" t="s">
        <v>863</v>
      </c>
      <c r="C1178" s="3" t="s">
        <v>1093</v>
      </c>
      <c r="D1178" s="3" t="s">
        <v>1094</v>
      </c>
      <c r="E1178" s="9">
        <v>9000</v>
      </c>
      <c r="L1178" s="12"/>
    </row>
    <row r="1179" spans="1:12" x14ac:dyDescent="0.3">
      <c r="A1179" s="3">
        <v>1178</v>
      </c>
      <c r="B1179" s="3" t="s">
        <v>863</v>
      </c>
      <c r="C1179" s="3" t="s">
        <v>1095</v>
      </c>
      <c r="D1179" s="3" t="s">
        <v>1096</v>
      </c>
      <c r="E1179" s="9">
        <v>2500</v>
      </c>
      <c r="L1179" s="12"/>
    </row>
    <row r="1180" spans="1:12" x14ac:dyDescent="0.3">
      <c r="A1180" s="3">
        <v>1179</v>
      </c>
      <c r="B1180" s="3" t="s">
        <v>863</v>
      </c>
      <c r="C1180" s="3" t="s">
        <v>1022</v>
      </c>
      <c r="D1180" s="3" t="s">
        <v>1023</v>
      </c>
      <c r="E1180" s="9">
        <v>6000</v>
      </c>
      <c r="L1180" s="12"/>
    </row>
    <row r="1181" spans="1:12" x14ac:dyDescent="0.3">
      <c r="A1181" s="3">
        <v>1180</v>
      </c>
      <c r="B1181" s="3" t="s">
        <v>863</v>
      </c>
      <c r="C1181" s="3" t="s">
        <v>1024</v>
      </c>
      <c r="D1181" s="3" t="s">
        <v>1025</v>
      </c>
      <c r="E1181" s="9">
        <v>5000</v>
      </c>
      <c r="L1181" s="12"/>
    </row>
    <row r="1182" spans="1:12" x14ac:dyDescent="0.3">
      <c r="A1182" s="3">
        <v>1181</v>
      </c>
      <c r="B1182" s="3" t="s">
        <v>868</v>
      </c>
      <c r="C1182" s="3" t="s">
        <v>992</v>
      </c>
      <c r="D1182" s="3" t="s">
        <v>993</v>
      </c>
      <c r="E1182" s="9">
        <v>5000</v>
      </c>
      <c r="L1182" s="12"/>
    </row>
    <row r="1183" spans="1:12" x14ac:dyDescent="0.3">
      <c r="A1183" s="3">
        <v>1182</v>
      </c>
      <c r="B1183" s="3" t="s">
        <v>868</v>
      </c>
      <c r="C1183" s="3" t="s">
        <v>994</v>
      </c>
      <c r="D1183" s="3" t="s">
        <v>995</v>
      </c>
      <c r="E1183" s="9">
        <v>6000</v>
      </c>
      <c r="L1183" s="12"/>
    </row>
    <row r="1184" spans="1:12" x14ac:dyDescent="0.3">
      <c r="A1184" s="3">
        <v>1183</v>
      </c>
      <c r="B1184" s="3" t="s">
        <v>868</v>
      </c>
      <c r="C1184" s="3" t="s">
        <v>996</v>
      </c>
      <c r="D1184" s="3" t="s">
        <v>997</v>
      </c>
      <c r="E1184" s="9">
        <v>5500</v>
      </c>
      <c r="L1184" s="12"/>
    </row>
    <row r="1185" spans="1:12" x14ac:dyDescent="0.3">
      <c r="A1185" s="3">
        <v>1184</v>
      </c>
      <c r="B1185" s="3" t="s">
        <v>868</v>
      </c>
      <c r="C1185" s="3" t="s">
        <v>998</v>
      </c>
      <c r="D1185" s="3" t="s">
        <v>999</v>
      </c>
      <c r="E1185" s="9">
        <v>6000</v>
      </c>
      <c r="L1185" s="12"/>
    </row>
    <row r="1186" spans="1:12" x14ac:dyDescent="0.3">
      <c r="A1186" s="3">
        <v>1185</v>
      </c>
      <c r="B1186" s="3" t="s">
        <v>868</v>
      </c>
      <c r="C1186" s="3" t="s">
        <v>1000</v>
      </c>
      <c r="D1186" s="3" t="s">
        <v>1001</v>
      </c>
      <c r="E1186" s="9">
        <v>4500</v>
      </c>
      <c r="L1186" s="12"/>
    </row>
    <row r="1187" spans="1:12" x14ac:dyDescent="0.3">
      <c r="A1187" s="3">
        <v>1186</v>
      </c>
      <c r="B1187" s="3" t="s">
        <v>868</v>
      </c>
      <c r="C1187" s="3" t="s">
        <v>1002</v>
      </c>
      <c r="D1187" s="3" t="s">
        <v>1003</v>
      </c>
      <c r="E1187" s="9">
        <v>4000</v>
      </c>
      <c r="L1187" s="12"/>
    </row>
    <row r="1188" spans="1:12" x14ac:dyDescent="0.3">
      <c r="A1188" s="3">
        <v>1187</v>
      </c>
      <c r="B1188" s="3" t="s">
        <v>868</v>
      </c>
      <c r="C1188" s="3" t="s">
        <v>1004</v>
      </c>
      <c r="D1188" s="3" t="s">
        <v>1005</v>
      </c>
      <c r="E1188" s="9">
        <v>3000</v>
      </c>
      <c r="L1188" s="12"/>
    </row>
    <row r="1189" spans="1:12" x14ac:dyDescent="0.3">
      <c r="A1189" s="3">
        <v>1188</v>
      </c>
      <c r="B1189" s="3" t="s">
        <v>868</v>
      </c>
      <c r="C1189" s="3" t="s">
        <v>1006</v>
      </c>
      <c r="D1189" s="3" t="s">
        <v>1007</v>
      </c>
      <c r="E1189" s="9">
        <v>2500</v>
      </c>
      <c r="L1189" s="12"/>
    </row>
    <row r="1190" spans="1:12" x14ac:dyDescent="0.3">
      <c r="A1190" s="3">
        <v>1189</v>
      </c>
      <c r="B1190" s="3" t="s">
        <v>868</v>
      </c>
      <c r="C1190" s="3" t="s">
        <v>1008</v>
      </c>
      <c r="D1190" s="3" t="s">
        <v>1009</v>
      </c>
      <c r="E1190" s="9">
        <v>8000</v>
      </c>
      <c r="L1190" s="12"/>
    </row>
    <row r="1191" spans="1:12" x14ac:dyDescent="0.3">
      <c r="A1191" s="3">
        <v>1190</v>
      </c>
      <c r="B1191" s="3" t="s">
        <v>868</v>
      </c>
      <c r="C1191" s="3" t="s">
        <v>1056</v>
      </c>
      <c r="D1191" s="3" t="s">
        <v>1057</v>
      </c>
      <c r="E1191" s="9">
        <v>9000</v>
      </c>
      <c r="L1191" s="12"/>
    </row>
    <row r="1192" spans="1:12" x14ac:dyDescent="0.3">
      <c r="A1192" s="3">
        <v>1191</v>
      </c>
      <c r="B1192" s="3" t="s">
        <v>868</v>
      </c>
      <c r="C1192" s="3" t="s">
        <v>1010</v>
      </c>
      <c r="D1192" s="3" t="s">
        <v>1011</v>
      </c>
      <c r="E1192" s="9">
        <v>8000</v>
      </c>
      <c r="L1192" s="12"/>
    </row>
    <row r="1193" spans="1:12" x14ac:dyDescent="0.3">
      <c r="A1193" s="3">
        <v>1192</v>
      </c>
      <c r="B1193" s="3" t="s">
        <v>868</v>
      </c>
      <c r="C1193" s="3" t="s">
        <v>1012</v>
      </c>
      <c r="D1193" s="3" t="s">
        <v>1013</v>
      </c>
      <c r="E1193" s="9">
        <v>6000</v>
      </c>
      <c r="L1193" s="12"/>
    </row>
    <row r="1194" spans="1:12" x14ac:dyDescent="0.3">
      <c r="A1194" s="3">
        <v>1193</v>
      </c>
      <c r="B1194" s="3" t="s">
        <v>873</v>
      </c>
      <c r="C1194" s="3" t="s">
        <v>966</v>
      </c>
      <c r="D1194" s="3" t="s">
        <v>967</v>
      </c>
      <c r="E1194" s="9">
        <v>18000</v>
      </c>
      <c r="L1194" s="12"/>
    </row>
    <row r="1195" spans="1:12" x14ac:dyDescent="0.3">
      <c r="A1195" s="3">
        <v>1194</v>
      </c>
      <c r="B1195" s="3" t="s">
        <v>873</v>
      </c>
      <c r="C1195" s="3" t="s">
        <v>968</v>
      </c>
      <c r="D1195" s="3" t="s">
        <v>969</v>
      </c>
      <c r="E1195" s="9">
        <v>4500</v>
      </c>
      <c r="L1195" s="12"/>
    </row>
    <row r="1196" spans="1:12" x14ac:dyDescent="0.3">
      <c r="A1196" s="3">
        <v>1195</v>
      </c>
      <c r="B1196" s="3" t="s">
        <v>873</v>
      </c>
      <c r="C1196" s="3" t="s">
        <v>970</v>
      </c>
      <c r="D1196" s="3" t="s">
        <v>971</v>
      </c>
      <c r="E1196" s="9">
        <v>16000</v>
      </c>
      <c r="L1196" s="12"/>
    </row>
    <row r="1197" spans="1:12" x14ac:dyDescent="0.3">
      <c r="A1197" s="3">
        <v>1196</v>
      </c>
      <c r="B1197" s="3" t="s">
        <v>873</v>
      </c>
      <c r="C1197" s="3" t="s">
        <v>972</v>
      </c>
      <c r="D1197" s="3" t="s">
        <v>973</v>
      </c>
      <c r="E1197" s="9">
        <v>9000</v>
      </c>
      <c r="L1197" s="12"/>
    </row>
    <row r="1198" spans="1:12" x14ac:dyDescent="0.3">
      <c r="A1198" s="3">
        <v>1197</v>
      </c>
      <c r="B1198" s="3" t="s">
        <v>873</v>
      </c>
      <c r="C1198" s="3" t="s">
        <v>974</v>
      </c>
      <c r="D1198" s="3" t="s">
        <v>975</v>
      </c>
      <c r="E1198" s="9">
        <v>2500</v>
      </c>
      <c r="L1198" s="12"/>
    </row>
    <row r="1199" spans="1:12" x14ac:dyDescent="0.3">
      <c r="A1199" s="3">
        <v>1198</v>
      </c>
      <c r="B1199" s="3" t="s">
        <v>873</v>
      </c>
      <c r="C1199" s="3" t="s">
        <v>976</v>
      </c>
      <c r="D1199" s="3" t="s">
        <v>977</v>
      </c>
      <c r="E1199" s="9">
        <v>5000</v>
      </c>
      <c r="L1199" s="12"/>
    </row>
    <row r="1200" spans="1:12" x14ac:dyDescent="0.3">
      <c r="A1200" s="3">
        <v>1199</v>
      </c>
      <c r="B1200" s="3" t="s">
        <v>873</v>
      </c>
      <c r="C1200" s="3" t="s">
        <v>978</v>
      </c>
      <c r="D1200" s="3" t="s">
        <v>979</v>
      </c>
      <c r="E1200" s="9">
        <v>15000</v>
      </c>
      <c r="L1200" s="12"/>
    </row>
    <row r="1201" spans="1:12" x14ac:dyDescent="0.3">
      <c r="A1201" s="3">
        <v>1200</v>
      </c>
      <c r="B1201" s="3" t="s">
        <v>873</v>
      </c>
      <c r="C1201" s="3" t="s">
        <v>980</v>
      </c>
      <c r="D1201" s="3" t="s">
        <v>981</v>
      </c>
      <c r="E1201" s="9">
        <v>9000</v>
      </c>
      <c r="L1201" s="12"/>
    </row>
    <row r="1202" spans="1:12" x14ac:dyDescent="0.3">
      <c r="A1202" s="3">
        <v>1201</v>
      </c>
      <c r="B1202" s="3" t="s">
        <v>873</v>
      </c>
      <c r="C1202" s="3" t="s">
        <v>1049</v>
      </c>
      <c r="D1202" s="3" t="s">
        <v>1050</v>
      </c>
      <c r="E1202" s="9">
        <v>7000</v>
      </c>
      <c r="L1202" s="12"/>
    </row>
    <row r="1203" spans="1:12" x14ac:dyDescent="0.3">
      <c r="A1203" s="3">
        <v>1202</v>
      </c>
      <c r="B1203" s="3" t="s">
        <v>873</v>
      </c>
      <c r="C1203" s="3" t="s">
        <v>1051</v>
      </c>
      <c r="D1203" s="3" t="s">
        <v>1052</v>
      </c>
      <c r="E1203" s="9">
        <v>12000</v>
      </c>
      <c r="L1203" s="12"/>
    </row>
    <row r="1204" spans="1:12" x14ac:dyDescent="0.3">
      <c r="A1204" s="3">
        <v>1203</v>
      </c>
      <c r="B1204" s="3" t="s">
        <v>878</v>
      </c>
      <c r="C1204" s="3" t="s">
        <v>1014</v>
      </c>
      <c r="D1204" s="3" t="s">
        <v>1015</v>
      </c>
      <c r="E1204" s="9">
        <v>4500</v>
      </c>
      <c r="L1204" s="12"/>
    </row>
    <row r="1205" spans="1:12" x14ac:dyDescent="0.3">
      <c r="A1205" s="3">
        <v>1204</v>
      </c>
      <c r="B1205" s="3" t="s">
        <v>878</v>
      </c>
      <c r="C1205" s="3" t="s">
        <v>1016</v>
      </c>
      <c r="D1205" s="3" t="s">
        <v>1017</v>
      </c>
      <c r="E1205" s="9">
        <v>6000</v>
      </c>
      <c r="L1205" s="12"/>
    </row>
    <row r="1206" spans="1:12" x14ac:dyDescent="0.3">
      <c r="A1206" s="3">
        <v>1205</v>
      </c>
      <c r="B1206" s="3" t="s">
        <v>878</v>
      </c>
      <c r="C1206" s="3" t="s">
        <v>1018</v>
      </c>
      <c r="D1206" s="3" t="s">
        <v>1019</v>
      </c>
      <c r="E1206" s="9">
        <v>7600</v>
      </c>
      <c r="L1206" s="12"/>
    </row>
    <row r="1207" spans="1:12" x14ac:dyDescent="0.3">
      <c r="A1207" s="3">
        <v>1206</v>
      </c>
      <c r="B1207" s="3" t="s">
        <v>878</v>
      </c>
      <c r="C1207" s="3" t="s">
        <v>1020</v>
      </c>
      <c r="D1207" s="3" t="s">
        <v>1021</v>
      </c>
      <c r="E1207" s="9">
        <v>5000</v>
      </c>
      <c r="L1207" s="12"/>
    </row>
    <row r="1208" spans="1:12" x14ac:dyDescent="0.3">
      <c r="A1208" s="3">
        <v>1207</v>
      </c>
      <c r="B1208" s="3" t="s">
        <v>878</v>
      </c>
      <c r="C1208" s="3" t="s">
        <v>1091</v>
      </c>
      <c r="D1208" s="3" t="s">
        <v>1092</v>
      </c>
      <c r="E1208" s="9">
        <v>6500</v>
      </c>
      <c r="L1208" s="12"/>
    </row>
    <row r="1209" spans="1:12" x14ac:dyDescent="0.3">
      <c r="A1209" s="3">
        <v>1208</v>
      </c>
      <c r="B1209" s="3" t="s">
        <v>878</v>
      </c>
      <c r="C1209" s="3" t="s">
        <v>1093</v>
      </c>
      <c r="D1209" s="3" t="s">
        <v>1094</v>
      </c>
      <c r="E1209" s="9">
        <v>9000</v>
      </c>
      <c r="L1209" s="12"/>
    </row>
    <row r="1210" spans="1:12" x14ac:dyDescent="0.3">
      <c r="A1210" s="3">
        <v>1209</v>
      </c>
      <c r="B1210" s="3" t="s">
        <v>878</v>
      </c>
      <c r="C1210" s="3" t="s">
        <v>1095</v>
      </c>
      <c r="D1210" s="3" t="s">
        <v>1096</v>
      </c>
      <c r="E1210" s="9">
        <v>2500</v>
      </c>
      <c r="L1210" s="12"/>
    </row>
    <row r="1211" spans="1:12" x14ac:dyDescent="0.3">
      <c r="A1211" s="3">
        <v>1210</v>
      </c>
      <c r="B1211" s="3" t="s">
        <v>878</v>
      </c>
      <c r="C1211" s="3" t="s">
        <v>1022</v>
      </c>
      <c r="D1211" s="3" t="s">
        <v>1023</v>
      </c>
      <c r="E1211" s="9">
        <v>6000</v>
      </c>
      <c r="L1211" s="12"/>
    </row>
    <row r="1212" spans="1:12" x14ac:dyDescent="0.3">
      <c r="A1212" s="3">
        <v>1211</v>
      </c>
      <c r="B1212" s="3" t="s">
        <v>878</v>
      </c>
      <c r="C1212" s="3" t="s">
        <v>1024</v>
      </c>
      <c r="D1212" s="3" t="s">
        <v>1025</v>
      </c>
      <c r="E1212" s="9">
        <v>5000</v>
      </c>
      <c r="L1212" s="12"/>
    </row>
    <row r="1213" spans="1:12" x14ac:dyDescent="0.3">
      <c r="A1213" s="3">
        <v>1212</v>
      </c>
      <c r="B1213" s="3" t="s">
        <v>883</v>
      </c>
      <c r="C1213" s="3" t="s">
        <v>992</v>
      </c>
      <c r="D1213" s="3" t="s">
        <v>993</v>
      </c>
      <c r="E1213" s="9">
        <v>5000</v>
      </c>
      <c r="L1213" s="12"/>
    </row>
    <row r="1214" spans="1:12" x14ac:dyDescent="0.3">
      <c r="A1214" s="3">
        <v>1213</v>
      </c>
      <c r="B1214" s="3" t="s">
        <v>883</v>
      </c>
      <c r="C1214" s="3" t="s">
        <v>994</v>
      </c>
      <c r="D1214" s="3" t="s">
        <v>995</v>
      </c>
      <c r="E1214" s="9">
        <v>6000</v>
      </c>
      <c r="L1214" s="12"/>
    </row>
    <row r="1215" spans="1:12" x14ac:dyDescent="0.3">
      <c r="A1215" s="3">
        <v>1214</v>
      </c>
      <c r="B1215" s="3" t="s">
        <v>883</v>
      </c>
      <c r="C1215" s="3" t="s">
        <v>996</v>
      </c>
      <c r="D1215" s="3" t="s">
        <v>997</v>
      </c>
      <c r="E1215" s="9">
        <v>5500</v>
      </c>
      <c r="L1215" s="12"/>
    </row>
    <row r="1216" spans="1:12" x14ac:dyDescent="0.3">
      <c r="A1216" s="3">
        <v>1215</v>
      </c>
      <c r="B1216" s="3" t="s">
        <v>883</v>
      </c>
      <c r="C1216" s="3" t="s">
        <v>998</v>
      </c>
      <c r="D1216" s="3" t="s">
        <v>999</v>
      </c>
      <c r="E1216" s="9">
        <v>6000</v>
      </c>
      <c r="L1216" s="12"/>
    </row>
    <row r="1217" spans="1:12" x14ac:dyDescent="0.3">
      <c r="A1217" s="3">
        <v>1216</v>
      </c>
      <c r="B1217" s="3" t="s">
        <v>883</v>
      </c>
      <c r="C1217" s="3" t="s">
        <v>1000</v>
      </c>
      <c r="D1217" s="3" t="s">
        <v>1001</v>
      </c>
      <c r="E1217" s="9">
        <v>4500</v>
      </c>
      <c r="L1217" s="12"/>
    </row>
    <row r="1218" spans="1:12" x14ac:dyDescent="0.3">
      <c r="A1218" s="3">
        <v>1217</v>
      </c>
      <c r="B1218" s="3" t="s">
        <v>883</v>
      </c>
      <c r="C1218" s="3" t="s">
        <v>1002</v>
      </c>
      <c r="D1218" s="3" t="s">
        <v>1003</v>
      </c>
      <c r="E1218" s="9">
        <v>4000</v>
      </c>
      <c r="L1218" s="12"/>
    </row>
    <row r="1219" spans="1:12" x14ac:dyDescent="0.3">
      <c r="A1219" s="3">
        <v>1218</v>
      </c>
      <c r="B1219" s="3" t="s">
        <v>883</v>
      </c>
      <c r="C1219" s="3" t="s">
        <v>1004</v>
      </c>
      <c r="D1219" s="3" t="s">
        <v>1005</v>
      </c>
      <c r="E1219" s="9">
        <v>3000</v>
      </c>
      <c r="L1219" s="12"/>
    </row>
    <row r="1220" spans="1:12" x14ac:dyDescent="0.3">
      <c r="A1220" s="3">
        <v>1219</v>
      </c>
      <c r="B1220" s="3" t="s">
        <v>883</v>
      </c>
      <c r="C1220" s="3" t="s">
        <v>1006</v>
      </c>
      <c r="D1220" s="3" t="s">
        <v>1007</v>
      </c>
      <c r="E1220" s="9">
        <v>2500</v>
      </c>
      <c r="L1220" s="12"/>
    </row>
    <row r="1221" spans="1:12" x14ac:dyDescent="0.3">
      <c r="A1221" s="3">
        <v>1220</v>
      </c>
      <c r="B1221" s="3" t="s">
        <v>883</v>
      </c>
      <c r="C1221" s="3" t="s">
        <v>1008</v>
      </c>
      <c r="D1221" s="3" t="s">
        <v>1009</v>
      </c>
      <c r="E1221" s="9">
        <v>8000</v>
      </c>
      <c r="L1221" s="12"/>
    </row>
    <row r="1222" spans="1:12" x14ac:dyDescent="0.3">
      <c r="A1222" s="3">
        <v>1221</v>
      </c>
      <c r="B1222" s="3" t="s">
        <v>883</v>
      </c>
      <c r="C1222" s="3" t="s">
        <v>1056</v>
      </c>
      <c r="D1222" s="3" t="s">
        <v>1057</v>
      </c>
      <c r="E1222" s="9">
        <v>9000</v>
      </c>
      <c r="L1222" s="12"/>
    </row>
    <row r="1223" spans="1:12" x14ac:dyDescent="0.3">
      <c r="A1223" s="3">
        <v>1222</v>
      </c>
      <c r="B1223" s="3" t="s">
        <v>883</v>
      </c>
      <c r="C1223" s="3" t="s">
        <v>1010</v>
      </c>
      <c r="D1223" s="3" t="s">
        <v>1011</v>
      </c>
      <c r="E1223" s="9">
        <v>8000</v>
      </c>
      <c r="L1223" s="12"/>
    </row>
    <row r="1224" spans="1:12" x14ac:dyDescent="0.3">
      <c r="A1224" s="3">
        <v>1223</v>
      </c>
      <c r="B1224" s="3" t="s">
        <v>883</v>
      </c>
      <c r="C1224" s="3" t="s">
        <v>1012</v>
      </c>
      <c r="D1224" s="3" t="s">
        <v>1013</v>
      </c>
      <c r="E1224" s="9">
        <v>6000</v>
      </c>
      <c r="L1224" s="12"/>
    </row>
    <row r="1225" spans="1:12" x14ac:dyDescent="0.3">
      <c r="A1225" s="3">
        <v>1224</v>
      </c>
      <c r="B1225" s="3" t="s">
        <v>888</v>
      </c>
      <c r="C1225" s="3" t="s">
        <v>992</v>
      </c>
      <c r="D1225" s="3" t="s">
        <v>993</v>
      </c>
      <c r="E1225" s="9">
        <v>5000</v>
      </c>
      <c r="L1225" s="12"/>
    </row>
    <row r="1226" spans="1:12" x14ac:dyDescent="0.3">
      <c r="A1226" s="3">
        <v>1225</v>
      </c>
      <c r="B1226" s="3" t="s">
        <v>888</v>
      </c>
      <c r="C1226" s="3" t="s">
        <v>994</v>
      </c>
      <c r="D1226" s="3" t="s">
        <v>995</v>
      </c>
      <c r="E1226" s="9">
        <v>6000</v>
      </c>
      <c r="L1226" s="12"/>
    </row>
    <row r="1227" spans="1:12" x14ac:dyDescent="0.3">
      <c r="A1227" s="3">
        <v>1226</v>
      </c>
      <c r="B1227" s="3" t="s">
        <v>888</v>
      </c>
      <c r="C1227" s="3" t="s">
        <v>996</v>
      </c>
      <c r="D1227" s="3" t="s">
        <v>997</v>
      </c>
      <c r="E1227" s="9">
        <v>5500</v>
      </c>
      <c r="L1227" s="12"/>
    </row>
    <row r="1228" spans="1:12" x14ac:dyDescent="0.3">
      <c r="A1228" s="3">
        <v>1227</v>
      </c>
      <c r="B1228" s="3" t="s">
        <v>888</v>
      </c>
      <c r="C1228" s="3" t="s">
        <v>998</v>
      </c>
      <c r="D1228" s="3" t="s">
        <v>999</v>
      </c>
      <c r="E1228" s="9">
        <v>6000</v>
      </c>
      <c r="L1228" s="12"/>
    </row>
    <row r="1229" spans="1:12" x14ac:dyDescent="0.3">
      <c r="A1229" s="3">
        <v>1228</v>
      </c>
      <c r="B1229" s="3" t="s">
        <v>888</v>
      </c>
      <c r="C1229" s="3" t="s">
        <v>1000</v>
      </c>
      <c r="D1229" s="3" t="s">
        <v>1001</v>
      </c>
      <c r="E1229" s="9">
        <v>4500</v>
      </c>
      <c r="L1229" s="12"/>
    </row>
    <row r="1230" spans="1:12" x14ac:dyDescent="0.3">
      <c r="A1230" s="3">
        <v>1229</v>
      </c>
      <c r="B1230" s="3" t="s">
        <v>888</v>
      </c>
      <c r="C1230" s="3" t="s">
        <v>1002</v>
      </c>
      <c r="D1230" s="3" t="s">
        <v>1003</v>
      </c>
      <c r="E1230" s="9">
        <v>4000</v>
      </c>
      <c r="L1230" s="12"/>
    </row>
    <row r="1231" spans="1:12" x14ac:dyDescent="0.3">
      <c r="A1231" s="3">
        <v>1230</v>
      </c>
      <c r="B1231" s="3" t="s">
        <v>888</v>
      </c>
      <c r="C1231" s="3" t="s">
        <v>1004</v>
      </c>
      <c r="D1231" s="3" t="s">
        <v>1005</v>
      </c>
      <c r="E1231" s="9">
        <v>3000</v>
      </c>
      <c r="L1231" s="12"/>
    </row>
    <row r="1232" spans="1:12" x14ac:dyDescent="0.3">
      <c r="A1232" s="3">
        <v>1231</v>
      </c>
      <c r="B1232" s="3" t="s">
        <v>888</v>
      </c>
      <c r="C1232" s="3" t="s">
        <v>1006</v>
      </c>
      <c r="D1232" s="3" t="s">
        <v>1007</v>
      </c>
      <c r="E1232" s="9">
        <v>2500</v>
      </c>
      <c r="L1232" s="12"/>
    </row>
    <row r="1233" spans="1:12" x14ac:dyDescent="0.3">
      <c r="A1233" s="3">
        <v>1232</v>
      </c>
      <c r="B1233" s="3" t="s">
        <v>888</v>
      </c>
      <c r="C1233" s="3" t="s">
        <v>1008</v>
      </c>
      <c r="D1233" s="3" t="s">
        <v>1009</v>
      </c>
      <c r="E1233" s="9">
        <v>8000</v>
      </c>
      <c r="L1233" s="12"/>
    </row>
    <row r="1234" spans="1:12" x14ac:dyDescent="0.3">
      <c r="A1234" s="3">
        <v>1233</v>
      </c>
      <c r="B1234" s="3" t="s">
        <v>888</v>
      </c>
      <c r="C1234" s="3" t="s">
        <v>1056</v>
      </c>
      <c r="D1234" s="3" t="s">
        <v>1057</v>
      </c>
      <c r="E1234" s="9">
        <v>9000</v>
      </c>
      <c r="L1234" s="12"/>
    </row>
    <row r="1235" spans="1:12" x14ac:dyDescent="0.3">
      <c r="A1235" s="3">
        <v>1234</v>
      </c>
      <c r="B1235" s="3" t="s">
        <v>888</v>
      </c>
      <c r="C1235" s="3" t="s">
        <v>1010</v>
      </c>
      <c r="D1235" s="3" t="s">
        <v>1011</v>
      </c>
      <c r="E1235" s="9">
        <v>8000</v>
      </c>
      <c r="L1235" s="12"/>
    </row>
    <row r="1236" spans="1:12" x14ac:dyDescent="0.3">
      <c r="A1236" s="3">
        <v>1235</v>
      </c>
      <c r="B1236" s="3" t="s">
        <v>888</v>
      </c>
      <c r="C1236" s="3" t="s">
        <v>1012</v>
      </c>
      <c r="D1236" s="3" t="s">
        <v>1013</v>
      </c>
      <c r="E1236" s="9">
        <v>6000</v>
      </c>
      <c r="L1236" s="12"/>
    </row>
    <row r="1237" spans="1:12" x14ac:dyDescent="0.3">
      <c r="A1237" s="3">
        <v>1236</v>
      </c>
      <c r="B1237" s="3" t="s">
        <v>893</v>
      </c>
      <c r="C1237" s="3" t="s">
        <v>992</v>
      </c>
      <c r="D1237" s="3" t="s">
        <v>993</v>
      </c>
      <c r="E1237" s="9">
        <v>5000</v>
      </c>
      <c r="L1237" s="12"/>
    </row>
    <row r="1238" spans="1:12" x14ac:dyDescent="0.3">
      <c r="A1238" s="3">
        <v>1237</v>
      </c>
      <c r="B1238" s="3" t="s">
        <v>893</v>
      </c>
      <c r="C1238" s="3" t="s">
        <v>994</v>
      </c>
      <c r="D1238" s="3" t="s">
        <v>995</v>
      </c>
      <c r="E1238" s="9">
        <v>6000</v>
      </c>
      <c r="L1238" s="12"/>
    </row>
    <row r="1239" spans="1:12" x14ac:dyDescent="0.3">
      <c r="A1239" s="3">
        <v>1238</v>
      </c>
      <c r="B1239" s="3" t="s">
        <v>893</v>
      </c>
      <c r="C1239" s="3" t="s">
        <v>996</v>
      </c>
      <c r="D1239" s="3" t="s">
        <v>997</v>
      </c>
      <c r="E1239" s="9">
        <v>5500</v>
      </c>
      <c r="L1239" s="12"/>
    </row>
    <row r="1240" spans="1:12" x14ac:dyDescent="0.3">
      <c r="A1240" s="3">
        <v>1239</v>
      </c>
      <c r="B1240" s="3" t="s">
        <v>893</v>
      </c>
      <c r="C1240" s="3" t="s">
        <v>998</v>
      </c>
      <c r="D1240" s="3" t="s">
        <v>999</v>
      </c>
      <c r="E1240" s="9">
        <v>6000</v>
      </c>
      <c r="L1240" s="12"/>
    </row>
    <row r="1241" spans="1:12" x14ac:dyDescent="0.3">
      <c r="A1241" s="3">
        <v>1240</v>
      </c>
      <c r="B1241" s="3" t="s">
        <v>893</v>
      </c>
      <c r="C1241" s="3" t="s">
        <v>1000</v>
      </c>
      <c r="D1241" s="3" t="s">
        <v>1001</v>
      </c>
      <c r="E1241" s="9">
        <v>4500</v>
      </c>
      <c r="L1241" s="12"/>
    </row>
    <row r="1242" spans="1:12" x14ac:dyDescent="0.3">
      <c r="A1242" s="3">
        <v>1241</v>
      </c>
      <c r="B1242" s="3" t="s">
        <v>893</v>
      </c>
      <c r="C1242" s="3" t="s">
        <v>1002</v>
      </c>
      <c r="D1242" s="3" t="s">
        <v>1003</v>
      </c>
      <c r="E1242" s="9">
        <v>4000</v>
      </c>
      <c r="L1242" s="12"/>
    </row>
    <row r="1243" spans="1:12" x14ac:dyDescent="0.3">
      <c r="A1243" s="3">
        <v>1242</v>
      </c>
      <c r="B1243" s="3" t="s">
        <v>893</v>
      </c>
      <c r="C1243" s="3" t="s">
        <v>1004</v>
      </c>
      <c r="D1243" s="3" t="s">
        <v>1005</v>
      </c>
      <c r="E1243" s="9">
        <v>3000</v>
      </c>
      <c r="L1243" s="12"/>
    </row>
    <row r="1244" spans="1:12" x14ac:dyDescent="0.3">
      <c r="A1244" s="3">
        <v>1243</v>
      </c>
      <c r="B1244" s="3" t="s">
        <v>893</v>
      </c>
      <c r="C1244" s="3" t="s">
        <v>1006</v>
      </c>
      <c r="D1244" s="3" t="s">
        <v>1007</v>
      </c>
      <c r="E1244" s="9">
        <v>2500</v>
      </c>
      <c r="L1244" s="12"/>
    </row>
    <row r="1245" spans="1:12" x14ac:dyDescent="0.3">
      <c r="A1245" s="3">
        <v>1244</v>
      </c>
      <c r="B1245" s="3" t="s">
        <v>893</v>
      </c>
      <c r="C1245" s="3" t="s">
        <v>1008</v>
      </c>
      <c r="D1245" s="3" t="s">
        <v>1009</v>
      </c>
      <c r="E1245" s="9">
        <v>8000</v>
      </c>
      <c r="L1245" s="12"/>
    </row>
    <row r="1246" spans="1:12" x14ac:dyDescent="0.3">
      <c r="A1246" s="3">
        <v>1245</v>
      </c>
      <c r="B1246" s="3" t="s">
        <v>893</v>
      </c>
      <c r="C1246" s="3" t="s">
        <v>1056</v>
      </c>
      <c r="D1246" s="3" t="s">
        <v>1057</v>
      </c>
      <c r="E1246" s="9">
        <v>9000</v>
      </c>
      <c r="L1246" s="12"/>
    </row>
    <row r="1247" spans="1:12" x14ac:dyDescent="0.3">
      <c r="A1247" s="3">
        <v>1246</v>
      </c>
      <c r="B1247" s="3" t="s">
        <v>893</v>
      </c>
      <c r="C1247" s="3" t="s">
        <v>1010</v>
      </c>
      <c r="D1247" s="3" t="s">
        <v>1011</v>
      </c>
      <c r="E1247" s="9">
        <v>8000</v>
      </c>
      <c r="L1247" s="12"/>
    </row>
    <row r="1248" spans="1:12" x14ac:dyDescent="0.3">
      <c r="A1248" s="3">
        <v>1247</v>
      </c>
      <c r="B1248" s="3" t="s">
        <v>893</v>
      </c>
      <c r="C1248" s="3" t="s">
        <v>1012</v>
      </c>
      <c r="D1248" s="3" t="s">
        <v>1013</v>
      </c>
      <c r="E1248" s="9">
        <v>6000</v>
      </c>
      <c r="L1248" s="12"/>
    </row>
    <row r="1249" spans="1:12" x14ac:dyDescent="0.3">
      <c r="A1249" s="3">
        <v>1248</v>
      </c>
      <c r="B1249" s="3" t="s">
        <v>898</v>
      </c>
      <c r="C1249" s="3" t="s">
        <v>992</v>
      </c>
      <c r="D1249" s="3" t="s">
        <v>993</v>
      </c>
      <c r="E1249" s="9">
        <v>5000</v>
      </c>
      <c r="L1249" s="12"/>
    </row>
    <row r="1250" spans="1:12" x14ac:dyDescent="0.3">
      <c r="A1250" s="3">
        <v>1249</v>
      </c>
      <c r="B1250" s="3" t="s">
        <v>898</v>
      </c>
      <c r="C1250" s="3" t="s">
        <v>994</v>
      </c>
      <c r="D1250" s="3" t="s">
        <v>995</v>
      </c>
      <c r="E1250" s="9">
        <v>6000</v>
      </c>
      <c r="L1250" s="12"/>
    </row>
    <row r="1251" spans="1:12" x14ac:dyDescent="0.3">
      <c r="A1251" s="3">
        <v>1250</v>
      </c>
      <c r="B1251" s="3" t="s">
        <v>898</v>
      </c>
      <c r="C1251" s="3" t="s">
        <v>996</v>
      </c>
      <c r="D1251" s="3" t="s">
        <v>997</v>
      </c>
      <c r="E1251" s="9">
        <v>5500</v>
      </c>
      <c r="L1251" s="12"/>
    </row>
    <row r="1252" spans="1:12" x14ac:dyDescent="0.3">
      <c r="A1252" s="3">
        <v>1251</v>
      </c>
      <c r="B1252" s="3" t="s">
        <v>898</v>
      </c>
      <c r="C1252" s="3" t="s">
        <v>998</v>
      </c>
      <c r="D1252" s="3" t="s">
        <v>999</v>
      </c>
      <c r="E1252" s="9">
        <v>6000</v>
      </c>
      <c r="L1252" s="12"/>
    </row>
    <row r="1253" spans="1:12" x14ac:dyDescent="0.3">
      <c r="A1253" s="3">
        <v>1252</v>
      </c>
      <c r="B1253" s="3" t="s">
        <v>898</v>
      </c>
      <c r="C1253" s="3" t="s">
        <v>1000</v>
      </c>
      <c r="D1253" s="3" t="s">
        <v>1001</v>
      </c>
      <c r="E1253" s="9">
        <v>4500</v>
      </c>
      <c r="L1253" s="12"/>
    </row>
    <row r="1254" spans="1:12" x14ac:dyDescent="0.3">
      <c r="A1254" s="3">
        <v>1253</v>
      </c>
      <c r="B1254" s="3" t="s">
        <v>898</v>
      </c>
      <c r="C1254" s="3" t="s">
        <v>1002</v>
      </c>
      <c r="D1254" s="3" t="s">
        <v>1003</v>
      </c>
      <c r="E1254" s="9">
        <v>4000</v>
      </c>
      <c r="L1254" s="12"/>
    </row>
    <row r="1255" spans="1:12" x14ac:dyDescent="0.3">
      <c r="A1255" s="3">
        <v>1254</v>
      </c>
      <c r="B1255" s="3" t="s">
        <v>898</v>
      </c>
      <c r="C1255" s="3" t="s">
        <v>1004</v>
      </c>
      <c r="D1255" s="3" t="s">
        <v>1005</v>
      </c>
      <c r="E1255" s="9">
        <v>3000</v>
      </c>
      <c r="L1255" s="12"/>
    </row>
    <row r="1256" spans="1:12" x14ac:dyDescent="0.3">
      <c r="A1256" s="3">
        <v>1255</v>
      </c>
      <c r="B1256" s="3" t="s">
        <v>898</v>
      </c>
      <c r="C1256" s="3" t="s">
        <v>1006</v>
      </c>
      <c r="D1256" s="3" t="s">
        <v>1007</v>
      </c>
      <c r="E1256" s="9">
        <v>2500</v>
      </c>
      <c r="L1256" s="12"/>
    </row>
    <row r="1257" spans="1:12" x14ac:dyDescent="0.3">
      <c r="A1257" s="3">
        <v>1256</v>
      </c>
      <c r="B1257" s="3" t="s">
        <v>898</v>
      </c>
      <c r="C1257" s="3" t="s">
        <v>1008</v>
      </c>
      <c r="D1257" s="3" t="s">
        <v>1009</v>
      </c>
      <c r="E1257" s="9">
        <v>8000</v>
      </c>
      <c r="L1257" s="12"/>
    </row>
    <row r="1258" spans="1:12" x14ac:dyDescent="0.3">
      <c r="A1258" s="3">
        <v>1257</v>
      </c>
      <c r="B1258" s="3" t="s">
        <v>898</v>
      </c>
      <c r="C1258" s="3" t="s">
        <v>1056</v>
      </c>
      <c r="D1258" s="3" t="s">
        <v>1057</v>
      </c>
      <c r="E1258" s="9">
        <v>9000</v>
      </c>
      <c r="L1258" s="12"/>
    </row>
    <row r="1259" spans="1:12" x14ac:dyDescent="0.3">
      <c r="A1259" s="3">
        <v>1258</v>
      </c>
      <c r="B1259" s="3" t="s">
        <v>898</v>
      </c>
      <c r="C1259" s="3" t="s">
        <v>1010</v>
      </c>
      <c r="D1259" s="3" t="s">
        <v>1011</v>
      </c>
      <c r="E1259" s="9">
        <v>8000</v>
      </c>
      <c r="L1259" s="12"/>
    </row>
    <row r="1260" spans="1:12" x14ac:dyDescent="0.3">
      <c r="A1260" s="3">
        <v>1259</v>
      </c>
      <c r="B1260" s="3" t="s">
        <v>898</v>
      </c>
      <c r="C1260" s="3" t="s">
        <v>1012</v>
      </c>
      <c r="D1260" s="3" t="s">
        <v>1013</v>
      </c>
      <c r="E1260" s="9">
        <v>6000</v>
      </c>
      <c r="L1260" s="12"/>
    </row>
    <row r="1261" spans="1:12" x14ac:dyDescent="0.3">
      <c r="A1261" s="3">
        <v>1260</v>
      </c>
      <c r="B1261" s="3" t="s">
        <v>903</v>
      </c>
      <c r="C1261" s="3" t="s">
        <v>992</v>
      </c>
      <c r="D1261" s="3" t="s">
        <v>993</v>
      </c>
      <c r="E1261" s="9">
        <v>5000</v>
      </c>
      <c r="L1261" s="12"/>
    </row>
    <row r="1262" spans="1:12" x14ac:dyDescent="0.3">
      <c r="A1262" s="3">
        <v>1261</v>
      </c>
      <c r="B1262" s="3" t="s">
        <v>903</v>
      </c>
      <c r="C1262" s="3" t="s">
        <v>994</v>
      </c>
      <c r="D1262" s="3" t="s">
        <v>995</v>
      </c>
      <c r="E1262" s="9">
        <v>6000</v>
      </c>
      <c r="L1262" s="12"/>
    </row>
    <row r="1263" spans="1:12" x14ac:dyDescent="0.3">
      <c r="A1263" s="3">
        <v>1262</v>
      </c>
      <c r="B1263" s="3" t="s">
        <v>903</v>
      </c>
      <c r="C1263" s="3" t="s">
        <v>996</v>
      </c>
      <c r="D1263" s="3" t="s">
        <v>997</v>
      </c>
      <c r="E1263" s="9">
        <v>5500</v>
      </c>
      <c r="L1263" s="12"/>
    </row>
    <row r="1264" spans="1:12" x14ac:dyDescent="0.3">
      <c r="A1264" s="3">
        <v>1263</v>
      </c>
      <c r="B1264" s="3" t="s">
        <v>903</v>
      </c>
      <c r="C1264" s="3" t="s">
        <v>998</v>
      </c>
      <c r="D1264" s="3" t="s">
        <v>999</v>
      </c>
      <c r="E1264" s="9">
        <v>6000</v>
      </c>
      <c r="L1264" s="12"/>
    </row>
    <row r="1265" spans="1:12" x14ac:dyDescent="0.3">
      <c r="A1265" s="3">
        <v>1264</v>
      </c>
      <c r="B1265" s="3" t="s">
        <v>903</v>
      </c>
      <c r="C1265" s="3" t="s">
        <v>1000</v>
      </c>
      <c r="D1265" s="3" t="s">
        <v>1001</v>
      </c>
      <c r="E1265" s="9">
        <v>4500</v>
      </c>
      <c r="L1265" s="12"/>
    </row>
    <row r="1266" spans="1:12" x14ac:dyDescent="0.3">
      <c r="A1266" s="3">
        <v>1265</v>
      </c>
      <c r="B1266" s="3" t="s">
        <v>903</v>
      </c>
      <c r="C1266" s="3" t="s">
        <v>1002</v>
      </c>
      <c r="D1266" s="3" t="s">
        <v>1003</v>
      </c>
      <c r="E1266" s="9">
        <v>4000</v>
      </c>
      <c r="L1266" s="12"/>
    </row>
    <row r="1267" spans="1:12" x14ac:dyDescent="0.3">
      <c r="A1267" s="3">
        <v>1266</v>
      </c>
      <c r="B1267" s="3" t="s">
        <v>903</v>
      </c>
      <c r="C1267" s="3" t="s">
        <v>1004</v>
      </c>
      <c r="D1267" s="3" t="s">
        <v>1005</v>
      </c>
      <c r="E1267" s="9">
        <v>3000</v>
      </c>
      <c r="L1267" s="12"/>
    </row>
    <row r="1268" spans="1:12" x14ac:dyDescent="0.3">
      <c r="A1268" s="3">
        <v>1267</v>
      </c>
      <c r="B1268" s="3" t="s">
        <v>903</v>
      </c>
      <c r="C1268" s="3" t="s">
        <v>1006</v>
      </c>
      <c r="D1268" s="3" t="s">
        <v>1007</v>
      </c>
      <c r="E1268" s="9">
        <v>2500</v>
      </c>
      <c r="L1268" s="12"/>
    </row>
    <row r="1269" spans="1:12" x14ac:dyDescent="0.3">
      <c r="A1269" s="3">
        <v>1268</v>
      </c>
      <c r="B1269" s="3" t="s">
        <v>903</v>
      </c>
      <c r="C1269" s="3" t="s">
        <v>1008</v>
      </c>
      <c r="D1269" s="3" t="s">
        <v>1009</v>
      </c>
      <c r="E1269" s="9">
        <v>8000</v>
      </c>
      <c r="L1269" s="12"/>
    </row>
    <row r="1270" spans="1:12" x14ac:dyDescent="0.3">
      <c r="A1270" s="3">
        <v>1269</v>
      </c>
      <c r="B1270" s="3" t="s">
        <v>903</v>
      </c>
      <c r="C1270" s="3" t="s">
        <v>1056</v>
      </c>
      <c r="D1270" s="3" t="s">
        <v>1057</v>
      </c>
      <c r="E1270" s="9">
        <v>9000</v>
      </c>
      <c r="L1270" s="12"/>
    </row>
    <row r="1271" spans="1:12" x14ac:dyDescent="0.3">
      <c r="A1271" s="3">
        <v>1270</v>
      </c>
      <c r="B1271" s="3" t="s">
        <v>903</v>
      </c>
      <c r="C1271" s="3" t="s">
        <v>1010</v>
      </c>
      <c r="D1271" s="3" t="s">
        <v>1011</v>
      </c>
      <c r="E1271" s="9">
        <v>8000</v>
      </c>
      <c r="L1271" s="12"/>
    </row>
    <row r="1272" spans="1:12" x14ac:dyDescent="0.3">
      <c r="A1272" s="3">
        <v>1271</v>
      </c>
      <c r="B1272" s="3" t="s">
        <v>903</v>
      </c>
      <c r="C1272" s="3" t="s">
        <v>1012</v>
      </c>
      <c r="D1272" s="3" t="s">
        <v>1013</v>
      </c>
      <c r="E1272" s="9">
        <v>6000</v>
      </c>
      <c r="L1272" s="12"/>
    </row>
    <row r="1273" spans="1:12" x14ac:dyDescent="0.3">
      <c r="A1273" s="3">
        <v>1272</v>
      </c>
      <c r="B1273" s="3" t="s">
        <v>908</v>
      </c>
      <c r="C1273" s="3" t="s">
        <v>992</v>
      </c>
      <c r="D1273" s="3" t="s">
        <v>993</v>
      </c>
      <c r="E1273" s="9">
        <v>5000</v>
      </c>
      <c r="L1273" s="12"/>
    </row>
    <row r="1274" spans="1:12" x14ac:dyDescent="0.3">
      <c r="A1274" s="3">
        <v>1273</v>
      </c>
      <c r="B1274" s="3" t="s">
        <v>908</v>
      </c>
      <c r="C1274" s="3" t="s">
        <v>994</v>
      </c>
      <c r="D1274" s="3" t="s">
        <v>995</v>
      </c>
      <c r="E1274" s="9">
        <v>6000</v>
      </c>
      <c r="L1274" s="12"/>
    </row>
    <row r="1275" spans="1:12" x14ac:dyDescent="0.3">
      <c r="A1275" s="3">
        <v>1274</v>
      </c>
      <c r="B1275" s="3" t="s">
        <v>908</v>
      </c>
      <c r="C1275" s="3" t="s">
        <v>996</v>
      </c>
      <c r="D1275" s="3" t="s">
        <v>997</v>
      </c>
      <c r="E1275" s="9">
        <v>5500</v>
      </c>
      <c r="L1275" s="12"/>
    </row>
    <row r="1276" spans="1:12" x14ac:dyDescent="0.3">
      <c r="A1276" s="3">
        <v>1275</v>
      </c>
      <c r="B1276" s="3" t="s">
        <v>908</v>
      </c>
      <c r="C1276" s="3" t="s">
        <v>998</v>
      </c>
      <c r="D1276" s="3" t="s">
        <v>999</v>
      </c>
      <c r="E1276" s="9">
        <v>6000</v>
      </c>
      <c r="L1276" s="12"/>
    </row>
    <row r="1277" spans="1:12" x14ac:dyDescent="0.3">
      <c r="A1277" s="3">
        <v>1276</v>
      </c>
      <c r="B1277" s="3" t="s">
        <v>908</v>
      </c>
      <c r="C1277" s="3" t="s">
        <v>1000</v>
      </c>
      <c r="D1277" s="3" t="s">
        <v>1001</v>
      </c>
      <c r="E1277" s="9">
        <v>4500</v>
      </c>
      <c r="L1277" s="12"/>
    </row>
    <row r="1278" spans="1:12" x14ac:dyDescent="0.3">
      <c r="A1278" s="3">
        <v>1277</v>
      </c>
      <c r="B1278" s="3" t="s">
        <v>908</v>
      </c>
      <c r="C1278" s="3" t="s">
        <v>1002</v>
      </c>
      <c r="D1278" s="3" t="s">
        <v>1003</v>
      </c>
      <c r="E1278" s="9">
        <v>4000</v>
      </c>
      <c r="L1278" s="12"/>
    </row>
    <row r="1279" spans="1:12" x14ac:dyDescent="0.3">
      <c r="A1279" s="3">
        <v>1278</v>
      </c>
      <c r="B1279" s="3" t="s">
        <v>908</v>
      </c>
      <c r="C1279" s="3" t="s">
        <v>1004</v>
      </c>
      <c r="D1279" s="3" t="s">
        <v>1005</v>
      </c>
      <c r="E1279" s="9">
        <v>3000</v>
      </c>
      <c r="L1279" s="12"/>
    </row>
    <row r="1280" spans="1:12" x14ac:dyDescent="0.3">
      <c r="A1280" s="3">
        <v>1279</v>
      </c>
      <c r="B1280" s="3" t="s">
        <v>908</v>
      </c>
      <c r="C1280" s="3" t="s">
        <v>1006</v>
      </c>
      <c r="D1280" s="3" t="s">
        <v>1007</v>
      </c>
      <c r="E1280" s="9">
        <v>2500</v>
      </c>
      <c r="L1280" s="12"/>
    </row>
    <row r="1281" spans="1:12" x14ac:dyDescent="0.3">
      <c r="A1281" s="3">
        <v>1280</v>
      </c>
      <c r="B1281" s="3" t="s">
        <v>908</v>
      </c>
      <c r="C1281" s="3" t="s">
        <v>1008</v>
      </c>
      <c r="D1281" s="3" t="s">
        <v>1009</v>
      </c>
      <c r="E1281" s="9">
        <v>8000</v>
      </c>
      <c r="L1281" s="12"/>
    </row>
    <row r="1282" spans="1:12" x14ac:dyDescent="0.3">
      <c r="A1282" s="3">
        <v>1281</v>
      </c>
      <c r="B1282" s="3" t="s">
        <v>908</v>
      </c>
      <c r="C1282" s="3" t="s">
        <v>1056</v>
      </c>
      <c r="D1282" s="3" t="s">
        <v>1057</v>
      </c>
      <c r="E1282" s="9">
        <v>9000</v>
      </c>
      <c r="L1282" s="12"/>
    </row>
    <row r="1283" spans="1:12" x14ac:dyDescent="0.3">
      <c r="A1283" s="3">
        <v>1282</v>
      </c>
      <c r="B1283" s="3" t="s">
        <v>908</v>
      </c>
      <c r="C1283" s="3" t="s">
        <v>1010</v>
      </c>
      <c r="D1283" s="3" t="s">
        <v>1011</v>
      </c>
      <c r="E1283" s="9">
        <v>8000</v>
      </c>
      <c r="L1283" s="12"/>
    </row>
    <row r="1284" spans="1:12" x14ac:dyDescent="0.3">
      <c r="A1284" s="3">
        <v>1283</v>
      </c>
      <c r="B1284" s="3" t="s">
        <v>908</v>
      </c>
      <c r="C1284" s="3" t="s">
        <v>1012</v>
      </c>
      <c r="D1284" s="3" t="s">
        <v>1013</v>
      </c>
      <c r="E1284" s="9">
        <v>6000</v>
      </c>
      <c r="L1284" s="12"/>
    </row>
    <row r="1285" spans="1:12" x14ac:dyDescent="0.3">
      <c r="A1285" s="3">
        <v>1284</v>
      </c>
      <c r="B1285" s="3" t="s">
        <v>913</v>
      </c>
      <c r="C1285" s="3" t="s">
        <v>945</v>
      </c>
      <c r="D1285" s="3" t="s">
        <v>1097</v>
      </c>
      <c r="E1285" s="9">
        <v>15000</v>
      </c>
      <c r="L1285" s="12"/>
    </row>
    <row r="1286" spans="1:12" x14ac:dyDescent="0.3">
      <c r="A1286" s="3">
        <v>1285</v>
      </c>
      <c r="B1286" s="3" t="s">
        <v>913</v>
      </c>
      <c r="C1286" s="3" t="s">
        <v>947</v>
      </c>
      <c r="D1286" s="3" t="s">
        <v>948</v>
      </c>
      <c r="E1286" s="9">
        <v>5000</v>
      </c>
      <c r="L1286" s="12"/>
    </row>
    <row r="1287" spans="1:12" x14ac:dyDescent="0.3">
      <c r="A1287" s="3">
        <v>1286</v>
      </c>
      <c r="B1287" s="3" t="s">
        <v>913</v>
      </c>
      <c r="C1287" s="3" t="s">
        <v>949</v>
      </c>
      <c r="D1287" s="3" t="s">
        <v>1073</v>
      </c>
      <c r="E1287" s="9">
        <v>4000</v>
      </c>
      <c r="L1287" s="12"/>
    </row>
    <row r="1288" spans="1:12" x14ac:dyDescent="0.3">
      <c r="A1288" s="3">
        <v>1287</v>
      </c>
      <c r="B1288" s="3" t="s">
        <v>913</v>
      </c>
      <c r="C1288" s="3" t="s">
        <v>951</v>
      </c>
      <c r="D1288" s="3" t="s">
        <v>952</v>
      </c>
      <c r="E1288" s="9">
        <v>17000</v>
      </c>
      <c r="L1288" s="12"/>
    </row>
    <row r="1289" spans="1:12" x14ac:dyDescent="0.3">
      <c r="A1289" s="3">
        <v>1288</v>
      </c>
      <c r="B1289" s="3" t="s">
        <v>913</v>
      </c>
      <c r="C1289" s="3" t="s">
        <v>953</v>
      </c>
      <c r="D1289" s="3" t="s">
        <v>954</v>
      </c>
      <c r="E1289" s="9">
        <v>11000</v>
      </c>
      <c r="L1289" s="12"/>
    </row>
    <row r="1290" spans="1:12" x14ac:dyDescent="0.3">
      <c r="A1290" s="3">
        <v>1289</v>
      </c>
      <c r="B1290" s="3" t="s">
        <v>913</v>
      </c>
      <c r="C1290" s="3" t="s">
        <v>955</v>
      </c>
      <c r="D1290" s="3" t="s">
        <v>1074</v>
      </c>
      <c r="E1290" s="9">
        <v>6000</v>
      </c>
      <c r="L1290" s="12"/>
    </row>
    <row r="1291" spans="1:12" x14ac:dyDescent="0.3">
      <c r="A1291" s="3">
        <v>1290</v>
      </c>
      <c r="B1291" s="3" t="s">
        <v>913</v>
      </c>
      <c r="C1291" s="3" t="s">
        <v>957</v>
      </c>
      <c r="D1291" s="3" t="s">
        <v>958</v>
      </c>
      <c r="E1291" s="9">
        <v>4500</v>
      </c>
      <c r="L1291" s="12"/>
    </row>
    <row r="1292" spans="1:12" x14ac:dyDescent="0.3">
      <c r="A1292" s="3">
        <v>1291</v>
      </c>
      <c r="B1292" s="3" t="s">
        <v>913</v>
      </c>
      <c r="C1292" s="3" t="s">
        <v>959</v>
      </c>
      <c r="D1292" s="3" t="s">
        <v>960</v>
      </c>
      <c r="E1292" s="9">
        <v>8500</v>
      </c>
      <c r="L1292" s="12"/>
    </row>
    <row r="1293" spans="1:12" x14ac:dyDescent="0.3">
      <c r="A1293" s="3">
        <v>1292</v>
      </c>
      <c r="B1293" s="3" t="s">
        <v>913</v>
      </c>
      <c r="C1293" s="3" t="s">
        <v>961</v>
      </c>
      <c r="D1293" s="3" t="s">
        <v>962</v>
      </c>
      <c r="E1293" s="9">
        <v>2000</v>
      </c>
      <c r="L1293" s="12"/>
    </row>
    <row r="1294" spans="1:12" x14ac:dyDescent="0.3">
      <c r="A1294" s="3">
        <v>1293</v>
      </c>
      <c r="B1294" s="3" t="s">
        <v>918</v>
      </c>
      <c r="C1294" s="3" t="s">
        <v>1027</v>
      </c>
      <c r="D1294" s="3" t="s">
        <v>1028</v>
      </c>
      <c r="E1294" s="9">
        <v>4000</v>
      </c>
      <c r="L1294" s="12"/>
    </row>
    <row r="1295" spans="1:12" x14ac:dyDescent="0.3">
      <c r="A1295" s="3">
        <v>1294</v>
      </c>
      <c r="B1295" s="3" t="s">
        <v>918</v>
      </c>
      <c r="C1295" s="3" t="s">
        <v>1029</v>
      </c>
      <c r="D1295" s="3" t="s">
        <v>1030</v>
      </c>
      <c r="E1295" s="9">
        <v>5000</v>
      </c>
      <c r="L1295" s="12"/>
    </row>
    <row r="1296" spans="1:12" x14ac:dyDescent="0.3">
      <c r="A1296" s="3">
        <v>1295</v>
      </c>
      <c r="B1296" s="3" t="s">
        <v>918</v>
      </c>
      <c r="C1296" s="3" t="s">
        <v>1031</v>
      </c>
      <c r="D1296" s="3" t="s">
        <v>1032</v>
      </c>
      <c r="E1296" s="9">
        <v>5000</v>
      </c>
      <c r="L1296" s="12"/>
    </row>
    <row r="1297" spans="1:12" x14ac:dyDescent="0.3">
      <c r="A1297" s="3">
        <v>1296</v>
      </c>
      <c r="B1297" s="3" t="s">
        <v>918</v>
      </c>
      <c r="C1297" s="3" t="s">
        <v>1033</v>
      </c>
      <c r="D1297" s="3" t="s">
        <v>1034</v>
      </c>
      <c r="E1297" s="9">
        <v>6000</v>
      </c>
      <c r="L1297" s="12"/>
    </row>
    <row r="1298" spans="1:12" x14ac:dyDescent="0.3">
      <c r="A1298" s="3">
        <v>1297</v>
      </c>
      <c r="B1298" s="3" t="s">
        <v>918</v>
      </c>
      <c r="C1298" s="3" t="s">
        <v>1035</v>
      </c>
      <c r="D1298" s="3" t="s">
        <v>1036</v>
      </c>
      <c r="E1298" s="9">
        <v>5000</v>
      </c>
      <c r="L1298" s="12"/>
    </row>
    <row r="1299" spans="1:12" x14ac:dyDescent="0.3">
      <c r="A1299" s="3">
        <v>1298</v>
      </c>
      <c r="B1299" s="3" t="s">
        <v>918</v>
      </c>
      <c r="C1299" s="3" t="s">
        <v>1037</v>
      </c>
      <c r="D1299" s="3" t="s">
        <v>1038</v>
      </c>
      <c r="E1299" s="9">
        <v>2000</v>
      </c>
      <c r="L1299" s="12"/>
    </row>
    <row r="1300" spans="1:12" x14ac:dyDescent="0.3">
      <c r="A1300" s="3">
        <v>1299</v>
      </c>
      <c r="B1300" s="3" t="s">
        <v>918</v>
      </c>
      <c r="C1300" s="3" t="s">
        <v>1064</v>
      </c>
      <c r="D1300" s="3" t="s">
        <v>1065</v>
      </c>
      <c r="E1300" s="9">
        <v>4000</v>
      </c>
      <c r="L1300" s="12"/>
    </row>
    <row r="1301" spans="1:12" x14ac:dyDescent="0.3">
      <c r="A1301" s="3">
        <v>1300</v>
      </c>
      <c r="B1301" s="3" t="s">
        <v>918</v>
      </c>
      <c r="C1301" s="3" t="s">
        <v>1066</v>
      </c>
      <c r="D1301" s="3" t="s">
        <v>1067</v>
      </c>
      <c r="E1301" s="9">
        <v>6500</v>
      </c>
      <c r="L1301" s="12"/>
    </row>
    <row r="1302" spans="1:12" x14ac:dyDescent="0.3">
      <c r="A1302" s="3">
        <v>1301</v>
      </c>
      <c r="B1302" s="3" t="s">
        <v>918</v>
      </c>
      <c r="C1302" s="3" t="s">
        <v>1068</v>
      </c>
      <c r="D1302" s="3" t="s">
        <v>1069</v>
      </c>
      <c r="E1302" s="9">
        <v>8000</v>
      </c>
      <c r="L1302" s="12"/>
    </row>
    <row r="1303" spans="1:12" x14ac:dyDescent="0.3">
      <c r="A1303" s="3">
        <v>1302</v>
      </c>
      <c r="B1303" s="3" t="s">
        <v>923</v>
      </c>
      <c r="C1303" s="3" t="s">
        <v>1027</v>
      </c>
      <c r="D1303" s="3" t="s">
        <v>1028</v>
      </c>
      <c r="E1303" s="9">
        <v>4000</v>
      </c>
      <c r="L1303" s="12"/>
    </row>
    <row r="1304" spans="1:12" x14ac:dyDescent="0.3">
      <c r="A1304" s="3">
        <v>1303</v>
      </c>
      <c r="B1304" s="3" t="s">
        <v>923</v>
      </c>
      <c r="C1304" s="3" t="s">
        <v>1029</v>
      </c>
      <c r="D1304" s="3" t="s">
        <v>1030</v>
      </c>
      <c r="E1304" s="9">
        <v>5000</v>
      </c>
      <c r="L1304" s="12"/>
    </row>
    <row r="1305" spans="1:12" x14ac:dyDescent="0.3">
      <c r="A1305" s="3">
        <v>1304</v>
      </c>
      <c r="B1305" s="3" t="s">
        <v>923</v>
      </c>
      <c r="C1305" s="3" t="s">
        <v>1031</v>
      </c>
      <c r="D1305" s="3" t="s">
        <v>1032</v>
      </c>
      <c r="E1305" s="9">
        <v>5000</v>
      </c>
      <c r="L1305" s="12"/>
    </row>
    <row r="1306" spans="1:12" x14ac:dyDescent="0.3">
      <c r="A1306" s="3">
        <v>1305</v>
      </c>
      <c r="B1306" s="3" t="s">
        <v>923</v>
      </c>
      <c r="C1306" s="3" t="s">
        <v>1033</v>
      </c>
      <c r="D1306" s="3" t="s">
        <v>1034</v>
      </c>
      <c r="E1306" s="9">
        <v>6000</v>
      </c>
      <c r="L1306" s="12"/>
    </row>
    <row r="1307" spans="1:12" x14ac:dyDescent="0.3">
      <c r="A1307" s="3">
        <v>1306</v>
      </c>
      <c r="B1307" s="3" t="s">
        <v>923</v>
      </c>
      <c r="C1307" s="3" t="s">
        <v>1035</v>
      </c>
      <c r="D1307" s="3" t="s">
        <v>1036</v>
      </c>
      <c r="E1307" s="9">
        <v>5000</v>
      </c>
      <c r="L1307" s="12"/>
    </row>
    <row r="1308" spans="1:12" x14ac:dyDescent="0.3">
      <c r="A1308" s="3">
        <v>1307</v>
      </c>
      <c r="B1308" s="3" t="s">
        <v>923</v>
      </c>
      <c r="C1308" s="3" t="s">
        <v>1037</v>
      </c>
      <c r="D1308" s="3" t="s">
        <v>1038</v>
      </c>
      <c r="E1308" s="9">
        <v>2000</v>
      </c>
      <c r="L1308" s="12"/>
    </row>
    <row r="1309" spans="1:12" x14ac:dyDescent="0.3">
      <c r="A1309" s="3">
        <v>1308</v>
      </c>
      <c r="B1309" s="3" t="s">
        <v>923</v>
      </c>
      <c r="C1309" s="3" t="s">
        <v>1064</v>
      </c>
      <c r="D1309" s="3" t="s">
        <v>1065</v>
      </c>
      <c r="E1309" s="9">
        <v>4000</v>
      </c>
      <c r="L1309" s="12"/>
    </row>
    <row r="1310" spans="1:12" x14ac:dyDescent="0.3">
      <c r="A1310" s="3">
        <v>1309</v>
      </c>
      <c r="B1310" s="3" t="s">
        <v>923</v>
      </c>
      <c r="C1310" s="3" t="s">
        <v>1066</v>
      </c>
      <c r="D1310" s="3" t="s">
        <v>1067</v>
      </c>
      <c r="E1310" s="9">
        <v>6500</v>
      </c>
      <c r="L1310" s="12"/>
    </row>
    <row r="1311" spans="1:12" x14ac:dyDescent="0.3">
      <c r="A1311" s="3">
        <v>1310</v>
      </c>
      <c r="B1311" s="3" t="s">
        <v>923</v>
      </c>
      <c r="C1311" s="3" t="s">
        <v>1068</v>
      </c>
      <c r="D1311" s="3" t="s">
        <v>1069</v>
      </c>
      <c r="E1311" s="9">
        <v>8000</v>
      </c>
      <c r="L1311" s="1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5</xdr:col>
                <xdr:colOff>161925</xdr:colOff>
                <xdr:row>0</xdr:row>
                <xdr:rowOff>190500</xdr:rowOff>
              </from>
              <to>
                <xdr:col>7</xdr:col>
                <xdr:colOff>133350</xdr:colOff>
                <xdr:row>3</xdr:row>
                <xdr:rowOff>9525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000"/>
  <sheetViews>
    <sheetView topLeftCell="A997" workbookViewId="0">
      <selection activeCell="D1003" sqref="D1003"/>
    </sheetView>
  </sheetViews>
  <sheetFormatPr defaultRowHeight="16.5" x14ac:dyDescent="0.3"/>
  <cols>
    <col min="1" max="2" width="9" style="3"/>
    <col min="3" max="16384" width="9" style="1"/>
  </cols>
  <sheetData>
    <row r="1" spans="1:2" x14ac:dyDescent="0.3">
      <c r="A1" s="2" t="s">
        <v>1</v>
      </c>
      <c r="B1" s="2" t="s">
        <v>3</v>
      </c>
    </row>
    <row r="2" spans="1:2" x14ac:dyDescent="0.3">
      <c r="A2" s="3" t="s">
        <v>1122</v>
      </c>
      <c r="B2" s="3" t="s">
        <v>1123</v>
      </c>
    </row>
    <row r="3" spans="1:2" x14ac:dyDescent="0.3">
      <c r="A3" s="3" t="s">
        <v>1124</v>
      </c>
      <c r="B3" s="3" t="s">
        <v>1125</v>
      </c>
    </row>
    <row r="4" spans="1:2" x14ac:dyDescent="0.3">
      <c r="A4" s="3" t="s">
        <v>1126</v>
      </c>
      <c r="B4" s="3" t="s">
        <v>1127</v>
      </c>
    </row>
    <row r="5" spans="1:2" x14ac:dyDescent="0.3">
      <c r="A5" s="3" t="s">
        <v>1128</v>
      </c>
      <c r="B5" s="3" t="s">
        <v>1129</v>
      </c>
    </row>
    <row r="6" spans="1:2" x14ac:dyDescent="0.3">
      <c r="A6" s="3" t="s">
        <v>1130</v>
      </c>
      <c r="B6" s="3" t="s">
        <v>1131</v>
      </c>
    </row>
    <row r="7" spans="1:2" x14ac:dyDescent="0.3">
      <c r="A7" s="3" t="s">
        <v>1132</v>
      </c>
      <c r="B7" s="3" t="s">
        <v>1133</v>
      </c>
    </row>
    <row r="8" spans="1:2" x14ac:dyDescent="0.3">
      <c r="A8" s="3" t="s">
        <v>1134</v>
      </c>
      <c r="B8" s="3" t="s">
        <v>1135</v>
      </c>
    </row>
    <row r="9" spans="1:2" x14ac:dyDescent="0.3">
      <c r="A9" s="3" t="s">
        <v>1136</v>
      </c>
      <c r="B9" s="3" t="s">
        <v>1137</v>
      </c>
    </row>
    <row r="10" spans="1:2" x14ac:dyDescent="0.3">
      <c r="A10" s="3" t="s">
        <v>1138</v>
      </c>
      <c r="B10" s="3" t="s">
        <v>1139</v>
      </c>
    </row>
    <row r="11" spans="1:2" x14ac:dyDescent="0.3">
      <c r="A11" s="3" t="s">
        <v>1140</v>
      </c>
      <c r="B11" s="3" t="s">
        <v>1141</v>
      </c>
    </row>
    <row r="12" spans="1:2" x14ac:dyDescent="0.3">
      <c r="A12" s="3" t="s">
        <v>1142</v>
      </c>
      <c r="B12" s="3" t="s">
        <v>1143</v>
      </c>
    </row>
    <row r="13" spans="1:2" x14ac:dyDescent="0.3">
      <c r="A13" s="3" t="s">
        <v>1144</v>
      </c>
      <c r="B13" s="3" t="s">
        <v>1145</v>
      </c>
    </row>
    <row r="14" spans="1:2" x14ac:dyDescent="0.3">
      <c r="A14" s="3" t="s">
        <v>1146</v>
      </c>
      <c r="B14" s="3" t="s">
        <v>1147</v>
      </c>
    </row>
    <row r="15" spans="1:2" x14ac:dyDescent="0.3">
      <c r="A15" s="3" t="s">
        <v>1148</v>
      </c>
      <c r="B15" s="3" t="s">
        <v>1149</v>
      </c>
    </row>
    <row r="16" spans="1:2" x14ac:dyDescent="0.3">
      <c r="A16" s="3" t="s">
        <v>1150</v>
      </c>
      <c r="B16" s="3" t="s">
        <v>1151</v>
      </c>
    </row>
    <row r="17" spans="1:2" x14ac:dyDescent="0.3">
      <c r="A17" s="3" t="s">
        <v>1152</v>
      </c>
      <c r="B17" s="3" t="s">
        <v>1153</v>
      </c>
    </row>
    <row r="18" spans="1:2" x14ac:dyDescent="0.3">
      <c r="A18" s="3" t="s">
        <v>1154</v>
      </c>
      <c r="B18" s="3" t="s">
        <v>1155</v>
      </c>
    </row>
    <row r="19" spans="1:2" x14ac:dyDescent="0.3">
      <c r="A19" s="3" t="s">
        <v>1156</v>
      </c>
      <c r="B19" s="3" t="s">
        <v>1157</v>
      </c>
    </row>
    <row r="20" spans="1:2" x14ac:dyDescent="0.3">
      <c r="A20" s="3" t="s">
        <v>1158</v>
      </c>
      <c r="B20" s="3" t="s">
        <v>1159</v>
      </c>
    </row>
    <row r="21" spans="1:2" x14ac:dyDescent="0.3">
      <c r="A21" s="3" t="s">
        <v>1160</v>
      </c>
      <c r="B21" s="3" t="s">
        <v>1161</v>
      </c>
    </row>
    <row r="22" spans="1:2" x14ac:dyDescent="0.3">
      <c r="A22" s="3" t="s">
        <v>1162</v>
      </c>
      <c r="B22" s="3" t="s">
        <v>1163</v>
      </c>
    </row>
    <row r="23" spans="1:2" x14ac:dyDescent="0.3">
      <c r="A23" s="3" t="s">
        <v>1164</v>
      </c>
      <c r="B23" s="3" t="s">
        <v>1165</v>
      </c>
    </row>
    <row r="24" spans="1:2" x14ac:dyDescent="0.3">
      <c r="A24" s="3" t="s">
        <v>1166</v>
      </c>
      <c r="B24" s="3" t="s">
        <v>1167</v>
      </c>
    </row>
    <row r="25" spans="1:2" x14ac:dyDescent="0.3">
      <c r="A25" s="3" t="s">
        <v>1168</v>
      </c>
      <c r="B25" s="3" t="s">
        <v>1169</v>
      </c>
    </row>
    <row r="26" spans="1:2" x14ac:dyDescent="0.3">
      <c r="A26" s="3" t="s">
        <v>1170</v>
      </c>
      <c r="B26" s="3" t="s">
        <v>1171</v>
      </c>
    </row>
    <row r="27" spans="1:2" x14ac:dyDescent="0.3">
      <c r="A27" s="3" t="s">
        <v>1172</v>
      </c>
      <c r="B27" s="3" t="s">
        <v>1173</v>
      </c>
    </row>
    <row r="28" spans="1:2" x14ac:dyDescent="0.3">
      <c r="A28" s="3" t="s">
        <v>1174</v>
      </c>
      <c r="B28" s="3" t="s">
        <v>1175</v>
      </c>
    </row>
    <row r="29" spans="1:2" x14ac:dyDescent="0.3">
      <c r="A29" s="3" t="s">
        <v>1176</v>
      </c>
      <c r="B29" s="3" t="s">
        <v>1177</v>
      </c>
    </row>
    <row r="30" spans="1:2" x14ac:dyDescent="0.3">
      <c r="A30" s="3" t="s">
        <v>1178</v>
      </c>
      <c r="B30" s="3" t="s">
        <v>1179</v>
      </c>
    </row>
    <row r="31" spans="1:2" x14ac:dyDescent="0.3">
      <c r="A31" s="3" t="s">
        <v>1180</v>
      </c>
      <c r="B31" s="3" t="s">
        <v>1181</v>
      </c>
    </row>
    <row r="32" spans="1:2" x14ac:dyDescent="0.3">
      <c r="A32" s="3" t="s">
        <v>1182</v>
      </c>
      <c r="B32" s="3" t="s">
        <v>1183</v>
      </c>
    </row>
    <row r="33" spans="1:2" x14ac:dyDescent="0.3">
      <c r="A33" s="3" t="s">
        <v>1184</v>
      </c>
      <c r="B33" s="3" t="s">
        <v>1185</v>
      </c>
    </row>
    <row r="34" spans="1:2" x14ac:dyDescent="0.3">
      <c r="A34" s="3" t="s">
        <v>1186</v>
      </c>
      <c r="B34" s="3" t="s">
        <v>1187</v>
      </c>
    </row>
    <row r="35" spans="1:2" x14ac:dyDescent="0.3">
      <c r="A35" s="3" t="s">
        <v>1188</v>
      </c>
      <c r="B35" s="3" t="s">
        <v>1189</v>
      </c>
    </row>
    <row r="36" spans="1:2" x14ac:dyDescent="0.3">
      <c r="A36" s="3" t="s">
        <v>1190</v>
      </c>
      <c r="B36" s="3" t="s">
        <v>1191</v>
      </c>
    </row>
    <row r="37" spans="1:2" x14ac:dyDescent="0.3">
      <c r="A37" s="3" t="s">
        <v>1192</v>
      </c>
      <c r="B37" s="3" t="s">
        <v>1193</v>
      </c>
    </row>
    <row r="38" spans="1:2" x14ac:dyDescent="0.3">
      <c r="A38" s="3" t="s">
        <v>1194</v>
      </c>
      <c r="B38" s="3" t="s">
        <v>1195</v>
      </c>
    </row>
    <row r="39" spans="1:2" x14ac:dyDescent="0.3">
      <c r="A39" s="3" t="s">
        <v>1196</v>
      </c>
      <c r="B39" s="3" t="s">
        <v>1197</v>
      </c>
    </row>
    <row r="40" spans="1:2" x14ac:dyDescent="0.3">
      <c r="A40" s="3" t="s">
        <v>1198</v>
      </c>
      <c r="B40" s="3" t="s">
        <v>1199</v>
      </c>
    </row>
    <row r="41" spans="1:2" x14ac:dyDescent="0.3">
      <c r="A41" s="3" t="s">
        <v>1200</v>
      </c>
      <c r="B41" s="3" t="s">
        <v>1201</v>
      </c>
    </row>
    <row r="42" spans="1:2" x14ac:dyDescent="0.3">
      <c r="A42" s="3" t="s">
        <v>1202</v>
      </c>
      <c r="B42" s="3" t="s">
        <v>1203</v>
      </c>
    </row>
    <row r="43" spans="1:2" x14ac:dyDescent="0.3">
      <c r="A43" s="3" t="s">
        <v>1204</v>
      </c>
      <c r="B43" s="3" t="s">
        <v>1205</v>
      </c>
    </row>
    <row r="44" spans="1:2" x14ac:dyDescent="0.3">
      <c r="A44" s="3" t="s">
        <v>1206</v>
      </c>
      <c r="B44" s="3" t="s">
        <v>1207</v>
      </c>
    </row>
    <row r="45" spans="1:2" x14ac:dyDescent="0.3">
      <c r="A45" s="3" t="s">
        <v>1208</v>
      </c>
      <c r="B45" s="3" t="s">
        <v>1209</v>
      </c>
    </row>
    <row r="46" spans="1:2" x14ac:dyDescent="0.3">
      <c r="A46" s="3" t="s">
        <v>1210</v>
      </c>
      <c r="B46" s="3" t="s">
        <v>1211</v>
      </c>
    </row>
    <row r="47" spans="1:2" x14ac:dyDescent="0.3">
      <c r="A47" s="3" t="s">
        <v>1212</v>
      </c>
      <c r="B47" s="3" t="s">
        <v>1213</v>
      </c>
    </row>
    <row r="48" spans="1:2" x14ac:dyDescent="0.3">
      <c r="A48" s="3" t="s">
        <v>1214</v>
      </c>
      <c r="B48" s="3" t="s">
        <v>1215</v>
      </c>
    </row>
    <row r="49" spans="1:2" x14ac:dyDescent="0.3">
      <c r="A49" s="3" t="s">
        <v>1216</v>
      </c>
      <c r="B49" s="3" t="s">
        <v>1217</v>
      </c>
    </row>
    <row r="50" spans="1:2" x14ac:dyDescent="0.3">
      <c r="A50" s="3" t="s">
        <v>1218</v>
      </c>
      <c r="B50" s="3" t="s">
        <v>1219</v>
      </c>
    </row>
    <row r="51" spans="1:2" x14ac:dyDescent="0.3">
      <c r="A51" s="3" t="s">
        <v>1220</v>
      </c>
      <c r="B51" s="3" t="s">
        <v>1221</v>
      </c>
    </row>
    <row r="52" spans="1:2" x14ac:dyDescent="0.3">
      <c r="A52" s="3" t="s">
        <v>1222</v>
      </c>
      <c r="B52" s="3" t="s">
        <v>1223</v>
      </c>
    </row>
    <row r="53" spans="1:2" x14ac:dyDescent="0.3">
      <c r="A53" s="3" t="s">
        <v>1224</v>
      </c>
      <c r="B53" s="3" t="s">
        <v>1225</v>
      </c>
    </row>
    <row r="54" spans="1:2" x14ac:dyDescent="0.3">
      <c r="A54" s="3" t="s">
        <v>1226</v>
      </c>
      <c r="B54" s="3" t="s">
        <v>1227</v>
      </c>
    </row>
    <row r="55" spans="1:2" x14ac:dyDescent="0.3">
      <c r="A55" s="3" t="s">
        <v>1228</v>
      </c>
      <c r="B55" s="3" t="s">
        <v>1229</v>
      </c>
    </row>
    <row r="56" spans="1:2" x14ac:dyDescent="0.3">
      <c r="A56" s="3" t="s">
        <v>1230</v>
      </c>
      <c r="B56" s="3" t="s">
        <v>1231</v>
      </c>
    </row>
    <row r="57" spans="1:2" x14ac:dyDescent="0.3">
      <c r="A57" s="3" t="s">
        <v>1232</v>
      </c>
      <c r="B57" s="3" t="s">
        <v>1233</v>
      </c>
    </row>
    <row r="58" spans="1:2" x14ac:dyDescent="0.3">
      <c r="A58" s="3" t="s">
        <v>1234</v>
      </c>
      <c r="B58" s="3" t="s">
        <v>1235</v>
      </c>
    </row>
    <row r="59" spans="1:2" x14ac:dyDescent="0.3">
      <c r="A59" s="3" t="s">
        <v>1236</v>
      </c>
      <c r="B59" s="3" t="s">
        <v>1237</v>
      </c>
    </row>
    <row r="60" spans="1:2" x14ac:dyDescent="0.3">
      <c r="A60" s="3" t="s">
        <v>1238</v>
      </c>
      <c r="B60" s="3" t="s">
        <v>1239</v>
      </c>
    </row>
    <row r="61" spans="1:2" x14ac:dyDescent="0.3">
      <c r="A61" s="3" t="s">
        <v>1240</v>
      </c>
      <c r="B61" s="3" t="s">
        <v>1241</v>
      </c>
    </row>
    <row r="62" spans="1:2" x14ac:dyDescent="0.3">
      <c r="A62" s="3" t="s">
        <v>1242</v>
      </c>
      <c r="B62" s="3" t="s">
        <v>1243</v>
      </c>
    </row>
    <row r="63" spans="1:2" x14ac:dyDescent="0.3">
      <c r="A63" s="3" t="s">
        <v>1244</v>
      </c>
      <c r="B63" s="3" t="s">
        <v>1245</v>
      </c>
    </row>
    <row r="64" spans="1:2" x14ac:dyDescent="0.3">
      <c r="A64" s="3" t="s">
        <v>1246</v>
      </c>
      <c r="B64" s="3" t="s">
        <v>1247</v>
      </c>
    </row>
    <row r="65" spans="1:2" x14ac:dyDescent="0.3">
      <c r="A65" s="3" t="s">
        <v>1248</v>
      </c>
      <c r="B65" s="3" t="s">
        <v>1249</v>
      </c>
    </row>
    <row r="66" spans="1:2" x14ac:dyDescent="0.3">
      <c r="A66" s="3" t="s">
        <v>1250</v>
      </c>
      <c r="B66" s="3" t="s">
        <v>1251</v>
      </c>
    </row>
    <row r="67" spans="1:2" x14ac:dyDescent="0.3">
      <c r="A67" s="3" t="s">
        <v>1252</v>
      </c>
      <c r="B67" s="3" t="s">
        <v>1253</v>
      </c>
    </row>
    <row r="68" spans="1:2" x14ac:dyDescent="0.3">
      <c r="A68" s="3" t="s">
        <v>1254</v>
      </c>
      <c r="B68" s="3" t="s">
        <v>1255</v>
      </c>
    </row>
    <row r="69" spans="1:2" x14ac:dyDescent="0.3">
      <c r="A69" s="3" t="s">
        <v>1256</v>
      </c>
      <c r="B69" s="3" t="s">
        <v>1257</v>
      </c>
    </row>
    <row r="70" spans="1:2" x14ac:dyDescent="0.3">
      <c r="A70" s="3" t="s">
        <v>1258</v>
      </c>
      <c r="B70" s="3" t="s">
        <v>1259</v>
      </c>
    </row>
    <row r="71" spans="1:2" x14ac:dyDescent="0.3">
      <c r="A71" s="3" t="s">
        <v>1260</v>
      </c>
      <c r="B71" s="3" t="s">
        <v>1261</v>
      </c>
    </row>
    <row r="72" spans="1:2" x14ac:dyDescent="0.3">
      <c r="A72" s="3" t="s">
        <v>1262</v>
      </c>
      <c r="B72" s="3" t="s">
        <v>1263</v>
      </c>
    </row>
    <row r="73" spans="1:2" x14ac:dyDescent="0.3">
      <c r="A73" s="3" t="s">
        <v>1264</v>
      </c>
      <c r="B73" s="3" t="s">
        <v>1265</v>
      </c>
    </row>
    <row r="74" spans="1:2" x14ac:dyDescent="0.3">
      <c r="A74" s="3" t="s">
        <v>1266</v>
      </c>
      <c r="B74" s="3" t="s">
        <v>1267</v>
      </c>
    </row>
    <row r="75" spans="1:2" x14ac:dyDescent="0.3">
      <c r="A75" s="3" t="s">
        <v>1268</v>
      </c>
      <c r="B75" s="3" t="s">
        <v>1269</v>
      </c>
    </row>
    <row r="76" spans="1:2" x14ac:dyDescent="0.3">
      <c r="A76" s="3" t="s">
        <v>1270</v>
      </c>
      <c r="B76" s="3" t="s">
        <v>1271</v>
      </c>
    </row>
    <row r="77" spans="1:2" x14ac:dyDescent="0.3">
      <c r="A77" s="3" t="s">
        <v>1272</v>
      </c>
      <c r="B77" s="3" t="s">
        <v>1273</v>
      </c>
    </row>
    <row r="78" spans="1:2" x14ac:dyDescent="0.3">
      <c r="A78" s="3" t="s">
        <v>1274</v>
      </c>
      <c r="B78" s="3" t="s">
        <v>1275</v>
      </c>
    </row>
    <row r="79" spans="1:2" x14ac:dyDescent="0.3">
      <c r="A79" s="3" t="s">
        <v>1276</v>
      </c>
      <c r="B79" s="3" t="s">
        <v>1277</v>
      </c>
    </row>
    <row r="80" spans="1:2" x14ac:dyDescent="0.3">
      <c r="A80" s="3" t="s">
        <v>1278</v>
      </c>
      <c r="B80" s="3" t="s">
        <v>1279</v>
      </c>
    </row>
    <row r="81" spans="1:2" x14ac:dyDescent="0.3">
      <c r="A81" s="3" t="s">
        <v>1280</v>
      </c>
      <c r="B81" s="3" t="s">
        <v>1281</v>
      </c>
    </row>
    <row r="82" spans="1:2" x14ac:dyDescent="0.3">
      <c r="A82" s="3" t="s">
        <v>1282</v>
      </c>
      <c r="B82" s="3" t="s">
        <v>1283</v>
      </c>
    </row>
    <row r="83" spans="1:2" x14ac:dyDescent="0.3">
      <c r="A83" s="3" t="s">
        <v>1284</v>
      </c>
      <c r="B83" s="3" t="s">
        <v>1285</v>
      </c>
    </row>
    <row r="84" spans="1:2" x14ac:dyDescent="0.3">
      <c r="A84" s="3" t="s">
        <v>1286</v>
      </c>
      <c r="B84" s="3" t="s">
        <v>1287</v>
      </c>
    </row>
    <row r="85" spans="1:2" x14ac:dyDescent="0.3">
      <c r="A85" s="3" t="s">
        <v>1288</v>
      </c>
      <c r="B85" s="3" t="s">
        <v>1289</v>
      </c>
    </row>
    <row r="86" spans="1:2" x14ac:dyDescent="0.3">
      <c r="A86" s="3" t="s">
        <v>1290</v>
      </c>
      <c r="B86" s="3" t="s">
        <v>1291</v>
      </c>
    </row>
    <row r="87" spans="1:2" x14ac:dyDescent="0.3">
      <c r="A87" s="3" t="s">
        <v>1292</v>
      </c>
      <c r="B87" s="3" t="s">
        <v>1293</v>
      </c>
    </row>
    <row r="88" spans="1:2" x14ac:dyDescent="0.3">
      <c r="A88" s="3" t="s">
        <v>1294</v>
      </c>
      <c r="B88" s="3" t="s">
        <v>1295</v>
      </c>
    </row>
    <row r="89" spans="1:2" x14ac:dyDescent="0.3">
      <c r="A89" s="3" t="s">
        <v>1296</v>
      </c>
      <c r="B89" s="3" t="s">
        <v>1297</v>
      </c>
    </row>
    <row r="90" spans="1:2" x14ac:dyDescent="0.3">
      <c r="A90" s="3" t="s">
        <v>1298</v>
      </c>
      <c r="B90" s="3" t="s">
        <v>1299</v>
      </c>
    </row>
    <row r="91" spans="1:2" x14ac:dyDescent="0.3">
      <c r="A91" s="3" t="s">
        <v>1300</v>
      </c>
      <c r="B91" s="3" t="s">
        <v>1301</v>
      </c>
    </row>
    <row r="92" spans="1:2" x14ac:dyDescent="0.3">
      <c r="A92" s="3" t="s">
        <v>1302</v>
      </c>
      <c r="B92" s="3" t="s">
        <v>1303</v>
      </c>
    </row>
    <row r="93" spans="1:2" x14ac:dyDescent="0.3">
      <c r="A93" s="3" t="s">
        <v>1304</v>
      </c>
      <c r="B93" s="3" t="s">
        <v>1305</v>
      </c>
    </row>
    <row r="94" spans="1:2" x14ac:dyDescent="0.3">
      <c r="A94" s="3" t="s">
        <v>1306</v>
      </c>
      <c r="B94" s="3" t="s">
        <v>1307</v>
      </c>
    </row>
    <row r="95" spans="1:2" x14ac:dyDescent="0.3">
      <c r="A95" s="3" t="s">
        <v>1308</v>
      </c>
      <c r="B95" s="3" t="s">
        <v>1309</v>
      </c>
    </row>
    <row r="96" spans="1:2" x14ac:dyDescent="0.3">
      <c r="A96" s="3" t="s">
        <v>1310</v>
      </c>
      <c r="B96" s="3" t="s">
        <v>1311</v>
      </c>
    </row>
    <row r="97" spans="1:2" x14ac:dyDescent="0.3">
      <c r="A97" s="3" t="s">
        <v>1312</v>
      </c>
      <c r="B97" s="3" t="s">
        <v>1313</v>
      </c>
    </row>
    <row r="98" spans="1:2" x14ac:dyDescent="0.3">
      <c r="A98" s="3" t="s">
        <v>1314</v>
      </c>
      <c r="B98" s="3" t="s">
        <v>1315</v>
      </c>
    </row>
    <row r="99" spans="1:2" x14ac:dyDescent="0.3">
      <c r="A99" s="3" t="s">
        <v>1316</v>
      </c>
      <c r="B99" s="3" t="s">
        <v>1317</v>
      </c>
    </row>
    <row r="100" spans="1:2" x14ac:dyDescent="0.3">
      <c r="A100" s="3" t="s">
        <v>1318</v>
      </c>
      <c r="B100" s="3" t="s">
        <v>1319</v>
      </c>
    </row>
    <row r="101" spans="1:2" x14ac:dyDescent="0.3">
      <c r="A101" s="3" t="s">
        <v>1320</v>
      </c>
      <c r="B101" s="3" t="s">
        <v>1321</v>
      </c>
    </row>
    <row r="102" spans="1:2" x14ac:dyDescent="0.3">
      <c r="A102" s="3" t="s">
        <v>1322</v>
      </c>
      <c r="B102" s="3" t="s">
        <v>1323</v>
      </c>
    </row>
    <row r="103" spans="1:2" x14ac:dyDescent="0.3">
      <c r="A103" s="3" t="s">
        <v>1324</v>
      </c>
      <c r="B103" s="3" t="s">
        <v>1325</v>
      </c>
    </row>
    <row r="104" spans="1:2" x14ac:dyDescent="0.3">
      <c r="A104" s="3" t="s">
        <v>1326</v>
      </c>
      <c r="B104" s="3" t="s">
        <v>1327</v>
      </c>
    </row>
    <row r="105" spans="1:2" x14ac:dyDescent="0.3">
      <c r="A105" s="3" t="s">
        <v>1328</v>
      </c>
      <c r="B105" s="3" t="s">
        <v>1329</v>
      </c>
    </row>
    <row r="106" spans="1:2" x14ac:dyDescent="0.3">
      <c r="A106" s="3" t="s">
        <v>1330</v>
      </c>
      <c r="B106" s="3" t="s">
        <v>1331</v>
      </c>
    </row>
    <row r="107" spans="1:2" x14ac:dyDescent="0.3">
      <c r="A107" s="3" t="s">
        <v>1332</v>
      </c>
      <c r="B107" s="3" t="s">
        <v>1333</v>
      </c>
    </row>
    <row r="108" spans="1:2" x14ac:dyDescent="0.3">
      <c r="A108" s="3" t="s">
        <v>1334</v>
      </c>
      <c r="B108" s="3" t="s">
        <v>1335</v>
      </c>
    </row>
    <row r="109" spans="1:2" x14ac:dyDescent="0.3">
      <c r="A109" s="3" t="s">
        <v>1336</v>
      </c>
      <c r="B109" s="3" t="s">
        <v>1337</v>
      </c>
    </row>
    <row r="110" spans="1:2" x14ac:dyDescent="0.3">
      <c r="A110" s="3" t="s">
        <v>1338</v>
      </c>
      <c r="B110" s="3" t="s">
        <v>1339</v>
      </c>
    </row>
    <row r="111" spans="1:2" x14ac:dyDescent="0.3">
      <c r="A111" s="3" t="s">
        <v>1340</v>
      </c>
      <c r="B111" s="3" t="s">
        <v>1341</v>
      </c>
    </row>
    <row r="112" spans="1:2" x14ac:dyDescent="0.3">
      <c r="A112" s="3" t="s">
        <v>1342</v>
      </c>
      <c r="B112" s="3" t="s">
        <v>1343</v>
      </c>
    </row>
    <row r="113" spans="1:2" x14ac:dyDescent="0.3">
      <c r="A113" s="3" t="s">
        <v>1344</v>
      </c>
      <c r="B113" s="3" t="s">
        <v>1345</v>
      </c>
    </row>
    <row r="114" spans="1:2" x14ac:dyDescent="0.3">
      <c r="A114" s="3" t="s">
        <v>1346</v>
      </c>
      <c r="B114" s="3" t="s">
        <v>1347</v>
      </c>
    </row>
    <row r="115" spans="1:2" x14ac:dyDescent="0.3">
      <c r="A115" s="3" t="s">
        <v>1348</v>
      </c>
      <c r="B115" s="3" t="s">
        <v>1349</v>
      </c>
    </row>
    <row r="116" spans="1:2" x14ac:dyDescent="0.3">
      <c r="A116" s="3" t="s">
        <v>1350</v>
      </c>
      <c r="B116" s="3" t="s">
        <v>1351</v>
      </c>
    </row>
    <row r="117" spans="1:2" x14ac:dyDescent="0.3">
      <c r="A117" s="3" t="s">
        <v>1352</v>
      </c>
      <c r="B117" s="3" t="s">
        <v>1353</v>
      </c>
    </row>
    <row r="118" spans="1:2" x14ac:dyDescent="0.3">
      <c r="A118" s="3" t="s">
        <v>1354</v>
      </c>
      <c r="B118" s="3" t="s">
        <v>1355</v>
      </c>
    </row>
    <row r="119" spans="1:2" x14ac:dyDescent="0.3">
      <c r="A119" s="3" t="s">
        <v>1356</v>
      </c>
      <c r="B119" s="3" t="s">
        <v>1357</v>
      </c>
    </row>
    <row r="120" spans="1:2" x14ac:dyDescent="0.3">
      <c r="A120" s="3" t="s">
        <v>1358</v>
      </c>
      <c r="B120" s="3" t="s">
        <v>1359</v>
      </c>
    </row>
    <row r="121" spans="1:2" x14ac:dyDescent="0.3">
      <c r="A121" s="3" t="s">
        <v>1360</v>
      </c>
      <c r="B121" s="3" t="s">
        <v>1361</v>
      </c>
    </row>
    <row r="122" spans="1:2" x14ac:dyDescent="0.3">
      <c r="A122" s="3" t="s">
        <v>1362</v>
      </c>
      <c r="B122" s="3" t="s">
        <v>1363</v>
      </c>
    </row>
    <row r="123" spans="1:2" x14ac:dyDescent="0.3">
      <c r="A123" s="3" t="s">
        <v>1364</v>
      </c>
      <c r="B123" s="3" t="s">
        <v>1365</v>
      </c>
    </row>
    <row r="124" spans="1:2" x14ac:dyDescent="0.3">
      <c r="A124" s="3" t="s">
        <v>1366</v>
      </c>
      <c r="B124" s="3" t="s">
        <v>1367</v>
      </c>
    </row>
    <row r="125" spans="1:2" x14ac:dyDescent="0.3">
      <c r="A125" s="3" t="s">
        <v>1368</v>
      </c>
      <c r="B125" s="3" t="s">
        <v>1369</v>
      </c>
    </row>
    <row r="126" spans="1:2" x14ac:dyDescent="0.3">
      <c r="A126" s="3" t="s">
        <v>1370</v>
      </c>
      <c r="B126" s="3" t="s">
        <v>1371</v>
      </c>
    </row>
    <row r="127" spans="1:2" x14ac:dyDescent="0.3">
      <c r="A127" s="3" t="s">
        <v>1372</v>
      </c>
      <c r="B127" s="3" t="s">
        <v>1373</v>
      </c>
    </row>
    <row r="128" spans="1:2" x14ac:dyDescent="0.3">
      <c r="A128" s="3" t="s">
        <v>1374</v>
      </c>
      <c r="B128" s="3" t="s">
        <v>1375</v>
      </c>
    </row>
    <row r="129" spans="1:2" x14ac:dyDescent="0.3">
      <c r="A129" s="3" t="s">
        <v>1376</v>
      </c>
      <c r="B129" s="3" t="s">
        <v>1377</v>
      </c>
    </row>
    <row r="130" spans="1:2" x14ac:dyDescent="0.3">
      <c r="A130" s="3" t="s">
        <v>1378</v>
      </c>
      <c r="B130" s="3" t="s">
        <v>1379</v>
      </c>
    </row>
    <row r="131" spans="1:2" x14ac:dyDescent="0.3">
      <c r="A131" s="3" t="s">
        <v>1380</v>
      </c>
      <c r="B131" s="3" t="s">
        <v>1381</v>
      </c>
    </row>
    <row r="132" spans="1:2" x14ac:dyDescent="0.3">
      <c r="A132" s="3" t="s">
        <v>1382</v>
      </c>
      <c r="B132" s="3" t="s">
        <v>1383</v>
      </c>
    </row>
    <row r="133" spans="1:2" x14ac:dyDescent="0.3">
      <c r="A133" s="3" t="s">
        <v>1384</v>
      </c>
      <c r="B133" s="3" t="s">
        <v>1385</v>
      </c>
    </row>
    <row r="134" spans="1:2" x14ac:dyDescent="0.3">
      <c r="A134" s="3" t="s">
        <v>1386</v>
      </c>
      <c r="B134" s="3" t="s">
        <v>1387</v>
      </c>
    </row>
    <row r="135" spans="1:2" x14ac:dyDescent="0.3">
      <c r="A135" s="3" t="s">
        <v>1388</v>
      </c>
      <c r="B135" s="3" t="s">
        <v>1389</v>
      </c>
    </row>
    <row r="136" spans="1:2" x14ac:dyDescent="0.3">
      <c r="A136" s="3" t="s">
        <v>1390</v>
      </c>
      <c r="B136" s="3" t="s">
        <v>1391</v>
      </c>
    </row>
    <row r="137" spans="1:2" x14ac:dyDescent="0.3">
      <c r="A137" s="3" t="s">
        <v>1392</v>
      </c>
      <c r="B137" s="3" t="s">
        <v>1393</v>
      </c>
    </row>
    <row r="138" spans="1:2" x14ac:dyDescent="0.3">
      <c r="A138" s="3" t="s">
        <v>1394</v>
      </c>
      <c r="B138" s="3" t="s">
        <v>1395</v>
      </c>
    </row>
    <row r="139" spans="1:2" x14ac:dyDescent="0.3">
      <c r="A139" s="3" t="s">
        <v>1396</v>
      </c>
      <c r="B139" s="3" t="s">
        <v>1397</v>
      </c>
    </row>
    <row r="140" spans="1:2" x14ac:dyDescent="0.3">
      <c r="A140" s="3" t="s">
        <v>1398</v>
      </c>
      <c r="B140" s="3" t="s">
        <v>1399</v>
      </c>
    </row>
    <row r="141" spans="1:2" x14ac:dyDescent="0.3">
      <c r="A141" s="3" t="s">
        <v>1400</v>
      </c>
      <c r="B141" s="3" t="s">
        <v>1401</v>
      </c>
    </row>
    <row r="142" spans="1:2" x14ac:dyDescent="0.3">
      <c r="A142" s="3" t="s">
        <v>1402</v>
      </c>
      <c r="B142" s="3" t="s">
        <v>1403</v>
      </c>
    </row>
    <row r="143" spans="1:2" x14ac:dyDescent="0.3">
      <c r="A143" s="3" t="s">
        <v>1404</v>
      </c>
      <c r="B143" s="3" t="s">
        <v>1405</v>
      </c>
    </row>
    <row r="144" spans="1:2" x14ac:dyDescent="0.3">
      <c r="A144" s="3" t="s">
        <v>1406</v>
      </c>
      <c r="B144" s="3" t="s">
        <v>1407</v>
      </c>
    </row>
    <row r="145" spans="1:2" x14ac:dyDescent="0.3">
      <c r="A145" s="3" t="s">
        <v>1408</v>
      </c>
      <c r="B145" s="3" t="s">
        <v>1409</v>
      </c>
    </row>
    <row r="146" spans="1:2" x14ac:dyDescent="0.3">
      <c r="A146" s="3" t="s">
        <v>1410</v>
      </c>
      <c r="B146" s="3" t="s">
        <v>1411</v>
      </c>
    </row>
    <row r="147" spans="1:2" x14ac:dyDescent="0.3">
      <c r="A147" s="3" t="s">
        <v>1412</v>
      </c>
      <c r="B147" s="3" t="s">
        <v>1413</v>
      </c>
    </row>
    <row r="148" spans="1:2" x14ac:dyDescent="0.3">
      <c r="A148" s="3" t="s">
        <v>1414</v>
      </c>
      <c r="B148" s="3" t="s">
        <v>1415</v>
      </c>
    </row>
    <row r="149" spans="1:2" x14ac:dyDescent="0.3">
      <c r="A149" s="3" t="s">
        <v>1416</v>
      </c>
      <c r="B149" s="3" t="s">
        <v>1417</v>
      </c>
    </row>
    <row r="150" spans="1:2" x14ac:dyDescent="0.3">
      <c r="A150" s="3" t="s">
        <v>1418</v>
      </c>
      <c r="B150" s="3" t="s">
        <v>1419</v>
      </c>
    </row>
    <row r="151" spans="1:2" x14ac:dyDescent="0.3">
      <c r="A151" s="3" t="s">
        <v>1420</v>
      </c>
      <c r="B151" s="3" t="s">
        <v>1421</v>
      </c>
    </row>
    <row r="152" spans="1:2" x14ac:dyDescent="0.3">
      <c r="A152" s="3" t="s">
        <v>1422</v>
      </c>
      <c r="B152" s="3" t="s">
        <v>1423</v>
      </c>
    </row>
    <row r="153" spans="1:2" x14ac:dyDescent="0.3">
      <c r="A153" s="3" t="s">
        <v>1424</v>
      </c>
      <c r="B153" s="3" t="s">
        <v>1425</v>
      </c>
    </row>
    <row r="154" spans="1:2" x14ac:dyDescent="0.3">
      <c r="A154" s="3" t="s">
        <v>1426</v>
      </c>
      <c r="B154" s="3" t="s">
        <v>1427</v>
      </c>
    </row>
    <row r="155" spans="1:2" x14ac:dyDescent="0.3">
      <c r="A155" s="3" t="s">
        <v>1428</v>
      </c>
      <c r="B155" s="3" t="s">
        <v>1429</v>
      </c>
    </row>
    <row r="156" spans="1:2" x14ac:dyDescent="0.3">
      <c r="A156" s="3" t="s">
        <v>1430</v>
      </c>
      <c r="B156" s="3" t="s">
        <v>1431</v>
      </c>
    </row>
    <row r="157" spans="1:2" x14ac:dyDescent="0.3">
      <c r="A157" s="3" t="s">
        <v>1432</v>
      </c>
      <c r="B157" s="3" t="s">
        <v>1433</v>
      </c>
    </row>
    <row r="158" spans="1:2" x14ac:dyDescent="0.3">
      <c r="A158" s="3" t="s">
        <v>1434</v>
      </c>
      <c r="B158" s="3" t="s">
        <v>1435</v>
      </c>
    </row>
    <row r="159" spans="1:2" x14ac:dyDescent="0.3">
      <c r="A159" s="3" t="s">
        <v>1436</v>
      </c>
      <c r="B159" s="3" t="s">
        <v>1437</v>
      </c>
    </row>
    <row r="160" spans="1:2" x14ac:dyDescent="0.3">
      <c r="A160" s="3" t="s">
        <v>1438</v>
      </c>
      <c r="B160" s="3" t="s">
        <v>1439</v>
      </c>
    </row>
    <row r="161" spans="1:2" x14ac:dyDescent="0.3">
      <c r="A161" s="3" t="s">
        <v>1440</v>
      </c>
      <c r="B161" s="3" t="s">
        <v>1441</v>
      </c>
    </row>
    <row r="162" spans="1:2" x14ac:dyDescent="0.3">
      <c r="A162" s="3" t="s">
        <v>1442</v>
      </c>
      <c r="B162" s="3" t="s">
        <v>1443</v>
      </c>
    </row>
    <row r="163" spans="1:2" x14ac:dyDescent="0.3">
      <c r="A163" s="3" t="s">
        <v>1444</v>
      </c>
      <c r="B163" s="3" t="s">
        <v>1445</v>
      </c>
    </row>
    <row r="164" spans="1:2" x14ac:dyDescent="0.3">
      <c r="A164" s="3" t="s">
        <v>1446</v>
      </c>
      <c r="B164" s="3" t="s">
        <v>1447</v>
      </c>
    </row>
    <row r="165" spans="1:2" x14ac:dyDescent="0.3">
      <c r="A165" s="3" t="s">
        <v>1448</v>
      </c>
      <c r="B165" s="3" t="s">
        <v>1449</v>
      </c>
    </row>
    <row r="166" spans="1:2" x14ac:dyDescent="0.3">
      <c r="A166" s="3" t="s">
        <v>1450</v>
      </c>
      <c r="B166" s="3" t="s">
        <v>1451</v>
      </c>
    </row>
    <row r="167" spans="1:2" x14ac:dyDescent="0.3">
      <c r="A167" s="3" t="s">
        <v>1452</v>
      </c>
      <c r="B167" s="3" t="s">
        <v>1453</v>
      </c>
    </row>
    <row r="168" spans="1:2" x14ac:dyDescent="0.3">
      <c r="A168" s="3" t="s">
        <v>1454</v>
      </c>
      <c r="B168" s="3" t="s">
        <v>1455</v>
      </c>
    </row>
    <row r="169" spans="1:2" x14ac:dyDescent="0.3">
      <c r="A169" s="3" t="s">
        <v>1456</v>
      </c>
      <c r="B169" s="3" t="s">
        <v>1457</v>
      </c>
    </row>
    <row r="170" spans="1:2" x14ac:dyDescent="0.3">
      <c r="A170" s="3" t="s">
        <v>1458</v>
      </c>
      <c r="B170" s="3" t="s">
        <v>1459</v>
      </c>
    </row>
    <row r="171" spans="1:2" x14ac:dyDescent="0.3">
      <c r="A171" s="3" t="s">
        <v>1460</v>
      </c>
      <c r="B171" s="3" t="s">
        <v>1461</v>
      </c>
    </row>
    <row r="172" spans="1:2" x14ac:dyDescent="0.3">
      <c r="A172" s="3" t="s">
        <v>1462</v>
      </c>
      <c r="B172" s="3" t="s">
        <v>1463</v>
      </c>
    </row>
    <row r="173" spans="1:2" x14ac:dyDescent="0.3">
      <c r="A173" s="3" t="s">
        <v>1464</v>
      </c>
      <c r="B173" s="3" t="s">
        <v>1465</v>
      </c>
    </row>
    <row r="174" spans="1:2" x14ac:dyDescent="0.3">
      <c r="A174" s="3" t="s">
        <v>1466</v>
      </c>
      <c r="B174" s="3" t="s">
        <v>1467</v>
      </c>
    </row>
    <row r="175" spans="1:2" x14ac:dyDescent="0.3">
      <c r="A175" s="3" t="s">
        <v>1468</v>
      </c>
      <c r="B175" s="3" t="s">
        <v>1469</v>
      </c>
    </row>
    <row r="176" spans="1:2" x14ac:dyDescent="0.3">
      <c r="A176" s="3" t="s">
        <v>1470</v>
      </c>
      <c r="B176" s="3" t="s">
        <v>1471</v>
      </c>
    </row>
    <row r="177" spans="1:2" x14ac:dyDescent="0.3">
      <c r="A177" s="3" t="s">
        <v>1472</v>
      </c>
      <c r="B177" s="3" t="s">
        <v>1473</v>
      </c>
    </row>
    <row r="178" spans="1:2" x14ac:dyDescent="0.3">
      <c r="A178" s="3" t="s">
        <v>1474</v>
      </c>
      <c r="B178" s="3" t="s">
        <v>1475</v>
      </c>
    </row>
    <row r="179" spans="1:2" x14ac:dyDescent="0.3">
      <c r="A179" s="3" t="s">
        <v>1476</v>
      </c>
      <c r="B179" s="3" t="s">
        <v>1477</v>
      </c>
    </row>
    <row r="180" spans="1:2" x14ac:dyDescent="0.3">
      <c r="A180" s="3" t="s">
        <v>1478</v>
      </c>
      <c r="B180" s="3" t="s">
        <v>1479</v>
      </c>
    </row>
    <row r="181" spans="1:2" x14ac:dyDescent="0.3">
      <c r="A181" s="3" t="s">
        <v>1480</v>
      </c>
      <c r="B181" s="3" t="s">
        <v>1481</v>
      </c>
    </row>
    <row r="182" spans="1:2" x14ac:dyDescent="0.3">
      <c r="A182" s="3" t="s">
        <v>1482</v>
      </c>
      <c r="B182" s="3" t="s">
        <v>1483</v>
      </c>
    </row>
    <row r="183" spans="1:2" x14ac:dyDescent="0.3">
      <c r="A183" s="3" t="s">
        <v>1484</v>
      </c>
      <c r="B183" s="3" t="s">
        <v>1485</v>
      </c>
    </row>
    <row r="184" spans="1:2" x14ac:dyDescent="0.3">
      <c r="A184" s="3" t="s">
        <v>1486</v>
      </c>
      <c r="B184" s="3" t="s">
        <v>1487</v>
      </c>
    </row>
    <row r="185" spans="1:2" x14ac:dyDescent="0.3">
      <c r="A185" s="3" t="s">
        <v>1488</v>
      </c>
      <c r="B185" s="3" t="s">
        <v>1489</v>
      </c>
    </row>
    <row r="186" spans="1:2" x14ac:dyDescent="0.3">
      <c r="A186" s="3" t="s">
        <v>1490</v>
      </c>
      <c r="B186" s="3" t="s">
        <v>1491</v>
      </c>
    </row>
    <row r="187" spans="1:2" x14ac:dyDescent="0.3">
      <c r="A187" s="3" t="s">
        <v>1492</v>
      </c>
      <c r="B187" s="3" t="s">
        <v>1493</v>
      </c>
    </row>
    <row r="188" spans="1:2" x14ac:dyDescent="0.3">
      <c r="A188" s="3" t="s">
        <v>1494</v>
      </c>
      <c r="B188" s="3" t="s">
        <v>1495</v>
      </c>
    </row>
    <row r="189" spans="1:2" x14ac:dyDescent="0.3">
      <c r="A189" s="3" t="s">
        <v>1496</v>
      </c>
      <c r="B189" s="3" t="s">
        <v>1497</v>
      </c>
    </row>
    <row r="190" spans="1:2" x14ac:dyDescent="0.3">
      <c r="A190" s="3" t="s">
        <v>1498</v>
      </c>
      <c r="B190" s="3" t="s">
        <v>1499</v>
      </c>
    </row>
    <row r="191" spans="1:2" x14ac:dyDescent="0.3">
      <c r="A191" s="3" t="s">
        <v>1500</v>
      </c>
      <c r="B191" s="3" t="s">
        <v>1501</v>
      </c>
    </row>
    <row r="192" spans="1:2" x14ac:dyDescent="0.3">
      <c r="A192" s="3" t="s">
        <v>1502</v>
      </c>
      <c r="B192" s="3" t="s">
        <v>1503</v>
      </c>
    </row>
    <row r="193" spans="1:2" x14ac:dyDescent="0.3">
      <c r="A193" s="3" t="s">
        <v>1504</v>
      </c>
      <c r="B193" s="3" t="s">
        <v>1505</v>
      </c>
    </row>
    <row r="194" spans="1:2" x14ac:dyDescent="0.3">
      <c r="A194" s="3" t="s">
        <v>1506</v>
      </c>
      <c r="B194" s="3" t="s">
        <v>1507</v>
      </c>
    </row>
    <row r="195" spans="1:2" x14ac:dyDescent="0.3">
      <c r="A195" s="3" t="s">
        <v>1508</v>
      </c>
      <c r="B195" s="3" t="s">
        <v>1509</v>
      </c>
    </row>
    <row r="196" spans="1:2" x14ac:dyDescent="0.3">
      <c r="A196" s="3" t="s">
        <v>1510</v>
      </c>
      <c r="B196" s="3" t="s">
        <v>1511</v>
      </c>
    </row>
    <row r="197" spans="1:2" x14ac:dyDescent="0.3">
      <c r="A197" s="3" t="s">
        <v>1512</v>
      </c>
      <c r="B197" s="3" t="s">
        <v>1513</v>
      </c>
    </row>
    <row r="198" spans="1:2" x14ac:dyDescent="0.3">
      <c r="A198" s="3" t="s">
        <v>1514</v>
      </c>
      <c r="B198" s="3" t="s">
        <v>1515</v>
      </c>
    </row>
    <row r="199" spans="1:2" x14ac:dyDescent="0.3">
      <c r="A199" s="3" t="s">
        <v>1516</v>
      </c>
      <c r="B199" s="3" t="s">
        <v>1517</v>
      </c>
    </row>
    <row r="200" spans="1:2" x14ac:dyDescent="0.3">
      <c r="A200" s="3" t="s">
        <v>1518</v>
      </c>
      <c r="B200" s="3" t="s">
        <v>1519</v>
      </c>
    </row>
    <row r="201" spans="1:2" x14ac:dyDescent="0.3">
      <c r="A201" s="3" t="s">
        <v>1520</v>
      </c>
      <c r="B201" s="3" t="s">
        <v>1521</v>
      </c>
    </row>
    <row r="202" spans="1:2" x14ac:dyDescent="0.3">
      <c r="A202" s="3" t="s">
        <v>1522</v>
      </c>
      <c r="B202" s="3" t="s">
        <v>1523</v>
      </c>
    </row>
    <row r="203" spans="1:2" x14ac:dyDescent="0.3">
      <c r="A203" s="3" t="s">
        <v>1524</v>
      </c>
      <c r="B203" s="3" t="s">
        <v>1525</v>
      </c>
    </row>
    <row r="204" spans="1:2" x14ac:dyDescent="0.3">
      <c r="A204" s="3" t="s">
        <v>1526</v>
      </c>
      <c r="B204" s="3" t="s">
        <v>1527</v>
      </c>
    </row>
    <row r="205" spans="1:2" x14ac:dyDescent="0.3">
      <c r="A205" s="3" t="s">
        <v>1528</v>
      </c>
      <c r="B205" s="3" t="s">
        <v>1529</v>
      </c>
    </row>
    <row r="206" spans="1:2" x14ac:dyDescent="0.3">
      <c r="A206" s="3" t="s">
        <v>1530</v>
      </c>
      <c r="B206" s="3" t="s">
        <v>1531</v>
      </c>
    </row>
    <row r="207" spans="1:2" x14ac:dyDescent="0.3">
      <c r="A207" s="3" t="s">
        <v>1532</v>
      </c>
      <c r="B207" s="3" t="s">
        <v>1533</v>
      </c>
    </row>
    <row r="208" spans="1:2" x14ac:dyDescent="0.3">
      <c r="A208" s="3" t="s">
        <v>1534</v>
      </c>
      <c r="B208" s="3" t="s">
        <v>1535</v>
      </c>
    </row>
    <row r="209" spans="1:2" x14ac:dyDescent="0.3">
      <c r="A209" s="3" t="s">
        <v>1536</v>
      </c>
      <c r="B209" s="3" t="s">
        <v>1537</v>
      </c>
    </row>
    <row r="210" spans="1:2" x14ac:dyDescent="0.3">
      <c r="A210" s="3" t="s">
        <v>1538</v>
      </c>
      <c r="B210" s="3" t="s">
        <v>1539</v>
      </c>
    </row>
    <row r="211" spans="1:2" x14ac:dyDescent="0.3">
      <c r="A211" s="3" t="s">
        <v>1540</v>
      </c>
      <c r="B211" s="3" t="s">
        <v>1541</v>
      </c>
    </row>
    <row r="212" spans="1:2" x14ac:dyDescent="0.3">
      <c r="A212" s="3" t="s">
        <v>1542</v>
      </c>
      <c r="B212" s="3" t="s">
        <v>1543</v>
      </c>
    </row>
    <row r="213" spans="1:2" x14ac:dyDescent="0.3">
      <c r="A213" s="3" t="s">
        <v>1544</v>
      </c>
      <c r="B213" s="3" t="s">
        <v>1545</v>
      </c>
    </row>
    <row r="214" spans="1:2" x14ac:dyDescent="0.3">
      <c r="A214" s="3" t="s">
        <v>1546</v>
      </c>
      <c r="B214" s="3" t="s">
        <v>1547</v>
      </c>
    </row>
    <row r="215" spans="1:2" x14ac:dyDescent="0.3">
      <c r="A215" s="3" t="s">
        <v>1548</v>
      </c>
      <c r="B215" s="3" t="s">
        <v>1549</v>
      </c>
    </row>
    <row r="216" spans="1:2" x14ac:dyDescent="0.3">
      <c r="A216" s="3" t="s">
        <v>1550</v>
      </c>
      <c r="B216" s="3" t="s">
        <v>1551</v>
      </c>
    </row>
    <row r="217" spans="1:2" x14ac:dyDescent="0.3">
      <c r="A217" s="3" t="s">
        <v>1552</v>
      </c>
      <c r="B217" s="3" t="s">
        <v>1553</v>
      </c>
    </row>
    <row r="218" spans="1:2" x14ac:dyDescent="0.3">
      <c r="A218" s="3" t="s">
        <v>1554</v>
      </c>
      <c r="B218" s="3" t="s">
        <v>1555</v>
      </c>
    </row>
    <row r="219" spans="1:2" x14ac:dyDescent="0.3">
      <c r="A219" s="3" t="s">
        <v>1556</v>
      </c>
      <c r="B219" s="3" t="s">
        <v>1557</v>
      </c>
    </row>
    <row r="220" spans="1:2" x14ac:dyDescent="0.3">
      <c r="A220" s="3" t="s">
        <v>1558</v>
      </c>
      <c r="B220" s="3" t="s">
        <v>1559</v>
      </c>
    </row>
    <row r="221" spans="1:2" x14ac:dyDescent="0.3">
      <c r="A221" s="3" t="s">
        <v>1560</v>
      </c>
      <c r="B221" s="3" t="s">
        <v>1561</v>
      </c>
    </row>
    <row r="222" spans="1:2" x14ac:dyDescent="0.3">
      <c r="A222" s="3" t="s">
        <v>1562</v>
      </c>
      <c r="B222" s="3" t="s">
        <v>1563</v>
      </c>
    </row>
    <row r="223" spans="1:2" x14ac:dyDescent="0.3">
      <c r="A223" s="3" t="s">
        <v>1564</v>
      </c>
      <c r="B223" s="3" t="s">
        <v>1565</v>
      </c>
    </row>
    <row r="224" spans="1:2" x14ac:dyDescent="0.3">
      <c r="A224" s="3" t="s">
        <v>1566</v>
      </c>
      <c r="B224" s="3" t="s">
        <v>1567</v>
      </c>
    </row>
    <row r="225" spans="1:2" x14ac:dyDescent="0.3">
      <c r="A225" s="3" t="s">
        <v>1568</v>
      </c>
      <c r="B225" s="3" t="s">
        <v>1569</v>
      </c>
    </row>
    <row r="226" spans="1:2" x14ac:dyDescent="0.3">
      <c r="A226" s="3" t="s">
        <v>1570</v>
      </c>
      <c r="B226" s="3" t="s">
        <v>1571</v>
      </c>
    </row>
    <row r="227" spans="1:2" x14ac:dyDescent="0.3">
      <c r="A227" s="3" t="s">
        <v>1572</v>
      </c>
      <c r="B227" s="3" t="s">
        <v>1573</v>
      </c>
    </row>
    <row r="228" spans="1:2" x14ac:dyDescent="0.3">
      <c r="A228" s="3" t="s">
        <v>1574</v>
      </c>
      <c r="B228" s="3" t="s">
        <v>1575</v>
      </c>
    </row>
    <row r="229" spans="1:2" x14ac:dyDescent="0.3">
      <c r="A229" s="3" t="s">
        <v>1576</v>
      </c>
      <c r="B229" s="3" t="s">
        <v>1577</v>
      </c>
    </row>
    <row r="230" spans="1:2" x14ac:dyDescent="0.3">
      <c r="A230" s="3" t="s">
        <v>1578</v>
      </c>
      <c r="B230" s="3" t="s">
        <v>1579</v>
      </c>
    </row>
    <row r="231" spans="1:2" x14ac:dyDescent="0.3">
      <c r="A231" s="3" t="s">
        <v>1580</v>
      </c>
      <c r="B231" s="3" t="s">
        <v>1581</v>
      </c>
    </row>
    <row r="232" spans="1:2" x14ac:dyDescent="0.3">
      <c r="A232" s="3" t="s">
        <v>1582</v>
      </c>
      <c r="B232" s="3" t="s">
        <v>1583</v>
      </c>
    </row>
    <row r="233" spans="1:2" x14ac:dyDescent="0.3">
      <c r="A233" s="3" t="s">
        <v>1584</v>
      </c>
      <c r="B233" s="3" t="s">
        <v>1585</v>
      </c>
    </row>
    <row r="234" spans="1:2" x14ac:dyDescent="0.3">
      <c r="A234" s="3" t="s">
        <v>1586</v>
      </c>
      <c r="B234" s="3" t="s">
        <v>1587</v>
      </c>
    </row>
    <row r="235" spans="1:2" x14ac:dyDescent="0.3">
      <c r="A235" s="3" t="s">
        <v>1588</v>
      </c>
      <c r="B235" s="3" t="s">
        <v>1589</v>
      </c>
    </row>
    <row r="236" spans="1:2" x14ac:dyDescent="0.3">
      <c r="A236" s="3" t="s">
        <v>1590</v>
      </c>
      <c r="B236" s="3" t="s">
        <v>1591</v>
      </c>
    </row>
    <row r="237" spans="1:2" x14ac:dyDescent="0.3">
      <c r="A237" s="3" t="s">
        <v>1592</v>
      </c>
      <c r="B237" s="3" t="s">
        <v>1593</v>
      </c>
    </row>
    <row r="238" spans="1:2" x14ac:dyDescent="0.3">
      <c r="A238" s="3" t="s">
        <v>1594</v>
      </c>
      <c r="B238" s="3" t="s">
        <v>1595</v>
      </c>
    </row>
    <row r="239" spans="1:2" x14ac:dyDescent="0.3">
      <c r="A239" s="3" t="s">
        <v>1596</v>
      </c>
      <c r="B239" s="3" t="s">
        <v>1597</v>
      </c>
    </row>
    <row r="240" spans="1:2" x14ac:dyDescent="0.3">
      <c r="A240" s="3" t="s">
        <v>1598</v>
      </c>
      <c r="B240" s="3" t="s">
        <v>1599</v>
      </c>
    </row>
    <row r="241" spans="1:2" x14ac:dyDescent="0.3">
      <c r="A241" s="3" t="s">
        <v>1600</v>
      </c>
      <c r="B241" s="3" t="s">
        <v>1601</v>
      </c>
    </row>
    <row r="242" spans="1:2" x14ac:dyDescent="0.3">
      <c r="A242" s="3" t="s">
        <v>1602</v>
      </c>
      <c r="B242" s="3" t="s">
        <v>1603</v>
      </c>
    </row>
    <row r="243" spans="1:2" x14ac:dyDescent="0.3">
      <c r="A243" s="3" t="s">
        <v>1604</v>
      </c>
      <c r="B243" s="3" t="s">
        <v>1605</v>
      </c>
    </row>
    <row r="244" spans="1:2" x14ac:dyDescent="0.3">
      <c r="A244" s="3" t="s">
        <v>1606</v>
      </c>
      <c r="B244" s="3" t="s">
        <v>1607</v>
      </c>
    </row>
    <row r="245" spans="1:2" x14ac:dyDescent="0.3">
      <c r="A245" s="3" t="s">
        <v>1608</v>
      </c>
      <c r="B245" s="3" t="s">
        <v>1609</v>
      </c>
    </row>
    <row r="246" spans="1:2" x14ac:dyDescent="0.3">
      <c r="A246" s="3" t="s">
        <v>1610</v>
      </c>
      <c r="B246" s="3" t="s">
        <v>1611</v>
      </c>
    </row>
    <row r="247" spans="1:2" x14ac:dyDescent="0.3">
      <c r="A247" s="3" t="s">
        <v>1612</v>
      </c>
      <c r="B247" s="3" t="s">
        <v>1613</v>
      </c>
    </row>
    <row r="248" spans="1:2" x14ac:dyDescent="0.3">
      <c r="A248" s="3" t="s">
        <v>1614</v>
      </c>
      <c r="B248" s="3" t="s">
        <v>1615</v>
      </c>
    </row>
    <row r="249" spans="1:2" x14ac:dyDescent="0.3">
      <c r="A249" s="3" t="s">
        <v>1616</v>
      </c>
      <c r="B249" s="3" t="s">
        <v>1617</v>
      </c>
    </row>
    <row r="250" spans="1:2" x14ac:dyDescent="0.3">
      <c r="A250" s="3" t="s">
        <v>1618</v>
      </c>
      <c r="B250" s="3" t="s">
        <v>1619</v>
      </c>
    </row>
    <row r="251" spans="1:2" x14ac:dyDescent="0.3">
      <c r="A251" s="3" t="s">
        <v>1620</v>
      </c>
      <c r="B251" s="3" t="s">
        <v>1621</v>
      </c>
    </row>
    <row r="252" spans="1:2" x14ac:dyDescent="0.3">
      <c r="A252" s="3" t="s">
        <v>1622</v>
      </c>
      <c r="B252" s="3" t="s">
        <v>1623</v>
      </c>
    </row>
    <row r="253" spans="1:2" x14ac:dyDescent="0.3">
      <c r="A253" s="3" t="s">
        <v>1624</v>
      </c>
      <c r="B253" s="3" t="s">
        <v>1625</v>
      </c>
    </row>
    <row r="254" spans="1:2" x14ac:dyDescent="0.3">
      <c r="A254" s="3" t="s">
        <v>1626</v>
      </c>
      <c r="B254" s="3" t="s">
        <v>1627</v>
      </c>
    </row>
    <row r="255" spans="1:2" x14ac:dyDescent="0.3">
      <c r="A255" s="3" t="s">
        <v>1628</v>
      </c>
      <c r="B255" s="3" t="s">
        <v>1629</v>
      </c>
    </row>
    <row r="256" spans="1:2" x14ac:dyDescent="0.3">
      <c r="A256" s="3" t="s">
        <v>1630</v>
      </c>
      <c r="B256" s="3" t="s">
        <v>1631</v>
      </c>
    </row>
    <row r="257" spans="1:2" x14ac:dyDescent="0.3">
      <c r="A257" s="3" t="s">
        <v>1632</v>
      </c>
      <c r="B257" s="3" t="s">
        <v>1633</v>
      </c>
    </row>
    <row r="258" spans="1:2" x14ac:dyDescent="0.3">
      <c r="A258" s="3" t="s">
        <v>1634</v>
      </c>
      <c r="B258" s="3" t="s">
        <v>1635</v>
      </c>
    </row>
    <row r="259" spans="1:2" x14ac:dyDescent="0.3">
      <c r="A259" s="3" t="s">
        <v>1636</v>
      </c>
      <c r="B259" s="3" t="s">
        <v>1637</v>
      </c>
    </row>
    <row r="260" spans="1:2" x14ac:dyDescent="0.3">
      <c r="A260" s="3" t="s">
        <v>1638</v>
      </c>
      <c r="B260" s="3" t="s">
        <v>1639</v>
      </c>
    </row>
    <row r="261" spans="1:2" x14ac:dyDescent="0.3">
      <c r="A261" s="3" t="s">
        <v>1640</v>
      </c>
      <c r="B261" s="3" t="s">
        <v>1641</v>
      </c>
    </row>
    <row r="262" spans="1:2" x14ac:dyDescent="0.3">
      <c r="A262" s="3" t="s">
        <v>1642</v>
      </c>
      <c r="B262" s="3" t="s">
        <v>1643</v>
      </c>
    </row>
    <row r="263" spans="1:2" x14ac:dyDescent="0.3">
      <c r="A263" s="3" t="s">
        <v>1644</v>
      </c>
      <c r="B263" s="3" t="s">
        <v>1645</v>
      </c>
    </row>
    <row r="264" spans="1:2" x14ac:dyDescent="0.3">
      <c r="A264" s="3" t="s">
        <v>1646</v>
      </c>
      <c r="B264" s="3" t="s">
        <v>1647</v>
      </c>
    </row>
    <row r="265" spans="1:2" x14ac:dyDescent="0.3">
      <c r="A265" s="3" t="s">
        <v>1648</v>
      </c>
      <c r="B265" s="3" t="s">
        <v>1649</v>
      </c>
    </row>
    <row r="266" spans="1:2" x14ac:dyDescent="0.3">
      <c r="A266" s="3" t="s">
        <v>1650</v>
      </c>
      <c r="B266" s="3" t="s">
        <v>1651</v>
      </c>
    </row>
    <row r="267" spans="1:2" x14ac:dyDescent="0.3">
      <c r="A267" s="3" t="s">
        <v>1652</v>
      </c>
      <c r="B267" s="3" t="s">
        <v>1653</v>
      </c>
    </row>
    <row r="268" spans="1:2" x14ac:dyDescent="0.3">
      <c r="A268" s="3" t="s">
        <v>1654</v>
      </c>
      <c r="B268" s="3" t="s">
        <v>1655</v>
      </c>
    </row>
    <row r="269" spans="1:2" x14ac:dyDescent="0.3">
      <c r="A269" s="3" t="s">
        <v>1656</v>
      </c>
      <c r="B269" s="3" t="s">
        <v>1657</v>
      </c>
    </row>
    <row r="270" spans="1:2" x14ac:dyDescent="0.3">
      <c r="A270" s="3" t="s">
        <v>1658</v>
      </c>
      <c r="B270" s="3" t="s">
        <v>1659</v>
      </c>
    </row>
    <row r="271" spans="1:2" x14ac:dyDescent="0.3">
      <c r="A271" s="3" t="s">
        <v>1660</v>
      </c>
      <c r="B271" s="3" t="s">
        <v>1661</v>
      </c>
    </row>
    <row r="272" spans="1:2" x14ac:dyDescent="0.3">
      <c r="A272" s="3" t="s">
        <v>1662</v>
      </c>
      <c r="B272" s="3" t="s">
        <v>1663</v>
      </c>
    </row>
    <row r="273" spans="1:2" x14ac:dyDescent="0.3">
      <c r="A273" s="3" t="s">
        <v>1664</v>
      </c>
      <c r="B273" s="3" t="s">
        <v>1665</v>
      </c>
    </row>
    <row r="274" spans="1:2" x14ac:dyDescent="0.3">
      <c r="A274" s="3" t="s">
        <v>1666</v>
      </c>
      <c r="B274" s="3" t="s">
        <v>1667</v>
      </c>
    </row>
    <row r="275" spans="1:2" x14ac:dyDescent="0.3">
      <c r="A275" s="3" t="s">
        <v>1668</v>
      </c>
      <c r="B275" s="3" t="s">
        <v>1669</v>
      </c>
    </row>
    <row r="276" spans="1:2" x14ac:dyDescent="0.3">
      <c r="A276" s="3" t="s">
        <v>1670</v>
      </c>
      <c r="B276" s="3" t="s">
        <v>1671</v>
      </c>
    </row>
    <row r="277" spans="1:2" x14ac:dyDescent="0.3">
      <c r="A277" s="3" t="s">
        <v>1672</v>
      </c>
      <c r="B277" s="3" t="s">
        <v>1673</v>
      </c>
    </row>
    <row r="278" spans="1:2" x14ac:dyDescent="0.3">
      <c r="A278" s="3" t="s">
        <v>1674</v>
      </c>
      <c r="B278" s="3" t="s">
        <v>1675</v>
      </c>
    </row>
    <row r="279" spans="1:2" x14ac:dyDescent="0.3">
      <c r="A279" s="3" t="s">
        <v>1676</v>
      </c>
      <c r="B279" s="3" t="s">
        <v>1677</v>
      </c>
    </row>
    <row r="280" spans="1:2" x14ac:dyDescent="0.3">
      <c r="A280" s="3" t="s">
        <v>1678</v>
      </c>
      <c r="B280" s="3" t="s">
        <v>1679</v>
      </c>
    </row>
    <row r="281" spans="1:2" x14ac:dyDescent="0.3">
      <c r="A281" s="3" t="s">
        <v>1680</v>
      </c>
      <c r="B281" s="3" t="s">
        <v>1681</v>
      </c>
    </row>
    <row r="282" spans="1:2" x14ac:dyDescent="0.3">
      <c r="A282" s="3" t="s">
        <v>1682</v>
      </c>
      <c r="B282" s="3" t="s">
        <v>1683</v>
      </c>
    </row>
    <row r="283" spans="1:2" x14ac:dyDescent="0.3">
      <c r="A283" s="3" t="s">
        <v>1684</v>
      </c>
      <c r="B283" s="3" t="s">
        <v>1685</v>
      </c>
    </row>
    <row r="284" spans="1:2" x14ac:dyDescent="0.3">
      <c r="A284" s="3" t="s">
        <v>1686</v>
      </c>
      <c r="B284" s="3" t="s">
        <v>1687</v>
      </c>
    </row>
    <row r="285" spans="1:2" x14ac:dyDescent="0.3">
      <c r="A285" s="3" t="s">
        <v>1688</v>
      </c>
      <c r="B285" s="3" t="s">
        <v>1689</v>
      </c>
    </row>
    <row r="286" spans="1:2" x14ac:dyDescent="0.3">
      <c r="A286" s="3" t="s">
        <v>1690</v>
      </c>
      <c r="B286" s="3" t="s">
        <v>1691</v>
      </c>
    </row>
    <row r="287" spans="1:2" x14ac:dyDescent="0.3">
      <c r="A287" s="3" t="s">
        <v>1692</v>
      </c>
      <c r="B287" s="3" t="s">
        <v>1693</v>
      </c>
    </row>
    <row r="288" spans="1:2" x14ac:dyDescent="0.3">
      <c r="A288" s="3" t="s">
        <v>1694</v>
      </c>
      <c r="B288" s="3" t="s">
        <v>1695</v>
      </c>
    </row>
    <row r="289" spans="1:2" x14ac:dyDescent="0.3">
      <c r="A289" s="3" t="s">
        <v>1696</v>
      </c>
      <c r="B289" s="3" t="s">
        <v>1697</v>
      </c>
    </row>
    <row r="290" spans="1:2" x14ac:dyDescent="0.3">
      <c r="A290" s="3" t="s">
        <v>1698</v>
      </c>
      <c r="B290" s="3" t="s">
        <v>1699</v>
      </c>
    </row>
    <row r="291" spans="1:2" x14ac:dyDescent="0.3">
      <c r="A291" s="3" t="s">
        <v>1700</v>
      </c>
      <c r="B291" s="3" t="s">
        <v>1701</v>
      </c>
    </row>
    <row r="292" spans="1:2" x14ac:dyDescent="0.3">
      <c r="A292" s="3" t="s">
        <v>1702</v>
      </c>
      <c r="B292" s="3" t="s">
        <v>1703</v>
      </c>
    </row>
    <row r="293" spans="1:2" x14ac:dyDescent="0.3">
      <c r="A293" s="3" t="s">
        <v>1704</v>
      </c>
      <c r="B293" s="3" t="s">
        <v>1705</v>
      </c>
    </row>
    <row r="294" spans="1:2" x14ac:dyDescent="0.3">
      <c r="A294" s="3" t="s">
        <v>1706</v>
      </c>
      <c r="B294" s="3" t="s">
        <v>1707</v>
      </c>
    </row>
    <row r="295" spans="1:2" x14ac:dyDescent="0.3">
      <c r="A295" s="3" t="s">
        <v>1708</v>
      </c>
      <c r="B295" s="3" t="s">
        <v>1709</v>
      </c>
    </row>
    <row r="296" spans="1:2" x14ac:dyDescent="0.3">
      <c r="A296" s="3" t="s">
        <v>1710</v>
      </c>
      <c r="B296" s="3" t="s">
        <v>1711</v>
      </c>
    </row>
    <row r="297" spans="1:2" x14ac:dyDescent="0.3">
      <c r="A297" s="3" t="s">
        <v>1712</v>
      </c>
      <c r="B297" s="3" t="s">
        <v>1713</v>
      </c>
    </row>
    <row r="298" spans="1:2" x14ac:dyDescent="0.3">
      <c r="A298" s="3" t="s">
        <v>1714</v>
      </c>
      <c r="B298" s="3" t="s">
        <v>1715</v>
      </c>
    </row>
    <row r="299" spans="1:2" x14ac:dyDescent="0.3">
      <c r="A299" s="3" t="s">
        <v>1716</v>
      </c>
      <c r="B299" s="3" t="s">
        <v>1717</v>
      </c>
    </row>
    <row r="300" spans="1:2" x14ac:dyDescent="0.3">
      <c r="A300" s="3" t="s">
        <v>1718</v>
      </c>
      <c r="B300" s="3" t="s">
        <v>1719</v>
      </c>
    </row>
    <row r="301" spans="1:2" x14ac:dyDescent="0.3">
      <c r="A301" s="3" t="s">
        <v>1720</v>
      </c>
      <c r="B301" s="3" t="s">
        <v>1721</v>
      </c>
    </row>
    <row r="302" spans="1:2" x14ac:dyDescent="0.3">
      <c r="A302" s="3" t="s">
        <v>1722</v>
      </c>
      <c r="B302" s="3" t="s">
        <v>1723</v>
      </c>
    </row>
    <row r="303" spans="1:2" x14ac:dyDescent="0.3">
      <c r="A303" s="3" t="s">
        <v>1724</v>
      </c>
      <c r="B303" s="3" t="s">
        <v>1725</v>
      </c>
    </row>
    <row r="304" spans="1:2" x14ac:dyDescent="0.3">
      <c r="A304" s="3" t="s">
        <v>1726</v>
      </c>
      <c r="B304" s="3" t="s">
        <v>1727</v>
      </c>
    </row>
    <row r="305" spans="1:2" x14ac:dyDescent="0.3">
      <c r="A305" s="3" t="s">
        <v>1728</v>
      </c>
      <c r="B305" s="3" t="s">
        <v>1729</v>
      </c>
    </row>
    <row r="306" spans="1:2" x14ac:dyDescent="0.3">
      <c r="A306" s="3" t="s">
        <v>1730</v>
      </c>
      <c r="B306" s="3" t="s">
        <v>1731</v>
      </c>
    </row>
    <row r="307" spans="1:2" x14ac:dyDescent="0.3">
      <c r="A307" s="3" t="s">
        <v>1732</v>
      </c>
      <c r="B307" s="3" t="s">
        <v>1733</v>
      </c>
    </row>
    <row r="308" spans="1:2" x14ac:dyDescent="0.3">
      <c r="A308" s="3" t="s">
        <v>1734</v>
      </c>
      <c r="B308" s="3" t="s">
        <v>1735</v>
      </c>
    </row>
    <row r="309" spans="1:2" x14ac:dyDescent="0.3">
      <c r="A309" s="3" t="s">
        <v>1736</v>
      </c>
      <c r="B309" s="3" t="s">
        <v>1737</v>
      </c>
    </row>
    <row r="310" spans="1:2" x14ac:dyDescent="0.3">
      <c r="A310" s="3" t="s">
        <v>1738</v>
      </c>
      <c r="B310" s="3" t="s">
        <v>1739</v>
      </c>
    </row>
    <row r="311" spans="1:2" x14ac:dyDescent="0.3">
      <c r="A311" s="3" t="s">
        <v>1740</v>
      </c>
      <c r="B311" s="3" t="s">
        <v>1741</v>
      </c>
    </row>
    <row r="312" spans="1:2" x14ac:dyDescent="0.3">
      <c r="A312" s="3" t="s">
        <v>1742</v>
      </c>
      <c r="B312" s="3" t="s">
        <v>1743</v>
      </c>
    </row>
    <row r="313" spans="1:2" x14ac:dyDescent="0.3">
      <c r="A313" s="3" t="s">
        <v>1744</v>
      </c>
      <c r="B313" s="3" t="s">
        <v>1745</v>
      </c>
    </row>
    <row r="314" spans="1:2" x14ac:dyDescent="0.3">
      <c r="A314" s="3" t="s">
        <v>1746</v>
      </c>
      <c r="B314" s="3" t="s">
        <v>1747</v>
      </c>
    </row>
    <row r="315" spans="1:2" x14ac:dyDescent="0.3">
      <c r="A315" s="3" t="s">
        <v>1748</v>
      </c>
      <c r="B315" s="3" t="s">
        <v>1749</v>
      </c>
    </row>
    <row r="316" spans="1:2" x14ac:dyDescent="0.3">
      <c r="A316" s="3" t="s">
        <v>1750</v>
      </c>
      <c r="B316" s="3" t="s">
        <v>1751</v>
      </c>
    </row>
    <row r="317" spans="1:2" x14ac:dyDescent="0.3">
      <c r="A317" s="3" t="s">
        <v>1752</v>
      </c>
      <c r="B317" s="3" t="s">
        <v>1753</v>
      </c>
    </row>
    <row r="318" spans="1:2" x14ac:dyDescent="0.3">
      <c r="A318" s="3" t="s">
        <v>1754</v>
      </c>
      <c r="B318" s="3" t="s">
        <v>1755</v>
      </c>
    </row>
    <row r="319" spans="1:2" x14ac:dyDescent="0.3">
      <c r="A319" s="3" t="s">
        <v>1756</v>
      </c>
      <c r="B319" s="3" t="s">
        <v>1757</v>
      </c>
    </row>
    <row r="320" spans="1:2" x14ac:dyDescent="0.3">
      <c r="A320" s="3" t="s">
        <v>1758</v>
      </c>
      <c r="B320" s="3" t="s">
        <v>1759</v>
      </c>
    </row>
    <row r="321" spans="1:2" x14ac:dyDescent="0.3">
      <c r="A321" s="3" t="s">
        <v>1760</v>
      </c>
      <c r="B321" s="3" t="s">
        <v>1761</v>
      </c>
    </row>
    <row r="322" spans="1:2" x14ac:dyDescent="0.3">
      <c r="A322" s="3" t="s">
        <v>1762</v>
      </c>
      <c r="B322" s="3" t="s">
        <v>1763</v>
      </c>
    </row>
    <row r="323" spans="1:2" x14ac:dyDescent="0.3">
      <c r="A323" s="3" t="s">
        <v>1764</v>
      </c>
      <c r="B323" s="3" t="s">
        <v>1765</v>
      </c>
    </row>
    <row r="324" spans="1:2" x14ac:dyDescent="0.3">
      <c r="A324" s="3" t="s">
        <v>1766</v>
      </c>
      <c r="B324" s="3" t="s">
        <v>1767</v>
      </c>
    </row>
    <row r="325" spans="1:2" x14ac:dyDescent="0.3">
      <c r="A325" s="3" t="s">
        <v>1768</v>
      </c>
      <c r="B325" s="3" t="s">
        <v>1769</v>
      </c>
    </row>
    <row r="326" spans="1:2" x14ac:dyDescent="0.3">
      <c r="A326" s="3" t="s">
        <v>1770</v>
      </c>
      <c r="B326" s="3" t="s">
        <v>1771</v>
      </c>
    </row>
    <row r="327" spans="1:2" x14ac:dyDescent="0.3">
      <c r="A327" s="3" t="s">
        <v>1772</v>
      </c>
      <c r="B327" s="3" t="s">
        <v>1773</v>
      </c>
    </row>
    <row r="328" spans="1:2" x14ac:dyDescent="0.3">
      <c r="A328" s="3" t="s">
        <v>1774</v>
      </c>
      <c r="B328" s="3" t="s">
        <v>1775</v>
      </c>
    </row>
    <row r="329" spans="1:2" x14ac:dyDescent="0.3">
      <c r="A329" s="3" t="s">
        <v>1776</v>
      </c>
      <c r="B329" s="3" t="s">
        <v>1777</v>
      </c>
    </row>
    <row r="330" spans="1:2" x14ac:dyDescent="0.3">
      <c r="A330" s="3" t="s">
        <v>1778</v>
      </c>
      <c r="B330" s="3" t="s">
        <v>1779</v>
      </c>
    </row>
    <row r="331" spans="1:2" x14ac:dyDescent="0.3">
      <c r="A331" s="3" t="s">
        <v>1780</v>
      </c>
      <c r="B331" s="3" t="s">
        <v>1781</v>
      </c>
    </row>
    <row r="332" spans="1:2" x14ac:dyDescent="0.3">
      <c r="A332" s="3" t="s">
        <v>1782</v>
      </c>
      <c r="B332" s="3" t="s">
        <v>1783</v>
      </c>
    </row>
    <row r="333" spans="1:2" x14ac:dyDescent="0.3">
      <c r="A333" s="3" t="s">
        <v>1784</v>
      </c>
      <c r="B333" s="3" t="s">
        <v>1785</v>
      </c>
    </row>
    <row r="334" spans="1:2" x14ac:dyDescent="0.3">
      <c r="A334" s="3" t="s">
        <v>1786</v>
      </c>
      <c r="B334" s="3" t="s">
        <v>1787</v>
      </c>
    </row>
    <row r="335" spans="1:2" x14ac:dyDescent="0.3">
      <c r="A335" s="3" t="s">
        <v>1788</v>
      </c>
      <c r="B335" s="3" t="s">
        <v>1789</v>
      </c>
    </row>
    <row r="336" spans="1:2" x14ac:dyDescent="0.3">
      <c r="A336" s="3" t="s">
        <v>1790</v>
      </c>
      <c r="B336" s="3" t="s">
        <v>1791</v>
      </c>
    </row>
    <row r="337" spans="1:2" x14ac:dyDescent="0.3">
      <c r="A337" s="3" t="s">
        <v>1792</v>
      </c>
      <c r="B337" s="3" t="s">
        <v>1793</v>
      </c>
    </row>
    <row r="338" spans="1:2" x14ac:dyDescent="0.3">
      <c r="A338" s="3" t="s">
        <v>1794</v>
      </c>
      <c r="B338" s="3" t="s">
        <v>1795</v>
      </c>
    </row>
    <row r="339" spans="1:2" x14ac:dyDescent="0.3">
      <c r="A339" s="3" t="s">
        <v>1796</v>
      </c>
      <c r="B339" s="3" t="s">
        <v>1797</v>
      </c>
    </row>
    <row r="340" spans="1:2" x14ac:dyDescent="0.3">
      <c r="A340" s="3" t="s">
        <v>1798</v>
      </c>
      <c r="B340" s="3" t="s">
        <v>1799</v>
      </c>
    </row>
    <row r="341" spans="1:2" x14ac:dyDescent="0.3">
      <c r="A341" s="3" t="s">
        <v>1800</v>
      </c>
      <c r="B341" s="3" t="s">
        <v>1801</v>
      </c>
    </row>
    <row r="342" spans="1:2" x14ac:dyDescent="0.3">
      <c r="A342" s="3" t="s">
        <v>1802</v>
      </c>
      <c r="B342" s="3" t="s">
        <v>1803</v>
      </c>
    </row>
    <row r="343" spans="1:2" x14ac:dyDescent="0.3">
      <c r="A343" s="3" t="s">
        <v>1804</v>
      </c>
      <c r="B343" s="3" t="s">
        <v>1805</v>
      </c>
    </row>
    <row r="344" spans="1:2" x14ac:dyDescent="0.3">
      <c r="A344" s="3" t="s">
        <v>1806</v>
      </c>
      <c r="B344" s="3" t="s">
        <v>1807</v>
      </c>
    </row>
    <row r="345" spans="1:2" x14ac:dyDescent="0.3">
      <c r="A345" s="3" t="s">
        <v>1808</v>
      </c>
      <c r="B345" s="3" t="s">
        <v>1809</v>
      </c>
    </row>
    <row r="346" spans="1:2" x14ac:dyDescent="0.3">
      <c r="A346" s="3" t="s">
        <v>1810</v>
      </c>
      <c r="B346" s="3" t="s">
        <v>1811</v>
      </c>
    </row>
    <row r="347" spans="1:2" x14ac:dyDescent="0.3">
      <c r="A347" s="3" t="s">
        <v>1812</v>
      </c>
      <c r="B347" s="3" t="s">
        <v>1813</v>
      </c>
    </row>
    <row r="348" spans="1:2" x14ac:dyDescent="0.3">
      <c r="A348" s="3" t="s">
        <v>1814</v>
      </c>
      <c r="B348" s="3" t="s">
        <v>1815</v>
      </c>
    </row>
    <row r="349" spans="1:2" x14ac:dyDescent="0.3">
      <c r="A349" s="3" t="s">
        <v>1816</v>
      </c>
      <c r="B349" s="3" t="s">
        <v>1817</v>
      </c>
    </row>
    <row r="350" spans="1:2" x14ac:dyDescent="0.3">
      <c r="A350" s="3" t="s">
        <v>1818</v>
      </c>
      <c r="B350" s="3" t="s">
        <v>1819</v>
      </c>
    </row>
    <row r="351" spans="1:2" x14ac:dyDescent="0.3">
      <c r="A351" s="3" t="s">
        <v>1820</v>
      </c>
      <c r="B351" s="3" t="s">
        <v>1821</v>
      </c>
    </row>
    <row r="352" spans="1:2" x14ac:dyDescent="0.3">
      <c r="A352" s="3" t="s">
        <v>1822</v>
      </c>
      <c r="B352" s="3" t="s">
        <v>1823</v>
      </c>
    </row>
    <row r="353" spans="1:2" x14ac:dyDescent="0.3">
      <c r="A353" s="3" t="s">
        <v>1824</v>
      </c>
      <c r="B353" s="3" t="s">
        <v>1825</v>
      </c>
    </row>
    <row r="354" spans="1:2" x14ac:dyDescent="0.3">
      <c r="A354" s="3" t="s">
        <v>1826</v>
      </c>
      <c r="B354" s="3" t="s">
        <v>1827</v>
      </c>
    </row>
    <row r="355" spans="1:2" x14ac:dyDescent="0.3">
      <c r="A355" s="3" t="s">
        <v>1828</v>
      </c>
      <c r="B355" s="3" t="s">
        <v>1829</v>
      </c>
    </row>
    <row r="356" spans="1:2" x14ac:dyDescent="0.3">
      <c r="A356" s="3" t="s">
        <v>1830</v>
      </c>
      <c r="B356" s="3" t="s">
        <v>1831</v>
      </c>
    </row>
    <row r="357" spans="1:2" x14ac:dyDescent="0.3">
      <c r="A357" s="3" t="s">
        <v>1832</v>
      </c>
      <c r="B357" s="3" t="s">
        <v>1833</v>
      </c>
    </row>
    <row r="358" spans="1:2" x14ac:dyDescent="0.3">
      <c r="A358" s="3" t="s">
        <v>1834</v>
      </c>
      <c r="B358" s="3" t="s">
        <v>1835</v>
      </c>
    </row>
    <row r="359" spans="1:2" x14ac:dyDescent="0.3">
      <c r="A359" s="3" t="s">
        <v>1836</v>
      </c>
      <c r="B359" s="3" t="s">
        <v>1837</v>
      </c>
    </row>
    <row r="360" spans="1:2" x14ac:dyDescent="0.3">
      <c r="A360" s="3" t="s">
        <v>1838</v>
      </c>
      <c r="B360" s="3" t="s">
        <v>1839</v>
      </c>
    </row>
    <row r="361" spans="1:2" x14ac:dyDescent="0.3">
      <c r="A361" s="3" t="s">
        <v>1840</v>
      </c>
      <c r="B361" s="3" t="s">
        <v>1841</v>
      </c>
    </row>
    <row r="362" spans="1:2" x14ac:dyDescent="0.3">
      <c r="A362" s="3" t="s">
        <v>1842</v>
      </c>
      <c r="B362" s="3" t="s">
        <v>1843</v>
      </c>
    </row>
    <row r="363" spans="1:2" x14ac:dyDescent="0.3">
      <c r="A363" s="3" t="s">
        <v>1844</v>
      </c>
      <c r="B363" s="3" t="s">
        <v>1845</v>
      </c>
    </row>
    <row r="364" spans="1:2" x14ac:dyDescent="0.3">
      <c r="A364" s="3" t="s">
        <v>1846</v>
      </c>
      <c r="B364" s="3" t="s">
        <v>1847</v>
      </c>
    </row>
    <row r="365" spans="1:2" x14ac:dyDescent="0.3">
      <c r="A365" s="3" t="s">
        <v>1848</v>
      </c>
      <c r="B365" s="3" t="s">
        <v>1849</v>
      </c>
    </row>
    <row r="366" spans="1:2" x14ac:dyDescent="0.3">
      <c r="A366" s="3" t="s">
        <v>1850</v>
      </c>
      <c r="B366" s="3" t="s">
        <v>1851</v>
      </c>
    </row>
    <row r="367" spans="1:2" x14ac:dyDescent="0.3">
      <c r="A367" s="3" t="s">
        <v>1852</v>
      </c>
      <c r="B367" s="3" t="s">
        <v>1853</v>
      </c>
    </row>
    <row r="368" spans="1:2" x14ac:dyDescent="0.3">
      <c r="A368" s="3" t="s">
        <v>1854</v>
      </c>
      <c r="B368" s="3" t="s">
        <v>1855</v>
      </c>
    </row>
    <row r="369" spans="1:2" x14ac:dyDescent="0.3">
      <c r="A369" s="3" t="s">
        <v>1856</v>
      </c>
      <c r="B369" s="3" t="s">
        <v>1857</v>
      </c>
    </row>
    <row r="370" spans="1:2" x14ac:dyDescent="0.3">
      <c r="A370" s="3" t="s">
        <v>1858</v>
      </c>
      <c r="B370" s="3" t="s">
        <v>1859</v>
      </c>
    </row>
    <row r="371" spans="1:2" x14ac:dyDescent="0.3">
      <c r="A371" s="3" t="s">
        <v>1860</v>
      </c>
      <c r="B371" s="3" t="s">
        <v>1861</v>
      </c>
    </row>
    <row r="372" spans="1:2" x14ac:dyDescent="0.3">
      <c r="A372" s="3" t="s">
        <v>1862</v>
      </c>
      <c r="B372" s="3" t="s">
        <v>1863</v>
      </c>
    </row>
    <row r="373" spans="1:2" x14ac:dyDescent="0.3">
      <c r="A373" s="3" t="s">
        <v>1864</v>
      </c>
      <c r="B373" s="3" t="s">
        <v>1865</v>
      </c>
    </row>
    <row r="374" spans="1:2" x14ac:dyDescent="0.3">
      <c r="A374" s="3" t="s">
        <v>1866</v>
      </c>
      <c r="B374" s="3" t="s">
        <v>1867</v>
      </c>
    </row>
    <row r="375" spans="1:2" x14ac:dyDescent="0.3">
      <c r="A375" s="3" t="s">
        <v>1868</v>
      </c>
      <c r="B375" s="3" t="s">
        <v>1869</v>
      </c>
    </row>
    <row r="376" spans="1:2" x14ac:dyDescent="0.3">
      <c r="A376" s="3" t="s">
        <v>1870</v>
      </c>
      <c r="B376" s="3" t="s">
        <v>1871</v>
      </c>
    </row>
    <row r="377" spans="1:2" x14ac:dyDescent="0.3">
      <c r="A377" s="3" t="s">
        <v>1872</v>
      </c>
      <c r="B377" s="3" t="s">
        <v>1873</v>
      </c>
    </row>
    <row r="378" spans="1:2" x14ac:dyDescent="0.3">
      <c r="A378" s="3" t="s">
        <v>1874</v>
      </c>
      <c r="B378" s="3" t="s">
        <v>1875</v>
      </c>
    </row>
    <row r="379" spans="1:2" x14ac:dyDescent="0.3">
      <c r="A379" s="3" t="s">
        <v>1876</v>
      </c>
      <c r="B379" s="3" t="s">
        <v>1877</v>
      </c>
    </row>
    <row r="380" spans="1:2" x14ac:dyDescent="0.3">
      <c r="A380" s="3" t="s">
        <v>1878</v>
      </c>
      <c r="B380" s="3" t="s">
        <v>1879</v>
      </c>
    </row>
    <row r="381" spans="1:2" x14ac:dyDescent="0.3">
      <c r="A381" s="3" t="s">
        <v>1880</v>
      </c>
      <c r="B381" s="3" t="s">
        <v>1881</v>
      </c>
    </row>
    <row r="382" spans="1:2" x14ac:dyDescent="0.3">
      <c r="A382" s="3" t="s">
        <v>1882</v>
      </c>
      <c r="B382" s="3" t="s">
        <v>1883</v>
      </c>
    </row>
    <row r="383" spans="1:2" x14ac:dyDescent="0.3">
      <c r="A383" s="3" t="s">
        <v>1884</v>
      </c>
      <c r="B383" s="3" t="s">
        <v>1885</v>
      </c>
    </row>
    <row r="384" spans="1:2" x14ac:dyDescent="0.3">
      <c r="A384" s="3" t="s">
        <v>1886</v>
      </c>
      <c r="B384" s="3" t="s">
        <v>1887</v>
      </c>
    </row>
    <row r="385" spans="1:2" x14ac:dyDescent="0.3">
      <c r="A385" s="3" t="s">
        <v>1888</v>
      </c>
      <c r="B385" s="3" t="s">
        <v>1889</v>
      </c>
    </row>
    <row r="386" spans="1:2" x14ac:dyDescent="0.3">
      <c r="A386" s="3" t="s">
        <v>1890</v>
      </c>
      <c r="B386" s="3" t="s">
        <v>1891</v>
      </c>
    </row>
    <row r="387" spans="1:2" x14ac:dyDescent="0.3">
      <c r="A387" s="3" t="s">
        <v>1892</v>
      </c>
      <c r="B387" s="3" t="s">
        <v>1893</v>
      </c>
    </row>
    <row r="388" spans="1:2" x14ac:dyDescent="0.3">
      <c r="A388" s="3" t="s">
        <v>1894</v>
      </c>
      <c r="B388" s="3" t="s">
        <v>1895</v>
      </c>
    </row>
    <row r="389" spans="1:2" x14ac:dyDescent="0.3">
      <c r="A389" s="3" t="s">
        <v>1896</v>
      </c>
      <c r="B389" s="3" t="s">
        <v>1897</v>
      </c>
    </row>
    <row r="390" spans="1:2" x14ac:dyDescent="0.3">
      <c r="A390" s="3" t="s">
        <v>1898</v>
      </c>
      <c r="B390" s="3" t="s">
        <v>1899</v>
      </c>
    </row>
    <row r="391" spans="1:2" x14ac:dyDescent="0.3">
      <c r="A391" s="3" t="s">
        <v>1900</v>
      </c>
      <c r="B391" s="3" t="s">
        <v>1901</v>
      </c>
    </row>
    <row r="392" spans="1:2" x14ac:dyDescent="0.3">
      <c r="A392" s="3" t="s">
        <v>1902</v>
      </c>
      <c r="B392" s="3" t="s">
        <v>1903</v>
      </c>
    </row>
    <row r="393" spans="1:2" x14ac:dyDescent="0.3">
      <c r="A393" s="3" t="s">
        <v>1904</v>
      </c>
      <c r="B393" s="3" t="s">
        <v>1905</v>
      </c>
    </row>
    <row r="394" spans="1:2" x14ac:dyDescent="0.3">
      <c r="A394" s="3" t="s">
        <v>1906</v>
      </c>
      <c r="B394" s="3" t="s">
        <v>1907</v>
      </c>
    </row>
    <row r="395" spans="1:2" x14ac:dyDescent="0.3">
      <c r="A395" s="3" t="s">
        <v>1908</v>
      </c>
      <c r="B395" s="3" t="s">
        <v>1909</v>
      </c>
    </row>
    <row r="396" spans="1:2" x14ac:dyDescent="0.3">
      <c r="A396" s="3" t="s">
        <v>1910</v>
      </c>
      <c r="B396" s="3" t="s">
        <v>1911</v>
      </c>
    </row>
    <row r="397" spans="1:2" x14ac:dyDescent="0.3">
      <c r="A397" s="3" t="s">
        <v>1912</v>
      </c>
      <c r="B397" s="3" t="s">
        <v>1913</v>
      </c>
    </row>
    <row r="398" spans="1:2" x14ac:dyDescent="0.3">
      <c r="A398" s="3" t="s">
        <v>1914</v>
      </c>
      <c r="B398" s="3" t="s">
        <v>1915</v>
      </c>
    </row>
    <row r="399" spans="1:2" x14ac:dyDescent="0.3">
      <c r="A399" s="3" t="s">
        <v>1916</v>
      </c>
      <c r="B399" s="3" t="s">
        <v>1917</v>
      </c>
    </row>
    <row r="400" spans="1:2" x14ac:dyDescent="0.3">
      <c r="A400" s="3" t="s">
        <v>1918</v>
      </c>
      <c r="B400" s="3" t="s">
        <v>1919</v>
      </c>
    </row>
    <row r="401" spans="1:2" x14ac:dyDescent="0.3">
      <c r="A401" s="3" t="s">
        <v>1920</v>
      </c>
      <c r="B401" s="3" t="s">
        <v>1921</v>
      </c>
    </row>
    <row r="402" spans="1:2" x14ac:dyDescent="0.3">
      <c r="A402" s="3" t="s">
        <v>1922</v>
      </c>
      <c r="B402" s="3" t="s">
        <v>1923</v>
      </c>
    </row>
    <row r="403" spans="1:2" x14ac:dyDescent="0.3">
      <c r="A403" s="3" t="s">
        <v>1924</v>
      </c>
      <c r="B403" s="3" t="s">
        <v>1925</v>
      </c>
    </row>
    <row r="404" spans="1:2" x14ac:dyDescent="0.3">
      <c r="A404" s="3" t="s">
        <v>1926</v>
      </c>
      <c r="B404" s="3" t="s">
        <v>1927</v>
      </c>
    </row>
    <row r="405" spans="1:2" x14ac:dyDescent="0.3">
      <c r="A405" s="3" t="s">
        <v>1928</v>
      </c>
      <c r="B405" s="3" t="s">
        <v>1929</v>
      </c>
    </row>
    <row r="406" spans="1:2" x14ac:dyDescent="0.3">
      <c r="A406" s="3" t="s">
        <v>1930</v>
      </c>
      <c r="B406" s="3" t="s">
        <v>1931</v>
      </c>
    </row>
    <row r="407" spans="1:2" x14ac:dyDescent="0.3">
      <c r="A407" s="3" t="s">
        <v>1932</v>
      </c>
      <c r="B407" s="3" t="s">
        <v>1933</v>
      </c>
    </row>
    <row r="408" spans="1:2" x14ac:dyDescent="0.3">
      <c r="A408" s="3" t="s">
        <v>1934</v>
      </c>
      <c r="B408" s="3" t="s">
        <v>1935</v>
      </c>
    </row>
    <row r="409" spans="1:2" x14ac:dyDescent="0.3">
      <c r="A409" s="3" t="s">
        <v>1936</v>
      </c>
      <c r="B409" s="3" t="s">
        <v>1937</v>
      </c>
    </row>
    <row r="410" spans="1:2" x14ac:dyDescent="0.3">
      <c r="A410" s="3" t="s">
        <v>1938</v>
      </c>
      <c r="B410" s="3" t="s">
        <v>1939</v>
      </c>
    </row>
    <row r="411" spans="1:2" x14ac:dyDescent="0.3">
      <c r="A411" s="3" t="s">
        <v>1940</v>
      </c>
      <c r="B411" s="3" t="s">
        <v>1941</v>
      </c>
    </row>
    <row r="412" spans="1:2" x14ac:dyDescent="0.3">
      <c r="A412" s="3" t="s">
        <v>1942</v>
      </c>
      <c r="B412" s="3" t="s">
        <v>1943</v>
      </c>
    </row>
    <row r="413" spans="1:2" x14ac:dyDescent="0.3">
      <c r="A413" s="3" t="s">
        <v>1944</v>
      </c>
      <c r="B413" s="3" t="s">
        <v>1945</v>
      </c>
    </row>
    <row r="414" spans="1:2" x14ac:dyDescent="0.3">
      <c r="A414" s="3" t="s">
        <v>1946</v>
      </c>
      <c r="B414" s="3" t="s">
        <v>1947</v>
      </c>
    </row>
    <row r="415" spans="1:2" x14ac:dyDescent="0.3">
      <c r="A415" s="3" t="s">
        <v>1948</v>
      </c>
      <c r="B415" s="3" t="s">
        <v>1949</v>
      </c>
    </row>
    <row r="416" spans="1:2" x14ac:dyDescent="0.3">
      <c r="A416" s="3" t="s">
        <v>1950</v>
      </c>
      <c r="B416" s="3" t="s">
        <v>1951</v>
      </c>
    </row>
    <row r="417" spans="1:2" x14ac:dyDescent="0.3">
      <c r="A417" s="3" t="s">
        <v>1952</v>
      </c>
      <c r="B417" s="3" t="s">
        <v>1953</v>
      </c>
    </row>
    <row r="418" spans="1:2" x14ac:dyDescent="0.3">
      <c r="A418" s="3" t="s">
        <v>1954</v>
      </c>
      <c r="B418" s="3" t="s">
        <v>1955</v>
      </c>
    </row>
    <row r="419" spans="1:2" x14ac:dyDescent="0.3">
      <c r="A419" s="3" t="s">
        <v>1956</v>
      </c>
      <c r="B419" s="3" t="s">
        <v>1957</v>
      </c>
    </row>
    <row r="420" spans="1:2" x14ac:dyDescent="0.3">
      <c r="A420" s="3" t="s">
        <v>1958</v>
      </c>
      <c r="B420" s="3" t="s">
        <v>1959</v>
      </c>
    </row>
    <row r="421" spans="1:2" x14ac:dyDescent="0.3">
      <c r="A421" s="3" t="s">
        <v>1960</v>
      </c>
      <c r="B421" s="3" t="s">
        <v>1961</v>
      </c>
    </row>
    <row r="422" spans="1:2" x14ac:dyDescent="0.3">
      <c r="A422" s="3" t="s">
        <v>1962</v>
      </c>
      <c r="B422" s="3" t="s">
        <v>1963</v>
      </c>
    </row>
    <row r="423" spans="1:2" x14ac:dyDescent="0.3">
      <c r="A423" s="3" t="s">
        <v>1964</v>
      </c>
      <c r="B423" s="3" t="s">
        <v>1965</v>
      </c>
    </row>
    <row r="424" spans="1:2" x14ac:dyDescent="0.3">
      <c r="A424" s="3" t="s">
        <v>1966</v>
      </c>
      <c r="B424" s="3" t="s">
        <v>1967</v>
      </c>
    </row>
    <row r="425" spans="1:2" x14ac:dyDescent="0.3">
      <c r="A425" s="3" t="s">
        <v>1968</v>
      </c>
      <c r="B425" s="3" t="s">
        <v>1969</v>
      </c>
    </row>
    <row r="426" spans="1:2" x14ac:dyDescent="0.3">
      <c r="A426" s="3" t="s">
        <v>1970</v>
      </c>
      <c r="B426" s="3" t="s">
        <v>1971</v>
      </c>
    </row>
    <row r="427" spans="1:2" x14ac:dyDescent="0.3">
      <c r="A427" s="3" t="s">
        <v>1972</v>
      </c>
      <c r="B427" s="3" t="s">
        <v>1973</v>
      </c>
    </row>
    <row r="428" spans="1:2" x14ac:dyDescent="0.3">
      <c r="A428" s="3" t="s">
        <v>1974</v>
      </c>
      <c r="B428" s="3" t="s">
        <v>1975</v>
      </c>
    </row>
    <row r="429" spans="1:2" x14ac:dyDescent="0.3">
      <c r="A429" s="3" t="s">
        <v>1976</v>
      </c>
      <c r="B429" s="3" t="s">
        <v>1977</v>
      </c>
    </row>
    <row r="430" spans="1:2" x14ac:dyDescent="0.3">
      <c r="A430" s="3" t="s">
        <v>1978</v>
      </c>
      <c r="B430" s="3" t="s">
        <v>1979</v>
      </c>
    </row>
    <row r="431" spans="1:2" x14ac:dyDescent="0.3">
      <c r="A431" s="3" t="s">
        <v>1980</v>
      </c>
      <c r="B431" s="3" t="s">
        <v>1981</v>
      </c>
    </row>
    <row r="432" spans="1:2" x14ac:dyDescent="0.3">
      <c r="A432" s="3" t="s">
        <v>1982</v>
      </c>
      <c r="B432" s="3" t="s">
        <v>1983</v>
      </c>
    </row>
    <row r="433" spans="1:2" x14ac:dyDescent="0.3">
      <c r="A433" s="3" t="s">
        <v>1984</v>
      </c>
      <c r="B433" s="3" t="s">
        <v>1985</v>
      </c>
    </row>
    <row r="434" spans="1:2" x14ac:dyDescent="0.3">
      <c r="A434" s="3" t="s">
        <v>1986</v>
      </c>
      <c r="B434" s="3" t="s">
        <v>1987</v>
      </c>
    </row>
    <row r="435" spans="1:2" x14ac:dyDescent="0.3">
      <c r="A435" s="3" t="s">
        <v>1988</v>
      </c>
      <c r="B435" s="3" t="s">
        <v>1989</v>
      </c>
    </row>
    <row r="436" spans="1:2" x14ac:dyDescent="0.3">
      <c r="A436" s="3" t="s">
        <v>1990</v>
      </c>
      <c r="B436" s="3" t="s">
        <v>1991</v>
      </c>
    </row>
    <row r="437" spans="1:2" x14ac:dyDescent="0.3">
      <c r="A437" s="3" t="s">
        <v>1992</v>
      </c>
      <c r="B437" s="3" t="s">
        <v>1993</v>
      </c>
    </row>
    <row r="438" spans="1:2" x14ac:dyDescent="0.3">
      <c r="A438" s="3" t="s">
        <v>1994</v>
      </c>
      <c r="B438" s="3" t="s">
        <v>1995</v>
      </c>
    </row>
    <row r="439" spans="1:2" x14ac:dyDescent="0.3">
      <c r="A439" s="3" t="s">
        <v>1996</v>
      </c>
      <c r="B439" s="3" t="s">
        <v>1997</v>
      </c>
    </row>
    <row r="440" spans="1:2" x14ac:dyDescent="0.3">
      <c r="A440" s="3" t="s">
        <v>1998</v>
      </c>
      <c r="B440" s="3" t="s">
        <v>1999</v>
      </c>
    </row>
    <row r="441" spans="1:2" x14ac:dyDescent="0.3">
      <c r="A441" s="3" t="s">
        <v>2000</v>
      </c>
      <c r="B441" s="3" t="s">
        <v>2001</v>
      </c>
    </row>
    <row r="442" spans="1:2" x14ac:dyDescent="0.3">
      <c r="A442" s="3" t="s">
        <v>2002</v>
      </c>
      <c r="B442" s="3" t="s">
        <v>2003</v>
      </c>
    </row>
    <row r="443" spans="1:2" x14ac:dyDescent="0.3">
      <c r="A443" s="3" t="s">
        <v>2004</v>
      </c>
      <c r="B443" s="3" t="s">
        <v>2005</v>
      </c>
    </row>
    <row r="444" spans="1:2" x14ac:dyDescent="0.3">
      <c r="A444" s="3" t="s">
        <v>2006</v>
      </c>
      <c r="B444" s="3" t="s">
        <v>2007</v>
      </c>
    </row>
    <row r="445" spans="1:2" x14ac:dyDescent="0.3">
      <c r="A445" s="3" t="s">
        <v>2008</v>
      </c>
      <c r="B445" s="3" t="s">
        <v>2009</v>
      </c>
    </row>
    <row r="446" spans="1:2" x14ac:dyDescent="0.3">
      <c r="A446" s="3" t="s">
        <v>2010</v>
      </c>
      <c r="B446" s="3" t="s">
        <v>2011</v>
      </c>
    </row>
    <row r="447" spans="1:2" x14ac:dyDescent="0.3">
      <c r="A447" s="3" t="s">
        <v>2012</v>
      </c>
      <c r="B447" s="3" t="s">
        <v>2013</v>
      </c>
    </row>
    <row r="448" spans="1:2" x14ac:dyDescent="0.3">
      <c r="A448" s="3" t="s">
        <v>2014</v>
      </c>
      <c r="B448" s="3" t="s">
        <v>2015</v>
      </c>
    </row>
    <row r="449" spans="1:2" x14ac:dyDescent="0.3">
      <c r="A449" s="3" t="s">
        <v>2016</v>
      </c>
      <c r="B449" s="3" t="s">
        <v>2017</v>
      </c>
    </row>
    <row r="450" spans="1:2" x14ac:dyDescent="0.3">
      <c r="A450" s="3" t="s">
        <v>2018</v>
      </c>
      <c r="B450" s="3" t="s">
        <v>2019</v>
      </c>
    </row>
    <row r="451" spans="1:2" x14ac:dyDescent="0.3">
      <c r="A451" s="3" t="s">
        <v>2020</v>
      </c>
      <c r="B451" s="3" t="s">
        <v>2021</v>
      </c>
    </row>
    <row r="452" spans="1:2" x14ac:dyDescent="0.3">
      <c r="A452" s="3" t="s">
        <v>2022</v>
      </c>
      <c r="B452" s="3" t="s">
        <v>2023</v>
      </c>
    </row>
    <row r="453" spans="1:2" x14ac:dyDescent="0.3">
      <c r="A453" s="3" t="s">
        <v>2024</v>
      </c>
      <c r="B453" s="3" t="s">
        <v>2025</v>
      </c>
    </row>
    <row r="454" spans="1:2" x14ac:dyDescent="0.3">
      <c r="A454" s="3" t="s">
        <v>2026</v>
      </c>
      <c r="B454" s="3" t="s">
        <v>2027</v>
      </c>
    </row>
    <row r="455" spans="1:2" x14ac:dyDescent="0.3">
      <c r="A455" s="3" t="s">
        <v>2028</v>
      </c>
      <c r="B455" s="3" t="s">
        <v>2029</v>
      </c>
    </row>
    <row r="456" spans="1:2" x14ac:dyDescent="0.3">
      <c r="A456" s="3" t="s">
        <v>2030</v>
      </c>
      <c r="B456" s="3" t="s">
        <v>2031</v>
      </c>
    </row>
    <row r="457" spans="1:2" x14ac:dyDescent="0.3">
      <c r="A457" s="3" t="s">
        <v>2032</v>
      </c>
      <c r="B457" s="3" t="s">
        <v>2033</v>
      </c>
    </row>
    <row r="458" spans="1:2" x14ac:dyDescent="0.3">
      <c r="A458" s="3" t="s">
        <v>2034</v>
      </c>
      <c r="B458" s="3" t="s">
        <v>2035</v>
      </c>
    </row>
    <row r="459" spans="1:2" x14ac:dyDescent="0.3">
      <c r="A459" s="3" t="s">
        <v>2036</v>
      </c>
      <c r="B459" s="3" t="s">
        <v>2037</v>
      </c>
    </row>
    <row r="460" spans="1:2" x14ac:dyDescent="0.3">
      <c r="A460" s="3" t="s">
        <v>2038</v>
      </c>
      <c r="B460" s="3" t="s">
        <v>2039</v>
      </c>
    </row>
    <row r="461" spans="1:2" x14ac:dyDescent="0.3">
      <c r="A461" s="3" t="s">
        <v>2040</v>
      </c>
      <c r="B461" s="3" t="s">
        <v>2041</v>
      </c>
    </row>
    <row r="462" spans="1:2" x14ac:dyDescent="0.3">
      <c r="A462" s="3" t="s">
        <v>2042</v>
      </c>
      <c r="B462" s="3" t="s">
        <v>2043</v>
      </c>
    </row>
    <row r="463" spans="1:2" x14ac:dyDescent="0.3">
      <c r="A463" s="3" t="s">
        <v>2044</v>
      </c>
      <c r="B463" s="3" t="s">
        <v>2045</v>
      </c>
    </row>
    <row r="464" spans="1:2" x14ac:dyDescent="0.3">
      <c r="A464" s="3" t="s">
        <v>2046</v>
      </c>
      <c r="B464" s="3" t="s">
        <v>2047</v>
      </c>
    </row>
    <row r="465" spans="1:2" x14ac:dyDescent="0.3">
      <c r="A465" s="3" t="s">
        <v>2048</v>
      </c>
      <c r="B465" s="3" t="s">
        <v>2049</v>
      </c>
    </row>
    <row r="466" spans="1:2" x14ac:dyDescent="0.3">
      <c r="A466" s="3" t="s">
        <v>2050</v>
      </c>
      <c r="B466" s="3" t="s">
        <v>2051</v>
      </c>
    </row>
    <row r="467" spans="1:2" x14ac:dyDescent="0.3">
      <c r="A467" s="3" t="s">
        <v>2052</v>
      </c>
      <c r="B467" s="3" t="s">
        <v>2053</v>
      </c>
    </row>
    <row r="468" spans="1:2" x14ac:dyDescent="0.3">
      <c r="A468" s="3" t="s">
        <v>2054</v>
      </c>
      <c r="B468" s="3" t="s">
        <v>2055</v>
      </c>
    </row>
    <row r="469" spans="1:2" x14ac:dyDescent="0.3">
      <c r="A469" s="3" t="s">
        <v>2056</v>
      </c>
      <c r="B469" s="3" t="s">
        <v>2057</v>
      </c>
    </row>
    <row r="470" spans="1:2" x14ac:dyDescent="0.3">
      <c r="A470" s="3" t="s">
        <v>2058</v>
      </c>
      <c r="B470" s="3" t="s">
        <v>2059</v>
      </c>
    </row>
    <row r="471" spans="1:2" x14ac:dyDescent="0.3">
      <c r="A471" s="3" t="s">
        <v>2060</v>
      </c>
      <c r="B471" s="3" t="s">
        <v>2061</v>
      </c>
    </row>
    <row r="472" spans="1:2" x14ac:dyDescent="0.3">
      <c r="A472" s="3" t="s">
        <v>2062</v>
      </c>
      <c r="B472" s="3" t="s">
        <v>2063</v>
      </c>
    </row>
    <row r="473" spans="1:2" x14ac:dyDescent="0.3">
      <c r="A473" s="3" t="s">
        <v>2064</v>
      </c>
      <c r="B473" s="3" t="s">
        <v>2065</v>
      </c>
    </row>
    <row r="474" spans="1:2" x14ac:dyDescent="0.3">
      <c r="A474" s="3" t="s">
        <v>2066</v>
      </c>
      <c r="B474" s="3" t="s">
        <v>2067</v>
      </c>
    </row>
    <row r="475" spans="1:2" x14ac:dyDescent="0.3">
      <c r="A475" s="3" t="s">
        <v>2068</v>
      </c>
      <c r="B475" s="3" t="s">
        <v>2069</v>
      </c>
    </row>
    <row r="476" spans="1:2" x14ac:dyDescent="0.3">
      <c r="A476" s="3" t="s">
        <v>2070</v>
      </c>
      <c r="B476" s="3" t="s">
        <v>2071</v>
      </c>
    </row>
    <row r="477" spans="1:2" x14ac:dyDescent="0.3">
      <c r="A477" s="3" t="s">
        <v>2072</v>
      </c>
      <c r="B477" s="3" t="s">
        <v>2073</v>
      </c>
    </row>
    <row r="478" spans="1:2" x14ac:dyDescent="0.3">
      <c r="A478" s="3" t="s">
        <v>2074</v>
      </c>
      <c r="B478" s="3" t="s">
        <v>2075</v>
      </c>
    </row>
    <row r="479" spans="1:2" x14ac:dyDescent="0.3">
      <c r="A479" s="3" t="s">
        <v>2076</v>
      </c>
      <c r="B479" s="3" t="s">
        <v>2077</v>
      </c>
    </row>
    <row r="480" spans="1:2" x14ac:dyDescent="0.3">
      <c r="A480" s="3" t="s">
        <v>2078</v>
      </c>
      <c r="B480" s="3" t="s">
        <v>2079</v>
      </c>
    </row>
    <row r="481" spans="1:2" x14ac:dyDescent="0.3">
      <c r="A481" s="3" t="s">
        <v>2080</v>
      </c>
      <c r="B481" s="3" t="s">
        <v>2081</v>
      </c>
    </row>
    <row r="482" spans="1:2" x14ac:dyDescent="0.3">
      <c r="A482" s="3" t="s">
        <v>2082</v>
      </c>
      <c r="B482" s="3" t="s">
        <v>2083</v>
      </c>
    </row>
    <row r="483" spans="1:2" x14ac:dyDescent="0.3">
      <c r="A483" s="3" t="s">
        <v>2084</v>
      </c>
      <c r="B483" s="3" t="s">
        <v>2085</v>
      </c>
    </row>
    <row r="484" spans="1:2" x14ac:dyDescent="0.3">
      <c r="A484" s="3" t="s">
        <v>2086</v>
      </c>
      <c r="B484" s="3" t="s">
        <v>2087</v>
      </c>
    </row>
    <row r="485" spans="1:2" x14ac:dyDescent="0.3">
      <c r="A485" s="3" t="s">
        <v>2088</v>
      </c>
      <c r="B485" s="3" t="s">
        <v>2089</v>
      </c>
    </row>
    <row r="486" spans="1:2" x14ac:dyDescent="0.3">
      <c r="A486" s="3" t="s">
        <v>2090</v>
      </c>
      <c r="B486" s="3" t="s">
        <v>2091</v>
      </c>
    </row>
    <row r="487" spans="1:2" x14ac:dyDescent="0.3">
      <c r="A487" s="3" t="s">
        <v>2092</v>
      </c>
      <c r="B487" s="3" t="s">
        <v>2093</v>
      </c>
    </row>
    <row r="488" spans="1:2" x14ac:dyDescent="0.3">
      <c r="A488" s="3" t="s">
        <v>2094</v>
      </c>
      <c r="B488" s="3" t="s">
        <v>2095</v>
      </c>
    </row>
    <row r="489" spans="1:2" x14ac:dyDescent="0.3">
      <c r="A489" s="3" t="s">
        <v>2096</v>
      </c>
      <c r="B489" s="3" t="s">
        <v>2097</v>
      </c>
    </row>
    <row r="490" spans="1:2" x14ac:dyDescent="0.3">
      <c r="A490" s="3" t="s">
        <v>2098</v>
      </c>
      <c r="B490" s="3" t="s">
        <v>2099</v>
      </c>
    </row>
    <row r="491" spans="1:2" x14ac:dyDescent="0.3">
      <c r="A491" s="3" t="s">
        <v>2100</v>
      </c>
      <c r="B491" s="3" t="s">
        <v>2101</v>
      </c>
    </row>
    <row r="492" spans="1:2" x14ac:dyDescent="0.3">
      <c r="A492" s="3" t="s">
        <v>2102</v>
      </c>
      <c r="B492" s="3" t="s">
        <v>2103</v>
      </c>
    </row>
    <row r="493" spans="1:2" x14ac:dyDescent="0.3">
      <c r="A493" s="3" t="s">
        <v>2104</v>
      </c>
      <c r="B493" s="3" t="s">
        <v>2105</v>
      </c>
    </row>
    <row r="494" spans="1:2" x14ac:dyDescent="0.3">
      <c r="A494" s="3" t="s">
        <v>2106</v>
      </c>
      <c r="B494" s="3" t="s">
        <v>2107</v>
      </c>
    </row>
    <row r="495" spans="1:2" x14ac:dyDescent="0.3">
      <c r="A495" s="3" t="s">
        <v>2108</v>
      </c>
      <c r="B495" s="3" t="s">
        <v>2109</v>
      </c>
    </row>
    <row r="496" spans="1:2" x14ac:dyDescent="0.3">
      <c r="A496" s="3" t="s">
        <v>2110</v>
      </c>
      <c r="B496" s="3" t="s">
        <v>2111</v>
      </c>
    </row>
    <row r="497" spans="1:2" x14ac:dyDescent="0.3">
      <c r="A497" s="3" t="s">
        <v>2112</v>
      </c>
      <c r="B497" s="3" t="s">
        <v>2113</v>
      </c>
    </row>
    <row r="498" spans="1:2" x14ac:dyDescent="0.3">
      <c r="A498" s="3" t="s">
        <v>2114</v>
      </c>
      <c r="B498" s="3" t="s">
        <v>2115</v>
      </c>
    </row>
    <row r="499" spans="1:2" x14ac:dyDescent="0.3">
      <c r="A499" s="3" t="s">
        <v>2116</v>
      </c>
      <c r="B499" s="3" t="s">
        <v>2117</v>
      </c>
    </row>
    <row r="500" spans="1:2" x14ac:dyDescent="0.3">
      <c r="A500" s="3" t="s">
        <v>2118</v>
      </c>
      <c r="B500" s="3" t="s">
        <v>2119</v>
      </c>
    </row>
    <row r="501" spans="1:2" x14ac:dyDescent="0.3">
      <c r="A501" s="3" t="s">
        <v>2120</v>
      </c>
      <c r="B501" s="3" t="s">
        <v>2121</v>
      </c>
    </row>
    <row r="502" spans="1:2" x14ac:dyDescent="0.3">
      <c r="A502" s="3" t="s">
        <v>2122</v>
      </c>
      <c r="B502" s="3" t="s">
        <v>2123</v>
      </c>
    </row>
    <row r="503" spans="1:2" x14ac:dyDescent="0.3">
      <c r="A503" s="3" t="s">
        <v>2124</v>
      </c>
      <c r="B503" s="3" t="s">
        <v>2125</v>
      </c>
    </row>
    <row r="504" spans="1:2" x14ac:dyDescent="0.3">
      <c r="A504" s="3" t="s">
        <v>2126</v>
      </c>
      <c r="B504" s="3" t="s">
        <v>2127</v>
      </c>
    </row>
    <row r="505" spans="1:2" x14ac:dyDescent="0.3">
      <c r="A505" s="3" t="s">
        <v>2128</v>
      </c>
      <c r="B505" s="3" t="s">
        <v>2129</v>
      </c>
    </row>
    <row r="506" spans="1:2" x14ac:dyDescent="0.3">
      <c r="A506" s="3" t="s">
        <v>2130</v>
      </c>
      <c r="B506" s="3" t="s">
        <v>2131</v>
      </c>
    </row>
    <row r="507" spans="1:2" x14ac:dyDescent="0.3">
      <c r="A507" s="3" t="s">
        <v>2132</v>
      </c>
      <c r="B507" s="3" t="s">
        <v>2133</v>
      </c>
    </row>
    <row r="508" spans="1:2" x14ac:dyDescent="0.3">
      <c r="A508" s="3" t="s">
        <v>2134</v>
      </c>
      <c r="B508" s="3" t="s">
        <v>2135</v>
      </c>
    </row>
    <row r="509" spans="1:2" x14ac:dyDescent="0.3">
      <c r="A509" s="3" t="s">
        <v>2136</v>
      </c>
      <c r="B509" s="3" t="s">
        <v>2137</v>
      </c>
    </row>
    <row r="510" spans="1:2" x14ac:dyDescent="0.3">
      <c r="A510" s="3" t="s">
        <v>2138</v>
      </c>
      <c r="B510" s="3" t="s">
        <v>2139</v>
      </c>
    </row>
    <row r="511" spans="1:2" x14ac:dyDescent="0.3">
      <c r="A511" s="3" t="s">
        <v>2140</v>
      </c>
      <c r="B511" s="3" t="s">
        <v>2141</v>
      </c>
    </row>
    <row r="512" spans="1:2" x14ac:dyDescent="0.3">
      <c r="A512" s="3" t="s">
        <v>2142</v>
      </c>
      <c r="B512" s="3" t="s">
        <v>2143</v>
      </c>
    </row>
    <row r="513" spans="1:2" x14ac:dyDescent="0.3">
      <c r="A513" s="3" t="s">
        <v>2144</v>
      </c>
      <c r="B513" s="3" t="s">
        <v>2145</v>
      </c>
    </row>
    <row r="514" spans="1:2" x14ac:dyDescent="0.3">
      <c r="A514" s="3" t="s">
        <v>2146</v>
      </c>
      <c r="B514" s="3" t="s">
        <v>2147</v>
      </c>
    </row>
    <row r="515" spans="1:2" x14ac:dyDescent="0.3">
      <c r="A515" s="3" t="s">
        <v>2148</v>
      </c>
      <c r="B515" s="3" t="s">
        <v>2149</v>
      </c>
    </row>
    <row r="516" spans="1:2" x14ac:dyDescent="0.3">
      <c r="A516" s="3" t="s">
        <v>2150</v>
      </c>
      <c r="B516" s="3" t="s">
        <v>2151</v>
      </c>
    </row>
    <row r="517" spans="1:2" x14ac:dyDescent="0.3">
      <c r="A517" s="3" t="s">
        <v>2152</v>
      </c>
      <c r="B517" s="3" t="s">
        <v>2153</v>
      </c>
    </row>
    <row r="518" spans="1:2" x14ac:dyDescent="0.3">
      <c r="A518" s="3" t="s">
        <v>2154</v>
      </c>
      <c r="B518" s="3" t="s">
        <v>2155</v>
      </c>
    </row>
    <row r="519" spans="1:2" x14ac:dyDescent="0.3">
      <c r="A519" s="3" t="s">
        <v>2156</v>
      </c>
      <c r="B519" s="3" t="s">
        <v>2157</v>
      </c>
    </row>
    <row r="520" spans="1:2" x14ac:dyDescent="0.3">
      <c r="A520" s="3" t="s">
        <v>2158</v>
      </c>
      <c r="B520" s="3" t="s">
        <v>2159</v>
      </c>
    </row>
    <row r="521" spans="1:2" x14ac:dyDescent="0.3">
      <c r="A521" s="3" t="s">
        <v>2160</v>
      </c>
      <c r="B521" s="3" t="s">
        <v>2161</v>
      </c>
    </row>
    <row r="522" spans="1:2" x14ac:dyDescent="0.3">
      <c r="A522" s="3" t="s">
        <v>2162</v>
      </c>
      <c r="B522" s="3" t="s">
        <v>2163</v>
      </c>
    </row>
    <row r="523" spans="1:2" x14ac:dyDescent="0.3">
      <c r="A523" s="3" t="s">
        <v>2164</v>
      </c>
      <c r="B523" s="3" t="s">
        <v>2165</v>
      </c>
    </row>
    <row r="524" spans="1:2" x14ac:dyDescent="0.3">
      <c r="A524" s="3" t="s">
        <v>2166</v>
      </c>
      <c r="B524" s="3" t="s">
        <v>2167</v>
      </c>
    </row>
    <row r="525" spans="1:2" x14ac:dyDescent="0.3">
      <c r="A525" s="3" t="s">
        <v>2168</v>
      </c>
      <c r="B525" s="3" t="s">
        <v>2169</v>
      </c>
    </row>
    <row r="526" spans="1:2" x14ac:dyDescent="0.3">
      <c r="A526" s="3" t="s">
        <v>2170</v>
      </c>
      <c r="B526" s="3" t="s">
        <v>2171</v>
      </c>
    </row>
    <row r="527" spans="1:2" x14ac:dyDescent="0.3">
      <c r="A527" s="3" t="s">
        <v>2172</v>
      </c>
      <c r="B527" s="3" t="s">
        <v>2173</v>
      </c>
    </row>
    <row r="528" spans="1:2" x14ac:dyDescent="0.3">
      <c r="A528" s="3" t="s">
        <v>2174</v>
      </c>
      <c r="B528" s="3" t="s">
        <v>2175</v>
      </c>
    </row>
    <row r="529" spans="1:2" x14ac:dyDescent="0.3">
      <c r="A529" s="3" t="s">
        <v>2176</v>
      </c>
      <c r="B529" s="3" t="s">
        <v>2177</v>
      </c>
    </row>
    <row r="530" spans="1:2" x14ac:dyDescent="0.3">
      <c r="A530" s="3" t="s">
        <v>2178</v>
      </c>
      <c r="B530" s="3" t="s">
        <v>2179</v>
      </c>
    </row>
    <row r="531" spans="1:2" x14ac:dyDescent="0.3">
      <c r="A531" s="3" t="s">
        <v>2180</v>
      </c>
      <c r="B531" s="3" t="s">
        <v>2181</v>
      </c>
    </row>
    <row r="532" spans="1:2" x14ac:dyDescent="0.3">
      <c r="A532" s="3" t="s">
        <v>2182</v>
      </c>
      <c r="B532" s="3" t="s">
        <v>2183</v>
      </c>
    </row>
    <row r="533" spans="1:2" x14ac:dyDescent="0.3">
      <c r="A533" s="3" t="s">
        <v>2184</v>
      </c>
      <c r="B533" s="3" t="s">
        <v>2185</v>
      </c>
    </row>
    <row r="534" spans="1:2" x14ac:dyDescent="0.3">
      <c r="A534" s="3" t="s">
        <v>2186</v>
      </c>
      <c r="B534" s="3" t="s">
        <v>2187</v>
      </c>
    </row>
    <row r="535" spans="1:2" x14ac:dyDescent="0.3">
      <c r="A535" s="3" t="s">
        <v>2188</v>
      </c>
      <c r="B535" s="3" t="s">
        <v>2189</v>
      </c>
    </row>
    <row r="536" spans="1:2" x14ac:dyDescent="0.3">
      <c r="A536" s="3" t="s">
        <v>2190</v>
      </c>
      <c r="B536" s="3" t="s">
        <v>2191</v>
      </c>
    </row>
    <row r="537" spans="1:2" x14ac:dyDescent="0.3">
      <c r="A537" s="3" t="s">
        <v>2192</v>
      </c>
      <c r="B537" s="3" t="s">
        <v>2193</v>
      </c>
    </row>
    <row r="538" spans="1:2" x14ac:dyDescent="0.3">
      <c r="A538" s="3" t="s">
        <v>2194</v>
      </c>
      <c r="B538" s="3" t="s">
        <v>2195</v>
      </c>
    </row>
    <row r="539" spans="1:2" x14ac:dyDescent="0.3">
      <c r="A539" s="3" t="s">
        <v>2196</v>
      </c>
      <c r="B539" s="3" t="s">
        <v>2197</v>
      </c>
    </row>
    <row r="540" spans="1:2" x14ac:dyDescent="0.3">
      <c r="A540" s="3" t="s">
        <v>2198</v>
      </c>
      <c r="B540" s="3" t="s">
        <v>2199</v>
      </c>
    </row>
    <row r="541" spans="1:2" x14ac:dyDescent="0.3">
      <c r="A541" s="3" t="s">
        <v>2200</v>
      </c>
      <c r="B541" s="3" t="s">
        <v>2201</v>
      </c>
    </row>
    <row r="542" spans="1:2" x14ac:dyDescent="0.3">
      <c r="A542" s="3" t="s">
        <v>2202</v>
      </c>
      <c r="B542" s="3" t="s">
        <v>2203</v>
      </c>
    </row>
    <row r="543" spans="1:2" x14ac:dyDescent="0.3">
      <c r="A543" s="3" t="s">
        <v>2204</v>
      </c>
      <c r="B543" s="3" t="s">
        <v>2205</v>
      </c>
    </row>
    <row r="544" spans="1:2" x14ac:dyDescent="0.3">
      <c r="A544" s="3" t="s">
        <v>2206</v>
      </c>
      <c r="B544" s="3" t="s">
        <v>2207</v>
      </c>
    </row>
    <row r="545" spans="1:2" x14ac:dyDescent="0.3">
      <c r="A545" s="3" t="s">
        <v>2208</v>
      </c>
      <c r="B545" s="3" t="s">
        <v>2209</v>
      </c>
    </row>
    <row r="546" spans="1:2" x14ac:dyDescent="0.3">
      <c r="A546" s="3" t="s">
        <v>2210</v>
      </c>
      <c r="B546" s="3" t="s">
        <v>2211</v>
      </c>
    </row>
    <row r="547" spans="1:2" x14ac:dyDescent="0.3">
      <c r="A547" s="3" t="s">
        <v>2212</v>
      </c>
      <c r="B547" s="3" t="s">
        <v>2213</v>
      </c>
    </row>
    <row r="548" spans="1:2" x14ac:dyDescent="0.3">
      <c r="A548" s="3" t="s">
        <v>2214</v>
      </c>
      <c r="B548" s="3" t="s">
        <v>2215</v>
      </c>
    </row>
    <row r="549" spans="1:2" x14ac:dyDescent="0.3">
      <c r="A549" s="3" t="s">
        <v>2216</v>
      </c>
      <c r="B549" s="3" t="s">
        <v>2217</v>
      </c>
    </row>
    <row r="550" spans="1:2" x14ac:dyDescent="0.3">
      <c r="A550" s="3" t="s">
        <v>2218</v>
      </c>
      <c r="B550" s="3" t="s">
        <v>2219</v>
      </c>
    </row>
    <row r="551" spans="1:2" x14ac:dyDescent="0.3">
      <c r="A551" s="3" t="s">
        <v>2220</v>
      </c>
      <c r="B551" s="3" t="s">
        <v>2221</v>
      </c>
    </row>
    <row r="552" spans="1:2" x14ac:dyDescent="0.3">
      <c r="A552" s="3" t="s">
        <v>2222</v>
      </c>
      <c r="B552" s="3" t="s">
        <v>2223</v>
      </c>
    </row>
    <row r="553" spans="1:2" x14ac:dyDescent="0.3">
      <c r="A553" s="3" t="s">
        <v>2224</v>
      </c>
      <c r="B553" s="3" t="s">
        <v>2225</v>
      </c>
    </row>
    <row r="554" spans="1:2" x14ac:dyDescent="0.3">
      <c r="A554" s="3" t="s">
        <v>2226</v>
      </c>
      <c r="B554" s="3" t="s">
        <v>2227</v>
      </c>
    </row>
    <row r="555" spans="1:2" x14ac:dyDescent="0.3">
      <c r="A555" s="3" t="s">
        <v>2228</v>
      </c>
      <c r="B555" s="3" t="s">
        <v>2229</v>
      </c>
    </row>
    <row r="556" spans="1:2" x14ac:dyDescent="0.3">
      <c r="A556" s="3" t="s">
        <v>2230</v>
      </c>
      <c r="B556" s="3" t="s">
        <v>2231</v>
      </c>
    </row>
    <row r="557" spans="1:2" x14ac:dyDescent="0.3">
      <c r="A557" s="3" t="s">
        <v>2232</v>
      </c>
      <c r="B557" s="3" t="s">
        <v>2233</v>
      </c>
    </row>
    <row r="558" spans="1:2" x14ac:dyDescent="0.3">
      <c r="A558" s="3" t="s">
        <v>2234</v>
      </c>
      <c r="B558" s="3" t="s">
        <v>2235</v>
      </c>
    </row>
    <row r="559" spans="1:2" x14ac:dyDescent="0.3">
      <c r="A559" s="3" t="s">
        <v>2236</v>
      </c>
      <c r="B559" s="3" t="s">
        <v>2237</v>
      </c>
    </row>
    <row r="560" spans="1:2" x14ac:dyDescent="0.3">
      <c r="A560" s="3" t="s">
        <v>2238</v>
      </c>
      <c r="B560" s="3" t="s">
        <v>2239</v>
      </c>
    </row>
    <row r="561" spans="1:2" x14ac:dyDescent="0.3">
      <c r="A561" s="3" t="s">
        <v>2240</v>
      </c>
      <c r="B561" s="3" t="s">
        <v>2241</v>
      </c>
    </row>
    <row r="562" spans="1:2" x14ac:dyDescent="0.3">
      <c r="A562" s="3" t="s">
        <v>2242</v>
      </c>
      <c r="B562" s="3" t="s">
        <v>2243</v>
      </c>
    </row>
    <row r="563" spans="1:2" x14ac:dyDescent="0.3">
      <c r="A563" s="3" t="s">
        <v>2244</v>
      </c>
      <c r="B563" s="3" t="s">
        <v>2245</v>
      </c>
    </row>
    <row r="564" spans="1:2" x14ac:dyDescent="0.3">
      <c r="A564" s="3" t="s">
        <v>2246</v>
      </c>
      <c r="B564" s="3" t="s">
        <v>2247</v>
      </c>
    </row>
    <row r="565" spans="1:2" x14ac:dyDescent="0.3">
      <c r="A565" s="3" t="s">
        <v>2248</v>
      </c>
      <c r="B565" s="3" t="s">
        <v>2249</v>
      </c>
    </row>
    <row r="566" spans="1:2" x14ac:dyDescent="0.3">
      <c r="A566" s="3" t="s">
        <v>2250</v>
      </c>
      <c r="B566" s="3" t="s">
        <v>2251</v>
      </c>
    </row>
    <row r="567" spans="1:2" x14ac:dyDescent="0.3">
      <c r="A567" s="3" t="s">
        <v>2252</v>
      </c>
      <c r="B567" s="3" t="s">
        <v>2253</v>
      </c>
    </row>
    <row r="568" spans="1:2" x14ac:dyDescent="0.3">
      <c r="A568" s="3" t="s">
        <v>2254</v>
      </c>
      <c r="B568" s="3" t="s">
        <v>2255</v>
      </c>
    </row>
    <row r="569" spans="1:2" x14ac:dyDescent="0.3">
      <c r="A569" s="3" t="s">
        <v>2256</v>
      </c>
      <c r="B569" s="3" t="s">
        <v>2257</v>
      </c>
    </row>
    <row r="570" spans="1:2" x14ac:dyDescent="0.3">
      <c r="A570" s="3" t="s">
        <v>2258</v>
      </c>
      <c r="B570" s="3" t="s">
        <v>2259</v>
      </c>
    </row>
    <row r="571" spans="1:2" x14ac:dyDescent="0.3">
      <c r="A571" s="3" t="s">
        <v>2260</v>
      </c>
      <c r="B571" s="3" t="s">
        <v>2261</v>
      </c>
    </row>
    <row r="572" spans="1:2" x14ac:dyDescent="0.3">
      <c r="A572" s="3" t="s">
        <v>2262</v>
      </c>
      <c r="B572" s="3" t="s">
        <v>2263</v>
      </c>
    </row>
    <row r="573" spans="1:2" x14ac:dyDescent="0.3">
      <c r="A573" s="3" t="s">
        <v>2264</v>
      </c>
      <c r="B573" s="3" t="s">
        <v>2265</v>
      </c>
    </row>
    <row r="574" spans="1:2" x14ac:dyDescent="0.3">
      <c r="A574" s="3" t="s">
        <v>2266</v>
      </c>
      <c r="B574" s="3" t="s">
        <v>2267</v>
      </c>
    </row>
    <row r="575" spans="1:2" x14ac:dyDescent="0.3">
      <c r="A575" s="3" t="s">
        <v>2268</v>
      </c>
      <c r="B575" s="3" t="s">
        <v>2269</v>
      </c>
    </row>
    <row r="576" spans="1:2" x14ac:dyDescent="0.3">
      <c r="A576" s="3" t="s">
        <v>2270</v>
      </c>
      <c r="B576" s="3" t="s">
        <v>2271</v>
      </c>
    </row>
    <row r="577" spans="1:2" x14ac:dyDescent="0.3">
      <c r="A577" s="3" t="s">
        <v>2272</v>
      </c>
      <c r="B577" s="3" t="s">
        <v>2273</v>
      </c>
    </row>
    <row r="578" spans="1:2" x14ac:dyDescent="0.3">
      <c r="A578" s="3" t="s">
        <v>2274</v>
      </c>
      <c r="B578" s="3" t="s">
        <v>2275</v>
      </c>
    </row>
    <row r="579" spans="1:2" x14ac:dyDescent="0.3">
      <c r="A579" s="3" t="s">
        <v>2276</v>
      </c>
      <c r="B579" s="3" t="s">
        <v>2277</v>
      </c>
    </row>
    <row r="580" spans="1:2" x14ac:dyDescent="0.3">
      <c r="A580" s="3" t="s">
        <v>2278</v>
      </c>
      <c r="B580" s="3" t="s">
        <v>2279</v>
      </c>
    </row>
    <row r="581" spans="1:2" x14ac:dyDescent="0.3">
      <c r="A581" s="3" t="s">
        <v>2280</v>
      </c>
      <c r="B581" s="3" t="s">
        <v>2281</v>
      </c>
    </row>
    <row r="582" spans="1:2" x14ac:dyDescent="0.3">
      <c r="A582" s="3" t="s">
        <v>2282</v>
      </c>
      <c r="B582" s="3" t="s">
        <v>2283</v>
      </c>
    </row>
    <row r="583" spans="1:2" x14ac:dyDescent="0.3">
      <c r="A583" s="3" t="s">
        <v>2284</v>
      </c>
      <c r="B583" s="3" t="s">
        <v>2285</v>
      </c>
    </row>
    <row r="584" spans="1:2" x14ac:dyDescent="0.3">
      <c r="A584" s="3" t="s">
        <v>2286</v>
      </c>
      <c r="B584" s="3" t="s">
        <v>2287</v>
      </c>
    </row>
    <row r="585" spans="1:2" x14ac:dyDescent="0.3">
      <c r="A585" s="3" t="s">
        <v>2288</v>
      </c>
      <c r="B585" s="3" t="s">
        <v>2289</v>
      </c>
    </row>
    <row r="586" spans="1:2" x14ac:dyDescent="0.3">
      <c r="A586" s="3" t="s">
        <v>2290</v>
      </c>
      <c r="B586" s="3" t="s">
        <v>2291</v>
      </c>
    </row>
    <row r="587" spans="1:2" x14ac:dyDescent="0.3">
      <c r="A587" s="3" t="s">
        <v>2292</v>
      </c>
      <c r="B587" s="3" t="s">
        <v>2293</v>
      </c>
    </row>
    <row r="588" spans="1:2" x14ac:dyDescent="0.3">
      <c r="A588" s="3" t="s">
        <v>2294</v>
      </c>
      <c r="B588" s="3" t="s">
        <v>2295</v>
      </c>
    </row>
    <row r="589" spans="1:2" x14ac:dyDescent="0.3">
      <c r="A589" s="3" t="s">
        <v>2296</v>
      </c>
      <c r="B589" s="3" t="s">
        <v>2297</v>
      </c>
    </row>
    <row r="590" spans="1:2" x14ac:dyDescent="0.3">
      <c r="A590" s="3" t="s">
        <v>2298</v>
      </c>
      <c r="B590" s="3" t="s">
        <v>2299</v>
      </c>
    </row>
    <row r="591" spans="1:2" x14ac:dyDescent="0.3">
      <c r="A591" s="3" t="s">
        <v>2300</v>
      </c>
      <c r="B591" s="3" t="s">
        <v>2301</v>
      </c>
    </row>
    <row r="592" spans="1:2" x14ac:dyDescent="0.3">
      <c r="A592" s="3" t="s">
        <v>2302</v>
      </c>
      <c r="B592" s="3" t="s">
        <v>2303</v>
      </c>
    </row>
    <row r="593" spans="1:2" x14ac:dyDescent="0.3">
      <c r="A593" s="3" t="s">
        <v>2304</v>
      </c>
      <c r="B593" s="3" t="s">
        <v>2305</v>
      </c>
    </row>
    <row r="594" spans="1:2" x14ac:dyDescent="0.3">
      <c r="A594" s="3" t="s">
        <v>2306</v>
      </c>
      <c r="B594" s="3" t="s">
        <v>2307</v>
      </c>
    </row>
    <row r="595" spans="1:2" x14ac:dyDescent="0.3">
      <c r="A595" s="3" t="s">
        <v>2308</v>
      </c>
      <c r="B595" s="3" t="s">
        <v>2309</v>
      </c>
    </row>
    <row r="596" spans="1:2" x14ac:dyDescent="0.3">
      <c r="A596" s="3" t="s">
        <v>2310</v>
      </c>
      <c r="B596" s="3" t="s">
        <v>2311</v>
      </c>
    </row>
    <row r="597" spans="1:2" x14ac:dyDescent="0.3">
      <c r="A597" s="3" t="s">
        <v>2312</v>
      </c>
      <c r="B597" s="3" t="s">
        <v>2313</v>
      </c>
    </row>
    <row r="598" spans="1:2" x14ac:dyDescent="0.3">
      <c r="A598" s="3" t="s">
        <v>2314</v>
      </c>
      <c r="B598" s="3" t="s">
        <v>2315</v>
      </c>
    </row>
    <row r="599" spans="1:2" x14ac:dyDescent="0.3">
      <c r="A599" s="3" t="s">
        <v>2316</v>
      </c>
      <c r="B599" s="3" t="s">
        <v>2317</v>
      </c>
    </row>
    <row r="600" spans="1:2" x14ac:dyDescent="0.3">
      <c r="A600" s="3" t="s">
        <v>2318</v>
      </c>
      <c r="B600" s="3" t="s">
        <v>2319</v>
      </c>
    </row>
    <row r="601" spans="1:2" x14ac:dyDescent="0.3">
      <c r="A601" s="3" t="s">
        <v>2320</v>
      </c>
      <c r="B601" s="3" t="s">
        <v>2321</v>
      </c>
    </row>
    <row r="602" spans="1:2" x14ac:dyDescent="0.3">
      <c r="A602" s="3" t="s">
        <v>2322</v>
      </c>
      <c r="B602" s="3" t="s">
        <v>2323</v>
      </c>
    </row>
    <row r="603" spans="1:2" x14ac:dyDescent="0.3">
      <c r="A603" s="3" t="s">
        <v>2324</v>
      </c>
      <c r="B603" s="3" t="s">
        <v>2325</v>
      </c>
    </row>
    <row r="604" spans="1:2" x14ac:dyDescent="0.3">
      <c r="A604" s="3" t="s">
        <v>2326</v>
      </c>
      <c r="B604" s="3" t="s">
        <v>2327</v>
      </c>
    </row>
    <row r="605" spans="1:2" x14ac:dyDescent="0.3">
      <c r="A605" s="3" t="s">
        <v>2328</v>
      </c>
      <c r="B605" s="3" t="s">
        <v>2329</v>
      </c>
    </row>
    <row r="606" spans="1:2" x14ac:dyDescent="0.3">
      <c r="A606" s="3" t="s">
        <v>2330</v>
      </c>
      <c r="B606" s="3" t="s">
        <v>2331</v>
      </c>
    </row>
    <row r="607" spans="1:2" x14ac:dyDescent="0.3">
      <c r="A607" s="3" t="s">
        <v>2332</v>
      </c>
      <c r="B607" s="3" t="s">
        <v>2333</v>
      </c>
    </row>
    <row r="608" spans="1:2" x14ac:dyDescent="0.3">
      <c r="A608" s="3" t="s">
        <v>2334</v>
      </c>
      <c r="B608" s="3" t="s">
        <v>2335</v>
      </c>
    </row>
    <row r="609" spans="1:2" x14ac:dyDescent="0.3">
      <c r="A609" s="3" t="s">
        <v>2336</v>
      </c>
      <c r="B609" s="3" t="s">
        <v>2337</v>
      </c>
    </row>
    <row r="610" spans="1:2" x14ac:dyDescent="0.3">
      <c r="A610" s="3" t="s">
        <v>2338</v>
      </c>
      <c r="B610" s="3" t="s">
        <v>2339</v>
      </c>
    </row>
    <row r="611" spans="1:2" x14ac:dyDescent="0.3">
      <c r="A611" s="3" t="s">
        <v>2340</v>
      </c>
      <c r="B611" s="3" t="s">
        <v>2341</v>
      </c>
    </row>
    <row r="612" spans="1:2" x14ac:dyDescent="0.3">
      <c r="A612" s="3" t="s">
        <v>2342</v>
      </c>
      <c r="B612" s="3" t="s">
        <v>2343</v>
      </c>
    </row>
    <row r="613" spans="1:2" x14ac:dyDescent="0.3">
      <c r="A613" s="3" t="s">
        <v>2344</v>
      </c>
      <c r="B613" s="3" t="s">
        <v>2345</v>
      </c>
    </row>
    <row r="614" spans="1:2" x14ac:dyDescent="0.3">
      <c r="A614" s="3" t="s">
        <v>2346</v>
      </c>
      <c r="B614" s="3" t="s">
        <v>2347</v>
      </c>
    </row>
    <row r="615" spans="1:2" x14ac:dyDescent="0.3">
      <c r="A615" s="3" t="s">
        <v>2348</v>
      </c>
      <c r="B615" s="3" t="s">
        <v>2349</v>
      </c>
    </row>
    <row r="616" spans="1:2" x14ac:dyDescent="0.3">
      <c r="A616" s="3" t="s">
        <v>2350</v>
      </c>
      <c r="B616" s="3" t="s">
        <v>2351</v>
      </c>
    </row>
    <row r="617" spans="1:2" x14ac:dyDescent="0.3">
      <c r="A617" s="3" t="s">
        <v>2352</v>
      </c>
      <c r="B617" s="3" t="s">
        <v>2353</v>
      </c>
    </row>
    <row r="618" spans="1:2" x14ac:dyDescent="0.3">
      <c r="A618" s="3" t="s">
        <v>2354</v>
      </c>
      <c r="B618" s="3" t="s">
        <v>2355</v>
      </c>
    </row>
    <row r="619" spans="1:2" x14ac:dyDescent="0.3">
      <c r="A619" s="3" t="s">
        <v>2356</v>
      </c>
      <c r="B619" s="3" t="s">
        <v>2357</v>
      </c>
    </row>
    <row r="620" spans="1:2" x14ac:dyDescent="0.3">
      <c r="A620" s="3" t="s">
        <v>2358</v>
      </c>
      <c r="B620" s="3" t="s">
        <v>2359</v>
      </c>
    </row>
    <row r="621" spans="1:2" x14ac:dyDescent="0.3">
      <c r="A621" s="3" t="s">
        <v>2360</v>
      </c>
      <c r="B621" s="3" t="s">
        <v>2361</v>
      </c>
    </row>
    <row r="622" spans="1:2" x14ac:dyDescent="0.3">
      <c r="A622" s="3" t="s">
        <v>2362</v>
      </c>
      <c r="B622" s="3" t="s">
        <v>2363</v>
      </c>
    </row>
    <row r="623" spans="1:2" x14ac:dyDescent="0.3">
      <c r="A623" s="3" t="s">
        <v>2364</v>
      </c>
      <c r="B623" s="3" t="s">
        <v>2365</v>
      </c>
    </row>
    <row r="624" spans="1:2" x14ac:dyDescent="0.3">
      <c r="A624" s="3" t="s">
        <v>2366</v>
      </c>
      <c r="B624" s="3" t="s">
        <v>2367</v>
      </c>
    </row>
    <row r="625" spans="1:2" x14ac:dyDescent="0.3">
      <c r="A625" s="3" t="s">
        <v>2368</v>
      </c>
      <c r="B625" s="3" t="s">
        <v>2369</v>
      </c>
    </row>
    <row r="626" spans="1:2" x14ac:dyDescent="0.3">
      <c r="A626" s="3" t="s">
        <v>2370</v>
      </c>
      <c r="B626" s="3" t="s">
        <v>2371</v>
      </c>
    </row>
    <row r="627" spans="1:2" x14ac:dyDescent="0.3">
      <c r="A627" s="3" t="s">
        <v>2372</v>
      </c>
      <c r="B627" s="3" t="s">
        <v>2373</v>
      </c>
    </row>
    <row r="628" spans="1:2" x14ac:dyDescent="0.3">
      <c r="A628" s="3" t="s">
        <v>2374</v>
      </c>
      <c r="B628" s="3" t="s">
        <v>2375</v>
      </c>
    </row>
    <row r="629" spans="1:2" x14ac:dyDescent="0.3">
      <c r="A629" s="3" t="s">
        <v>2376</v>
      </c>
      <c r="B629" s="3" t="s">
        <v>2377</v>
      </c>
    </row>
    <row r="630" spans="1:2" x14ac:dyDescent="0.3">
      <c r="A630" s="3" t="s">
        <v>2378</v>
      </c>
      <c r="B630" s="3" t="s">
        <v>2379</v>
      </c>
    </row>
    <row r="631" spans="1:2" x14ac:dyDescent="0.3">
      <c r="A631" s="3" t="s">
        <v>2380</v>
      </c>
      <c r="B631" s="3" t="s">
        <v>2381</v>
      </c>
    </row>
    <row r="632" spans="1:2" x14ac:dyDescent="0.3">
      <c r="A632" s="3" t="s">
        <v>2382</v>
      </c>
      <c r="B632" s="3" t="s">
        <v>2383</v>
      </c>
    </row>
    <row r="633" spans="1:2" x14ac:dyDescent="0.3">
      <c r="A633" s="3" t="s">
        <v>2384</v>
      </c>
      <c r="B633" s="3" t="s">
        <v>2385</v>
      </c>
    </row>
    <row r="634" spans="1:2" x14ac:dyDescent="0.3">
      <c r="A634" s="3" t="s">
        <v>2386</v>
      </c>
      <c r="B634" s="3" t="s">
        <v>2387</v>
      </c>
    </row>
    <row r="635" spans="1:2" x14ac:dyDescent="0.3">
      <c r="A635" s="3" t="s">
        <v>2388</v>
      </c>
      <c r="B635" s="3" t="s">
        <v>2389</v>
      </c>
    </row>
    <row r="636" spans="1:2" x14ac:dyDescent="0.3">
      <c r="A636" s="3" t="s">
        <v>2390</v>
      </c>
      <c r="B636" s="3" t="s">
        <v>2391</v>
      </c>
    </row>
    <row r="637" spans="1:2" x14ac:dyDescent="0.3">
      <c r="A637" s="3" t="s">
        <v>2392</v>
      </c>
      <c r="B637" s="3" t="s">
        <v>2393</v>
      </c>
    </row>
    <row r="638" spans="1:2" x14ac:dyDescent="0.3">
      <c r="A638" s="3" t="s">
        <v>2394</v>
      </c>
      <c r="B638" s="3" t="s">
        <v>2395</v>
      </c>
    </row>
    <row r="639" spans="1:2" x14ac:dyDescent="0.3">
      <c r="A639" s="3" t="s">
        <v>2396</v>
      </c>
      <c r="B639" s="3" t="s">
        <v>2397</v>
      </c>
    </row>
    <row r="640" spans="1:2" x14ac:dyDescent="0.3">
      <c r="A640" s="3" t="s">
        <v>2398</v>
      </c>
      <c r="B640" s="3" t="s">
        <v>2399</v>
      </c>
    </row>
    <row r="641" spans="1:2" x14ac:dyDescent="0.3">
      <c r="A641" s="3" t="s">
        <v>2400</v>
      </c>
      <c r="B641" s="3" t="s">
        <v>2401</v>
      </c>
    </row>
    <row r="642" spans="1:2" x14ac:dyDescent="0.3">
      <c r="A642" s="3" t="s">
        <v>2402</v>
      </c>
      <c r="B642" s="3" t="s">
        <v>2403</v>
      </c>
    </row>
    <row r="643" spans="1:2" x14ac:dyDescent="0.3">
      <c r="A643" s="3" t="s">
        <v>2404</v>
      </c>
      <c r="B643" s="3" t="s">
        <v>2405</v>
      </c>
    </row>
    <row r="644" spans="1:2" x14ac:dyDescent="0.3">
      <c r="A644" s="3" t="s">
        <v>2406</v>
      </c>
      <c r="B644" s="3" t="s">
        <v>2407</v>
      </c>
    </row>
    <row r="645" spans="1:2" x14ac:dyDescent="0.3">
      <c r="A645" s="3" t="s">
        <v>2408</v>
      </c>
      <c r="B645" s="3" t="s">
        <v>2409</v>
      </c>
    </row>
    <row r="646" spans="1:2" x14ac:dyDescent="0.3">
      <c r="A646" s="3" t="s">
        <v>2410</v>
      </c>
      <c r="B646" s="3" t="s">
        <v>2411</v>
      </c>
    </row>
    <row r="647" spans="1:2" x14ac:dyDescent="0.3">
      <c r="A647" s="3" t="s">
        <v>2412</v>
      </c>
      <c r="B647" s="3" t="s">
        <v>2413</v>
      </c>
    </row>
    <row r="648" spans="1:2" x14ac:dyDescent="0.3">
      <c r="A648" s="3" t="s">
        <v>2414</v>
      </c>
      <c r="B648" s="3" t="s">
        <v>2415</v>
      </c>
    </row>
    <row r="649" spans="1:2" x14ac:dyDescent="0.3">
      <c r="A649" s="3" t="s">
        <v>2416</v>
      </c>
      <c r="B649" s="3" t="s">
        <v>2417</v>
      </c>
    </row>
    <row r="650" spans="1:2" x14ac:dyDescent="0.3">
      <c r="A650" s="3" t="s">
        <v>2418</v>
      </c>
      <c r="B650" s="3" t="s">
        <v>2419</v>
      </c>
    </row>
    <row r="651" spans="1:2" x14ac:dyDescent="0.3">
      <c r="A651" s="3" t="s">
        <v>2420</v>
      </c>
      <c r="B651" s="3" t="s">
        <v>2421</v>
      </c>
    </row>
    <row r="652" spans="1:2" x14ac:dyDescent="0.3">
      <c r="A652" s="3" t="s">
        <v>2422</v>
      </c>
      <c r="B652" s="3" t="s">
        <v>2423</v>
      </c>
    </row>
    <row r="653" spans="1:2" x14ac:dyDescent="0.3">
      <c r="A653" s="3" t="s">
        <v>2424</v>
      </c>
      <c r="B653" s="3" t="s">
        <v>2425</v>
      </c>
    </row>
    <row r="654" spans="1:2" x14ac:dyDescent="0.3">
      <c r="A654" s="3" t="s">
        <v>2426</v>
      </c>
      <c r="B654" s="3" t="s">
        <v>2427</v>
      </c>
    </row>
    <row r="655" spans="1:2" x14ac:dyDescent="0.3">
      <c r="A655" s="3" t="s">
        <v>2428</v>
      </c>
      <c r="B655" s="3" t="s">
        <v>2429</v>
      </c>
    </row>
    <row r="656" spans="1:2" x14ac:dyDescent="0.3">
      <c r="A656" s="3" t="s">
        <v>2430</v>
      </c>
      <c r="B656" s="3" t="s">
        <v>2431</v>
      </c>
    </row>
    <row r="657" spans="1:2" x14ac:dyDescent="0.3">
      <c r="A657" s="3" t="s">
        <v>2432</v>
      </c>
      <c r="B657" s="3" t="s">
        <v>2433</v>
      </c>
    </row>
    <row r="658" spans="1:2" x14ac:dyDescent="0.3">
      <c r="A658" s="3" t="s">
        <v>2434</v>
      </c>
      <c r="B658" s="3" t="s">
        <v>2435</v>
      </c>
    </row>
    <row r="659" spans="1:2" x14ac:dyDescent="0.3">
      <c r="A659" s="3" t="s">
        <v>2436</v>
      </c>
      <c r="B659" s="3" t="s">
        <v>2437</v>
      </c>
    </row>
    <row r="660" spans="1:2" x14ac:dyDescent="0.3">
      <c r="A660" s="3" t="s">
        <v>2438</v>
      </c>
      <c r="B660" s="3" t="s">
        <v>2439</v>
      </c>
    </row>
    <row r="661" spans="1:2" x14ac:dyDescent="0.3">
      <c r="A661" s="3" t="s">
        <v>2440</v>
      </c>
      <c r="B661" s="3" t="s">
        <v>2441</v>
      </c>
    </row>
    <row r="662" spans="1:2" x14ac:dyDescent="0.3">
      <c r="A662" s="3" t="s">
        <v>2442</v>
      </c>
      <c r="B662" s="3" t="s">
        <v>2443</v>
      </c>
    </row>
    <row r="663" spans="1:2" x14ac:dyDescent="0.3">
      <c r="A663" s="3" t="s">
        <v>2444</v>
      </c>
      <c r="B663" s="3" t="s">
        <v>2445</v>
      </c>
    </row>
    <row r="664" spans="1:2" x14ac:dyDescent="0.3">
      <c r="A664" s="3" t="s">
        <v>2446</v>
      </c>
      <c r="B664" s="3" t="s">
        <v>2447</v>
      </c>
    </row>
    <row r="665" spans="1:2" x14ac:dyDescent="0.3">
      <c r="A665" s="3" t="s">
        <v>2448</v>
      </c>
      <c r="B665" s="3" t="s">
        <v>2449</v>
      </c>
    </row>
    <row r="666" spans="1:2" x14ac:dyDescent="0.3">
      <c r="A666" s="3" t="s">
        <v>2450</v>
      </c>
      <c r="B666" s="3" t="s">
        <v>2451</v>
      </c>
    </row>
    <row r="667" spans="1:2" x14ac:dyDescent="0.3">
      <c r="A667" s="3" t="s">
        <v>2452</v>
      </c>
      <c r="B667" s="3" t="s">
        <v>2453</v>
      </c>
    </row>
    <row r="668" spans="1:2" x14ac:dyDescent="0.3">
      <c r="A668" s="3" t="s">
        <v>2454</v>
      </c>
      <c r="B668" s="3" t="s">
        <v>2455</v>
      </c>
    </row>
    <row r="669" spans="1:2" x14ac:dyDescent="0.3">
      <c r="A669" s="3" t="s">
        <v>2456</v>
      </c>
      <c r="B669" s="3" t="s">
        <v>2457</v>
      </c>
    </row>
    <row r="670" spans="1:2" x14ac:dyDescent="0.3">
      <c r="A670" s="3" t="s">
        <v>2458</v>
      </c>
      <c r="B670" s="3" t="s">
        <v>2459</v>
      </c>
    </row>
    <row r="671" spans="1:2" x14ac:dyDescent="0.3">
      <c r="A671" s="3" t="s">
        <v>2460</v>
      </c>
      <c r="B671" s="3" t="s">
        <v>2461</v>
      </c>
    </row>
    <row r="672" spans="1:2" x14ac:dyDescent="0.3">
      <c r="A672" s="3" t="s">
        <v>2462</v>
      </c>
      <c r="B672" s="3" t="s">
        <v>2463</v>
      </c>
    </row>
    <row r="673" spans="1:2" x14ac:dyDescent="0.3">
      <c r="A673" s="3" t="s">
        <v>2464</v>
      </c>
      <c r="B673" s="3" t="s">
        <v>2465</v>
      </c>
    </row>
    <row r="674" spans="1:2" x14ac:dyDescent="0.3">
      <c r="A674" s="3" t="s">
        <v>2466</v>
      </c>
      <c r="B674" s="3" t="s">
        <v>2467</v>
      </c>
    </row>
    <row r="675" spans="1:2" x14ac:dyDescent="0.3">
      <c r="A675" s="3" t="s">
        <v>2468</v>
      </c>
      <c r="B675" s="3" t="s">
        <v>2469</v>
      </c>
    </row>
    <row r="676" spans="1:2" x14ac:dyDescent="0.3">
      <c r="A676" s="3" t="s">
        <v>2470</v>
      </c>
      <c r="B676" s="3" t="s">
        <v>2471</v>
      </c>
    </row>
    <row r="677" spans="1:2" x14ac:dyDescent="0.3">
      <c r="A677" s="3" t="s">
        <v>2472</v>
      </c>
      <c r="B677" s="3" t="s">
        <v>2473</v>
      </c>
    </row>
    <row r="678" spans="1:2" x14ac:dyDescent="0.3">
      <c r="A678" s="3" t="s">
        <v>2474</v>
      </c>
      <c r="B678" s="3" t="s">
        <v>2475</v>
      </c>
    </row>
    <row r="679" spans="1:2" x14ac:dyDescent="0.3">
      <c r="A679" s="3" t="s">
        <v>2476</v>
      </c>
      <c r="B679" s="3" t="s">
        <v>2477</v>
      </c>
    </row>
    <row r="680" spans="1:2" x14ac:dyDescent="0.3">
      <c r="A680" s="3" t="s">
        <v>2478</v>
      </c>
      <c r="B680" s="3" t="s">
        <v>2479</v>
      </c>
    </row>
    <row r="681" spans="1:2" x14ac:dyDescent="0.3">
      <c r="A681" s="3" t="s">
        <v>2480</v>
      </c>
      <c r="B681" s="3" t="s">
        <v>2481</v>
      </c>
    </row>
    <row r="682" spans="1:2" x14ac:dyDescent="0.3">
      <c r="A682" s="3" t="s">
        <v>2482</v>
      </c>
      <c r="B682" s="3" t="s">
        <v>2483</v>
      </c>
    </row>
    <row r="683" spans="1:2" x14ac:dyDescent="0.3">
      <c r="A683" s="3" t="s">
        <v>2484</v>
      </c>
      <c r="B683" s="3" t="s">
        <v>2485</v>
      </c>
    </row>
    <row r="684" spans="1:2" x14ac:dyDescent="0.3">
      <c r="A684" s="3" t="s">
        <v>2486</v>
      </c>
      <c r="B684" s="3" t="s">
        <v>2487</v>
      </c>
    </row>
    <row r="685" spans="1:2" x14ac:dyDescent="0.3">
      <c r="A685" s="3" t="s">
        <v>2488</v>
      </c>
      <c r="B685" s="3" t="s">
        <v>2489</v>
      </c>
    </row>
    <row r="686" spans="1:2" x14ac:dyDescent="0.3">
      <c r="A686" s="3" t="s">
        <v>2490</v>
      </c>
      <c r="B686" s="3" t="s">
        <v>2491</v>
      </c>
    </row>
    <row r="687" spans="1:2" x14ac:dyDescent="0.3">
      <c r="A687" s="3" t="s">
        <v>2492</v>
      </c>
      <c r="B687" s="3" t="s">
        <v>2493</v>
      </c>
    </row>
    <row r="688" spans="1:2" x14ac:dyDescent="0.3">
      <c r="A688" s="3" t="s">
        <v>2494</v>
      </c>
      <c r="B688" s="3" t="s">
        <v>2495</v>
      </c>
    </row>
    <row r="689" spans="1:2" x14ac:dyDescent="0.3">
      <c r="A689" s="3" t="s">
        <v>2496</v>
      </c>
      <c r="B689" s="3" t="s">
        <v>2497</v>
      </c>
    </row>
    <row r="690" spans="1:2" x14ac:dyDescent="0.3">
      <c r="A690" s="3" t="s">
        <v>2498</v>
      </c>
      <c r="B690" s="3" t="s">
        <v>2499</v>
      </c>
    </row>
    <row r="691" spans="1:2" x14ac:dyDescent="0.3">
      <c r="A691" s="3" t="s">
        <v>2500</v>
      </c>
      <c r="B691" s="3" t="s">
        <v>2501</v>
      </c>
    </row>
    <row r="692" spans="1:2" x14ac:dyDescent="0.3">
      <c r="A692" s="3" t="s">
        <v>2502</v>
      </c>
      <c r="B692" s="3" t="s">
        <v>2503</v>
      </c>
    </row>
    <row r="693" spans="1:2" x14ac:dyDescent="0.3">
      <c r="A693" s="3" t="s">
        <v>2504</v>
      </c>
      <c r="B693" s="3" t="s">
        <v>2505</v>
      </c>
    </row>
    <row r="694" spans="1:2" x14ac:dyDescent="0.3">
      <c r="A694" s="3" t="s">
        <v>2506</v>
      </c>
      <c r="B694" s="3" t="s">
        <v>2507</v>
      </c>
    </row>
    <row r="695" spans="1:2" x14ac:dyDescent="0.3">
      <c r="A695" s="3" t="s">
        <v>2508</v>
      </c>
      <c r="B695" s="3" t="s">
        <v>2509</v>
      </c>
    </row>
    <row r="696" spans="1:2" x14ac:dyDescent="0.3">
      <c r="A696" s="3" t="s">
        <v>2510</v>
      </c>
      <c r="B696" s="3" t="s">
        <v>2511</v>
      </c>
    </row>
    <row r="697" spans="1:2" x14ac:dyDescent="0.3">
      <c r="A697" s="3" t="s">
        <v>2512</v>
      </c>
      <c r="B697" s="3" t="s">
        <v>2513</v>
      </c>
    </row>
    <row r="698" spans="1:2" x14ac:dyDescent="0.3">
      <c r="A698" s="3" t="s">
        <v>2514</v>
      </c>
      <c r="B698" s="3" t="s">
        <v>2515</v>
      </c>
    </row>
    <row r="699" spans="1:2" x14ac:dyDescent="0.3">
      <c r="A699" s="3" t="s">
        <v>2516</v>
      </c>
      <c r="B699" s="3" t="s">
        <v>2517</v>
      </c>
    </row>
    <row r="700" spans="1:2" x14ac:dyDescent="0.3">
      <c r="A700" s="3" t="s">
        <v>2518</v>
      </c>
      <c r="B700" s="3" t="s">
        <v>2519</v>
      </c>
    </row>
    <row r="701" spans="1:2" x14ac:dyDescent="0.3">
      <c r="A701" s="3" t="s">
        <v>2520</v>
      </c>
      <c r="B701" s="3" t="s">
        <v>2521</v>
      </c>
    </row>
    <row r="702" spans="1:2" x14ac:dyDescent="0.3">
      <c r="A702" s="3" t="s">
        <v>2522</v>
      </c>
      <c r="B702" s="3" t="s">
        <v>2523</v>
      </c>
    </row>
    <row r="703" spans="1:2" x14ac:dyDescent="0.3">
      <c r="A703" s="3" t="s">
        <v>2524</v>
      </c>
      <c r="B703" s="3" t="s">
        <v>2525</v>
      </c>
    </row>
    <row r="704" spans="1:2" x14ac:dyDescent="0.3">
      <c r="A704" s="3" t="s">
        <v>2526</v>
      </c>
      <c r="B704" s="3" t="s">
        <v>2527</v>
      </c>
    </row>
    <row r="705" spans="1:2" x14ac:dyDescent="0.3">
      <c r="A705" s="3" t="s">
        <v>2528</v>
      </c>
      <c r="B705" s="3" t="s">
        <v>2529</v>
      </c>
    </row>
    <row r="706" spans="1:2" x14ac:dyDescent="0.3">
      <c r="A706" s="3" t="s">
        <v>2530</v>
      </c>
      <c r="B706" s="3" t="s">
        <v>2531</v>
      </c>
    </row>
    <row r="707" spans="1:2" x14ac:dyDescent="0.3">
      <c r="A707" s="3" t="s">
        <v>2532</v>
      </c>
      <c r="B707" s="3" t="s">
        <v>2533</v>
      </c>
    </row>
    <row r="708" spans="1:2" x14ac:dyDescent="0.3">
      <c r="A708" s="3" t="s">
        <v>2534</v>
      </c>
      <c r="B708" s="3" t="s">
        <v>2535</v>
      </c>
    </row>
    <row r="709" spans="1:2" x14ac:dyDescent="0.3">
      <c r="A709" s="3" t="s">
        <v>2536</v>
      </c>
      <c r="B709" s="3" t="s">
        <v>2537</v>
      </c>
    </row>
    <row r="710" spans="1:2" x14ac:dyDescent="0.3">
      <c r="A710" s="3" t="s">
        <v>2538</v>
      </c>
      <c r="B710" s="3" t="s">
        <v>2539</v>
      </c>
    </row>
    <row r="711" spans="1:2" x14ac:dyDescent="0.3">
      <c r="A711" s="3" t="s">
        <v>2540</v>
      </c>
      <c r="B711" s="3" t="s">
        <v>2541</v>
      </c>
    </row>
    <row r="712" spans="1:2" x14ac:dyDescent="0.3">
      <c r="A712" s="3" t="s">
        <v>2542</v>
      </c>
      <c r="B712" s="3" t="s">
        <v>2543</v>
      </c>
    </row>
    <row r="713" spans="1:2" x14ac:dyDescent="0.3">
      <c r="A713" s="3" t="s">
        <v>2544</v>
      </c>
      <c r="B713" s="3" t="s">
        <v>2545</v>
      </c>
    </row>
    <row r="714" spans="1:2" x14ac:dyDescent="0.3">
      <c r="A714" s="3" t="s">
        <v>2546</v>
      </c>
      <c r="B714" s="3" t="s">
        <v>2547</v>
      </c>
    </row>
    <row r="715" spans="1:2" x14ac:dyDescent="0.3">
      <c r="A715" s="3" t="s">
        <v>2548</v>
      </c>
      <c r="B715" s="3" t="s">
        <v>2549</v>
      </c>
    </row>
    <row r="716" spans="1:2" x14ac:dyDescent="0.3">
      <c r="A716" s="3" t="s">
        <v>2550</v>
      </c>
      <c r="B716" s="3" t="s">
        <v>2551</v>
      </c>
    </row>
    <row r="717" spans="1:2" x14ac:dyDescent="0.3">
      <c r="A717" s="3" t="s">
        <v>2552</v>
      </c>
      <c r="B717" s="3" t="s">
        <v>2553</v>
      </c>
    </row>
    <row r="718" spans="1:2" x14ac:dyDescent="0.3">
      <c r="A718" s="3" t="s">
        <v>2554</v>
      </c>
      <c r="B718" s="3" t="s">
        <v>2555</v>
      </c>
    </row>
    <row r="719" spans="1:2" x14ac:dyDescent="0.3">
      <c r="A719" s="3" t="s">
        <v>2556</v>
      </c>
      <c r="B719" s="3" t="s">
        <v>2557</v>
      </c>
    </row>
    <row r="720" spans="1:2" x14ac:dyDescent="0.3">
      <c r="A720" s="3" t="s">
        <v>2558</v>
      </c>
      <c r="B720" s="3" t="s">
        <v>2559</v>
      </c>
    </row>
    <row r="721" spans="1:2" x14ac:dyDescent="0.3">
      <c r="A721" s="3" t="s">
        <v>2560</v>
      </c>
      <c r="B721" s="3" t="s">
        <v>2561</v>
      </c>
    </row>
    <row r="722" spans="1:2" x14ac:dyDescent="0.3">
      <c r="A722" s="3" t="s">
        <v>2562</v>
      </c>
      <c r="B722" s="3" t="s">
        <v>2563</v>
      </c>
    </row>
    <row r="723" spans="1:2" x14ac:dyDescent="0.3">
      <c r="A723" s="3" t="s">
        <v>2564</v>
      </c>
      <c r="B723" s="3" t="s">
        <v>2565</v>
      </c>
    </row>
    <row r="724" spans="1:2" x14ac:dyDescent="0.3">
      <c r="A724" s="3" t="s">
        <v>2566</v>
      </c>
      <c r="B724" s="3" t="s">
        <v>2567</v>
      </c>
    </row>
    <row r="725" spans="1:2" x14ac:dyDescent="0.3">
      <c r="A725" s="3" t="s">
        <v>2568</v>
      </c>
      <c r="B725" s="3" t="s">
        <v>2569</v>
      </c>
    </row>
    <row r="726" spans="1:2" x14ac:dyDescent="0.3">
      <c r="A726" s="3" t="s">
        <v>2570</v>
      </c>
      <c r="B726" s="3" t="s">
        <v>2571</v>
      </c>
    </row>
    <row r="727" spans="1:2" x14ac:dyDescent="0.3">
      <c r="A727" s="3" t="s">
        <v>2572</v>
      </c>
      <c r="B727" s="3" t="s">
        <v>2573</v>
      </c>
    </row>
    <row r="728" spans="1:2" x14ac:dyDescent="0.3">
      <c r="A728" s="3" t="s">
        <v>2574</v>
      </c>
      <c r="B728" s="3" t="s">
        <v>2575</v>
      </c>
    </row>
    <row r="729" spans="1:2" x14ac:dyDescent="0.3">
      <c r="A729" s="3" t="s">
        <v>2576</v>
      </c>
      <c r="B729" s="3" t="s">
        <v>2577</v>
      </c>
    </row>
    <row r="730" spans="1:2" x14ac:dyDescent="0.3">
      <c r="A730" s="3" t="s">
        <v>2578</v>
      </c>
      <c r="B730" s="3" t="s">
        <v>2579</v>
      </c>
    </row>
    <row r="731" spans="1:2" x14ac:dyDescent="0.3">
      <c r="A731" s="3" t="s">
        <v>2580</v>
      </c>
      <c r="B731" s="3" t="s">
        <v>2581</v>
      </c>
    </row>
    <row r="732" spans="1:2" x14ac:dyDescent="0.3">
      <c r="A732" s="3" t="s">
        <v>2582</v>
      </c>
      <c r="B732" s="3" t="s">
        <v>2583</v>
      </c>
    </row>
    <row r="733" spans="1:2" x14ac:dyDescent="0.3">
      <c r="A733" s="3" t="s">
        <v>2584</v>
      </c>
      <c r="B733" s="3" t="s">
        <v>2585</v>
      </c>
    </row>
    <row r="734" spans="1:2" x14ac:dyDescent="0.3">
      <c r="A734" s="3" t="s">
        <v>2586</v>
      </c>
      <c r="B734" s="3" t="s">
        <v>2587</v>
      </c>
    </row>
    <row r="735" spans="1:2" x14ac:dyDescent="0.3">
      <c r="A735" s="3" t="s">
        <v>2588</v>
      </c>
      <c r="B735" s="3" t="s">
        <v>2589</v>
      </c>
    </row>
    <row r="736" spans="1:2" x14ac:dyDescent="0.3">
      <c r="A736" s="3" t="s">
        <v>2590</v>
      </c>
      <c r="B736" s="3" t="s">
        <v>2591</v>
      </c>
    </row>
    <row r="737" spans="1:2" x14ac:dyDescent="0.3">
      <c r="A737" s="3" t="s">
        <v>2592</v>
      </c>
      <c r="B737" s="3" t="s">
        <v>2593</v>
      </c>
    </row>
    <row r="738" spans="1:2" x14ac:dyDescent="0.3">
      <c r="A738" s="3" t="s">
        <v>2594</v>
      </c>
      <c r="B738" s="3" t="s">
        <v>2595</v>
      </c>
    </row>
    <row r="739" spans="1:2" x14ac:dyDescent="0.3">
      <c r="A739" s="3" t="s">
        <v>2596</v>
      </c>
      <c r="B739" s="3" t="s">
        <v>2597</v>
      </c>
    </row>
    <row r="740" spans="1:2" x14ac:dyDescent="0.3">
      <c r="A740" s="3" t="s">
        <v>2598</v>
      </c>
      <c r="B740" s="3" t="s">
        <v>2599</v>
      </c>
    </row>
    <row r="741" spans="1:2" x14ac:dyDescent="0.3">
      <c r="A741" s="3" t="s">
        <v>2600</v>
      </c>
      <c r="B741" s="3" t="s">
        <v>2601</v>
      </c>
    </row>
    <row r="742" spans="1:2" x14ac:dyDescent="0.3">
      <c r="A742" s="3" t="s">
        <v>2602</v>
      </c>
      <c r="B742" s="3" t="s">
        <v>2603</v>
      </c>
    </row>
    <row r="743" spans="1:2" x14ac:dyDescent="0.3">
      <c r="A743" s="3" t="s">
        <v>2604</v>
      </c>
      <c r="B743" s="3" t="s">
        <v>2605</v>
      </c>
    </row>
    <row r="744" spans="1:2" x14ac:dyDescent="0.3">
      <c r="A744" s="3" t="s">
        <v>2606</v>
      </c>
      <c r="B744" s="3" t="s">
        <v>2607</v>
      </c>
    </row>
    <row r="745" spans="1:2" x14ac:dyDescent="0.3">
      <c r="A745" s="3" t="s">
        <v>2608</v>
      </c>
      <c r="B745" s="3" t="s">
        <v>2609</v>
      </c>
    </row>
    <row r="746" spans="1:2" x14ac:dyDescent="0.3">
      <c r="A746" s="3" t="s">
        <v>2610</v>
      </c>
      <c r="B746" s="3" t="s">
        <v>2611</v>
      </c>
    </row>
    <row r="747" spans="1:2" x14ac:dyDescent="0.3">
      <c r="A747" s="3" t="s">
        <v>2612</v>
      </c>
      <c r="B747" s="3" t="s">
        <v>2613</v>
      </c>
    </row>
    <row r="748" spans="1:2" x14ac:dyDescent="0.3">
      <c r="A748" s="3" t="s">
        <v>2614</v>
      </c>
      <c r="B748" s="3" t="s">
        <v>2615</v>
      </c>
    </row>
    <row r="749" spans="1:2" x14ac:dyDescent="0.3">
      <c r="A749" s="3" t="s">
        <v>2616</v>
      </c>
      <c r="B749" s="3" t="s">
        <v>2617</v>
      </c>
    </row>
    <row r="750" spans="1:2" x14ac:dyDescent="0.3">
      <c r="A750" s="3" t="s">
        <v>2618</v>
      </c>
      <c r="B750" s="3" t="s">
        <v>2619</v>
      </c>
    </row>
    <row r="751" spans="1:2" x14ac:dyDescent="0.3">
      <c r="A751" s="3" t="s">
        <v>2620</v>
      </c>
      <c r="B751" s="3" t="s">
        <v>2621</v>
      </c>
    </row>
    <row r="752" spans="1:2" x14ac:dyDescent="0.3">
      <c r="A752" s="3" t="s">
        <v>2622</v>
      </c>
      <c r="B752" s="3" t="s">
        <v>2623</v>
      </c>
    </row>
    <row r="753" spans="1:2" x14ac:dyDescent="0.3">
      <c r="A753" s="3" t="s">
        <v>2624</v>
      </c>
      <c r="B753" s="3" t="s">
        <v>2625</v>
      </c>
    </row>
    <row r="754" spans="1:2" x14ac:dyDescent="0.3">
      <c r="A754" s="3" t="s">
        <v>2626</v>
      </c>
      <c r="B754" s="3" t="s">
        <v>2627</v>
      </c>
    </row>
    <row r="755" spans="1:2" x14ac:dyDescent="0.3">
      <c r="A755" s="3" t="s">
        <v>2628</v>
      </c>
      <c r="B755" s="3" t="s">
        <v>2629</v>
      </c>
    </row>
    <row r="756" spans="1:2" x14ac:dyDescent="0.3">
      <c r="A756" s="3" t="s">
        <v>2630</v>
      </c>
      <c r="B756" s="3" t="s">
        <v>2631</v>
      </c>
    </row>
    <row r="757" spans="1:2" x14ac:dyDescent="0.3">
      <c r="A757" s="3" t="s">
        <v>2632</v>
      </c>
      <c r="B757" s="3" t="s">
        <v>2633</v>
      </c>
    </row>
    <row r="758" spans="1:2" x14ac:dyDescent="0.3">
      <c r="A758" s="3" t="s">
        <v>2634</v>
      </c>
      <c r="B758" s="3" t="s">
        <v>2635</v>
      </c>
    </row>
    <row r="759" spans="1:2" x14ac:dyDescent="0.3">
      <c r="A759" s="3" t="s">
        <v>2636</v>
      </c>
      <c r="B759" s="3" t="s">
        <v>2637</v>
      </c>
    </row>
    <row r="760" spans="1:2" x14ac:dyDescent="0.3">
      <c r="A760" s="3" t="s">
        <v>2638</v>
      </c>
      <c r="B760" s="3" t="s">
        <v>2639</v>
      </c>
    </row>
    <row r="761" spans="1:2" x14ac:dyDescent="0.3">
      <c r="A761" s="3" t="s">
        <v>2640</v>
      </c>
      <c r="B761" s="3" t="s">
        <v>2641</v>
      </c>
    </row>
    <row r="762" spans="1:2" x14ac:dyDescent="0.3">
      <c r="A762" s="3" t="s">
        <v>2642</v>
      </c>
      <c r="B762" s="3" t="s">
        <v>2643</v>
      </c>
    </row>
    <row r="763" spans="1:2" x14ac:dyDescent="0.3">
      <c r="A763" s="3" t="s">
        <v>2644</v>
      </c>
      <c r="B763" s="3" t="s">
        <v>2645</v>
      </c>
    </row>
    <row r="764" spans="1:2" x14ac:dyDescent="0.3">
      <c r="A764" s="3" t="s">
        <v>2646</v>
      </c>
      <c r="B764" s="3" t="s">
        <v>2647</v>
      </c>
    </row>
    <row r="765" spans="1:2" x14ac:dyDescent="0.3">
      <c r="A765" s="3" t="s">
        <v>2648</v>
      </c>
      <c r="B765" s="3" t="s">
        <v>2649</v>
      </c>
    </row>
    <row r="766" spans="1:2" x14ac:dyDescent="0.3">
      <c r="A766" s="3" t="s">
        <v>2650</v>
      </c>
      <c r="B766" s="3" t="s">
        <v>2651</v>
      </c>
    </row>
    <row r="767" spans="1:2" x14ac:dyDescent="0.3">
      <c r="A767" s="3" t="s">
        <v>2652</v>
      </c>
      <c r="B767" s="3" t="s">
        <v>2653</v>
      </c>
    </row>
    <row r="768" spans="1:2" x14ac:dyDescent="0.3">
      <c r="A768" s="3" t="s">
        <v>2654</v>
      </c>
      <c r="B768" s="3" t="s">
        <v>2655</v>
      </c>
    </row>
    <row r="769" spans="1:2" x14ac:dyDescent="0.3">
      <c r="A769" s="3" t="s">
        <v>2656</v>
      </c>
      <c r="B769" s="3" t="s">
        <v>2657</v>
      </c>
    </row>
    <row r="770" spans="1:2" x14ac:dyDescent="0.3">
      <c r="A770" s="3" t="s">
        <v>2658</v>
      </c>
      <c r="B770" s="3" t="s">
        <v>2659</v>
      </c>
    </row>
    <row r="771" spans="1:2" x14ac:dyDescent="0.3">
      <c r="A771" s="3" t="s">
        <v>2660</v>
      </c>
      <c r="B771" s="3" t="s">
        <v>2661</v>
      </c>
    </row>
    <row r="772" spans="1:2" x14ac:dyDescent="0.3">
      <c r="A772" s="3" t="s">
        <v>2662</v>
      </c>
      <c r="B772" s="3" t="s">
        <v>2663</v>
      </c>
    </row>
    <row r="773" spans="1:2" x14ac:dyDescent="0.3">
      <c r="A773" s="3" t="s">
        <v>2664</v>
      </c>
      <c r="B773" s="3" t="s">
        <v>2665</v>
      </c>
    </row>
    <row r="774" spans="1:2" x14ac:dyDescent="0.3">
      <c r="A774" s="3" t="s">
        <v>2666</v>
      </c>
      <c r="B774" s="3" t="s">
        <v>2667</v>
      </c>
    </row>
    <row r="775" spans="1:2" x14ac:dyDescent="0.3">
      <c r="A775" s="3" t="s">
        <v>2668</v>
      </c>
      <c r="B775" s="3" t="s">
        <v>2669</v>
      </c>
    </row>
    <row r="776" spans="1:2" x14ac:dyDescent="0.3">
      <c r="A776" s="3" t="s">
        <v>2670</v>
      </c>
      <c r="B776" s="3" t="s">
        <v>2671</v>
      </c>
    </row>
    <row r="777" spans="1:2" x14ac:dyDescent="0.3">
      <c r="A777" s="3" t="s">
        <v>2672</v>
      </c>
      <c r="B777" s="3" t="s">
        <v>2673</v>
      </c>
    </row>
    <row r="778" spans="1:2" x14ac:dyDescent="0.3">
      <c r="A778" s="3" t="s">
        <v>2674</v>
      </c>
      <c r="B778" s="3" t="s">
        <v>2675</v>
      </c>
    </row>
    <row r="779" spans="1:2" x14ac:dyDescent="0.3">
      <c r="A779" s="3" t="s">
        <v>2676</v>
      </c>
      <c r="B779" s="3" t="s">
        <v>2677</v>
      </c>
    </row>
    <row r="780" spans="1:2" x14ac:dyDescent="0.3">
      <c r="A780" s="3" t="s">
        <v>2678</v>
      </c>
      <c r="B780" s="3" t="s">
        <v>2679</v>
      </c>
    </row>
    <row r="781" spans="1:2" x14ac:dyDescent="0.3">
      <c r="A781" s="3" t="s">
        <v>2680</v>
      </c>
      <c r="B781" s="3" t="s">
        <v>2681</v>
      </c>
    </row>
    <row r="782" spans="1:2" x14ac:dyDescent="0.3">
      <c r="A782" s="3" t="s">
        <v>2682</v>
      </c>
      <c r="B782" s="3" t="s">
        <v>2683</v>
      </c>
    </row>
    <row r="783" spans="1:2" x14ac:dyDescent="0.3">
      <c r="A783" s="3" t="s">
        <v>2684</v>
      </c>
      <c r="B783" s="3" t="s">
        <v>2685</v>
      </c>
    </row>
    <row r="784" spans="1:2" x14ac:dyDescent="0.3">
      <c r="A784" s="3" t="s">
        <v>2686</v>
      </c>
      <c r="B784" s="3" t="s">
        <v>2687</v>
      </c>
    </row>
    <row r="785" spans="1:2" x14ac:dyDescent="0.3">
      <c r="A785" s="3" t="s">
        <v>2688</v>
      </c>
      <c r="B785" s="3" t="s">
        <v>2689</v>
      </c>
    </row>
    <row r="786" spans="1:2" x14ac:dyDescent="0.3">
      <c r="A786" s="3" t="s">
        <v>2690</v>
      </c>
      <c r="B786" s="3" t="s">
        <v>2691</v>
      </c>
    </row>
    <row r="787" spans="1:2" x14ac:dyDescent="0.3">
      <c r="A787" s="3" t="s">
        <v>2692</v>
      </c>
      <c r="B787" s="3" t="s">
        <v>2693</v>
      </c>
    </row>
    <row r="788" spans="1:2" x14ac:dyDescent="0.3">
      <c r="A788" s="3" t="s">
        <v>2694</v>
      </c>
      <c r="B788" s="3" t="s">
        <v>2695</v>
      </c>
    </row>
    <row r="789" spans="1:2" x14ac:dyDescent="0.3">
      <c r="A789" s="3" t="s">
        <v>2696</v>
      </c>
      <c r="B789" s="3" t="s">
        <v>2697</v>
      </c>
    </row>
    <row r="790" spans="1:2" x14ac:dyDescent="0.3">
      <c r="A790" s="3" t="s">
        <v>2698</v>
      </c>
      <c r="B790" s="3" t="s">
        <v>2699</v>
      </c>
    </row>
    <row r="791" spans="1:2" x14ac:dyDescent="0.3">
      <c r="A791" s="3" t="s">
        <v>2700</v>
      </c>
      <c r="B791" s="3" t="s">
        <v>2701</v>
      </c>
    </row>
    <row r="792" spans="1:2" x14ac:dyDescent="0.3">
      <c r="A792" s="3" t="s">
        <v>2702</v>
      </c>
      <c r="B792" s="3" t="s">
        <v>2703</v>
      </c>
    </row>
    <row r="793" spans="1:2" x14ac:dyDescent="0.3">
      <c r="A793" s="3" t="s">
        <v>2704</v>
      </c>
      <c r="B793" s="3" t="s">
        <v>2705</v>
      </c>
    </row>
    <row r="794" spans="1:2" x14ac:dyDescent="0.3">
      <c r="A794" s="3" t="s">
        <v>2706</v>
      </c>
      <c r="B794" s="3" t="s">
        <v>2707</v>
      </c>
    </row>
    <row r="795" spans="1:2" x14ac:dyDescent="0.3">
      <c r="A795" s="3" t="s">
        <v>2708</v>
      </c>
      <c r="B795" s="3" t="s">
        <v>2709</v>
      </c>
    </row>
    <row r="796" spans="1:2" x14ac:dyDescent="0.3">
      <c r="A796" s="3" t="s">
        <v>2710</v>
      </c>
      <c r="B796" s="3" t="s">
        <v>2711</v>
      </c>
    </row>
    <row r="797" spans="1:2" x14ac:dyDescent="0.3">
      <c r="A797" s="3" t="s">
        <v>2712</v>
      </c>
      <c r="B797" s="3" t="s">
        <v>2713</v>
      </c>
    </row>
    <row r="798" spans="1:2" x14ac:dyDescent="0.3">
      <c r="A798" s="3" t="s">
        <v>2714</v>
      </c>
      <c r="B798" s="3" t="s">
        <v>2715</v>
      </c>
    </row>
    <row r="799" spans="1:2" x14ac:dyDescent="0.3">
      <c r="A799" s="3" t="s">
        <v>2716</v>
      </c>
      <c r="B799" s="3" t="s">
        <v>2717</v>
      </c>
    </row>
    <row r="800" spans="1:2" x14ac:dyDescent="0.3">
      <c r="A800" s="3" t="s">
        <v>2718</v>
      </c>
      <c r="B800" s="3" t="s">
        <v>2719</v>
      </c>
    </row>
    <row r="801" spans="1:2" x14ac:dyDescent="0.3">
      <c r="A801" s="3" t="s">
        <v>2720</v>
      </c>
      <c r="B801" s="3" t="s">
        <v>2721</v>
      </c>
    </row>
    <row r="802" spans="1:2" x14ac:dyDescent="0.3">
      <c r="A802" s="3" t="s">
        <v>2722</v>
      </c>
      <c r="B802" s="3" t="s">
        <v>2723</v>
      </c>
    </row>
    <row r="803" spans="1:2" x14ac:dyDescent="0.3">
      <c r="A803" s="3" t="s">
        <v>2724</v>
      </c>
      <c r="B803" s="3" t="s">
        <v>2725</v>
      </c>
    </row>
    <row r="804" spans="1:2" x14ac:dyDescent="0.3">
      <c r="A804" s="3" t="s">
        <v>2726</v>
      </c>
      <c r="B804" s="3" t="s">
        <v>2727</v>
      </c>
    </row>
    <row r="805" spans="1:2" x14ac:dyDescent="0.3">
      <c r="A805" s="3" t="s">
        <v>2728</v>
      </c>
      <c r="B805" s="3" t="s">
        <v>2729</v>
      </c>
    </row>
    <row r="806" spans="1:2" x14ac:dyDescent="0.3">
      <c r="A806" s="3" t="s">
        <v>2730</v>
      </c>
      <c r="B806" s="3" t="s">
        <v>2731</v>
      </c>
    </row>
    <row r="807" spans="1:2" x14ac:dyDescent="0.3">
      <c r="A807" s="3" t="s">
        <v>2732</v>
      </c>
      <c r="B807" s="3" t="s">
        <v>2733</v>
      </c>
    </row>
    <row r="808" spans="1:2" x14ac:dyDescent="0.3">
      <c r="A808" s="3" t="s">
        <v>2734</v>
      </c>
      <c r="B808" s="3" t="s">
        <v>2735</v>
      </c>
    </row>
    <row r="809" spans="1:2" x14ac:dyDescent="0.3">
      <c r="A809" s="3" t="s">
        <v>2736</v>
      </c>
      <c r="B809" s="3" t="s">
        <v>2737</v>
      </c>
    </row>
    <row r="810" spans="1:2" x14ac:dyDescent="0.3">
      <c r="A810" s="3" t="s">
        <v>2738</v>
      </c>
      <c r="B810" s="3" t="s">
        <v>2739</v>
      </c>
    </row>
    <row r="811" spans="1:2" x14ac:dyDescent="0.3">
      <c r="A811" s="3" t="s">
        <v>2740</v>
      </c>
      <c r="B811" s="3" t="s">
        <v>2741</v>
      </c>
    </row>
    <row r="812" spans="1:2" x14ac:dyDescent="0.3">
      <c r="A812" s="3" t="s">
        <v>2742</v>
      </c>
      <c r="B812" s="3" t="s">
        <v>2743</v>
      </c>
    </row>
    <row r="813" spans="1:2" x14ac:dyDescent="0.3">
      <c r="A813" s="3" t="s">
        <v>2744</v>
      </c>
      <c r="B813" s="3" t="s">
        <v>2745</v>
      </c>
    </row>
    <row r="814" spans="1:2" x14ac:dyDescent="0.3">
      <c r="A814" s="3" t="s">
        <v>2746</v>
      </c>
      <c r="B814" s="3" t="s">
        <v>2747</v>
      </c>
    </row>
    <row r="815" spans="1:2" x14ac:dyDescent="0.3">
      <c r="A815" s="3" t="s">
        <v>2748</v>
      </c>
      <c r="B815" s="3" t="s">
        <v>2749</v>
      </c>
    </row>
    <row r="816" spans="1:2" x14ac:dyDescent="0.3">
      <c r="A816" s="3" t="s">
        <v>2750</v>
      </c>
      <c r="B816" s="3" t="s">
        <v>2751</v>
      </c>
    </row>
    <row r="817" spans="1:2" x14ac:dyDescent="0.3">
      <c r="A817" s="3" t="s">
        <v>2752</v>
      </c>
      <c r="B817" s="3" t="s">
        <v>2753</v>
      </c>
    </row>
    <row r="818" spans="1:2" x14ac:dyDescent="0.3">
      <c r="A818" s="3" t="s">
        <v>2754</v>
      </c>
      <c r="B818" s="3" t="s">
        <v>2755</v>
      </c>
    </row>
    <row r="819" spans="1:2" x14ac:dyDescent="0.3">
      <c r="A819" s="3" t="s">
        <v>2756</v>
      </c>
      <c r="B819" s="3" t="s">
        <v>2757</v>
      </c>
    </row>
    <row r="820" spans="1:2" x14ac:dyDescent="0.3">
      <c r="A820" s="3" t="s">
        <v>2758</v>
      </c>
      <c r="B820" s="3" t="s">
        <v>2759</v>
      </c>
    </row>
    <row r="821" spans="1:2" x14ac:dyDescent="0.3">
      <c r="A821" s="3" t="s">
        <v>2760</v>
      </c>
      <c r="B821" s="3" t="s">
        <v>2761</v>
      </c>
    </row>
    <row r="822" spans="1:2" x14ac:dyDescent="0.3">
      <c r="A822" s="3" t="s">
        <v>2762</v>
      </c>
      <c r="B822" s="3" t="s">
        <v>2763</v>
      </c>
    </row>
    <row r="823" spans="1:2" x14ac:dyDescent="0.3">
      <c r="A823" s="3" t="s">
        <v>2764</v>
      </c>
      <c r="B823" s="3" t="s">
        <v>2765</v>
      </c>
    </row>
    <row r="824" spans="1:2" x14ac:dyDescent="0.3">
      <c r="A824" s="3" t="s">
        <v>2766</v>
      </c>
      <c r="B824" s="3" t="s">
        <v>2767</v>
      </c>
    </row>
    <row r="825" spans="1:2" x14ac:dyDescent="0.3">
      <c r="A825" s="3" t="s">
        <v>2768</v>
      </c>
      <c r="B825" s="3" t="s">
        <v>2769</v>
      </c>
    </row>
    <row r="826" spans="1:2" x14ac:dyDescent="0.3">
      <c r="A826" s="3" t="s">
        <v>2770</v>
      </c>
      <c r="B826" s="3" t="s">
        <v>2771</v>
      </c>
    </row>
    <row r="827" spans="1:2" x14ac:dyDescent="0.3">
      <c r="A827" s="3" t="s">
        <v>2772</v>
      </c>
      <c r="B827" s="3" t="s">
        <v>2773</v>
      </c>
    </row>
    <row r="828" spans="1:2" x14ac:dyDescent="0.3">
      <c r="A828" s="3" t="s">
        <v>2774</v>
      </c>
      <c r="B828" s="3" t="s">
        <v>2775</v>
      </c>
    </row>
    <row r="829" spans="1:2" x14ac:dyDescent="0.3">
      <c r="A829" s="3" t="s">
        <v>2776</v>
      </c>
      <c r="B829" s="3" t="s">
        <v>2777</v>
      </c>
    </row>
    <row r="830" spans="1:2" x14ac:dyDescent="0.3">
      <c r="A830" s="3" t="s">
        <v>2778</v>
      </c>
      <c r="B830" s="3" t="s">
        <v>2779</v>
      </c>
    </row>
    <row r="831" spans="1:2" x14ac:dyDescent="0.3">
      <c r="A831" s="3" t="s">
        <v>2780</v>
      </c>
      <c r="B831" s="3" t="s">
        <v>2781</v>
      </c>
    </row>
    <row r="832" spans="1:2" x14ac:dyDescent="0.3">
      <c r="A832" s="3" t="s">
        <v>2782</v>
      </c>
      <c r="B832" s="3" t="s">
        <v>2783</v>
      </c>
    </row>
    <row r="833" spans="1:2" x14ac:dyDescent="0.3">
      <c r="A833" s="3" t="s">
        <v>2784</v>
      </c>
      <c r="B833" s="3" t="s">
        <v>2785</v>
      </c>
    </row>
    <row r="834" spans="1:2" x14ac:dyDescent="0.3">
      <c r="A834" s="3" t="s">
        <v>2786</v>
      </c>
      <c r="B834" s="3" t="s">
        <v>2787</v>
      </c>
    </row>
    <row r="835" spans="1:2" x14ac:dyDescent="0.3">
      <c r="A835" s="3" t="s">
        <v>2788</v>
      </c>
      <c r="B835" s="3" t="s">
        <v>2789</v>
      </c>
    </row>
    <row r="836" spans="1:2" x14ac:dyDescent="0.3">
      <c r="A836" s="3" t="s">
        <v>2790</v>
      </c>
      <c r="B836" s="3" t="s">
        <v>2791</v>
      </c>
    </row>
    <row r="837" spans="1:2" x14ac:dyDescent="0.3">
      <c r="A837" s="3" t="s">
        <v>2792</v>
      </c>
      <c r="B837" s="3" t="s">
        <v>2793</v>
      </c>
    </row>
    <row r="838" spans="1:2" x14ac:dyDescent="0.3">
      <c r="A838" s="3" t="s">
        <v>2794</v>
      </c>
      <c r="B838" s="3" t="s">
        <v>2795</v>
      </c>
    </row>
    <row r="839" spans="1:2" x14ac:dyDescent="0.3">
      <c r="A839" s="3" t="s">
        <v>2796</v>
      </c>
      <c r="B839" s="3" t="s">
        <v>2797</v>
      </c>
    </row>
    <row r="840" spans="1:2" x14ac:dyDescent="0.3">
      <c r="A840" s="3" t="s">
        <v>2798</v>
      </c>
      <c r="B840" s="3" t="s">
        <v>2799</v>
      </c>
    </row>
    <row r="841" spans="1:2" x14ac:dyDescent="0.3">
      <c r="A841" s="3" t="s">
        <v>2800</v>
      </c>
      <c r="B841" s="3" t="s">
        <v>2801</v>
      </c>
    </row>
    <row r="842" spans="1:2" x14ac:dyDescent="0.3">
      <c r="A842" s="3" t="s">
        <v>2802</v>
      </c>
      <c r="B842" s="3" t="s">
        <v>2803</v>
      </c>
    </row>
    <row r="843" spans="1:2" x14ac:dyDescent="0.3">
      <c r="A843" s="3" t="s">
        <v>2804</v>
      </c>
      <c r="B843" s="3" t="s">
        <v>2805</v>
      </c>
    </row>
    <row r="844" spans="1:2" x14ac:dyDescent="0.3">
      <c r="A844" s="3" t="s">
        <v>2806</v>
      </c>
      <c r="B844" s="3" t="s">
        <v>2807</v>
      </c>
    </row>
    <row r="845" spans="1:2" x14ac:dyDescent="0.3">
      <c r="A845" s="3" t="s">
        <v>2808</v>
      </c>
      <c r="B845" s="3" t="s">
        <v>2809</v>
      </c>
    </row>
    <row r="846" spans="1:2" x14ac:dyDescent="0.3">
      <c r="A846" s="3" t="s">
        <v>2810</v>
      </c>
      <c r="B846" s="3" t="s">
        <v>2811</v>
      </c>
    </row>
    <row r="847" spans="1:2" x14ac:dyDescent="0.3">
      <c r="A847" s="3" t="s">
        <v>2812</v>
      </c>
      <c r="B847" s="3" t="s">
        <v>2813</v>
      </c>
    </row>
    <row r="848" spans="1:2" x14ac:dyDescent="0.3">
      <c r="A848" s="3" t="s">
        <v>2814</v>
      </c>
      <c r="B848" s="3" t="s">
        <v>2815</v>
      </c>
    </row>
    <row r="849" spans="1:2" x14ac:dyDescent="0.3">
      <c r="A849" s="3" t="s">
        <v>2816</v>
      </c>
      <c r="B849" s="3" t="s">
        <v>2817</v>
      </c>
    </row>
    <row r="850" spans="1:2" x14ac:dyDescent="0.3">
      <c r="A850" s="3" t="s">
        <v>2818</v>
      </c>
      <c r="B850" s="3" t="s">
        <v>2819</v>
      </c>
    </row>
    <row r="851" spans="1:2" x14ac:dyDescent="0.3">
      <c r="A851" s="3" t="s">
        <v>2820</v>
      </c>
      <c r="B851" s="3" t="s">
        <v>2821</v>
      </c>
    </row>
    <row r="852" spans="1:2" x14ac:dyDescent="0.3">
      <c r="A852" s="3" t="s">
        <v>2822</v>
      </c>
      <c r="B852" s="3" t="s">
        <v>2823</v>
      </c>
    </row>
    <row r="853" spans="1:2" x14ac:dyDescent="0.3">
      <c r="A853" s="3" t="s">
        <v>2824</v>
      </c>
      <c r="B853" s="3" t="s">
        <v>2825</v>
      </c>
    </row>
    <row r="854" spans="1:2" x14ac:dyDescent="0.3">
      <c r="A854" s="3" t="s">
        <v>2826</v>
      </c>
      <c r="B854" s="3" t="s">
        <v>2827</v>
      </c>
    </row>
    <row r="855" spans="1:2" x14ac:dyDescent="0.3">
      <c r="A855" s="3" t="s">
        <v>2828</v>
      </c>
      <c r="B855" s="3" t="s">
        <v>2829</v>
      </c>
    </row>
    <row r="856" spans="1:2" x14ac:dyDescent="0.3">
      <c r="A856" s="3" t="s">
        <v>2830</v>
      </c>
      <c r="B856" s="3" t="s">
        <v>2831</v>
      </c>
    </row>
    <row r="857" spans="1:2" x14ac:dyDescent="0.3">
      <c r="A857" s="3" t="s">
        <v>2832</v>
      </c>
      <c r="B857" s="3" t="s">
        <v>2833</v>
      </c>
    </row>
    <row r="858" spans="1:2" x14ac:dyDescent="0.3">
      <c r="A858" s="3" t="s">
        <v>2834</v>
      </c>
      <c r="B858" s="3" t="s">
        <v>2835</v>
      </c>
    </row>
    <row r="859" spans="1:2" x14ac:dyDescent="0.3">
      <c r="A859" s="3" t="s">
        <v>2836</v>
      </c>
      <c r="B859" s="3" t="s">
        <v>2837</v>
      </c>
    </row>
    <row r="860" spans="1:2" x14ac:dyDescent="0.3">
      <c r="A860" s="3" t="s">
        <v>2838</v>
      </c>
      <c r="B860" s="3" t="s">
        <v>2839</v>
      </c>
    </row>
    <row r="861" spans="1:2" x14ac:dyDescent="0.3">
      <c r="A861" s="3" t="s">
        <v>2840</v>
      </c>
      <c r="B861" s="3" t="s">
        <v>2841</v>
      </c>
    </row>
    <row r="862" spans="1:2" x14ac:dyDescent="0.3">
      <c r="A862" s="3" t="s">
        <v>2842</v>
      </c>
      <c r="B862" s="3" t="s">
        <v>2843</v>
      </c>
    </row>
    <row r="863" spans="1:2" x14ac:dyDescent="0.3">
      <c r="A863" s="3" t="s">
        <v>2844</v>
      </c>
      <c r="B863" s="3" t="s">
        <v>2845</v>
      </c>
    </row>
    <row r="864" spans="1:2" x14ac:dyDescent="0.3">
      <c r="A864" s="3" t="s">
        <v>2846</v>
      </c>
      <c r="B864" s="3" t="s">
        <v>2847</v>
      </c>
    </row>
    <row r="865" spans="1:2" x14ac:dyDescent="0.3">
      <c r="A865" s="3" t="s">
        <v>2848</v>
      </c>
      <c r="B865" s="3" t="s">
        <v>2849</v>
      </c>
    </row>
    <row r="866" spans="1:2" x14ac:dyDescent="0.3">
      <c r="A866" s="3" t="s">
        <v>2850</v>
      </c>
      <c r="B866" s="3" t="s">
        <v>2851</v>
      </c>
    </row>
    <row r="867" spans="1:2" x14ac:dyDescent="0.3">
      <c r="A867" s="3" t="s">
        <v>2852</v>
      </c>
      <c r="B867" s="3" t="s">
        <v>2853</v>
      </c>
    </row>
    <row r="868" spans="1:2" x14ac:dyDescent="0.3">
      <c r="A868" s="3" t="s">
        <v>2854</v>
      </c>
      <c r="B868" s="3" t="s">
        <v>2855</v>
      </c>
    </row>
    <row r="869" spans="1:2" x14ac:dyDescent="0.3">
      <c r="A869" s="3" t="s">
        <v>2856</v>
      </c>
      <c r="B869" s="3" t="s">
        <v>2857</v>
      </c>
    </row>
    <row r="870" spans="1:2" x14ac:dyDescent="0.3">
      <c r="A870" s="3" t="s">
        <v>2858</v>
      </c>
      <c r="B870" s="3" t="s">
        <v>2859</v>
      </c>
    </row>
    <row r="871" spans="1:2" x14ac:dyDescent="0.3">
      <c r="A871" s="3" t="s">
        <v>2860</v>
      </c>
      <c r="B871" s="3" t="s">
        <v>2861</v>
      </c>
    </row>
    <row r="872" spans="1:2" x14ac:dyDescent="0.3">
      <c r="A872" s="3" t="s">
        <v>2862</v>
      </c>
      <c r="B872" s="3" t="s">
        <v>2863</v>
      </c>
    </row>
    <row r="873" spans="1:2" x14ac:dyDescent="0.3">
      <c r="A873" s="3" t="s">
        <v>2864</v>
      </c>
      <c r="B873" s="3" t="s">
        <v>2865</v>
      </c>
    </row>
    <row r="874" spans="1:2" x14ac:dyDescent="0.3">
      <c r="A874" s="3" t="s">
        <v>2866</v>
      </c>
      <c r="B874" s="3" t="s">
        <v>2867</v>
      </c>
    </row>
    <row r="875" spans="1:2" x14ac:dyDescent="0.3">
      <c r="A875" s="3" t="s">
        <v>2868</v>
      </c>
      <c r="B875" s="3" t="s">
        <v>2869</v>
      </c>
    </row>
    <row r="876" spans="1:2" x14ac:dyDescent="0.3">
      <c r="A876" s="3" t="s">
        <v>2870</v>
      </c>
      <c r="B876" s="3" t="s">
        <v>2871</v>
      </c>
    </row>
    <row r="877" spans="1:2" x14ac:dyDescent="0.3">
      <c r="A877" s="3" t="s">
        <v>2872</v>
      </c>
      <c r="B877" s="3" t="s">
        <v>2873</v>
      </c>
    </row>
    <row r="878" spans="1:2" x14ac:dyDescent="0.3">
      <c r="A878" s="3" t="s">
        <v>2874</v>
      </c>
      <c r="B878" s="3" t="s">
        <v>2875</v>
      </c>
    </row>
    <row r="879" spans="1:2" x14ac:dyDescent="0.3">
      <c r="A879" s="3" t="s">
        <v>2876</v>
      </c>
      <c r="B879" s="3" t="s">
        <v>2877</v>
      </c>
    </row>
    <row r="880" spans="1:2" x14ac:dyDescent="0.3">
      <c r="A880" s="3" t="s">
        <v>2878</v>
      </c>
      <c r="B880" s="3" t="s">
        <v>2879</v>
      </c>
    </row>
    <row r="881" spans="1:2" x14ac:dyDescent="0.3">
      <c r="A881" s="3" t="s">
        <v>2880</v>
      </c>
      <c r="B881" s="3" t="s">
        <v>2881</v>
      </c>
    </row>
    <row r="882" spans="1:2" x14ac:dyDescent="0.3">
      <c r="A882" s="3" t="s">
        <v>2882</v>
      </c>
      <c r="B882" s="3" t="s">
        <v>2883</v>
      </c>
    </row>
    <row r="883" spans="1:2" x14ac:dyDescent="0.3">
      <c r="A883" s="3" t="s">
        <v>2884</v>
      </c>
      <c r="B883" s="3" t="s">
        <v>2885</v>
      </c>
    </row>
    <row r="884" spans="1:2" x14ac:dyDescent="0.3">
      <c r="A884" s="3" t="s">
        <v>2886</v>
      </c>
      <c r="B884" s="3" t="s">
        <v>2887</v>
      </c>
    </row>
    <row r="885" spans="1:2" x14ac:dyDescent="0.3">
      <c r="A885" s="3" t="s">
        <v>2888</v>
      </c>
      <c r="B885" s="3" t="s">
        <v>2889</v>
      </c>
    </row>
    <row r="886" spans="1:2" x14ac:dyDescent="0.3">
      <c r="A886" s="3" t="s">
        <v>2890</v>
      </c>
      <c r="B886" s="3" t="s">
        <v>2891</v>
      </c>
    </row>
    <row r="887" spans="1:2" x14ac:dyDescent="0.3">
      <c r="A887" s="3" t="s">
        <v>2892</v>
      </c>
      <c r="B887" s="3" t="s">
        <v>2893</v>
      </c>
    </row>
    <row r="888" spans="1:2" x14ac:dyDescent="0.3">
      <c r="A888" s="3" t="s">
        <v>2894</v>
      </c>
      <c r="B888" s="3" t="s">
        <v>2895</v>
      </c>
    </row>
    <row r="889" spans="1:2" x14ac:dyDescent="0.3">
      <c r="A889" s="3" t="s">
        <v>2896</v>
      </c>
      <c r="B889" s="3" t="s">
        <v>2897</v>
      </c>
    </row>
    <row r="890" spans="1:2" x14ac:dyDescent="0.3">
      <c r="A890" s="3" t="s">
        <v>2898</v>
      </c>
      <c r="B890" s="3" t="s">
        <v>2899</v>
      </c>
    </row>
    <row r="891" spans="1:2" x14ac:dyDescent="0.3">
      <c r="A891" s="3" t="s">
        <v>2900</v>
      </c>
      <c r="B891" s="3" t="s">
        <v>2901</v>
      </c>
    </row>
    <row r="892" spans="1:2" x14ac:dyDescent="0.3">
      <c r="A892" s="3" t="s">
        <v>2902</v>
      </c>
      <c r="B892" s="3" t="s">
        <v>2903</v>
      </c>
    </row>
    <row r="893" spans="1:2" x14ac:dyDescent="0.3">
      <c r="A893" s="3" t="s">
        <v>2904</v>
      </c>
      <c r="B893" s="3" t="s">
        <v>2905</v>
      </c>
    </row>
    <row r="894" spans="1:2" x14ac:dyDescent="0.3">
      <c r="A894" s="3" t="s">
        <v>2906</v>
      </c>
      <c r="B894" s="3" t="s">
        <v>2907</v>
      </c>
    </row>
    <row r="895" spans="1:2" x14ac:dyDescent="0.3">
      <c r="A895" s="3" t="s">
        <v>2908</v>
      </c>
      <c r="B895" s="3" t="s">
        <v>2909</v>
      </c>
    </row>
    <row r="896" spans="1:2" x14ac:dyDescent="0.3">
      <c r="A896" s="3" t="s">
        <v>2910</v>
      </c>
      <c r="B896" s="3" t="s">
        <v>2911</v>
      </c>
    </row>
    <row r="897" spans="1:2" x14ac:dyDescent="0.3">
      <c r="A897" s="3" t="s">
        <v>2912</v>
      </c>
      <c r="B897" s="3" t="s">
        <v>2913</v>
      </c>
    </row>
    <row r="898" spans="1:2" x14ac:dyDescent="0.3">
      <c r="A898" s="3" t="s">
        <v>2914</v>
      </c>
      <c r="B898" s="3" t="s">
        <v>2915</v>
      </c>
    </row>
    <row r="899" spans="1:2" x14ac:dyDescent="0.3">
      <c r="A899" s="3" t="s">
        <v>2916</v>
      </c>
      <c r="B899" s="3" t="s">
        <v>2917</v>
      </c>
    </row>
    <row r="900" spans="1:2" x14ac:dyDescent="0.3">
      <c r="A900" s="3" t="s">
        <v>2918</v>
      </c>
      <c r="B900" s="3" t="s">
        <v>2919</v>
      </c>
    </row>
    <row r="901" spans="1:2" x14ac:dyDescent="0.3">
      <c r="A901" s="3" t="s">
        <v>2920</v>
      </c>
      <c r="B901" s="3" t="s">
        <v>2921</v>
      </c>
    </row>
    <row r="902" spans="1:2" x14ac:dyDescent="0.3">
      <c r="A902" s="3" t="s">
        <v>2922</v>
      </c>
      <c r="B902" s="3" t="s">
        <v>2923</v>
      </c>
    </row>
    <row r="903" spans="1:2" x14ac:dyDescent="0.3">
      <c r="A903" s="3" t="s">
        <v>2924</v>
      </c>
      <c r="B903" s="3" t="s">
        <v>2925</v>
      </c>
    </row>
    <row r="904" spans="1:2" x14ac:dyDescent="0.3">
      <c r="A904" s="3" t="s">
        <v>2926</v>
      </c>
      <c r="B904" s="3" t="s">
        <v>2927</v>
      </c>
    </row>
    <row r="905" spans="1:2" x14ac:dyDescent="0.3">
      <c r="A905" s="3" t="s">
        <v>2928</v>
      </c>
      <c r="B905" s="3" t="s">
        <v>2929</v>
      </c>
    </row>
    <row r="906" spans="1:2" x14ac:dyDescent="0.3">
      <c r="A906" s="3" t="s">
        <v>2930</v>
      </c>
      <c r="B906" s="3" t="s">
        <v>2931</v>
      </c>
    </row>
    <row r="907" spans="1:2" x14ac:dyDescent="0.3">
      <c r="A907" s="3" t="s">
        <v>2932</v>
      </c>
      <c r="B907" s="3" t="s">
        <v>2933</v>
      </c>
    </row>
    <row r="908" spans="1:2" x14ac:dyDescent="0.3">
      <c r="A908" s="3" t="s">
        <v>2934</v>
      </c>
      <c r="B908" s="3" t="s">
        <v>2935</v>
      </c>
    </row>
    <row r="909" spans="1:2" x14ac:dyDescent="0.3">
      <c r="A909" s="3" t="s">
        <v>2936</v>
      </c>
      <c r="B909" s="3" t="s">
        <v>2937</v>
      </c>
    </row>
    <row r="910" spans="1:2" x14ac:dyDescent="0.3">
      <c r="A910" s="3" t="s">
        <v>2938</v>
      </c>
      <c r="B910" s="3" t="s">
        <v>2939</v>
      </c>
    </row>
    <row r="911" spans="1:2" x14ac:dyDescent="0.3">
      <c r="A911" s="3" t="s">
        <v>2940</v>
      </c>
      <c r="B911" s="3" t="s">
        <v>2941</v>
      </c>
    </row>
    <row r="912" spans="1:2" x14ac:dyDescent="0.3">
      <c r="A912" s="3" t="s">
        <v>2942</v>
      </c>
      <c r="B912" s="3" t="s">
        <v>2943</v>
      </c>
    </row>
    <row r="913" spans="1:2" x14ac:dyDescent="0.3">
      <c r="A913" s="3" t="s">
        <v>2944</v>
      </c>
      <c r="B913" s="3" t="s">
        <v>2945</v>
      </c>
    </row>
    <row r="914" spans="1:2" x14ac:dyDescent="0.3">
      <c r="A914" s="3" t="s">
        <v>2946</v>
      </c>
      <c r="B914" s="3" t="s">
        <v>2947</v>
      </c>
    </row>
    <row r="915" spans="1:2" x14ac:dyDescent="0.3">
      <c r="A915" s="3" t="s">
        <v>2948</v>
      </c>
      <c r="B915" s="3" t="s">
        <v>2949</v>
      </c>
    </row>
    <row r="916" spans="1:2" x14ac:dyDescent="0.3">
      <c r="A916" s="3" t="s">
        <v>2950</v>
      </c>
      <c r="B916" s="3" t="s">
        <v>2951</v>
      </c>
    </row>
    <row r="917" spans="1:2" x14ac:dyDescent="0.3">
      <c r="A917" s="3" t="s">
        <v>2952</v>
      </c>
      <c r="B917" s="3" t="s">
        <v>2953</v>
      </c>
    </row>
    <row r="918" spans="1:2" x14ac:dyDescent="0.3">
      <c r="A918" s="3" t="s">
        <v>2954</v>
      </c>
      <c r="B918" s="3" t="s">
        <v>2955</v>
      </c>
    </row>
    <row r="919" spans="1:2" x14ac:dyDescent="0.3">
      <c r="A919" s="3" t="s">
        <v>2956</v>
      </c>
      <c r="B919" s="3" t="s">
        <v>2957</v>
      </c>
    </row>
    <row r="920" spans="1:2" x14ac:dyDescent="0.3">
      <c r="A920" s="3" t="s">
        <v>2958</v>
      </c>
      <c r="B920" s="3" t="s">
        <v>2959</v>
      </c>
    </row>
    <row r="921" spans="1:2" x14ac:dyDescent="0.3">
      <c r="A921" s="3" t="s">
        <v>2960</v>
      </c>
      <c r="B921" s="3" t="s">
        <v>2961</v>
      </c>
    </row>
    <row r="922" spans="1:2" x14ac:dyDescent="0.3">
      <c r="A922" s="3" t="s">
        <v>2962</v>
      </c>
      <c r="B922" s="3" t="s">
        <v>2963</v>
      </c>
    </row>
    <row r="923" spans="1:2" x14ac:dyDescent="0.3">
      <c r="A923" s="3" t="s">
        <v>2964</v>
      </c>
      <c r="B923" s="3" t="s">
        <v>2965</v>
      </c>
    </row>
    <row r="924" spans="1:2" x14ac:dyDescent="0.3">
      <c r="A924" s="3" t="s">
        <v>2966</v>
      </c>
      <c r="B924" s="3" t="s">
        <v>2967</v>
      </c>
    </row>
    <row r="925" spans="1:2" x14ac:dyDescent="0.3">
      <c r="A925" s="3" t="s">
        <v>2968</v>
      </c>
      <c r="B925" s="3" t="s">
        <v>2969</v>
      </c>
    </row>
    <row r="926" spans="1:2" x14ac:dyDescent="0.3">
      <c r="A926" s="3" t="s">
        <v>2970</v>
      </c>
      <c r="B926" s="3" t="s">
        <v>2971</v>
      </c>
    </row>
    <row r="927" spans="1:2" x14ac:dyDescent="0.3">
      <c r="A927" s="3" t="s">
        <v>2972</v>
      </c>
      <c r="B927" s="3" t="s">
        <v>2973</v>
      </c>
    </row>
    <row r="928" spans="1:2" x14ac:dyDescent="0.3">
      <c r="A928" s="3" t="s">
        <v>2974</v>
      </c>
      <c r="B928" s="3" t="s">
        <v>2975</v>
      </c>
    </row>
    <row r="929" spans="1:2" x14ac:dyDescent="0.3">
      <c r="A929" s="3" t="s">
        <v>2976</v>
      </c>
      <c r="B929" s="3" t="s">
        <v>2977</v>
      </c>
    </row>
    <row r="930" spans="1:2" x14ac:dyDescent="0.3">
      <c r="A930" s="3" t="s">
        <v>2978</v>
      </c>
      <c r="B930" s="3" t="s">
        <v>2979</v>
      </c>
    </row>
    <row r="931" spans="1:2" x14ac:dyDescent="0.3">
      <c r="A931" s="3" t="s">
        <v>2980</v>
      </c>
      <c r="B931" s="3" t="s">
        <v>2981</v>
      </c>
    </row>
    <row r="932" spans="1:2" x14ac:dyDescent="0.3">
      <c r="A932" s="3" t="s">
        <v>2982</v>
      </c>
      <c r="B932" s="3" t="s">
        <v>2983</v>
      </c>
    </row>
    <row r="933" spans="1:2" x14ac:dyDescent="0.3">
      <c r="A933" s="3" t="s">
        <v>2984</v>
      </c>
      <c r="B933" s="3" t="s">
        <v>2985</v>
      </c>
    </row>
    <row r="934" spans="1:2" x14ac:dyDescent="0.3">
      <c r="A934" s="3" t="s">
        <v>2986</v>
      </c>
      <c r="B934" s="3" t="s">
        <v>2987</v>
      </c>
    </row>
    <row r="935" spans="1:2" x14ac:dyDescent="0.3">
      <c r="A935" s="3" t="s">
        <v>2988</v>
      </c>
      <c r="B935" s="3" t="s">
        <v>2989</v>
      </c>
    </row>
    <row r="936" spans="1:2" x14ac:dyDescent="0.3">
      <c r="A936" s="3" t="s">
        <v>2990</v>
      </c>
      <c r="B936" s="3" t="s">
        <v>2991</v>
      </c>
    </row>
    <row r="937" spans="1:2" x14ac:dyDescent="0.3">
      <c r="A937" s="3" t="s">
        <v>2992</v>
      </c>
      <c r="B937" s="3" t="s">
        <v>2993</v>
      </c>
    </row>
    <row r="938" spans="1:2" x14ac:dyDescent="0.3">
      <c r="A938" s="3" t="s">
        <v>2994</v>
      </c>
      <c r="B938" s="3" t="s">
        <v>2995</v>
      </c>
    </row>
    <row r="939" spans="1:2" x14ac:dyDescent="0.3">
      <c r="A939" s="3" t="s">
        <v>2996</v>
      </c>
      <c r="B939" s="3" t="s">
        <v>2997</v>
      </c>
    </row>
    <row r="940" spans="1:2" x14ac:dyDescent="0.3">
      <c r="A940" s="3" t="s">
        <v>2998</v>
      </c>
      <c r="B940" s="3" t="s">
        <v>2999</v>
      </c>
    </row>
    <row r="941" spans="1:2" x14ac:dyDescent="0.3">
      <c r="A941" s="3" t="s">
        <v>3000</v>
      </c>
      <c r="B941" s="3" t="s">
        <v>3001</v>
      </c>
    </row>
    <row r="942" spans="1:2" x14ac:dyDescent="0.3">
      <c r="A942" s="3" t="s">
        <v>3002</v>
      </c>
      <c r="B942" s="3" t="s">
        <v>3003</v>
      </c>
    </row>
    <row r="943" spans="1:2" x14ac:dyDescent="0.3">
      <c r="A943" s="3" t="s">
        <v>3004</v>
      </c>
      <c r="B943" s="3" t="s">
        <v>3005</v>
      </c>
    </row>
    <row r="944" spans="1:2" x14ac:dyDescent="0.3">
      <c r="A944" s="3" t="s">
        <v>3006</v>
      </c>
      <c r="B944" s="3" t="s">
        <v>3007</v>
      </c>
    </row>
    <row r="945" spans="1:2" x14ac:dyDescent="0.3">
      <c r="A945" s="3" t="s">
        <v>3008</v>
      </c>
      <c r="B945" s="3" t="s">
        <v>3009</v>
      </c>
    </row>
    <row r="946" spans="1:2" x14ac:dyDescent="0.3">
      <c r="A946" s="3" t="s">
        <v>3010</v>
      </c>
      <c r="B946" s="3" t="s">
        <v>3011</v>
      </c>
    </row>
    <row r="947" spans="1:2" x14ac:dyDescent="0.3">
      <c r="A947" s="3" t="s">
        <v>3012</v>
      </c>
      <c r="B947" s="3" t="s">
        <v>3013</v>
      </c>
    </row>
    <row r="948" spans="1:2" x14ac:dyDescent="0.3">
      <c r="A948" s="3" t="s">
        <v>3014</v>
      </c>
      <c r="B948" s="3" t="s">
        <v>3015</v>
      </c>
    </row>
    <row r="949" spans="1:2" x14ac:dyDescent="0.3">
      <c r="A949" s="3" t="s">
        <v>3016</v>
      </c>
      <c r="B949" s="3" t="s">
        <v>3017</v>
      </c>
    </row>
    <row r="950" spans="1:2" x14ac:dyDescent="0.3">
      <c r="A950" s="3" t="s">
        <v>3018</v>
      </c>
      <c r="B950" s="3" t="s">
        <v>3019</v>
      </c>
    </row>
    <row r="951" spans="1:2" x14ac:dyDescent="0.3">
      <c r="A951" s="3" t="s">
        <v>3020</v>
      </c>
      <c r="B951" s="3" t="s">
        <v>3021</v>
      </c>
    </row>
    <row r="952" spans="1:2" x14ac:dyDescent="0.3">
      <c r="A952" s="3" t="s">
        <v>3022</v>
      </c>
      <c r="B952" s="3" t="s">
        <v>3023</v>
      </c>
    </row>
    <row r="953" spans="1:2" x14ac:dyDescent="0.3">
      <c r="A953" s="3" t="s">
        <v>3024</v>
      </c>
      <c r="B953" s="3" t="s">
        <v>3025</v>
      </c>
    </row>
    <row r="954" spans="1:2" x14ac:dyDescent="0.3">
      <c r="A954" s="3" t="s">
        <v>3026</v>
      </c>
      <c r="B954" s="3" t="s">
        <v>3027</v>
      </c>
    </row>
    <row r="955" spans="1:2" x14ac:dyDescent="0.3">
      <c r="A955" s="3" t="s">
        <v>3028</v>
      </c>
      <c r="B955" s="3" t="s">
        <v>3029</v>
      </c>
    </row>
    <row r="956" spans="1:2" x14ac:dyDescent="0.3">
      <c r="A956" s="3" t="s">
        <v>3030</v>
      </c>
      <c r="B956" s="3" t="s">
        <v>3031</v>
      </c>
    </row>
    <row r="957" spans="1:2" x14ac:dyDescent="0.3">
      <c r="A957" s="3" t="s">
        <v>3032</v>
      </c>
      <c r="B957" s="3" t="s">
        <v>3033</v>
      </c>
    </row>
    <row r="958" spans="1:2" x14ac:dyDescent="0.3">
      <c r="A958" s="3" t="s">
        <v>3034</v>
      </c>
      <c r="B958" s="3" t="s">
        <v>3035</v>
      </c>
    </row>
    <row r="959" spans="1:2" x14ac:dyDescent="0.3">
      <c r="A959" s="3" t="s">
        <v>3036</v>
      </c>
      <c r="B959" s="3" t="s">
        <v>3037</v>
      </c>
    </row>
    <row r="960" spans="1:2" x14ac:dyDescent="0.3">
      <c r="A960" s="3" t="s">
        <v>3038</v>
      </c>
      <c r="B960" s="3" t="s">
        <v>3039</v>
      </c>
    </row>
    <row r="961" spans="1:2" x14ac:dyDescent="0.3">
      <c r="A961" s="3" t="s">
        <v>3040</v>
      </c>
      <c r="B961" s="3" t="s">
        <v>3041</v>
      </c>
    </row>
    <row r="962" spans="1:2" x14ac:dyDescent="0.3">
      <c r="A962" s="3" t="s">
        <v>3042</v>
      </c>
      <c r="B962" s="3" t="s">
        <v>3043</v>
      </c>
    </row>
    <row r="963" spans="1:2" x14ac:dyDescent="0.3">
      <c r="A963" s="3" t="s">
        <v>3044</v>
      </c>
      <c r="B963" s="3" t="s">
        <v>3045</v>
      </c>
    </row>
    <row r="964" spans="1:2" x14ac:dyDescent="0.3">
      <c r="A964" s="3" t="s">
        <v>3046</v>
      </c>
      <c r="B964" s="3" t="s">
        <v>3047</v>
      </c>
    </row>
    <row r="965" spans="1:2" x14ac:dyDescent="0.3">
      <c r="A965" s="3" t="s">
        <v>3048</v>
      </c>
      <c r="B965" s="3" t="s">
        <v>3049</v>
      </c>
    </row>
    <row r="966" spans="1:2" x14ac:dyDescent="0.3">
      <c r="A966" s="3" t="s">
        <v>3050</v>
      </c>
      <c r="B966" s="3" t="s">
        <v>3051</v>
      </c>
    </row>
    <row r="967" spans="1:2" x14ac:dyDescent="0.3">
      <c r="A967" s="3" t="s">
        <v>3052</v>
      </c>
      <c r="B967" s="3" t="s">
        <v>3053</v>
      </c>
    </row>
    <row r="968" spans="1:2" x14ac:dyDescent="0.3">
      <c r="A968" s="3" t="s">
        <v>3054</v>
      </c>
      <c r="B968" s="3" t="s">
        <v>3055</v>
      </c>
    </row>
    <row r="969" spans="1:2" x14ac:dyDescent="0.3">
      <c r="A969" s="3" t="s">
        <v>3056</v>
      </c>
      <c r="B969" s="3" t="s">
        <v>3057</v>
      </c>
    </row>
    <row r="970" spans="1:2" x14ac:dyDescent="0.3">
      <c r="A970" s="3" t="s">
        <v>3058</v>
      </c>
      <c r="B970" s="3" t="s">
        <v>3059</v>
      </c>
    </row>
    <row r="971" spans="1:2" x14ac:dyDescent="0.3">
      <c r="A971" s="3" t="s">
        <v>3060</v>
      </c>
      <c r="B971" s="3" t="s">
        <v>3061</v>
      </c>
    </row>
    <row r="972" spans="1:2" x14ac:dyDescent="0.3">
      <c r="A972" s="3" t="s">
        <v>3062</v>
      </c>
      <c r="B972" s="3" t="s">
        <v>3063</v>
      </c>
    </row>
    <row r="973" spans="1:2" x14ac:dyDescent="0.3">
      <c r="A973" s="3" t="s">
        <v>3064</v>
      </c>
      <c r="B973" s="3" t="s">
        <v>3065</v>
      </c>
    </row>
    <row r="974" spans="1:2" x14ac:dyDescent="0.3">
      <c r="A974" s="3" t="s">
        <v>3066</v>
      </c>
      <c r="B974" s="3" t="s">
        <v>3067</v>
      </c>
    </row>
    <row r="975" spans="1:2" x14ac:dyDescent="0.3">
      <c r="A975" s="3" t="s">
        <v>3068</v>
      </c>
      <c r="B975" s="3" t="s">
        <v>3069</v>
      </c>
    </row>
    <row r="976" spans="1:2" x14ac:dyDescent="0.3">
      <c r="A976" s="3" t="s">
        <v>3070</v>
      </c>
      <c r="B976" s="3" t="s">
        <v>3071</v>
      </c>
    </row>
    <row r="977" spans="1:2" x14ac:dyDescent="0.3">
      <c r="A977" s="3" t="s">
        <v>3072</v>
      </c>
      <c r="B977" s="3" t="s">
        <v>3073</v>
      </c>
    </row>
    <row r="978" spans="1:2" x14ac:dyDescent="0.3">
      <c r="A978" s="3" t="s">
        <v>3074</v>
      </c>
      <c r="B978" s="3" t="s">
        <v>3075</v>
      </c>
    </row>
    <row r="979" spans="1:2" x14ac:dyDescent="0.3">
      <c r="A979" s="3" t="s">
        <v>3076</v>
      </c>
      <c r="B979" s="3" t="s">
        <v>3077</v>
      </c>
    </row>
    <row r="980" spans="1:2" x14ac:dyDescent="0.3">
      <c r="A980" s="3" t="s">
        <v>3078</v>
      </c>
      <c r="B980" s="3" t="s">
        <v>3079</v>
      </c>
    </row>
    <row r="981" spans="1:2" x14ac:dyDescent="0.3">
      <c r="A981" s="3" t="s">
        <v>3080</v>
      </c>
      <c r="B981" s="3" t="s">
        <v>3081</v>
      </c>
    </row>
    <row r="982" spans="1:2" x14ac:dyDescent="0.3">
      <c r="A982" s="3" t="s">
        <v>3082</v>
      </c>
      <c r="B982" s="3" t="s">
        <v>3083</v>
      </c>
    </row>
    <row r="983" spans="1:2" x14ac:dyDescent="0.3">
      <c r="A983" s="3" t="s">
        <v>3084</v>
      </c>
      <c r="B983" s="3" t="s">
        <v>3085</v>
      </c>
    </row>
    <row r="984" spans="1:2" x14ac:dyDescent="0.3">
      <c r="A984" s="3" t="s">
        <v>3086</v>
      </c>
      <c r="B984" s="3" t="s">
        <v>3087</v>
      </c>
    </row>
    <row r="985" spans="1:2" x14ac:dyDescent="0.3">
      <c r="A985" s="3" t="s">
        <v>3088</v>
      </c>
      <c r="B985" s="3" t="s">
        <v>3089</v>
      </c>
    </row>
    <row r="986" spans="1:2" x14ac:dyDescent="0.3">
      <c r="A986" s="3" t="s">
        <v>3090</v>
      </c>
      <c r="B986" s="3" t="s">
        <v>3091</v>
      </c>
    </row>
    <row r="987" spans="1:2" x14ac:dyDescent="0.3">
      <c r="A987" s="3" t="s">
        <v>3092</v>
      </c>
      <c r="B987" s="3" t="s">
        <v>3093</v>
      </c>
    </row>
    <row r="988" spans="1:2" x14ac:dyDescent="0.3">
      <c r="A988" s="3" t="s">
        <v>3094</v>
      </c>
      <c r="B988" s="3" t="s">
        <v>3095</v>
      </c>
    </row>
    <row r="989" spans="1:2" x14ac:dyDescent="0.3">
      <c r="A989" s="3" t="s">
        <v>3096</v>
      </c>
      <c r="B989" s="3" t="s">
        <v>3097</v>
      </c>
    </row>
    <row r="990" spans="1:2" x14ac:dyDescent="0.3">
      <c r="A990" s="3" t="s">
        <v>3098</v>
      </c>
      <c r="B990" s="3" t="s">
        <v>3099</v>
      </c>
    </row>
    <row r="991" spans="1:2" x14ac:dyDescent="0.3">
      <c r="A991" s="3" t="s">
        <v>3100</v>
      </c>
      <c r="B991" s="3" t="s">
        <v>3101</v>
      </c>
    </row>
    <row r="992" spans="1:2" x14ac:dyDescent="0.3">
      <c r="A992" s="3" t="s">
        <v>3102</v>
      </c>
      <c r="B992" s="3" t="s">
        <v>3103</v>
      </c>
    </row>
    <row r="993" spans="1:2" x14ac:dyDescent="0.3">
      <c r="A993" s="3" t="s">
        <v>3104</v>
      </c>
      <c r="B993" s="3" t="s">
        <v>3105</v>
      </c>
    </row>
    <row r="994" spans="1:2" x14ac:dyDescent="0.3">
      <c r="A994" s="3" t="s">
        <v>3106</v>
      </c>
      <c r="B994" s="3" t="s">
        <v>3107</v>
      </c>
    </row>
    <row r="995" spans="1:2" x14ac:dyDescent="0.3">
      <c r="A995" s="3" t="s">
        <v>3108</v>
      </c>
      <c r="B995" s="3" t="s">
        <v>3109</v>
      </c>
    </row>
    <row r="996" spans="1:2" x14ac:dyDescent="0.3">
      <c r="A996" s="3" t="s">
        <v>3110</v>
      </c>
      <c r="B996" s="3" t="s">
        <v>3111</v>
      </c>
    </row>
    <row r="997" spans="1:2" x14ac:dyDescent="0.3">
      <c r="A997" s="3" t="s">
        <v>3112</v>
      </c>
      <c r="B997" s="3" t="s">
        <v>3113</v>
      </c>
    </row>
    <row r="998" spans="1:2" x14ac:dyDescent="0.3">
      <c r="A998" s="3" t="s">
        <v>3114</v>
      </c>
      <c r="B998" s="3" t="s">
        <v>3115</v>
      </c>
    </row>
    <row r="999" spans="1:2" x14ac:dyDescent="0.3">
      <c r="A999" s="3" t="s">
        <v>3116</v>
      </c>
      <c r="B999" s="3" t="s">
        <v>3117</v>
      </c>
    </row>
    <row r="1000" spans="1:2" x14ac:dyDescent="0.3">
      <c r="A1000" s="3" t="s">
        <v>3118</v>
      </c>
      <c r="B1000" s="3" t="s">
        <v>3119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2</xdr:col>
                <xdr:colOff>285750</xdr:colOff>
                <xdr:row>1</xdr:row>
                <xdr:rowOff>9525</xdr:rowOff>
              </from>
              <to>
                <xdr:col>4</xdr:col>
                <xdr:colOff>257175</xdr:colOff>
                <xdr:row>3</xdr:row>
                <xdr:rowOff>38100</xdr:rowOff>
              </to>
            </anchor>
          </controlPr>
        </control>
      </mc:Choice>
      <mc:Fallback>
        <control shapeId="7169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303"/>
  <sheetViews>
    <sheetView zoomScale="70" zoomScaleNormal="70" workbookViewId="0">
      <selection activeCell="J12" sqref="J12"/>
    </sheetView>
  </sheetViews>
  <sheetFormatPr defaultRowHeight="16.5" x14ac:dyDescent="0.3"/>
  <cols>
    <col min="1" max="1" width="9" style="1"/>
    <col min="2" max="2" width="9.875" style="1" customWidth="1"/>
    <col min="3" max="3" width="22" style="1" bestFit="1" customWidth="1"/>
    <col min="4" max="4" width="78.5" style="1" bestFit="1" customWidth="1"/>
    <col min="5" max="5" width="9" style="1"/>
    <col min="6" max="6" width="11.125" style="27" bestFit="1" customWidth="1"/>
    <col min="7" max="7" width="9" style="1"/>
    <col min="8" max="8" width="11.625" style="1" customWidth="1"/>
    <col min="9" max="12" width="9" style="1"/>
    <col min="13" max="13" width="12.25" style="1" bestFit="1" customWidth="1"/>
    <col min="14" max="16384" width="9" style="1"/>
  </cols>
  <sheetData>
    <row r="1" spans="1:20" x14ac:dyDescent="0.3">
      <c r="A1" s="2" t="s">
        <v>1</v>
      </c>
      <c r="B1" s="2" t="s">
        <v>3120</v>
      </c>
      <c r="C1" s="2" t="s">
        <v>3121</v>
      </c>
      <c r="D1" s="2" t="s">
        <v>3122</v>
      </c>
      <c r="E1" s="2" t="s">
        <v>3123</v>
      </c>
      <c r="F1" s="2" t="s">
        <v>3124</v>
      </c>
      <c r="G1" s="2" t="s">
        <v>3125</v>
      </c>
      <c r="H1" s="2" t="s">
        <v>3126</v>
      </c>
      <c r="M1" s="3" t="s">
        <v>3124</v>
      </c>
      <c r="N1" s="3" t="s">
        <v>3121</v>
      </c>
      <c r="O1" s="3" t="s">
        <v>3120</v>
      </c>
      <c r="Q1" s="1" t="s">
        <v>3652</v>
      </c>
      <c r="R1" s="3" t="s">
        <v>3645</v>
      </c>
      <c r="S1" s="3" t="s">
        <v>3653</v>
      </c>
      <c r="T1" s="30"/>
    </row>
    <row r="2" spans="1:20" x14ac:dyDescent="0.3">
      <c r="A2" s="2">
        <v>1</v>
      </c>
      <c r="B2" s="2" t="s">
        <v>7</v>
      </c>
      <c r="C2" s="2" t="s">
        <v>239</v>
      </c>
      <c r="D2" s="2" t="s">
        <v>945</v>
      </c>
      <c r="E2" s="3">
        <v>1</v>
      </c>
      <c r="F2" s="10">
        <v>44409</v>
      </c>
      <c r="G2" s="3">
        <v>0</v>
      </c>
      <c r="H2" s="9">
        <v>14000</v>
      </c>
      <c r="M2" s="27">
        <f ca="1">TODAY()</f>
        <v>44446</v>
      </c>
      <c r="N2" s="1" t="s">
        <v>3654</v>
      </c>
      <c r="O2" s="1" t="str">
        <f>유저번호</f>
        <v>A001</v>
      </c>
      <c r="Q2" s="3" t="s">
        <v>3655</v>
      </c>
      <c r="R2" s="3">
        <v>2</v>
      </c>
      <c r="S2" s="3">
        <v>296</v>
      </c>
    </row>
    <row r="3" spans="1:20" x14ac:dyDescent="0.3">
      <c r="A3" s="2">
        <v>2</v>
      </c>
      <c r="B3" s="2" t="s">
        <v>16</v>
      </c>
      <c r="C3" s="2" t="s">
        <v>239</v>
      </c>
      <c r="D3" s="2" t="s">
        <v>3127</v>
      </c>
      <c r="E3" s="3" t="s">
        <v>3128</v>
      </c>
      <c r="F3" s="10">
        <v>44409</v>
      </c>
      <c r="G3" s="3">
        <v>0</v>
      </c>
      <c r="H3" s="9">
        <v>68000</v>
      </c>
    </row>
    <row r="4" spans="1:20" x14ac:dyDescent="0.3">
      <c r="A4" s="2">
        <v>3</v>
      </c>
      <c r="B4" s="2" t="s">
        <v>55</v>
      </c>
      <c r="C4" s="2" t="s">
        <v>329</v>
      </c>
      <c r="D4" s="2" t="s">
        <v>3129</v>
      </c>
      <c r="E4" s="3" t="s">
        <v>3130</v>
      </c>
      <c r="F4" s="10">
        <v>44410</v>
      </c>
      <c r="G4" s="9">
        <v>3000</v>
      </c>
      <c r="H4" s="9">
        <v>46000</v>
      </c>
    </row>
    <row r="5" spans="1:20" x14ac:dyDescent="0.3">
      <c r="A5" s="2">
        <v>4</v>
      </c>
      <c r="B5" s="2" t="s">
        <v>55</v>
      </c>
      <c r="C5" s="2" t="s">
        <v>439</v>
      </c>
      <c r="D5" s="2" t="s">
        <v>3131</v>
      </c>
      <c r="E5" s="3" t="s">
        <v>3132</v>
      </c>
      <c r="F5" s="10">
        <v>44412</v>
      </c>
      <c r="G5" s="9">
        <v>3000</v>
      </c>
      <c r="H5" s="9">
        <v>48700</v>
      </c>
    </row>
    <row r="6" spans="1:20" x14ac:dyDescent="0.3">
      <c r="A6" s="2">
        <v>5</v>
      </c>
      <c r="B6" s="2" t="s">
        <v>7</v>
      </c>
      <c r="C6" s="2" t="s">
        <v>879</v>
      </c>
      <c r="D6" s="2" t="s">
        <v>3133</v>
      </c>
      <c r="E6" s="3" t="s">
        <v>3134</v>
      </c>
      <c r="F6" s="10">
        <v>44413</v>
      </c>
      <c r="G6" s="3">
        <v>0</v>
      </c>
      <c r="H6" s="9">
        <v>30500</v>
      </c>
    </row>
    <row r="7" spans="1:20" x14ac:dyDescent="0.3">
      <c r="A7" s="2">
        <v>6</v>
      </c>
      <c r="B7" s="2" t="s">
        <v>79</v>
      </c>
      <c r="C7" s="2" t="s">
        <v>414</v>
      </c>
      <c r="D7" s="2" t="s">
        <v>949</v>
      </c>
      <c r="E7" s="3">
        <v>2</v>
      </c>
      <c r="F7" s="10">
        <v>44413</v>
      </c>
      <c r="G7" s="9">
        <v>3000</v>
      </c>
      <c r="H7" s="9">
        <v>8000</v>
      </c>
    </row>
    <row r="8" spans="1:20" x14ac:dyDescent="0.3">
      <c r="A8" s="2">
        <v>7</v>
      </c>
      <c r="B8" s="2" t="s">
        <v>189</v>
      </c>
      <c r="C8" s="2" t="s">
        <v>689</v>
      </c>
      <c r="D8" s="2" t="s">
        <v>3135</v>
      </c>
      <c r="E8" s="3" t="s">
        <v>3136</v>
      </c>
      <c r="F8" s="10">
        <v>44413</v>
      </c>
      <c r="G8" s="9">
        <v>3000</v>
      </c>
      <c r="H8" s="9">
        <v>41500</v>
      </c>
    </row>
    <row r="9" spans="1:20" x14ac:dyDescent="0.3">
      <c r="A9" s="2">
        <v>8</v>
      </c>
      <c r="B9" s="2" t="s">
        <v>189</v>
      </c>
      <c r="C9" s="2" t="s">
        <v>524</v>
      </c>
      <c r="D9" s="2" t="s">
        <v>3137</v>
      </c>
      <c r="E9" s="3" t="s">
        <v>3138</v>
      </c>
      <c r="F9" s="10">
        <v>44414</v>
      </c>
      <c r="G9" s="9">
        <v>3000</v>
      </c>
      <c r="H9" s="9">
        <v>45500</v>
      </c>
    </row>
    <row r="10" spans="1:20" x14ac:dyDescent="0.3">
      <c r="A10" s="2">
        <v>9</v>
      </c>
      <c r="B10" s="2" t="s">
        <v>214</v>
      </c>
      <c r="C10" s="2" t="s">
        <v>729</v>
      </c>
      <c r="D10" s="2" t="s">
        <v>959</v>
      </c>
      <c r="E10" s="3">
        <v>3</v>
      </c>
      <c r="F10" s="10">
        <v>44417</v>
      </c>
      <c r="G10" s="9">
        <v>3000</v>
      </c>
      <c r="H10" s="9">
        <v>25500</v>
      </c>
    </row>
    <row r="11" spans="1:20" x14ac:dyDescent="0.3">
      <c r="A11" s="2">
        <v>10</v>
      </c>
      <c r="B11" s="2" t="s">
        <v>25</v>
      </c>
      <c r="C11" s="2" t="s">
        <v>789</v>
      </c>
      <c r="D11" s="2" t="s">
        <v>3139</v>
      </c>
      <c r="E11" s="3" t="s">
        <v>3140</v>
      </c>
      <c r="F11" s="10">
        <v>44417</v>
      </c>
      <c r="G11" s="9">
        <v>3000</v>
      </c>
      <c r="H11" s="9">
        <v>29500</v>
      </c>
    </row>
    <row r="12" spans="1:20" x14ac:dyDescent="0.3">
      <c r="A12" s="2">
        <v>11</v>
      </c>
      <c r="B12" s="2" t="s">
        <v>139</v>
      </c>
      <c r="C12" s="2" t="s">
        <v>719</v>
      </c>
      <c r="D12" s="2" t="s">
        <v>3141</v>
      </c>
      <c r="E12" s="3" t="s">
        <v>1389</v>
      </c>
      <c r="F12" s="10">
        <v>44417</v>
      </c>
      <c r="G12" s="9">
        <v>3000</v>
      </c>
      <c r="H12" s="9">
        <v>13000</v>
      </c>
    </row>
    <row r="13" spans="1:20" x14ac:dyDescent="0.3">
      <c r="A13" s="2">
        <v>12</v>
      </c>
      <c r="B13" s="2" t="s">
        <v>11</v>
      </c>
      <c r="C13" s="2" t="s">
        <v>539</v>
      </c>
      <c r="D13" s="2" t="s">
        <v>998</v>
      </c>
      <c r="E13" s="3">
        <v>2</v>
      </c>
      <c r="F13" s="10">
        <v>44418</v>
      </c>
      <c r="G13" s="9">
        <v>3000</v>
      </c>
      <c r="H13" s="9">
        <v>12000</v>
      </c>
    </row>
    <row r="14" spans="1:20" x14ac:dyDescent="0.3">
      <c r="A14" s="2">
        <v>13</v>
      </c>
      <c r="B14" s="2" t="s">
        <v>11</v>
      </c>
      <c r="C14" s="2" t="s">
        <v>559</v>
      </c>
      <c r="D14" s="2" t="s">
        <v>3142</v>
      </c>
      <c r="E14" s="3" t="s">
        <v>3140</v>
      </c>
      <c r="F14" s="10">
        <v>44420</v>
      </c>
      <c r="G14" s="9">
        <v>3000</v>
      </c>
      <c r="H14" s="9">
        <v>28500</v>
      </c>
    </row>
    <row r="15" spans="1:20" x14ac:dyDescent="0.3">
      <c r="A15" s="2">
        <v>14</v>
      </c>
      <c r="B15" s="2" t="s">
        <v>224</v>
      </c>
      <c r="C15" s="2" t="s">
        <v>269</v>
      </c>
      <c r="D15" s="2" t="s">
        <v>3143</v>
      </c>
      <c r="E15" s="3" t="s">
        <v>3144</v>
      </c>
      <c r="F15" s="10">
        <v>44420</v>
      </c>
      <c r="G15" s="9">
        <v>3000</v>
      </c>
      <c r="H15" s="9">
        <v>51000</v>
      </c>
    </row>
    <row r="16" spans="1:20" x14ac:dyDescent="0.3">
      <c r="A16" s="2">
        <v>15</v>
      </c>
      <c r="B16" s="2" t="s">
        <v>179</v>
      </c>
      <c r="C16" s="2" t="s">
        <v>889</v>
      </c>
      <c r="D16" s="2" t="s">
        <v>3145</v>
      </c>
      <c r="E16" s="3" t="s">
        <v>3146</v>
      </c>
      <c r="F16" s="10">
        <v>44421</v>
      </c>
      <c r="G16" s="9">
        <v>3000</v>
      </c>
      <c r="H16" s="9">
        <v>15000</v>
      </c>
    </row>
    <row r="17" spans="1:8" x14ac:dyDescent="0.3">
      <c r="A17" s="2">
        <v>16</v>
      </c>
      <c r="B17" s="2" t="s">
        <v>60</v>
      </c>
      <c r="C17" s="2" t="s">
        <v>309</v>
      </c>
      <c r="D17" s="2" t="s">
        <v>3147</v>
      </c>
      <c r="E17" s="3" t="s">
        <v>3148</v>
      </c>
      <c r="F17" s="10">
        <v>44421</v>
      </c>
      <c r="G17" s="9">
        <v>3000</v>
      </c>
      <c r="H17" s="9">
        <v>110000</v>
      </c>
    </row>
    <row r="18" spans="1:8" x14ac:dyDescent="0.3">
      <c r="A18" s="2">
        <v>17</v>
      </c>
      <c r="B18" s="2" t="s">
        <v>194</v>
      </c>
      <c r="C18" s="2" t="s">
        <v>709</v>
      </c>
      <c r="D18" s="2" t="s">
        <v>3149</v>
      </c>
      <c r="E18" s="3" t="s">
        <v>3150</v>
      </c>
      <c r="F18" s="10">
        <v>44421</v>
      </c>
      <c r="G18" s="9">
        <v>3000</v>
      </c>
      <c r="H18" s="9">
        <v>36000</v>
      </c>
    </row>
    <row r="19" spans="1:8" x14ac:dyDescent="0.3">
      <c r="A19" s="2">
        <v>18</v>
      </c>
      <c r="B19" s="2" t="s">
        <v>174</v>
      </c>
      <c r="C19" s="2" t="s">
        <v>619</v>
      </c>
      <c r="D19" s="2" t="s">
        <v>3151</v>
      </c>
      <c r="E19" s="3" t="s">
        <v>3152</v>
      </c>
      <c r="F19" s="10">
        <v>44422</v>
      </c>
      <c r="G19" s="9">
        <v>3000</v>
      </c>
      <c r="H19" s="9">
        <v>48000</v>
      </c>
    </row>
    <row r="20" spans="1:8" x14ac:dyDescent="0.3">
      <c r="A20" s="2">
        <v>19</v>
      </c>
      <c r="B20" s="2" t="s">
        <v>16</v>
      </c>
      <c r="C20" s="2" t="s">
        <v>289</v>
      </c>
      <c r="D20" s="2" t="s">
        <v>1010</v>
      </c>
      <c r="E20" s="3">
        <v>3</v>
      </c>
      <c r="F20" s="10">
        <v>44422</v>
      </c>
      <c r="G20" s="3">
        <v>0</v>
      </c>
      <c r="H20" s="9">
        <v>24000</v>
      </c>
    </row>
    <row r="21" spans="1:8" x14ac:dyDescent="0.3">
      <c r="A21" s="2">
        <v>20</v>
      </c>
      <c r="B21" s="2" t="s">
        <v>99</v>
      </c>
      <c r="C21" s="2" t="s">
        <v>909</v>
      </c>
      <c r="D21" s="2" t="s">
        <v>3153</v>
      </c>
      <c r="E21" s="3" t="s">
        <v>3154</v>
      </c>
      <c r="F21" s="10">
        <v>44423</v>
      </c>
      <c r="G21" s="9">
        <v>3000</v>
      </c>
      <c r="H21" s="9">
        <v>41000</v>
      </c>
    </row>
    <row r="22" spans="1:8" x14ac:dyDescent="0.3">
      <c r="A22" s="2">
        <v>21</v>
      </c>
      <c r="B22" s="2" t="s">
        <v>74</v>
      </c>
      <c r="C22" s="2" t="s">
        <v>574</v>
      </c>
      <c r="D22" s="2" t="s">
        <v>3155</v>
      </c>
      <c r="E22" s="3" t="s">
        <v>3156</v>
      </c>
      <c r="F22" s="10">
        <v>44424</v>
      </c>
      <c r="G22" s="9">
        <v>3000</v>
      </c>
      <c r="H22" s="9">
        <v>59500</v>
      </c>
    </row>
    <row r="23" spans="1:8" x14ac:dyDescent="0.3">
      <c r="A23" s="2">
        <v>22</v>
      </c>
      <c r="B23" s="2" t="s">
        <v>134</v>
      </c>
      <c r="C23" s="2" t="s">
        <v>529</v>
      </c>
      <c r="D23" s="2" t="s">
        <v>1113</v>
      </c>
      <c r="E23" s="3">
        <v>2</v>
      </c>
      <c r="F23" s="10">
        <v>44424</v>
      </c>
      <c r="G23" s="9">
        <v>3000</v>
      </c>
      <c r="H23" s="9">
        <v>5000</v>
      </c>
    </row>
    <row r="24" spans="1:8" x14ac:dyDescent="0.3">
      <c r="A24" s="2">
        <v>23</v>
      </c>
      <c r="B24" s="2" t="s">
        <v>25</v>
      </c>
      <c r="C24" s="2" t="s">
        <v>544</v>
      </c>
      <c r="D24" s="2" t="s">
        <v>3157</v>
      </c>
      <c r="E24" s="3" t="s">
        <v>3158</v>
      </c>
      <c r="F24" s="10">
        <v>44425</v>
      </c>
      <c r="G24" s="9">
        <v>3000</v>
      </c>
      <c r="H24" s="9">
        <v>63000</v>
      </c>
    </row>
    <row r="25" spans="1:8" x14ac:dyDescent="0.3">
      <c r="A25" s="2">
        <v>24</v>
      </c>
      <c r="B25" s="2" t="s">
        <v>16</v>
      </c>
      <c r="C25" s="2" t="s">
        <v>734</v>
      </c>
      <c r="D25" s="2" t="s">
        <v>3159</v>
      </c>
      <c r="E25" s="3" t="s">
        <v>3160</v>
      </c>
      <c r="F25" s="10">
        <v>44425</v>
      </c>
      <c r="G25" s="3">
        <v>0</v>
      </c>
      <c r="H25" s="9">
        <v>15600</v>
      </c>
    </row>
    <row r="26" spans="1:8" x14ac:dyDescent="0.3">
      <c r="A26" s="2">
        <v>25</v>
      </c>
      <c r="B26" s="2" t="s">
        <v>214</v>
      </c>
      <c r="C26" s="2" t="s">
        <v>814</v>
      </c>
      <c r="D26" s="2" t="s">
        <v>1062</v>
      </c>
      <c r="E26" s="3">
        <v>3</v>
      </c>
      <c r="F26" s="10">
        <v>44426</v>
      </c>
      <c r="G26" s="9">
        <v>3000</v>
      </c>
      <c r="H26" s="9">
        <v>10500</v>
      </c>
    </row>
    <row r="27" spans="1:8" x14ac:dyDescent="0.3">
      <c r="A27" s="2">
        <v>26</v>
      </c>
      <c r="B27" s="2" t="s">
        <v>69</v>
      </c>
      <c r="C27" s="2" t="s">
        <v>589</v>
      </c>
      <c r="D27" s="2" t="s">
        <v>3161</v>
      </c>
      <c r="E27" s="3" t="s">
        <v>3162</v>
      </c>
      <c r="F27" s="10">
        <v>44427</v>
      </c>
      <c r="G27" s="9">
        <v>3000</v>
      </c>
      <c r="H27" s="9">
        <v>33000</v>
      </c>
    </row>
    <row r="28" spans="1:8" x14ac:dyDescent="0.3">
      <c r="A28" s="2">
        <v>27</v>
      </c>
      <c r="B28" s="2" t="s">
        <v>16</v>
      </c>
      <c r="C28" s="2" t="s">
        <v>239</v>
      </c>
      <c r="D28" s="2" t="s">
        <v>945</v>
      </c>
      <c r="E28" s="3">
        <v>2</v>
      </c>
      <c r="F28" s="10">
        <v>44443</v>
      </c>
      <c r="G28" s="3">
        <v>0</v>
      </c>
      <c r="H28" s="9">
        <v>15000</v>
      </c>
    </row>
    <row r="29" spans="1:8" x14ac:dyDescent="0.3">
      <c r="A29" s="2">
        <v>28</v>
      </c>
      <c r="B29" s="2" t="s">
        <v>194</v>
      </c>
      <c r="C29" s="2" t="s">
        <v>689</v>
      </c>
      <c r="D29" s="2" t="s">
        <v>3163</v>
      </c>
      <c r="E29" s="3" t="s">
        <v>3164</v>
      </c>
      <c r="F29" s="10">
        <v>44427</v>
      </c>
      <c r="G29" s="9">
        <v>3000</v>
      </c>
      <c r="H29" s="9">
        <v>52000</v>
      </c>
    </row>
    <row r="30" spans="1:8" x14ac:dyDescent="0.3">
      <c r="A30" s="2">
        <v>29</v>
      </c>
      <c r="B30" s="2" t="s">
        <v>159</v>
      </c>
      <c r="C30" s="2" t="s">
        <v>734</v>
      </c>
      <c r="D30" s="2" t="s">
        <v>1039</v>
      </c>
      <c r="E30" s="3">
        <v>2</v>
      </c>
      <c r="F30" s="10">
        <v>44425</v>
      </c>
      <c r="G30" s="9">
        <v>3000</v>
      </c>
      <c r="H30" s="9">
        <v>9000</v>
      </c>
    </row>
    <row r="31" spans="1:8" x14ac:dyDescent="0.3">
      <c r="A31" s="2">
        <v>30</v>
      </c>
      <c r="B31" s="2" t="s">
        <v>164</v>
      </c>
      <c r="C31" s="2" t="s">
        <v>594</v>
      </c>
      <c r="D31" s="2" t="s">
        <v>1066</v>
      </c>
      <c r="E31" s="3">
        <v>3</v>
      </c>
      <c r="F31" s="10">
        <v>44428</v>
      </c>
      <c r="G31" s="9">
        <v>3000</v>
      </c>
      <c r="H31" s="9">
        <v>19500</v>
      </c>
    </row>
    <row r="32" spans="1:8" x14ac:dyDescent="0.3">
      <c r="A32" s="2">
        <v>31</v>
      </c>
      <c r="B32" s="2" t="s">
        <v>16</v>
      </c>
      <c r="C32" s="2" t="s">
        <v>644</v>
      </c>
      <c r="D32" s="2" t="s">
        <v>3165</v>
      </c>
      <c r="E32" s="3" t="s">
        <v>3166</v>
      </c>
      <c r="F32" s="10">
        <v>44428</v>
      </c>
      <c r="G32" s="3">
        <v>0</v>
      </c>
      <c r="H32" s="9">
        <v>18500</v>
      </c>
    </row>
    <row r="33" spans="1:8" x14ac:dyDescent="0.3">
      <c r="A33" s="2">
        <v>32</v>
      </c>
      <c r="B33" s="2" t="s">
        <v>134</v>
      </c>
      <c r="C33" s="2" t="s">
        <v>374</v>
      </c>
      <c r="D33" s="2" t="s">
        <v>953</v>
      </c>
      <c r="E33" s="3">
        <v>2</v>
      </c>
      <c r="F33" s="10">
        <v>44428</v>
      </c>
      <c r="G33" s="9">
        <v>3000</v>
      </c>
      <c r="H33" s="9">
        <v>22000</v>
      </c>
    </row>
    <row r="34" spans="1:8" x14ac:dyDescent="0.3">
      <c r="A34" s="2">
        <v>33</v>
      </c>
      <c r="B34" s="2" t="s">
        <v>209</v>
      </c>
      <c r="C34" s="2" t="s">
        <v>764</v>
      </c>
      <c r="D34" s="2" t="s">
        <v>3167</v>
      </c>
      <c r="E34" s="3" t="s">
        <v>3168</v>
      </c>
      <c r="F34" s="10">
        <v>44429</v>
      </c>
      <c r="G34" s="9">
        <v>3000</v>
      </c>
      <c r="H34" s="9">
        <v>17000</v>
      </c>
    </row>
    <row r="35" spans="1:8" x14ac:dyDescent="0.3">
      <c r="A35" s="2">
        <v>34</v>
      </c>
      <c r="B35" s="2" t="s">
        <v>7</v>
      </c>
      <c r="C35" s="2" t="s">
        <v>254</v>
      </c>
      <c r="D35" s="2" t="s">
        <v>3169</v>
      </c>
      <c r="E35" s="3" t="s">
        <v>3170</v>
      </c>
      <c r="F35" s="10">
        <v>44429</v>
      </c>
      <c r="G35" s="3">
        <v>0</v>
      </c>
      <c r="H35" s="9">
        <v>136000</v>
      </c>
    </row>
    <row r="36" spans="1:8" x14ac:dyDescent="0.3">
      <c r="A36" s="2">
        <v>35</v>
      </c>
      <c r="B36" s="2" t="s">
        <v>144</v>
      </c>
      <c r="C36" s="2" t="s">
        <v>554</v>
      </c>
      <c r="D36" s="2" t="s">
        <v>1047</v>
      </c>
      <c r="E36" s="3">
        <v>3</v>
      </c>
      <c r="F36" s="10">
        <v>44430</v>
      </c>
      <c r="G36" s="9">
        <v>3000</v>
      </c>
      <c r="H36" s="9">
        <v>2100</v>
      </c>
    </row>
    <row r="37" spans="1:8" x14ac:dyDescent="0.3">
      <c r="A37" s="2">
        <v>36</v>
      </c>
      <c r="B37" s="2" t="s">
        <v>11</v>
      </c>
      <c r="C37" s="2" t="s">
        <v>919</v>
      </c>
      <c r="D37" s="2" t="s">
        <v>3171</v>
      </c>
      <c r="E37" s="3" t="s">
        <v>3172</v>
      </c>
      <c r="F37" s="10">
        <v>44430</v>
      </c>
      <c r="G37" s="9">
        <v>3000</v>
      </c>
      <c r="H37" s="9">
        <v>68000</v>
      </c>
    </row>
    <row r="38" spans="1:8" x14ac:dyDescent="0.3">
      <c r="A38" s="2">
        <v>37</v>
      </c>
      <c r="B38" s="2" t="s">
        <v>69</v>
      </c>
      <c r="C38" s="2" t="s">
        <v>299</v>
      </c>
      <c r="D38" s="2" t="s">
        <v>3173</v>
      </c>
      <c r="E38" s="3" t="s">
        <v>3174</v>
      </c>
      <c r="F38" s="10">
        <v>44430</v>
      </c>
      <c r="G38" s="9">
        <v>3000</v>
      </c>
      <c r="H38" s="9">
        <v>37000</v>
      </c>
    </row>
    <row r="39" spans="1:8" x14ac:dyDescent="0.3">
      <c r="A39" s="2">
        <v>38</v>
      </c>
      <c r="B39" s="2" t="s">
        <v>45</v>
      </c>
      <c r="C39" s="2" t="s">
        <v>499</v>
      </c>
      <c r="D39" s="2" t="s">
        <v>3175</v>
      </c>
      <c r="E39" s="3" t="s">
        <v>3128</v>
      </c>
      <c r="F39" s="10">
        <v>44431</v>
      </c>
      <c r="G39" s="3">
        <v>0</v>
      </c>
      <c r="H39" s="9">
        <v>52000</v>
      </c>
    </row>
    <row r="40" spans="1:8" x14ac:dyDescent="0.3">
      <c r="A40" s="2">
        <v>39</v>
      </c>
      <c r="B40" s="2" t="s">
        <v>229</v>
      </c>
      <c r="C40" s="2" t="s">
        <v>534</v>
      </c>
      <c r="D40" s="2" t="s">
        <v>3176</v>
      </c>
      <c r="E40" s="3" t="s">
        <v>3177</v>
      </c>
      <c r="F40" s="10">
        <v>44432</v>
      </c>
      <c r="G40" s="9">
        <v>3000</v>
      </c>
      <c r="H40" s="9">
        <v>67000</v>
      </c>
    </row>
    <row r="41" spans="1:8" x14ac:dyDescent="0.3">
      <c r="A41" s="2">
        <v>40</v>
      </c>
      <c r="B41" s="2" t="s">
        <v>224</v>
      </c>
      <c r="C41" s="2" t="s">
        <v>464</v>
      </c>
      <c r="D41" s="2" t="s">
        <v>3139</v>
      </c>
      <c r="E41" s="3" t="s">
        <v>3140</v>
      </c>
      <c r="F41" s="10">
        <v>44432</v>
      </c>
      <c r="G41" s="9">
        <v>3000</v>
      </c>
      <c r="H41" s="9">
        <v>29500</v>
      </c>
    </row>
    <row r="42" spans="1:8" x14ac:dyDescent="0.3">
      <c r="A42" s="2">
        <v>41</v>
      </c>
      <c r="B42" s="2" t="s">
        <v>149</v>
      </c>
      <c r="C42" s="2" t="s">
        <v>459</v>
      </c>
      <c r="D42" s="2" t="s">
        <v>3178</v>
      </c>
      <c r="E42" s="3" t="s">
        <v>3179</v>
      </c>
      <c r="F42" s="10">
        <v>44432</v>
      </c>
      <c r="G42" s="9">
        <v>3000</v>
      </c>
      <c r="H42" s="9">
        <v>22500</v>
      </c>
    </row>
    <row r="43" spans="1:8" x14ac:dyDescent="0.3">
      <c r="A43" s="2">
        <v>42</v>
      </c>
      <c r="B43" s="2" t="s">
        <v>7</v>
      </c>
      <c r="C43" s="2" t="s">
        <v>649</v>
      </c>
      <c r="D43" s="2" t="s">
        <v>3180</v>
      </c>
      <c r="E43" s="3" t="s">
        <v>3181</v>
      </c>
      <c r="F43" s="10">
        <v>44433</v>
      </c>
      <c r="G43" s="9">
        <v>3000</v>
      </c>
      <c r="H43" s="9">
        <v>122000</v>
      </c>
    </row>
    <row r="44" spans="1:8" x14ac:dyDescent="0.3">
      <c r="A44" s="2">
        <v>43</v>
      </c>
      <c r="B44" s="2" t="s">
        <v>224</v>
      </c>
      <c r="C44" s="2" t="s">
        <v>669</v>
      </c>
      <c r="D44" s="2" t="s">
        <v>3182</v>
      </c>
      <c r="E44" s="3" t="s">
        <v>3183</v>
      </c>
      <c r="F44" s="10">
        <v>44433</v>
      </c>
      <c r="G44" s="9">
        <v>3000</v>
      </c>
      <c r="H44" s="9">
        <v>91000</v>
      </c>
    </row>
    <row r="45" spans="1:8" x14ac:dyDescent="0.3">
      <c r="A45" s="2">
        <v>44</v>
      </c>
      <c r="B45" s="2" t="s">
        <v>55</v>
      </c>
      <c r="C45" s="2" t="s">
        <v>584</v>
      </c>
      <c r="D45" s="2" t="s">
        <v>3184</v>
      </c>
      <c r="E45" s="3" t="s">
        <v>3185</v>
      </c>
      <c r="F45" s="10">
        <v>44435</v>
      </c>
      <c r="G45" s="9">
        <v>3000</v>
      </c>
      <c r="H45" s="9">
        <v>73500</v>
      </c>
    </row>
    <row r="46" spans="1:8" x14ac:dyDescent="0.3">
      <c r="A46" s="2">
        <v>45</v>
      </c>
      <c r="B46" s="2" t="s">
        <v>69</v>
      </c>
      <c r="C46" s="2" t="s">
        <v>519</v>
      </c>
      <c r="D46" s="2" t="s">
        <v>3186</v>
      </c>
      <c r="E46" s="3" t="s">
        <v>3179</v>
      </c>
      <c r="F46" s="10">
        <v>44464</v>
      </c>
      <c r="G46" s="9">
        <v>3000</v>
      </c>
      <c r="H46" s="9">
        <v>31500</v>
      </c>
    </row>
    <row r="47" spans="1:8" x14ac:dyDescent="0.3">
      <c r="A47" s="2">
        <v>46</v>
      </c>
      <c r="B47" s="2" t="s">
        <v>179</v>
      </c>
      <c r="C47" s="2" t="s">
        <v>454</v>
      </c>
      <c r="D47" s="2" t="s">
        <v>3187</v>
      </c>
      <c r="E47" s="3" t="s">
        <v>1389</v>
      </c>
      <c r="F47" s="10">
        <v>44436</v>
      </c>
      <c r="G47" s="9">
        <v>3000</v>
      </c>
      <c r="H47" s="9">
        <v>5000</v>
      </c>
    </row>
    <row r="48" spans="1:8" x14ac:dyDescent="0.3">
      <c r="A48" s="2">
        <v>47</v>
      </c>
      <c r="B48" s="2" t="s">
        <v>204</v>
      </c>
      <c r="C48" s="2" t="s">
        <v>854</v>
      </c>
      <c r="D48" s="2" t="s">
        <v>3188</v>
      </c>
      <c r="E48" s="3" t="s">
        <v>3189</v>
      </c>
      <c r="F48" s="10">
        <v>44437</v>
      </c>
      <c r="G48" s="9">
        <v>3000</v>
      </c>
      <c r="H48" s="9">
        <v>31000</v>
      </c>
    </row>
    <row r="49" spans="1:8" x14ac:dyDescent="0.3">
      <c r="A49" s="2">
        <v>48</v>
      </c>
      <c r="B49" s="2" t="s">
        <v>219</v>
      </c>
      <c r="C49" s="2" t="s">
        <v>589</v>
      </c>
      <c r="D49" s="2" t="s">
        <v>3190</v>
      </c>
      <c r="E49" s="3" t="s">
        <v>3191</v>
      </c>
      <c r="F49" s="10">
        <v>44437</v>
      </c>
      <c r="G49" s="9">
        <v>3000</v>
      </c>
      <c r="H49" s="9">
        <v>69000</v>
      </c>
    </row>
    <row r="50" spans="1:8" x14ac:dyDescent="0.3">
      <c r="A50" s="2">
        <v>49</v>
      </c>
      <c r="B50" s="2" t="s">
        <v>144</v>
      </c>
      <c r="C50" s="2" t="s">
        <v>569</v>
      </c>
      <c r="D50" s="2" t="s">
        <v>3192</v>
      </c>
      <c r="E50" s="3" t="s">
        <v>3193</v>
      </c>
      <c r="F50" s="10">
        <v>44438</v>
      </c>
      <c r="G50" s="9">
        <v>3000</v>
      </c>
      <c r="H50" s="9">
        <v>53500</v>
      </c>
    </row>
    <row r="51" spans="1:8" x14ac:dyDescent="0.3">
      <c r="A51" s="2">
        <v>50</v>
      </c>
      <c r="B51" s="2" t="s">
        <v>21</v>
      </c>
      <c r="C51" s="2" t="s">
        <v>434</v>
      </c>
      <c r="D51" s="2" t="s">
        <v>3194</v>
      </c>
      <c r="E51" s="3" t="s">
        <v>3195</v>
      </c>
      <c r="F51" s="10">
        <v>44438</v>
      </c>
      <c r="G51" s="9">
        <v>3000</v>
      </c>
      <c r="H51" s="9">
        <v>54000</v>
      </c>
    </row>
    <row r="52" spans="1:8" x14ac:dyDescent="0.3">
      <c r="A52" s="2">
        <v>51</v>
      </c>
      <c r="B52" s="2" t="s">
        <v>144</v>
      </c>
      <c r="C52" s="2" t="s">
        <v>654</v>
      </c>
      <c r="D52" s="2" t="s">
        <v>1056</v>
      </c>
      <c r="E52" s="3">
        <v>2</v>
      </c>
      <c r="F52" s="10">
        <v>44439</v>
      </c>
      <c r="G52" s="9">
        <v>3000</v>
      </c>
      <c r="H52" s="9">
        <v>18000</v>
      </c>
    </row>
    <row r="53" spans="1:8" x14ac:dyDescent="0.3">
      <c r="A53" s="2">
        <v>52</v>
      </c>
      <c r="B53" s="2" t="s">
        <v>25</v>
      </c>
      <c r="C53" s="2" t="s">
        <v>669</v>
      </c>
      <c r="D53" s="2" t="s">
        <v>3196</v>
      </c>
      <c r="E53" s="3" t="s">
        <v>3150</v>
      </c>
      <c r="F53" s="10">
        <v>44440</v>
      </c>
      <c r="G53" s="9">
        <v>3000</v>
      </c>
      <c r="H53" s="9">
        <v>39500</v>
      </c>
    </row>
    <row r="54" spans="1:8" x14ac:dyDescent="0.3">
      <c r="A54" s="2">
        <v>53</v>
      </c>
      <c r="B54" s="2" t="s">
        <v>214</v>
      </c>
      <c r="C54" s="2" t="s">
        <v>599</v>
      </c>
      <c r="D54" s="2" t="s">
        <v>3197</v>
      </c>
      <c r="E54" s="3" t="s">
        <v>3198</v>
      </c>
      <c r="F54" s="10">
        <v>44441</v>
      </c>
      <c r="G54" s="9">
        <v>3000</v>
      </c>
      <c r="H54" s="9">
        <v>55500</v>
      </c>
    </row>
    <row r="55" spans="1:8" x14ac:dyDescent="0.3">
      <c r="A55" s="2">
        <v>54</v>
      </c>
      <c r="B55" s="2" t="s">
        <v>99</v>
      </c>
      <c r="C55" s="2" t="s">
        <v>609</v>
      </c>
      <c r="D55" s="2" t="s">
        <v>3199</v>
      </c>
      <c r="E55" s="3" t="s">
        <v>3200</v>
      </c>
      <c r="F55" s="10">
        <v>44441</v>
      </c>
      <c r="G55" s="9">
        <v>3000</v>
      </c>
      <c r="H55" s="9">
        <v>13000</v>
      </c>
    </row>
    <row r="56" spans="1:8" x14ac:dyDescent="0.3">
      <c r="A56" s="2">
        <v>55</v>
      </c>
      <c r="B56" s="2" t="s">
        <v>50</v>
      </c>
      <c r="C56" s="2" t="s">
        <v>404</v>
      </c>
      <c r="D56" s="2" t="s">
        <v>3201</v>
      </c>
      <c r="E56" s="3" t="s">
        <v>3202</v>
      </c>
      <c r="F56" s="10">
        <v>44441</v>
      </c>
      <c r="G56" s="9">
        <v>3000</v>
      </c>
      <c r="H56" s="9">
        <v>21500</v>
      </c>
    </row>
    <row r="57" spans="1:8" x14ac:dyDescent="0.3">
      <c r="A57" s="2">
        <v>56</v>
      </c>
      <c r="B57" s="2" t="s">
        <v>114</v>
      </c>
      <c r="C57" s="2" t="s">
        <v>429</v>
      </c>
      <c r="D57" s="2" t="s">
        <v>3203</v>
      </c>
      <c r="E57" s="3" t="s">
        <v>3204</v>
      </c>
      <c r="F57" s="10">
        <v>44441</v>
      </c>
      <c r="G57" s="9">
        <v>3000</v>
      </c>
      <c r="H57" s="9">
        <v>51000</v>
      </c>
    </row>
    <row r="58" spans="1:8" x14ac:dyDescent="0.3">
      <c r="A58" s="2">
        <v>57</v>
      </c>
      <c r="B58" s="2" t="s">
        <v>199</v>
      </c>
      <c r="C58" s="2" t="s">
        <v>714</v>
      </c>
      <c r="D58" s="2" t="s">
        <v>3205</v>
      </c>
      <c r="E58" s="3" t="s">
        <v>3206</v>
      </c>
      <c r="F58" s="10">
        <v>44441</v>
      </c>
      <c r="G58" s="9">
        <v>3000</v>
      </c>
      <c r="H58" s="9">
        <v>45000</v>
      </c>
    </row>
    <row r="59" spans="1:8" x14ac:dyDescent="0.3">
      <c r="A59" s="2">
        <v>58</v>
      </c>
      <c r="B59" s="2" t="s">
        <v>11</v>
      </c>
      <c r="C59" s="2" t="s">
        <v>454</v>
      </c>
      <c r="D59" s="2" t="s">
        <v>3207</v>
      </c>
      <c r="E59" s="3" t="s">
        <v>3208</v>
      </c>
      <c r="F59" s="10">
        <v>44442</v>
      </c>
      <c r="G59" s="9">
        <v>3000</v>
      </c>
      <c r="H59" s="9">
        <v>23000</v>
      </c>
    </row>
    <row r="60" spans="1:8" x14ac:dyDescent="0.3">
      <c r="A60" s="2">
        <v>59</v>
      </c>
      <c r="B60" s="2" t="s">
        <v>99</v>
      </c>
      <c r="C60" s="2" t="s">
        <v>299</v>
      </c>
      <c r="D60" s="2" t="s">
        <v>3209</v>
      </c>
      <c r="E60" s="3" t="s">
        <v>3210</v>
      </c>
      <c r="F60" s="10">
        <v>44442</v>
      </c>
      <c r="G60" s="9">
        <v>3000</v>
      </c>
      <c r="H60" s="9">
        <v>26000</v>
      </c>
    </row>
    <row r="61" spans="1:8" x14ac:dyDescent="0.3">
      <c r="A61" s="2">
        <v>60</v>
      </c>
      <c r="B61" s="2" t="s">
        <v>55</v>
      </c>
      <c r="C61" s="2" t="s">
        <v>344</v>
      </c>
      <c r="D61" s="2" t="s">
        <v>3211</v>
      </c>
      <c r="E61" s="3" t="s">
        <v>3212</v>
      </c>
      <c r="F61" s="10">
        <v>44442</v>
      </c>
      <c r="G61" s="9">
        <v>3000</v>
      </c>
      <c r="H61" s="9">
        <v>25000</v>
      </c>
    </row>
    <row r="62" spans="1:8" x14ac:dyDescent="0.3">
      <c r="A62" s="2">
        <v>61</v>
      </c>
      <c r="B62" s="2" t="s">
        <v>21</v>
      </c>
      <c r="C62" s="2" t="s">
        <v>439</v>
      </c>
      <c r="D62" s="2" t="s">
        <v>3213</v>
      </c>
      <c r="E62" s="3" t="s">
        <v>3138</v>
      </c>
      <c r="F62" s="10">
        <v>44442</v>
      </c>
      <c r="G62" s="9">
        <v>3000</v>
      </c>
      <c r="H62" s="9">
        <v>16500</v>
      </c>
    </row>
    <row r="63" spans="1:8" x14ac:dyDescent="0.3">
      <c r="A63" s="2">
        <v>62</v>
      </c>
      <c r="B63" s="2" t="s">
        <v>30</v>
      </c>
      <c r="C63" s="2" t="s">
        <v>449</v>
      </c>
      <c r="D63" s="2" t="s">
        <v>3214</v>
      </c>
      <c r="E63" s="3" t="s">
        <v>3215</v>
      </c>
      <c r="F63" s="10">
        <v>44442</v>
      </c>
      <c r="G63" s="9">
        <v>3000</v>
      </c>
      <c r="H63" s="9">
        <v>25000</v>
      </c>
    </row>
    <row r="64" spans="1:8" x14ac:dyDescent="0.3">
      <c r="A64" s="2">
        <v>63</v>
      </c>
      <c r="B64" s="2" t="s">
        <v>21</v>
      </c>
      <c r="C64" s="2" t="s">
        <v>239</v>
      </c>
      <c r="D64" s="2" t="s">
        <v>951</v>
      </c>
      <c r="E64" s="3">
        <v>3</v>
      </c>
      <c r="F64" s="10">
        <v>44443</v>
      </c>
      <c r="G64" s="9">
        <v>3000</v>
      </c>
      <c r="H64" s="9">
        <v>24000</v>
      </c>
    </row>
    <row r="65" spans="1:8" x14ac:dyDescent="0.3">
      <c r="A65" s="2">
        <v>64</v>
      </c>
      <c r="B65" s="2" t="s">
        <v>134</v>
      </c>
      <c r="C65" s="2" t="s">
        <v>709</v>
      </c>
      <c r="D65" s="2" t="s">
        <v>3216</v>
      </c>
      <c r="E65" s="3" t="s">
        <v>3217</v>
      </c>
      <c r="F65" s="10">
        <v>44444</v>
      </c>
      <c r="G65" s="9">
        <v>3000</v>
      </c>
      <c r="H65" s="9">
        <v>63500</v>
      </c>
    </row>
    <row r="66" spans="1:8" x14ac:dyDescent="0.3">
      <c r="A66" s="2">
        <v>65</v>
      </c>
      <c r="B66" s="2" t="s">
        <v>209</v>
      </c>
      <c r="C66" s="2" t="s">
        <v>244</v>
      </c>
      <c r="D66" s="2" t="s">
        <v>3218</v>
      </c>
      <c r="E66" s="3" t="s">
        <v>3219</v>
      </c>
      <c r="F66" s="10">
        <v>44445</v>
      </c>
      <c r="G66" s="9">
        <v>3000</v>
      </c>
      <c r="H66" s="9">
        <v>51000</v>
      </c>
    </row>
    <row r="67" spans="1:8" x14ac:dyDescent="0.3">
      <c r="A67" s="2">
        <v>66</v>
      </c>
      <c r="B67" s="2" t="s">
        <v>7</v>
      </c>
      <c r="C67" s="2" t="s">
        <v>804</v>
      </c>
      <c r="D67" s="2" t="s">
        <v>3220</v>
      </c>
      <c r="E67" s="3" t="s">
        <v>3221</v>
      </c>
      <c r="F67" s="10">
        <v>44445</v>
      </c>
      <c r="G67" s="3">
        <v>0</v>
      </c>
      <c r="H67" s="9">
        <v>95000</v>
      </c>
    </row>
    <row r="68" spans="1:8" x14ac:dyDescent="0.3">
      <c r="A68" s="2">
        <v>67</v>
      </c>
      <c r="B68" s="2" t="s">
        <v>11</v>
      </c>
      <c r="C68" s="2" t="s">
        <v>574</v>
      </c>
      <c r="D68" s="2" t="s">
        <v>3222</v>
      </c>
      <c r="E68" s="3" t="s">
        <v>3223</v>
      </c>
      <c r="F68" s="10">
        <v>44445</v>
      </c>
      <c r="G68" s="9">
        <v>3000</v>
      </c>
      <c r="H68" s="9">
        <v>64000</v>
      </c>
    </row>
    <row r="69" spans="1:8" x14ac:dyDescent="0.3">
      <c r="A69" s="2">
        <v>68</v>
      </c>
      <c r="B69" s="2" t="s">
        <v>30</v>
      </c>
      <c r="C69" s="2" t="s">
        <v>649</v>
      </c>
      <c r="D69" s="2" t="s">
        <v>3224</v>
      </c>
      <c r="E69" s="3" t="s">
        <v>3225</v>
      </c>
      <c r="F69" s="10">
        <v>44446</v>
      </c>
      <c r="G69" s="9">
        <v>3000</v>
      </c>
      <c r="H69" s="9">
        <v>55500</v>
      </c>
    </row>
    <row r="70" spans="1:8" x14ac:dyDescent="0.3">
      <c r="A70" s="2">
        <v>69</v>
      </c>
      <c r="B70" s="2" t="s">
        <v>7</v>
      </c>
      <c r="C70" s="2" t="s">
        <v>739</v>
      </c>
      <c r="D70" s="2" t="s">
        <v>3226</v>
      </c>
      <c r="E70" s="3" t="s">
        <v>3227</v>
      </c>
      <c r="F70" s="10">
        <v>44446</v>
      </c>
      <c r="G70" s="3">
        <v>0</v>
      </c>
      <c r="H70" s="9">
        <v>47000</v>
      </c>
    </row>
    <row r="71" spans="1:8" x14ac:dyDescent="0.3">
      <c r="A71" s="2">
        <v>70</v>
      </c>
      <c r="B71" s="2" t="s">
        <v>149</v>
      </c>
      <c r="C71" s="2" t="s">
        <v>589</v>
      </c>
      <c r="D71" s="2" t="s">
        <v>3228</v>
      </c>
      <c r="E71" s="3" t="s">
        <v>3229</v>
      </c>
      <c r="F71" s="10">
        <v>44446</v>
      </c>
      <c r="G71" s="9">
        <v>3000</v>
      </c>
      <c r="H71" s="9">
        <v>52000</v>
      </c>
    </row>
    <row r="72" spans="1:8" x14ac:dyDescent="0.3">
      <c r="A72" s="2">
        <v>71</v>
      </c>
      <c r="B72" s="2" t="s">
        <v>94</v>
      </c>
      <c r="C72" s="2" t="s">
        <v>239</v>
      </c>
      <c r="D72" s="2" t="s">
        <v>945</v>
      </c>
      <c r="E72" s="3">
        <v>3</v>
      </c>
      <c r="F72" s="10">
        <v>44446</v>
      </c>
      <c r="G72" s="9">
        <v>3000</v>
      </c>
      <c r="H72" s="9">
        <v>42000</v>
      </c>
    </row>
    <row r="73" spans="1:8" x14ac:dyDescent="0.3">
      <c r="A73" s="2">
        <v>72</v>
      </c>
      <c r="B73" s="2" t="s">
        <v>214</v>
      </c>
      <c r="C73" s="2" t="s">
        <v>509</v>
      </c>
      <c r="D73" s="2" t="s">
        <v>1012</v>
      </c>
      <c r="E73" s="3">
        <v>3</v>
      </c>
      <c r="F73" s="10">
        <v>44446</v>
      </c>
      <c r="G73" s="9">
        <v>3000</v>
      </c>
      <c r="H73" s="9">
        <v>18000</v>
      </c>
    </row>
    <row r="74" spans="1:8" x14ac:dyDescent="0.3">
      <c r="A74" s="2">
        <v>73</v>
      </c>
      <c r="B74" s="2" t="s">
        <v>69</v>
      </c>
      <c r="C74" s="2" t="s">
        <v>584</v>
      </c>
      <c r="D74" s="2" t="s">
        <v>3230</v>
      </c>
      <c r="E74" s="3" t="s">
        <v>3231</v>
      </c>
      <c r="F74" s="10">
        <v>44447</v>
      </c>
      <c r="G74" s="9">
        <v>3000</v>
      </c>
      <c r="H74" s="9">
        <v>30500</v>
      </c>
    </row>
    <row r="75" spans="1:8" x14ac:dyDescent="0.3">
      <c r="A75" s="2">
        <v>74</v>
      </c>
      <c r="B75" s="2" t="s">
        <v>194</v>
      </c>
      <c r="C75" s="2" t="s">
        <v>779</v>
      </c>
      <c r="D75" s="2" t="s">
        <v>3232</v>
      </c>
      <c r="E75" s="3" t="s">
        <v>3233</v>
      </c>
      <c r="F75" s="10">
        <v>44447</v>
      </c>
      <c r="G75" s="9">
        <v>3000</v>
      </c>
      <c r="H75" s="9">
        <v>39000</v>
      </c>
    </row>
    <row r="76" spans="1:8" x14ac:dyDescent="0.3">
      <c r="A76" s="2">
        <v>75</v>
      </c>
      <c r="B76" s="2" t="s">
        <v>174</v>
      </c>
      <c r="C76" s="2" t="s">
        <v>454</v>
      </c>
      <c r="D76" s="2" t="s">
        <v>3234</v>
      </c>
      <c r="E76" s="3" t="s">
        <v>3235</v>
      </c>
      <c r="F76" s="10">
        <v>44449</v>
      </c>
      <c r="G76" s="9">
        <v>3000</v>
      </c>
      <c r="H76" s="9">
        <v>14000</v>
      </c>
    </row>
    <row r="77" spans="1:8" x14ac:dyDescent="0.3">
      <c r="A77" s="2">
        <v>76</v>
      </c>
      <c r="B77" s="2" t="s">
        <v>45</v>
      </c>
      <c r="C77" s="2" t="s">
        <v>889</v>
      </c>
      <c r="D77" s="2" t="s">
        <v>3236</v>
      </c>
      <c r="E77" s="3" t="s">
        <v>3237</v>
      </c>
      <c r="F77" s="10">
        <v>44449</v>
      </c>
      <c r="G77" s="3">
        <v>0</v>
      </c>
      <c r="H77" s="9">
        <v>43000</v>
      </c>
    </row>
    <row r="78" spans="1:8" x14ac:dyDescent="0.3">
      <c r="A78" s="2">
        <v>77</v>
      </c>
      <c r="B78" s="2" t="s">
        <v>45</v>
      </c>
      <c r="C78" s="2" t="s">
        <v>659</v>
      </c>
      <c r="D78" s="2" t="s">
        <v>3238</v>
      </c>
      <c r="E78" s="3" t="s">
        <v>3166</v>
      </c>
      <c r="F78" s="10">
        <v>44449</v>
      </c>
      <c r="G78" s="3">
        <v>0</v>
      </c>
      <c r="H78" s="9">
        <v>58500</v>
      </c>
    </row>
    <row r="79" spans="1:8" x14ac:dyDescent="0.3">
      <c r="A79" s="2">
        <v>78</v>
      </c>
      <c r="B79" s="2" t="s">
        <v>109</v>
      </c>
      <c r="C79" s="2" t="s">
        <v>469</v>
      </c>
      <c r="D79" s="2" t="s">
        <v>3239</v>
      </c>
      <c r="E79" s="3" t="s">
        <v>3166</v>
      </c>
      <c r="F79" s="10">
        <v>44449</v>
      </c>
      <c r="G79" s="9">
        <v>3000</v>
      </c>
      <c r="H79" s="9">
        <v>33500</v>
      </c>
    </row>
    <row r="80" spans="1:8" x14ac:dyDescent="0.3">
      <c r="A80" s="2">
        <v>79</v>
      </c>
      <c r="B80" s="2" t="s">
        <v>179</v>
      </c>
      <c r="C80" s="2" t="s">
        <v>724</v>
      </c>
      <c r="D80" s="2" t="s">
        <v>3240</v>
      </c>
      <c r="E80" s="3" t="s">
        <v>3241</v>
      </c>
      <c r="F80" s="10">
        <v>44449</v>
      </c>
      <c r="G80" s="9">
        <v>3000</v>
      </c>
      <c r="H80" s="9">
        <v>28000</v>
      </c>
    </row>
    <row r="81" spans="1:8" x14ac:dyDescent="0.3">
      <c r="A81" s="2">
        <v>80</v>
      </c>
      <c r="B81" s="2" t="s">
        <v>50</v>
      </c>
      <c r="C81" s="2" t="s">
        <v>719</v>
      </c>
      <c r="D81" s="2" t="s">
        <v>3242</v>
      </c>
      <c r="E81" s="3" t="s">
        <v>3138</v>
      </c>
      <c r="F81" s="10">
        <v>44450</v>
      </c>
      <c r="G81" s="9">
        <v>3000</v>
      </c>
      <c r="H81" s="9">
        <v>67000</v>
      </c>
    </row>
    <row r="82" spans="1:8" x14ac:dyDescent="0.3">
      <c r="A82" s="2">
        <v>81</v>
      </c>
      <c r="B82" s="2" t="s">
        <v>16</v>
      </c>
      <c r="C82" s="2" t="s">
        <v>569</v>
      </c>
      <c r="D82" s="2" t="s">
        <v>3243</v>
      </c>
      <c r="E82" s="3" t="s">
        <v>3217</v>
      </c>
      <c r="F82" s="10">
        <v>44450</v>
      </c>
      <c r="G82" s="3">
        <v>0</v>
      </c>
      <c r="H82" s="9">
        <v>26500</v>
      </c>
    </row>
    <row r="83" spans="1:8" x14ac:dyDescent="0.3">
      <c r="A83" s="2">
        <v>82</v>
      </c>
      <c r="B83" s="2" t="s">
        <v>25</v>
      </c>
      <c r="C83" s="2" t="s">
        <v>544</v>
      </c>
      <c r="D83" s="2" t="s">
        <v>3244</v>
      </c>
      <c r="E83" s="3" t="s">
        <v>3245</v>
      </c>
      <c r="F83" s="10">
        <v>44450</v>
      </c>
      <c r="G83" s="9">
        <v>3000</v>
      </c>
      <c r="H83" s="9">
        <v>31000</v>
      </c>
    </row>
    <row r="84" spans="1:8" x14ac:dyDescent="0.3">
      <c r="A84" s="2">
        <v>83</v>
      </c>
      <c r="B84" s="2" t="s">
        <v>232</v>
      </c>
      <c r="C84" s="2" t="s">
        <v>549</v>
      </c>
      <c r="D84" s="2" t="s">
        <v>3246</v>
      </c>
      <c r="E84" s="3" t="s">
        <v>3227</v>
      </c>
      <c r="F84" s="10">
        <v>44451</v>
      </c>
      <c r="G84" s="9">
        <v>3000</v>
      </c>
      <c r="H84" s="9">
        <v>41500</v>
      </c>
    </row>
    <row r="85" spans="1:8" x14ac:dyDescent="0.3">
      <c r="A85" s="2">
        <v>84</v>
      </c>
      <c r="B85" s="2" t="s">
        <v>25</v>
      </c>
      <c r="C85" s="2" t="s">
        <v>824</v>
      </c>
      <c r="D85" s="2" t="s">
        <v>957</v>
      </c>
      <c r="E85" s="3">
        <v>1</v>
      </c>
      <c r="F85" s="10">
        <v>44451</v>
      </c>
      <c r="G85" s="9">
        <v>3000</v>
      </c>
      <c r="H85" s="9">
        <v>4500</v>
      </c>
    </row>
    <row r="86" spans="1:8" x14ac:dyDescent="0.3">
      <c r="A86" s="2">
        <v>85</v>
      </c>
      <c r="B86" s="2" t="s">
        <v>89</v>
      </c>
      <c r="C86" s="2" t="s">
        <v>514</v>
      </c>
      <c r="D86" s="2" t="s">
        <v>3247</v>
      </c>
      <c r="E86" s="3" t="s">
        <v>3248</v>
      </c>
      <c r="F86" s="10">
        <v>44451</v>
      </c>
      <c r="G86" s="9">
        <v>3000</v>
      </c>
      <c r="H86" s="9">
        <v>49000</v>
      </c>
    </row>
    <row r="87" spans="1:8" x14ac:dyDescent="0.3">
      <c r="A87" s="2">
        <v>86</v>
      </c>
      <c r="B87" s="2" t="s">
        <v>11</v>
      </c>
      <c r="C87" s="2" t="s">
        <v>539</v>
      </c>
      <c r="D87" s="2" t="s">
        <v>3249</v>
      </c>
      <c r="E87" s="3" t="s">
        <v>3250</v>
      </c>
      <c r="F87" s="10">
        <v>44452</v>
      </c>
      <c r="G87" s="9">
        <v>3000</v>
      </c>
      <c r="H87" s="9">
        <v>33500</v>
      </c>
    </row>
    <row r="88" spans="1:8" x14ac:dyDescent="0.3">
      <c r="A88" s="2">
        <v>87</v>
      </c>
      <c r="B88" s="2" t="s">
        <v>25</v>
      </c>
      <c r="C88" s="2" t="s">
        <v>239</v>
      </c>
      <c r="D88" s="2" t="s">
        <v>3251</v>
      </c>
      <c r="E88" s="3" t="s">
        <v>3252</v>
      </c>
      <c r="F88" s="10">
        <v>44446</v>
      </c>
      <c r="G88" s="9">
        <v>3000</v>
      </c>
      <c r="H88" s="9">
        <v>61000</v>
      </c>
    </row>
    <row r="89" spans="1:8" x14ac:dyDescent="0.3">
      <c r="A89" s="2">
        <v>88</v>
      </c>
      <c r="B89" s="2" t="s">
        <v>50</v>
      </c>
      <c r="C89" s="2" t="s">
        <v>404</v>
      </c>
      <c r="D89" s="2" t="s">
        <v>3253</v>
      </c>
      <c r="E89" s="3" t="s">
        <v>3254</v>
      </c>
      <c r="F89" s="10">
        <v>44452</v>
      </c>
      <c r="G89" s="9">
        <v>3000</v>
      </c>
      <c r="H89" s="9">
        <v>24000</v>
      </c>
    </row>
    <row r="90" spans="1:8" x14ac:dyDescent="0.3">
      <c r="A90" s="2">
        <v>89</v>
      </c>
      <c r="B90" s="2" t="s">
        <v>60</v>
      </c>
      <c r="C90" s="2" t="s">
        <v>309</v>
      </c>
      <c r="D90" s="2" t="s">
        <v>3255</v>
      </c>
      <c r="E90" s="3" t="s">
        <v>3256</v>
      </c>
      <c r="F90" s="10">
        <v>44454</v>
      </c>
      <c r="G90" s="9">
        <v>3000</v>
      </c>
      <c r="H90" s="9">
        <v>74500</v>
      </c>
    </row>
    <row r="91" spans="1:8" x14ac:dyDescent="0.3">
      <c r="A91" s="2">
        <v>90</v>
      </c>
      <c r="B91" s="2" t="s">
        <v>21</v>
      </c>
      <c r="C91" s="2" t="s">
        <v>334</v>
      </c>
      <c r="D91" s="2" t="s">
        <v>3257</v>
      </c>
      <c r="E91" s="3" t="s">
        <v>3258</v>
      </c>
      <c r="F91" s="10">
        <v>44454</v>
      </c>
      <c r="G91" s="9">
        <v>3000</v>
      </c>
      <c r="H91" s="9">
        <v>29000</v>
      </c>
    </row>
    <row r="92" spans="1:8" x14ac:dyDescent="0.3">
      <c r="A92" s="2">
        <v>91</v>
      </c>
      <c r="B92" s="2" t="s">
        <v>7</v>
      </c>
      <c r="C92" s="2" t="s">
        <v>364</v>
      </c>
      <c r="D92" s="2" t="s">
        <v>1000</v>
      </c>
      <c r="E92" s="3">
        <v>2</v>
      </c>
      <c r="F92" s="10">
        <v>44455</v>
      </c>
      <c r="G92" s="3">
        <v>0</v>
      </c>
      <c r="H92" s="9">
        <v>9000</v>
      </c>
    </row>
    <row r="93" spans="1:8" x14ac:dyDescent="0.3">
      <c r="A93" s="2">
        <v>92</v>
      </c>
      <c r="B93" s="2" t="s">
        <v>229</v>
      </c>
      <c r="C93" s="2" t="s">
        <v>399</v>
      </c>
      <c r="D93" s="2" t="s">
        <v>3259</v>
      </c>
      <c r="E93" s="3" t="s">
        <v>3134</v>
      </c>
      <c r="F93" s="10">
        <v>44455</v>
      </c>
      <c r="G93" s="9">
        <v>3000</v>
      </c>
      <c r="H93" s="9">
        <v>44500</v>
      </c>
    </row>
    <row r="94" spans="1:8" x14ac:dyDescent="0.3">
      <c r="A94" s="2">
        <v>93</v>
      </c>
      <c r="B94" s="2" t="s">
        <v>164</v>
      </c>
      <c r="C94" s="2" t="s">
        <v>279</v>
      </c>
      <c r="D94" s="2" t="s">
        <v>3260</v>
      </c>
      <c r="E94" s="3" t="s">
        <v>3261</v>
      </c>
      <c r="F94" s="10">
        <v>44456</v>
      </c>
      <c r="G94" s="9">
        <v>3000</v>
      </c>
      <c r="H94" s="9">
        <v>98000</v>
      </c>
    </row>
    <row r="95" spans="1:8" x14ac:dyDescent="0.3">
      <c r="A95" s="2">
        <v>94</v>
      </c>
      <c r="B95" s="2" t="s">
        <v>30</v>
      </c>
      <c r="C95" s="2" t="s">
        <v>644</v>
      </c>
      <c r="D95" s="2" t="s">
        <v>3262</v>
      </c>
      <c r="E95" s="3" t="s">
        <v>3263</v>
      </c>
      <c r="F95" s="10">
        <v>44456</v>
      </c>
      <c r="G95" s="9">
        <v>3000</v>
      </c>
      <c r="H95" s="9">
        <v>60500</v>
      </c>
    </row>
    <row r="96" spans="1:8" x14ac:dyDescent="0.3">
      <c r="A96" s="2">
        <v>95</v>
      </c>
      <c r="B96" s="2" t="s">
        <v>16</v>
      </c>
      <c r="C96" s="2" t="s">
        <v>649</v>
      </c>
      <c r="D96" s="2" t="s">
        <v>3264</v>
      </c>
      <c r="E96" s="3" t="s">
        <v>3128</v>
      </c>
      <c r="F96" s="10">
        <v>44456</v>
      </c>
      <c r="G96" s="3">
        <v>0</v>
      </c>
      <c r="H96" s="9">
        <v>72000</v>
      </c>
    </row>
    <row r="97" spans="1:8" x14ac:dyDescent="0.3">
      <c r="A97" s="2">
        <v>96</v>
      </c>
      <c r="B97" s="2" t="s">
        <v>94</v>
      </c>
      <c r="C97" s="2" t="s">
        <v>714</v>
      </c>
      <c r="D97" s="2" t="s">
        <v>3265</v>
      </c>
      <c r="E97" s="3" t="s">
        <v>1387</v>
      </c>
      <c r="F97" s="10">
        <v>44456</v>
      </c>
      <c r="G97" s="9">
        <v>3000</v>
      </c>
      <c r="H97" s="9">
        <v>22000</v>
      </c>
    </row>
    <row r="98" spans="1:8" x14ac:dyDescent="0.3">
      <c r="A98" s="2">
        <v>97</v>
      </c>
      <c r="B98" s="2" t="s">
        <v>199</v>
      </c>
      <c r="C98" s="2" t="s">
        <v>304</v>
      </c>
      <c r="D98" s="2" t="s">
        <v>3266</v>
      </c>
      <c r="E98" s="3" t="s">
        <v>3267</v>
      </c>
      <c r="F98" s="10">
        <v>44457</v>
      </c>
      <c r="G98" s="9">
        <v>3000</v>
      </c>
      <c r="H98" s="9">
        <v>16500</v>
      </c>
    </row>
    <row r="99" spans="1:8" x14ac:dyDescent="0.3">
      <c r="A99" s="2">
        <v>98</v>
      </c>
      <c r="B99" s="2" t="s">
        <v>119</v>
      </c>
      <c r="C99" s="2" t="s">
        <v>469</v>
      </c>
      <c r="D99" s="2" t="s">
        <v>3268</v>
      </c>
      <c r="E99" s="3" t="s">
        <v>3269</v>
      </c>
      <c r="F99" s="10">
        <v>44458</v>
      </c>
      <c r="G99" s="9">
        <v>3000</v>
      </c>
      <c r="H99" s="9">
        <v>72500</v>
      </c>
    </row>
    <row r="100" spans="1:8" x14ac:dyDescent="0.3">
      <c r="A100" s="2">
        <v>99</v>
      </c>
      <c r="B100" s="2" t="s">
        <v>109</v>
      </c>
      <c r="C100" s="2" t="s">
        <v>539</v>
      </c>
      <c r="D100" s="2" t="s">
        <v>3270</v>
      </c>
      <c r="E100" s="3" t="s">
        <v>3271</v>
      </c>
      <c r="F100" s="10">
        <v>44458</v>
      </c>
      <c r="G100" s="9">
        <v>3000</v>
      </c>
      <c r="H100" s="9">
        <v>68500</v>
      </c>
    </row>
    <row r="101" spans="1:8" x14ac:dyDescent="0.3">
      <c r="A101" s="2">
        <v>100</v>
      </c>
      <c r="B101" s="2" t="s">
        <v>199</v>
      </c>
      <c r="C101" s="2" t="s">
        <v>484</v>
      </c>
      <c r="D101" s="2" t="s">
        <v>3272</v>
      </c>
      <c r="E101" s="3" t="s">
        <v>3273</v>
      </c>
      <c r="F101" s="10">
        <v>44459</v>
      </c>
      <c r="G101" s="9">
        <v>3000</v>
      </c>
      <c r="H101" s="9">
        <v>49000</v>
      </c>
    </row>
    <row r="102" spans="1:8" x14ac:dyDescent="0.3">
      <c r="A102" s="2">
        <v>101</v>
      </c>
      <c r="B102" s="2" t="s">
        <v>40</v>
      </c>
      <c r="C102" s="2" t="s">
        <v>734</v>
      </c>
      <c r="D102" s="2" t="s">
        <v>3274</v>
      </c>
      <c r="E102" s="3" t="s">
        <v>3250</v>
      </c>
      <c r="F102" s="10">
        <v>44459</v>
      </c>
      <c r="G102" s="9">
        <v>3000</v>
      </c>
      <c r="H102" s="9">
        <v>16200</v>
      </c>
    </row>
    <row r="103" spans="1:8" x14ac:dyDescent="0.3">
      <c r="A103" s="2">
        <v>102</v>
      </c>
      <c r="B103" s="2" t="s">
        <v>30</v>
      </c>
      <c r="C103" s="2" t="s">
        <v>619</v>
      </c>
      <c r="D103" s="2" t="s">
        <v>945</v>
      </c>
      <c r="E103" s="3">
        <v>1</v>
      </c>
      <c r="F103" s="10">
        <v>44459</v>
      </c>
      <c r="G103" s="9">
        <v>3000</v>
      </c>
      <c r="H103" s="9">
        <v>15000</v>
      </c>
    </row>
    <row r="104" spans="1:8" x14ac:dyDescent="0.3">
      <c r="A104" s="2">
        <v>103</v>
      </c>
      <c r="B104" s="2" t="s">
        <v>16</v>
      </c>
      <c r="C104" s="2" t="s">
        <v>879</v>
      </c>
      <c r="D104" s="2" t="s">
        <v>3275</v>
      </c>
      <c r="E104" s="3" t="s">
        <v>3276</v>
      </c>
      <c r="F104" s="10">
        <v>44413</v>
      </c>
      <c r="G104" s="3">
        <v>0</v>
      </c>
      <c r="H104" s="9">
        <v>62500</v>
      </c>
    </row>
    <row r="105" spans="1:8" x14ac:dyDescent="0.3">
      <c r="A105" s="2">
        <v>104</v>
      </c>
      <c r="B105" s="2" t="s">
        <v>7</v>
      </c>
      <c r="C105" s="2" t="s">
        <v>904</v>
      </c>
      <c r="D105" s="2" t="s">
        <v>3277</v>
      </c>
      <c r="E105" s="3" t="s">
        <v>3278</v>
      </c>
      <c r="F105" s="10">
        <v>44460</v>
      </c>
      <c r="G105" s="3">
        <v>0</v>
      </c>
      <c r="H105" s="9">
        <v>70000</v>
      </c>
    </row>
    <row r="106" spans="1:8" x14ac:dyDescent="0.3">
      <c r="A106" s="2">
        <v>105</v>
      </c>
      <c r="B106" s="2" t="s">
        <v>235</v>
      </c>
      <c r="C106" s="2" t="s">
        <v>654</v>
      </c>
      <c r="D106" s="2" t="s">
        <v>3279</v>
      </c>
      <c r="E106" s="3" t="s">
        <v>3280</v>
      </c>
      <c r="F106" s="10">
        <v>44460</v>
      </c>
      <c r="G106" s="9">
        <v>3000</v>
      </c>
      <c r="H106" s="9">
        <v>47000</v>
      </c>
    </row>
    <row r="107" spans="1:8" x14ac:dyDescent="0.3">
      <c r="A107" s="2">
        <v>106</v>
      </c>
      <c r="B107" s="2" t="s">
        <v>224</v>
      </c>
      <c r="C107" s="2" t="s">
        <v>479</v>
      </c>
      <c r="D107" s="2" t="s">
        <v>3281</v>
      </c>
      <c r="E107" s="3" t="s">
        <v>3256</v>
      </c>
      <c r="F107" s="10">
        <v>44460</v>
      </c>
      <c r="G107" s="9">
        <v>3000</v>
      </c>
      <c r="H107" s="9">
        <v>47500</v>
      </c>
    </row>
    <row r="108" spans="1:8" x14ac:dyDescent="0.3">
      <c r="A108" s="2">
        <v>107</v>
      </c>
      <c r="B108" s="2" t="s">
        <v>25</v>
      </c>
      <c r="C108" s="2" t="s">
        <v>239</v>
      </c>
      <c r="D108" s="2" t="s">
        <v>3282</v>
      </c>
      <c r="E108" s="3" t="s">
        <v>3168</v>
      </c>
      <c r="F108" s="10">
        <v>44409</v>
      </c>
      <c r="G108" s="9">
        <v>3000</v>
      </c>
      <c r="H108" s="9">
        <v>47000</v>
      </c>
    </row>
    <row r="109" spans="1:8" x14ac:dyDescent="0.3">
      <c r="A109" s="2">
        <v>108</v>
      </c>
      <c r="B109" s="2" t="s">
        <v>45</v>
      </c>
      <c r="C109" s="2" t="s">
        <v>499</v>
      </c>
      <c r="D109" s="2" t="s">
        <v>3283</v>
      </c>
      <c r="E109" s="3" t="s">
        <v>3284</v>
      </c>
      <c r="F109" s="10">
        <v>44461</v>
      </c>
      <c r="G109" s="3">
        <v>0</v>
      </c>
      <c r="H109" s="9">
        <v>63000</v>
      </c>
    </row>
    <row r="110" spans="1:8" x14ac:dyDescent="0.3">
      <c r="A110" s="2">
        <v>109</v>
      </c>
      <c r="B110" s="2" t="s">
        <v>7</v>
      </c>
      <c r="C110" s="2" t="s">
        <v>649</v>
      </c>
      <c r="D110" s="2" t="s">
        <v>3285</v>
      </c>
      <c r="E110" s="3" t="s">
        <v>3286</v>
      </c>
      <c r="F110" s="10">
        <v>44461</v>
      </c>
      <c r="G110" s="3">
        <v>0</v>
      </c>
      <c r="H110" s="9">
        <v>71000</v>
      </c>
    </row>
    <row r="111" spans="1:8" x14ac:dyDescent="0.3">
      <c r="A111" s="2">
        <v>110</v>
      </c>
      <c r="B111" s="2" t="s">
        <v>7</v>
      </c>
      <c r="C111" s="2" t="s">
        <v>439</v>
      </c>
      <c r="D111" s="2" t="s">
        <v>1095</v>
      </c>
      <c r="E111" s="3">
        <v>3</v>
      </c>
      <c r="F111" s="10">
        <v>44412</v>
      </c>
      <c r="G111" s="3">
        <v>0</v>
      </c>
      <c r="H111" s="9">
        <v>7500</v>
      </c>
    </row>
    <row r="112" spans="1:8" x14ac:dyDescent="0.3">
      <c r="A112" s="2">
        <v>111</v>
      </c>
      <c r="B112" s="2" t="s">
        <v>174</v>
      </c>
      <c r="C112" s="2" t="s">
        <v>404</v>
      </c>
      <c r="D112" s="2" t="s">
        <v>3287</v>
      </c>
      <c r="E112" s="3" t="s">
        <v>3288</v>
      </c>
      <c r="F112" s="10">
        <v>44441</v>
      </c>
      <c r="G112" s="9">
        <v>3000</v>
      </c>
      <c r="H112" s="9">
        <v>16500</v>
      </c>
    </row>
    <row r="113" spans="1:8" x14ac:dyDescent="0.3">
      <c r="A113" s="2">
        <v>112</v>
      </c>
      <c r="B113" s="2" t="s">
        <v>45</v>
      </c>
      <c r="C113" s="2" t="s">
        <v>409</v>
      </c>
      <c r="D113" s="2" t="s">
        <v>3289</v>
      </c>
      <c r="E113" s="3" t="s">
        <v>3290</v>
      </c>
      <c r="F113" s="10">
        <v>44463</v>
      </c>
      <c r="G113" s="3">
        <v>0</v>
      </c>
      <c r="H113" s="9">
        <v>11500</v>
      </c>
    </row>
    <row r="114" spans="1:8" x14ac:dyDescent="0.3">
      <c r="A114" s="2">
        <v>113</v>
      </c>
      <c r="B114" s="2" t="s">
        <v>35</v>
      </c>
      <c r="C114" s="2" t="s">
        <v>614</v>
      </c>
      <c r="D114" s="2" t="s">
        <v>3291</v>
      </c>
      <c r="E114" s="3" t="s">
        <v>3292</v>
      </c>
      <c r="F114" s="10">
        <v>44463</v>
      </c>
      <c r="G114" s="9">
        <v>3000</v>
      </c>
      <c r="H114" s="9">
        <v>22500</v>
      </c>
    </row>
    <row r="115" spans="1:8" x14ac:dyDescent="0.3">
      <c r="A115" s="2">
        <v>114</v>
      </c>
      <c r="B115" s="2" t="s">
        <v>45</v>
      </c>
      <c r="C115" s="2" t="s">
        <v>659</v>
      </c>
      <c r="D115" s="2" t="s">
        <v>3293</v>
      </c>
      <c r="E115" s="3" t="s">
        <v>3294</v>
      </c>
      <c r="F115" s="10">
        <v>44464</v>
      </c>
      <c r="G115" s="3">
        <v>0</v>
      </c>
      <c r="H115" s="9">
        <v>108000</v>
      </c>
    </row>
    <row r="116" spans="1:8" x14ac:dyDescent="0.3">
      <c r="A116" s="2">
        <v>115</v>
      </c>
      <c r="B116" s="2" t="s">
        <v>109</v>
      </c>
      <c r="C116" s="2" t="s">
        <v>709</v>
      </c>
      <c r="D116" s="2" t="s">
        <v>3295</v>
      </c>
      <c r="E116" s="3" t="s">
        <v>3166</v>
      </c>
      <c r="F116" s="10">
        <v>44464</v>
      </c>
      <c r="G116" s="9">
        <v>3000</v>
      </c>
      <c r="H116" s="9">
        <v>25500</v>
      </c>
    </row>
    <row r="117" spans="1:8" x14ac:dyDescent="0.3">
      <c r="A117" s="2">
        <v>116</v>
      </c>
      <c r="B117" s="2" t="s">
        <v>119</v>
      </c>
      <c r="C117" s="2" t="s">
        <v>519</v>
      </c>
      <c r="D117" s="2" t="s">
        <v>3296</v>
      </c>
      <c r="E117" s="3" t="s">
        <v>3297</v>
      </c>
      <c r="F117" s="10">
        <v>44464</v>
      </c>
      <c r="G117" s="9">
        <v>3000</v>
      </c>
      <c r="H117" s="9">
        <v>72500</v>
      </c>
    </row>
    <row r="118" spans="1:8" x14ac:dyDescent="0.3">
      <c r="A118" s="2">
        <v>117</v>
      </c>
      <c r="B118" s="2" t="s">
        <v>11</v>
      </c>
      <c r="C118" s="2" t="s">
        <v>439</v>
      </c>
      <c r="D118" s="2" t="s">
        <v>3298</v>
      </c>
      <c r="E118" s="3" t="s">
        <v>3210</v>
      </c>
      <c r="F118" s="10">
        <v>44464</v>
      </c>
      <c r="G118" s="9">
        <v>3000</v>
      </c>
      <c r="H118" s="9">
        <v>36200</v>
      </c>
    </row>
    <row r="119" spans="1:8" x14ac:dyDescent="0.3">
      <c r="A119" s="2">
        <v>118</v>
      </c>
      <c r="B119" s="2" t="s">
        <v>149</v>
      </c>
      <c r="C119" s="2" t="s">
        <v>274</v>
      </c>
      <c r="D119" s="2" t="s">
        <v>3299</v>
      </c>
      <c r="E119" s="3" t="s">
        <v>3300</v>
      </c>
      <c r="F119" s="10">
        <v>44465</v>
      </c>
      <c r="G119" s="9">
        <v>3000</v>
      </c>
      <c r="H119" s="9">
        <v>42000</v>
      </c>
    </row>
    <row r="120" spans="1:8" x14ac:dyDescent="0.3">
      <c r="A120" s="2">
        <v>119</v>
      </c>
      <c r="B120" s="2" t="s">
        <v>194</v>
      </c>
      <c r="C120" s="2" t="s">
        <v>469</v>
      </c>
      <c r="D120" s="2" t="s">
        <v>3301</v>
      </c>
      <c r="E120" s="3" t="s">
        <v>3302</v>
      </c>
      <c r="F120" s="10">
        <v>44465</v>
      </c>
      <c r="G120" s="9">
        <v>3000</v>
      </c>
      <c r="H120" s="9">
        <v>44500</v>
      </c>
    </row>
    <row r="121" spans="1:8" x14ac:dyDescent="0.3">
      <c r="A121" s="2">
        <v>120</v>
      </c>
      <c r="B121" s="2" t="s">
        <v>7</v>
      </c>
      <c r="C121" s="2" t="s">
        <v>779</v>
      </c>
      <c r="D121" s="2" t="s">
        <v>1031</v>
      </c>
      <c r="E121" s="3">
        <v>2</v>
      </c>
      <c r="F121" s="10">
        <v>44465</v>
      </c>
      <c r="G121" s="3">
        <v>0</v>
      </c>
      <c r="H121" s="9">
        <v>10000</v>
      </c>
    </row>
    <row r="122" spans="1:8" x14ac:dyDescent="0.3">
      <c r="A122" s="2">
        <v>121</v>
      </c>
      <c r="B122" s="2" t="s">
        <v>45</v>
      </c>
      <c r="C122" s="2" t="s">
        <v>634</v>
      </c>
      <c r="D122" s="2" t="s">
        <v>3303</v>
      </c>
      <c r="E122" s="3" t="s">
        <v>3146</v>
      </c>
      <c r="F122" s="10">
        <v>44466</v>
      </c>
      <c r="G122" s="3">
        <v>0</v>
      </c>
      <c r="H122" s="9">
        <v>14500</v>
      </c>
    </row>
    <row r="123" spans="1:8" x14ac:dyDescent="0.3">
      <c r="A123" s="2">
        <v>122</v>
      </c>
      <c r="B123" s="2" t="s">
        <v>179</v>
      </c>
      <c r="C123" s="2" t="s">
        <v>459</v>
      </c>
      <c r="D123" s="2" t="s">
        <v>3304</v>
      </c>
      <c r="E123" s="3" t="s">
        <v>3305</v>
      </c>
      <c r="F123" s="10">
        <v>44467</v>
      </c>
      <c r="G123" s="9">
        <v>3000</v>
      </c>
      <c r="H123" s="9">
        <v>58500</v>
      </c>
    </row>
    <row r="124" spans="1:8" x14ac:dyDescent="0.3">
      <c r="A124" s="2">
        <v>123</v>
      </c>
      <c r="B124" s="2" t="s">
        <v>11</v>
      </c>
      <c r="C124" s="2" t="s">
        <v>414</v>
      </c>
      <c r="D124" s="2" t="s">
        <v>3306</v>
      </c>
      <c r="E124" s="3" t="s">
        <v>3292</v>
      </c>
      <c r="F124" s="10">
        <v>44467</v>
      </c>
      <c r="G124" s="9">
        <v>3000</v>
      </c>
      <c r="H124" s="9">
        <v>19000</v>
      </c>
    </row>
    <row r="125" spans="1:8" x14ac:dyDescent="0.3">
      <c r="A125" s="2">
        <v>124</v>
      </c>
      <c r="B125" s="2" t="s">
        <v>7</v>
      </c>
      <c r="C125" s="2" t="s">
        <v>364</v>
      </c>
      <c r="D125" s="2" t="s">
        <v>3307</v>
      </c>
      <c r="E125" s="3" t="s">
        <v>3308</v>
      </c>
      <c r="F125" s="10">
        <v>44468</v>
      </c>
      <c r="G125" s="3">
        <v>0</v>
      </c>
      <c r="H125" s="9">
        <v>76000</v>
      </c>
    </row>
    <row r="126" spans="1:8" x14ac:dyDescent="0.3">
      <c r="A126" s="2">
        <v>125</v>
      </c>
      <c r="B126" s="2" t="s">
        <v>99</v>
      </c>
      <c r="C126" s="2" t="s">
        <v>364</v>
      </c>
      <c r="D126" s="2" t="s">
        <v>1012</v>
      </c>
      <c r="E126" s="3">
        <v>3</v>
      </c>
      <c r="F126" s="10">
        <v>44468</v>
      </c>
      <c r="G126" s="9">
        <v>3000</v>
      </c>
      <c r="H126" s="9">
        <v>18000</v>
      </c>
    </row>
    <row r="127" spans="1:8" x14ac:dyDescent="0.3">
      <c r="A127" s="2">
        <v>126</v>
      </c>
      <c r="B127" s="2" t="s">
        <v>94</v>
      </c>
      <c r="C127" s="2" t="s">
        <v>294</v>
      </c>
      <c r="D127" s="2" t="s">
        <v>963</v>
      </c>
      <c r="E127" s="3">
        <v>3</v>
      </c>
      <c r="F127" s="10">
        <v>44469</v>
      </c>
      <c r="G127" s="9">
        <v>3000</v>
      </c>
      <c r="H127" s="9">
        <v>4500</v>
      </c>
    </row>
    <row r="128" spans="1:8" x14ac:dyDescent="0.3">
      <c r="A128" s="2">
        <v>127</v>
      </c>
      <c r="B128" s="2" t="s">
        <v>214</v>
      </c>
      <c r="C128" s="2" t="s">
        <v>674</v>
      </c>
      <c r="D128" s="2" t="s">
        <v>3309</v>
      </c>
      <c r="E128" s="3" t="s">
        <v>3310</v>
      </c>
      <c r="F128" s="10">
        <v>44469</v>
      </c>
      <c r="G128" s="9">
        <v>3000</v>
      </c>
      <c r="H128" s="9">
        <v>81500</v>
      </c>
    </row>
    <row r="129" spans="1:8" x14ac:dyDescent="0.3">
      <c r="A129" s="2">
        <v>128</v>
      </c>
      <c r="B129" s="2" t="s">
        <v>25</v>
      </c>
      <c r="C129" s="2" t="s">
        <v>579</v>
      </c>
      <c r="D129" s="2" t="s">
        <v>965</v>
      </c>
      <c r="E129" s="3">
        <v>3</v>
      </c>
      <c r="F129" s="10">
        <v>44470</v>
      </c>
      <c r="G129" s="9">
        <v>3000</v>
      </c>
      <c r="H129" s="9">
        <v>4500</v>
      </c>
    </row>
    <row r="130" spans="1:8" x14ac:dyDescent="0.3">
      <c r="A130" s="2">
        <v>129</v>
      </c>
      <c r="B130" s="2" t="s">
        <v>224</v>
      </c>
      <c r="C130" s="2" t="s">
        <v>624</v>
      </c>
      <c r="D130" s="2" t="s">
        <v>3311</v>
      </c>
      <c r="E130" s="3" t="s">
        <v>3312</v>
      </c>
      <c r="F130" s="10">
        <v>44470</v>
      </c>
      <c r="G130" s="9">
        <v>3000</v>
      </c>
      <c r="H130" s="9">
        <v>18000</v>
      </c>
    </row>
    <row r="131" spans="1:8" x14ac:dyDescent="0.3">
      <c r="A131" s="2">
        <v>130</v>
      </c>
      <c r="B131" s="2" t="s">
        <v>119</v>
      </c>
      <c r="C131" s="2" t="s">
        <v>599</v>
      </c>
      <c r="D131" s="2" t="s">
        <v>3313</v>
      </c>
      <c r="E131" s="3" t="s">
        <v>3280</v>
      </c>
      <c r="F131" s="10">
        <v>44470</v>
      </c>
      <c r="G131" s="9">
        <v>3000</v>
      </c>
      <c r="H131" s="9">
        <v>78500</v>
      </c>
    </row>
    <row r="132" spans="1:8" x14ac:dyDescent="0.3">
      <c r="A132" s="2">
        <v>131</v>
      </c>
      <c r="B132" s="2" t="s">
        <v>179</v>
      </c>
      <c r="C132" s="2" t="s">
        <v>889</v>
      </c>
      <c r="D132" s="2" t="s">
        <v>3314</v>
      </c>
      <c r="E132" s="3" t="s">
        <v>3206</v>
      </c>
      <c r="F132" s="10">
        <v>44470</v>
      </c>
      <c r="G132" s="9">
        <v>3000</v>
      </c>
      <c r="H132" s="9">
        <v>27000</v>
      </c>
    </row>
    <row r="133" spans="1:8" x14ac:dyDescent="0.3">
      <c r="A133" s="2">
        <v>132</v>
      </c>
      <c r="B133" s="2" t="s">
        <v>16</v>
      </c>
      <c r="C133" s="2" t="s">
        <v>444</v>
      </c>
      <c r="D133" s="2" t="s">
        <v>3315</v>
      </c>
      <c r="E133" s="3" t="s">
        <v>3316</v>
      </c>
      <c r="F133" s="10">
        <v>44471</v>
      </c>
      <c r="G133" s="3">
        <v>0</v>
      </c>
      <c r="H133" s="9">
        <v>37000</v>
      </c>
    </row>
    <row r="134" spans="1:8" x14ac:dyDescent="0.3">
      <c r="A134" s="2">
        <v>133</v>
      </c>
      <c r="B134" s="2" t="s">
        <v>204</v>
      </c>
      <c r="C134" s="2" t="s">
        <v>599</v>
      </c>
      <c r="D134" s="2" t="s">
        <v>3317</v>
      </c>
      <c r="E134" s="3" t="s">
        <v>3189</v>
      </c>
      <c r="F134" s="10">
        <v>44441</v>
      </c>
      <c r="G134" s="9">
        <v>3000</v>
      </c>
      <c r="H134" s="9">
        <v>28000</v>
      </c>
    </row>
    <row r="135" spans="1:8" x14ac:dyDescent="0.3">
      <c r="A135" s="2">
        <v>134</v>
      </c>
      <c r="B135" s="2" t="s">
        <v>174</v>
      </c>
      <c r="C135" s="2" t="s">
        <v>679</v>
      </c>
      <c r="D135" s="2" t="s">
        <v>1109</v>
      </c>
      <c r="E135" s="3">
        <v>2</v>
      </c>
      <c r="F135" s="10">
        <v>44472</v>
      </c>
      <c r="G135" s="9">
        <v>3000</v>
      </c>
      <c r="H135" s="9">
        <v>4000</v>
      </c>
    </row>
    <row r="136" spans="1:8" x14ac:dyDescent="0.3">
      <c r="A136" s="2">
        <v>135</v>
      </c>
      <c r="B136" s="2" t="s">
        <v>184</v>
      </c>
      <c r="C136" s="2" t="s">
        <v>864</v>
      </c>
      <c r="D136" s="2" t="s">
        <v>3318</v>
      </c>
      <c r="E136" s="3" t="s">
        <v>3138</v>
      </c>
      <c r="F136" s="10">
        <v>44472</v>
      </c>
      <c r="G136" s="9">
        <v>3000</v>
      </c>
      <c r="H136" s="9">
        <v>20000</v>
      </c>
    </row>
    <row r="137" spans="1:8" x14ac:dyDescent="0.3">
      <c r="A137" s="2">
        <v>136</v>
      </c>
      <c r="B137" s="2" t="s">
        <v>174</v>
      </c>
      <c r="C137" s="2" t="s">
        <v>589</v>
      </c>
      <c r="D137" s="2" t="s">
        <v>3319</v>
      </c>
      <c r="E137" s="3" t="s">
        <v>3320</v>
      </c>
      <c r="F137" s="10">
        <v>44472</v>
      </c>
      <c r="G137" s="9">
        <v>3000</v>
      </c>
      <c r="H137" s="9">
        <v>38000</v>
      </c>
    </row>
    <row r="138" spans="1:8" x14ac:dyDescent="0.3">
      <c r="A138" s="2">
        <v>137</v>
      </c>
      <c r="B138" s="2" t="s">
        <v>79</v>
      </c>
      <c r="C138" s="2" t="s">
        <v>559</v>
      </c>
      <c r="D138" s="2" t="s">
        <v>3321</v>
      </c>
      <c r="E138" s="3" t="s">
        <v>3305</v>
      </c>
      <c r="F138" s="10">
        <v>44420</v>
      </c>
      <c r="G138" s="9">
        <v>3000</v>
      </c>
      <c r="H138" s="9">
        <v>34500</v>
      </c>
    </row>
    <row r="139" spans="1:8" x14ac:dyDescent="0.3">
      <c r="A139" s="2">
        <v>138</v>
      </c>
      <c r="B139" s="2" t="s">
        <v>109</v>
      </c>
      <c r="C139" s="2" t="s">
        <v>754</v>
      </c>
      <c r="D139" s="2" t="s">
        <v>3322</v>
      </c>
      <c r="E139" s="3" t="s">
        <v>3323</v>
      </c>
      <c r="F139" s="10">
        <v>44473</v>
      </c>
      <c r="G139" s="9">
        <v>3000</v>
      </c>
      <c r="H139" s="9">
        <v>19000</v>
      </c>
    </row>
    <row r="140" spans="1:8" x14ac:dyDescent="0.3">
      <c r="A140" s="2">
        <v>139</v>
      </c>
      <c r="B140" s="2" t="s">
        <v>144</v>
      </c>
      <c r="C140" s="2" t="s">
        <v>324</v>
      </c>
      <c r="D140" s="2" t="s">
        <v>3324</v>
      </c>
      <c r="E140" s="3" t="s">
        <v>3325</v>
      </c>
      <c r="F140" s="10">
        <v>44474</v>
      </c>
      <c r="G140" s="9">
        <v>3000</v>
      </c>
      <c r="H140" s="9">
        <v>46000</v>
      </c>
    </row>
    <row r="141" spans="1:8" x14ac:dyDescent="0.3">
      <c r="A141" s="2">
        <v>140</v>
      </c>
      <c r="B141" s="2" t="s">
        <v>224</v>
      </c>
      <c r="C141" s="2" t="s">
        <v>689</v>
      </c>
      <c r="D141" s="2" t="s">
        <v>3326</v>
      </c>
      <c r="E141" s="3" t="s">
        <v>3327</v>
      </c>
      <c r="F141" s="10">
        <v>44413</v>
      </c>
      <c r="G141" s="9">
        <v>3000</v>
      </c>
      <c r="H141" s="9">
        <v>54000</v>
      </c>
    </row>
    <row r="142" spans="1:8" x14ac:dyDescent="0.3">
      <c r="A142" s="2">
        <v>141</v>
      </c>
      <c r="B142" s="2" t="s">
        <v>60</v>
      </c>
      <c r="C142" s="2" t="s">
        <v>549</v>
      </c>
      <c r="D142" s="2" t="s">
        <v>3328</v>
      </c>
      <c r="E142" s="3" t="s">
        <v>3329</v>
      </c>
      <c r="F142" s="10">
        <v>44475</v>
      </c>
      <c r="G142" s="9">
        <v>3000</v>
      </c>
      <c r="H142" s="9">
        <v>49000</v>
      </c>
    </row>
    <row r="143" spans="1:8" x14ac:dyDescent="0.3">
      <c r="A143" s="2">
        <v>142</v>
      </c>
      <c r="B143" s="2" t="s">
        <v>134</v>
      </c>
      <c r="C143" s="2" t="s">
        <v>714</v>
      </c>
      <c r="D143" s="2" t="s">
        <v>3330</v>
      </c>
      <c r="E143" s="3" t="s">
        <v>3134</v>
      </c>
      <c r="F143" s="10">
        <v>44475</v>
      </c>
      <c r="G143" s="9">
        <v>3000</v>
      </c>
      <c r="H143" s="9">
        <v>46000</v>
      </c>
    </row>
    <row r="144" spans="1:8" x14ac:dyDescent="0.3">
      <c r="A144" s="2">
        <v>143</v>
      </c>
      <c r="B144" s="2" t="s">
        <v>35</v>
      </c>
      <c r="C144" s="2" t="s">
        <v>239</v>
      </c>
      <c r="D144" s="2" t="s">
        <v>3331</v>
      </c>
      <c r="E144" s="3" t="s">
        <v>3332</v>
      </c>
      <c r="F144" s="10">
        <v>44461</v>
      </c>
      <c r="G144" s="9">
        <v>3000</v>
      </c>
      <c r="H144" s="9">
        <v>40500</v>
      </c>
    </row>
    <row r="145" spans="1:8" x14ac:dyDescent="0.3">
      <c r="A145" s="2">
        <v>144</v>
      </c>
      <c r="B145" s="2" t="s">
        <v>11</v>
      </c>
      <c r="C145" s="2" t="s">
        <v>274</v>
      </c>
      <c r="D145" s="2" t="s">
        <v>3333</v>
      </c>
      <c r="E145" s="3" t="s">
        <v>3206</v>
      </c>
      <c r="F145" s="10">
        <v>44477</v>
      </c>
      <c r="G145" s="9">
        <v>3000</v>
      </c>
      <c r="H145" s="9">
        <v>16000</v>
      </c>
    </row>
    <row r="146" spans="1:8" x14ac:dyDescent="0.3">
      <c r="A146" s="2">
        <v>145</v>
      </c>
      <c r="B146" s="2" t="s">
        <v>134</v>
      </c>
      <c r="C146" s="2" t="s">
        <v>419</v>
      </c>
      <c r="D146" s="2" t="s">
        <v>3334</v>
      </c>
      <c r="E146" s="3" t="s">
        <v>3225</v>
      </c>
      <c r="F146" s="10">
        <v>44478</v>
      </c>
      <c r="G146" s="9">
        <v>3000</v>
      </c>
      <c r="H146" s="9">
        <v>13000</v>
      </c>
    </row>
    <row r="147" spans="1:8" x14ac:dyDescent="0.3">
      <c r="A147" s="2">
        <v>146</v>
      </c>
      <c r="B147" s="2" t="s">
        <v>16</v>
      </c>
      <c r="C147" s="2" t="s">
        <v>454</v>
      </c>
      <c r="D147" s="2" t="s">
        <v>3335</v>
      </c>
      <c r="E147" s="3" t="s">
        <v>3336</v>
      </c>
      <c r="F147" s="10">
        <v>44478</v>
      </c>
      <c r="G147" s="3">
        <v>0</v>
      </c>
      <c r="H147" s="9">
        <v>14000</v>
      </c>
    </row>
    <row r="148" spans="1:8" x14ac:dyDescent="0.3">
      <c r="A148" s="2">
        <v>147</v>
      </c>
      <c r="B148" s="2" t="s">
        <v>11</v>
      </c>
      <c r="C148" s="2" t="s">
        <v>674</v>
      </c>
      <c r="D148" s="2" t="s">
        <v>974</v>
      </c>
      <c r="E148" s="3">
        <v>1</v>
      </c>
      <c r="F148" s="10">
        <v>44478</v>
      </c>
      <c r="G148" s="9">
        <v>3000</v>
      </c>
      <c r="H148" s="9">
        <v>2500</v>
      </c>
    </row>
    <row r="149" spans="1:8" x14ac:dyDescent="0.3">
      <c r="A149" s="2">
        <v>148</v>
      </c>
      <c r="B149" s="2" t="s">
        <v>94</v>
      </c>
      <c r="C149" s="2" t="s">
        <v>619</v>
      </c>
      <c r="D149" s="2" t="s">
        <v>3337</v>
      </c>
      <c r="E149" s="3" t="s">
        <v>3338</v>
      </c>
      <c r="F149" s="10">
        <v>44479</v>
      </c>
      <c r="G149" s="9">
        <v>3000</v>
      </c>
      <c r="H149" s="9">
        <v>110000</v>
      </c>
    </row>
    <row r="150" spans="1:8" x14ac:dyDescent="0.3">
      <c r="A150" s="2">
        <v>149</v>
      </c>
      <c r="B150" s="2" t="s">
        <v>229</v>
      </c>
      <c r="C150" s="2" t="s">
        <v>654</v>
      </c>
      <c r="D150" s="2" t="s">
        <v>3339</v>
      </c>
      <c r="E150" s="3" t="s">
        <v>3340</v>
      </c>
      <c r="F150" s="10">
        <v>44479</v>
      </c>
      <c r="G150" s="9">
        <v>3000</v>
      </c>
      <c r="H150" s="9">
        <v>35500</v>
      </c>
    </row>
    <row r="151" spans="1:8" x14ac:dyDescent="0.3">
      <c r="A151" s="2">
        <v>150</v>
      </c>
      <c r="B151" s="2" t="s">
        <v>94</v>
      </c>
      <c r="C151" s="2" t="s">
        <v>374</v>
      </c>
      <c r="D151" s="2" t="s">
        <v>3341</v>
      </c>
      <c r="E151" s="3" t="s">
        <v>3342</v>
      </c>
      <c r="F151" s="10">
        <v>44479</v>
      </c>
      <c r="G151" s="9">
        <v>3000</v>
      </c>
      <c r="H151" s="9">
        <v>34500</v>
      </c>
    </row>
    <row r="152" spans="1:8" x14ac:dyDescent="0.3">
      <c r="A152" s="2">
        <v>151</v>
      </c>
      <c r="B152" s="2" t="s">
        <v>94</v>
      </c>
      <c r="C152" s="2" t="s">
        <v>614</v>
      </c>
      <c r="D152" s="2" t="s">
        <v>3343</v>
      </c>
      <c r="E152" s="3" t="s">
        <v>3166</v>
      </c>
      <c r="F152" s="10">
        <v>44480</v>
      </c>
      <c r="G152" s="9">
        <v>3000</v>
      </c>
      <c r="H152" s="9">
        <v>35500</v>
      </c>
    </row>
    <row r="153" spans="1:8" x14ac:dyDescent="0.3">
      <c r="A153" s="2">
        <v>152</v>
      </c>
      <c r="B153" s="2" t="s">
        <v>224</v>
      </c>
      <c r="C153" s="2" t="s">
        <v>284</v>
      </c>
      <c r="D153" s="2" t="s">
        <v>1029</v>
      </c>
      <c r="E153" s="3">
        <v>1</v>
      </c>
      <c r="F153" s="10">
        <v>44480</v>
      </c>
      <c r="G153" s="9">
        <v>3000</v>
      </c>
      <c r="H153" s="9">
        <v>8000</v>
      </c>
    </row>
    <row r="154" spans="1:8" x14ac:dyDescent="0.3">
      <c r="A154" s="2">
        <v>153</v>
      </c>
      <c r="B154" s="2" t="s">
        <v>40</v>
      </c>
      <c r="C154" s="2" t="s">
        <v>244</v>
      </c>
      <c r="D154" s="2" t="s">
        <v>3344</v>
      </c>
      <c r="E154" s="3" t="s">
        <v>3345</v>
      </c>
      <c r="F154" s="10">
        <v>44481</v>
      </c>
      <c r="G154" s="9">
        <v>3000</v>
      </c>
      <c r="H154" s="9">
        <v>52000</v>
      </c>
    </row>
    <row r="155" spans="1:8" x14ac:dyDescent="0.3">
      <c r="A155" s="2">
        <v>154</v>
      </c>
      <c r="B155" s="2" t="s">
        <v>159</v>
      </c>
      <c r="C155" s="2" t="s">
        <v>484</v>
      </c>
      <c r="D155" s="2" t="s">
        <v>3346</v>
      </c>
      <c r="E155" s="3" t="s">
        <v>3347</v>
      </c>
      <c r="F155" s="10">
        <v>44481</v>
      </c>
      <c r="G155" s="9">
        <v>3000</v>
      </c>
      <c r="H155" s="9">
        <v>69000</v>
      </c>
    </row>
    <row r="156" spans="1:8" x14ac:dyDescent="0.3">
      <c r="A156" s="2">
        <v>155</v>
      </c>
      <c r="B156" s="2" t="s">
        <v>16</v>
      </c>
      <c r="C156" s="2" t="s">
        <v>579</v>
      </c>
      <c r="D156" s="2" t="s">
        <v>3348</v>
      </c>
      <c r="E156" s="3" t="s">
        <v>3140</v>
      </c>
      <c r="F156" s="10">
        <v>44481</v>
      </c>
      <c r="G156" s="3">
        <v>0</v>
      </c>
      <c r="H156" s="9">
        <v>28000</v>
      </c>
    </row>
    <row r="157" spans="1:8" x14ac:dyDescent="0.3">
      <c r="A157" s="2">
        <v>156</v>
      </c>
      <c r="B157" s="2" t="s">
        <v>209</v>
      </c>
      <c r="C157" s="2" t="s">
        <v>519</v>
      </c>
      <c r="D157" s="2" t="s">
        <v>3349</v>
      </c>
      <c r="E157" s="3" t="s">
        <v>3350</v>
      </c>
      <c r="F157" s="10">
        <v>44481</v>
      </c>
      <c r="G157" s="9">
        <v>3000</v>
      </c>
      <c r="H157" s="9">
        <v>56500</v>
      </c>
    </row>
    <row r="158" spans="1:8" x14ac:dyDescent="0.3">
      <c r="A158" s="2">
        <v>157</v>
      </c>
      <c r="B158" s="2" t="s">
        <v>69</v>
      </c>
      <c r="C158" s="2" t="s">
        <v>539</v>
      </c>
      <c r="D158" s="2" t="s">
        <v>3351</v>
      </c>
      <c r="E158" s="3" t="s">
        <v>3352</v>
      </c>
      <c r="F158" s="10">
        <v>44482</v>
      </c>
      <c r="G158" s="9">
        <v>3000</v>
      </c>
      <c r="H158" s="9">
        <v>69500</v>
      </c>
    </row>
    <row r="159" spans="1:8" x14ac:dyDescent="0.3">
      <c r="A159" s="2">
        <v>158</v>
      </c>
      <c r="B159" s="2" t="s">
        <v>65</v>
      </c>
      <c r="C159" s="2" t="s">
        <v>764</v>
      </c>
      <c r="D159" s="2" t="s">
        <v>3353</v>
      </c>
      <c r="E159" s="3" t="s">
        <v>3354</v>
      </c>
      <c r="F159" s="10">
        <v>44482</v>
      </c>
      <c r="G159" s="9">
        <v>3000</v>
      </c>
      <c r="H159" s="9">
        <v>6000</v>
      </c>
    </row>
    <row r="160" spans="1:8" x14ac:dyDescent="0.3">
      <c r="A160" s="2">
        <v>159</v>
      </c>
      <c r="B160" s="2" t="s">
        <v>94</v>
      </c>
      <c r="C160" s="2" t="s">
        <v>369</v>
      </c>
      <c r="D160" s="2" t="s">
        <v>3355</v>
      </c>
      <c r="E160" s="3" t="s">
        <v>3206</v>
      </c>
      <c r="F160" s="10">
        <v>44483</v>
      </c>
      <c r="G160" s="9">
        <v>3000</v>
      </c>
      <c r="H160" s="9">
        <v>32000</v>
      </c>
    </row>
    <row r="161" spans="1:8" x14ac:dyDescent="0.3">
      <c r="A161" s="2">
        <v>160</v>
      </c>
      <c r="B161" s="2" t="s">
        <v>129</v>
      </c>
      <c r="C161" s="2" t="s">
        <v>639</v>
      </c>
      <c r="D161" s="2" t="s">
        <v>3356</v>
      </c>
      <c r="E161" s="3" t="s">
        <v>3357</v>
      </c>
      <c r="F161" s="10">
        <v>44483</v>
      </c>
      <c r="G161" s="9">
        <v>3000</v>
      </c>
      <c r="H161" s="9">
        <v>100500</v>
      </c>
    </row>
    <row r="162" spans="1:8" x14ac:dyDescent="0.3">
      <c r="A162" s="2">
        <v>161</v>
      </c>
      <c r="B162" s="2" t="s">
        <v>144</v>
      </c>
      <c r="C162" s="2" t="s">
        <v>484</v>
      </c>
      <c r="D162" s="2" t="s">
        <v>947</v>
      </c>
      <c r="E162" s="3">
        <v>1</v>
      </c>
      <c r="F162" s="10">
        <v>44483</v>
      </c>
      <c r="G162" s="9">
        <v>3000</v>
      </c>
      <c r="H162" s="9">
        <v>5000</v>
      </c>
    </row>
    <row r="163" spans="1:8" x14ac:dyDescent="0.3">
      <c r="A163" s="2">
        <v>162</v>
      </c>
      <c r="B163" s="2" t="s">
        <v>204</v>
      </c>
      <c r="C163" s="2" t="s">
        <v>534</v>
      </c>
      <c r="D163" s="2" t="s">
        <v>3358</v>
      </c>
      <c r="E163" s="3" t="s">
        <v>3359</v>
      </c>
      <c r="F163" s="10">
        <v>44483</v>
      </c>
      <c r="G163" s="9">
        <v>3000</v>
      </c>
      <c r="H163" s="9">
        <v>46500</v>
      </c>
    </row>
    <row r="164" spans="1:8" x14ac:dyDescent="0.3">
      <c r="A164" s="2">
        <v>163</v>
      </c>
      <c r="B164" s="2" t="s">
        <v>21</v>
      </c>
      <c r="C164" s="2" t="s">
        <v>299</v>
      </c>
      <c r="D164" s="2" t="s">
        <v>3360</v>
      </c>
      <c r="E164" s="3" t="s">
        <v>3250</v>
      </c>
      <c r="F164" s="10">
        <v>44484</v>
      </c>
      <c r="G164" s="9">
        <v>3000</v>
      </c>
      <c r="H164" s="9">
        <v>39000</v>
      </c>
    </row>
    <row r="165" spans="1:8" x14ac:dyDescent="0.3">
      <c r="A165" s="2">
        <v>164</v>
      </c>
      <c r="B165" s="2" t="s">
        <v>16</v>
      </c>
      <c r="C165" s="2" t="s">
        <v>804</v>
      </c>
      <c r="D165" s="2" t="s">
        <v>3361</v>
      </c>
      <c r="E165" s="3" t="s">
        <v>3362</v>
      </c>
      <c r="F165" s="10">
        <v>44484</v>
      </c>
      <c r="G165" s="3">
        <v>0</v>
      </c>
      <c r="H165" s="9">
        <v>127500</v>
      </c>
    </row>
    <row r="166" spans="1:8" x14ac:dyDescent="0.3">
      <c r="A166" s="2">
        <v>165</v>
      </c>
      <c r="B166" s="2" t="s">
        <v>11</v>
      </c>
      <c r="C166" s="2" t="s">
        <v>844</v>
      </c>
      <c r="D166" s="2" t="s">
        <v>955</v>
      </c>
      <c r="E166" s="3">
        <v>3</v>
      </c>
      <c r="F166" s="10">
        <v>44484</v>
      </c>
      <c r="G166" s="9">
        <v>3000</v>
      </c>
      <c r="H166" s="9">
        <v>18000</v>
      </c>
    </row>
    <row r="167" spans="1:8" x14ac:dyDescent="0.3">
      <c r="A167" s="2">
        <v>166</v>
      </c>
      <c r="B167" s="2" t="s">
        <v>144</v>
      </c>
      <c r="C167" s="2" t="s">
        <v>539</v>
      </c>
      <c r="D167" s="2" t="s">
        <v>3363</v>
      </c>
      <c r="E167" s="3" t="s">
        <v>3364</v>
      </c>
      <c r="F167" s="10">
        <v>44485</v>
      </c>
      <c r="G167" s="9">
        <v>3000</v>
      </c>
      <c r="H167" s="9">
        <v>49000</v>
      </c>
    </row>
    <row r="168" spans="1:8" x14ac:dyDescent="0.3">
      <c r="A168" s="2">
        <v>167</v>
      </c>
      <c r="B168" s="2" t="s">
        <v>65</v>
      </c>
      <c r="C168" s="2" t="s">
        <v>469</v>
      </c>
      <c r="D168" s="2" t="s">
        <v>945</v>
      </c>
      <c r="E168" s="3">
        <v>1</v>
      </c>
      <c r="F168" s="10">
        <v>44485</v>
      </c>
      <c r="G168" s="9">
        <v>3000</v>
      </c>
      <c r="H168" s="9">
        <v>15000</v>
      </c>
    </row>
    <row r="169" spans="1:8" x14ac:dyDescent="0.3">
      <c r="A169" s="2">
        <v>168</v>
      </c>
      <c r="B169" s="2" t="s">
        <v>84</v>
      </c>
      <c r="C169" s="2" t="s">
        <v>624</v>
      </c>
      <c r="D169" s="2" t="s">
        <v>3365</v>
      </c>
      <c r="E169" s="3" t="s">
        <v>3364</v>
      </c>
      <c r="F169" s="10">
        <v>44486</v>
      </c>
      <c r="G169" s="9">
        <v>3000</v>
      </c>
      <c r="H169" s="9">
        <v>76000</v>
      </c>
    </row>
    <row r="170" spans="1:8" x14ac:dyDescent="0.3">
      <c r="A170" s="2">
        <v>169</v>
      </c>
      <c r="B170" s="2" t="s">
        <v>11</v>
      </c>
      <c r="C170" s="2" t="s">
        <v>349</v>
      </c>
      <c r="D170" s="2" t="s">
        <v>959</v>
      </c>
      <c r="E170" s="3">
        <v>2</v>
      </c>
      <c r="F170" s="10">
        <v>44487</v>
      </c>
      <c r="G170" s="9">
        <v>3000</v>
      </c>
      <c r="H170" s="9">
        <v>17000</v>
      </c>
    </row>
    <row r="171" spans="1:8" x14ac:dyDescent="0.3">
      <c r="A171" s="2">
        <v>170</v>
      </c>
      <c r="B171" s="2" t="s">
        <v>149</v>
      </c>
      <c r="C171" s="2" t="s">
        <v>399</v>
      </c>
      <c r="D171" s="2" t="s">
        <v>3366</v>
      </c>
      <c r="E171" s="3" t="s">
        <v>3312</v>
      </c>
      <c r="F171" s="10">
        <v>44487</v>
      </c>
      <c r="G171" s="9">
        <v>3000</v>
      </c>
      <c r="H171" s="9">
        <v>64500</v>
      </c>
    </row>
    <row r="172" spans="1:8" x14ac:dyDescent="0.3">
      <c r="A172" s="2">
        <v>171</v>
      </c>
      <c r="B172" s="2" t="s">
        <v>7</v>
      </c>
      <c r="C172" s="2" t="s">
        <v>914</v>
      </c>
      <c r="D172" s="2" t="s">
        <v>3367</v>
      </c>
      <c r="E172" s="3" t="s">
        <v>3148</v>
      </c>
      <c r="F172" s="10">
        <v>44488</v>
      </c>
      <c r="G172" s="3">
        <v>0</v>
      </c>
      <c r="H172" s="9">
        <v>69500</v>
      </c>
    </row>
    <row r="173" spans="1:8" x14ac:dyDescent="0.3">
      <c r="A173" s="2">
        <v>172</v>
      </c>
      <c r="B173" s="2" t="s">
        <v>189</v>
      </c>
      <c r="C173" s="2" t="s">
        <v>544</v>
      </c>
      <c r="D173" s="2" t="s">
        <v>3368</v>
      </c>
      <c r="E173" s="3" t="s">
        <v>1389</v>
      </c>
      <c r="F173" s="10">
        <v>44425</v>
      </c>
      <c r="G173" s="9">
        <v>3000</v>
      </c>
      <c r="H173" s="9">
        <v>12000</v>
      </c>
    </row>
    <row r="174" spans="1:8" x14ac:dyDescent="0.3">
      <c r="A174" s="2">
        <v>173</v>
      </c>
      <c r="B174" s="2" t="s">
        <v>174</v>
      </c>
      <c r="C174" s="2" t="s">
        <v>454</v>
      </c>
      <c r="D174" s="2" t="s">
        <v>1111</v>
      </c>
      <c r="E174" s="3">
        <v>1</v>
      </c>
      <c r="F174" s="10">
        <v>44491</v>
      </c>
      <c r="G174" s="9">
        <v>3000</v>
      </c>
      <c r="H174" s="9">
        <v>2000</v>
      </c>
    </row>
    <row r="175" spans="1:8" x14ac:dyDescent="0.3">
      <c r="A175" s="2">
        <v>174</v>
      </c>
      <c r="B175" s="2" t="s">
        <v>154</v>
      </c>
      <c r="C175" s="2" t="s">
        <v>419</v>
      </c>
      <c r="D175" s="2" t="s">
        <v>3369</v>
      </c>
      <c r="E175" s="3" t="s">
        <v>3370</v>
      </c>
      <c r="F175" s="10">
        <v>44491</v>
      </c>
      <c r="G175" s="9">
        <v>3000</v>
      </c>
      <c r="H175" s="9">
        <v>59500</v>
      </c>
    </row>
    <row r="176" spans="1:8" x14ac:dyDescent="0.3">
      <c r="A176" s="2">
        <v>175</v>
      </c>
      <c r="B176" s="2" t="s">
        <v>21</v>
      </c>
      <c r="C176" s="2" t="s">
        <v>399</v>
      </c>
      <c r="D176" s="2" t="s">
        <v>1075</v>
      </c>
      <c r="E176" s="3">
        <v>1</v>
      </c>
      <c r="F176" s="10">
        <v>44494</v>
      </c>
      <c r="G176" s="9">
        <v>3000</v>
      </c>
      <c r="H176" s="9">
        <v>10000</v>
      </c>
    </row>
    <row r="177" spans="1:8" x14ac:dyDescent="0.3">
      <c r="A177" s="2">
        <v>176</v>
      </c>
      <c r="B177" s="2" t="s">
        <v>114</v>
      </c>
      <c r="C177" s="2" t="s">
        <v>459</v>
      </c>
      <c r="D177" s="2" t="s">
        <v>3371</v>
      </c>
      <c r="E177" s="3" t="s">
        <v>3372</v>
      </c>
      <c r="F177" s="10">
        <v>44494</v>
      </c>
      <c r="G177" s="9">
        <v>3000</v>
      </c>
      <c r="H177" s="9">
        <v>59000</v>
      </c>
    </row>
    <row r="178" spans="1:8" x14ac:dyDescent="0.3">
      <c r="A178" s="2">
        <v>177</v>
      </c>
      <c r="B178" s="2" t="s">
        <v>21</v>
      </c>
      <c r="C178" s="2" t="s">
        <v>259</v>
      </c>
      <c r="D178" s="2" t="s">
        <v>3373</v>
      </c>
      <c r="E178" s="3" t="s">
        <v>3374</v>
      </c>
      <c r="F178" s="10">
        <v>44494</v>
      </c>
      <c r="G178" s="9">
        <v>3000</v>
      </c>
      <c r="H178" s="9">
        <v>79000</v>
      </c>
    </row>
    <row r="179" spans="1:8" x14ac:dyDescent="0.3">
      <c r="A179" s="2">
        <v>178</v>
      </c>
      <c r="B179" s="2" t="s">
        <v>189</v>
      </c>
      <c r="C179" s="2" t="s">
        <v>779</v>
      </c>
      <c r="D179" s="2" t="s">
        <v>3375</v>
      </c>
      <c r="E179" s="3" t="s">
        <v>3128</v>
      </c>
      <c r="F179" s="10">
        <v>44494</v>
      </c>
      <c r="G179" s="9">
        <v>3000</v>
      </c>
      <c r="H179" s="9">
        <v>42500</v>
      </c>
    </row>
    <row r="180" spans="1:8" x14ac:dyDescent="0.3">
      <c r="A180" s="2">
        <v>179</v>
      </c>
      <c r="B180" s="2" t="s">
        <v>7</v>
      </c>
      <c r="C180" s="2" t="s">
        <v>859</v>
      </c>
      <c r="D180" s="2" t="s">
        <v>3376</v>
      </c>
      <c r="E180" s="3" t="s">
        <v>3269</v>
      </c>
      <c r="F180" s="10">
        <v>44494</v>
      </c>
      <c r="G180" s="3">
        <v>0</v>
      </c>
      <c r="H180" s="9">
        <v>21400</v>
      </c>
    </row>
    <row r="181" spans="1:8" x14ac:dyDescent="0.3">
      <c r="A181" s="2">
        <v>180</v>
      </c>
      <c r="B181" s="2" t="s">
        <v>25</v>
      </c>
      <c r="C181" s="2" t="s">
        <v>659</v>
      </c>
      <c r="D181" s="2" t="s">
        <v>1081</v>
      </c>
      <c r="E181" s="3">
        <v>2</v>
      </c>
      <c r="F181" s="10">
        <v>44495</v>
      </c>
      <c r="G181" s="9">
        <v>3000</v>
      </c>
      <c r="H181" s="9">
        <v>22000</v>
      </c>
    </row>
    <row r="182" spans="1:8" x14ac:dyDescent="0.3">
      <c r="A182" s="2">
        <v>181</v>
      </c>
      <c r="B182" s="2" t="s">
        <v>174</v>
      </c>
      <c r="C182" s="2" t="s">
        <v>564</v>
      </c>
      <c r="D182" s="2" t="s">
        <v>3377</v>
      </c>
      <c r="E182" s="3" t="s">
        <v>3378</v>
      </c>
      <c r="F182" s="10">
        <v>44496</v>
      </c>
      <c r="G182" s="9">
        <v>3000</v>
      </c>
      <c r="H182" s="9">
        <v>56500</v>
      </c>
    </row>
    <row r="183" spans="1:8" x14ac:dyDescent="0.3">
      <c r="A183" s="2">
        <v>182</v>
      </c>
      <c r="B183" s="2" t="s">
        <v>25</v>
      </c>
      <c r="C183" s="2" t="s">
        <v>854</v>
      </c>
      <c r="D183" s="2" t="s">
        <v>3379</v>
      </c>
      <c r="E183" s="3" t="s">
        <v>3342</v>
      </c>
      <c r="F183" s="10">
        <v>44497</v>
      </c>
      <c r="G183" s="9">
        <v>3000</v>
      </c>
      <c r="H183" s="9">
        <v>20000</v>
      </c>
    </row>
    <row r="184" spans="1:8" x14ac:dyDescent="0.3">
      <c r="A184" s="2">
        <v>183</v>
      </c>
      <c r="B184" s="2" t="s">
        <v>74</v>
      </c>
      <c r="C184" s="2" t="s">
        <v>444</v>
      </c>
      <c r="D184" s="2" t="s">
        <v>1068</v>
      </c>
      <c r="E184" s="3">
        <v>2</v>
      </c>
      <c r="F184" s="10">
        <v>44497</v>
      </c>
      <c r="G184" s="9">
        <v>3000</v>
      </c>
      <c r="H184" s="9">
        <v>16000</v>
      </c>
    </row>
    <row r="185" spans="1:8" x14ac:dyDescent="0.3">
      <c r="A185" s="2">
        <v>184</v>
      </c>
      <c r="B185" s="2" t="s">
        <v>232</v>
      </c>
      <c r="C185" s="2" t="s">
        <v>574</v>
      </c>
      <c r="D185" s="2" t="s">
        <v>3380</v>
      </c>
      <c r="E185" s="3" t="s">
        <v>3381</v>
      </c>
      <c r="F185" s="10">
        <v>44497</v>
      </c>
      <c r="G185" s="9">
        <v>3000</v>
      </c>
      <c r="H185" s="9">
        <v>47500</v>
      </c>
    </row>
    <row r="186" spans="1:8" x14ac:dyDescent="0.3">
      <c r="A186" s="2">
        <v>185</v>
      </c>
      <c r="B186" s="2" t="s">
        <v>40</v>
      </c>
      <c r="C186" s="2" t="s">
        <v>239</v>
      </c>
      <c r="D186" s="2" t="s">
        <v>957</v>
      </c>
      <c r="E186" s="3">
        <v>2</v>
      </c>
      <c r="F186" s="10">
        <v>44476</v>
      </c>
      <c r="G186" s="9">
        <v>3000</v>
      </c>
      <c r="H186" s="9">
        <v>6000</v>
      </c>
    </row>
    <row r="187" spans="1:8" x14ac:dyDescent="0.3">
      <c r="A187" s="2">
        <v>186</v>
      </c>
      <c r="B187" s="2" t="s">
        <v>65</v>
      </c>
      <c r="C187" s="2" t="s">
        <v>534</v>
      </c>
      <c r="D187" s="2" t="s">
        <v>3382</v>
      </c>
      <c r="E187" s="3" t="s">
        <v>3204</v>
      </c>
      <c r="F187" s="10">
        <v>44499</v>
      </c>
      <c r="G187" s="9">
        <v>3000</v>
      </c>
      <c r="H187" s="9">
        <v>109500</v>
      </c>
    </row>
    <row r="188" spans="1:8" x14ac:dyDescent="0.3">
      <c r="A188" s="2">
        <v>187</v>
      </c>
      <c r="B188" s="2" t="s">
        <v>7</v>
      </c>
      <c r="C188" s="2" t="s">
        <v>314</v>
      </c>
      <c r="D188" s="2" t="s">
        <v>3383</v>
      </c>
      <c r="E188" s="3" t="s">
        <v>3384</v>
      </c>
      <c r="F188" s="10">
        <v>44499</v>
      </c>
      <c r="G188" s="3">
        <v>0</v>
      </c>
      <c r="H188" s="9">
        <v>94500</v>
      </c>
    </row>
    <row r="189" spans="1:8" x14ac:dyDescent="0.3">
      <c r="A189" s="2">
        <v>188</v>
      </c>
      <c r="B189" s="2" t="s">
        <v>124</v>
      </c>
      <c r="C189" s="2" t="s">
        <v>309</v>
      </c>
      <c r="D189" s="2" t="s">
        <v>3385</v>
      </c>
      <c r="E189" s="3" t="s">
        <v>3386</v>
      </c>
      <c r="F189" s="10">
        <v>44500</v>
      </c>
      <c r="G189" s="9">
        <v>3000</v>
      </c>
      <c r="H189" s="9">
        <v>80000</v>
      </c>
    </row>
    <row r="190" spans="1:8" x14ac:dyDescent="0.3">
      <c r="A190" s="2">
        <v>189</v>
      </c>
      <c r="B190" s="2" t="s">
        <v>184</v>
      </c>
      <c r="C190" s="2" t="s">
        <v>659</v>
      </c>
      <c r="D190" s="2" t="s">
        <v>3387</v>
      </c>
      <c r="E190" s="3" t="s">
        <v>3388</v>
      </c>
      <c r="F190" s="10">
        <v>44500</v>
      </c>
      <c r="G190" s="9">
        <v>3000</v>
      </c>
      <c r="H190" s="9">
        <v>99500</v>
      </c>
    </row>
    <row r="191" spans="1:8" x14ac:dyDescent="0.3">
      <c r="A191" s="2">
        <v>190</v>
      </c>
      <c r="B191" s="2" t="s">
        <v>21</v>
      </c>
      <c r="C191" s="2" t="s">
        <v>524</v>
      </c>
      <c r="D191" s="2" t="s">
        <v>976</v>
      </c>
      <c r="E191" s="3">
        <v>3</v>
      </c>
      <c r="F191" s="10">
        <v>44500</v>
      </c>
      <c r="G191" s="9">
        <v>3000</v>
      </c>
      <c r="H191" s="9">
        <v>15000</v>
      </c>
    </row>
    <row r="192" spans="1:8" x14ac:dyDescent="0.3">
      <c r="A192" s="2">
        <v>191</v>
      </c>
      <c r="B192" s="2" t="s">
        <v>40</v>
      </c>
      <c r="C192" s="2" t="s">
        <v>714</v>
      </c>
      <c r="D192" s="2" t="s">
        <v>3389</v>
      </c>
      <c r="E192" s="3" t="s">
        <v>3362</v>
      </c>
      <c r="F192" s="10">
        <v>44501</v>
      </c>
      <c r="G192" s="9">
        <v>3000</v>
      </c>
      <c r="H192" s="9">
        <v>130500</v>
      </c>
    </row>
    <row r="193" spans="1:8" x14ac:dyDescent="0.3">
      <c r="A193" s="2">
        <v>192</v>
      </c>
      <c r="B193" s="2" t="s">
        <v>169</v>
      </c>
      <c r="C193" s="2" t="s">
        <v>754</v>
      </c>
      <c r="D193" s="2" t="s">
        <v>1115</v>
      </c>
      <c r="E193" s="3">
        <v>2</v>
      </c>
      <c r="F193" s="10">
        <v>44502</v>
      </c>
      <c r="G193" s="9">
        <v>3000</v>
      </c>
      <c r="H193" s="9">
        <v>4000</v>
      </c>
    </row>
    <row r="194" spans="1:8" x14ac:dyDescent="0.3">
      <c r="A194" s="2">
        <v>193</v>
      </c>
      <c r="B194" s="2" t="s">
        <v>149</v>
      </c>
      <c r="C194" s="2" t="s">
        <v>239</v>
      </c>
      <c r="D194" s="2" t="s">
        <v>957</v>
      </c>
      <c r="E194" s="3">
        <v>2</v>
      </c>
      <c r="F194" s="10">
        <v>44464</v>
      </c>
      <c r="G194" s="9">
        <v>3000</v>
      </c>
      <c r="H194" s="9">
        <v>6000</v>
      </c>
    </row>
    <row r="195" spans="1:8" x14ac:dyDescent="0.3">
      <c r="A195" s="2">
        <v>194</v>
      </c>
      <c r="B195" s="2" t="s">
        <v>7</v>
      </c>
      <c r="C195" s="2" t="s">
        <v>659</v>
      </c>
      <c r="D195" s="2" t="s">
        <v>3390</v>
      </c>
      <c r="E195" s="3" t="s">
        <v>3391</v>
      </c>
      <c r="F195" s="10">
        <v>44503</v>
      </c>
      <c r="G195" s="3">
        <v>0</v>
      </c>
      <c r="H195" s="9">
        <v>114000</v>
      </c>
    </row>
    <row r="196" spans="1:8" x14ac:dyDescent="0.3">
      <c r="A196" s="2">
        <v>195</v>
      </c>
      <c r="B196" s="2" t="s">
        <v>25</v>
      </c>
      <c r="C196" s="2" t="s">
        <v>549</v>
      </c>
      <c r="D196" s="2" t="s">
        <v>994</v>
      </c>
      <c r="E196" s="3">
        <v>3</v>
      </c>
      <c r="F196" s="10">
        <v>44503</v>
      </c>
      <c r="G196" s="9">
        <v>3000</v>
      </c>
      <c r="H196" s="9">
        <v>18000</v>
      </c>
    </row>
    <row r="197" spans="1:8" x14ac:dyDescent="0.3">
      <c r="A197" s="2">
        <v>196</v>
      </c>
      <c r="B197" s="2" t="s">
        <v>129</v>
      </c>
      <c r="C197" s="2" t="s">
        <v>709</v>
      </c>
      <c r="D197" s="2" t="s">
        <v>3392</v>
      </c>
      <c r="E197" s="3" t="s">
        <v>3150</v>
      </c>
      <c r="F197" s="10">
        <v>44503</v>
      </c>
      <c r="G197" s="9">
        <v>3000</v>
      </c>
      <c r="H197" s="9">
        <v>26500</v>
      </c>
    </row>
    <row r="198" spans="1:8" x14ac:dyDescent="0.3">
      <c r="A198" s="2">
        <v>197</v>
      </c>
      <c r="B198" s="2" t="s">
        <v>84</v>
      </c>
      <c r="C198" s="2" t="s">
        <v>679</v>
      </c>
      <c r="D198" s="2" t="s">
        <v>1109</v>
      </c>
      <c r="E198" s="3">
        <v>1</v>
      </c>
      <c r="F198" s="10">
        <v>44504</v>
      </c>
      <c r="G198" s="9">
        <v>3000</v>
      </c>
      <c r="H198" s="9">
        <v>2000</v>
      </c>
    </row>
    <row r="199" spans="1:8" x14ac:dyDescent="0.3">
      <c r="A199" s="2">
        <v>198</v>
      </c>
      <c r="B199" s="2" t="s">
        <v>79</v>
      </c>
      <c r="C199" s="2" t="s">
        <v>719</v>
      </c>
      <c r="D199" s="2" t="s">
        <v>3393</v>
      </c>
      <c r="E199" s="3" t="s">
        <v>3140</v>
      </c>
      <c r="F199" s="10">
        <v>44505</v>
      </c>
      <c r="G199" s="9">
        <v>3000</v>
      </c>
      <c r="H199" s="9">
        <v>16500</v>
      </c>
    </row>
    <row r="200" spans="1:8" x14ac:dyDescent="0.3">
      <c r="A200" s="2">
        <v>199</v>
      </c>
      <c r="B200" s="2" t="s">
        <v>229</v>
      </c>
      <c r="C200" s="2" t="s">
        <v>614</v>
      </c>
      <c r="D200" s="2" t="s">
        <v>3394</v>
      </c>
      <c r="E200" s="3" t="s">
        <v>3229</v>
      </c>
      <c r="F200" s="10">
        <v>44505</v>
      </c>
      <c r="G200" s="9">
        <v>3000</v>
      </c>
      <c r="H200" s="9">
        <v>68000</v>
      </c>
    </row>
    <row r="201" spans="1:8" x14ac:dyDescent="0.3">
      <c r="A201" s="2">
        <v>200</v>
      </c>
      <c r="B201" s="2" t="s">
        <v>74</v>
      </c>
      <c r="C201" s="2" t="s">
        <v>239</v>
      </c>
      <c r="D201" s="2" t="s">
        <v>3395</v>
      </c>
      <c r="E201" s="3" t="s">
        <v>3256</v>
      </c>
      <c r="F201" s="10">
        <v>44505</v>
      </c>
      <c r="G201" s="9">
        <v>3000</v>
      </c>
      <c r="H201" s="9">
        <v>56000</v>
      </c>
    </row>
    <row r="202" spans="1:8" x14ac:dyDescent="0.3">
      <c r="A202" s="2">
        <v>201</v>
      </c>
      <c r="B202" s="2" t="s">
        <v>174</v>
      </c>
      <c r="C202" s="2" t="s">
        <v>574</v>
      </c>
      <c r="D202" s="2" t="s">
        <v>3396</v>
      </c>
      <c r="E202" s="3" t="s">
        <v>3150</v>
      </c>
      <c r="F202" s="10">
        <v>44505</v>
      </c>
      <c r="G202" s="9">
        <v>3000</v>
      </c>
      <c r="H202" s="9">
        <v>25000</v>
      </c>
    </row>
    <row r="203" spans="1:8" x14ac:dyDescent="0.3">
      <c r="A203" s="2">
        <v>202</v>
      </c>
      <c r="B203" s="2" t="s">
        <v>25</v>
      </c>
      <c r="C203" s="2" t="s">
        <v>249</v>
      </c>
      <c r="D203" s="2" t="s">
        <v>3397</v>
      </c>
      <c r="E203" s="3" t="s">
        <v>3312</v>
      </c>
      <c r="F203" s="10">
        <v>44489</v>
      </c>
      <c r="G203" s="9">
        <v>3000</v>
      </c>
      <c r="H203" s="9">
        <v>180000</v>
      </c>
    </row>
    <row r="204" spans="1:8" x14ac:dyDescent="0.3">
      <c r="A204" s="2">
        <v>203</v>
      </c>
      <c r="B204" s="2" t="s">
        <v>30</v>
      </c>
      <c r="C204" s="2" t="s">
        <v>254</v>
      </c>
      <c r="D204" s="2" t="s">
        <v>3398</v>
      </c>
      <c r="E204" s="3" t="s">
        <v>1389</v>
      </c>
      <c r="F204" s="10">
        <v>44470</v>
      </c>
      <c r="G204" s="9">
        <v>3000</v>
      </c>
      <c r="H204" s="9">
        <v>29000</v>
      </c>
    </row>
    <row r="205" spans="1:8" x14ac:dyDescent="0.3">
      <c r="A205" s="2">
        <v>204</v>
      </c>
      <c r="B205" s="2" t="s">
        <v>35</v>
      </c>
      <c r="C205" s="2" t="s">
        <v>254</v>
      </c>
      <c r="D205" s="2" t="s">
        <v>3399</v>
      </c>
      <c r="E205" s="3" t="s">
        <v>3297</v>
      </c>
      <c r="F205" s="10">
        <v>44497</v>
      </c>
      <c r="G205" s="9">
        <v>3000</v>
      </c>
      <c r="H205" s="9">
        <v>138000</v>
      </c>
    </row>
    <row r="206" spans="1:8" x14ac:dyDescent="0.3">
      <c r="A206" s="2">
        <v>205</v>
      </c>
      <c r="B206" s="2" t="s">
        <v>40</v>
      </c>
      <c r="C206" s="2" t="s">
        <v>249</v>
      </c>
      <c r="D206" s="2" t="s">
        <v>3400</v>
      </c>
      <c r="E206" s="3" t="s">
        <v>1389</v>
      </c>
      <c r="F206" s="10">
        <v>44470</v>
      </c>
      <c r="G206" s="9">
        <v>3000</v>
      </c>
      <c r="H206" s="9">
        <v>18000</v>
      </c>
    </row>
    <row r="207" spans="1:8" x14ac:dyDescent="0.3">
      <c r="A207" s="2">
        <v>206</v>
      </c>
      <c r="B207" s="2" t="s">
        <v>45</v>
      </c>
      <c r="C207" s="2" t="s">
        <v>249</v>
      </c>
      <c r="D207" s="2" t="s">
        <v>3401</v>
      </c>
      <c r="E207" s="3" t="s">
        <v>3374</v>
      </c>
      <c r="F207" s="10">
        <v>44494</v>
      </c>
      <c r="G207" s="3">
        <v>0</v>
      </c>
      <c r="H207" s="9">
        <v>97000</v>
      </c>
    </row>
    <row r="208" spans="1:8" x14ac:dyDescent="0.3">
      <c r="A208" s="2">
        <v>207</v>
      </c>
      <c r="B208" s="2" t="s">
        <v>50</v>
      </c>
      <c r="C208" s="2" t="s">
        <v>259</v>
      </c>
      <c r="D208" s="2" t="s">
        <v>3402</v>
      </c>
      <c r="E208" s="3" t="s">
        <v>3384</v>
      </c>
      <c r="F208" s="10">
        <v>44491</v>
      </c>
      <c r="G208" s="9">
        <v>3000</v>
      </c>
      <c r="H208" s="9">
        <v>108000</v>
      </c>
    </row>
    <row r="209" spans="1:8" x14ac:dyDescent="0.3">
      <c r="A209" s="2">
        <v>208</v>
      </c>
      <c r="B209" s="2" t="s">
        <v>55</v>
      </c>
      <c r="C209" s="2" t="s">
        <v>264</v>
      </c>
      <c r="D209" s="2" t="s">
        <v>988</v>
      </c>
      <c r="E209" s="3">
        <v>2</v>
      </c>
      <c r="F209" s="10">
        <v>44487</v>
      </c>
      <c r="G209" s="9">
        <v>3000</v>
      </c>
      <c r="H209" s="9">
        <v>30000</v>
      </c>
    </row>
    <row r="210" spans="1:8" x14ac:dyDescent="0.3">
      <c r="A210" s="2">
        <v>209</v>
      </c>
      <c r="B210" s="2" t="s">
        <v>60</v>
      </c>
      <c r="C210" s="2" t="s">
        <v>254</v>
      </c>
      <c r="D210" s="2" t="s">
        <v>3403</v>
      </c>
      <c r="E210" s="3" t="s">
        <v>3323</v>
      </c>
      <c r="F210" s="10">
        <v>44481</v>
      </c>
      <c r="G210" s="9">
        <v>3000</v>
      </c>
      <c r="H210" s="9">
        <v>85000</v>
      </c>
    </row>
    <row r="211" spans="1:8" x14ac:dyDescent="0.3">
      <c r="A211" s="2">
        <v>210</v>
      </c>
      <c r="B211" s="2" t="s">
        <v>65</v>
      </c>
      <c r="C211" s="2" t="s">
        <v>249</v>
      </c>
      <c r="D211" s="2" t="s">
        <v>3404</v>
      </c>
      <c r="E211" s="3" t="s">
        <v>3372</v>
      </c>
      <c r="F211" s="10">
        <v>44478</v>
      </c>
      <c r="G211" s="9">
        <v>3000</v>
      </c>
      <c r="H211" s="9">
        <v>100000</v>
      </c>
    </row>
    <row r="212" spans="1:8" x14ac:dyDescent="0.3">
      <c r="A212" s="2">
        <v>211</v>
      </c>
      <c r="B212" s="2" t="s">
        <v>69</v>
      </c>
      <c r="C212" s="2" t="s">
        <v>259</v>
      </c>
      <c r="D212" s="2" t="s">
        <v>3405</v>
      </c>
      <c r="E212" s="3" t="s">
        <v>3267</v>
      </c>
      <c r="F212" s="10">
        <v>44483</v>
      </c>
      <c r="G212" s="9">
        <v>3000</v>
      </c>
      <c r="H212" s="9">
        <v>123000</v>
      </c>
    </row>
    <row r="213" spans="1:8" x14ac:dyDescent="0.3">
      <c r="A213" s="2">
        <v>212</v>
      </c>
      <c r="B213" s="2" t="s">
        <v>74</v>
      </c>
      <c r="C213" s="2" t="s">
        <v>249</v>
      </c>
      <c r="D213" s="2" t="s">
        <v>3406</v>
      </c>
      <c r="E213" s="3" t="s">
        <v>1387</v>
      </c>
      <c r="F213" s="10">
        <v>44490</v>
      </c>
      <c r="G213" s="9">
        <v>3000</v>
      </c>
      <c r="H213" s="9">
        <v>15000</v>
      </c>
    </row>
    <row r="214" spans="1:8" x14ac:dyDescent="0.3">
      <c r="A214" s="2">
        <v>213</v>
      </c>
      <c r="B214" s="2" t="s">
        <v>79</v>
      </c>
      <c r="C214" s="2" t="s">
        <v>264</v>
      </c>
      <c r="D214" s="2" t="s">
        <v>3407</v>
      </c>
      <c r="E214" s="3" t="s">
        <v>3408</v>
      </c>
      <c r="F214" s="10">
        <v>44494</v>
      </c>
      <c r="G214" s="9">
        <v>3000</v>
      </c>
      <c r="H214" s="9">
        <v>71000</v>
      </c>
    </row>
    <row r="215" spans="1:8" x14ac:dyDescent="0.3">
      <c r="A215" s="2">
        <v>214</v>
      </c>
      <c r="B215" s="2" t="s">
        <v>84</v>
      </c>
      <c r="C215" s="2" t="s">
        <v>264</v>
      </c>
      <c r="D215" s="2" t="s">
        <v>3409</v>
      </c>
      <c r="E215" s="3" t="s">
        <v>3325</v>
      </c>
      <c r="F215" s="10">
        <v>44486</v>
      </c>
      <c r="G215" s="9">
        <v>3000</v>
      </c>
      <c r="H215" s="9">
        <v>44000</v>
      </c>
    </row>
    <row r="216" spans="1:8" x14ac:dyDescent="0.3">
      <c r="A216" s="2">
        <v>215</v>
      </c>
      <c r="B216" s="2" t="s">
        <v>89</v>
      </c>
      <c r="C216" s="2" t="s">
        <v>279</v>
      </c>
      <c r="D216" s="2" t="s">
        <v>3410</v>
      </c>
      <c r="E216" s="3" t="s">
        <v>3263</v>
      </c>
      <c r="F216" s="10">
        <v>44474</v>
      </c>
      <c r="G216" s="9">
        <v>3000</v>
      </c>
      <c r="H216" s="9">
        <v>79000</v>
      </c>
    </row>
    <row r="217" spans="1:8" x14ac:dyDescent="0.3">
      <c r="A217" s="2">
        <v>216</v>
      </c>
      <c r="B217" s="2" t="s">
        <v>94</v>
      </c>
      <c r="C217" s="2" t="s">
        <v>279</v>
      </c>
      <c r="D217" s="2" t="s">
        <v>3411</v>
      </c>
      <c r="E217" s="3" t="s">
        <v>3200</v>
      </c>
      <c r="F217" s="10">
        <v>44486</v>
      </c>
      <c r="G217" s="9">
        <v>3000</v>
      </c>
      <c r="H217" s="9">
        <v>68000</v>
      </c>
    </row>
    <row r="218" spans="1:8" x14ac:dyDescent="0.3">
      <c r="A218" s="2">
        <v>217</v>
      </c>
      <c r="B218" s="2" t="s">
        <v>99</v>
      </c>
      <c r="C218" s="2" t="s">
        <v>269</v>
      </c>
      <c r="D218" s="2" t="s">
        <v>3412</v>
      </c>
      <c r="E218" s="3" t="s">
        <v>3154</v>
      </c>
      <c r="F218" s="10">
        <v>44488</v>
      </c>
      <c r="G218" s="9">
        <v>3000</v>
      </c>
      <c r="H218" s="9">
        <v>40000</v>
      </c>
    </row>
    <row r="219" spans="1:8" x14ac:dyDescent="0.3">
      <c r="A219" s="2">
        <v>218</v>
      </c>
      <c r="B219" s="2" t="s">
        <v>104</v>
      </c>
      <c r="C219" s="2" t="s">
        <v>269</v>
      </c>
      <c r="D219" s="2" t="s">
        <v>965</v>
      </c>
      <c r="E219" s="3">
        <v>1</v>
      </c>
      <c r="F219" s="10">
        <v>44489</v>
      </c>
      <c r="G219" s="9">
        <v>3000</v>
      </c>
      <c r="H219" s="9">
        <v>2000</v>
      </c>
    </row>
    <row r="220" spans="1:8" x14ac:dyDescent="0.3">
      <c r="A220" s="2">
        <v>219</v>
      </c>
      <c r="B220" s="2" t="s">
        <v>109</v>
      </c>
      <c r="C220" s="2" t="s">
        <v>269</v>
      </c>
      <c r="D220" s="2" t="s">
        <v>3413</v>
      </c>
      <c r="E220" s="3" t="s">
        <v>3312</v>
      </c>
      <c r="F220" s="10">
        <v>44474</v>
      </c>
      <c r="G220" s="9">
        <v>3000</v>
      </c>
      <c r="H220" s="9">
        <v>60000</v>
      </c>
    </row>
    <row r="221" spans="1:8" x14ac:dyDescent="0.3">
      <c r="A221" s="2">
        <v>220</v>
      </c>
      <c r="B221" s="2" t="s">
        <v>114</v>
      </c>
      <c r="C221" s="2" t="s">
        <v>279</v>
      </c>
      <c r="D221" s="2" t="s">
        <v>3414</v>
      </c>
      <c r="E221" s="3" t="s">
        <v>3138</v>
      </c>
      <c r="F221" s="10">
        <v>44474</v>
      </c>
      <c r="G221" s="9">
        <v>3000</v>
      </c>
      <c r="H221" s="9">
        <v>96000</v>
      </c>
    </row>
    <row r="222" spans="1:8" x14ac:dyDescent="0.3">
      <c r="A222" s="2">
        <v>221</v>
      </c>
      <c r="B222" s="2" t="s">
        <v>119</v>
      </c>
      <c r="C222" s="2" t="s">
        <v>284</v>
      </c>
      <c r="D222" s="2" t="s">
        <v>3415</v>
      </c>
      <c r="E222" s="3" t="s">
        <v>1387</v>
      </c>
      <c r="F222" s="10">
        <v>44477</v>
      </c>
      <c r="G222" s="9">
        <v>3000</v>
      </c>
      <c r="H222" s="9">
        <v>14000</v>
      </c>
    </row>
    <row r="223" spans="1:8" x14ac:dyDescent="0.3">
      <c r="A223" s="2">
        <v>222</v>
      </c>
      <c r="B223" s="2" t="s">
        <v>154</v>
      </c>
      <c r="C223" s="2" t="s">
        <v>289</v>
      </c>
      <c r="D223" s="2" t="s">
        <v>996</v>
      </c>
      <c r="E223" s="3">
        <v>2</v>
      </c>
      <c r="F223" s="10">
        <v>44470</v>
      </c>
      <c r="G223" s="9">
        <v>3000</v>
      </c>
      <c r="H223" s="9">
        <v>11000</v>
      </c>
    </row>
    <row r="224" spans="1:8" x14ac:dyDescent="0.3">
      <c r="A224" s="2">
        <v>223</v>
      </c>
      <c r="B224" s="2" t="s">
        <v>21</v>
      </c>
      <c r="C224" s="2" t="s">
        <v>304</v>
      </c>
      <c r="D224" s="2" t="s">
        <v>3416</v>
      </c>
      <c r="E224" s="3" t="s">
        <v>3417</v>
      </c>
      <c r="F224" s="10">
        <v>44494</v>
      </c>
      <c r="G224" s="9">
        <v>3000</v>
      </c>
      <c r="H224" s="9">
        <v>7600</v>
      </c>
    </row>
    <row r="225" spans="1:8" x14ac:dyDescent="0.3">
      <c r="A225" s="2">
        <v>224</v>
      </c>
      <c r="B225" s="2" t="s">
        <v>154</v>
      </c>
      <c r="C225" s="2" t="s">
        <v>314</v>
      </c>
      <c r="D225" s="2" t="s">
        <v>1079</v>
      </c>
      <c r="E225" s="3">
        <v>3</v>
      </c>
      <c r="F225" s="10">
        <v>44439</v>
      </c>
      <c r="G225" s="9">
        <v>3000</v>
      </c>
      <c r="H225" s="9">
        <v>33000</v>
      </c>
    </row>
    <row r="226" spans="1:8" x14ac:dyDescent="0.3">
      <c r="A226" s="2">
        <v>225</v>
      </c>
      <c r="B226" s="2" t="s">
        <v>104</v>
      </c>
      <c r="C226" s="2" t="s">
        <v>319</v>
      </c>
      <c r="D226" s="2" t="s">
        <v>3418</v>
      </c>
      <c r="E226" s="3" t="s">
        <v>3419</v>
      </c>
      <c r="F226" s="10">
        <v>44490</v>
      </c>
      <c r="G226" s="9">
        <v>3000</v>
      </c>
      <c r="H226" s="9">
        <v>54000</v>
      </c>
    </row>
    <row r="227" spans="1:8" x14ac:dyDescent="0.3">
      <c r="A227" s="2">
        <v>226</v>
      </c>
      <c r="B227" s="2" t="s">
        <v>84</v>
      </c>
      <c r="C227" s="2" t="s">
        <v>324</v>
      </c>
      <c r="D227" s="2" t="s">
        <v>3420</v>
      </c>
      <c r="E227" s="3" t="s">
        <v>3162</v>
      </c>
      <c r="F227" s="10">
        <v>44502</v>
      </c>
      <c r="G227" s="9">
        <v>3000</v>
      </c>
      <c r="H227" s="9">
        <v>34000</v>
      </c>
    </row>
    <row r="228" spans="1:8" x14ac:dyDescent="0.3">
      <c r="A228" s="2">
        <v>227</v>
      </c>
      <c r="B228" s="2" t="s">
        <v>84</v>
      </c>
      <c r="C228" s="2" t="s">
        <v>329</v>
      </c>
      <c r="D228" s="2" t="s">
        <v>3421</v>
      </c>
      <c r="E228" s="3" t="s">
        <v>3422</v>
      </c>
      <c r="F228" s="10">
        <v>44475</v>
      </c>
      <c r="G228" s="9">
        <v>3000</v>
      </c>
      <c r="H228" s="9">
        <v>42000</v>
      </c>
    </row>
    <row r="229" spans="1:8" x14ac:dyDescent="0.3">
      <c r="A229" s="2">
        <v>228</v>
      </c>
      <c r="B229" s="2" t="s">
        <v>179</v>
      </c>
      <c r="C229" s="2" t="s">
        <v>339</v>
      </c>
      <c r="D229" s="2" t="s">
        <v>3423</v>
      </c>
      <c r="E229" s="3" t="s">
        <v>3424</v>
      </c>
      <c r="F229" s="10">
        <v>44436</v>
      </c>
      <c r="G229" s="9">
        <v>3000</v>
      </c>
      <c r="H229" s="9">
        <v>65000</v>
      </c>
    </row>
    <row r="230" spans="1:8" x14ac:dyDescent="0.3">
      <c r="A230" s="2">
        <v>229</v>
      </c>
      <c r="B230" s="2" t="s">
        <v>144</v>
      </c>
      <c r="C230" s="2" t="s">
        <v>349</v>
      </c>
      <c r="D230" s="2" t="s">
        <v>3425</v>
      </c>
      <c r="E230" s="3" t="s">
        <v>3150</v>
      </c>
      <c r="F230" s="10">
        <v>44455</v>
      </c>
      <c r="G230" s="9">
        <v>3000</v>
      </c>
      <c r="H230" s="9">
        <v>17000</v>
      </c>
    </row>
    <row r="231" spans="1:8" x14ac:dyDescent="0.3">
      <c r="A231" s="2">
        <v>230</v>
      </c>
      <c r="B231" s="2" t="s">
        <v>99</v>
      </c>
      <c r="C231" s="2" t="s">
        <v>354</v>
      </c>
      <c r="D231" s="2" t="s">
        <v>947</v>
      </c>
      <c r="E231" s="3">
        <v>2</v>
      </c>
      <c r="F231" s="10">
        <v>44468</v>
      </c>
      <c r="G231" s="9">
        <v>3000</v>
      </c>
      <c r="H231" s="9">
        <v>10000</v>
      </c>
    </row>
    <row r="232" spans="1:8" x14ac:dyDescent="0.3">
      <c r="A232" s="2">
        <v>231</v>
      </c>
      <c r="B232" s="2" t="s">
        <v>149</v>
      </c>
      <c r="C232" s="2" t="s">
        <v>359</v>
      </c>
      <c r="D232" s="2" t="s">
        <v>3426</v>
      </c>
      <c r="E232" s="3" t="s">
        <v>3427</v>
      </c>
      <c r="F232" s="10">
        <v>44444</v>
      </c>
      <c r="G232" s="9">
        <v>3000</v>
      </c>
      <c r="H232" s="9">
        <v>152000</v>
      </c>
    </row>
    <row r="233" spans="1:8" x14ac:dyDescent="0.3">
      <c r="A233" s="2">
        <v>232</v>
      </c>
      <c r="B233" s="2" t="s">
        <v>114</v>
      </c>
      <c r="C233" s="2" t="s">
        <v>369</v>
      </c>
      <c r="D233" s="2" t="s">
        <v>1022</v>
      </c>
      <c r="E233" s="3">
        <v>2</v>
      </c>
      <c r="F233" s="10">
        <v>44477</v>
      </c>
      <c r="G233" s="9">
        <v>3000</v>
      </c>
      <c r="H233" s="9">
        <v>12000</v>
      </c>
    </row>
    <row r="234" spans="1:8" x14ac:dyDescent="0.3">
      <c r="A234" s="2">
        <v>233</v>
      </c>
      <c r="B234" s="2" t="s">
        <v>129</v>
      </c>
      <c r="C234" s="2" t="s">
        <v>374</v>
      </c>
      <c r="D234" s="2" t="s">
        <v>3428</v>
      </c>
      <c r="E234" s="3" t="s">
        <v>3206</v>
      </c>
      <c r="F234" s="10">
        <v>44488</v>
      </c>
      <c r="G234" s="9">
        <v>3000</v>
      </c>
      <c r="H234" s="9">
        <v>55000</v>
      </c>
    </row>
    <row r="235" spans="1:8" x14ac:dyDescent="0.3">
      <c r="A235" s="2">
        <v>234</v>
      </c>
      <c r="B235" s="2" t="s">
        <v>169</v>
      </c>
      <c r="C235" s="2" t="s">
        <v>379</v>
      </c>
      <c r="D235" s="2" t="s">
        <v>3429</v>
      </c>
      <c r="E235" s="3" t="s">
        <v>3342</v>
      </c>
      <c r="F235" s="10">
        <v>44423</v>
      </c>
      <c r="G235" s="9">
        <v>3000</v>
      </c>
      <c r="H235" s="9">
        <v>36000</v>
      </c>
    </row>
    <row r="236" spans="1:8" x14ac:dyDescent="0.3">
      <c r="A236" s="2">
        <v>235</v>
      </c>
      <c r="B236" s="2" t="s">
        <v>21</v>
      </c>
      <c r="C236" s="2" t="s">
        <v>384</v>
      </c>
      <c r="D236" s="2" t="s">
        <v>947</v>
      </c>
      <c r="E236" s="3">
        <v>2</v>
      </c>
      <c r="F236" s="10">
        <v>44432</v>
      </c>
      <c r="G236" s="9">
        <v>3000</v>
      </c>
      <c r="H236" s="9">
        <v>10000</v>
      </c>
    </row>
    <row r="237" spans="1:8" x14ac:dyDescent="0.3">
      <c r="A237" s="2">
        <v>236</v>
      </c>
      <c r="B237" s="2" t="s">
        <v>45</v>
      </c>
      <c r="C237" s="2" t="s">
        <v>389</v>
      </c>
      <c r="D237" s="2" t="s">
        <v>3430</v>
      </c>
      <c r="E237" s="3" t="s">
        <v>3352</v>
      </c>
      <c r="F237" s="10">
        <v>44464</v>
      </c>
      <c r="G237" s="3">
        <v>0</v>
      </c>
      <c r="H237" s="9">
        <v>91000</v>
      </c>
    </row>
    <row r="238" spans="1:8" x14ac:dyDescent="0.3">
      <c r="A238" s="2">
        <v>237</v>
      </c>
      <c r="B238" s="2" t="s">
        <v>194</v>
      </c>
      <c r="C238" s="2" t="s">
        <v>394</v>
      </c>
      <c r="D238" s="2" t="s">
        <v>3431</v>
      </c>
      <c r="E238" s="3" t="s">
        <v>3342</v>
      </c>
      <c r="F238" s="10">
        <v>44422</v>
      </c>
      <c r="G238" s="9">
        <v>3000</v>
      </c>
      <c r="H238" s="9">
        <v>10500</v>
      </c>
    </row>
    <row r="239" spans="1:8" x14ac:dyDescent="0.3">
      <c r="A239" s="2">
        <v>238</v>
      </c>
      <c r="B239" s="2" t="s">
        <v>144</v>
      </c>
      <c r="C239" s="2" t="s">
        <v>399</v>
      </c>
      <c r="D239" s="2" t="s">
        <v>3432</v>
      </c>
      <c r="E239" s="3" t="s">
        <v>3338</v>
      </c>
      <c r="F239" s="10">
        <v>44464</v>
      </c>
      <c r="G239" s="9">
        <v>3000</v>
      </c>
      <c r="H239" s="9">
        <v>143500</v>
      </c>
    </row>
    <row r="240" spans="1:8" x14ac:dyDescent="0.3">
      <c r="A240" s="2">
        <v>239</v>
      </c>
      <c r="B240" s="2" t="s">
        <v>94</v>
      </c>
      <c r="C240" s="2" t="s">
        <v>419</v>
      </c>
      <c r="D240" s="2" t="s">
        <v>3433</v>
      </c>
      <c r="E240" s="3" t="s">
        <v>3434</v>
      </c>
      <c r="F240" s="10">
        <v>44494</v>
      </c>
      <c r="G240" s="9">
        <v>3000</v>
      </c>
      <c r="H240" s="9">
        <v>31000</v>
      </c>
    </row>
    <row r="241" spans="1:8" x14ac:dyDescent="0.3">
      <c r="A241" s="2">
        <v>240</v>
      </c>
      <c r="B241" s="2" t="s">
        <v>99</v>
      </c>
      <c r="C241" s="2" t="s">
        <v>424</v>
      </c>
      <c r="D241" s="2" t="s">
        <v>3435</v>
      </c>
      <c r="E241" s="3" t="s">
        <v>3354</v>
      </c>
      <c r="F241" s="10">
        <v>44431</v>
      </c>
      <c r="G241" s="9">
        <v>3000</v>
      </c>
      <c r="H241" s="9">
        <v>40500</v>
      </c>
    </row>
    <row r="242" spans="1:8" x14ac:dyDescent="0.3">
      <c r="A242" s="2">
        <v>241</v>
      </c>
      <c r="B242" s="2" t="s">
        <v>149</v>
      </c>
      <c r="C242" s="2" t="s">
        <v>434</v>
      </c>
      <c r="D242" s="2" t="s">
        <v>3436</v>
      </c>
      <c r="E242" s="3" t="s">
        <v>3437</v>
      </c>
      <c r="F242" s="10">
        <v>44421</v>
      </c>
      <c r="G242" s="9">
        <v>3000</v>
      </c>
      <c r="H242" s="9">
        <v>55500</v>
      </c>
    </row>
    <row r="243" spans="1:8" x14ac:dyDescent="0.3">
      <c r="A243" s="2">
        <v>242</v>
      </c>
      <c r="B243" s="2" t="s">
        <v>55</v>
      </c>
      <c r="C243" s="2" t="s">
        <v>464</v>
      </c>
      <c r="D243" s="2" t="s">
        <v>3438</v>
      </c>
      <c r="E243" s="3" t="s">
        <v>3138</v>
      </c>
      <c r="F243" s="10">
        <v>44490</v>
      </c>
      <c r="G243" s="9">
        <v>3000</v>
      </c>
      <c r="H243" s="9">
        <v>26000</v>
      </c>
    </row>
    <row r="244" spans="1:8" x14ac:dyDescent="0.3">
      <c r="A244" s="2">
        <v>243</v>
      </c>
      <c r="B244" s="2" t="s">
        <v>21</v>
      </c>
      <c r="C244" s="2" t="s">
        <v>474</v>
      </c>
      <c r="D244" s="2" t="s">
        <v>3439</v>
      </c>
      <c r="E244" s="3" t="s">
        <v>3440</v>
      </c>
      <c r="F244" s="10">
        <v>44465</v>
      </c>
      <c r="G244" s="9">
        <v>3000</v>
      </c>
      <c r="H244" s="9">
        <v>29500</v>
      </c>
    </row>
    <row r="245" spans="1:8" x14ac:dyDescent="0.3">
      <c r="A245" s="2">
        <v>244</v>
      </c>
      <c r="B245" s="2" t="s">
        <v>174</v>
      </c>
      <c r="C245" s="2" t="s">
        <v>484</v>
      </c>
      <c r="D245" s="2" t="s">
        <v>3441</v>
      </c>
      <c r="E245" s="3" t="s">
        <v>3258</v>
      </c>
      <c r="F245" s="10">
        <v>44432</v>
      </c>
      <c r="G245" s="9">
        <v>3000</v>
      </c>
      <c r="H245" s="9">
        <v>32500</v>
      </c>
    </row>
    <row r="246" spans="1:8" x14ac:dyDescent="0.3">
      <c r="A246" s="2">
        <v>245</v>
      </c>
      <c r="B246" s="2" t="s">
        <v>55</v>
      </c>
      <c r="C246" s="2" t="s">
        <v>489</v>
      </c>
      <c r="D246" s="2" t="s">
        <v>3442</v>
      </c>
      <c r="E246" s="3" t="s">
        <v>3443</v>
      </c>
      <c r="F246" s="10">
        <v>44460</v>
      </c>
      <c r="G246" s="9">
        <v>3000</v>
      </c>
      <c r="H246" s="9">
        <v>36000</v>
      </c>
    </row>
    <row r="247" spans="1:8" x14ac:dyDescent="0.3">
      <c r="A247" s="2">
        <v>246</v>
      </c>
      <c r="B247" s="2" t="s">
        <v>40</v>
      </c>
      <c r="C247" s="2" t="s">
        <v>494</v>
      </c>
      <c r="D247" s="2" t="s">
        <v>1006</v>
      </c>
      <c r="E247" s="3">
        <v>3</v>
      </c>
      <c r="F247" s="10">
        <v>44505</v>
      </c>
      <c r="G247" s="9">
        <v>3000</v>
      </c>
      <c r="H247" s="9">
        <v>7500</v>
      </c>
    </row>
    <row r="248" spans="1:8" x14ac:dyDescent="0.3">
      <c r="A248" s="2">
        <v>247</v>
      </c>
      <c r="B248" s="2" t="s">
        <v>55</v>
      </c>
      <c r="C248" s="2" t="s">
        <v>504</v>
      </c>
      <c r="D248" s="2" t="s">
        <v>1117</v>
      </c>
      <c r="E248" s="3">
        <v>1</v>
      </c>
      <c r="F248" s="10">
        <v>44446</v>
      </c>
      <c r="G248" s="9">
        <v>3000</v>
      </c>
      <c r="H248" s="9">
        <v>2500</v>
      </c>
    </row>
    <row r="249" spans="1:8" x14ac:dyDescent="0.3">
      <c r="A249" s="2">
        <v>248</v>
      </c>
      <c r="B249" s="2" t="s">
        <v>55</v>
      </c>
      <c r="C249" s="2" t="s">
        <v>509</v>
      </c>
      <c r="D249" s="2" t="s">
        <v>3444</v>
      </c>
      <c r="E249" s="3" t="s">
        <v>3162</v>
      </c>
      <c r="F249" s="10">
        <v>44503</v>
      </c>
      <c r="G249" s="9">
        <v>3000</v>
      </c>
      <c r="H249" s="9">
        <v>28000</v>
      </c>
    </row>
    <row r="250" spans="1:8" x14ac:dyDescent="0.3">
      <c r="A250" s="2">
        <v>249</v>
      </c>
      <c r="B250" s="2" t="s">
        <v>109</v>
      </c>
      <c r="C250" s="2" t="s">
        <v>514</v>
      </c>
      <c r="D250" s="2" t="s">
        <v>3445</v>
      </c>
      <c r="E250" s="3" t="s">
        <v>1387</v>
      </c>
      <c r="F250" s="10">
        <v>44433</v>
      </c>
      <c r="G250" s="9">
        <v>3000</v>
      </c>
      <c r="H250" s="9">
        <v>10000</v>
      </c>
    </row>
    <row r="251" spans="1:8" x14ac:dyDescent="0.3">
      <c r="A251" s="2">
        <v>250</v>
      </c>
      <c r="B251" s="2" t="s">
        <v>184</v>
      </c>
      <c r="C251" s="2" t="s">
        <v>524</v>
      </c>
      <c r="D251" s="2" t="s">
        <v>3446</v>
      </c>
      <c r="E251" s="3" t="s">
        <v>3290</v>
      </c>
      <c r="F251" s="10">
        <v>44453</v>
      </c>
      <c r="G251" s="9">
        <v>3000</v>
      </c>
      <c r="H251" s="9">
        <v>43500</v>
      </c>
    </row>
    <row r="252" spans="1:8" x14ac:dyDescent="0.3">
      <c r="A252" s="2">
        <v>251</v>
      </c>
      <c r="B252" s="2" t="s">
        <v>84</v>
      </c>
      <c r="C252" s="2" t="s">
        <v>549</v>
      </c>
      <c r="D252" s="2" t="s">
        <v>992</v>
      </c>
      <c r="E252" s="3">
        <v>2</v>
      </c>
      <c r="F252" s="10">
        <v>44452</v>
      </c>
      <c r="G252" s="9">
        <v>3000</v>
      </c>
      <c r="H252" s="9">
        <v>10000</v>
      </c>
    </row>
    <row r="253" spans="1:8" x14ac:dyDescent="0.3">
      <c r="A253" s="2">
        <v>252</v>
      </c>
      <c r="B253" s="2" t="s">
        <v>40</v>
      </c>
      <c r="C253" s="2" t="s">
        <v>564</v>
      </c>
      <c r="D253" s="2" t="s">
        <v>3447</v>
      </c>
      <c r="E253" s="3" t="s">
        <v>3448</v>
      </c>
      <c r="F253" s="10">
        <v>44461</v>
      </c>
      <c r="G253" s="9">
        <v>3000</v>
      </c>
      <c r="H253" s="9">
        <v>40500</v>
      </c>
    </row>
    <row r="254" spans="1:8" x14ac:dyDescent="0.3">
      <c r="A254" s="2">
        <v>253</v>
      </c>
      <c r="B254" s="2" t="s">
        <v>94</v>
      </c>
      <c r="C254" s="2" t="s">
        <v>584</v>
      </c>
      <c r="D254" s="2" t="s">
        <v>961</v>
      </c>
      <c r="E254" s="3">
        <v>3</v>
      </c>
      <c r="F254" s="10">
        <v>44460</v>
      </c>
      <c r="G254" s="9">
        <v>3000</v>
      </c>
      <c r="H254" s="9">
        <v>6000</v>
      </c>
    </row>
    <row r="255" spans="1:8" x14ac:dyDescent="0.3">
      <c r="A255" s="2">
        <v>254</v>
      </c>
      <c r="B255" s="2" t="s">
        <v>129</v>
      </c>
      <c r="C255" s="2" t="s">
        <v>604</v>
      </c>
      <c r="D255" s="2" t="s">
        <v>3449</v>
      </c>
      <c r="E255" s="3" t="s">
        <v>3450</v>
      </c>
      <c r="F255" s="10">
        <v>44456</v>
      </c>
      <c r="G255" s="9">
        <v>3000</v>
      </c>
      <c r="H255" s="9">
        <v>26500</v>
      </c>
    </row>
    <row r="256" spans="1:8" x14ac:dyDescent="0.3">
      <c r="A256" s="2">
        <v>255</v>
      </c>
      <c r="B256" s="2" t="s">
        <v>30</v>
      </c>
      <c r="C256" s="2" t="s">
        <v>629</v>
      </c>
      <c r="D256" s="2" t="s">
        <v>3451</v>
      </c>
      <c r="E256" s="3" t="s">
        <v>3452</v>
      </c>
      <c r="F256" s="10">
        <v>44462</v>
      </c>
      <c r="G256" s="9">
        <v>3000</v>
      </c>
      <c r="H256" s="9">
        <v>84500</v>
      </c>
    </row>
    <row r="257" spans="1:8" x14ac:dyDescent="0.3">
      <c r="A257" s="2">
        <v>256</v>
      </c>
      <c r="B257" s="2" t="s">
        <v>194</v>
      </c>
      <c r="C257" s="2" t="s">
        <v>639</v>
      </c>
      <c r="D257" s="2" t="s">
        <v>3453</v>
      </c>
      <c r="E257" s="3" t="s">
        <v>3454</v>
      </c>
      <c r="F257" s="10">
        <v>44433</v>
      </c>
      <c r="G257" s="9">
        <v>3000</v>
      </c>
      <c r="H257" s="9">
        <v>46500</v>
      </c>
    </row>
    <row r="258" spans="1:8" x14ac:dyDescent="0.3">
      <c r="A258" s="2">
        <v>257</v>
      </c>
      <c r="B258" s="2" t="s">
        <v>199</v>
      </c>
      <c r="C258" s="2" t="s">
        <v>644</v>
      </c>
      <c r="D258" s="2" t="s">
        <v>1037</v>
      </c>
      <c r="E258" s="3">
        <v>2</v>
      </c>
      <c r="F258" s="10">
        <v>44490</v>
      </c>
      <c r="G258" s="9">
        <v>3000</v>
      </c>
      <c r="H258" s="9">
        <v>4000</v>
      </c>
    </row>
    <row r="259" spans="1:8" x14ac:dyDescent="0.3">
      <c r="A259" s="2">
        <v>258</v>
      </c>
      <c r="B259" s="2" t="s">
        <v>89</v>
      </c>
      <c r="C259" s="2" t="s">
        <v>664</v>
      </c>
      <c r="D259" s="2" t="s">
        <v>3455</v>
      </c>
      <c r="E259" s="3" t="s">
        <v>3138</v>
      </c>
      <c r="F259" s="10">
        <v>44448</v>
      </c>
      <c r="G259" s="9">
        <v>3000</v>
      </c>
      <c r="H259" s="9">
        <v>16000</v>
      </c>
    </row>
    <row r="260" spans="1:8" x14ac:dyDescent="0.3">
      <c r="A260" s="2">
        <v>259</v>
      </c>
      <c r="B260" s="2" t="s">
        <v>84</v>
      </c>
      <c r="C260" s="2" t="s">
        <v>684</v>
      </c>
      <c r="D260" s="2" t="s">
        <v>3456</v>
      </c>
      <c r="E260" s="3" t="s">
        <v>3457</v>
      </c>
      <c r="F260" s="10">
        <v>44472</v>
      </c>
      <c r="G260" s="9">
        <v>3000</v>
      </c>
      <c r="H260" s="9">
        <v>76000</v>
      </c>
    </row>
    <row r="261" spans="1:8" x14ac:dyDescent="0.3">
      <c r="A261" s="2">
        <v>260</v>
      </c>
      <c r="B261" s="2" t="s">
        <v>79</v>
      </c>
      <c r="C261" s="2" t="s">
        <v>694</v>
      </c>
      <c r="D261" s="2" t="s">
        <v>3458</v>
      </c>
      <c r="E261" s="3" t="s">
        <v>3459</v>
      </c>
      <c r="F261" s="10">
        <v>44444</v>
      </c>
      <c r="G261" s="9">
        <v>3000</v>
      </c>
      <c r="H261" s="9">
        <v>34000</v>
      </c>
    </row>
    <row r="262" spans="1:8" x14ac:dyDescent="0.3">
      <c r="A262" s="2">
        <v>261</v>
      </c>
      <c r="B262" s="2" t="s">
        <v>74</v>
      </c>
      <c r="C262" s="2" t="s">
        <v>699</v>
      </c>
      <c r="D262" s="2" t="s">
        <v>3460</v>
      </c>
      <c r="E262" s="3" t="s">
        <v>3342</v>
      </c>
      <c r="F262" s="10">
        <v>44443</v>
      </c>
      <c r="G262" s="9">
        <v>3000</v>
      </c>
      <c r="H262" s="9">
        <v>22000</v>
      </c>
    </row>
    <row r="263" spans="1:8" x14ac:dyDescent="0.3">
      <c r="A263" s="2">
        <v>262</v>
      </c>
      <c r="B263" s="2" t="s">
        <v>109</v>
      </c>
      <c r="C263" s="2" t="s">
        <v>704</v>
      </c>
      <c r="D263" s="2" t="s">
        <v>3461</v>
      </c>
      <c r="E263" s="3" t="s">
        <v>3462</v>
      </c>
      <c r="F263" s="10">
        <v>44484</v>
      </c>
      <c r="G263" s="9">
        <v>3000</v>
      </c>
      <c r="H263" s="9">
        <v>52000</v>
      </c>
    </row>
    <row r="264" spans="1:8" x14ac:dyDescent="0.3">
      <c r="A264" s="2">
        <v>263</v>
      </c>
      <c r="B264" s="2" t="s">
        <v>109</v>
      </c>
      <c r="C264" s="2" t="s">
        <v>714</v>
      </c>
      <c r="D264" s="2" t="s">
        <v>3463</v>
      </c>
      <c r="E264" s="3" t="s">
        <v>3245</v>
      </c>
      <c r="F264" s="10">
        <v>44446</v>
      </c>
      <c r="G264" s="9">
        <v>3000</v>
      </c>
      <c r="H264" s="9">
        <v>89500</v>
      </c>
    </row>
    <row r="265" spans="1:8" x14ac:dyDescent="0.3">
      <c r="A265" s="2">
        <v>264</v>
      </c>
      <c r="B265" s="2" t="s">
        <v>114</v>
      </c>
      <c r="C265" s="2" t="s">
        <v>719</v>
      </c>
      <c r="D265" s="2" t="s">
        <v>3464</v>
      </c>
      <c r="E265" s="3" t="s">
        <v>3286</v>
      </c>
      <c r="F265" s="10">
        <v>44420</v>
      </c>
      <c r="G265" s="9">
        <v>3000</v>
      </c>
      <c r="H265" s="9">
        <v>75000</v>
      </c>
    </row>
    <row r="266" spans="1:8" x14ac:dyDescent="0.3">
      <c r="A266" s="2">
        <v>265</v>
      </c>
      <c r="B266" s="2" t="s">
        <v>21</v>
      </c>
      <c r="C266" s="2" t="s">
        <v>724</v>
      </c>
      <c r="D266" s="2" t="s">
        <v>1027</v>
      </c>
      <c r="E266" s="3">
        <v>1</v>
      </c>
      <c r="F266" s="10">
        <v>44503</v>
      </c>
      <c r="G266" s="9">
        <v>3000</v>
      </c>
      <c r="H266" s="9">
        <v>4000</v>
      </c>
    </row>
    <row r="267" spans="1:8" x14ac:dyDescent="0.3">
      <c r="A267" s="2">
        <v>266</v>
      </c>
      <c r="B267" s="2" t="s">
        <v>30</v>
      </c>
      <c r="C267" s="2" t="s">
        <v>729</v>
      </c>
      <c r="D267" s="2" t="s">
        <v>3465</v>
      </c>
      <c r="E267" s="3" t="s">
        <v>3466</v>
      </c>
      <c r="F267" s="10">
        <v>44458</v>
      </c>
      <c r="G267" s="9">
        <v>3000</v>
      </c>
      <c r="H267" s="9">
        <v>85000</v>
      </c>
    </row>
    <row r="268" spans="1:8" x14ac:dyDescent="0.3">
      <c r="A268" s="2">
        <v>267</v>
      </c>
      <c r="B268" s="2" t="s">
        <v>35</v>
      </c>
      <c r="C268" s="2" t="s">
        <v>739</v>
      </c>
      <c r="D268" s="2" t="s">
        <v>3467</v>
      </c>
      <c r="E268" s="3" t="s">
        <v>3357</v>
      </c>
      <c r="F268" s="10">
        <v>44426</v>
      </c>
      <c r="G268" s="9">
        <v>3000</v>
      </c>
      <c r="H268" s="9">
        <v>59500</v>
      </c>
    </row>
    <row r="269" spans="1:8" x14ac:dyDescent="0.3">
      <c r="A269" s="2">
        <v>268</v>
      </c>
      <c r="B269" s="2" t="s">
        <v>84</v>
      </c>
      <c r="C269" s="2" t="s">
        <v>744</v>
      </c>
      <c r="D269" s="2" t="s">
        <v>3468</v>
      </c>
      <c r="E269" s="3" t="s">
        <v>3140</v>
      </c>
      <c r="F269" s="10">
        <v>44447</v>
      </c>
      <c r="G269" s="9">
        <v>3000</v>
      </c>
      <c r="H269" s="9">
        <v>17000</v>
      </c>
    </row>
    <row r="270" spans="1:8" x14ac:dyDescent="0.3">
      <c r="A270" s="2">
        <v>269</v>
      </c>
      <c r="B270" s="2" t="s">
        <v>109</v>
      </c>
      <c r="C270" s="2" t="s">
        <v>749</v>
      </c>
      <c r="D270" s="2" t="s">
        <v>3469</v>
      </c>
      <c r="E270" s="3" t="s">
        <v>1389</v>
      </c>
      <c r="F270" s="10">
        <v>44502</v>
      </c>
      <c r="G270" s="9">
        <v>3000</v>
      </c>
      <c r="H270" s="9">
        <v>17000</v>
      </c>
    </row>
    <row r="271" spans="1:8" x14ac:dyDescent="0.3">
      <c r="A271" s="2">
        <v>270</v>
      </c>
      <c r="B271" s="2" t="s">
        <v>69</v>
      </c>
      <c r="C271" s="2" t="s">
        <v>759</v>
      </c>
      <c r="D271" s="2" t="s">
        <v>990</v>
      </c>
      <c r="E271" s="3">
        <v>2</v>
      </c>
      <c r="F271" s="10">
        <v>44438</v>
      </c>
      <c r="G271" s="9">
        <v>3000</v>
      </c>
      <c r="H271" s="9">
        <v>22000</v>
      </c>
    </row>
    <row r="272" spans="1:8" x14ac:dyDescent="0.3">
      <c r="A272" s="2">
        <v>271</v>
      </c>
      <c r="B272" s="2" t="s">
        <v>144</v>
      </c>
      <c r="C272" s="2" t="s">
        <v>764</v>
      </c>
      <c r="D272" s="2" t="s">
        <v>3470</v>
      </c>
      <c r="E272" s="3" t="s">
        <v>3134</v>
      </c>
      <c r="F272" s="10">
        <v>44434</v>
      </c>
      <c r="G272" s="9">
        <v>3000</v>
      </c>
      <c r="H272" s="9">
        <v>7900</v>
      </c>
    </row>
    <row r="273" spans="1:8" x14ac:dyDescent="0.3">
      <c r="A273" s="2">
        <v>272</v>
      </c>
      <c r="B273" s="2" t="s">
        <v>74</v>
      </c>
      <c r="C273" s="2" t="s">
        <v>769</v>
      </c>
      <c r="D273" s="2" t="s">
        <v>3471</v>
      </c>
      <c r="E273" s="3" t="s">
        <v>3472</v>
      </c>
      <c r="F273" s="10">
        <v>44484</v>
      </c>
      <c r="G273" s="9">
        <v>3000</v>
      </c>
      <c r="H273" s="9">
        <v>88000</v>
      </c>
    </row>
    <row r="274" spans="1:8" x14ac:dyDescent="0.3">
      <c r="A274" s="2">
        <v>273</v>
      </c>
      <c r="B274" s="2" t="s">
        <v>25</v>
      </c>
      <c r="C274" s="2" t="s">
        <v>774</v>
      </c>
      <c r="D274" s="2" t="s">
        <v>3473</v>
      </c>
      <c r="E274" s="3" t="s">
        <v>3138</v>
      </c>
      <c r="F274" s="10">
        <v>44481</v>
      </c>
      <c r="G274" s="9">
        <v>3000</v>
      </c>
      <c r="H274" s="9">
        <v>25000</v>
      </c>
    </row>
    <row r="275" spans="1:8" x14ac:dyDescent="0.3">
      <c r="A275" s="2">
        <v>274</v>
      </c>
      <c r="B275" s="2" t="s">
        <v>84</v>
      </c>
      <c r="C275" s="2" t="s">
        <v>784</v>
      </c>
      <c r="D275" s="2" t="s">
        <v>3474</v>
      </c>
      <c r="E275" s="3" t="s">
        <v>3146</v>
      </c>
      <c r="F275" s="10">
        <v>44469</v>
      </c>
      <c r="G275" s="9">
        <v>3000</v>
      </c>
      <c r="H275" s="9">
        <v>10000</v>
      </c>
    </row>
    <row r="276" spans="1:8" x14ac:dyDescent="0.3">
      <c r="A276" s="2">
        <v>275</v>
      </c>
      <c r="B276" s="2" t="s">
        <v>30</v>
      </c>
      <c r="C276" s="2" t="s">
        <v>239</v>
      </c>
      <c r="D276" s="2" t="s">
        <v>949</v>
      </c>
      <c r="E276" s="3">
        <v>1</v>
      </c>
      <c r="F276" s="10">
        <v>44452</v>
      </c>
      <c r="G276" s="9">
        <v>3000</v>
      </c>
      <c r="H276" s="9">
        <v>25000</v>
      </c>
    </row>
    <row r="277" spans="1:8" x14ac:dyDescent="0.3">
      <c r="A277" s="2">
        <v>276</v>
      </c>
      <c r="B277" s="2" t="s">
        <v>164</v>
      </c>
      <c r="C277" s="2" t="s">
        <v>789</v>
      </c>
      <c r="D277" s="2" t="s">
        <v>3475</v>
      </c>
      <c r="E277" s="3" t="s">
        <v>3200</v>
      </c>
      <c r="F277" s="10">
        <v>44475</v>
      </c>
      <c r="G277" s="9">
        <v>3000</v>
      </c>
      <c r="H277" s="9">
        <v>65000</v>
      </c>
    </row>
    <row r="278" spans="1:8" x14ac:dyDescent="0.3">
      <c r="A278" s="2">
        <v>277</v>
      </c>
      <c r="B278" s="2" t="s">
        <v>94</v>
      </c>
      <c r="C278" s="2" t="s">
        <v>794</v>
      </c>
      <c r="D278" s="2" t="s">
        <v>1000</v>
      </c>
      <c r="E278" s="3">
        <v>1</v>
      </c>
      <c r="F278" s="10">
        <v>44454</v>
      </c>
      <c r="G278" s="9">
        <v>3000</v>
      </c>
      <c r="H278" s="9">
        <v>4500</v>
      </c>
    </row>
    <row r="279" spans="1:8" x14ac:dyDescent="0.3">
      <c r="A279" s="2">
        <v>278</v>
      </c>
      <c r="B279" s="2" t="s">
        <v>45</v>
      </c>
      <c r="C279" s="2" t="s">
        <v>799</v>
      </c>
      <c r="D279" s="2" t="s">
        <v>3476</v>
      </c>
      <c r="E279" s="3" t="s">
        <v>3384</v>
      </c>
      <c r="F279" s="10">
        <v>44479</v>
      </c>
      <c r="G279" s="3">
        <v>0</v>
      </c>
      <c r="H279" s="9">
        <v>23100</v>
      </c>
    </row>
    <row r="280" spans="1:8" x14ac:dyDescent="0.3">
      <c r="A280" s="2">
        <v>279</v>
      </c>
      <c r="B280" s="2" t="s">
        <v>99</v>
      </c>
      <c r="C280" s="2" t="s">
        <v>809</v>
      </c>
      <c r="D280" s="2" t="s">
        <v>3477</v>
      </c>
      <c r="E280" s="3" t="s">
        <v>3210</v>
      </c>
      <c r="F280" s="10">
        <v>44440</v>
      </c>
      <c r="G280" s="9">
        <v>3000</v>
      </c>
      <c r="H280" s="9">
        <v>12400</v>
      </c>
    </row>
    <row r="281" spans="1:8" x14ac:dyDescent="0.3">
      <c r="A281" s="2">
        <v>280</v>
      </c>
      <c r="B281" s="2" t="s">
        <v>194</v>
      </c>
      <c r="C281" s="2" t="s">
        <v>819</v>
      </c>
      <c r="D281" s="2" t="s">
        <v>3478</v>
      </c>
      <c r="E281" s="3" t="s">
        <v>3206</v>
      </c>
      <c r="F281" s="10">
        <v>44450</v>
      </c>
      <c r="G281" s="9">
        <v>3000</v>
      </c>
      <c r="H281" s="9">
        <v>20000</v>
      </c>
    </row>
    <row r="282" spans="1:8" x14ac:dyDescent="0.3">
      <c r="A282" s="2">
        <v>281</v>
      </c>
      <c r="B282" s="2" t="s">
        <v>109</v>
      </c>
      <c r="C282" s="2" t="s">
        <v>829</v>
      </c>
      <c r="D282" s="2" t="s">
        <v>3479</v>
      </c>
      <c r="E282" s="3" t="s">
        <v>1387</v>
      </c>
      <c r="F282" s="10">
        <v>44482</v>
      </c>
      <c r="G282" s="9">
        <v>3000</v>
      </c>
      <c r="H282" s="9">
        <v>12000</v>
      </c>
    </row>
    <row r="283" spans="1:8" x14ac:dyDescent="0.3">
      <c r="A283" s="2">
        <v>282</v>
      </c>
      <c r="B283" s="2" t="s">
        <v>164</v>
      </c>
      <c r="C283" s="2" t="s">
        <v>834</v>
      </c>
      <c r="D283" s="2" t="s">
        <v>3480</v>
      </c>
      <c r="E283" s="3" t="s">
        <v>3200</v>
      </c>
      <c r="F283" s="10">
        <v>44498</v>
      </c>
      <c r="G283" s="9">
        <v>3000</v>
      </c>
      <c r="H283" s="9">
        <v>28000</v>
      </c>
    </row>
    <row r="284" spans="1:8" x14ac:dyDescent="0.3">
      <c r="A284" s="2">
        <v>283</v>
      </c>
      <c r="B284" s="2" t="s">
        <v>129</v>
      </c>
      <c r="C284" s="2" t="s">
        <v>839</v>
      </c>
      <c r="D284" s="2" t="s">
        <v>1107</v>
      </c>
      <c r="E284" s="3">
        <v>1</v>
      </c>
      <c r="F284" s="10">
        <v>44503</v>
      </c>
      <c r="G284" s="9">
        <v>3000</v>
      </c>
      <c r="H284" s="9">
        <v>1500</v>
      </c>
    </row>
    <row r="285" spans="1:8" x14ac:dyDescent="0.3">
      <c r="A285" s="2">
        <v>284</v>
      </c>
      <c r="B285" s="2" t="s">
        <v>179</v>
      </c>
      <c r="C285" s="2" t="s">
        <v>844</v>
      </c>
      <c r="D285" s="2" t="s">
        <v>3481</v>
      </c>
      <c r="E285" s="3" t="s">
        <v>3359</v>
      </c>
      <c r="F285" s="10">
        <v>44429</v>
      </c>
      <c r="G285" s="9">
        <v>3000</v>
      </c>
      <c r="H285" s="9">
        <v>78000</v>
      </c>
    </row>
    <row r="286" spans="1:8" x14ac:dyDescent="0.3">
      <c r="A286" s="2">
        <v>285</v>
      </c>
      <c r="B286" s="2" t="s">
        <v>159</v>
      </c>
      <c r="C286" s="2" t="s">
        <v>849</v>
      </c>
      <c r="D286" s="2" t="s">
        <v>3482</v>
      </c>
      <c r="E286" s="3" t="s">
        <v>3140</v>
      </c>
      <c r="F286" s="10">
        <v>44414</v>
      </c>
      <c r="G286" s="9">
        <v>3000</v>
      </c>
      <c r="H286" s="9">
        <v>6500</v>
      </c>
    </row>
    <row r="287" spans="1:8" x14ac:dyDescent="0.3">
      <c r="A287" s="2">
        <v>286</v>
      </c>
      <c r="B287" s="2" t="s">
        <v>74</v>
      </c>
      <c r="C287" s="2" t="s">
        <v>854</v>
      </c>
      <c r="D287" s="2" t="s">
        <v>3483</v>
      </c>
      <c r="E287" s="3" t="s">
        <v>3189</v>
      </c>
      <c r="F287" s="10">
        <v>44437</v>
      </c>
      <c r="G287" s="9">
        <v>3000</v>
      </c>
      <c r="H287" s="9">
        <v>21500</v>
      </c>
    </row>
    <row r="288" spans="1:8" x14ac:dyDescent="0.3">
      <c r="A288" s="2">
        <v>287</v>
      </c>
      <c r="B288" s="2" t="s">
        <v>114</v>
      </c>
      <c r="C288" s="2" t="s">
        <v>859</v>
      </c>
      <c r="D288" s="2" t="s">
        <v>3484</v>
      </c>
      <c r="E288" s="3" t="s">
        <v>3485</v>
      </c>
      <c r="F288" s="10">
        <v>44467</v>
      </c>
      <c r="G288" s="9">
        <v>3000</v>
      </c>
      <c r="H288" s="9">
        <v>35600</v>
      </c>
    </row>
    <row r="289" spans="1:8" x14ac:dyDescent="0.3">
      <c r="A289" s="2">
        <v>288</v>
      </c>
      <c r="B289" s="2" t="s">
        <v>189</v>
      </c>
      <c r="C289" s="2" t="s">
        <v>869</v>
      </c>
      <c r="D289" s="2" t="s">
        <v>1008</v>
      </c>
      <c r="E289" s="3">
        <v>2</v>
      </c>
      <c r="F289" s="10">
        <v>44490</v>
      </c>
      <c r="G289" s="9">
        <v>3000</v>
      </c>
      <c r="H289" s="9">
        <v>16000</v>
      </c>
    </row>
    <row r="290" spans="1:8" x14ac:dyDescent="0.3">
      <c r="A290" s="2">
        <v>289</v>
      </c>
      <c r="B290" s="2" t="s">
        <v>159</v>
      </c>
      <c r="C290" s="2" t="s">
        <v>874</v>
      </c>
      <c r="D290" s="2" t="s">
        <v>3486</v>
      </c>
      <c r="E290" s="3" t="s">
        <v>3487</v>
      </c>
      <c r="F290" s="10">
        <v>44468</v>
      </c>
      <c r="G290" s="9">
        <v>3000</v>
      </c>
      <c r="H290" s="9">
        <v>76500</v>
      </c>
    </row>
    <row r="291" spans="1:8" x14ac:dyDescent="0.3">
      <c r="A291" s="2">
        <v>290</v>
      </c>
      <c r="B291" s="2" t="s">
        <v>139</v>
      </c>
      <c r="C291" s="2" t="s">
        <v>884</v>
      </c>
      <c r="D291" s="2" t="s">
        <v>1002</v>
      </c>
      <c r="E291" s="3">
        <v>2</v>
      </c>
      <c r="F291" s="10">
        <v>44427</v>
      </c>
      <c r="G291" s="9">
        <v>3000</v>
      </c>
      <c r="H291" s="9">
        <v>8000</v>
      </c>
    </row>
    <row r="292" spans="1:8" x14ac:dyDescent="0.3">
      <c r="A292" s="2">
        <v>291</v>
      </c>
      <c r="B292" s="2" t="s">
        <v>40</v>
      </c>
      <c r="C292" s="2" t="s">
        <v>894</v>
      </c>
      <c r="D292" s="2" t="s">
        <v>3488</v>
      </c>
      <c r="E292" s="3" t="s">
        <v>3215</v>
      </c>
      <c r="F292" s="10">
        <v>44489</v>
      </c>
      <c r="G292" s="9">
        <v>3000</v>
      </c>
      <c r="H292" s="9">
        <v>32000</v>
      </c>
    </row>
    <row r="293" spans="1:8" x14ac:dyDescent="0.3">
      <c r="A293" s="2">
        <v>292</v>
      </c>
      <c r="B293" s="2" t="s">
        <v>35</v>
      </c>
      <c r="C293" s="2" t="s">
        <v>899</v>
      </c>
      <c r="D293" s="2" t="s">
        <v>998</v>
      </c>
      <c r="E293" s="3">
        <v>1</v>
      </c>
      <c r="F293" s="10">
        <v>44479</v>
      </c>
      <c r="G293" s="9">
        <v>3000</v>
      </c>
      <c r="H293" s="9">
        <v>6000</v>
      </c>
    </row>
    <row r="294" spans="1:8" x14ac:dyDescent="0.3">
      <c r="A294" s="2">
        <v>293</v>
      </c>
      <c r="B294" s="2" t="s">
        <v>139</v>
      </c>
      <c r="C294" s="2" t="s">
        <v>909</v>
      </c>
      <c r="D294" s="2" t="s">
        <v>3489</v>
      </c>
      <c r="E294" s="3" t="s">
        <v>3422</v>
      </c>
      <c r="F294" s="10">
        <v>44481</v>
      </c>
      <c r="G294" s="9">
        <v>3000</v>
      </c>
      <c r="H294" s="9">
        <v>41500</v>
      </c>
    </row>
    <row r="295" spans="1:8" x14ac:dyDescent="0.3">
      <c r="A295" s="3">
        <v>294</v>
      </c>
      <c r="B295" s="3" t="s">
        <v>7</v>
      </c>
      <c r="C295" s="3" t="s">
        <v>779</v>
      </c>
      <c r="D295" s="3" t="s">
        <v>3647</v>
      </c>
      <c r="E295" s="3" t="s">
        <v>3648</v>
      </c>
      <c r="F295" s="10">
        <v>44446</v>
      </c>
      <c r="G295" s="9">
        <v>3000</v>
      </c>
      <c r="H295" s="9">
        <v>95500</v>
      </c>
    </row>
    <row r="296" spans="1:8" x14ac:dyDescent="0.3">
      <c r="A296" s="3">
        <v>295</v>
      </c>
      <c r="B296" s="3" t="s">
        <v>7</v>
      </c>
      <c r="C296" s="3" t="s">
        <v>774</v>
      </c>
      <c r="D296" s="3" t="s">
        <v>1029</v>
      </c>
      <c r="E296" s="3">
        <v>5</v>
      </c>
      <c r="F296" s="10">
        <v>44446</v>
      </c>
      <c r="G296" s="9">
        <v>3000</v>
      </c>
      <c r="H296" s="9">
        <v>28000</v>
      </c>
    </row>
    <row r="297" spans="1:8" x14ac:dyDescent="0.3">
      <c r="A297" s="3">
        <v>296</v>
      </c>
      <c r="B297" s="3" t="s">
        <v>7</v>
      </c>
      <c r="C297" s="3" t="s">
        <v>599</v>
      </c>
      <c r="D297" s="3" t="s">
        <v>949</v>
      </c>
      <c r="E297" s="3">
        <v>2</v>
      </c>
      <c r="F297" s="10">
        <v>44446</v>
      </c>
      <c r="G297" s="9">
        <v>3000</v>
      </c>
      <c r="H297" s="9">
        <v>11000</v>
      </c>
    </row>
    <row r="298" spans="1:8" x14ac:dyDescent="0.3">
      <c r="A298" s="3">
        <v>297</v>
      </c>
      <c r="B298" s="3" t="s">
        <v>7</v>
      </c>
      <c r="C298" s="3" t="s">
        <v>624</v>
      </c>
      <c r="D298" s="3" t="s">
        <v>945</v>
      </c>
      <c r="E298" s="3">
        <v>5</v>
      </c>
      <c r="F298" s="26">
        <v>44446</v>
      </c>
      <c r="G298" s="9">
        <v>3000</v>
      </c>
      <c r="H298" s="9">
        <v>78000</v>
      </c>
    </row>
    <row r="299" spans="1:8" x14ac:dyDescent="0.3">
      <c r="A299" s="3"/>
      <c r="B299" s="3"/>
      <c r="C299" s="3"/>
      <c r="D299" s="3"/>
      <c r="E299" s="3"/>
      <c r="F299" s="10"/>
      <c r="G299" s="9"/>
      <c r="H299" s="9"/>
    </row>
    <row r="300" spans="1:8" x14ac:dyDescent="0.3">
      <c r="A300" s="3"/>
      <c r="B300" s="3"/>
      <c r="C300" s="3"/>
      <c r="D300" s="3"/>
      <c r="E300" s="3"/>
      <c r="F300" s="10"/>
      <c r="G300" s="9"/>
      <c r="H300" s="9"/>
    </row>
    <row r="301" spans="1:8" x14ac:dyDescent="0.3">
      <c r="A301" s="3"/>
      <c r="B301" s="3"/>
      <c r="C301" s="3"/>
      <c r="D301" s="3"/>
      <c r="E301" s="3"/>
      <c r="F301" s="10"/>
      <c r="G301" s="9"/>
      <c r="H301" s="9"/>
    </row>
    <row r="302" spans="1:8" x14ac:dyDescent="0.3">
      <c r="A302" s="3"/>
      <c r="B302" s="3"/>
      <c r="C302" s="3"/>
      <c r="D302" s="3"/>
      <c r="E302" s="3"/>
      <c r="F302" s="10"/>
      <c r="G302" s="9"/>
      <c r="H302" s="9"/>
    </row>
    <row r="303" spans="1:8" x14ac:dyDescent="0.3">
      <c r="A303" s="3"/>
      <c r="B303" s="3"/>
      <c r="C303" s="3"/>
      <c r="D303" s="3"/>
      <c r="E303" s="3"/>
      <c r="F303" s="10"/>
      <c r="G303" s="9"/>
      <c r="H303" s="9"/>
    </row>
  </sheetData>
  <phoneticPr fontId="1" type="noConversion"/>
  <conditionalFormatting sqref="M1">
    <cfRule type="expression" dxfId="8" priority="3">
      <formula>$A1&lt;&gt;""</formula>
    </cfRule>
  </conditionalFormatting>
  <conditionalFormatting sqref="N1">
    <cfRule type="expression" dxfId="7" priority="2">
      <formula>$A1&lt;&gt;""</formula>
    </cfRule>
  </conditionalFormatting>
  <conditionalFormatting sqref="O1">
    <cfRule type="expression" dxfId="6" priority="1">
      <formula>$A1&lt;&gt;""</formula>
    </cfRule>
  </conditionalFormatting>
  <conditionalFormatting sqref="R1:S1">
    <cfRule type="expression" dxfId="5" priority="4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8</xdr:col>
                <xdr:colOff>295275</xdr:colOff>
                <xdr:row>1</xdr:row>
                <xdr:rowOff>0</xdr:rowOff>
              </from>
              <to>
                <xdr:col>10</xdr:col>
                <xdr:colOff>266700</xdr:colOff>
                <xdr:row>3</xdr:row>
                <xdr:rowOff>28575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C104"/>
  <sheetViews>
    <sheetView tabSelected="1" zoomScale="55" zoomScaleNormal="55" workbookViewId="0">
      <selection activeCell="EC14" sqref="EC14"/>
    </sheetView>
  </sheetViews>
  <sheetFormatPr defaultColWidth="5.625" defaultRowHeight="30" customHeight="1" x14ac:dyDescent="0.3"/>
  <cols>
    <col min="1" max="4" width="5.625" style="11"/>
    <col min="5" max="5" width="5.625" style="11" customWidth="1"/>
    <col min="6" max="6" width="5.625" style="11"/>
    <col min="7" max="36" width="5.625" style="11" customWidth="1"/>
    <col min="37" max="106" width="5.625" style="11" hidden="1" customWidth="1"/>
    <col min="107" max="112" width="5.625" style="11" customWidth="1"/>
    <col min="113" max="16384" width="5.625" style="11"/>
  </cols>
  <sheetData>
    <row r="1" spans="1:107" ht="30" customHeight="1" x14ac:dyDescent="0.3">
      <c r="A1" s="11" t="s">
        <v>3646</v>
      </c>
    </row>
    <row r="3" spans="1:107" ht="30" customHeight="1" x14ac:dyDescent="0.3">
      <c r="G3" s="11">
        <v>1</v>
      </c>
      <c r="H3" s="11">
        <v>1</v>
      </c>
      <c r="I3" s="11">
        <v>1</v>
      </c>
      <c r="J3" s="11">
        <v>1</v>
      </c>
      <c r="K3" s="11">
        <v>1</v>
      </c>
      <c r="L3" s="11">
        <v>1</v>
      </c>
      <c r="M3" s="11">
        <v>1</v>
      </c>
      <c r="N3" s="11">
        <v>1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11">
        <v>1</v>
      </c>
      <c r="AO3" s="11">
        <v>1</v>
      </c>
      <c r="AP3" s="11">
        <v>1</v>
      </c>
      <c r="AQ3" s="11">
        <v>1</v>
      </c>
      <c r="AR3" s="11">
        <v>1</v>
      </c>
      <c r="AS3" s="11">
        <v>1</v>
      </c>
      <c r="AT3" s="11">
        <v>1</v>
      </c>
      <c r="AU3" s="11">
        <v>1</v>
      </c>
      <c r="AV3" s="11">
        <v>1</v>
      </c>
      <c r="AW3" s="11">
        <v>1</v>
      </c>
      <c r="AX3" s="11">
        <v>1</v>
      </c>
      <c r="AY3" s="11">
        <v>1</v>
      </c>
      <c r="AZ3" s="11">
        <v>1</v>
      </c>
      <c r="BA3" s="11">
        <v>1</v>
      </c>
      <c r="BB3" s="11">
        <v>1</v>
      </c>
      <c r="BC3" s="11">
        <v>1</v>
      </c>
      <c r="BD3" s="11">
        <v>1</v>
      </c>
      <c r="BE3" s="11">
        <v>1</v>
      </c>
      <c r="BF3" s="11">
        <v>1</v>
      </c>
      <c r="BG3" s="11">
        <v>1</v>
      </c>
      <c r="BH3" s="11">
        <v>1</v>
      </c>
      <c r="BI3" s="11">
        <v>1</v>
      </c>
      <c r="BJ3" s="11">
        <v>1</v>
      </c>
      <c r="BK3" s="11">
        <v>1</v>
      </c>
      <c r="BL3" s="11">
        <v>1</v>
      </c>
      <c r="BM3" s="11">
        <v>1</v>
      </c>
      <c r="BN3" s="11">
        <v>1</v>
      </c>
      <c r="BO3" s="11">
        <v>1</v>
      </c>
      <c r="BP3" s="11">
        <v>1</v>
      </c>
      <c r="BQ3" s="11">
        <v>1</v>
      </c>
      <c r="BR3" s="11">
        <v>1</v>
      </c>
      <c r="BS3" s="11">
        <v>1</v>
      </c>
      <c r="BT3" s="11">
        <v>1</v>
      </c>
      <c r="BU3" s="11">
        <v>1</v>
      </c>
      <c r="BV3" s="11">
        <v>1</v>
      </c>
      <c r="BW3" s="11">
        <v>1</v>
      </c>
      <c r="BX3" s="11">
        <v>1</v>
      </c>
      <c r="BY3" s="11">
        <v>1</v>
      </c>
      <c r="BZ3" s="11">
        <v>1</v>
      </c>
      <c r="CA3" s="11">
        <v>1</v>
      </c>
      <c r="CB3" s="11">
        <v>1</v>
      </c>
      <c r="CC3" s="11">
        <v>1</v>
      </c>
      <c r="CD3" s="11">
        <v>1</v>
      </c>
      <c r="CE3" s="11">
        <v>1</v>
      </c>
      <c r="CF3" s="11">
        <v>1</v>
      </c>
      <c r="CG3" s="11">
        <v>1</v>
      </c>
      <c r="CH3" s="11">
        <v>1</v>
      </c>
      <c r="CI3" s="11">
        <v>1</v>
      </c>
      <c r="CJ3" s="11">
        <v>1</v>
      </c>
      <c r="CK3" s="11">
        <v>1</v>
      </c>
      <c r="CL3" s="11">
        <v>1</v>
      </c>
      <c r="CM3" s="11">
        <v>1</v>
      </c>
      <c r="CN3" s="11">
        <v>1</v>
      </c>
      <c r="CO3" s="11">
        <v>1</v>
      </c>
      <c r="CP3" s="11">
        <v>1</v>
      </c>
      <c r="CQ3" s="11">
        <v>1</v>
      </c>
      <c r="CR3" s="11">
        <v>1</v>
      </c>
      <c r="CS3" s="11">
        <v>1</v>
      </c>
      <c r="CT3" s="11">
        <v>1</v>
      </c>
      <c r="CU3" s="11">
        <v>1</v>
      </c>
      <c r="CV3" s="11">
        <v>1</v>
      </c>
      <c r="CW3" s="11">
        <v>1</v>
      </c>
      <c r="CX3" s="11">
        <v>1</v>
      </c>
      <c r="CY3" s="11">
        <v>1</v>
      </c>
      <c r="CZ3" s="11">
        <v>1</v>
      </c>
      <c r="DA3" s="11">
        <v>1</v>
      </c>
      <c r="DB3" s="11">
        <v>1</v>
      </c>
    </row>
    <row r="4" spans="1:107" ht="30" customHeight="1" x14ac:dyDescent="0.3">
      <c r="F4" s="11">
        <v>1</v>
      </c>
      <c r="G4" s="20" t="s">
        <v>7</v>
      </c>
      <c r="H4" s="22" t="s">
        <v>1382</v>
      </c>
      <c r="I4" s="22" t="s">
        <v>1384</v>
      </c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21" t="s">
        <v>303</v>
      </c>
      <c r="AC4" s="19"/>
      <c r="AD4" s="19"/>
      <c r="AE4" s="19"/>
      <c r="AF4" s="20" t="s">
        <v>189</v>
      </c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20" t="s">
        <v>164</v>
      </c>
      <c r="AR4" s="19"/>
      <c r="AS4" s="19"/>
      <c r="AT4" s="19"/>
      <c r="AU4" s="19"/>
      <c r="AV4" s="19"/>
      <c r="AW4" s="19"/>
      <c r="AX4" s="19"/>
      <c r="AY4" s="19"/>
      <c r="AZ4" s="19"/>
      <c r="BA4" s="21" t="s">
        <v>503</v>
      </c>
      <c r="BB4" s="19"/>
      <c r="BC4" s="21" t="s">
        <v>733</v>
      </c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20" t="s">
        <v>11</v>
      </c>
      <c r="CX4" s="19"/>
      <c r="CY4" s="19"/>
      <c r="CZ4" s="19"/>
      <c r="DA4" s="19"/>
      <c r="DB4" s="21" t="s">
        <v>348</v>
      </c>
      <c r="DC4" s="11">
        <v>1</v>
      </c>
    </row>
    <row r="5" spans="1:107" ht="30" customHeight="1" x14ac:dyDescent="0.3">
      <c r="F5" s="11">
        <v>1</v>
      </c>
      <c r="G5" s="19"/>
      <c r="H5" s="22" t="s">
        <v>1386</v>
      </c>
      <c r="I5" s="22" t="s">
        <v>1388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21" t="s">
        <v>813</v>
      </c>
      <c r="U5" s="19"/>
      <c r="V5" s="22" t="s">
        <v>1370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22" t="s">
        <v>3048</v>
      </c>
      <c r="AJ5" s="22" t="s">
        <v>1354</v>
      </c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21" t="s">
        <v>883</v>
      </c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21" t="s">
        <v>698</v>
      </c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21" t="s">
        <v>393</v>
      </c>
      <c r="CF5" s="19"/>
      <c r="CG5" s="19"/>
      <c r="CH5" s="19"/>
      <c r="CI5" s="19"/>
      <c r="CJ5" s="19"/>
      <c r="CK5" s="19"/>
      <c r="CL5" s="19"/>
      <c r="CM5" s="19"/>
      <c r="CN5" s="19"/>
      <c r="CO5" s="21" t="s">
        <v>738</v>
      </c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1">
        <v>1</v>
      </c>
    </row>
    <row r="6" spans="1:107" ht="30" customHeight="1" x14ac:dyDescent="0.3">
      <c r="F6" s="11">
        <v>1</v>
      </c>
      <c r="G6" s="19"/>
      <c r="H6" s="19"/>
      <c r="I6" s="19"/>
      <c r="J6" s="19"/>
      <c r="K6" s="19"/>
      <c r="L6" s="22" t="s">
        <v>1376</v>
      </c>
      <c r="M6" s="22" t="s">
        <v>1378</v>
      </c>
      <c r="N6" s="22" t="s">
        <v>1380</v>
      </c>
      <c r="O6" s="21" t="s">
        <v>358</v>
      </c>
      <c r="P6" s="19"/>
      <c r="Q6" s="19"/>
      <c r="R6" s="19"/>
      <c r="S6" s="19"/>
      <c r="T6" s="19"/>
      <c r="U6" s="19"/>
      <c r="V6" s="22" t="s">
        <v>1372</v>
      </c>
      <c r="W6" s="19"/>
      <c r="X6" s="19"/>
      <c r="Y6" s="19"/>
      <c r="Z6" s="19"/>
      <c r="AA6" s="19"/>
      <c r="AB6" s="19"/>
      <c r="AC6" s="19"/>
      <c r="AD6" s="19"/>
      <c r="AE6" s="21" t="s">
        <v>318</v>
      </c>
      <c r="AF6" s="19"/>
      <c r="AG6" s="19"/>
      <c r="AH6" s="19"/>
      <c r="AI6" s="22" t="s">
        <v>3050</v>
      </c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22" t="s">
        <v>1872</v>
      </c>
      <c r="CV6" s="22" t="s">
        <v>1874</v>
      </c>
      <c r="CW6" s="22" t="s">
        <v>1876</v>
      </c>
      <c r="CX6" s="19"/>
      <c r="CY6" s="19"/>
      <c r="CZ6" s="19"/>
      <c r="DA6" s="19"/>
      <c r="DB6" s="19"/>
      <c r="DC6" s="11">
        <v>1</v>
      </c>
    </row>
    <row r="7" spans="1:107" ht="30" customHeight="1" x14ac:dyDescent="0.3">
      <c r="F7" s="11">
        <v>1</v>
      </c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22" t="s">
        <v>1374</v>
      </c>
      <c r="W7" s="22" t="s">
        <v>3036</v>
      </c>
      <c r="X7" s="22" t="s">
        <v>1358</v>
      </c>
      <c r="Y7" s="22" t="s">
        <v>1360</v>
      </c>
      <c r="Z7" s="22" t="s">
        <v>1362</v>
      </c>
      <c r="AA7" s="22" t="s">
        <v>1364</v>
      </c>
      <c r="AB7" s="21" t="s">
        <v>463</v>
      </c>
      <c r="AC7" s="19"/>
      <c r="AD7" s="19"/>
      <c r="AE7" s="19"/>
      <c r="AF7" s="19"/>
      <c r="AG7" s="19"/>
      <c r="AH7" s="19"/>
      <c r="AI7" s="22" t="s">
        <v>3052</v>
      </c>
      <c r="AJ7" s="22" t="s">
        <v>3056</v>
      </c>
      <c r="AK7" s="22" t="s">
        <v>3058</v>
      </c>
      <c r="AL7" s="22" t="s">
        <v>3060</v>
      </c>
      <c r="AM7" s="22" t="s">
        <v>1356</v>
      </c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21" t="s">
        <v>553</v>
      </c>
      <c r="CN7" s="19"/>
      <c r="CO7" s="19"/>
      <c r="CP7" s="19"/>
      <c r="CQ7" s="19"/>
      <c r="CR7" s="19"/>
      <c r="CS7" s="19"/>
      <c r="CT7" s="19"/>
      <c r="CU7" s="22" t="s">
        <v>1878</v>
      </c>
      <c r="CV7" s="22" t="s">
        <v>1880</v>
      </c>
      <c r="CW7" s="22" t="s">
        <v>1882</v>
      </c>
      <c r="CX7" s="19"/>
      <c r="CY7" s="19"/>
      <c r="CZ7" s="19"/>
      <c r="DA7" s="19"/>
      <c r="DB7" s="19"/>
      <c r="DC7" s="11">
        <v>1</v>
      </c>
    </row>
    <row r="8" spans="1:107" ht="30" customHeight="1" x14ac:dyDescent="0.3">
      <c r="F8" s="11">
        <v>1</v>
      </c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20" t="s">
        <v>179</v>
      </c>
      <c r="S8" s="19"/>
      <c r="T8" s="19"/>
      <c r="U8" s="19"/>
      <c r="V8" s="19"/>
      <c r="W8" s="19"/>
      <c r="X8" s="19"/>
      <c r="Y8" s="19"/>
      <c r="Z8" s="19"/>
      <c r="AA8" s="22" t="s">
        <v>3032</v>
      </c>
      <c r="AB8" s="19"/>
      <c r="AC8" s="19"/>
      <c r="AD8" s="19"/>
      <c r="AE8" s="19"/>
      <c r="AF8" s="19"/>
      <c r="AG8" s="19"/>
      <c r="AH8" s="19"/>
      <c r="AI8" s="22" t="s">
        <v>3054</v>
      </c>
      <c r="AJ8" s="19"/>
      <c r="AK8" s="19"/>
      <c r="AL8" s="19"/>
      <c r="AM8" s="22" t="s">
        <v>3062</v>
      </c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21" t="s">
        <v>498</v>
      </c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1">
        <v>1</v>
      </c>
    </row>
    <row r="9" spans="1:107" ht="30" customHeight="1" x14ac:dyDescent="0.3">
      <c r="F9" s="11">
        <v>1</v>
      </c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1" t="s">
        <v>243</v>
      </c>
      <c r="AA9" s="22" t="s">
        <v>3034</v>
      </c>
      <c r="AB9" s="19"/>
      <c r="AC9" s="19"/>
      <c r="AD9" s="19"/>
      <c r="AE9" s="19"/>
      <c r="AF9" s="19"/>
      <c r="AG9" s="19"/>
      <c r="AH9" s="19"/>
      <c r="AI9" s="22" t="s">
        <v>1344</v>
      </c>
      <c r="AJ9" s="19"/>
      <c r="AK9" s="21" t="s">
        <v>408</v>
      </c>
      <c r="AL9" s="19"/>
      <c r="AM9" s="22" t="s">
        <v>1346</v>
      </c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22" t="s">
        <v>3108</v>
      </c>
      <c r="BA9" s="22" t="s">
        <v>3072</v>
      </c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22" t="s">
        <v>1806</v>
      </c>
      <c r="CH9" s="22" t="s">
        <v>1808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1">
        <v>1</v>
      </c>
    </row>
    <row r="10" spans="1:107" ht="30" customHeight="1" x14ac:dyDescent="0.3">
      <c r="F10" s="11">
        <v>1</v>
      </c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22" t="s">
        <v>3026</v>
      </c>
      <c r="AB10" s="22" t="s">
        <v>3028</v>
      </c>
      <c r="AC10" s="22" t="s">
        <v>3030</v>
      </c>
      <c r="AD10" s="22" t="s">
        <v>1366</v>
      </c>
      <c r="AE10" s="22" t="s">
        <v>3038</v>
      </c>
      <c r="AF10" s="22" t="s">
        <v>3040</v>
      </c>
      <c r="AG10" s="22" t="s">
        <v>3042</v>
      </c>
      <c r="AH10" s="22" t="s">
        <v>3044</v>
      </c>
      <c r="AI10" s="22" t="s">
        <v>3046</v>
      </c>
      <c r="AJ10" s="19"/>
      <c r="AK10" s="19"/>
      <c r="AL10" s="19"/>
      <c r="AM10" s="22" t="s">
        <v>1348</v>
      </c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21" t="s">
        <v>783</v>
      </c>
      <c r="AZ10" s="19"/>
      <c r="BA10" s="22" t="s">
        <v>3074</v>
      </c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22" t="s">
        <v>1830</v>
      </c>
      <c r="BS10" s="22" t="s">
        <v>1832</v>
      </c>
      <c r="BT10" s="22" t="s">
        <v>1834</v>
      </c>
      <c r="BU10" s="22" t="s">
        <v>1836</v>
      </c>
      <c r="BV10" s="19"/>
      <c r="BW10" s="19"/>
      <c r="BX10" s="19"/>
      <c r="BY10" s="19"/>
      <c r="BZ10" s="22" t="s">
        <v>1814</v>
      </c>
      <c r="CA10" s="22" t="s">
        <v>1816</v>
      </c>
      <c r="CB10" s="19"/>
      <c r="CC10" s="19"/>
      <c r="CD10" s="19"/>
      <c r="CE10" s="19"/>
      <c r="CF10" s="19"/>
      <c r="CG10" s="22" t="s">
        <v>1810</v>
      </c>
      <c r="CH10" s="22" t="s">
        <v>1812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21" t="s">
        <v>708</v>
      </c>
      <c r="DC10" s="11">
        <v>1</v>
      </c>
    </row>
    <row r="11" spans="1:107" ht="30" customHeight="1" x14ac:dyDescent="0.3">
      <c r="F11" s="11">
        <v>1</v>
      </c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22" t="s">
        <v>1368</v>
      </c>
      <c r="AE11" s="19"/>
      <c r="AF11" s="19"/>
      <c r="AG11" s="19"/>
      <c r="AH11" s="19"/>
      <c r="AI11" s="19"/>
      <c r="AJ11" s="19"/>
      <c r="AK11" s="19"/>
      <c r="AL11" s="19"/>
      <c r="AM11" s="22" t="s">
        <v>1350</v>
      </c>
      <c r="AN11" s="22" t="s">
        <v>3068</v>
      </c>
      <c r="AO11" s="20" t="s">
        <v>94</v>
      </c>
      <c r="AP11" s="22" t="s">
        <v>3070</v>
      </c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22" t="s">
        <v>3076</v>
      </c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22" t="s">
        <v>1838</v>
      </c>
      <c r="BS11" s="22" t="s">
        <v>1840</v>
      </c>
      <c r="BT11" s="22" t="s">
        <v>1842</v>
      </c>
      <c r="BU11" s="22" t="s">
        <v>1844</v>
      </c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1">
        <v>1</v>
      </c>
    </row>
    <row r="12" spans="1:107" ht="30" customHeight="1" x14ac:dyDescent="0.3">
      <c r="F12" s="11">
        <v>1</v>
      </c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22" t="s">
        <v>3020</v>
      </c>
      <c r="AE12" s="19"/>
      <c r="AF12" s="19"/>
      <c r="AG12" s="19"/>
      <c r="AH12" s="21" t="s">
        <v>773</v>
      </c>
      <c r="AI12" s="19"/>
      <c r="AJ12" s="19"/>
      <c r="AK12" s="19"/>
      <c r="AL12" s="19"/>
      <c r="AM12" s="22" t="s">
        <v>1352</v>
      </c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22" t="s">
        <v>3078</v>
      </c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21" t="s">
        <v>893</v>
      </c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21" t="s">
        <v>578</v>
      </c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1">
        <v>1</v>
      </c>
    </row>
    <row r="13" spans="1:107" ht="30" customHeight="1" x14ac:dyDescent="0.3">
      <c r="F13" s="11">
        <v>1</v>
      </c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22" t="s">
        <v>3022</v>
      </c>
      <c r="AE13" s="19"/>
      <c r="AF13" s="19"/>
      <c r="AG13" s="19"/>
      <c r="AH13" s="19"/>
      <c r="AI13" s="19"/>
      <c r="AJ13" s="19"/>
      <c r="AK13" s="19"/>
      <c r="AL13" s="19"/>
      <c r="AM13" s="22" t="s">
        <v>3064</v>
      </c>
      <c r="AN13" s="22" t="s">
        <v>3066</v>
      </c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22" t="s">
        <v>3080</v>
      </c>
      <c r="BB13" s="19"/>
      <c r="BC13" s="19"/>
      <c r="BD13" s="19"/>
      <c r="BE13" s="22" t="s">
        <v>3118</v>
      </c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21" t="s">
        <v>533</v>
      </c>
      <c r="CY13" s="19"/>
      <c r="CZ13" s="19"/>
      <c r="DA13" s="19"/>
      <c r="DB13" s="19"/>
      <c r="DC13" s="11">
        <v>1</v>
      </c>
    </row>
    <row r="14" spans="1:107" ht="30" customHeight="1" x14ac:dyDescent="0.3">
      <c r="F14" s="11">
        <v>1</v>
      </c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21" t="s">
        <v>583</v>
      </c>
      <c r="W14" s="19"/>
      <c r="X14" s="19"/>
      <c r="Y14" s="19"/>
      <c r="Z14" s="19"/>
      <c r="AA14" s="19"/>
      <c r="AB14" s="19"/>
      <c r="AC14" s="19"/>
      <c r="AD14" s="22" t="s">
        <v>3024</v>
      </c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22" t="s">
        <v>1846</v>
      </c>
      <c r="AV14" s="22" t="s">
        <v>3098</v>
      </c>
      <c r="AW14" s="22" t="s">
        <v>3100</v>
      </c>
      <c r="AX14" s="22" t="s">
        <v>3102</v>
      </c>
      <c r="AY14" s="22" t="s">
        <v>3104</v>
      </c>
      <c r="AZ14" s="22" t="s">
        <v>3106</v>
      </c>
      <c r="BA14" s="22" t="s">
        <v>3082</v>
      </c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22" t="s">
        <v>1818</v>
      </c>
      <c r="BY14" s="22" t="s">
        <v>1820</v>
      </c>
      <c r="BZ14" s="22" t="s">
        <v>1822</v>
      </c>
      <c r="CA14" s="21" t="s">
        <v>703</v>
      </c>
      <c r="CB14" s="19"/>
      <c r="CC14" s="19"/>
      <c r="CD14" s="19"/>
      <c r="CE14" s="19"/>
      <c r="CF14" s="22" t="s">
        <v>1800</v>
      </c>
      <c r="CG14" s="22" t="s">
        <v>1802</v>
      </c>
      <c r="CH14" s="22" t="s">
        <v>1804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1">
        <v>1</v>
      </c>
    </row>
    <row r="15" spans="1:107" ht="30" customHeight="1" x14ac:dyDescent="0.3">
      <c r="F15" s="11">
        <v>1</v>
      </c>
      <c r="G15" s="19"/>
      <c r="H15" s="19"/>
      <c r="I15" s="22" t="s">
        <v>1390</v>
      </c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2" t="s">
        <v>1324</v>
      </c>
      <c r="AA15" s="22" t="s">
        <v>1326</v>
      </c>
      <c r="AB15" s="22" t="s">
        <v>3014</v>
      </c>
      <c r="AC15" s="22" t="s">
        <v>3016</v>
      </c>
      <c r="AD15" s="22" t="s">
        <v>3018</v>
      </c>
      <c r="AE15" s="22" t="s">
        <v>3008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22" t="s">
        <v>3084</v>
      </c>
      <c r="BB15" s="22" t="s">
        <v>3110</v>
      </c>
      <c r="BC15" s="22" t="s">
        <v>3112</v>
      </c>
      <c r="BD15" s="22" t="s">
        <v>3114</v>
      </c>
      <c r="BE15" s="22" t="s">
        <v>3116</v>
      </c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22" t="s">
        <v>1824</v>
      </c>
      <c r="BY15" s="22" t="s">
        <v>1826</v>
      </c>
      <c r="BZ15" s="22" t="s">
        <v>1828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1">
        <v>1</v>
      </c>
    </row>
    <row r="16" spans="1:107" ht="30" customHeight="1" x14ac:dyDescent="0.3">
      <c r="F16" s="11">
        <v>1</v>
      </c>
      <c r="G16" s="19"/>
      <c r="H16" s="19"/>
      <c r="I16" s="22" t="s">
        <v>1392</v>
      </c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22" t="s">
        <v>3010</v>
      </c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22" t="s">
        <v>3086</v>
      </c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21" t="s">
        <v>843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1">
        <v>1</v>
      </c>
    </row>
    <row r="17" spans="6:107" ht="30" customHeight="1" x14ac:dyDescent="0.3">
      <c r="F17" s="11">
        <v>1</v>
      </c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22" t="s">
        <v>3012</v>
      </c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22" t="s">
        <v>3088</v>
      </c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20" t="s">
        <v>35</v>
      </c>
      <c r="DC17" s="11">
        <v>1</v>
      </c>
    </row>
    <row r="18" spans="6:107" ht="30" customHeight="1" x14ac:dyDescent="0.3">
      <c r="F18" s="11">
        <v>1</v>
      </c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22" t="s">
        <v>1340</v>
      </c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22" t="s">
        <v>3090</v>
      </c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21" t="s">
        <v>288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1">
        <v>1</v>
      </c>
    </row>
    <row r="19" spans="6:107" ht="30" customHeight="1" x14ac:dyDescent="0.3">
      <c r="F19" s="11">
        <v>1</v>
      </c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 t="s">
        <v>1334</v>
      </c>
      <c r="V19" s="21" t="s">
        <v>258</v>
      </c>
      <c r="W19" s="19"/>
      <c r="X19" s="19"/>
      <c r="Y19" s="19"/>
      <c r="Z19" s="19"/>
      <c r="AA19" s="22" t="s">
        <v>1338</v>
      </c>
      <c r="AB19" s="19"/>
      <c r="AC19" s="19"/>
      <c r="AD19" s="21" t="s">
        <v>778</v>
      </c>
      <c r="AE19" s="22" t="s">
        <v>1342</v>
      </c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22" t="s">
        <v>3092</v>
      </c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21" t="s">
        <v>818</v>
      </c>
      <c r="BV19" s="21" t="s">
        <v>518</v>
      </c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1">
        <v>1</v>
      </c>
    </row>
    <row r="20" spans="6:107" ht="30" customHeight="1" x14ac:dyDescent="0.3">
      <c r="F20" s="11">
        <v>1</v>
      </c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21" t="s">
        <v>623</v>
      </c>
      <c r="S20" s="19"/>
      <c r="T20" s="19"/>
      <c r="U20" s="22" t="s">
        <v>1336</v>
      </c>
      <c r="V20" s="19"/>
      <c r="W20" s="19"/>
      <c r="X20" s="19"/>
      <c r="Y20" s="19"/>
      <c r="Z20" s="19"/>
      <c r="AA20" s="22" t="s">
        <v>2998</v>
      </c>
      <c r="AB20" s="19"/>
      <c r="AC20" s="19"/>
      <c r="AD20" s="19"/>
      <c r="AE20" s="22" t="s">
        <v>2978</v>
      </c>
      <c r="AF20" s="19"/>
      <c r="AG20" s="19"/>
      <c r="AH20" s="19"/>
      <c r="AI20" s="19"/>
      <c r="AJ20" s="19"/>
      <c r="AK20" s="21" t="s">
        <v>833</v>
      </c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22" t="s">
        <v>3094</v>
      </c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22" t="s">
        <v>2756</v>
      </c>
      <c r="BS20" s="19"/>
      <c r="BT20" s="19"/>
      <c r="BU20" s="21" t="s">
        <v>763</v>
      </c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21" t="s">
        <v>428</v>
      </c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2" t="s">
        <v>1774</v>
      </c>
      <c r="CV20" s="22" t="s">
        <v>1776</v>
      </c>
      <c r="CW20" s="19"/>
      <c r="CX20" s="19"/>
      <c r="CY20" s="19"/>
      <c r="CZ20" s="19"/>
      <c r="DA20" s="19"/>
      <c r="DB20" s="19"/>
      <c r="DC20" s="11">
        <v>1</v>
      </c>
    </row>
    <row r="21" spans="6:107" ht="30" customHeight="1" x14ac:dyDescent="0.3">
      <c r="F21" s="11">
        <v>1</v>
      </c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 t="s">
        <v>3000</v>
      </c>
      <c r="V21" s="22" t="s">
        <v>3002</v>
      </c>
      <c r="W21" s="22" t="s">
        <v>3004</v>
      </c>
      <c r="X21" s="22" t="s">
        <v>3006</v>
      </c>
      <c r="Y21" s="22" t="s">
        <v>1328</v>
      </c>
      <c r="Z21" s="22" t="s">
        <v>1330</v>
      </c>
      <c r="AA21" s="22" t="s">
        <v>1332</v>
      </c>
      <c r="AB21" s="22" t="s">
        <v>2992</v>
      </c>
      <c r="AC21" s="22" t="s">
        <v>2994</v>
      </c>
      <c r="AD21" s="22" t="s">
        <v>2996</v>
      </c>
      <c r="AE21" s="22" t="s">
        <v>2980</v>
      </c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22" t="s">
        <v>3096</v>
      </c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22" t="s">
        <v>2758</v>
      </c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21" t="s">
        <v>363</v>
      </c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2" t="s">
        <v>1778</v>
      </c>
      <c r="CV21" s="22" t="s">
        <v>1780</v>
      </c>
      <c r="CW21" s="19"/>
      <c r="CX21" s="19"/>
      <c r="CY21" s="19"/>
      <c r="CZ21" s="19"/>
      <c r="DA21" s="19"/>
      <c r="DB21" s="19"/>
      <c r="DC21" s="11">
        <v>1</v>
      </c>
    </row>
    <row r="22" spans="6:107" ht="30" customHeight="1" x14ac:dyDescent="0.3">
      <c r="F22" s="11">
        <v>1</v>
      </c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22" t="s">
        <v>2982</v>
      </c>
      <c r="AF22" s="19"/>
      <c r="AG22" s="19"/>
      <c r="AH22" s="19"/>
      <c r="AI22" s="19"/>
      <c r="AJ22" s="19"/>
      <c r="AK22" s="19"/>
      <c r="AL22" s="19"/>
      <c r="AM22" s="21" t="s">
        <v>548</v>
      </c>
      <c r="AN22" s="19"/>
      <c r="AO22" s="19"/>
      <c r="AP22" s="19"/>
      <c r="AQ22" s="19"/>
      <c r="AR22" s="19"/>
      <c r="AS22" s="19"/>
      <c r="AT22" s="20" t="s">
        <v>144</v>
      </c>
      <c r="AU22" s="19"/>
      <c r="AV22" s="19"/>
      <c r="AW22" s="19"/>
      <c r="AX22" s="19"/>
      <c r="AY22" s="19"/>
      <c r="AZ22" s="19"/>
      <c r="BA22" s="22" t="s">
        <v>2798</v>
      </c>
      <c r="BB22" s="22" t="s">
        <v>2804</v>
      </c>
      <c r="BC22" s="22" t="s">
        <v>1858</v>
      </c>
      <c r="BD22" s="22" t="s">
        <v>1860</v>
      </c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22" t="s">
        <v>2760</v>
      </c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2" t="s">
        <v>1782</v>
      </c>
      <c r="CV22" s="22" t="s">
        <v>1784</v>
      </c>
      <c r="CW22" s="19"/>
      <c r="CX22" s="19"/>
      <c r="CY22" s="19"/>
      <c r="CZ22" s="19"/>
      <c r="DA22" s="19"/>
      <c r="DB22" s="19"/>
      <c r="DC22" s="11">
        <v>1</v>
      </c>
    </row>
    <row r="23" spans="6:107" ht="30" customHeight="1" x14ac:dyDescent="0.3">
      <c r="F23" s="11">
        <v>1</v>
      </c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22" t="s">
        <v>2984</v>
      </c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22" t="s">
        <v>2800</v>
      </c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22" t="s">
        <v>2762</v>
      </c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21" t="s">
        <v>653</v>
      </c>
      <c r="CW23" s="19"/>
      <c r="CX23" s="19"/>
      <c r="CY23" s="19"/>
      <c r="CZ23" s="19"/>
      <c r="DA23" s="19"/>
      <c r="DB23" s="19"/>
      <c r="DC23" s="11">
        <v>1</v>
      </c>
    </row>
    <row r="24" spans="6:107" ht="30" customHeight="1" x14ac:dyDescent="0.3">
      <c r="F24" s="11">
        <v>1</v>
      </c>
      <c r="G24" s="21" t="s">
        <v>263</v>
      </c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22" t="s">
        <v>2986</v>
      </c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2" t="s">
        <v>2824</v>
      </c>
      <c r="AR24" s="19"/>
      <c r="AS24" s="19"/>
      <c r="AT24" s="19"/>
      <c r="AU24" s="19"/>
      <c r="AV24" s="19"/>
      <c r="AW24" s="19"/>
      <c r="AX24" s="19"/>
      <c r="AY24" s="19"/>
      <c r="AZ24" s="19"/>
      <c r="BA24" s="22" t="s">
        <v>2802</v>
      </c>
      <c r="BB24" s="19"/>
      <c r="BC24" s="19"/>
      <c r="BD24" s="19"/>
      <c r="BE24" s="19"/>
      <c r="BF24" s="19"/>
      <c r="BG24" s="19"/>
      <c r="BH24" s="19"/>
      <c r="BI24" s="19"/>
      <c r="BJ24" s="19"/>
      <c r="BK24" s="22" t="s">
        <v>2780</v>
      </c>
      <c r="BL24" s="22" t="s">
        <v>2768</v>
      </c>
      <c r="BM24" s="22" t="s">
        <v>2770</v>
      </c>
      <c r="BN24" s="22" t="s">
        <v>2772</v>
      </c>
      <c r="BO24" s="22" t="s">
        <v>2774</v>
      </c>
      <c r="BP24" s="22" t="s">
        <v>2776</v>
      </c>
      <c r="BQ24" s="22" t="s">
        <v>2778</v>
      </c>
      <c r="BR24" s="22" t="s">
        <v>2764</v>
      </c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1" t="s">
        <v>248</v>
      </c>
      <c r="CV24" s="19"/>
      <c r="CW24" s="19"/>
      <c r="CX24" s="19"/>
      <c r="CY24" s="19"/>
      <c r="CZ24" s="19"/>
      <c r="DA24" s="19"/>
      <c r="DB24" s="19"/>
      <c r="DC24" s="11">
        <v>1</v>
      </c>
    </row>
    <row r="25" spans="6:107" ht="30" customHeight="1" x14ac:dyDescent="0.3">
      <c r="F25" s="11">
        <v>1</v>
      </c>
      <c r="G25" s="19"/>
      <c r="H25" s="19"/>
      <c r="I25" s="19"/>
      <c r="J25" s="19"/>
      <c r="K25" s="19"/>
      <c r="L25" s="19"/>
      <c r="M25" s="19"/>
      <c r="N25" s="19"/>
      <c r="O25" s="21" t="s">
        <v>598</v>
      </c>
      <c r="P25" s="19"/>
      <c r="Q25" s="19"/>
      <c r="R25" s="19"/>
      <c r="S25" s="20" t="s">
        <v>3624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22" t="s">
        <v>2988</v>
      </c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22" t="s">
        <v>2826</v>
      </c>
      <c r="AQ25" s="22" t="s">
        <v>2816</v>
      </c>
      <c r="AR25" s="22" t="s">
        <v>2818</v>
      </c>
      <c r="AS25" s="22" t="s">
        <v>2820</v>
      </c>
      <c r="AT25" s="22" t="s">
        <v>2822</v>
      </c>
      <c r="AU25" s="22" t="s">
        <v>1848</v>
      </c>
      <c r="AV25" s="22" t="s">
        <v>2806</v>
      </c>
      <c r="AW25" s="22" t="s">
        <v>2808</v>
      </c>
      <c r="AX25" s="22" t="s">
        <v>2810</v>
      </c>
      <c r="AY25" s="22" t="s">
        <v>2812</v>
      </c>
      <c r="AZ25" s="22" t="s">
        <v>2814</v>
      </c>
      <c r="BA25" s="22" t="s">
        <v>1850</v>
      </c>
      <c r="BB25" s="22" t="s">
        <v>1852</v>
      </c>
      <c r="BC25" s="22" t="s">
        <v>1854</v>
      </c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22" t="s">
        <v>2766</v>
      </c>
      <c r="BS25" s="19"/>
      <c r="BT25" s="19"/>
      <c r="BU25" s="19"/>
      <c r="BV25" s="19"/>
      <c r="BW25" s="19"/>
      <c r="BX25" s="19"/>
      <c r="BY25" s="21" t="s">
        <v>568</v>
      </c>
      <c r="BZ25" s="19"/>
      <c r="CA25" s="19"/>
      <c r="CB25" s="19"/>
      <c r="CC25" s="19"/>
      <c r="CD25" s="19"/>
      <c r="CE25" s="20" t="s">
        <v>25</v>
      </c>
      <c r="CF25" s="19"/>
      <c r="CG25" s="19"/>
      <c r="CH25" s="20" t="s">
        <v>149</v>
      </c>
      <c r="CI25" s="19"/>
      <c r="CJ25" s="19"/>
      <c r="CK25" s="19"/>
      <c r="CL25" s="19"/>
      <c r="CM25" s="19"/>
      <c r="CN25" s="19"/>
      <c r="CO25" s="22" t="s">
        <v>1764</v>
      </c>
      <c r="CP25" s="22" t="s">
        <v>1766</v>
      </c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1">
        <v>1</v>
      </c>
    </row>
    <row r="26" spans="6:107" ht="30" customHeight="1" x14ac:dyDescent="0.3">
      <c r="F26" s="11">
        <v>1</v>
      </c>
      <c r="G26" s="19"/>
      <c r="H26" s="19"/>
      <c r="I26" s="19"/>
      <c r="J26" s="22" t="s">
        <v>2972</v>
      </c>
      <c r="K26" s="22" t="s">
        <v>1394</v>
      </c>
      <c r="L26" s="22" t="s">
        <v>2974</v>
      </c>
      <c r="M26" s="22" t="s">
        <v>2976</v>
      </c>
      <c r="N26" s="22" t="s">
        <v>2968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22" t="s">
        <v>2990</v>
      </c>
      <c r="AF26" s="22" t="s">
        <v>1396</v>
      </c>
      <c r="AG26" s="22" t="s">
        <v>1398</v>
      </c>
      <c r="AH26" s="22" t="s">
        <v>1400</v>
      </c>
      <c r="AI26" s="22" t="s">
        <v>1402</v>
      </c>
      <c r="AJ26" s="22" t="s">
        <v>2836</v>
      </c>
      <c r="AK26" s="22" t="s">
        <v>2838</v>
      </c>
      <c r="AL26" s="22" t="s">
        <v>2840</v>
      </c>
      <c r="AM26" s="22" t="s">
        <v>2842</v>
      </c>
      <c r="AN26" s="22" t="s">
        <v>2844</v>
      </c>
      <c r="AO26" s="22" t="s">
        <v>2846</v>
      </c>
      <c r="AP26" s="22" t="s">
        <v>2828</v>
      </c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22" t="s">
        <v>1856</v>
      </c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22" t="s">
        <v>2744</v>
      </c>
      <c r="BS26" s="19"/>
      <c r="BT26" s="19"/>
      <c r="BU26" s="19"/>
      <c r="BV26" s="19"/>
      <c r="BW26" s="19"/>
      <c r="BX26" s="19"/>
      <c r="BY26" s="19"/>
      <c r="BZ26" s="22" t="s">
        <v>1794</v>
      </c>
      <c r="CA26" s="22" t="s">
        <v>1796</v>
      </c>
      <c r="CB26" s="22" t="s">
        <v>1798</v>
      </c>
      <c r="CC26" s="19"/>
      <c r="CD26" s="19"/>
      <c r="CE26" s="19"/>
      <c r="CF26" s="19"/>
      <c r="CG26" s="19"/>
      <c r="CH26" s="19"/>
      <c r="CI26" s="19"/>
      <c r="CJ26" s="19"/>
      <c r="CK26" s="19"/>
      <c r="CL26" s="20" t="s">
        <v>84</v>
      </c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1">
        <v>1</v>
      </c>
    </row>
    <row r="27" spans="6:107" ht="30" customHeight="1" x14ac:dyDescent="0.3">
      <c r="F27" s="11">
        <v>1</v>
      </c>
      <c r="G27" s="19"/>
      <c r="H27" s="19"/>
      <c r="I27" s="19"/>
      <c r="J27" s="19"/>
      <c r="K27" s="19"/>
      <c r="L27" s="19"/>
      <c r="M27" s="19"/>
      <c r="N27" s="22" t="s">
        <v>2970</v>
      </c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22" t="s">
        <v>2830</v>
      </c>
      <c r="AQ27" s="19"/>
      <c r="AR27" s="19"/>
      <c r="AS27" s="19"/>
      <c r="AT27" s="19"/>
      <c r="AU27" s="19"/>
      <c r="AV27" s="19"/>
      <c r="AW27" s="19"/>
      <c r="AX27" s="19"/>
      <c r="AY27" s="19"/>
      <c r="AZ27" s="21" t="s">
        <v>458</v>
      </c>
      <c r="BA27" s="22" t="s">
        <v>2782</v>
      </c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22" t="s">
        <v>2746</v>
      </c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22" t="s">
        <v>1786</v>
      </c>
      <c r="CE27" s="22" t="s">
        <v>1788</v>
      </c>
      <c r="CF27" s="22" t="s">
        <v>1790</v>
      </c>
      <c r="CG27" s="22" t="s">
        <v>1792</v>
      </c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1">
        <v>1</v>
      </c>
    </row>
    <row r="28" spans="6:107" ht="30" customHeight="1" x14ac:dyDescent="0.3">
      <c r="F28" s="11">
        <v>1</v>
      </c>
      <c r="G28" s="19"/>
      <c r="H28" s="19"/>
      <c r="I28" s="19"/>
      <c r="J28" s="19"/>
      <c r="K28" s="19"/>
      <c r="L28" s="19"/>
      <c r="M28" s="19"/>
      <c r="N28" s="22" t="s">
        <v>1412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21" t="s">
        <v>693</v>
      </c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22" t="s">
        <v>1866</v>
      </c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22" t="s">
        <v>2784</v>
      </c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22" t="s">
        <v>2748</v>
      </c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22" t="s">
        <v>1768</v>
      </c>
      <c r="CM28" s="22" t="s">
        <v>1770</v>
      </c>
      <c r="CN28" s="22" t="s">
        <v>1772</v>
      </c>
      <c r="CO28" s="19"/>
      <c r="CP28" s="19"/>
      <c r="CQ28" s="19"/>
      <c r="CR28" s="19"/>
      <c r="CS28" s="21" t="s">
        <v>838</v>
      </c>
      <c r="CT28" s="19"/>
      <c r="CU28" s="19"/>
      <c r="CV28" s="19"/>
      <c r="CW28" s="19"/>
      <c r="CX28" s="19"/>
      <c r="CY28" s="19"/>
      <c r="CZ28" s="19"/>
      <c r="DA28" s="19"/>
      <c r="DB28" s="19"/>
      <c r="DC28" s="11">
        <v>1</v>
      </c>
    </row>
    <row r="29" spans="6:107" ht="30" hidden="1" customHeight="1" x14ac:dyDescent="0.3">
      <c r="F29" s="11">
        <v>1</v>
      </c>
      <c r="G29" s="19"/>
      <c r="H29" s="19"/>
      <c r="I29" s="19"/>
      <c r="J29" s="19"/>
      <c r="K29" s="19"/>
      <c r="L29" s="19"/>
      <c r="M29" s="19"/>
      <c r="N29" s="22" t="s">
        <v>2962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22" t="s">
        <v>1868</v>
      </c>
      <c r="AQ29" s="19"/>
      <c r="AR29" s="19"/>
      <c r="AS29" s="19"/>
      <c r="AT29" s="19"/>
      <c r="AU29" s="19"/>
      <c r="AV29" s="19"/>
      <c r="AW29" s="19"/>
      <c r="AX29" s="21" t="s">
        <v>618</v>
      </c>
      <c r="AY29" s="19"/>
      <c r="AZ29" s="19"/>
      <c r="BA29" s="22" t="s">
        <v>2786</v>
      </c>
      <c r="BB29" s="22" t="s">
        <v>2796</v>
      </c>
      <c r="BC29" s="21" t="s">
        <v>768</v>
      </c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21" t="s">
        <v>808</v>
      </c>
      <c r="BQ29" s="19"/>
      <c r="BR29" s="22" t="s">
        <v>2750</v>
      </c>
      <c r="BS29" s="19"/>
      <c r="BT29" s="19"/>
      <c r="BU29" s="19"/>
      <c r="BV29" s="19"/>
      <c r="BW29" s="22" t="s">
        <v>1424</v>
      </c>
      <c r="BX29" s="22" t="s">
        <v>1426</v>
      </c>
      <c r="BY29" s="22" t="s">
        <v>1428</v>
      </c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1">
        <v>1</v>
      </c>
    </row>
    <row r="30" spans="6:107" ht="30" hidden="1" customHeight="1" x14ac:dyDescent="0.3">
      <c r="F30" s="11">
        <v>1</v>
      </c>
      <c r="G30" s="19"/>
      <c r="H30" s="19"/>
      <c r="I30" s="19"/>
      <c r="J30" s="19"/>
      <c r="K30" s="19"/>
      <c r="L30" s="19"/>
      <c r="M30" s="19"/>
      <c r="N30" s="22" t="s">
        <v>2964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22" t="s">
        <v>1870</v>
      </c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22" t="s">
        <v>1862</v>
      </c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22" t="s">
        <v>2752</v>
      </c>
      <c r="BS30" s="19"/>
      <c r="BT30" s="19"/>
      <c r="BU30" s="19"/>
      <c r="BV30" s="19"/>
      <c r="BW30" s="19"/>
      <c r="BX30" s="19"/>
      <c r="BY30" s="19"/>
      <c r="BZ30" s="19"/>
      <c r="CA30" s="21" t="s">
        <v>448</v>
      </c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1">
        <v>1</v>
      </c>
    </row>
    <row r="31" spans="6:107" ht="30" hidden="1" customHeight="1" x14ac:dyDescent="0.3">
      <c r="F31" s="11">
        <v>1</v>
      </c>
      <c r="G31" s="19"/>
      <c r="H31" s="19"/>
      <c r="I31" s="19"/>
      <c r="J31" s="19"/>
      <c r="K31" s="19"/>
      <c r="L31" s="19"/>
      <c r="M31" s="19"/>
      <c r="N31" s="22" t="s">
        <v>2966</v>
      </c>
      <c r="O31" s="19"/>
      <c r="P31" s="19"/>
      <c r="Q31" s="20" t="s">
        <v>74</v>
      </c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20" t="s">
        <v>109</v>
      </c>
      <c r="AE31" s="19"/>
      <c r="AF31" s="19"/>
      <c r="AG31" s="21" t="s">
        <v>413</v>
      </c>
      <c r="AH31" s="19"/>
      <c r="AI31" s="19"/>
      <c r="AJ31" s="19"/>
      <c r="AK31" s="19"/>
      <c r="AL31" s="19"/>
      <c r="AM31" s="19"/>
      <c r="AN31" s="19"/>
      <c r="AO31" s="19"/>
      <c r="AP31" s="22" t="s">
        <v>2832</v>
      </c>
      <c r="AQ31" s="22" t="s">
        <v>2834</v>
      </c>
      <c r="AR31" s="22" t="s">
        <v>1864</v>
      </c>
      <c r="AS31" s="19"/>
      <c r="AT31" s="19"/>
      <c r="AU31" s="19"/>
      <c r="AV31" s="19"/>
      <c r="AW31" s="19"/>
      <c r="AX31" s="19"/>
      <c r="AY31" s="19"/>
      <c r="AZ31" s="19"/>
      <c r="BA31" s="22" t="s">
        <v>2788</v>
      </c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20" t="s">
        <v>139</v>
      </c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1">
        <v>1</v>
      </c>
    </row>
    <row r="32" spans="6:107" ht="30" hidden="1" customHeight="1" x14ac:dyDescent="0.3">
      <c r="F32" s="11">
        <v>1</v>
      </c>
      <c r="G32" s="19"/>
      <c r="H32" s="19"/>
      <c r="I32" s="19"/>
      <c r="J32" s="19"/>
      <c r="K32" s="19"/>
      <c r="L32" s="19"/>
      <c r="M32" s="19"/>
      <c r="N32" s="22" t="s">
        <v>1408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22" t="s">
        <v>1404</v>
      </c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22" t="s">
        <v>2790</v>
      </c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22" t="s">
        <v>2754</v>
      </c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22" t="s">
        <v>1430</v>
      </c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22" t="s">
        <v>1752</v>
      </c>
      <c r="CZ32" s="22" t="s">
        <v>1754</v>
      </c>
      <c r="DA32" s="22" t="s">
        <v>1756</v>
      </c>
      <c r="DB32" s="19"/>
      <c r="DC32" s="11">
        <v>1</v>
      </c>
    </row>
    <row r="33" spans="6:107" ht="30" hidden="1" customHeight="1" x14ac:dyDescent="0.3">
      <c r="F33" s="11">
        <v>1</v>
      </c>
      <c r="G33" s="19"/>
      <c r="H33" s="19"/>
      <c r="I33" s="19"/>
      <c r="J33" s="19"/>
      <c r="K33" s="19"/>
      <c r="L33" s="19"/>
      <c r="M33" s="19"/>
      <c r="N33" s="22" t="s">
        <v>1410</v>
      </c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22" t="s">
        <v>1406</v>
      </c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22" t="s">
        <v>2792</v>
      </c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22" t="s">
        <v>2726</v>
      </c>
      <c r="BS33" s="22" t="s">
        <v>1418</v>
      </c>
      <c r="BT33" s="22" t="s">
        <v>1420</v>
      </c>
      <c r="BU33" s="22" t="s">
        <v>1422</v>
      </c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22" t="s">
        <v>1432</v>
      </c>
      <c r="CJ33" s="19"/>
      <c r="CK33" s="19"/>
      <c r="CL33" s="19"/>
      <c r="CM33" s="19"/>
      <c r="CN33" s="19"/>
      <c r="CO33" s="19"/>
      <c r="CP33" s="19"/>
      <c r="CQ33" s="22" t="s">
        <v>1436</v>
      </c>
      <c r="CR33" s="22" t="s">
        <v>1438</v>
      </c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1">
        <v>1</v>
      </c>
    </row>
    <row r="34" spans="6:107" ht="30" hidden="1" customHeight="1" x14ac:dyDescent="0.3">
      <c r="F34" s="11">
        <v>1</v>
      </c>
      <c r="G34" s="19"/>
      <c r="H34" s="19"/>
      <c r="I34" s="19"/>
      <c r="J34" s="19"/>
      <c r="K34" s="19"/>
      <c r="L34" s="19"/>
      <c r="M34" s="19"/>
      <c r="N34" s="22" t="s">
        <v>2958</v>
      </c>
      <c r="O34" s="19"/>
      <c r="P34" s="19"/>
      <c r="Q34" s="20" t="s">
        <v>69</v>
      </c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22" t="s">
        <v>2862</v>
      </c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21" t="s">
        <v>438</v>
      </c>
      <c r="BA34" s="22" t="s">
        <v>2794</v>
      </c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22" t="s">
        <v>2728</v>
      </c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22" t="s">
        <v>1434</v>
      </c>
      <c r="CJ34" s="19"/>
      <c r="CK34" s="19"/>
      <c r="CL34" s="19"/>
      <c r="CM34" s="19"/>
      <c r="CN34" s="19"/>
      <c r="CO34" s="19"/>
      <c r="CP34" s="19"/>
      <c r="CQ34" s="22" t="s">
        <v>1440</v>
      </c>
      <c r="CR34" s="22" t="s">
        <v>1442</v>
      </c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1">
        <v>1</v>
      </c>
    </row>
    <row r="35" spans="6:107" ht="30" hidden="1" customHeight="1" x14ac:dyDescent="0.3">
      <c r="F35" s="11">
        <v>1</v>
      </c>
      <c r="G35" s="19"/>
      <c r="H35" s="19"/>
      <c r="I35" s="19"/>
      <c r="J35" s="19"/>
      <c r="K35" s="19"/>
      <c r="L35" s="19"/>
      <c r="M35" s="19"/>
      <c r="N35" s="22" t="s">
        <v>2960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22" t="s">
        <v>2864</v>
      </c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22" t="s">
        <v>1974</v>
      </c>
      <c r="BA35" s="22" t="s">
        <v>1202</v>
      </c>
      <c r="BB35" s="22" t="s">
        <v>1204</v>
      </c>
      <c r="BC35" s="22" t="s">
        <v>1206</v>
      </c>
      <c r="BD35" s="22" t="s">
        <v>1208</v>
      </c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22" t="s">
        <v>2730</v>
      </c>
      <c r="BS35" s="20" t="s">
        <v>60</v>
      </c>
      <c r="BT35" s="19"/>
      <c r="BU35" s="19"/>
      <c r="BV35" s="19"/>
      <c r="BW35" s="19"/>
      <c r="BX35" s="19"/>
      <c r="BY35" s="19"/>
      <c r="BZ35" s="19"/>
      <c r="CA35" s="22" t="s">
        <v>1196</v>
      </c>
      <c r="CB35" s="22" t="s">
        <v>1198</v>
      </c>
      <c r="CC35" s="22" t="s">
        <v>1200</v>
      </c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1">
        <v>1</v>
      </c>
    </row>
    <row r="36" spans="6:107" ht="30" hidden="1" customHeight="1" x14ac:dyDescent="0.3">
      <c r="F36" s="11">
        <v>1</v>
      </c>
      <c r="G36" s="19"/>
      <c r="H36" s="19"/>
      <c r="I36" s="22" t="s">
        <v>1310</v>
      </c>
      <c r="J36" s="22" t="s">
        <v>1312</v>
      </c>
      <c r="K36" s="22" t="s">
        <v>1314</v>
      </c>
      <c r="L36" s="22" t="s">
        <v>1316</v>
      </c>
      <c r="M36" s="22" t="s">
        <v>1318</v>
      </c>
      <c r="N36" s="22" t="s">
        <v>1320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22" t="s">
        <v>2848</v>
      </c>
      <c r="AG36" s="22" t="s">
        <v>2860</v>
      </c>
      <c r="AH36" s="22" t="s">
        <v>1250</v>
      </c>
      <c r="AI36" s="22" t="s">
        <v>1252</v>
      </c>
      <c r="AJ36" s="22" t="s">
        <v>1254</v>
      </c>
      <c r="AK36" s="22" t="s">
        <v>1256</v>
      </c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22" t="s">
        <v>1976</v>
      </c>
      <c r="BA36" s="19"/>
      <c r="BB36" s="19"/>
      <c r="BC36" s="19"/>
      <c r="BD36" s="22" t="s">
        <v>1984</v>
      </c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22" t="s">
        <v>2732</v>
      </c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21" t="s">
        <v>748</v>
      </c>
      <c r="CT36" s="19"/>
      <c r="CU36" s="19"/>
      <c r="CV36" s="19"/>
      <c r="CW36" s="19"/>
      <c r="CX36" s="19"/>
      <c r="CY36" s="19"/>
      <c r="CZ36" s="19"/>
      <c r="DA36" s="19"/>
      <c r="DB36" s="19"/>
      <c r="DC36" s="11">
        <v>1</v>
      </c>
    </row>
    <row r="37" spans="6:107" ht="30" hidden="1" customHeight="1" x14ac:dyDescent="0.3">
      <c r="F37" s="11">
        <v>1</v>
      </c>
      <c r="G37" s="19"/>
      <c r="H37" s="19"/>
      <c r="I37" s="19"/>
      <c r="J37" s="19"/>
      <c r="K37" s="19"/>
      <c r="L37" s="19"/>
      <c r="M37" s="19"/>
      <c r="N37" s="22" t="s">
        <v>1322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21" t="s">
        <v>643</v>
      </c>
      <c r="AA37" s="19"/>
      <c r="AB37" s="20" t="s">
        <v>174</v>
      </c>
      <c r="AC37" s="19"/>
      <c r="AD37" s="19"/>
      <c r="AE37" s="19"/>
      <c r="AF37" s="22" t="s">
        <v>2850</v>
      </c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22" t="s">
        <v>1978</v>
      </c>
      <c r="BA37" s="19"/>
      <c r="BB37" s="19"/>
      <c r="BC37" s="19"/>
      <c r="BD37" s="22" t="s">
        <v>1986</v>
      </c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22" t="s">
        <v>2734</v>
      </c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1">
        <v>1</v>
      </c>
    </row>
    <row r="38" spans="6:107" ht="30" hidden="1" customHeight="1" x14ac:dyDescent="0.3">
      <c r="F38" s="11">
        <v>1</v>
      </c>
      <c r="G38" s="19"/>
      <c r="H38" s="19"/>
      <c r="I38" s="19"/>
      <c r="J38" s="19"/>
      <c r="K38" s="19"/>
      <c r="L38" s="19"/>
      <c r="M38" s="19"/>
      <c r="N38" s="22" t="s">
        <v>2956</v>
      </c>
      <c r="O38" s="19"/>
      <c r="P38" s="21" t="s">
        <v>853</v>
      </c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22" t="s">
        <v>2852</v>
      </c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22" t="s">
        <v>1980</v>
      </c>
      <c r="BA38" s="19"/>
      <c r="BB38" s="19"/>
      <c r="BC38" s="19"/>
      <c r="BD38" s="22" t="s">
        <v>1988</v>
      </c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22" t="s">
        <v>2736</v>
      </c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22" t="s">
        <v>1444</v>
      </c>
      <c r="CQ38" s="22" t="s">
        <v>1446</v>
      </c>
      <c r="CR38" s="22" t="s">
        <v>1448</v>
      </c>
      <c r="CS38" s="22" t="s">
        <v>1450</v>
      </c>
      <c r="CT38" s="19"/>
      <c r="CU38" s="19"/>
      <c r="CV38" s="19"/>
      <c r="CW38" s="19"/>
      <c r="CX38" s="19"/>
      <c r="CY38" s="21" t="s">
        <v>278</v>
      </c>
      <c r="CZ38" s="19"/>
      <c r="DA38" s="19"/>
      <c r="DB38" s="19"/>
      <c r="DC38" s="11">
        <v>1</v>
      </c>
    </row>
    <row r="39" spans="6:107" ht="30" hidden="1" customHeight="1" x14ac:dyDescent="0.3">
      <c r="F39" s="11">
        <v>1</v>
      </c>
      <c r="G39" s="19"/>
      <c r="H39" s="19"/>
      <c r="I39" s="19"/>
      <c r="J39" s="20" t="s">
        <v>219</v>
      </c>
      <c r="K39" s="19"/>
      <c r="L39" s="19"/>
      <c r="M39" s="19"/>
      <c r="N39" s="22" t="s">
        <v>2942</v>
      </c>
      <c r="O39" s="22" t="s">
        <v>2944</v>
      </c>
      <c r="P39" s="22" t="s">
        <v>2946</v>
      </c>
      <c r="Q39" s="22" t="s">
        <v>2948</v>
      </c>
      <c r="R39" s="22" t="s">
        <v>2950</v>
      </c>
      <c r="S39" s="22" t="s">
        <v>2952</v>
      </c>
      <c r="T39" s="22" t="s">
        <v>2954</v>
      </c>
      <c r="U39" s="22" t="s">
        <v>1266</v>
      </c>
      <c r="V39" s="22" t="s">
        <v>1268</v>
      </c>
      <c r="W39" s="22" t="s">
        <v>1270</v>
      </c>
      <c r="X39" s="22" t="s">
        <v>1272</v>
      </c>
      <c r="Y39" s="19"/>
      <c r="Z39" s="19"/>
      <c r="AA39" s="20" t="s">
        <v>65</v>
      </c>
      <c r="AB39" s="19"/>
      <c r="AC39" s="19"/>
      <c r="AD39" s="19"/>
      <c r="AE39" s="19"/>
      <c r="AF39" s="22" t="s">
        <v>2854</v>
      </c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22" t="s">
        <v>1972</v>
      </c>
      <c r="AU39" s="22" t="s">
        <v>1210</v>
      </c>
      <c r="AV39" s="22" t="s">
        <v>1212</v>
      </c>
      <c r="AW39" s="22" t="s">
        <v>1214</v>
      </c>
      <c r="AX39" s="22" t="s">
        <v>1216</v>
      </c>
      <c r="AY39" s="22" t="s">
        <v>1218</v>
      </c>
      <c r="AZ39" s="22" t="s">
        <v>1982</v>
      </c>
      <c r="BA39" s="19"/>
      <c r="BB39" s="19"/>
      <c r="BC39" s="19"/>
      <c r="BD39" s="22" t="s">
        <v>1188</v>
      </c>
      <c r="BE39" s="22" t="s">
        <v>1190</v>
      </c>
      <c r="BF39" s="22" t="s">
        <v>1192</v>
      </c>
      <c r="BG39" s="22" t="s">
        <v>1194</v>
      </c>
      <c r="BH39" s="22" t="s">
        <v>2000</v>
      </c>
      <c r="BI39" s="22" t="s">
        <v>2006</v>
      </c>
      <c r="BJ39" s="22" t="s">
        <v>2008</v>
      </c>
      <c r="BK39" s="22" t="s">
        <v>1186</v>
      </c>
      <c r="BL39" s="22" t="s">
        <v>2010</v>
      </c>
      <c r="BM39" s="19"/>
      <c r="BN39" s="19"/>
      <c r="BO39" s="20" t="s">
        <v>229</v>
      </c>
      <c r="BP39" s="19"/>
      <c r="BQ39" s="19"/>
      <c r="BR39" s="22" t="s">
        <v>2738</v>
      </c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21" t="s">
        <v>488</v>
      </c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1">
        <v>1</v>
      </c>
    </row>
    <row r="40" spans="6:107" ht="30" hidden="1" customHeight="1" x14ac:dyDescent="0.3">
      <c r="F40" s="11">
        <v>1</v>
      </c>
      <c r="G40" s="19"/>
      <c r="H40" s="19"/>
      <c r="I40" s="19"/>
      <c r="J40" s="21" t="s">
        <v>668</v>
      </c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2" t="s">
        <v>2876</v>
      </c>
      <c r="V40" s="19"/>
      <c r="W40" s="19"/>
      <c r="X40" s="22" t="s">
        <v>2874</v>
      </c>
      <c r="Y40" s="19"/>
      <c r="Z40" s="19"/>
      <c r="AA40" s="19"/>
      <c r="AB40" s="19"/>
      <c r="AC40" s="19"/>
      <c r="AD40" s="19"/>
      <c r="AE40" s="19"/>
      <c r="AF40" s="22" t="s">
        <v>2856</v>
      </c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22" t="s">
        <v>1994</v>
      </c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22" t="s">
        <v>2002</v>
      </c>
      <c r="BI40" s="19"/>
      <c r="BJ40" s="19"/>
      <c r="BK40" s="19"/>
      <c r="BL40" s="22" t="s">
        <v>2012</v>
      </c>
      <c r="BM40" s="19"/>
      <c r="BN40" s="19"/>
      <c r="BO40" s="19"/>
      <c r="BP40" s="19"/>
      <c r="BQ40" s="19"/>
      <c r="BR40" s="22" t="s">
        <v>2740</v>
      </c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22" t="s">
        <v>1150</v>
      </c>
      <c r="CE40" s="21" t="s">
        <v>638</v>
      </c>
      <c r="CF40" s="22" t="s">
        <v>1152</v>
      </c>
      <c r="CG40" s="22" t="s">
        <v>1154</v>
      </c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22" t="s">
        <v>1758</v>
      </c>
      <c r="CX40" s="22" t="s">
        <v>1760</v>
      </c>
      <c r="CY40" s="19"/>
      <c r="CZ40" s="19"/>
      <c r="DA40" s="19"/>
      <c r="DB40" s="19"/>
      <c r="DC40" s="11">
        <v>1</v>
      </c>
    </row>
    <row r="41" spans="6:107" ht="30" hidden="1" customHeight="1" x14ac:dyDescent="0.3">
      <c r="F41" s="11">
        <v>1</v>
      </c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2" t="s">
        <v>2878</v>
      </c>
      <c r="V41" s="19"/>
      <c r="W41" s="19"/>
      <c r="X41" s="22" t="s">
        <v>1258</v>
      </c>
      <c r="Y41" s="22" t="s">
        <v>1260</v>
      </c>
      <c r="Z41" s="22" t="s">
        <v>1262</v>
      </c>
      <c r="AA41" s="22" t="s">
        <v>1264</v>
      </c>
      <c r="AB41" s="22" t="s">
        <v>2866</v>
      </c>
      <c r="AC41" s="22" t="s">
        <v>2868</v>
      </c>
      <c r="AD41" s="22" t="s">
        <v>2870</v>
      </c>
      <c r="AE41" s="22" t="s">
        <v>2872</v>
      </c>
      <c r="AF41" s="22" t="s">
        <v>2858</v>
      </c>
      <c r="AG41" s="22" t="s">
        <v>1244</v>
      </c>
      <c r="AH41" s="22" t="s">
        <v>1246</v>
      </c>
      <c r="AI41" s="22" t="s">
        <v>1248</v>
      </c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22" t="s">
        <v>1996</v>
      </c>
      <c r="AU41" s="19"/>
      <c r="AV41" s="19"/>
      <c r="AW41" s="21" t="s">
        <v>608</v>
      </c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22" t="s">
        <v>2004</v>
      </c>
      <c r="BI41" s="19"/>
      <c r="BJ41" s="19"/>
      <c r="BK41" s="19"/>
      <c r="BL41" s="22" t="s">
        <v>2014</v>
      </c>
      <c r="BM41" s="19"/>
      <c r="BN41" s="19"/>
      <c r="BO41" s="19"/>
      <c r="BP41" s="19"/>
      <c r="BQ41" s="19"/>
      <c r="BR41" s="22" t="s">
        <v>2742</v>
      </c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20" t="s">
        <v>40</v>
      </c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20" t="s">
        <v>55</v>
      </c>
      <c r="CX41" s="22" t="s">
        <v>1762</v>
      </c>
      <c r="CY41" s="19"/>
      <c r="CZ41" s="19"/>
      <c r="DA41" s="21" t="s">
        <v>373</v>
      </c>
      <c r="DB41" s="19"/>
      <c r="DC41" s="11">
        <v>1</v>
      </c>
    </row>
    <row r="42" spans="6:107" ht="30" hidden="1" customHeight="1" x14ac:dyDescent="0.3">
      <c r="F42" s="11">
        <v>1</v>
      </c>
      <c r="G42" s="19"/>
      <c r="H42" s="19"/>
      <c r="I42" s="22" t="s">
        <v>2928</v>
      </c>
      <c r="J42" s="22" t="s">
        <v>2934</v>
      </c>
      <c r="K42" s="22" t="s">
        <v>2936</v>
      </c>
      <c r="L42" s="22" t="s">
        <v>2938</v>
      </c>
      <c r="M42" s="22" t="s">
        <v>2940</v>
      </c>
      <c r="N42" s="22" t="s">
        <v>1280</v>
      </c>
      <c r="O42" s="22" t="s">
        <v>1282</v>
      </c>
      <c r="P42" s="22" t="s">
        <v>1284</v>
      </c>
      <c r="Q42" s="22" t="s">
        <v>1286</v>
      </c>
      <c r="R42" s="22" t="s">
        <v>1288</v>
      </c>
      <c r="S42" s="22" t="s">
        <v>2898</v>
      </c>
      <c r="T42" s="22" t="s">
        <v>2900</v>
      </c>
      <c r="U42" s="22" t="s">
        <v>2880</v>
      </c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22" t="s">
        <v>1998</v>
      </c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22" t="s">
        <v>2016</v>
      </c>
      <c r="BM42" s="19"/>
      <c r="BN42" s="19"/>
      <c r="BO42" s="19"/>
      <c r="BP42" s="19"/>
      <c r="BQ42" s="19"/>
      <c r="BR42" s="22" t="s">
        <v>1178</v>
      </c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1">
        <v>1</v>
      </c>
    </row>
    <row r="43" spans="6:107" ht="30" hidden="1" customHeight="1" x14ac:dyDescent="0.3">
      <c r="F43" s="11">
        <v>1</v>
      </c>
      <c r="G43" s="19"/>
      <c r="H43" s="19"/>
      <c r="I43" s="22" t="s">
        <v>2930</v>
      </c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2" t="s">
        <v>2882</v>
      </c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22" t="s">
        <v>1242</v>
      </c>
      <c r="AL43" s="22" t="s">
        <v>1228</v>
      </c>
      <c r="AM43" s="22" t="s">
        <v>1230</v>
      </c>
      <c r="AN43" s="22" t="s">
        <v>1232</v>
      </c>
      <c r="AO43" s="22" t="s">
        <v>1234</v>
      </c>
      <c r="AP43" s="22" t="s">
        <v>1956</v>
      </c>
      <c r="AQ43" s="22" t="s">
        <v>1958</v>
      </c>
      <c r="AR43" s="22" t="s">
        <v>1960</v>
      </c>
      <c r="AS43" s="22" t="s">
        <v>1990</v>
      </c>
      <c r="AT43" s="22" t="s">
        <v>1992</v>
      </c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22" t="s">
        <v>2018</v>
      </c>
      <c r="BM43" s="19"/>
      <c r="BN43" s="19"/>
      <c r="BO43" s="19"/>
      <c r="BP43" s="19"/>
      <c r="BQ43" s="19"/>
      <c r="BR43" s="22" t="s">
        <v>1180</v>
      </c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22" t="s">
        <v>1156</v>
      </c>
      <c r="CF43" s="22" t="s">
        <v>1158</v>
      </c>
      <c r="CG43" s="22" t="s">
        <v>1160</v>
      </c>
      <c r="CH43" s="22" t="s">
        <v>1162</v>
      </c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1">
        <v>1</v>
      </c>
    </row>
    <row r="44" spans="6:107" ht="30" hidden="1" customHeight="1" x14ac:dyDescent="0.3">
      <c r="F44" s="11">
        <v>1</v>
      </c>
      <c r="G44" s="19"/>
      <c r="H44" s="19"/>
      <c r="I44" s="22" t="s">
        <v>2932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2" t="s">
        <v>2884</v>
      </c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22" t="s">
        <v>1888</v>
      </c>
      <c r="AI44" s="22" t="s">
        <v>1890</v>
      </c>
      <c r="AJ44" s="19"/>
      <c r="AK44" s="19"/>
      <c r="AL44" s="19"/>
      <c r="AM44" s="19"/>
      <c r="AN44" s="22" t="s">
        <v>1962</v>
      </c>
      <c r="AO44" s="19"/>
      <c r="AP44" s="21" t="s">
        <v>713</v>
      </c>
      <c r="AQ44" s="22" t="s">
        <v>1966</v>
      </c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22" t="s">
        <v>2020</v>
      </c>
      <c r="BM44" s="19"/>
      <c r="BN44" s="21" t="s">
        <v>918</v>
      </c>
      <c r="BO44" s="19"/>
      <c r="BP44" s="19"/>
      <c r="BQ44" s="19"/>
      <c r="BR44" s="22" t="s">
        <v>1182</v>
      </c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22" t="s">
        <v>1744</v>
      </c>
      <c r="DA44" s="22" t="s">
        <v>1746</v>
      </c>
      <c r="DB44" s="19"/>
      <c r="DC44" s="11">
        <v>1</v>
      </c>
    </row>
    <row r="45" spans="6:107" ht="30" hidden="1" customHeight="1" x14ac:dyDescent="0.3">
      <c r="F45" s="11">
        <v>1</v>
      </c>
      <c r="G45" s="19"/>
      <c r="H45" s="19"/>
      <c r="I45" s="22" t="s">
        <v>1290</v>
      </c>
      <c r="J45" s="19"/>
      <c r="K45" s="19"/>
      <c r="L45" s="19"/>
      <c r="M45" s="19"/>
      <c r="N45" s="19"/>
      <c r="O45" s="19"/>
      <c r="P45" s="22" t="s">
        <v>2888</v>
      </c>
      <c r="Q45" s="22" t="s">
        <v>2890</v>
      </c>
      <c r="R45" s="22" t="s">
        <v>2892</v>
      </c>
      <c r="S45" s="22" t="s">
        <v>2894</v>
      </c>
      <c r="T45" s="22" t="s">
        <v>2896</v>
      </c>
      <c r="U45" s="22" t="s">
        <v>2886</v>
      </c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22" t="s">
        <v>1220</v>
      </c>
      <c r="AO45" s="19"/>
      <c r="AP45" s="19"/>
      <c r="AQ45" s="22" t="s">
        <v>1968</v>
      </c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22" t="s">
        <v>2022</v>
      </c>
      <c r="BM45" s="19"/>
      <c r="BN45" s="19"/>
      <c r="BO45" s="19"/>
      <c r="BP45" s="19"/>
      <c r="BQ45" s="19"/>
      <c r="BR45" s="22" t="s">
        <v>1184</v>
      </c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21" t="s">
        <v>798</v>
      </c>
      <c r="CI45" s="19"/>
      <c r="CJ45" s="19"/>
      <c r="CK45" s="19"/>
      <c r="CL45" s="19"/>
      <c r="CM45" s="22" t="s">
        <v>1452</v>
      </c>
      <c r="CN45" s="22" t="s">
        <v>1454</v>
      </c>
      <c r="CO45" s="21" t="s">
        <v>588</v>
      </c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22" t="s">
        <v>1748</v>
      </c>
      <c r="DA45" s="22" t="s">
        <v>1750</v>
      </c>
      <c r="DB45" s="19"/>
      <c r="DC45" s="11">
        <v>1</v>
      </c>
    </row>
    <row r="46" spans="6:107" ht="30" hidden="1" customHeight="1" x14ac:dyDescent="0.3">
      <c r="F46" s="11">
        <v>1</v>
      </c>
      <c r="G46" s="19"/>
      <c r="H46" s="19"/>
      <c r="I46" s="22" t="s">
        <v>1292</v>
      </c>
      <c r="J46" s="20" t="s">
        <v>159</v>
      </c>
      <c r="K46" s="21" t="s">
        <v>753</v>
      </c>
      <c r="L46" s="19"/>
      <c r="M46" s="19"/>
      <c r="N46" s="19"/>
      <c r="O46" s="19"/>
      <c r="P46" s="19"/>
      <c r="Q46" s="19"/>
      <c r="R46" s="22" t="s">
        <v>2902</v>
      </c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22" t="s">
        <v>1892</v>
      </c>
      <c r="AI46" s="19"/>
      <c r="AJ46" s="19"/>
      <c r="AK46" s="19"/>
      <c r="AL46" s="19"/>
      <c r="AM46" s="19"/>
      <c r="AN46" s="22" t="s">
        <v>1222</v>
      </c>
      <c r="AO46" s="19"/>
      <c r="AP46" s="19"/>
      <c r="AQ46" s="22" t="s">
        <v>1236</v>
      </c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22" t="s">
        <v>2024</v>
      </c>
      <c r="BM46" s="19"/>
      <c r="BN46" s="19"/>
      <c r="BO46" s="19"/>
      <c r="BP46" s="19"/>
      <c r="BQ46" s="19"/>
      <c r="BR46" s="22" t="s">
        <v>2718</v>
      </c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22" t="s">
        <v>1140</v>
      </c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1">
        <v>1</v>
      </c>
    </row>
    <row r="47" spans="6:107" ht="30" hidden="1" customHeight="1" x14ac:dyDescent="0.3">
      <c r="F47" s="11">
        <v>1</v>
      </c>
      <c r="G47" s="19"/>
      <c r="H47" s="19"/>
      <c r="I47" s="22" t="s">
        <v>1294</v>
      </c>
      <c r="J47" s="19"/>
      <c r="K47" s="19"/>
      <c r="L47" s="19"/>
      <c r="M47" s="19"/>
      <c r="N47" s="19"/>
      <c r="O47" s="19"/>
      <c r="P47" s="19"/>
      <c r="Q47" s="19"/>
      <c r="R47" s="21" t="s">
        <v>293</v>
      </c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22" t="s">
        <v>1894</v>
      </c>
      <c r="AI47" s="19"/>
      <c r="AJ47" s="19"/>
      <c r="AK47" s="21" t="s">
        <v>528</v>
      </c>
      <c r="AL47" s="19"/>
      <c r="AM47" s="19"/>
      <c r="AN47" s="22" t="s">
        <v>1224</v>
      </c>
      <c r="AO47" s="19"/>
      <c r="AP47" s="19"/>
      <c r="AQ47" s="22" t="s">
        <v>1238</v>
      </c>
      <c r="AR47" s="19"/>
      <c r="AS47" s="21" t="s">
        <v>343</v>
      </c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22" t="s">
        <v>1172</v>
      </c>
      <c r="BK47" s="22" t="s">
        <v>1174</v>
      </c>
      <c r="BL47" s="22" t="s">
        <v>1176</v>
      </c>
      <c r="BM47" s="19"/>
      <c r="BN47" s="19"/>
      <c r="BO47" s="19"/>
      <c r="BP47" s="19"/>
      <c r="BQ47" s="19"/>
      <c r="BR47" s="22" t="s">
        <v>2720</v>
      </c>
      <c r="BS47" s="19"/>
      <c r="BT47" s="19"/>
      <c r="BU47" s="19"/>
      <c r="BV47" s="21" t="s">
        <v>333</v>
      </c>
      <c r="BW47" s="19"/>
      <c r="BX47" s="19"/>
      <c r="BY47" s="19"/>
      <c r="BZ47" s="19"/>
      <c r="CA47" s="21" t="s">
        <v>678</v>
      </c>
      <c r="CB47" s="19"/>
      <c r="CC47" s="19"/>
      <c r="CD47" s="19"/>
      <c r="CE47" s="22" t="s">
        <v>1142</v>
      </c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22" t="s">
        <v>1456</v>
      </c>
      <c r="CT47" s="22" t="s">
        <v>1458</v>
      </c>
      <c r="CU47" s="22" t="s">
        <v>1460</v>
      </c>
      <c r="CV47" s="19"/>
      <c r="CW47" s="19"/>
      <c r="CX47" s="19"/>
      <c r="CY47" s="19"/>
      <c r="CZ47" s="19"/>
      <c r="DA47" s="19"/>
      <c r="DB47" s="19"/>
      <c r="DC47" s="11">
        <v>1</v>
      </c>
    </row>
    <row r="48" spans="6:107" ht="30" hidden="1" customHeight="1" x14ac:dyDescent="0.3">
      <c r="F48" s="11">
        <v>1</v>
      </c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22" t="s">
        <v>2904</v>
      </c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22" t="s">
        <v>1896</v>
      </c>
      <c r="AI48" s="19"/>
      <c r="AJ48" s="19"/>
      <c r="AK48" s="19"/>
      <c r="AL48" s="19"/>
      <c r="AM48" s="19"/>
      <c r="AN48" s="22" t="s">
        <v>1226</v>
      </c>
      <c r="AO48" s="19"/>
      <c r="AP48" s="19"/>
      <c r="AQ48" s="22" t="s">
        <v>1240</v>
      </c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22" t="s">
        <v>2026</v>
      </c>
      <c r="BM48" s="19"/>
      <c r="BN48" s="19"/>
      <c r="BO48" s="19"/>
      <c r="BP48" s="19"/>
      <c r="BQ48" s="19"/>
      <c r="BR48" s="22" t="s">
        <v>2722</v>
      </c>
      <c r="BS48" s="19"/>
      <c r="BT48" s="19"/>
      <c r="BU48" s="19"/>
      <c r="BV48" s="19"/>
      <c r="BW48" s="19"/>
      <c r="BX48" s="21" t="s">
        <v>563</v>
      </c>
      <c r="BY48" s="19"/>
      <c r="BZ48" s="19"/>
      <c r="CA48" s="19"/>
      <c r="CB48" s="19"/>
      <c r="CC48" s="19"/>
      <c r="CD48" s="19"/>
      <c r="CE48" s="22" t="s">
        <v>1144</v>
      </c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1">
        <v>1</v>
      </c>
    </row>
    <row r="49" spans="6:107" ht="30" hidden="1" customHeight="1" x14ac:dyDescent="0.3">
      <c r="F49" s="11">
        <v>1</v>
      </c>
      <c r="G49" s="19"/>
      <c r="H49" s="19"/>
      <c r="I49" s="19"/>
      <c r="J49" s="19"/>
      <c r="K49" s="19"/>
      <c r="L49" s="19"/>
      <c r="M49" s="19"/>
      <c r="N49" s="19"/>
      <c r="O49" s="19"/>
      <c r="P49" s="21" t="s">
        <v>328</v>
      </c>
      <c r="Q49" s="19"/>
      <c r="R49" s="22" t="s">
        <v>2906</v>
      </c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21" t="s">
        <v>418</v>
      </c>
      <c r="AH49" s="21" t="s">
        <v>898</v>
      </c>
      <c r="AI49" s="19"/>
      <c r="AJ49" s="19"/>
      <c r="AK49" s="19"/>
      <c r="AL49" s="19"/>
      <c r="AM49" s="19"/>
      <c r="AN49" s="22" t="s">
        <v>1964</v>
      </c>
      <c r="AO49" s="19"/>
      <c r="AP49" s="19"/>
      <c r="AQ49" s="22" t="s">
        <v>1970</v>
      </c>
      <c r="AR49" s="19"/>
      <c r="AS49" s="19"/>
      <c r="AT49" s="19"/>
      <c r="AU49" s="19"/>
      <c r="AV49" s="19"/>
      <c r="AW49" s="19"/>
      <c r="AX49" s="19"/>
      <c r="AY49" s="19"/>
      <c r="AZ49" s="21" t="s">
        <v>603</v>
      </c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22" t="s">
        <v>2028</v>
      </c>
      <c r="BM49" s="19"/>
      <c r="BN49" s="19"/>
      <c r="BO49" s="19"/>
      <c r="BP49" s="19"/>
      <c r="BQ49" s="19"/>
      <c r="BR49" s="22" t="s">
        <v>2724</v>
      </c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22" t="s">
        <v>1146</v>
      </c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C49" s="11">
        <v>1</v>
      </c>
    </row>
    <row r="50" spans="6:107" ht="30" hidden="1" customHeight="1" x14ac:dyDescent="0.3">
      <c r="F50" s="11">
        <v>1</v>
      </c>
      <c r="G50" s="19"/>
      <c r="H50" s="19"/>
      <c r="I50" s="19"/>
      <c r="J50" s="19"/>
      <c r="K50" s="22" t="s">
        <v>1296</v>
      </c>
      <c r="L50" s="22" t="s">
        <v>1298</v>
      </c>
      <c r="M50" s="22" t="s">
        <v>1300</v>
      </c>
      <c r="N50" s="22" t="s">
        <v>1302</v>
      </c>
      <c r="O50" s="22" t="s">
        <v>2910</v>
      </c>
      <c r="P50" s="22" t="s">
        <v>2912</v>
      </c>
      <c r="Q50" s="22" t="s">
        <v>2914</v>
      </c>
      <c r="R50" s="22" t="s">
        <v>2908</v>
      </c>
      <c r="S50" s="19"/>
      <c r="T50" s="19"/>
      <c r="U50" s="19"/>
      <c r="V50" s="19"/>
      <c r="W50" s="19"/>
      <c r="X50" s="19"/>
      <c r="Y50" s="19"/>
      <c r="Z50" s="20" t="s">
        <v>124</v>
      </c>
      <c r="AA50" s="19"/>
      <c r="AB50" s="19"/>
      <c r="AC50" s="19"/>
      <c r="AD50" s="19"/>
      <c r="AE50" s="19"/>
      <c r="AF50" s="19"/>
      <c r="AG50" s="19"/>
      <c r="AH50" s="22" t="s">
        <v>1898</v>
      </c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21" t="s">
        <v>723</v>
      </c>
      <c r="CE50" s="22" t="s">
        <v>1148</v>
      </c>
      <c r="CF50" s="19"/>
      <c r="CG50" s="19"/>
      <c r="CH50" s="19"/>
      <c r="CI50" s="19"/>
      <c r="CJ50" s="19"/>
      <c r="CK50" s="19"/>
      <c r="CL50" s="19"/>
      <c r="CM50" s="22" t="s">
        <v>1462</v>
      </c>
      <c r="CN50" s="19"/>
      <c r="CO50" s="19"/>
      <c r="CP50" s="19"/>
      <c r="CQ50" s="19"/>
      <c r="CR50" s="21" t="s">
        <v>493</v>
      </c>
      <c r="CS50" s="19"/>
      <c r="CT50" s="19"/>
      <c r="CU50" s="19"/>
      <c r="CV50" s="19"/>
      <c r="CW50" s="22" t="s">
        <v>1728</v>
      </c>
      <c r="CX50" s="22" t="s">
        <v>1730</v>
      </c>
      <c r="CY50" s="22" t="s">
        <v>1732</v>
      </c>
      <c r="CZ50" s="19"/>
      <c r="DA50" s="19"/>
      <c r="DB50" s="19"/>
      <c r="DC50" s="11">
        <v>1</v>
      </c>
    </row>
    <row r="51" spans="6:107" ht="30" hidden="1" customHeight="1" x14ac:dyDescent="0.3">
      <c r="F51" s="11">
        <v>1</v>
      </c>
      <c r="G51" s="19"/>
      <c r="H51" s="19"/>
      <c r="I51" s="19"/>
      <c r="J51" s="19"/>
      <c r="K51" s="19"/>
      <c r="L51" s="22" t="s">
        <v>2916</v>
      </c>
      <c r="M51" s="19"/>
      <c r="N51" s="19"/>
      <c r="O51" s="19"/>
      <c r="P51" s="19"/>
      <c r="Q51" s="19"/>
      <c r="R51" s="22" t="s">
        <v>1274</v>
      </c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22" t="s">
        <v>1900</v>
      </c>
      <c r="AI51" s="19"/>
      <c r="AJ51" s="19"/>
      <c r="AK51" s="19"/>
      <c r="AL51" s="19"/>
      <c r="AM51" s="19"/>
      <c r="AN51" s="19"/>
      <c r="AO51" s="19"/>
      <c r="AP51" s="19"/>
      <c r="AQ51" s="19"/>
      <c r="AR51" s="22" t="s">
        <v>1936</v>
      </c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22" t="s">
        <v>2234</v>
      </c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21" t="s">
        <v>573</v>
      </c>
      <c r="CB51" s="19"/>
      <c r="CC51" s="19"/>
      <c r="CD51" s="19"/>
      <c r="CE51" s="19"/>
      <c r="CF51" s="19"/>
      <c r="CG51" s="19"/>
      <c r="CH51" s="19"/>
      <c r="CI51" s="19"/>
      <c r="CJ51" s="22" t="s">
        <v>1164</v>
      </c>
      <c r="CK51" s="19"/>
      <c r="CL51" s="19"/>
      <c r="CM51" s="22" t="s">
        <v>1464</v>
      </c>
      <c r="CN51" s="19"/>
      <c r="CO51" s="19"/>
      <c r="CP51" s="19"/>
      <c r="CQ51" s="19"/>
      <c r="CR51" s="19"/>
      <c r="CS51" s="19"/>
      <c r="CT51" s="19"/>
      <c r="CU51" s="19"/>
      <c r="CV51" s="19"/>
      <c r="CW51" s="22" t="s">
        <v>1734</v>
      </c>
      <c r="CX51" s="22" t="s">
        <v>1736</v>
      </c>
      <c r="CY51" s="22" t="s">
        <v>1738</v>
      </c>
      <c r="CZ51" s="19"/>
      <c r="DA51" s="19"/>
      <c r="DB51" s="19"/>
      <c r="DC51" s="11">
        <v>1</v>
      </c>
    </row>
    <row r="52" spans="6:107" ht="30" hidden="1" customHeight="1" x14ac:dyDescent="0.3">
      <c r="F52" s="11">
        <v>1</v>
      </c>
      <c r="G52" s="19"/>
      <c r="H52" s="19"/>
      <c r="I52" s="19"/>
      <c r="J52" s="19"/>
      <c r="K52" s="19"/>
      <c r="L52" s="22" t="s">
        <v>2918</v>
      </c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22" t="s">
        <v>1902</v>
      </c>
      <c r="AI52" s="19"/>
      <c r="AJ52" s="19"/>
      <c r="AK52" s="19"/>
      <c r="AL52" s="19"/>
      <c r="AM52" s="19"/>
      <c r="AN52" s="19"/>
      <c r="AO52" s="19"/>
      <c r="AP52" s="19"/>
      <c r="AQ52" s="19"/>
      <c r="AR52" s="22" t="s">
        <v>1938</v>
      </c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20" t="s">
        <v>232</v>
      </c>
      <c r="BG52" s="19"/>
      <c r="BH52" s="19"/>
      <c r="BI52" s="19"/>
      <c r="BJ52" s="19"/>
      <c r="BK52" s="19"/>
      <c r="BL52" s="19"/>
      <c r="BM52" s="19"/>
      <c r="BN52" s="19"/>
      <c r="BO52" s="22" t="s">
        <v>2236</v>
      </c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22" t="s">
        <v>1166</v>
      </c>
      <c r="CK52" s="19"/>
      <c r="CL52" s="19"/>
      <c r="CM52" s="19"/>
      <c r="CN52" s="19"/>
      <c r="CO52" s="19"/>
      <c r="CP52" s="19"/>
      <c r="CQ52" s="19"/>
      <c r="CR52" s="22" t="s">
        <v>1740</v>
      </c>
      <c r="CS52" s="22" t="s">
        <v>1742</v>
      </c>
      <c r="CT52" s="19"/>
      <c r="CU52" s="19"/>
      <c r="CV52" s="19"/>
      <c r="CW52" s="19"/>
      <c r="CX52" s="19"/>
      <c r="CY52" s="19"/>
      <c r="CZ52" s="19"/>
      <c r="DA52" s="19"/>
      <c r="DB52" s="19"/>
      <c r="DC52" s="11">
        <v>1</v>
      </c>
    </row>
    <row r="53" spans="6:107" ht="30" hidden="1" customHeight="1" x14ac:dyDescent="0.3">
      <c r="F53" s="11">
        <v>1</v>
      </c>
      <c r="G53" s="19"/>
      <c r="H53" s="19"/>
      <c r="I53" s="19"/>
      <c r="J53" s="19"/>
      <c r="K53" s="19"/>
      <c r="L53" s="22" t="s">
        <v>1304</v>
      </c>
      <c r="M53" s="19"/>
      <c r="N53" s="19"/>
      <c r="O53" s="19"/>
      <c r="P53" s="19"/>
      <c r="Q53" s="21" t="s">
        <v>433</v>
      </c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22" t="s">
        <v>1904</v>
      </c>
      <c r="AI53" s="19"/>
      <c r="AJ53" s="19"/>
      <c r="AK53" s="19"/>
      <c r="AL53" s="19"/>
      <c r="AM53" s="19"/>
      <c r="AN53" s="19"/>
      <c r="AO53" s="19"/>
      <c r="AP53" s="19"/>
      <c r="AQ53" s="19"/>
      <c r="AR53" s="22" t="s">
        <v>1940</v>
      </c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22" t="s">
        <v>2238</v>
      </c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22" t="s">
        <v>1168</v>
      </c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1">
        <v>1</v>
      </c>
    </row>
    <row r="54" spans="6:107" ht="30" hidden="1" customHeight="1" x14ac:dyDescent="0.3">
      <c r="F54" s="11">
        <v>1</v>
      </c>
      <c r="G54" s="19"/>
      <c r="H54" s="19"/>
      <c r="I54" s="19"/>
      <c r="J54" s="19"/>
      <c r="K54" s="19"/>
      <c r="L54" s="22" t="s">
        <v>1306</v>
      </c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22" t="s">
        <v>1906</v>
      </c>
      <c r="AI54" s="19"/>
      <c r="AJ54" s="19"/>
      <c r="AK54" s="19"/>
      <c r="AL54" s="19"/>
      <c r="AM54" s="19"/>
      <c r="AN54" s="19"/>
      <c r="AO54" s="19"/>
      <c r="AP54" s="19"/>
      <c r="AQ54" s="19"/>
      <c r="AR54" s="22" t="s">
        <v>1942</v>
      </c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22" t="s">
        <v>2240</v>
      </c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22" t="s">
        <v>1170</v>
      </c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1">
        <v>1</v>
      </c>
    </row>
    <row r="55" spans="6:107" ht="30" hidden="1" customHeight="1" x14ac:dyDescent="0.3">
      <c r="F55" s="11">
        <v>1</v>
      </c>
      <c r="G55" s="19"/>
      <c r="H55" s="19"/>
      <c r="I55" s="19"/>
      <c r="J55" s="19"/>
      <c r="K55" s="19"/>
      <c r="L55" s="22" t="s">
        <v>1308</v>
      </c>
      <c r="M55" s="22" t="s">
        <v>2920</v>
      </c>
      <c r="N55" s="22" t="s">
        <v>2922</v>
      </c>
      <c r="O55" s="22" t="s">
        <v>2924</v>
      </c>
      <c r="P55" s="22" t="s">
        <v>2926</v>
      </c>
      <c r="Q55" s="22" t="s">
        <v>1276</v>
      </c>
      <c r="R55" s="22" t="s">
        <v>1278</v>
      </c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22" t="s">
        <v>1908</v>
      </c>
      <c r="AI55" s="19"/>
      <c r="AJ55" s="19"/>
      <c r="AK55" s="19"/>
      <c r="AL55" s="19"/>
      <c r="AM55" s="19"/>
      <c r="AN55" s="19"/>
      <c r="AO55" s="19"/>
      <c r="AP55" s="19"/>
      <c r="AQ55" s="19"/>
      <c r="AR55" s="22" t="s">
        <v>1944</v>
      </c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22" t="s">
        <v>2242</v>
      </c>
      <c r="BP55" s="19"/>
      <c r="BQ55" s="19"/>
      <c r="BR55" s="19"/>
      <c r="BS55" s="22" t="s">
        <v>2248</v>
      </c>
      <c r="BT55" s="22" t="s">
        <v>2254</v>
      </c>
      <c r="BU55" s="22" t="s">
        <v>1884</v>
      </c>
      <c r="BV55" s="22" t="s">
        <v>1886</v>
      </c>
      <c r="BW55" s="22" t="s">
        <v>2256</v>
      </c>
      <c r="BX55" s="22" t="s">
        <v>1132</v>
      </c>
      <c r="BY55" s="22" t="s">
        <v>1134</v>
      </c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22" t="s">
        <v>2714</v>
      </c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1">
        <v>1</v>
      </c>
    </row>
    <row r="56" spans="6:107" ht="30" hidden="1" customHeight="1" x14ac:dyDescent="0.3">
      <c r="F56" s="11">
        <v>1</v>
      </c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22" t="s">
        <v>1910</v>
      </c>
      <c r="AI56" s="19"/>
      <c r="AJ56" s="19"/>
      <c r="AK56" s="19"/>
      <c r="AL56" s="19"/>
      <c r="AM56" s="19"/>
      <c r="AN56" s="19"/>
      <c r="AO56" s="19"/>
      <c r="AP56" s="19"/>
      <c r="AQ56" s="19"/>
      <c r="AR56" s="22" t="s">
        <v>1946</v>
      </c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22" t="s">
        <v>2244</v>
      </c>
      <c r="BP56" s="19"/>
      <c r="BQ56" s="19"/>
      <c r="BR56" s="19"/>
      <c r="BS56" s="22" t="s">
        <v>2250</v>
      </c>
      <c r="BT56" s="19"/>
      <c r="BU56" s="19"/>
      <c r="BV56" s="19"/>
      <c r="BW56" s="19"/>
      <c r="BX56" s="19"/>
      <c r="BY56" s="22" t="s">
        <v>1136</v>
      </c>
      <c r="BZ56" s="19"/>
      <c r="CA56" s="19"/>
      <c r="CB56" s="19"/>
      <c r="CC56" s="19"/>
      <c r="CD56" s="19"/>
      <c r="CE56" s="19"/>
      <c r="CF56" s="19"/>
      <c r="CG56" s="19"/>
      <c r="CH56" s="22" t="s">
        <v>2708</v>
      </c>
      <c r="CI56" s="22" t="s">
        <v>2710</v>
      </c>
      <c r="CJ56" s="22" t="s">
        <v>2712</v>
      </c>
      <c r="CK56" s="21" t="s">
        <v>828</v>
      </c>
      <c r="CL56" s="22" t="s">
        <v>1466</v>
      </c>
      <c r="CM56" s="22" t="s">
        <v>1468</v>
      </c>
      <c r="CN56" s="19"/>
      <c r="CO56" s="19"/>
      <c r="CP56" s="19"/>
      <c r="CQ56" s="19"/>
      <c r="CR56" s="19"/>
      <c r="CS56" s="19"/>
      <c r="CT56" s="21" t="s">
        <v>663</v>
      </c>
      <c r="CU56" s="19"/>
      <c r="CV56" s="19"/>
      <c r="CW56" s="19"/>
      <c r="CX56" s="19"/>
      <c r="CY56" s="19"/>
      <c r="CZ56" s="19"/>
      <c r="DA56" s="19"/>
      <c r="DB56" s="19"/>
      <c r="DC56" s="11">
        <v>1</v>
      </c>
    </row>
    <row r="57" spans="6:107" ht="30" hidden="1" customHeight="1" x14ac:dyDescent="0.3">
      <c r="F57" s="11">
        <v>1</v>
      </c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20" t="s">
        <v>21</v>
      </c>
      <c r="AA57" s="19"/>
      <c r="AB57" s="19"/>
      <c r="AC57" s="19"/>
      <c r="AD57" s="19"/>
      <c r="AE57" s="19"/>
      <c r="AF57" s="19"/>
      <c r="AG57" s="19"/>
      <c r="AH57" s="22" t="s">
        <v>1912</v>
      </c>
      <c r="AI57" s="19"/>
      <c r="AJ57" s="19"/>
      <c r="AK57" s="19"/>
      <c r="AL57" s="19"/>
      <c r="AM57" s="19"/>
      <c r="AN57" s="19"/>
      <c r="AO57" s="19"/>
      <c r="AP57" s="19"/>
      <c r="AQ57" s="19"/>
      <c r="AR57" s="22" t="s">
        <v>1948</v>
      </c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22" t="s">
        <v>2246</v>
      </c>
      <c r="BP57" s="19"/>
      <c r="BQ57" s="19"/>
      <c r="BR57" s="19"/>
      <c r="BS57" s="22" t="s">
        <v>2252</v>
      </c>
      <c r="BT57" s="19"/>
      <c r="BU57" s="19"/>
      <c r="BV57" s="19"/>
      <c r="BW57" s="19"/>
      <c r="BX57" s="19"/>
      <c r="BY57" s="22" t="s">
        <v>1138</v>
      </c>
      <c r="BZ57" s="19"/>
      <c r="CA57" s="19"/>
      <c r="CB57" s="19"/>
      <c r="CC57" s="19"/>
      <c r="CD57" s="19"/>
      <c r="CE57" s="19"/>
      <c r="CF57" s="19"/>
      <c r="CG57" s="19"/>
      <c r="CH57" s="22" t="s">
        <v>2716</v>
      </c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1">
        <v>1</v>
      </c>
    </row>
    <row r="58" spans="6:107" ht="30" hidden="1" customHeight="1" x14ac:dyDescent="0.3">
      <c r="F58" s="11">
        <v>1</v>
      </c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22" t="s">
        <v>1914</v>
      </c>
      <c r="AI58" s="19"/>
      <c r="AJ58" s="19"/>
      <c r="AK58" s="19"/>
      <c r="AL58" s="19"/>
      <c r="AM58" s="19"/>
      <c r="AN58" s="19"/>
      <c r="AO58" s="19"/>
      <c r="AP58" s="19"/>
      <c r="AQ58" s="19"/>
      <c r="AR58" s="22" t="s">
        <v>1950</v>
      </c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22" t="s">
        <v>1122</v>
      </c>
      <c r="BP58" s="22" t="s">
        <v>1124</v>
      </c>
      <c r="BQ58" s="22" t="s">
        <v>1126</v>
      </c>
      <c r="BR58" s="22" t="s">
        <v>1128</v>
      </c>
      <c r="BS58" s="22" t="s">
        <v>1130</v>
      </c>
      <c r="BT58" s="19"/>
      <c r="BU58" s="19"/>
      <c r="BV58" s="19"/>
      <c r="BW58" s="19"/>
      <c r="BX58" s="19"/>
      <c r="BY58" s="22" t="s">
        <v>2258</v>
      </c>
      <c r="BZ58" s="22" t="s">
        <v>2688</v>
      </c>
      <c r="CA58" s="22" t="s">
        <v>2690</v>
      </c>
      <c r="CB58" s="22" t="s">
        <v>2692</v>
      </c>
      <c r="CC58" s="22" t="s">
        <v>2694</v>
      </c>
      <c r="CD58" s="22" t="s">
        <v>2696</v>
      </c>
      <c r="CE58" s="22" t="s">
        <v>2698</v>
      </c>
      <c r="CF58" s="22" t="s">
        <v>2700</v>
      </c>
      <c r="CG58" s="22" t="s">
        <v>2702</v>
      </c>
      <c r="CH58" s="22" t="s">
        <v>2704</v>
      </c>
      <c r="CI58" s="19"/>
      <c r="CJ58" s="19"/>
      <c r="CK58" s="19"/>
      <c r="CL58" s="19"/>
      <c r="CM58" s="19"/>
      <c r="CN58" s="19"/>
      <c r="CO58" s="19"/>
      <c r="CP58" s="19"/>
      <c r="CQ58" s="22" t="s">
        <v>1640</v>
      </c>
      <c r="CR58" s="22" t="s">
        <v>1642</v>
      </c>
      <c r="CS58" s="22" t="s">
        <v>1644</v>
      </c>
      <c r="CT58" s="19"/>
      <c r="CU58" s="19"/>
      <c r="CV58" s="19"/>
      <c r="CW58" s="19"/>
      <c r="CX58" s="19"/>
      <c r="CY58" s="19"/>
      <c r="CZ58" s="20" t="s">
        <v>134</v>
      </c>
      <c r="DA58" s="19"/>
      <c r="DB58" s="19"/>
      <c r="DC58" s="11">
        <v>1</v>
      </c>
    </row>
    <row r="59" spans="6:107" ht="30" hidden="1" customHeight="1" x14ac:dyDescent="0.3">
      <c r="F59" s="11">
        <v>1</v>
      </c>
      <c r="G59" s="20" t="s">
        <v>119</v>
      </c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22" t="s">
        <v>1916</v>
      </c>
      <c r="AI59" s="19"/>
      <c r="AJ59" s="19"/>
      <c r="AK59" s="19"/>
      <c r="AL59" s="19"/>
      <c r="AM59" s="19"/>
      <c r="AN59" s="19"/>
      <c r="AO59" s="19"/>
      <c r="AP59" s="19"/>
      <c r="AQ59" s="19"/>
      <c r="AR59" s="22" t="s">
        <v>1952</v>
      </c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21" t="s">
        <v>878</v>
      </c>
      <c r="BG59" s="19"/>
      <c r="BH59" s="19"/>
      <c r="BI59" s="19"/>
      <c r="BJ59" s="19"/>
      <c r="BK59" s="19"/>
      <c r="BL59" s="19"/>
      <c r="BM59" s="19"/>
      <c r="BN59" s="19"/>
      <c r="BO59" s="22" t="s">
        <v>2260</v>
      </c>
      <c r="BP59" s="19"/>
      <c r="BQ59" s="19"/>
      <c r="BR59" s="19"/>
      <c r="BS59" s="19"/>
      <c r="BT59" s="19"/>
      <c r="BU59" s="19"/>
      <c r="BV59" s="21" t="s">
        <v>523</v>
      </c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22" t="s">
        <v>2706</v>
      </c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1">
        <v>1</v>
      </c>
    </row>
    <row r="60" spans="6:107" ht="30" hidden="1" customHeight="1" x14ac:dyDescent="0.3">
      <c r="F60" s="11">
        <v>1</v>
      </c>
      <c r="G60" s="22" t="s">
        <v>1414</v>
      </c>
      <c r="H60" s="22" t="s">
        <v>1416</v>
      </c>
      <c r="I60" s="22" t="s">
        <v>2214</v>
      </c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22" t="s">
        <v>1918</v>
      </c>
      <c r="AI60" s="19"/>
      <c r="AJ60" s="19"/>
      <c r="AK60" s="19"/>
      <c r="AL60" s="19"/>
      <c r="AM60" s="19"/>
      <c r="AN60" s="19"/>
      <c r="AO60" s="19"/>
      <c r="AP60" s="19"/>
      <c r="AQ60" s="19"/>
      <c r="AR60" s="22" t="s">
        <v>1954</v>
      </c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22" t="s">
        <v>2262</v>
      </c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22" t="s">
        <v>1634</v>
      </c>
      <c r="CH60" s="22" t="s">
        <v>1636</v>
      </c>
      <c r="CI60" s="22" t="s">
        <v>1638</v>
      </c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1">
        <v>1</v>
      </c>
    </row>
    <row r="61" spans="6:107" ht="30" hidden="1" customHeight="1" x14ac:dyDescent="0.3">
      <c r="F61" s="11">
        <v>1</v>
      </c>
      <c r="G61" s="19"/>
      <c r="H61" s="19"/>
      <c r="I61" s="22" t="s">
        <v>2216</v>
      </c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22" t="s">
        <v>1920</v>
      </c>
      <c r="AI61" s="22" t="s">
        <v>1922</v>
      </c>
      <c r="AJ61" s="22" t="s">
        <v>1924</v>
      </c>
      <c r="AK61" s="22" t="s">
        <v>1926</v>
      </c>
      <c r="AL61" s="22" t="s">
        <v>1928</v>
      </c>
      <c r="AM61" s="22" t="s">
        <v>1670</v>
      </c>
      <c r="AN61" s="22" t="s">
        <v>1672</v>
      </c>
      <c r="AO61" s="22" t="s">
        <v>1674</v>
      </c>
      <c r="AP61" s="22" t="s">
        <v>1930</v>
      </c>
      <c r="AQ61" s="22" t="s">
        <v>1932</v>
      </c>
      <c r="AR61" s="22" t="s">
        <v>1934</v>
      </c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22" t="s">
        <v>2264</v>
      </c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19"/>
      <c r="CA61" s="19"/>
      <c r="CB61" s="19"/>
      <c r="CC61" s="19"/>
      <c r="CD61" s="19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19"/>
      <c r="CR61" s="19"/>
      <c r="CS61" s="19"/>
      <c r="CT61" s="19"/>
      <c r="CU61" s="19"/>
      <c r="CV61" s="19"/>
      <c r="CW61" s="19"/>
      <c r="CX61" s="19"/>
      <c r="CY61" s="19"/>
      <c r="CZ61" s="19"/>
      <c r="DA61" s="19"/>
      <c r="DB61" s="19"/>
      <c r="DC61" s="11">
        <v>1</v>
      </c>
    </row>
    <row r="62" spans="6:107" ht="30" hidden="1" customHeight="1" x14ac:dyDescent="0.3">
      <c r="F62" s="11">
        <v>1</v>
      </c>
      <c r="G62" s="19"/>
      <c r="H62" s="19"/>
      <c r="I62" s="22" t="s">
        <v>2218</v>
      </c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22" t="s">
        <v>2042</v>
      </c>
      <c r="AI62" s="19"/>
      <c r="AJ62" s="19"/>
      <c r="AK62" s="19"/>
      <c r="AL62" s="19"/>
      <c r="AM62" s="19"/>
      <c r="AN62" s="19"/>
      <c r="AO62" s="22" t="s">
        <v>2030</v>
      </c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22" t="s">
        <v>2266</v>
      </c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1">
        <v>1</v>
      </c>
    </row>
    <row r="63" spans="6:107" ht="30" hidden="1" customHeight="1" x14ac:dyDescent="0.3">
      <c r="F63" s="11">
        <v>1</v>
      </c>
      <c r="G63" s="21" t="s">
        <v>923</v>
      </c>
      <c r="H63" s="19"/>
      <c r="I63" s="22" t="s">
        <v>2210</v>
      </c>
      <c r="J63" s="22" t="s">
        <v>2212</v>
      </c>
      <c r="K63" s="22" t="s">
        <v>2194</v>
      </c>
      <c r="L63" s="22" t="s">
        <v>2196</v>
      </c>
      <c r="M63" s="22" t="s">
        <v>2198</v>
      </c>
      <c r="N63" s="22" t="s">
        <v>2188</v>
      </c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22" t="s">
        <v>1676</v>
      </c>
      <c r="AF63" s="22" t="s">
        <v>1678</v>
      </c>
      <c r="AG63" s="22" t="s">
        <v>2044</v>
      </c>
      <c r="AH63" s="22" t="s">
        <v>2046</v>
      </c>
      <c r="AI63" s="19"/>
      <c r="AJ63" s="19"/>
      <c r="AK63" s="19"/>
      <c r="AL63" s="19"/>
      <c r="AM63" s="19"/>
      <c r="AN63" s="19"/>
      <c r="AO63" s="22" t="s">
        <v>2032</v>
      </c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22" t="s">
        <v>2268</v>
      </c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1">
        <v>1</v>
      </c>
    </row>
    <row r="64" spans="6:107" ht="30" hidden="1" customHeight="1" x14ac:dyDescent="0.3">
      <c r="F64" s="11">
        <v>1</v>
      </c>
      <c r="G64" s="19"/>
      <c r="H64" s="19"/>
      <c r="I64" s="19"/>
      <c r="J64" s="19"/>
      <c r="K64" s="19"/>
      <c r="L64" s="19"/>
      <c r="M64" s="19"/>
      <c r="N64" s="22" t="s">
        <v>2190</v>
      </c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22" t="s">
        <v>1680</v>
      </c>
      <c r="AF64" s="19"/>
      <c r="AG64" s="19"/>
      <c r="AH64" s="19"/>
      <c r="AI64" s="19"/>
      <c r="AJ64" s="19"/>
      <c r="AK64" s="19"/>
      <c r="AL64" s="19"/>
      <c r="AM64" s="19"/>
      <c r="AN64" s="19"/>
      <c r="AO64" s="22" t="s">
        <v>2034</v>
      </c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22" t="s">
        <v>2270</v>
      </c>
      <c r="BP64" s="22" t="s">
        <v>2274</v>
      </c>
      <c r="BQ64" s="22" t="s">
        <v>2276</v>
      </c>
      <c r="BR64" s="22" t="s">
        <v>1544</v>
      </c>
      <c r="BS64" s="22" t="s">
        <v>1546</v>
      </c>
      <c r="BT64" s="22" t="s">
        <v>2278</v>
      </c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1">
        <v>1</v>
      </c>
    </row>
    <row r="65" spans="6:107" ht="30" hidden="1" customHeight="1" x14ac:dyDescent="0.3">
      <c r="F65" s="11">
        <v>1</v>
      </c>
      <c r="G65" s="19"/>
      <c r="H65" s="19"/>
      <c r="I65" s="19"/>
      <c r="J65" s="19"/>
      <c r="K65" s="19"/>
      <c r="L65" s="19"/>
      <c r="M65" s="19"/>
      <c r="N65" s="22" t="s">
        <v>2192</v>
      </c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22" t="s">
        <v>2048</v>
      </c>
      <c r="AF65" s="19"/>
      <c r="AG65" s="19"/>
      <c r="AH65" s="19"/>
      <c r="AI65" s="19"/>
      <c r="AJ65" s="19"/>
      <c r="AK65" s="19"/>
      <c r="AL65" s="19"/>
      <c r="AM65" s="19"/>
      <c r="AN65" s="19"/>
      <c r="AO65" s="22" t="s">
        <v>2036</v>
      </c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22" t="s">
        <v>1548</v>
      </c>
      <c r="BM65" s="22" t="s">
        <v>1550</v>
      </c>
      <c r="BN65" s="22" t="s">
        <v>1552</v>
      </c>
      <c r="BO65" s="22" t="s">
        <v>2272</v>
      </c>
      <c r="BP65" s="19"/>
      <c r="BQ65" s="19"/>
      <c r="BR65" s="19"/>
      <c r="BS65" s="19"/>
      <c r="BT65" s="22" t="s">
        <v>2280</v>
      </c>
      <c r="BU65" s="19"/>
      <c r="BV65" s="19"/>
      <c r="BW65" s="19"/>
      <c r="BX65" s="19"/>
      <c r="BY65" s="19"/>
      <c r="BZ65" s="19"/>
      <c r="CA65" s="19"/>
      <c r="CB65" s="19"/>
      <c r="CC65" s="19"/>
      <c r="CD65" s="19"/>
      <c r="CE65" s="19"/>
      <c r="CF65" s="22" t="s">
        <v>1518</v>
      </c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C65" s="11">
        <v>1</v>
      </c>
    </row>
    <row r="66" spans="6:107" ht="30" hidden="1" customHeight="1" x14ac:dyDescent="0.3">
      <c r="F66" s="11">
        <v>1</v>
      </c>
      <c r="G66" s="19"/>
      <c r="H66" s="19"/>
      <c r="I66" s="19"/>
      <c r="J66" s="19"/>
      <c r="K66" s="19"/>
      <c r="L66" s="19"/>
      <c r="M66" s="19"/>
      <c r="N66" s="22" t="s">
        <v>1708</v>
      </c>
      <c r="O66" s="22" t="s">
        <v>1710</v>
      </c>
      <c r="P66" s="22" t="s">
        <v>1712</v>
      </c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22" t="s">
        <v>2050</v>
      </c>
      <c r="AF66" s="19"/>
      <c r="AG66" s="19"/>
      <c r="AH66" s="19"/>
      <c r="AI66" s="19"/>
      <c r="AJ66" s="19"/>
      <c r="AK66" s="19"/>
      <c r="AL66" s="19"/>
      <c r="AM66" s="19"/>
      <c r="AN66" s="19"/>
      <c r="AO66" s="22" t="s">
        <v>2038</v>
      </c>
      <c r="AP66" s="19"/>
      <c r="AQ66" s="21" t="s">
        <v>308</v>
      </c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22" t="s">
        <v>2318</v>
      </c>
      <c r="BO66" s="19"/>
      <c r="BP66" s="19"/>
      <c r="BQ66" s="19"/>
      <c r="BR66" s="19"/>
      <c r="BS66" s="19"/>
      <c r="BT66" s="22" t="s">
        <v>2282</v>
      </c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22" t="s">
        <v>2374</v>
      </c>
      <c r="CG66" s="22" t="s">
        <v>2394</v>
      </c>
      <c r="CH66" s="22" t="s">
        <v>2396</v>
      </c>
      <c r="CI66" s="22" t="s">
        <v>2398</v>
      </c>
      <c r="CJ66" s="22" t="s">
        <v>2400</v>
      </c>
      <c r="CK66" s="22" t="s">
        <v>2402</v>
      </c>
      <c r="CL66" s="22" t="s">
        <v>2404</v>
      </c>
      <c r="CM66" s="22" t="s">
        <v>2406</v>
      </c>
      <c r="CN66" s="22" t="s">
        <v>2408</v>
      </c>
      <c r="CO66" s="22" t="s">
        <v>2410</v>
      </c>
      <c r="CP66" s="22" t="s">
        <v>2412</v>
      </c>
      <c r="CQ66" s="22" t="s">
        <v>2414</v>
      </c>
      <c r="CR66" s="22" t="s">
        <v>2416</v>
      </c>
      <c r="CS66" s="22" t="s">
        <v>1646</v>
      </c>
      <c r="CT66" s="22" t="s">
        <v>1648</v>
      </c>
      <c r="CU66" s="22" t="s">
        <v>2418</v>
      </c>
      <c r="CV66" s="22" t="s">
        <v>2420</v>
      </c>
      <c r="CW66" s="22" t="s">
        <v>2422</v>
      </c>
      <c r="CX66" s="22" t="s">
        <v>2424</v>
      </c>
      <c r="CY66" s="22" t="s">
        <v>2426</v>
      </c>
      <c r="CZ66" s="22" t="s">
        <v>2428</v>
      </c>
      <c r="DA66" s="22" t="s">
        <v>2430</v>
      </c>
      <c r="DB66" s="19"/>
      <c r="DC66" s="11">
        <v>1</v>
      </c>
    </row>
    <row r="67" spans="6:107" ht="30" hidden="1" customHeight="1" x14ac:dyDescent="0.3">
      <c r="F67" s="11">
        <v>1</v>
      </c>
      <c r="G67" s="19"/>
      <c r="H67" s="19"/>
      <c r="I67" s="19"/>
      <c r="J67" s="19"/>
      <c r="K67" s="22" t="s">
        <v>1706</v>
      </c>
      <c r="L67" s="19"/>
      <c r="M67" s="19"/>
      <c r="N67" s="22" t="s">
        <v>2200</v>
      </c>
      <c r="O67" s="19"/>
      <c r="P67" s="21" t="s">
        <v>803</v>
      </c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22" t="s">
        <v>2052</v>
      </c>
      <c r="AF67" s="19"/>
      <c r="AG67" s="19"/>
      <c r="AH67" s="19"/>
      <c r="AI67" s="19"/>
      <c r="AJ67" s="19"/>
      <c r="AK67" s="19"/>
      <c r="AL67" s="19"/>
      <c r="AM67" s="19"/>
      <c r="AN67" s="19"/>
      <c r="AO67" s="22" t="s">
        <v>2040</v>
      </c>
      <c r="AP67" s="19"/>
      <c r="AQ67" s="19"/>
      <c r="AR67" s="19"/>
      <c r="AS67" s="21" t="s">
        <v>368</v>
      </c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21" t="s">
        <v>718</v>
      </c>
      <c r="BN67" s="22" t="s">
        <v>2320</v>
      </c>
      <c r="BO67" s="19"/>
      <c r="BP67" s="19"/>
      <c r="BQ67" s="19"/>
      <c r="BR67" s="19"/>
      <c r="BS67" s="19"/>
      <c r="BT67" s="22" t="s">
        <v>2284</v>
      </c>
      <c r="BU67" s="22" t="s">
        <v>1538</v>
      </c>
      <c r="BV67" s="22" t="s">
        <v>1540</v>
      </c>
      <c r="BW67" s="22" t="s">
        <v>1542</v>
      </c>
      <c r="BX67" s="22" t="s">
        <v>2360</v>
      </c>
      <c r="BY67" s="22" t="s">
        <v>2362</v>
      </c>
      <c r="BZ67" s="22" t="s">
        <v>2364</v>
      </c>
      <c r="CA67" s="22" t="s">
        <v>2366</v>
      </c>
      <c r="CB67" s="19"/>
      <c r="CC67" s="20" t="s">
        <v>209</v>
      </c>
      <c r="CD67" s="22" t="s">
        <v>2368</v>
      </c>
      <c r="CE67" s="22" t="s">
        <v>2370</v>
      </c>
      <c r="CF67" s="22" t="s">
        <v>2372</v>
      </c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1">
        <v>1</v>
      </c>
    </row>
    <row r="68" spans="6:107" ht="30" hidden="1" customHeight="1" x14ac:dyDescent="0.3">
      <c r="F68" s="11">
        <v>1</v>
      </c>
      <c r="G68" s="19"/>
      <c r="H68" s="19"/>
      <c r="I68" s="19"/>
      <c r="J68" s="19"/>
      <c r="K68" s="22" t="s">
        <v>2204</v>
      </c>
      <c r="L68" s="22" t="s">
        <v>2206</v>
      </c>
      <c r="M68" s="22" t="s">
        <v>2208</v>
      </c>
      <c r="N68" s="22" t="s">
        <v>2202</v>
      </c>
      <c r="O68" s="19"/>
      <c r="P68" s="22" t="s">
        <v>2178</v>
      </c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22" t="s">
        <v>2054</v>
      </c>
      <c r="AF68" s="19"/>
      <c r="AG68" s="19"/>
      <c r="AH68" s="19"/>
      <c r="AI68" s="19"/>
      <c r="AJ68" s="19"/>
      <c r="AK68" s="19"/>
      <c r="AL68" s="19"/>
      <c r="AM68" s="19"/>
      <c r="AN68" s="19"/>
      <c r="AO68" s="22" t="s">
        <v>1568</v>
      </c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22" t="s">
        <v>2322</v>
      </c>
      <c r="BO68" s="19"/>
      <c r="BP68" s="19"/>
      <c r="BQ68" s="19"/>
      <c r="BR68" s="19"/>
      <c r="BS68" s="19"/>
      <c r="BT68" s="22" t="s">
        <v>2286</v>
      </c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22" t="s">
        <v>2376</v>
      </c>
      <c r="CG68" s="19"/>
      <c r="CH68" s="19"/>
      <c r="CI68" s="20" t="s">
        <v>184</v>
      </c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1">
        <v>1</v>
      </c>
    </row>
    <row r="69" spans="6:107" ht="30" hidden="1" customHeight="1" x14ac:dyDescent="0.3">
      <c r="F69" s="11">
        <v>1</v>
      </c>
      <c r="G69" s="19"/>
      <c r="H69" s="19"/>
      <c r="I69" s="19"/>
      <c r="J69" s="19"/>
      <c r="K69" s="19"/>
      <c r="L69" s="19"/>
      <c r="M69" s="19"/>
      <c r="N69" s="19"/>
      <c r="O69" s="19"/>
      <c r="P69" s="22" t="s">
        <v>2180</v>
      </c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22" t="s">
        <v>2056</v>
      </c>
      <c r="AF69" s="19"/>
      <c r="AG69" s="19"/>
      <c r="AH69" s="19"/>
      <c r="AI69" s="19"/>
      <c r="AJ69" s="19"/>
      <c r="AK69" s="19"/>
      <c r="AL69" s="19"/>
      <c r="AM69" s="19"/>
      <c r="AN69" s="19"/>
      <c r="AO69" s="22" t="s">
        <v>1570</v>
      </c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22" t="s">
        <v>2324</v>
      </c>
      <c r="BO69" s="19"/>
      <c r="BP69" s="19"/>
      <c r="BQ69" s="19"/>
      <c r="BR69" s="19"/>
      <c r="BS69" s="19"/>
      <c r="BT69" s="22" t="s">
        <v>2288</v>
      </c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22" t="s">
        <v>1514</v>
      </c>
      <c r="CG69" s="19"/>
      <c r="CH69" s="19"/>
      <c r="CI69" s="21" t="s">
        <v>728</v>
      </c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1">
        <v>1</v>
      </c>
    </row>
    <row r="70" spans="6:107" ht="30" hidden="1" customHeight="1" x14ac:dyDescent="0.3">
      <c r="F70" s="11">
        <v>1</v>
      </c>
      <c r="G70" s="19"/>
      <c r="H70" s="19"/>
      <c r="I70" s="19"/>
      <c r="J70" s="19"/>
      <c r="K70" s="19"/>
      <c r="L70" s="19"/>
      <c r="M70" s="19"/>
      <c r="N70" s="19"/>
      <c r="O70" s="19"/>
      <c r="P70" s="22" t="s">
        <v>2182</v>
      </c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22" t="s">
        <v>2058</v>
      </c>
      <c r="AF70" s="19"/>
      <c r="AG70" s="19"/>
      <c r="AH70" s="19"/>
      <c r="AI70" s="19"/>
      <c r="AJ70" s="19"/>
      <c r="AK70" s="19"/>
      <c r="AL70" s="19"/>
      <c r="AM70" s="19"/>
      <c r="AN70" s="20" t="s">
        <v>224</v>
      </c>
      <c r="AO70" s="22" t="s">
        <v>2084</v>
      </c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21" t="s">
        <v>473</v>
      </c>
      <c r="BE70" s="19"/>
      <c r="BF70" s="19"/>
      <c r="BG70" s="19"/>
      <c r="BH70" s="19"/>
      <c r="BI70" s="19"/>
      <c r="BJ70" s="19"/>
      <c r="BK70" s="19"/>
      <c r="BL70" s="19"/>
      <c r="BM70" s="19"/>
      <c r="BN70" s="22" t="s">
        <v>2326</v>
      </c>
      <c r="BO70" s="19"/>
      <c r="BP70" s="19"/>
      <c r="BQ70" s="19"/>
      <c r="BR70" s="19"/>
      <c r="BS70" s="19"/>
      <c r="BT70" s="22" t="s">
        <v>2290</v>
      </c>
      <c r="BU70" s="19"/>
      <c r="BV70" s="19"/>
      <c r="BW70" s="19"/>
      <c r="BX70" s="19"/>
      <c r="BY70" s="19"/>
      <c r="BZ70" s="19"/>
      <c r="CA70" s="19"/>
      <c r="CB70" s="19"/>
      <c r="CC70" s="19"/>
      <c r="CD70" s="21" t="s">
        <v>743</v>
      </c>
      <c r="CE70" s="19"/>
      <c r="CF70" s="22" t="s">
        <v>1516</v>
      </c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1">
        <v>1</v>
      </c>
    </row>
    <row r="71" spans="6:107" ht="30" hidden="1" customHeight="1" x14ac:dyDescent="0.3">
      <c r="F71" s="11">
        <v>1</v>
      </c>
      <c r="G71" s="19"/>
      <c r="H71" s="19"/>
      <c r="I71" s="19"/>
      <c r="J71" s="19"/>
      <c r="K71" s="19"/>
      <c r="L71" s="19"/>
      <c r="M71" s="19"/>
      <c r="N71" s="19"/>
      <c r="O71" s="19"/>
      <c r="P71" s="22" t="s">
        <v>2184</v>
      </c>
      <c r="Q71" s="19"/>
      <c r="R71" s="19"/>
      <c r="S71" s="19"/>
      <c r="T71" s="19"/>
      <c r="U71" s="19"/>
      <c r="V71" s="19"/>
      <c r="W71" s="19"/>
      <c r="X71" s="21" t="s">
        <v>628</v>
      </c>
      <c r="Y71" s="19"/>
      <c r="Z71" s="19"/>
      <c r="AA71" s="19"/>
      <c r="AB71" s="19"/>
      <c r="AC71" s="19"/>
      <c r="AD71" s="22" t="s">
        <v>1682</v>
      </c>
      <c r="AE71" s="22" t="s">
        <v>1684</v>
      </c>
      <c r="AF71" s="19"/>
      <c r="AG71" s="19"/>
      <c r="AH71" s="19"/>
      <c r="AI71" s="19"/>
      <c r="AJ71" s="19"/>
      <c r="AK71" s="19"/>
      <c r="AL71" s="19"/>
      <c r="AM71" s="19"/>
      <c r="AN71" s="19"/>
      <c r="AO71" s="22" t="s">
        <v>2086</v>
      </c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20" t="s">
        <v>235</v>
      </c>
      <c r="BJ71" s="19"/>
      <c r="BK71" s="21" t="s">
        <v>913</v>
      </c>
      <c r="BL71" s="19"/>
      <c r="BM71" s="19"/>
      <c r="BN71" s="22" t="s">
        <v>2328</v>
      </c>
      <c r="BO71" s="19"/>
      <c r="BP71" s="19"/>
      <c r="BQ71" s="19"/>
      <c r="BR71" s="21" t="s">
        <v>558</v>
      </c>
      <c r="BS71" s="19"/>
      <c r="BT71" s="22" t="s">
        <v>2292</v>
      </c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22" t="s">
        <v>2378</v>
      </c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1">
        <v>1</v>
      </c>
    </row>
    <row r="72" spans="6:107" ht="30" hidden="1" customHeight="1" x14ac:dyDescent="0.3">
      <c r="F72" s="11">
        <v>1</v>
      </c>
      <c r="G72" s="19"/>
      <c r="H72" s="19"/>
      <c r="I72" s="19"/>
      <c r="J72" s="19"/>
      <c r="K72" s="19"/>
      <c r="L72" s="19"/>
      <c r="M72" s="19"/>
      <c r="N72" s="19"/>
      <c r="O72" s="19"/>
      <c r="P72" s="22" t="s">
        <v>2186</v>
      </c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22" t="s">
        <v>1686</v>
      </c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22" t="s">
        <v>2088</v>
      </c>
      <c r="AP72" s="19"/>
      <c r="AQ72" s="19"/>
      <c r="AR72" s="21" t="s">
        <v>908</v>
      </c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22" t="s">
        <v>2330</v>
      </c>
      <c r="BO72" s="19"/>
      <c r="BP72" s="19"/>
      <c r="BQ72" s="19"/>
      <c r="BR72" s="19"/>
      <c r="BS72" s="19"/>
      <c r="BT72" s="22" t="s">
        <v>2294</v>
      </c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20" t="s">
        <v>129</v>
      </c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C72" s="11">
        <v>1</v>
      </c>
    </row>
    <row r="73" spans="6:107" ht="30" hidden="1" customHeight="1" x14ac:dyDescent="0.3">
      <c r="F73" s="11">
        <v>1</v>
      </c>
      <c r="G73" s="19"/>
      <c r="H73" s="19"/>
      <c r="I73" s="22" t="s">
        <v>1702</v>
      </c>
      <c r="J73" s="22" t="s">
        <v>2220</v>
      </c>
      <c r="K73" s="22" t="s">
        <v>2222</v>
      </c>
      <c r="L73" s="22" t="s">
        <v>2224</v>
      </c>
      <c r="M73" s="22" t="s">
        <v>2226</v>
      </c>
      <c r="N73" s="22" t="s">
        <v>2228</v>
      </c>
      <c r="O73" s="22" t="s">
        <v>2230</v>
      </c>
      <c r="P73" s="22" t="s">
        <v>1696</v>
      </c>
      <c r="Q73" s="22" t="s">
        <v>1698</v>
      </c>
      <c r="R73" s="22" t="s">
        <v>1700</v>
      </c>
      <c r="S73" s="19"/>
      <c r="T73" s="19"/>
      <c r="U73" s="19"/>
      <c r="V73" s="19"/>
      <c r="W73" s="19"/>
      <c r="X73" s="19"/>
      <c r="Y73" s="19"/>
      <c r="Z73" s="19"/>
      <c r="AA73" s="19"/>
      <c r="AB73" s="22" t="s">
        <v>1692</v>
      </c>
      <c r="AC73" s="19"/>
      <c r="AD73" s="22" t="s">
        <v>1688</v>
      </c>
      <c r="AE73" s="22" t="s">
        <v>1690</v>
      </c>
      <c r="AF73" s="22" t="s">
        <v>2064</v>
      </c>
      <c r="AG73" s="22" t="s">
        <v>2066</v>
      </c>
      <c r="AH73" s="22" t="s">
        <v>2068</v>
      </c>
      <c r="AI73" s="21" t="s">
        <v>688</v>
      </c>
      <c r="AJ73" s="22" t="s">
        <v>2070</v>
      </c>
      <c r="AK73" s="22" t="s">
        <v>1572</v>
      </c>
      <c r="AL73" s="19"/>
      <c r="AM73" s="19"/>
      <c r="AN73" s="19"/>
      <c r="AO73" s="22" t="s">
        <v>2090</v>
      </c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22" t="s">
        <v>2332</v>
      </c>
      <c r="BO73" s="19"/>
      <c r="BP73" s="19"/>
      <c r="BQ73" s="19"/>
      <c r="BR73" s="19"/>
      <c r="BS73" s="19"/>
      <c r="BT73" s="22" t="s">
        <v>2296</v>
      </c>
      <c r="BU73" s="19"/>
      <c r="BV73" s="19"/>
      <c r="BW73" s="21" t="s">
        <v>273</v>
      </c>
      <c r="BX73" s="19"/>
      <c r="BY73" s="19"/>
      <c r="BZ73" s="21" t="s">
        <v>593</v>
      </c>
      <c r="CA73" s="19"/>
      <c r="CB73" s="21" t="s">
        <v>423</v>
      </c>
      <c r="CC73" s="19"/>
      <c r="CD73" s="22" t="s">
        <v>2386</v>
      </c>
      <c r="CE73" s="22" t="s">
        <v>2392</v>
      </c>
      <c r="CF73" s="22" t="s">
        <v>1520</v>
      </c>
      <c r="CG73" s="22" t="s">
        <v>1522</v>
      </c>
      <c r="CH73" s="22" t="s">
        <v>1524</v>
      </c>
      <c r="CI73" s="22" t="s">
        <v>2380</v>
      </c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1">
        <v>1</v>
      </c>
    </row>
    <row r="74" spans="6:107" ht="30" hidden="1" customHeight="1" x14ac:dyDescent="0.3">
      <c r="F74" s="11">
        <v>1</v>
      </c>
      <c r="G74" s="21" t="s">
        <v>793</v>
      </c>
      <c r="H74" s="19"/>
      <c r="I74" s="22" t="s">
        <v>1704</v>
      </c>
      <c r="J74" s="19"/>
      <c r="K74" s="19"/>
      <c r="L74" s="19"/>
      <c r="M74" s="19"/>
      <c r="N74" s="19"/>
      <c r="O74" s="19"/>
      <c r="P74" s="19"/>
      <c r="Q74" s="19"/>
      <c r="R74" s="22" t="s">
        <v>2164</v>
      </c>
      <c r="S74" s="19"/>
      <c r="T74" s="19"/>
      <c r="U74" s="19"/>
      <c r="V74" s="19"/>
      <c r="W74" s="19"/>
      <c r="X74" s="19"/>
      <c r="Y74" s="19"/>
      <c r="Z74" s="19"/>
      <c r="AA74" s="19"/>
      <c r="AB74" s="22" t="s">
        <v>1694</v>
      </c>
      <c r="AC74" s="22" t="s">
        <v>2060</v>
      </c>
      <c r="AD74" s="22" t="s">
        <v>2062</v>
      </c>
      <c r="AE74" s="19"/>
      <c r="AF74" s="19"/>
      <c r="AG74" s="22" t="s">
        <v>2072</v>
      </c>
      <c r="AH74" s="19"/>
      <c r="AI74" s="19"/>
      <c r="AJ74" s="19"/>
      <c r="AK74" s="22" t="s">
        <v>1574</v>
      </c>
      <c r="AL74" s="22" t="s">
        <v>1576</v>
      </c>
      <c r="AM74" s="22" t="s">
        <v>1578</v>
      </c>
      <c r="AN74" s="22" t="s">
        <v>1580</v>
      </c>
      <c r="AO74" s="22" t="s">
        <v>2232</v>
      </c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20" t="s">
        <v>45</v>
      </c>
      <c r="BB74" s="19"/>
      <c r="BC74" s="20" t="s">
        <v>214</v>
      </c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21" t="s">
        <v>403</v>
      </c>
      <c r="BO74" s="19"/>
      <c r="BP74" s="19"/>
      <c r="BQ74" s="19"/>
      <c r="BR74" s="19"/>
      <c r="BS74" s="19"/>
      <c r="BT74" s="22" t="s">
        <v>2298</v>
      </c>
      <c r="BU74" s="19"/>
      <c r="BV74" s="19"/>
      <c r="BW74" s="19"/>
      <c r="BX74" s="19"/>
      <c r="BY74" s="19"/>
      <c r="BZ74" s="19"/>
      <c r="CA74" s="19"/>
      <c r="CB74" s="19"/>
      <c r="CC74" s="19"/>
      <c r="CD74" s="22" t="s">
        <v>2388</v>
      </c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C74" s="11">
        <v>1</v>
      </c>
    </row>
    <row r="75" spans="6:107" ht="30" hidden="1" customHeight="1" x14ac:dyDescent="0.3">
      <c r="F75" s="11">
        <v>1</v>
      </c>
      <c r="G75" s="19"/>
      <c r="H75" s="19"/>
      <c r="I75" s="19"/>
      <c r="J75" s="19"/>
      <c r="K75" s="19"/>
      <c r="L75" s="19"/>
      <c r="M75" s="19"/>
      <c r="N75" s="19"/>
      <c r="O75" s="21" t="s">
        <v>383</v>
      </c>
      <c r="P75" s="19"/>
      <c r="Q75" s="19"/>
      <c r="R75" s="22" t="s">
        <v>2166</v>
      </c>
      <c r="S75" s="19"/>
      <c r="T75" s="19"/>
      <c r="U75" s="19"/>
      <c r="V75" s="19"/>
      <c r="W75" s="19"/>
      <c r="X75" s="19"/>
      <c r="Y75" s="19"/>
      <c r="Z75" s="20" t="s">
        <v>114</v>
      </c>
      <c r="AA75" s="19"/>
      <c r="AB75" s="22" t="s">
        <v>2092</v>
      </c>
      <c r="AC75" s="19"/>
      <c r="AD75" s="19"/>
      <c r="AE75" s="19"/>
      <c r="AF75" s="21" t="s">
        <v>543</v>
      </c>
      <c r="AG75" s="22" t="s">
        <v>2074</v>
      </c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20" t="s">
        <v>16</v>
      </c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22" t="s">
        <v>2334</v>
      </c>
      <c r="BO75" s="19"/>
      <c r="BP75" s="19"/>
      <c r="BQ75" s="19"/>
      <c r="BR75" s="19"/>
      <c r="BS75" s="19"/>
      <c r="BT75" s="22" t="s">
        <v>2300</v>
      </c>
      <c r="BU75" s="21" t="s">
        <v>788</v>
      </c>
      <c r="BV75" s="22" t="s">
        <v>2310</v>
      </c>
      <c r="BW75" s="22" t="s">
        <v>2312</v>
      </c>
      <c r="BX75" s="22" t="s">
        <v>2314</v>
      </c>
      <c r="BY75" s="22" t="s">
        <v>2316</v>
      </c>
      <c r="BZ75" s="19"/>
      <c r="CA75" s="19"/>
      <c r="CB75" s="19"/>
      <c r="CC75" s="19"/>
      <c r="CD75" s="22" t="s">
        <v>2390</v>
      </c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1">
        <v>1</v>
      </c>
    </row>
    <row r="76" spans="6:107" ht="30" hidden="1" customHeight="1" x14ac:dyDescent="0.3">
      <c r="F76" s="11">
        <v>1</v>
      </c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22" t="s">
        <v>2168</v>
      </c>
      <c r="S76" s="19"/>
      <c r="T76" s="19"/>
      <c r="U76" s="19"/>
      <c r="V76" s="19"/>
      <c r="W76" s="19"/>
      <c r="X76" s="19"/>
      <c r="Y76" s="19"/>
      <c r="Z76" s="19"/>
      <c r="AA76" s="19"/>
      <c r="AB76" s="22" t="s">
        <v>2094</v>
      </c>
      <c r="AC76" s="19"/>
      <c r="AD76" s="19"/>
      <c r="AE76" s="19"/>
      <c r="AF76" s="19"/>
      <c r="AG76" s="22" t="s">
        <v>2076</v>
      </c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22" t="s">
        <v>2336</v>
      </c>
      <c r="BO76" s="19"/>
      <c r="BP76" s="19"/>
      <c r="BQ76" s="19"/>
      <c r="BR76" s="19"/>
      <c r="BS76" s="19"/>
      <c r="BT76" s="22" t="s">
        <v>2302</v>
      </c>
      <c r="BU76" s="19"/>
      <c r="BV76" s="19"/>
      <c r="BW76" s="21" t="s">
        <v>513</v>
      </c>
      <c r="BX76" s="19"/>
      <c r="BY76" s="22" t="s">
        <v>1536</v>
      </c>
      <c r="BZ76" s="19"/>
      <c r="CA76" s="19"/>
      <c r="CB76" s="19"/>
      <c r="CC76" s="19"/>
      <c r="CD76" s="22" t="s">
        <v>1526</v>
      </c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21" t="s">
        <v>538</v>
      </c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C76" s="11">
        <v>1</v>
      </c>
    </row>
    <row r="77" spans="6:107" ht="30" hidden="1" customHeight="1" x14ac:dyDescent="0.3">
      <c r="F77" s="11">
        <v>1</v>
      </c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22" t="s">
        <v>2170</v>
      </c>
      <c r="S77" s="19"/>
      <c r="T77" s="19"/>
      <c r="U77" s="19"/>
      <c r="V77" s="19"/>
      <c r="W77" s="19"/>
      <c r="X77" s="19"/>
      <c r="Y77" s="19"/>
      <c r="Z77" s="22" t="s">
        <v>1720</v>
      </c>
      <c r="AA77" s="22" t="s">
        <v>1722</v>
      </c>
      <c r="AB77" s="22" t="s">
        <v>2096</v>
      </c>
      <c r="AC77" s="19"/>
      <c r="AD77" s="19"/>
      <c r="AE77" s="19"/>
      <c r="AF77" s="19"/>
      <c r="AG77" s="22" t="s">
        <v>2078</v>
      </c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22" t="s">
        <v>2338</v>
      </c>
      <c r="BO77" s="19"/>
      <c r="BP77" s="19"/>
      <c r="BQ77" s="19"/>
      <c r="BR77" s="19"/>
      <c r="BS77" s="19"/>
      <c r="BT77" s="22" t="s">
        <v>2304</v>
      </c>
      <c r="BU77" s="19"/>
      <c r="BV77" s="19"/>
      <c r="BW77" s="19"/>
      <c r="BX77" s="19"/>
      <c r="BY77" s="19"/>
      <c r="BZ77" s="19"/>
      <c r="CA77" s="19"/>
      <c r="CB77" s="19"/>
      <c r="CC77" s="19"/>
      <c r="CD77" s="22" t="s">
        <v>1528</v>
      </c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C77" s="11">
        <v>1</v>
      </c>
    </row>
    <row r="78" spans="6:107" ht="30" hidden="1" customHeight="1" x14ac:dyDescent="0.3">
      <c r="F78" s="11">
        <v>1</v>
      </c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22" t="s">
        <v>2172</v>
      </c>
      <c r="S78" s="19"/>
      <c r="T78" s="19"/>
      <c r="U78" s="19"/>
      <c r="V78" s="19"/>
      <c r="W78" s="19"/>
      <c r="X78" s="19"/>
      <c r="Y78" s="19"/>
      <c r="Z78" s="22" t="s">
        <v>1724</v>
      </c>
      <c r="AA78" s="19"/>
      <c r="AB78" s="19"/>
      <c r="AC78" s="19"/>
      <c r="AD78" s="19"/>
      <c r="AE78" s="19"/>
      <c r="AF78" s="19"/>
      <c r="AG78" s="22" t="s">
        <v>2080</v>
      </c>
      <c r="AH78" s="19"/>
      <c r="AI78" s="19"/>
      <c r="AJ78" s="19"/>
      <c r="AK78" s="19"/>
      <c r="AL78" s="20" t="s">
        <v>99</v>
      </c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22" t="s">
        <v>2340</v>
      </c>
      <c r="BO78" s="19"/>
      <c r="BP78" s="19"/>
      <c r="BQ78" s="19"/>
      <c r="BR78" s="19"/>
      <c r="BS78" s="19"/>
      <c r="BT78" s="22" t="s">
        <v>2306</v>
      </c>
      <c r="BU78" s="22" t="s">
        <v>2308</v>
      </c>
      <c r="BV78" s="22" t="s">
        <v>1532</v>
      </c>
      <c r="BW78" s="22" t="s">
        <v>1534</v>
      </c>
      <c r="BX78" s="19"/>
      <c r="BY78" s="19"/>
      <c r="BZ78" s="19"/>
      <c r="CA78" s="19"/>
      <c r="CB78" s="19"/>
      <c r="CC78" s="19"/>
      <c r="CD78" s="22" t="s">
        <v>1530</v>
      </c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1">
        <v>1</v>
      </c>
    </row>
    <row r="79" spans="6:107" ht="30" hidden="1" customHeight="1" x14ac:dyDescent="0.3">
      <c r="F79" s="11">
        <v>1</v>
      </c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22" t="s">
        <v>2174</v>
      </c>
      <c r="S79" s="19"/>
      <c r="T79" s="19"/>
      <c r="U79" s="19"/>
      <c r="V79" s="19"/>
      <c r="W79" s="19"/>
      <c r="X79" s="19"/>
      <c r="Y79" s="19"/>
      <c r="Z79" s="22" t="s">
        <v>1726</v>
      </c>
      <c r="AA79" s="19"/>
      <c r="AB79" s="19"/>
      <c r="AC79" s="19"/>
      <c r="AD79" s="19"/>
      <c r="AE79" s="19"/>
      <c r="AF79" s="19"/>
      <c r="AG79" s="22" t="s">
        <v>2082</v>
      </c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21" t="s">
        <v>443</v>
      </c>
      <c r="BG79" s="19"/>
      <c r="BH79" s="19"/>
      <c r="BI79" s="19"/>
      <c r="BJ79" s="19"/>
      <c r="BK79" s="19"/>
      <c r="BL79" s="19"/>
      <c r="BM79" s="21" t="s">
        <v>388</v>
      </c>
      <c r="BN79" s="22" t="s">
        <v>2342</v>
      </c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22" t="s">
        <v>2384</v>
      </c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1">
        <v>1</v>
      </c>
    </row>
    <row r="80" spans="6:107" ht="30" hidden="1" customHeight="1" x14ac:dyDescent="0.3">
      <c r="F80" s="11">
        <v>1</v>
      </c>
      <c r="G80" s="19"/>
      <c r="H80" s="19"/>
      <c r="I80" s="19"/>
      <c r="J80" s="21" t="s">
        <v>468</v>
      </c>
      <c r="K80" s="19"/>
      <c r="L80" s="19"/>
      <c r="M80" s="19"/>
      <c r="N80" s="19"/>
      <c r="O80" s="19"/>
      <c r="P80" s="19"/>
      <c r="Q80" s="19"/>
      <c r="R80" s="22" t="s">
        <v>2176</v>
      </c>
      <c r="S80" s="19"/>
      <c r="T80" s="19"/>
      <c r="U80" s="19"/>
      <c r="V80" s="19"/>
      <c r="W80" s="19"/>
      <c r="X80" s="19"/>
      <c r="Y80" s="19"/>
      <c r="Z80" s="22" t="s">
        <v>2098</v>
      </c>
      <c r="AA80" s="19"/>
      <c r="AB80" s="19"/>
      <c r="AC80" s="19"/>
      <c r="AD80" s="19"/>
      <c r="AE80" s="19"/>
      <c r="AF80" s="19"/>
      <c r="AG80" s="22" t="s">
        <v>1582</v>
      </c>
      <c r="AH80" s="22" t="s">
        <v>1584</v>
      </c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22" t="s">
        <v>2344</v>
      </c>
      <c r="BO80" s="19"/>
      <c r="BP80" s="21" t="s">
        <v>313</v>
      </c>
      <c r="BQ80" s="21" t="s">
        <v>378</v>
      </c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22" t="s">
        <v>2382</v>
      </c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C80" s="11">
        <v>1</v>
      </c>
    </row>
    <row r="81" spans="6:107" ht="30" hidden="1" customHeight="1" x14ac:dyDescent="0.3">
      <c r="F81" s="11">
        <v>1</v>
      </c>
      <c r="G81" s="19"/>
      <c r="H81" s="19"/>
      <c r="I81" s="19"/>
      <c r="J81" s="19"/>
      <c r="K81" s="19"/>
      <c r="L81" s="19"/>
      <c r="M81" s="19"/>
      <c r="N81" s="21" t="s">
        <v>848</v>
      </c>
      <c r="O81" s="19"/>
      <c r="P81" s="22" t="s">
        <v>1718</v>
      </c>
      <c r="Q81" s="22" t="s">
        <v>2152</v>
      </c>
      <c r="R81" s="22" t="s">
        <v>2154</v>
      </c>
      <c r="S81" s="19"/>
      <c r="T81" s="19"/>
      <c r="U81" s="19"/>
      <c r="V81" s="19"/>
      <c r="W81" s="19"/>
      <c r="X81" s="19"/>
      <c r="Y81" s="19"/>
      <c r="Z81" s="22" t="s">
        <v>2100</v>
      </c>
      <c r="AA81" s="19"/>
      <c r="AB81" s="19"/>
      <c r="AC81" s="19"/>
      <c r="AD81" s="19"/>
      <c r="AE81" s="19"/>
      <c r="AF81" s="19"/>
      <c r="AG81" s="20" t="s">
        <v>199</v>
      </c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20" t="s">
        <v>79</v>
      </c>
      <c r="BK81" s="19"/>
      <c r="BL81" s="19"/>
      <c r="BM81" s="19"/>
      <c r="BN81" s="22" t="s">
        <v>2346</v>
      </c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22" t="s">
        <v>2498</v>
      </c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1">
        <v>1</v>
      </c>
    </row>
    <row r="82" spans="6:107" ht="30" hidden="1" customHeight="1" x14ac:dyDescent="0.3">
      <c r="F82" s="11">
        <v>1</v>
      </c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22" t="s">
        <v>2156</v>
      </c>
      <c r="S82" s="19"/>
      <c r="T82" s="19"/>
      <c r="U82" s="19"/>
      <c r="V82" s="19"/>
      <c r="W82" s="20" t="s">
        <v>169</v>
      </c>
      <c r="X82" s="19"/>
      <c r="Y82" s="19"/>
      <c r="Z82" s="22" t="s">
        <v>2102</v>
      </c>
      <c r="AA82" s="19"/>
      <c r="AB82" s="19"/>
      <c r="AC82" s="19"/>
      <c r="AD82" s="19"/>
      <c r="AE82" s="19"/>
      <c r="AF82" s="19"/>
      <c r="AG82" s="19"/>
      <c r="AH82" s="19"/>
      <c r="AI82" s="19"/>
      <c r="AJ82" s="21" t="s">
        <v>633</v>
      </c>
      <c r="AK82" s="19"/>
      <c r="AL82" s="19"/>
      <c r="AM82" s="19"/>
      <c r="AN82" s="19"/>
      <c r="AO82" s="19"/>
      <c r="AP82" s="19"/>
      <c r="AQ82" s="19"/>
      <c r="AR82" s="21" t="s">
        <v>658</v>
      </c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22" t="s">
        <v>1564</v>
      </c>
      <c r="BG82" s="19"/>
      <c r="BH82" s="19"/>
      <c r="BI82" s="19"/>
      <c r="BJ82" s="19"/>
      <c r="BK82" s="19"/>
      <c r="BL82" s="19"/>
      <c r="BM82" s="19"/>
      <c r="BN82" s="22" t="s">
        <v>2348</v>
      </c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22" t="s">
        <v>2500</v>
      </c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1">
        <v>1</v>
      </c>
    </row>
    <row r="83" spans="6:107" ht="30" hidden="1" customHeight="1" x14ac:dyDescent="0.3">
      <c r="F83" s="11">
        <v>1</v>
      </c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21" t="s">
        <v>823</v>
      </c>
      <c r="S83" s="19"/>
      <c r="T83" s="19"/>
      <c r="U83" s="19"/>
      <c r="V83" s="19"/>
      <c r="W83" s="19"/>
      <c r="X83" s="19"/>
      <c r="Y83" s="19"/>
      <c r="Z83" s="22" t="s">
        <v>1668</v>
      </c>
      <c r="AA83" s="22" t="s">
        <v>2104</v>
      </c>
      <c r="AB83" s="22" t="s">
        <v>2106</v>
      </c>
      <c r="AC83" s="22" t="s">
        <v>2108</v>
      </c>
      <c r="AD83" s="22" t="s">
        <v>2110</v>
      </c>
      <c r="AE83" s="22" t="s">
        <v>2112</v>
      </c>
      <c r="AF83" s="22" t="s">
        <v>2114</v>
      </c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22" t="s">
        <v>1566</v>
      </c>
      <c r="BG83" s="19"/>
      <c r="BH83" s="19"/>
      <c r="BI83" s="19"/>
      <c r="BJ83" s="19"/>
      <c r="BK83" s="19"/>
      <c r="BL83" s="19"/>
      <c r="BM83" s="19"/>
      <c r="BN83" s="22" t="s">
        <v>1554</v>
      </c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21" t="s">
        <v>888</v>
      </c>
      <c r="CE83" s="19"/>
      <c r="CF83" s="21" t="s">
        <v>673</v>
      </c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1">
        <v>1</v>
      </c>
    </row>
    <row r="84" spans="6:107" ht="30" hidden="1" customHeight="1" x14ac:dyDescent="0.3">
      <c r="F84" s="11">
        <v>1</v>
      </c>
      <c r="G84" s="19"/>
      <c r="H84" s="19"/>
      <c r="I84" s="19"/>
      <c r="J84" s="21" t="s">
        <v>903</v>
      </c>
      <c r="K84" s="19"/>
      <c r="L84" s="19"/>
      <c r="M84" s="19"/>
      <c r="N84" s="19"/>
      <c r="O84" s="19"/>
      <c r="P84" s="19"/>
      <c r="Q84" s="19"/>
      <c r="R84" s="22" t="s">
        <v>2158</v>
      </c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22" t="s">
        <v>2116</v>
      </c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22" t="s">
        <v>2350</v>
      </c>
      <c r="BG84" s="22" t="s">
        <v>2352</v>
      </c>
      <c r="BH84" s="22" t="s">
        <v>2354</v>
      </c>
      <c r="BI84" s="22" t="s">
        <v>2356</v>
      </c>
      <c r="BJ84" s="22" t="s">
        <v>2358</v>
      </c>
      <c r="BK84" s="22" t="s">
        <v>1556</v>
      </c>
      <c r="BL84" s="22" t="s">
        <v>1558</v>
      </c>
      <c r="BM84" s="22" t="s">
        <v>1560</v>
      </c>
      <c r="BN84" s="22" t="s">
        <v>1562</v>
      </c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22" t="s">
        <v>2502</v>
      </c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1">
        <v>1</v>
      </c>
    </row>
    <row r="85" spans="6:107" ht="30" hidden="1" customHeight="1" x14ac:dyDescent="0.3">
      <c r="F85" s="11">
        <v>1</v>
      </c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22" t="s">
        <v>2160</v>
      </c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22" t="s">
        <v>2118</v>
      </c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22" t="s">
        <v>2504</v>
      </c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1">
        <v>1</v>
      </c>
    </row>
    <row r="86" spans="6:107" ht="30" hidden="1" customHeight="1" x14ac:dyDescent="0.3">
      <c r="F86" s="11">
        <v>1</v>
      </c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22" t="s">
        <v>2162</v>
      </c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21" t="s">
        <v>268</v>
      </c>
      <c r="AD86" s="19"/>
      <c r="AE86" s="19"/>
      <c r="AF86" s="22" t="s">
        <v>2120</v>
      </c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21" t="s">
        <v>478</v>
      </c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22" t="s">
        <v>2506</v>
      </c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22" t="s">
        <v>2432</v>
      </c>
      <c r="DB86" s="19"/>
      <c r="DC86" s="11">
        <v>1</v>
      </c>
    </row>
    <row r="87" spans="6:107" ht="30" hidden="1" customHeight="1" x14ac:dyDescent="0.3">
      <c r="F87" s="11">
        <v>1</v>
      </c>
      <c r="G87" s="19"/>
      <c r="H87" s="21" t="s">
        <v>338</v>
      </c>
      <c r="I87" s="19"/>
      <c r="J87" s="19"/>
      <c r="K87" s="19"/>
      <c r="L87" s="19"/>
      <c r="M87" s="19"/>
      <c r="N87" s="19"/>
      <c r="O87" s="19"/>
      <c r="P87" s="19"/>
      <c r="Q87" s="19"/>
      <c r="R87" s="22" t="s">
        <v>2130</v>
      </c>
      <c r="S87" s="22" t="s">
        <v>2132</v>
      </c>
      <c r="T87" s="22" t="s">
        <v>2134</v>
      </c>
      <c r="U87" s="22" t="s">
        <v>2136</v>
      </c>
      <c r="V87" s="22" t="s">
        <v>2138</v>
      </c>
      <c r="W87" s="22" t="s">
        <v>2140</v>
      </c>
      <c r="X87" s="22" t="s">
        <v>2142</v>
      </c>
      <c r="Y87" s="22" t="s">
        <v>2144</v>
      </c>
      <c r="Z87" s="22" t="s">
        <v>2146</v>
      </c>
      <c r="AA87" s="22" t="s">
        <v>1664</v>
      </c>
      <c r="AB87" s="22" t="s">
        <v>1666</v>
      </c>
      <c r="AC87" s="22" t="s">
        <v>2124</v>
      </c>
      <c r="AD87" s="22" t="s">
        <v>2126</v>
      </c>
      <c r="AE87" s="22" t="s">
        <v>2128</v>
      </c>
      <c r="AF87" s="22" t="s">
        <v>2122</v>
      </c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22" t="s">
        <v>2508</v>
      </c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22" t="s">
        <v>1506</v>
      </c>
      <c r="CY87" s="22" t="s">
        <v>1508</v>
      </c>
      <c r="CZ87" s="22" t="s">
        <v>2436</v>
      </c>
      <c r="DA87" s="22" t="s">
        <v>2434</v>
      </c>
      <c r="DB87" s="19"/>
      <c r="DC87" s="11">
        <v>1</v>
      </c>
    </row>
    <row r="88" spans="6:107" ht="30" hidden="1" customHeight="1" x14ac:dyDescent="0.3">
      <c r="F88" s="11">
        <v>1</v>
      </c>
      <c r="G88" s="21" t="s">
        <v>298</v>
      </c>
      <c r="H88" s="19"/>
      <c r="I88" s="19"/>
      <c r="J88" s="19"/>
      <c r="K88" s="19"/>
      <c r="L88" s="19"/>
      <c r="M88" s="19"/>
      <c r="N88" s="19"/>
      <c r="O88" s="19"/>
      <c r="P88" s="21" t="s">
        <v>283</v>
      </c>
      <c r="Q88" s="19"/>
      <c r="R88" s="22" t="s">
        <v>2148</v>
      </c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20" t="s">
        <v>204</v>
      </c>
      <c r="BJ88" s="19"/>
      <c r="BK88" s="19"/>
      <c r="BL88" s="19"/>
      <c r="BM88" s="19"/>
      <c r="BN88" s="19"/>
      <c r="BO88" s="19"/>
      <c r="BP88" s="19"/>
      <c r="BQ88" s="21" t="s">
        <v>508</v>
      </c>
      <c r="BR88" s="19"/>
      <c r="BS88" s="19"/>
      <c r="BT88" s="19"/>
      <c r="BU88" s="19"/>
      <c r="BV88" s="22" t="s">
        <v>2618</v>
      </c>
      <c r="BW88" s="22" t="s">
        <v>2620</v>
      </c>
      <c r="BX88" s="22" t="s">
        <v>2622</v>
      </c>
      <c r="BY88" s="22" t="s">
        <v>2608</v>
      </c>
      <c r="BZ88" s="22" t="s">
        <v>2610</v>
      </c>
      <c r="CA88" s="22" t="s">
        <v>2612</v>
      </c>
      <c r="CB88" s="22" t="s">
        <v>2614</v>
      </c>
      <c r="CC88" s="22" t="s">
        <v>2616</v>
      </c>
      <c r="CD88" s="22" t="s">
        <v>2510</v>
      </c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22" t="s">
        <v>2438</v>
      </c>
      <c r="CY88" s="19"/>
      <c r="CZ88" s="19"/>
      <c r="DA88" s="19"/>
      <c r="DB88" s="19"/>
      <c r="DC88" s="11">
        <v>1</v>
      </c>
    </row>
    <row r="89" spans="6:107" ht="30" hidden="1" customHeight="1" x14ac:dyDescent="0.3">
      <c r="F89" s="11">
        <v>1</v>
      </c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22" t="s">
        <v>2150</v>
      </c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21" t="s">
        <v>323</v>
      </c>
      <c r="BR89" s="19"/>
      <c r="BS89" s="19"/>
      <c r="BT89" s="19"/>
      <c r="BU89" s="19"/>
      <c r="BV89" s="22" t="s">
        <v>2624</v>
      </c>
      <c r="BW89" s="19"/>
      <c r="BX89" s="19"/>
      <c r="BY89" s="22" t="s">
        <v>1494</v>
      </c>
      <c r="BZ89" s="19"/>
      <c r="CA89" s="19"/>
      <c r="CB89" s="19"/>
      <c r="CC89" s="19"/>
      <c r="CD89" s="22" t="s">
        <v>1498</v>
      </c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22" t="s">
        <v>1510</v>
      </c>
      <c r="CY89" s="19"/>
      <c r="CZ89" s="21" t="s">
        <v>253</v>
      </c>
      <c r="DA89" s="19"/>
      <c r="DB89" s="19"/>
      <c r="DC89" s="11">
        <v>1</v>
      </c>
    </row>
    <row r="90" spans="6:107" ht="30" hidden="1" customHeight="1" x14ac:dyDescent="0.3">
      <c r="F90" s="11">
        <v>1</v>
      </c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22" t="s">
        <v>1606</v>
      </c>
      <c r="BE90" s="22" t="s">
        <v>1608</v>
      </c>
      <c r="BF90" s="22" t="s">
        <v>1610</v>
      </c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22" t="s">
        <v>2626</v>
      </c>
      <c r="BW90" s="19"/>
      <c r="BX90" s="19"/>
      <c r="BY90" s="22" t="s">
        <v>1496</v>
      </c>
      <c r="BZ90" s="19"/>
      <c r="CA90" s="19"/>
      <c r="CB90" s="19"/>
      <c r="CC90" s="19"/>
      <c r="CD90" s="22" t="s">
        <v>2512</v>
      </c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22" t="s">
        <v>1500</v>
      </c>
      <c r="CR90" s="19"/>
      <c r="CS90" s="19"/>
      <c r="CT90" s="19"/>
      <c r="CU90" s="19"/>
      <c r="CV90" s="19"/>
      <c r="CW90" s="19"/>
      <c r="CX90" s="22" t="s">
        <v>1512</v>
      </c>
      <c r="CY90" s="19"/>
      <c r="CZ90" s="19"/>
      <c r="DA90" s="19"/>
      <c r="DB90" s="19"/>
      <c r="DC90" s="11">
        <v>1</v>
      </c>
    </row>
    <row r="91" spans="6:107" ht="30" hidden="1" customHeight="1" x14ac:dyDescent="0.3">
      <c r="F91" s="11">
        <v>1</v>
      </c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20" t="s">
        <v>89</v>
      </c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22" t="s">
        <v>2648</v>
      </c>
      <c r="BE91" s="19"/>
      <c r="BF91" s="19"/>
      <c r="BG91" s="19"/>
      <c r="BH91" s="19"/>
      <c r="BI91" s="19"/>
      <c r="BJ91" s="21" t="s">
        <v>613</v>
      </c>
      <c r="BK91" s="19"/>
      <c r="BL91" s="19"/>
      <c r="BM91" s="19"/>
      <c r="BN91" s="19"/>
      <c r="BO91" s="20" t="s">
        <v>30</v>
      </c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20" t="s">
        <v>50</v>
      </c>
      <c r="CC91" s="19"/>
      <c r="CD91" s="22" t="s">
        <v>1470</v>
      </c>
      <c r="CE91" s="22" t="s">
        <v>1472</v>
      </c>
      <c r="CF91" s="22" t="s">
        <v>1474</v>
      </c>
      <c r="CG91" s="22" t="s">
        <v>2514</v>
      </c>
      <c r="CH91" s="19"/>
      <c r="CI91" s="19"/>
      <c r="CJ91" s="22" t="s">
        <v>2460</v>
      </c>
      <c r="CK91" s="22" t="s">
        <v>2462</v>
      </c>
      <c r="CL91" s="22" t="s">
        <v>2464</v>
      </c>
      <c r="CM91" s="22" t="s">
        <v>2466</v>
      </c>
      <c r="CN91" s="22" t="s">
        <v>2468</v>
      </c>
      <c r="CO91" s="22" t="s">
        <v>2470</v>
      </c>
      <c r="CP91" s="22" t="s">
        <v>2472</v>
      </c>
      <c r="CQ91" s="22" t="s">
        <v>1502</v>
      </c>
      <c r="CR91" s="22" t="s">
        <v>1504</v>
      </c>
      <c r="CS91" s="22" t="s">
        <v>2450</v>
      </c>
      <c r="CT91" s="22" t="s">
        <v>2452</v>
      </c>
      <c r="CU91" s="22" t="s">
        <v>2454</v>
      </c>
      <c r="CV91" s="22" t="s">
        <v>2456</v>
      </c>
      <c r="CW91" s="22" t="s">
        <v>2458</v>
      </c>
      <c r="CX91" s="22" t="s">
        <v>2440</v>
      </c>
      <c r="CY91" s="22" t="s">
        <v>2442</v>
      </c>
      <c r="CZ91" s="22" t="s">
        <v>2444</v>
      </c>
      <c r="DA91" s="19"/>
      <c r="DB91" s="19"/>
      <c r="DC91" s="11">
        <v>1</v>
      </c>
    </row>
    <row r="92" spans="6:107" ht="30" hidden="1" customHeight="1" x14ac:dyDescent="0.3">
      <c r="F92" s="11">
        <v>1</v>
      </c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22" t="s">
        <v>2650</v>
      </c>
      <c r="BE92" s="19"/>
      <c r="BF92" s="19"/>
      <c r="BG92" s="19"/>
      <c r="BH92" s="19"/>
      <c r="BI92" s="19"/>
      <c r="BJ92" s="19"/>
      <c r="BK92" s="19"/>
      <c r="BL92" s="19"/>
      <c r="BM92" s="22" t="s">
        <v>1624</v>
      </c>
      <c r="BN92" s="19"/>
      <c r="BO92" s="22" t="s">
        <v>2604</v>
      </c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22" t="s">
        <v>2516</v>
      </c>
      <c r="CH92" s="19"/>
      <c r="CI92" s="19"/>
      <c r="CJ92" s="22" t="s">
        <v>2480</v>
      </c>
      <c r="CK92" s="19"/>
      <c r="CL92" s="19"/>
      <c r="CM92" s="22" t="s">
        <v>2474</v>
      </c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22" t="s">
        <v>2446</v>
      </c>
      <c r="DA92" s="22" t="s">
        <v>2448</v>
      </c>
      <c r="DB92" s="19"/>
      <c r="DC92" s="11">
        <v>1</v>
      </c>
    </row>
    <row r="93" spans="6:107" ht="30" hidden="1" customHeight="1" x14ac:dyDescent="0.3">
      <c r="F93" s="11">
        <v>1</v>
      </c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20" t="s">
        <v>104</v>
      </c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22" t="s">
        <v>2652</v>
      </c>
      <c r="BE93" s="22" t="s">
        <v>2658</v>
      </c>
      <c r="BF93" s="19"/>
      <c r="BG93" s="19"/>
      <c r="BH93" s="19"/>
      <c r="BI93" s="19"/>
      <c r="BJ93" s="19"/>
      <c r="BK93" s="19"/>
      <c r="BL93" s="19"/>
      <c r="BM93" s="22" t="s">
        <v>2592</v>
      </c>
      <c r="BN93" s="19"/>
      <c r="BO93" s="22" t="s">
        <v>2606</v>
      </c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22" t="s">
        <v>2518</v>
      </c>
      <c r="CH93" s="19"/>
      <c r="CI93" s="19"/>
      <c r="CJ93" s="22" t="s">
        <v>2482</v>
      </c>
      <c r="CK93" s="19"/>
      <c r="CL93" s="19"/>
      <c r="CM93" s="22" t="s">
        <v>2476</v>
      </c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21" t="s">
        <v>863</v>
      </c>
      <c r="DC93" s="11">
        <v>1</v>
      </c>
    </row>
    <row r="94" spans="6:107" ht="30" hidden="1" customHeight="1" x14ac:dyDescent="0.3">
      <c r="F94" s="11">
        <v>1</v>
      </c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22" t="s">
        <v>2654</v>
      </c>
      <c r="BE94" s="19"/>
      <c r="BF94" s="19"/>
      <c r="BG94" s="19"/>
      <c r="BH94" s="19"/>
      <c r="BI94" s="19"/>
      <c r="BJ94" s="19"/>
      <c r="BK94" s="19"/>
      <c r="BL94" s="19"/>
      <c r="BM94" s="22" t="s">
        <v>2594</v>
      </c>
      <c r="BN94" s="22" t="s">
        <v>2598</v>
      </c>
      <c r="BO94" s="22" t="s">
        <v>2600</v>
      </c>
      <c r="BP94" s="22" t="s">
        <v>2602</v>
      </c>
      <c r="BQ94" s="22" t="s">
        <v>1626</v>
      </c>
      <c r="BR94" s="22" t="s">
        <v>1628</v>
      </c>
      <c r="BS94" s="19"/>
      <c r="BT94" s="19"/>
      <c r="BU94" s="19"/>
      <c r="BV94" s="19"/>
      <c r="BW94" s="19"/>
      <c r="BX94" s="19"/>
      <c r="BY94" s="19"/>
      <c r="BZ94" s="19"/>
      <c r="CA94" s="22" t="s">
        <v>1476</v>
      </c>
      <c r="CB94" s="22" t="s">
        <v>1478</v>
      </c>
      <c r="CC94" s="22" t="s">
        <v>1480</v>
      </c>
      <c r="CD94" s="19"/>
      <c r="CE94" s="19"/>
      <c r="CF94" s="22" t="s">
        <v>1482</v>
      </c>
      <c r="CG94" s="22" t="s">
        <v>2520</v>
      </c>
      <c r="CH94" s="19"/>
      <c r="CI94" s="19"/>
      <c r="CJ94" s="22" t="s">
        <v>2484</v>
      </c>
      <c r="CK94" s="19"/>
      <c r="CL94" s="21" t="s">
        <v>858</v>
      </c>
      <c r="CM94" s="22" t="s">
        <v>2478</v>
      </c>
      <c r="CN94" s="19"/>
      <c r="CO94" s="19"/>
      <c r="CP94" s="19"/>
      <c r="CQ94" s="19"/>
      <c r="CR94" s="19"/>
      <c r="CS94" s="19"/>
      <c r="CT94" s="19"/>
      <c r="CU94" s="19"/>
      <c r="CV94" s="20" t="s">
        <v>194</v>
      </c>
      <c r="CW94" s="19"/>
      <c r="CX94" s="19"/>
      <c r="CY94" s="19"/>
      <c r="CZ94" s="19"/>
      <c r="DA94" s="19"/>
      <c r="DB94" s="19"/>
      <c r="DC94" s="11">
        <v>1</v>
      </c>
    </row>
    <row r="95" spans="6:107" ht="30" hidden="1" customHeight="1" x14ac:dyDescent="0.3">
      <c r="F95" s="11">
        <v>1</v>
      </c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22" t="s">
        <v>1714</v>
      </c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22" t="s">
        <v>2656</v>
      </c>
      <c r="BE95" s="19"/>
      <c r="BF95" s="19"/>
      <c r="BG95" s="19"/>
      <c r="BH95" s="19"/>
      <c r="BI95" s="19"/>
      <c r="BJ95" s="19"/>
      <c r="BK95" s="19"/>
      <c r="BL95" s="19"/>
      <c r="BM95" s="22" t="s">
        <v>2596</v>
      </c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22" t="s">
        <v>2542</v>
      </c>
      <c r="CB95" s="19"/>
      <c r="CC95" s="19"/>
      <c r="CD95" s="19"/>
      <c r="CE95" s="19"/>
      <c r="CF95" s="19"/>
      <c r="CG95" s="22" t="s">
        <v>2522</v>
      </c>
      <c r="CH95" s="19"/>
      <c r="CI95" s="19"/>
      <c r="CJ95" s="22" t="s">
        <v>2486</v>
      </c>
      <c r="CK95" s="19"/>
      <c r="CL95" s="19"/>
      <c r="CM95" s="22" t="s">
        <v>1490</v>
      </c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1">
        <v>1</v>
      </c>
    </row>
    <row r="96" spans="6:107" ht="30" hidden="1" customHeight="1" x14ac:dyDescent="0.3">
      <c r="F96" s="11">
        <v>1</v>
      </c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22" t="s">
        <v>1716</v>
      </c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22" t="s">
        <v>2672</v>
      </c>
      <c r="AP96" s="22" t="s">
        <v>1586</v>
      </c>
      <c r="AQ96" s="22" t="s">
        <v>1588</v>
      </c>
      <c r="AR96" s="22" t="s">
        <v>1590</v>
      </c>
      <c r="AS96" s="22" t="s">
        <v>2660</v>
      </c>
      <c r="AT96" s="22" t="s">
        <v>2662</v>
      </c>
      <c r="AU96" s="22" t="s">
        <v>2664</v>
      </c>
      <c r="AV96" s="22" t="s">
        <v>2666</v>
      </c>
      <c r="AW96" s="22" t="s">
        <v>1598</v>
      </c>
      <c r="AX96" s="22" t="s">
        <v>1600</v>
      </c>
      <c r="AY96" s="22" t="s">
        <v>1602</v>
      </c>
      <c r="AZ96" s="22" t="s">
        <v>1604</v>
      </c>
      <c r="BA96" s="22" t="s">
        <v>2642</v>
      </c>
      <c r="BB96" s="21" t="s">
        <v>873</v>
      </c>
      <c r="BC96" s="22" t="s">
        <v>2644</v>
      </c>
      <c r="BD96" s="22" t="s">
        <v>2646</v>
      </c>
      <c r="BE96" s="19"/>
      <c r="BF96" s="19"/>
      <c r="BG96" s="19"/>
      <c r="BH96" s="19"/>
      <c r="BI96" s="19"/>
      <c r="BJ96" s="19"/>
      <c r="BK96" s="19"/>
      <c r="BL96" s="19"/>
      <c r="BM96" s="22" t="s">
        <v>1622</v>
      </c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22" t="s">
        <v>2544</v>
      </c>
      <c r="CB96" s="19"/>
      <c r="CC96" s="19"/>
      <c r="CD96" s="19"/>
      <c r="CE96" s="19"/>
      <c r="CF96" s="19"/>
      <c r="CG96" s="22" t="s">
        <v>2524</v>
      </c>
      <c r="CH96" s="19"/>
      <c r="CI96" s="19"/>
      <c r="CJ96" s="22" t="s">
        <v>2488</v>
      </c>
      <c r="CK96" s="19"/>
      <c r="CL96" s="19"/>
      <c r="CM96" s="22" t="s">
        <v>1492</v>
      </c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1">
        <v>1</v>
      </c>
    </row>
    <row r="97" spans="6:107" ht="30" hidden="1" customHeight="1" x14ac:dyDescent="0.3">
      <c r="F97" s="11">
        <v>1</v>
      </c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21" t="s">
        <v>398</v>
      </c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22" t="s">
        <v>2668</v>
      </c>
      <c r="AT97" s="19"/>
      <c r="AU97" s="19"/>
      <c r="AV97" s="21" t="s">
        <v>683</v>
      </c>
      <c r="AW97" s="19"/>
      <c r="AX97" s="19"/>
      <c r="AY97" s="19"/>
      <c r="AZ97" s="19"/>
      <c r="BA97" s="19"/>
      <c r="BB97" s="22" t="s">
        <v>1612</v>
      </c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22" t="s">
        <v>2590</v>
      </c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22" t="s">
        <v>2546</v>
      </c>
      <c r="CB97" s="19"/>
      <c r="CC97" s="19"/>
      <c r="CD97" s="19"/>
      <c r="CE97" s="19"/>
      <c r="CF97" s="19"/>
      <c r="CG97" s="22" t="s">
        <v>2526</v>
      </c>
      <c r="CH97" s="19"/>
      <c r="CI97" s="19"/>
      <c r="CJ97" s="21" t="s">
        <v>353</v>
      </c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1">
        <v>1</v>
      </c>
    </row>
    <row r="98" spans="6:107" ht="30" hidden="1" customHeight="1" x14ac:dyDescent="0.3">
      <c r="F98" s="11">
        <v>1</v>
      </c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22" t="s">
        <v>2670</v>
      </c>
      <c r="AT98" s="19"/>
      <c r="AU98" s="19"/>
      <c r="AV98" s="19"/>
      <c r="AW98" s="19"/>
      <c r="AX98" s="19"/>
      <c r="AY98" s="19"/>
      <c r="AZ98" s="19"/>
      <c r="BA98" s="19"/>
      <c r="BB98" s="22" t="s">
        <v>1614</v>
      </c>
      <c r="BC98" s="19"/>
      <c r="BD98" s="19"/>
      <c r="BE98" s="19"/>
      <c r="BF98" s="19"/>
      <c r="BG98" s="19"/>
      <c r="BH98" s="22" t="s">
        <v>2628</v>
      </c>
      <c r="BI98" s="22" t="s">
        <v>2630</v>
      </c>
      <c r="BJ98" s="22" t="s">
        <v>2632</v>
      </c>
      <c r="BK98" s="22" t="s">
        <v>2582</v>
      </c>
      <c r="BL98" s="22" t="s">
        <v>2584</v>
      </c>
      <c r="BM98" s="22" t="s">
        <v>2586</v>
      </c>
      <c r="BN98" s="22" t="s">
        <v>2588</v>
      </c>
      <c r="BO98" s="22" t="s">
        <v>1630</v>
      </c>
      <c r="BP98" s="22" t="s">
        <v>2580</v>
      </c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22" t="s">
        <v>2548</v>
      </c>
      <c r="CB98" s="19"/>
      <c r="CC98" s="19"/>
      <c r="CD98" s="19"/>
      <c r="CE98" s="19"/>
      <c r="CF98" s="19"/>
      <c r="CG98" s="22" t="s">
        <v>2550</v>
      </c>
      <c r="CH98" s="19"/>
      <c r="CI98" s="19"/>
      <c r="CJ98" s="22" t="s">
        <v>2490</v>
      </c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1">
        <v>1</v>
      </c>
    </row>
    <row r="99" spans="6:107" ht="30" hidden="1" customHeight="1" x14ac:dyDescent="0.3">
      <c r="F99" s="11">
        <v>1</v>
      </c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22" t="s">
        <v>2676</v>
      </c>
      <c r="AJ99" s="22" t="s">
        <v>2678</v>
      </c>
      <c r="AK99" s="22" t="s">
        <v>2680</v>
      </c>
      <c r="AL99" s="22" t="s">
        <v>2682</v>
      </c>
      <c r="AM99" s="22" t="s">
        <v>2684</v>
      </c>
      <c r="AN99" s="22" t="s">
        <v>1592</v>
      </c>
      <c r="AO99" s="19"/>
      <c r="AP99" s="19"/>
      <c r="AQ99" s="19"/>
      <c r="AR99" s="19"/>
      <c r="AS99" s="22" t="s">
        <v>1596</v>
      </c>
      <c r="AT99" s="19"/>
      <c r="AU99" s="19"/>
      <c r="AV99" s="19"/>
      <c r="AW99" s="19"/>
      <c r="AX99" s="19"/>
      <c r="AY99" s="19"/>
      <c r="AZ99" s="19"/>
      <c r="BA99" s="19"/>
      <c r="BB99" s="22" t="s">
        <v>2634</v>
      </c>
      <c r="BC99" s="22" t="s">
        <v>2636</v>
      </c>
      <c r="BD99" s="22" t="s">
        <v>2638</v>
      </c>
      <c r="BE99" s="22" t="s">
        <v>2640</v>
      </c>
      <c r="BF99" s="22" t="s">
        <v>1616</v>
      </c>
      <c r="BG99" s="22" t="s">
        <v>1618</v>
      </c>
      <c r="BH99" s="22" t="s">
        <v>1620</v>
      </c>
      <c r="BI99" s="19"/>
      <c r="BJ99" s="19"/>
      <c r="BK99" s="19"/>
      <c r="BL99" s="19"/>
      <c r="BM99" s="19"/>
      <c r="BN99" s="19"/>
      <c r="BO99" s="19"/>
      <c r="BP99" s="22" t="s">
        <v>2564</v>
      </c>
      <c r="BQ99" s="22" t="s">
        <v>2566</v>
      </c>
      <c r="BR99" s="22" t="s">
        <v>2568</v>
      </c>
      <c r="BS99" s="22" t="s">
        <v>2570</v>
      </c>
      <c r="BT99" s="22" t="s">
        <v>2572</v>
      </c>
      <c r="BU99" s="22" t="s">
        <v>2574</v>
      </c>
      <c r="BV99" s="22" t="s">
        <v>2576</v>
      </c>
      <c r="BW99" s="22" t="s">
        <v>2558</v>
      </c>
      <c r="BX99" s="21" t="s">
        <v>648</v>
      </c>
      <c r="BY99" s="22" t="s">
        <v>2560</v>
      </c>
      <c r="BZ99" s="22" t="s">
        <v>2562</v>
      </c>
      <c r="CA99" s="22" t="s">
        <v>2540</v>
      </c>
      <c r="CB99" s="22" t="s">
        <v>2528</v>
      </c>
      <c r="CC99" s="22" t="s">
        <v>2530</v>
      </c>
      <c r="CD99" s="22" t="s">
        <v>2532</v>
      </c>
      <c r="CE99" s="22" t="s">
        <v>2534</v>
      </c>
      <c r="CF99" s="22" t="s">
        <v>2536</v>
      </c>
      <c r="CG99" s="22" t="s">
        <v>2538</v>
      </c>
      <c r="CH99" s="19"/>
      <c r="CI99" s="19"/>
      <c r="CJ99" s="22" t="s">
        <v>2492</v>
      </c>
      <c r="CK99" s="19"/>
      <c r="CL99" s="19"/>
      <c r="CM99" s="19"/>
      <c r="CN99" s="19"/>
      <c r="CO99" s="19"/>
      <c r="CP99" s="19"/>
      <c r="CQ99" s="19"/>
      <c r="CR99" s="19"/>
      <c r="CS99" s="19"/>
      <c r="CT99" s="19"/>
      <c r="CU99" s="19"/>
      <c r="CV99" s="19"/>
      <c r="CW99" s="19"/>
      <c r="CX99" s="19"/>
      <c r="CY99" s="19"/>
      <c r="CZ99" s="19"/>
      <c r="DA99" s="19"/>
      <c r="DB99" s="19"/>
      <c r="DC99" s="11">
        <v>1</v>
      </c>
    </row>
    <row r="100" spans="6:107" ht="30" hidden="1" customHeight="1" x14ac:dyDescent="0.3">
      <c r="F100" s="11">
        <v>1</v>
      </c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21" t="s">
        <v>868</v>
      </c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22" t="s">
        <v>2686</v>
      </c>
      <c r="AJ100" s="19"/>
      <c r="AK100" s="19"/>
      <c r="AL100" s="19"/>
      <c r="AM100" s="19"/>
      <c r="AN100" s="22" t="s">
        <v>1594</v>
      </c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21" t="s">
        <v>758</v>
      </c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22" t="s">
        <v>2556</v>
      </c>
      <c r="CE100" s="19"/>
      <c r="CF100" s="19"/>
      <c r="CG100" s="19"/>
      <c r="CH100" s="19"/>
      <c r="CI100" s="19"/>
      <c r="CJ100" s="22" t="s">
        <v>2494</v>
      </c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1">
        <v>1</v>
      </c>
    </row>
    <row r="101" spans="6:107" ht="30" hidden="1" customHeight="1" x14ac:dyDescent="0.3">
      <c r="F101" s="11">
        <v>1</v>
      </c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22" t="s">
        <v>1658</v>
      </c>
      <c r="AJ101" s="19"/>
      <c r="AK101" s="19"/>
      <c r="AL101" s="19"/>
      <c r="AM101" s="19"/>
      <c r="AN101" s="22" t="s">
        <v>2674</v>
      </c>
      <c r="AO101" s="19"/>
      <c r="AP101" s="19"/>
      <c r="AQ101" s="19"/>
      <c r="AR101" s="19"/>
      <c r="AS101" s="19"/>
      <c r="AT101" s="19"/>
      <c r="AU101" s="19"/>
      <c r="AV101" s="21" t="s">
        <v>453</v>
      </c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19"/>
      <c r="BP101" s="19"/>
      <c r="BQ101" s="19"/>
      <c r="BR101" s="21" t="s">
        <v>483</v>
      </c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22" t="s">
        <v>1484</v>
      </c>
      <c r="CE101" s="19"/>
      <c r="CF101" s="19"/>
      <c r="CG101" s="19"/>
      <c r="CH101" s="19"/>
      <c r="CI101" s="19"/>
      <c r="CJ101" s="22" t="s">
        <v>2496</v>
      </c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1">
        <v>1</v>
      </c>
    </row>
    <row r="102" spans="6:107" ht="30" hidden="1" customHeight="1" x14ac:dyDescent="0.3">
      <c r="F102" s="11">
        <v>1</v>
      </c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22" t="s">
        <v>1660</v>
      </c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19"/>
      <c r="CD102" s="19"/>
      <c r="CE102" s="19"/>
      <c r="CF102" s="19"/>
      <c r="CG102" s="22" t="s">
        <v>1486</v>
      </c>
      <c r="CH102" s="22" t="s">
        <v>1488</v>
      </c>
      <c r="CI102" s="22" t="s">
        <v>2552</v>
      </c>
      <c r="CJ102" s="22" t="s">
        <v>2554</v>
      </c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  <c r="DA102" s="19"/>
      <c r="DB102" s="19"/>
      <c r="DC102" s="11">
        <v>1</v>
      </c>
    </row>
    <row r="103" spans="6:107" ht="30" hidden="1" customHeight="1" x14ac:dyDescent="0.3">
      <c r="F103" s="11">
        <v>1</v>
      </c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22" t="s">
        <v>1662</v>
      </c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20" t="s">
        <v>154</v>
      </c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22" t="s">
        <v>1632</v>
      </c>
      <c r="BS103" s="22" t="s">
        <v>2578</v>
      </c>
      <c r="BT103" s="22" t="s">
        <v>1650</v>
      </c>
      <c r="BU103" s="22" t="s">
        <v>1652</v>
      </c>
      <c r="BV103" s="22" t="s">
        <v>1654</v>
      </c>
      <c r="BW103" s="22" t="s">
        <v>1656</v>
      </c>
      <c r="BX103" s="19"/>
      <c r="BY103" s="19"/>
      <c r="BZ103" s="19"/>
      <c r="CA103" s="19"/>
      <c r="CB103" s="19"/>
      <c r="CC103" s="19"/>
      <c r="CD103" s="19"/>
      <c r="CE103" s="19"/>
      <c r="CF103" s="19"/>
      <c r="CG103" s="19"/>
      <c r="CH103" s="19"/>
      <c r="CI103" s="19"/>
      <c r="CJ103" s="19"/>
      <c r="CK103" s="19"/>
      <c r="CL103" s="19"/>
      <c r="CM103" s="19"/>
      <c r="CN103" s="19"/>
      <c r="CO103" s="19"/>
      <c r="CP103" s="19"/>
      <c r="CQ103" s="19"/>
      <c r="CR103" s="19"/>
      <c r="CS103" s="19"/>
      <c r="CT103" s="19"/>
      <c r="CU103" s="19"/>
      <c r="CV103" s="19"/>
      <c r="CW103" s="19"/>
      <c r="CX103" s="19"/>
      <c r="CY103" s="19"/>
      <c r="CZ103" s="19"/>
      <c r="DA103" s="19"/>
      <c r="DB103" s="21" t="s">
        <v>238</v>
      </c>
      <c r="DC103" s="11">
        <v>1</v>
      </c>
    </row>
    <row r="104" spans="6:107" ht="30" customHeight="1" x14ac:dyDescent="0.3">
      <c r="G104" s="11">
        <v>1</v>
      </c>
      <c r="H104" s="11">
        <v>1</v>
      </c>
      <c r="I104" s="11">
        <v>1</v>
      </c>
      <c r="J104" s="11">
        <v>1</v>
      </c>
      <c r="K104" s="11">
        <v>1</v>
      </c>
      <c r="L104" s="11">
        <v>1</v>
      </c>
      <c r="M104" s="11">
        <v>1</v>
      </c>
      <c r="N104" s="11">
        <v>1</v>
      </c>
      <c r="O104" s="11">
        <v>1</v>
      </c>
      <c r="P104" s="11">
        <v>1</v>
      </c>
      <c r="Q104" s="11">
        <v>1</v>
      </c>
      <c r="R104" s="11">
        <v>1</v>
      </c>
      <c r="S104" s="11">
        <v>1</v>
      </c>
      <c r="T104" s="11">
        <v>1</v>
      </c>
      <c r="U104" s="11">
        <v>1</v>
      </c>
      <c r="V104" s="11">
        <v>1</v>
      </c>
      <c r="W104" s="11">
        <v>1</v>
      </c>
      <c r="X104" s="11">
        <v>1</v>
      </c>
      <c r="Y104" s="11">
        <v>1</v>
      </c>
      <c r="Z104" s="11">
        <v>1</v>
      </c>
      <c r="AA104" s="11">
        <v>1</v>
      </c>
      <c r="AB104" s="11">
        <v>1</v>
      </c>
      <c r="AC104" s="11">
        <v>1</v>
      </c>
      <c r="AD104" s="11">
        <v>1</v>
      </c>
      <c r="AE104" s="11">
        <v>1</v>
      </c>
      <c r="AF104" s="11">
        <v>1</v>
      </c>
      <c r="AG104" s="11">
        <v>1</v>
      </c>
      <c r="AH104" s="11">
        <v>1</v>
      </c>
      <c r="AI104" s="11">
        <v>1</v>
      </c>
      <c r="AJ104" s="11">
        <v>1</v>
      </c>
      <c r="AK104" s="11">
        <v>1</v>
      </c>
      <c r="AL104" s="11">
        <v>1</v>
      </c>
      <c r="AM104" s="11">
        <v>1</v>
      </c>
      <c r="AN104" s="11">
        <v>1</v>
      </c>
      <c r="AO104" s="11">
        <v>1</v>
      </c>
      <c r="AP104" s="11">
        <v>1</v>
      </c>
      <c r="AQ104" s="11">
        <v>1</v>
      </c>
      <c r="AR104" s="11">
        <v>1</v>
      </c>
      <c r="AS104" s="11">
        <v>1</v>
      </c>
      <c r="AT104" s="11">
        <v>1</v>
      </c>
      <c r="AU104" s="11">
        <v>1</v>
      </c>
      <c r="AV104" s="11">
        <v>1</v>
      </c>
      <c r="AW104" s="11">
        <v>1</v>
      </c>
      <c r="AX104" s="11">
        <v>1</v>
      </c>
      <c r="AY104" s="11">
        <v>1</v>
      </c>
      <c r="AZ104" s="11">
        <v>1</v>
      </c>
      <c r="BA104" s="11">
        <v>1</v>
      </c>
      <c r="BB104" s="11">
        <v>1</v>
      </c>
      <c r="BC104" s="11">
        <v>1</v>
      </c>
      <c r="BD104" s="11">
        <v>1</v>
      </c>
      <c r="BE104" s="11">
        <v>1</v>
      </c>
      <c r="BF104" s="11">
        <v>1</v>
      </c>
      <c r="BG104" s="11">
        <v>1</v>
      </c>
      <c r="BH104" s="11">
        <v>1</v>
      </c>
      <c r="BI104" s="11">
        <v>1</v>
      </c>
      <c r="BJ104" s="11">
        <v>1</v>
      </c>
      <c r="BK104" s="11">
        <v>1</v>
      </c>
      <c r="BL104" s="11">
        <v>1</v>
      </c>
      <c r="BM104" s="11">
        <v>1</v>
      </c>
      <c r="BN104" s="11">
        <v>1</v>
      </c>
      <c r="BO104" s="11">
        <v>1</v>
      </c>
      <c r="BP104" s="11">
        <v>1</v>
      </c>
      <c r="BQ104" s="11">
        <v>1</v>
      </c>
      <c r="BR104" s="11">
        <v>1</v>
      </c>
      <c r="BS104" s="11">
        <v>1</v>
      </c>
      <c r="BT104" s="11">
        <v>1</v>
      </c>
      <c r="BU104" s="11">
        <v>1</v>
      </c>
      <c r="BV104" s="11">
        <v>1</v>
      </c>
      <c r="BW104" s="11">
        <v>1</v>
      </c>
      <c r="BX104" s="11">
        <v>1</v>
      </c>
      <c r="BY104" s="11">
        <v>1</v>
      </c>
      <c r="BZ104" s="11">
        <v>1</v>
      </c>
      <c r="CA104" s="11">
        <v>1</v>
      </c>
      <c r="CB104" s="11">
        <v>1</v>
      </c>
      <c r="CC104" s="11">
        <v>1</v>
      </c>
      <c r="CD104" s="11">
        <v>1</v>
      </c>
      <c r="CE104" s="11">
        <v>1</v>
      </c>
      <c r="CF104" s="11">
        <v>1</v>
      </c>
      <c r="CG104" s="11">
        <v>1</v>
      </c>
      <c r="CH104" s="11">
        <v>1</v>
      </c>
      <c r="CI104" s="11">
        <v>1</v>
      </c>
      <c r="CJ104" s="11">
        <v>1</v>
      </c>
      <c r="CK104" s="11">
        <v>1</v>
      </c>
      <c r="CL104" s="11">
        <v>1</v>
      </c>
      <c r="CM104" s="11">
        <v>1</v>
      </c>
      <c r="CN104" s="11">
        <v>1</v>
      </c>
      <c r="CO104" s="11">
        <v>1</v>
      </c>
      <c r="CP104" s="11">
        <v>1</v>
      </c>
      <c r="CQ104" s="11">
        <v>1</v>
      </c>
      <c r="CR104" s="11">
        <v>1</v>
      </c>
      <c r="CS104" s="11">
        <v>1</v>
      </c>
      <c r="CT104" s="11">
        <v>1</v>
      </c>
      <c r="CU104" s="11">
        <v>1</v>
      </c>
      <c r="CV104" s="11">
        <v>1</v>
      </c>
      <c r="CW104" s="11">
        <v>1</v>
      </c>
      <c r="CX104" s="11">
        <v>1</v>
      </c>
      <c r="CY104" s="11">
        <v>1</v>
      </c>
      <c r="CZ104" s="11">
        <v>1</v>
      </c>
      <c r="DA104" s="11">
        <v>1</v>
      </c>
      <c r="DB104" s="11">
        <v>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>
              <from>
                <xdr:col>5</xdr:col>
                <xdr:colOff>400050</xdr:colOff>
                <xdr:row>0</xdr:row>
                <xdr:rowOff>323850</xdr:rowOff>
              </from>
              <to>
                <xdr:col>9</xdr:col>
                <xdr:colOff>161925</xdr:colOff>
                <xdr:row>2</xdr:row>
                <xdr:rowOff>171450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>
              <from>
                <xdr:col>9</xdr:col>
                <xdr:colOff>361950</xdr:colOff>
                <xdr:row>0</xdr:row>
                <xdr:rowOff>333375</xdr:rowOff>
              </from>
              <to>
                <xdr:col>13</xdr:col>
                <xdr:colOff>161925</xdr:colOff>
                <xdr:row>2</xdr:row>
                <xdr:rowOff>180975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U186"/>
  <sheetViews>
    <sheetView topLeftCell="A137" zoomScale="70" zoomScaleNormal="70" workbookViewId="0">
      <selection activeCell="I154" sqref="I154"/>
    </sheetView>
  </sheetViews>
  <sheetFormatPr defaultRowHeight="16.5" x14ac:dyDescent="0.3"/>
  <cols>
    <col min="1" max="1" width="6.5" style="3" customWidth="1"/>
    <col min="2" max="2" width="10.25" style="3" customWidth="1"/>
    <col min="3" max="3" width="12.75" style="3" customWidth="1"/>
    <col min="4" max="4" width="22" style="3" bestFit="1" customWidth="1"/>
    <col min="5" max="5" width="11.125" style="3" bestFit="1" customWidth="1"/>
    <col min="6" max="6" width="51" style="3" bestFit="1" customWidth="1"/>
    <col min="7" max="7" width="6.5" style="3" customWidth="1"/>
    <col min="8" max="8" width="10.25" style="3" customWidth="1"/>
    <col min="9" max="16384" width="9" style="1"/>
  </cols>
  <sheetData>
    <row r="1" spans="1:21" x14ac:dyDescent="0.3">
      <c r="A1" s="2" t="s">
        <v>1</v>
      </c>
      <c r="B1" s="2" t="s">
        <v>3120</v>
      </c>
      <c r="C1" s="2" t="s">
        <v>3490</v>
      </c>
      <c r="D1" s="2" t="s">
        <v>3121</v>
      </c>
      <c r="E1" s="2" t="s">
        <v>3124</v>
      </c>
      <c r="F1" s="2" t="s">
        <v>3491</v>
      </c>
      <c r="G1" s="2" t="s">
        <v>3492</v>
      </c>
      <c r="H1" s="2" t="s">
        <v>3493</v>
      </c>
      <c r="M1" t="s">
        <v>3649</v>
      </c>
      <c r="N1" t="s">
        <v>3650</v>
      </c>
      <c r="O1"/>
      <c r="P1" s="28" t="s">
        <v>3120</v>
      </c>
      <c r="Q1" s="28" t="s">
        <v>3124</v>
      </c>
      <c r="R1" s="28" t="s">
        <v>3492</v>
      </c>
      <c r="S1" s="28" t="s">
        <v>3491</v>
      </c>
      <c r="T1" s="28" t="s">
        <v>3493</v>
      </c>
      <c r="U1" s="28"/>
    </row>
    <row r="2" spans="1:21" x14ac:dyDescent="0.3">
      <c r="A2" s="3">
        <v>1</v>
      </c>
      <c r="B2" s="3" t="s">
        <v>7</v>
      </c>
      <c r="C2" s="3" t="s">
        <v>238</v>
      </c>
      <c r="D2" s="3" t="s">
        <v>239</v>
      </c>
      <c r="E2" s="10">
        <v>44409</v>
      </c>
      <c r="F2" s="3" t="s">
        <v>3494</v>
      </c>
      <c r="G2" s="3">
        <v>4</v>
      </c>
      <c r="H2" s="3" t="s">
        <v>3495</v>
      </c>
      <c r="M2" s="29">
        <f ca="1">TODAY()</f>
        <v>44446</v>
      </c>
      <c r="N2" t="s">
        <v>3651</v>
      </c>
      <c r="O2"/>
      <c r="P2" s="3" t="s">
        <v>214</v>
      </c>
      <c r="Q2" s="10">
        <v>44441</v>
      </c>
      <c r="R2" s="3">
        <v>5</v>
      </c>
      <c r="S2" s="3" t="s">
        <v>3558</v>
      </c>
      <c r="T2" s="3" t="s">
        <v>3495</v>
      </c>
      <c r="U2" s="2"/>
    </row>
    <row r="3" spans="1:21" x14ac:dyDescent="0.3">
      <c r="A3" s="3">
        <v>2</v>
      </c>
      <c r="B3" s="3" t="s">
        <v>16</v>
      </c>
      <c r="C3" s="3" t="s">
        <v>238</v>
      </c>
      <c r="D3" s="3" t="s">
        <v>239</v>
      </c>
      <c r="E3" s="10">
        <v>44409</v>
      </c>
      <c r="F3" s="3" t="s">
        <v>3496</v>
      </c>
      <c r="G3" s="3">
        <v>5</v>
      </c>
      <c r="H3" s="3" t="s">
        <v>3497</v>
      </c>
      <c r="M3"/>
      <c r="N3"/>
      <c r="O3"/>
      <c r="P3" s="3" t="s">
        <v>204</v>
      </c>
      <c r="Q3" s="10">
        <v>44441</v>
      </c>
      <c r="R3" s="3">
        <v>5</v>
      </c>
      <c r="S3" s="3" t="s">
        <v>3542</v>
      </c>
      <c r="T3" s="3" t="s">
        <v>3495</v>
      </c>
      <c r="U3" s="2"/>
    </row>
    <row r="4" spans="1:21" x14ac:dyDescent="0.3">
      <c r="A4" s="3">
        <v>3</v>
      </c>
      <c r="B4" s="3" t="s">
        <v>21</v>
      </c>
      <c r="C4" s="3" t="s">
        <v>238</v>
      </c>
      <c r="D4" s="3" t="s">
        <v>239</v>
      </c>
      <c r="E4" s="10">
        <v>44443</v>
      </c>
      <c r="F4" s="3" t="s">
        <v>3498</v>
      </c>
      <c r="G4" s="3">
        <v>3</v>
      </c>
      <c r="H4" s="3" t="s">
        <v>3497</v>
      </c>
      <c r="M4"/>
      <c r="N4"/>
      <c r="O4"/>
      <c r="P4" s="3"/>
      <c r="Q4" s="10">
        <v>44446</v>
      </c>
      <c r="R4" s="3">
        <v>5</v>
      </c>
      <c r="S4" s="3" t="s">
        <v>3657</v>
      </c>
      <c r="T4" s="3" t="s">
        <v>3497</v>
      </c>
      <c r="U4" s="2"/>
    </row>
    <row r="5" spans="1:21" x14ac:dyDescent="0.3">
      <c r="A5" s="3">
        <v>4</v>
      </c>
      <c r="B5" s="3" t="s">
        <v>25</v>
      </c>
      <c r="C5" s="3" t="s">
        <v>238</v>
      </c>
      <c r="D5" s="3" t="s">
        <v>239</v>
      </c>
      <c r="E5" s="10">
        <v>44446</v>
      </c>
      <c r="F5" s="3" t="s">
        <v>3499</v>
      </c>
      <c r="G5" s="3">
        <v>4</v>
      </c>
      <c r="H5" s="3" t="s">
        <v>3497</v>
      </c>
      <c r="M5"/>
      <c r="N5"/>
      <c r="O5"/>
      <c r="P5" s="3"/>
      <c r="Q5" s="10"/>
      <c r="R5" s="3"/>
      <c r="S5" s="3"/>
      <c r="T5" s="3"/>
      <c r="U5" s="2"/>
    </row>
    <row r="6" spans="1:21" x14ac:dyDescent="0.3">
      <c r="A6" s="3">
        <v>5</v>
      </c>
      <c r="B6" s="3" t="s">
        <v>30</v>
      </c>
      <c r="C6" s="3" t="s">
        <v>238</v>
      </c>
      <c r="D6" s="3" t="s">
        <v>239</v>
      </c>
      <c r="E6" s="10">
        <v>44452</v>
      </c>
      <c r="F6" s="3" t="s">
        <v>3500</v>
      </c>
      <c r="G6" s="3">
        <v>2</v>
      </c>
      <c r="H6" s="3" t="s">
        <v>3495</v>
      </c>
      <c r="M6"/>
      <c r="N6"/>
      <c r="O6"/>
      <c r="P6" s="3"/>
      <c r="Q6" s="10"/>
      <c r="R6" s="3"/>
      <c r="S6" s="3"/>
      <c r="T6" s="3"/>
      <c r="U6" s="2"/>
    </row>
    <row r="7" spans="1:21" x14ac:dyDescent="0.3">
      <c r="A7" s="3">
        <v>6</v>
      </c>
      <c r="B7" s="3" t="s">
        <v>35</v>
      </c>
      <c r="C7" s="3" t="s">
        <v>238</v>
      </c>
      <c r="D7" s="3" t="s">
        <v>239</v>
      </c>
      <c r="E7" s="10">
        <v>44461</v>
      </c>
      <c r="F7" s="3" t="s">
        <v>3501</v>
      </c>
      <c r="G7" s="3">
        <v>4</v>
      </c>
      <c r="H7" s="3" t="s">
        <v>3495</v>
      </c>
      <c r="M7"/>
      <c r="N7"/>
      <c r="O7"/>
      <c r="P7" s="3"/>
      <c r="Q7" s="10"/>
      <c r="R7" s="3"/>
      <c r="S7" s="3"/>
      <c r="T7" s="3"/>
      <c r="U7" s="2"/>
    </row>
    <row r="8" spans="1:21" x14ac:dyDescent="0.3">
      <c r="A8" s="3">
        <v>7</v>
      </c>
      <c r="B8" s="3" t="s">
        <v>40</v>
      </c>
      <c r="C8" s="3" t="s">
        <v>238</v>
      </c>
      <c r="D8" s="3" t="s">
        <v>239</v>
      </c>
      <c r="E8" s="10">
        <v>44476</v>
      </c>
      <c r="F8" s="3" t="s">
        <v>3502</v>
      </c>
      <c r="G8" s="3">
        <v>4</v>
      </c>
      <c r="H8" s="3" t="s">
        <v>3495</v>
      </c>
      <c r="M8"/>
      <c r="N8"/>
      <c r="O8"/>
      <c r="P8" s="3"/>
      <c r="Q8" s="10"/>
      <c r="R8" s="3"/>
      <c r="S8" s="3"/>
      <c r="T8" s="3"/>
      <c r="U8" s="2"/>
    </row>
    <row r="9" spans="1:21" x14ac:dyDescent="0.3">
      <c r="A9" s="3">
        <v>8</v>
      </c>
      <c r="B9" s="3" t="s">
        <v>174</v>
      </c>
      <c r="C9" s="3" t="s">
        <v>238</v>
      </c>
      <c r="D9" s="3" t="s">
        <v>239</v>
      </c>
      <c r="E9" s="10">
        <v>44498</v>
      </c>
      <c r="F9" s="3" t="s">
        <v>3503</v>
      </c>
      <c r="G9" s="3">
        <v>2</v>
      </c>
      <c r="H9" s="3" t="s">
        <v>3497</v>
      </c>
      <c r="M9"/>
      <c r="N9"/>
      <c r="O9"/>
      <c r="P9" s="3"/>
      <c r="Q9" s="10"/>
      <c r="R9" s="3"/>
      <c r="S9" s="3"/>
      <c r="T9" s="3"/>
      <c r="U9" s="2"/>
    </row>
    <row r="10" spans="1:21" x14ac:dyDescent="0.3">
      <c r="A10" s="3">
        <v>9</v>
      </c>
      <c r="B10" s="3" t="s">
        <v>74</v>
      </c>
      <c r="C10" s="3" t="s">
        <v>238</v>
      </c>
      <c r="D10" s="3" t="s">
        <v>239</v>
      </c>
      <c r="E10" s="10">
        <v>44505</v>
      </c>
      <c r="F10" s="3" t="s">
        <v>3504</v>
      </c>
      <c r="G10" s="3">
        <v>4</v>
      </c>
      <c r="H10" s="3" t="s">
        <v>3495</v>
      </c>
      <c r="M10"/>
      <c r="N10"/>
      <c r="O10"/>
      <c r="P10" s="3"/>
      <c r="Q10" s="10"/>
      <c r="R10" s="3"/>
      <c r="S10" s="3"/>
      <c r="T10" s="3"/>
      <c r="U10" s="2"/>
    </row>
    <row r="11" spans="1:21" x14ac:dyDescent="0.3">
      <c r="A11" s="3">
        <v>10</v>
      </c>
      <c r="B11" s="3" t="s">
        <v>134</v>
      </c>
      <c r="C11" s="3" t="s">
        <v>528</v>
      </c>
      <c r="D11" s="3" t="s">
        <v>529</v>
      </c>
      <c r="E11" s="10">
        <v>44424</v>
      </c>
      <c r="F11" s="3" t="s">
        <v>3505</v>
      </c>
      <c r="G11" s="3">
        <v>4</v>
      </c>
      <c r="H11" s="3" t="s">
        <v>3497</v>
      </c>
      <c r="M11"/>
      <c r="N11"/>
      <c r="O11"/>
      <c r="P11" s="3"/>
      <c r="Q11" s="10"/>
      <c r="R11" s="3"/>
      <c r="S11" s="3"/>
      <c r="T11" s="3"/>
      <c r="U11" s="2"/>
    </row>
    <row r="12" spans="1:21" x14ac:dyDescent="0.3">
      <c r="A12" s="3">
        <v>11</v>
      </c>
      <c r="B12" s="3" t="s">
        <v>189</v>
      </c>
      <c r="C12" s="3" t="s">
        <v>543</v>
      </c>
      <c r="D12" s="3" t="s">
        <v>544</v>
      </c>
      <c r="E12" s="10">
        <v>44425</v>
      </c>
      <c r="F12" s="3" t="s">
        <v>3506</v>
      </c>
      <c r="G12" s="3">
        <v>3</v>
      </c>
      <c r="H12" s="3" t="s">
        <v>3495</v>
      </c>
      <c r="M12"/>
      <c r="N12"/>
      <c r="O12"/>
      <c r="P12" s="3"/>
      <c r="Q12" s="10"/>
      <c r="R12" s="3"/>
      <c r="S12" s="3"/>
      <c r="T12" s="3"/>
      <c r="U12" s="2"/>
    </row>
    <row r="13" spans="1:21" x14ac:dyDescent="0.3">
      <c r="A13" s="3">
        <v>12</v>
      </c>
      <c r="B13" s="3" t="s">
        <v>159</v>
      </c>
      <c r="C13" s="3" t="s">
        <v>733</v>
      </c>
      <c r="D13" s="3" t="s">
        <v>734</v>
      </c>
      <c r="E13" s="10">
        <v>44425</v>
      </c>
      <c r="F13" s="3" t="s">
        <v>3507</v>
      </c>
      <c r="G13" s="3">
        <v>3</v>
      </c>
      <c r="H13" s="3" t="s">
        <v>3497</v>
      </c>
      <c r="M13"/>
      <c r="N13"/>
      <c r="O13"/>
      <c r="P13" s="3"/>
      <c r="Q13" s="10"/>
      <c r="R13" s="3"/>
      <c r="S13" s="3"/>
      <c r="T13" s="3"/>
      <c r="U13" s="2"/>
    </row>
    <row r="14" spans="1:21" x14ac:dyDescent="0.3">
      <c r="A14" s="3">
        <v>13</v>
      </c>
      <c r="B14" s="3" t="s">
        <v>214</v>
      </c>
      <c r="C14" s="3" t="s">
        <v>813</v>
      </c>
      <c r="D14" s="3" t="s">
        <v>814</v>
      </c>
      <c r="E14" s="10">
        <v>44426</v>
      </c>
      <c r="F14" s="3" t="s">
        <v>3508</v>
      </c>
      <c r="G14" s="3">
        <v>2</v>
      </c>
      <c r="H14" s="3" t="s">
        <v>3495</v>
      </c>
      <c r="M14"/>
      <c r="N14"/>
      <c r="O14"/>
      <c r="P14" s="3"/>
      <c r="Q14" s="10"/>
      <c r="R14" s="3"/>
      <c r="S14" s="3"/>
      <c r="T14" s="3"/>
      <c r="U14" s="2"/>
    </row>
    <row r="15" spans="1:21" x14ac:dyDescent="0.3">
      <c r="A15" s="3">
        <v>14</v>
      </c>
      <c r="B15" s="3" t="s">
        <v>69</v>
      </c>
      <c r="C15" s="3" t="s">
        <v>588</v>
      </c>
      <c r="D15" s="3" t="s">
        <v>589</v>
      </c>
      <c r="E15" s="10">
        <v>44427</v>
      </c>
      <c r="F15" s="3" t="s">
        <v>3509</v>
      </c>
      <c r="G15" s="3">
        <v>2</v>
      </c>
      <c r="H15" s="3" t="s">
        <v>3497</v>
      </c>
    </row>
    <row r="16" spans="1:21" x14ac:dyDescent="0.3">
      <c r="A16" s="3">
        <v>15</v>
      </c>
      <c r="B16" s="3" t="s">
        <v>194</v>
      </c>
      <c r="C16" s="3" t="s">
        <v>688</v>
      </c>
      <c r="D16" s="3" t="s">
        <v>689</v>
      </c>
      <c r="E16" s="10">
        <v>44427</v>
      </c>
      <c r="F16" s="3" t="s">
        <v>3510</v>
      </c>
      <c r="G16" s="3">
        <v>4</v>
      </c>
      <c r="H16" s="3" t="s">
        <v>3495</v>
      </c>
    </row>
    <row r="17" spans="1:8" x14ac:dyDescent="0.3">
      <c r="A17" s="3">
        <v>16</v>
      </c>
      <c r="B17" s="3" t="s">
        <v>40</v>
      </c>
      <c r="C17" s="3" t="s">
        <v>733</v>
      </c>
      <c r="D17" s="3" t="s">
        <v>734</v>
      </c>
      <c r="E17" s="10">
        <v>44459</v>
      </c>
      <c r="F17" s="3" t="s">
        <v>3511</v>
      </c>
      <c r="G17" s="3">
        <v>3</v>
      </c>
      <c r="H17" s="3" t="s">
        <v>3497</v>
      </c>
    </row>
    <row r="18" spans="1:8" x14ac:dyDescent="0.3">
      <c r="A18" s="3">
        <v>17</v>
      </c>
      <c r="B18" s="3" t="s">
        <v>99</v>
      </c>
      <c r="C18" s="3" t="s">
        <v>298</v>
      </c>
      <c r="D18" s="3" t="s">
        <v>299</v>
      </c>
      <c r="E18" s="10">
        <v>44442</v>
      </c>
      <c r="F18" s="3" t="s">
        <v>3512</v>
      </c>
      <c r="G18" s="3">
        <v>1</v>
      </c>
      <c r="H18" s="3" t="s">
        <v>3495</v>
      </c>
    </row>
    <row r="19" spans="1:8" x14ac:dyDescent="0.3">
      <c r="A19" s="3">
        <v>18</v>
      </c>
      <c r="B19" s="3" t="s">
        <v>55</v>
      </c>
      <c r="C19" s="3" t="s">
        <v>343</v>
      </c>
      <c r="D19" s="3" t="s">
        <v>344</v>
      </c>
      <c r="E19" s="10">
        <v>44442</v>
      </c>
      <c r="F19" s="3" t="s">
        <v>3513</v>
      </c>
      <c r="G19" s="3">
        <v>5</v>
      </c>
      <c r="H19" s="3" t="s">
        <v>3497</v>
      </c>
    </row>
    <row r="20" spans="1:8" x14ac:dyDescent="0.3">
      <c r="A20" s="3">
        <v>19</v>
      </c>
      <c r="B20" s="3" t="s">
        <v>21</v>
      </c>
      <c r="C20" s="3" t="s">
        <v>438</v>
      </c>
      <c r="D20" s="3" t="s">
        <v>439</v>
      </c>
      <c r="E20" s="10">
        <v>44442</v>
      </c>
      <c r="F20" s="3" t="s">
        <v>3514</v>
      </c>
      <c r="G20" s="3">
        <v>4</v>
      </c>
      <c r="H20" s="3" t="s">
        <v>3495</v>
      </c>
    </row>
    <row r="21" spans="1:8" x14ac:dyDescent="0.3">
      <c r="A21" s="3">
        <v>20</v>
      </c>
      <c r="B21" s="3" t="s">
        <v>30</v>
      </c>
      <c r="C21" s="3" t="s">
        <v>448</v>
      </c>
      <c r="D21" s="3" t="s">
        <v>449</v>
      </c>
      <c r="E21" s="10">
        <v>44442</v>
      </c>
      <c r="F21" s="3" t="s">
        <v>3515</v>
      </c>
      <c r="G21" s="3">
        <v>1</v>
      </c>
      <c r="H21" s="3" t="s">
        <v>3497</v>
      </c>
    </row>
    <row r="22" spans="1:8" x14ac:dyDescent="0.3">
      <c r="A22" s="3">
        <v>21</v>
      </c>
      <c r="B22" s="3" t="s">
        <v>16</v>
      </c>
      <c r="C22" s="3" t="s">
        <v>238</v>
      </c>
      <c r="D22" s="3" t="s">
        <v>239</v>
      </c>
      <c r="E22" s="10">
        <v>44443</v>
      </c>
      <c r="F22" s="3" t="s">
        <v>3516</v>
      </c>
      <c r="G22" s="3">
        <v>1</v>
      </c>
      <c r="H22" s="3" t="s">
        <v>3495</v>
      </c>
    </row>
    <row r="23" spans="1:8" x14ac:dyDescent="0.3">
      <c r="A23" s="3">
        <v>22</v>
      </c>
      <c r="B23" s="3" t="s">
        <v>134</v>
      </c>
      <c r="C23" s="3" t="s">
        <v>708</v>
      </c>
      <c r="D23" s="3" t="s">
        <v>709</v>
      </c>
      <c r="E23" s="10">
        <v>44444</v>
      </c>
      <c r="F23" s="3" t="s">
        <v>3517</v>
      </c>
      <c r="G23" s="3">
        <v>5</v>
      </c>
      <c r="H23" s="3" t="s">
        <v>3497</v>
      </c>
    </row>
    <row r="24" spans="1:8" x14ac:dyDescent="0.3">
      <c r="A24" s="3">
        <v>23</v>
      </c>
      <c r="B24" s="3" t="s">
        <v>209</v>
      </c>
      <c r="C24" s="3" t="s">
        <v>243</v>
      </c>
      <c r="D24" s="3" t="s">
        <v>244</v>
      </c>
      <c r="E24" s="10">
        <v>44445</v>
      </c>
      <c r="F24" s="3" t="s">
        <v>3518</v>
      </c>
      <c r="G24" s="3">
        <v>3</v>
      </c>
      <c r="H24" s="3" t="s">
        <v>3495</v>
      </c>
    </row>
    <row r="25" spans="1:8" x14ac:dyDescent="0.3">
      <c r="A25" s="3">
        <v>24</v>
      </c>
      <c r="B25" s="3" t="s">
        <v>7</v>
      </c>
      <c r="C25" s="3" t="s">
        <v>803</v>
      </c>
      <c r="D25" s="3" t="s">
        <v>804</v>
      </c>
      <c r="E25" s="10">
        <v>44445</v>
      </c>
      <c r="F25" s="3" t="s">
        <v>3519</v>
      </c>
      <c r="G25" s="3">
        <v>4</v>
      </c>
      <c r="H25" s="3" t="s">
        <v>3497</v>
      </c>
    </row>
    <row r="26" spans="1:8" x14ac:dyDescent="0.3">
      <c r="A26" s="3">
        <v>25</v>
      </c>
      <c r="B26" s="3" t="s">
        <v>11</v>
      </c>
      <c r="C26" s="3" t="s">
        <v>573</v>
      </c>
      <c r="D26" s="3" t="s">
        <v>574</v>
      </c>
      <c r="E26" s="10">
        <v>44445</v>
      </c>
      <c r="F26" s="3" t="s">
        <v>3520</v>
      </c>
      <c r="G26" s="3">
        <v>5</v>
      </c>
      <c r="H26" s="3" t="s">
        <v>3495</v>
      </c>
    </row>
    <row r="27" spans="1:8" x14ac:dyDescent="0.3">
      <c r="A27" s="3">
        <v>26</v>
      </c>
      <c r="B27" s="3" t="s">
        <v>69</v>
      </c>
      <c r="C27" s="3" t="s">
        <v>518</v>
      </c>
      <c r="D27" s="3" t="s">
        <v>519</v>
      </c>
      <c r="E27" s="10">
        <v>44464</v>
      </c>
      <c r="F27" s="3" t="s">
        <v>3510</v>
      </c>
      <c r="G27" s="3">
        <v>3</v>
      </c>
      <c r="H27" s="3" t="s">
        <v>3497</v>
      </c>
    </row>
    <row r="28" spans="1:8" x14ac:dyDescent="0.3">
      <c r="A28" s="3">
        <v>27</v>
      </c>
      <c r="B28" s="3" t="s">
        <v>11</v>
      </c>
      <c r="C28" s="3" t="s">
        <v>438</v>
      </c>
      <c r="D28" s="3" t="s">
        <v>439</v>
      </c>
      <c r="E28" s="10">
        <v>44464</v>
      </c>
      <c r="F28" s="3" t="s">
        <v>3521</v>
      </c>
      <c r="G28" s="3">
        <v>5</v>
      </c>
      <c r="H28" s="3" t="s">
        <v>3495</v>
      </c>
    </row>
    <row r="29" spans="1:8" x14ac:dyDescent="0.3">
      <c r="A29" s="3">
        <v>28</v>
      </c>
      <c r="B29" s="3" t="s">
        <v>149</v>
      </c>
      <c r="C29" s="3" t="s">
        <v>273</v>
      </c>
      <c r="D29" s="3" t="s">
        <v>274</v>
      </c>
      <c r="E29" s="10">
        <v>44465</v>
      </c>
      <c r="F29" s="3" t="s">
        <v>3522</v>
      </c>
      <c r="G29" s="3">
        <v>1</v>
      </c>
      <c r="H29" s="3" t="s">
        <v>3497</v>
      </c>
    </row>
    <row r="30" spans="1:8" x14ac:dyDescent="0.3">
      <c r="A30" s="3">
        <v>29</v>
      </c>
      <c r="B30" s="3" t="s">
        <v>194</v>
      </c>
      <c r="C30" s="3" t="s">
        <v>468</v>
      </c>
      <c r="D30" s="3" t="s">
        <v>469</v>
      </c>
      <c r="E30" s="10">
        <v>44465</v>
      </c>
      <c r="F30" s="3" t="s">
        <v>3523</v>
      </c>
      <c r="G30" s="3">
        <v>4</v>
      </c>
      <c r="H30" s="3" t="s">
        <v>3497</v>
      </c>
    </row>
    <row r="31" spans="1:8" x14ac:dyDescent="0.3">
      <c r="A31" s="3">
        <v>30</v>
      </c>
      <c r="B31" s="3" t="s">
        <v>7</v>
      </c>
      <c r="C31" s="3" t="s">
        <v>778</v>
      </c>
      <c r="D31" s="3" t="s">
        <v>779</v>
      </c>
      <c r="E31" s="10">
        <v>44465</v>
      </c>
      <c r="F31" s="3" t="s">
        <v>3524</v>
      </c>
      <c r="G31" s="3">
        <v>4</v>
      </c>
      <c r="H31" s="3" t="s">
        <v>3497</v>
      </c>
    </row>
    <row r="32" spans="1:8" x14ac:dyDescent="0.3">
      <c r="A32" s="3">
        <v>31</v>
      </c>
      <c r="B32" s="3" t="s">
        <v>45</v>
      </c>
      <c r="C32" s="3" t="s">
        <v>633</v>
      </c>
      <c r="D32" s="3" t="s">
        <v>634</v>
      </c>
      <c r="E32" s="10">
        <v>44466</v>
      </c>
      <c r="F32" s="3" t="s">
        <v>3525</v>
      </c>
      <c r="G32" s="3">
        <v>5</v>
      </c>
      <c r="H32" s="3" t="s">
        <v>3497</v>
      </c>
    </row>
    <row r="33" spans="1:8" x14ac:dyDescent="0.3">
      <c r="A33" s="3">
        <v>32</v>
      </c>
      <c r="B33" s="3" t="s">
        <v>179</v>
      </c>
      <c r="C33" s="3" t="s">
        <v>458</v>
      </c>
      <c r="D33" s="3" t="s">
        <v>459</v>
      </c>
      <c r="E33" s="10">
        <v>44467</v>
      </c>
      <c r="F33" s="3" t="s">
        <v>3526</v>
      </c>
      <c r="G33" s="3">
        <v>5</v>
      </c>
      <c r="H33" s="3" t="s">
        <v>3497</v>
      </c>
    </row>
    <row r="34" spans="1:8" x14ac:dyDescent="0.3">
      <c r="A34" s="3">
        <v>33</v>
      </c>
      <c r="B34" s="3" t="s">
        <v>25</v>
      </c>
      <c r="C34" s="3" t="s">
        <v>543</v>
      </c>
      <c r="D34" s="3" t="s">
        <v>544</v>
      </c>
      <c r="E34" s="10">
        <v>44425</v>
      </c>
      <c r="F34" s="3" t="s">
        <v>3527</v>
      </c>
      <c r="G34" s="3">
        <v>2</v>
      </c>
      <c r="H34" s="3" t="s">
        <v>3495</v>
      </c>
    </row>
    <row r="35" spans="1:8" x14ac:dyDescent="0.3">
      <c r="A35" s="3">
        <v>34</v>
      </c>
      <c r="B35" s="3" t="s">
        <v>25</v>
      </c>
      <c r="C35" s="3" t="s">
        <v>823</v>
      </c>
      <c r="D35" s="3" t="s">
        <v>824</v>
      </c>
      <c r="E35" s="10">
        <v>44451</v>
      </c>
      <c r="F35" s="3" t="s">
        <v>3528</v>
      </c>
      <c r="G35" s="3">
        <v>2</v>
      </c>
      <c r="H35" s="3" t="s">
        <v>3495</v>
      </c>
    </row>
    <row r="36" spans="1:8" x14ac:dyDescent="0.3">
      <c r="A36" s="3">
        <v>35</v>
      </c>
      <c r="B36" s="3" t="s">
        <v>11</v>
      </c>
      <c r="C36" s="3" t="s">
        <v>538</v>
      </c>
      <c r="D36" s="3" t="s">
        <v>539</v>
      </c>
      <c r="E36" s="10">
        <v>44418</v>
      </c>
      <c r="F36" s="3" t="s">
        <v>3529</v>
      </c>
      <c r="G36" s="3">
        <v>3</v>
      </c>
      <c r="H36" s="3" t="s">
        <v>3495</v>
      </c>
    </row>
    <row r="37" spans="1:8" x14ac:dyDescent="0.3">
      <c r="A37" s="3">
        <v>36</v>
      </c>
      <c r="B37" s="3" t="s">
        <v>25</v>
      </c>
      <c r="C37" s="3" t="s">
        <v>238</v>
      </c>
      <c r="D37" s="3" t="s">
        <v>239</v>
      </c>
      <c r="E37" s="10">
        <v>44409</v>
      </c>
      <c r="F37" s="3" t="s">
        <v>3530</v>
      </c>
      <c r="G37" s="3">
        <v>2</v>
      </c>
      <c r="H37" s="3" t="s">
        <v>3497</v>
      </c>
    </row>
    <row r="38" spans="1:8" x14ac:dyDescent="0.3">
      <c r="A38" s="3">
        <v>37</v>
      </c>
      <c r="B38" s="3" t="s">
        <v>50</v>
      </c>
      <c r="C38" s="3" t="s">
        <v>403</v>
      </c>
      <c r="D38" s="3" t="s">
        <v>404</v>
      </c>
      <c r="E38" s="10">
        <v>44441</v>
      </c>
      <c r="F38" s="3" t="s">
        <v>3531</v>
      </c>
      <c r="G38" s="3">
        <v>5</v>
      </c>
      <c r="H38" s="3" t="s">
        <v>3497</v>
      </c>
    </row>
    <row r="39" spans="1:8" x14ac:dyDescent="0.3">
      <c r="A39" s="3">
        <v>38</v>
      </c>
      <c r="B39" s="3" t="s">
        <v>60</v>
      </c>
      <c r="C39" s="3" t="s">
        <v>308</v>
      </c>
      <c r="D39" s="3" t="s">
        <v>309</v>
      </c>
      <c r="E39" s="10">
        <v>44421</v>
      </c>
      <c r="F39" s="3" t="s">
        <v>3532</v>
      </c>
      <c r="G39" s="3">
        <v>1</v>
      </c>
      <c r="H39" s="3" t="s">
        <v>3495</v>
      </c>
    </row>
    <row r="40" spans="1:8" x14ac:dyDescent="0.3">
      <c r="A40" s="3">
        <v>39</v>
      </c>
      <c r="B40" s="3" t="s">
        <v>21</v>
      </c>
      <c r="C40" s="3" t="s">
        <v>333</v>
      </c>
      <c r="D40" s="3" t="s">
        <v>334</v>
      </c>
      <c r="E40" s="10">
        <v>44454</v>
      </c>
      <c r="F40" s="3" t="s">
        <v>3533</v>
      </c>
      <c r="G40" s="3">
        <v>2</v>
      </c>
      <c r="H40" s="3" t="s">
        <v>3495</v>
      </c>
    </row>
    <row r="41" spans="1:8" x14ac:dyDescent="0.3">
      <c r="A41" s="3">
        <v>40</v>
      </c>
      <c r="B41" s="3" t="s">
        <v>7</v>
      </c>
      <c r="C41" s="3" t="s">
        <v>363</v>
      </c>
      <c r="D41" s="3" t="s">
        <v>364</v>
      </c>
      <c r="E41" s="10">
        <v>44455</v>
      </c>
      <c r="F41" s="3" t="s">
        <v>3494</v>
      </c>
      <c r="G41" s="3">
        <v>4</v>
      </c>
      <c r="H41" s="3" t="s">
        <v>3495</v>
      </c>
    </row>
    <row r="42" spans="1:8" x14ac:dyDescent="0.3">
      <c r="A42" s="3">
        <v>41</v>
      </c>
      <c r="B42" s="3" t="s">
        <v>16</v>
      </c>
      <c r="C42" s="3" t="s">
        <v>878</v>
      </c>
      <c r="D42" s="3" t="s">
        <v>879</v>
      </c>
      <c r="E42" s="10">
        <v>44413</v>
      </c>
      <c r="F42" s="3" t="s">
        <v>3534</v>
      </c>
      <c r="G42" s="3">
        <v>3</v>
      </c>
      <c r="H42" s="3" t="s">
        <v>3497</v>
      </c>
    </row>
    <row r="43" spans="1:8" x14ac:dyDescent="0.3">
      <c r="A43" s="3">
        <v>42</v>
      </c>
      <c r="B43" s="3" t="s">
        <v>7</v>
      </c>
      <c r="C43" s="3" t="s">
        <v>903</v>
      </c>
      <c r="D43" s="3" t="s">
        <v>904</v>
      </c>
      <c r="E43" s="10">
        <v>44460</v>
      </c>
      <c r="F43" s="3" t="s">
        <v>3535</v>
      </c>
      <c r="G43" s="3">
        <v>5</v>
      </c>
      <c r="H43" s="3" t="s">
        <v>3495</v>
      </c>
    </row>
    <row r="44" spans="1:8" x14ac:dyDescent="0.3">
      <c r="A44" s="3">
        <v>43</v>
      </c>
      <c r="B44" s="3" t="s">
        <v>25</v>
      </c>
      <c r="C44" s="3" t="s">
        <v>238</v>
      </c>
      <c r="D44" s="3" t="s">
        <v>239</v>
      </c>
      <c r="E44" s="10">
        <v>44409</v>
      </c>
      <c r="F44" s="3" t="s">
        <v>3536</v>
      </c>
      <c r="G44" s="3">
        <v>1</v>
      </c>
      <c r="H44" s="3" t="s">
        <v>3495</v>
      </c>
    </row>
    <row r="45" spans="1:8" x14ac:dyDescent="0.3">
      <c r="A45" s="3">
        <v>44</v>
      </c>
      <c r="B45" s="3" t="s">
        <v>45</v>
      </c>
      <c r="C45" s="3" t="s">
        <v>498</v>
      </c>
      <c r="D45" s="3" t="s">
        <v>499</v>
      </c>
      <c r="E45" s="10">
        <v>44431</v>
      </c>
      <c r="F45" s="3" t="s">
        <v>3537</v>
      </c>
      <c r="G45" s="3">
        <v>5</v>
      </c>
      <c r="H45" s="3" t="s">
        <v>3497</v>
      </c>
    </row>
    <row r="46" spans="1:8" x14ac:dyDescent="0.3">
      <c r="A46" s="3">
        <v>45</v>
      </c>
      <c r="B46" s="3" t="s">
        <v>45</v>
      </c>
      <c r="C46" s="3" t="s">
        <v>408</v>
      </c>
      <c r="D46" s="3" t="s">
        <v>409</v>
      </c>
      <c r="E46" s="10">
        <v>44463</v>
      </c>
      <c r="F46" s="3" t="s">
        <v>3531</v>
      </c>
      <c r="G46" s="3">
        <v>5</v>
      </c>
      <c r="H46" s="3" t="s">
        <v>3497</v>
      </c>
    </row>
    <row r="47" spans="1:8" x14ac:dyDescent="0.3">
      <c r="A47" s="3">
        <v>46</v>
      </c>
      <c r="B47" s="3" t="s">
        <v>45</v>
      </c>
      <c r="C47" s="3" t="s">
        <v>658</v>
      </c>
      <c r="D47" s="3" t="s">
        <v>659</v>
      </c>
      <c r="E47" s="10">
        <v>44449</v>
      </c>
      <c r="F47" s="3" t="s">
        <v>3538</v>
      </c>
      <c r="G47" s="3">
        <v>1</v>
      </c>
      <c r="H47" s="3" t="s">
        <v>3495</v>
      </c>
    </row>
    <row r="48" spans="1:8" x14ac:dyDescent="0.3">
      <c r="A48" s="3">
        <v>47</v>
      </c>
      <c r="B48" s="3" t="s">
        <v>7</v>
      </c>
      <c r="C48" s="3" t="s">
        <v>438</v>
      </c>
      <c r="D48" s="3" t="s">
        <v>439</v>
      </c>
      <c r="E48" s="10">
        <v>44412</v>
      </c>
      <c r="F48" s="3" t="s">
        <v>3539</v>
      </c>
      <c r="G48" s="3">
        <v>2</v>
      </c>
      <c r="H48" s="3" t="s">
        <v>3497</v>
      </c>
    </row>
    <row r="49" spans="1:8" x14ac:dyDescent="0.3">
      <c r="A49" s="3">
        <v>48</v>
      </c>
      <c r="B49" s="3" t="s">
        <v>149</v>
      </c>
      <c r="C49" s="3" t="s">
        <v>273</v>
      </c>
      <c r="D49" s="3" t="s">
        <v>274</v>
      </c>
      <c r="E49" s="10">
        <v>44465</v>
      </c>
      <c r="F49" s="3" t="s">
        <v>3520</v>
      </c>
      <c r="G49" s="3">
        <v>5</v>
      </c>
      <c r="H49" s="3" t="s">
        <v>3497</v>
      </c>
    </row>
    <row r="50" spans="1:8" x14ac:dyDescent="0.3">
      <c r="A50" s="3">
        <v>49</v>
      </c>
      <c r="B50" s="3" t="s">
        <v>109</v>
      </c>
      <c r="C50" s="3" t="s">
        <v>468</v>
      </c>
      <c r="D50" s="3" t="s">
        <v>469</v>
      </c>
      <c r="E50" s="10">
        <v>44449</v>
      </c>
      <c r="F50" s="3" t="s">
        <v>3505</v>
      </c>
      <c r="G50" s="3">
        <v>4</v>
      </c>
      <c r="H50" s="3" t="s">
        <v>3495</v>
      </c>
    </row>
    <row r="51" spans="1:8" x14ac:dyDescent="0.3">
      <c r="A51" s="3">
        <v>50</v>
      </c>
      <c r="B51" s="3" t="s">
        <v>194</v>
      </c>
      <c r="C51" s="3" t="s">
        <v>778</v>
      </c>
      <c r="D51" s="3" t="s">
        <v>779</v>
      </c>
      <c r="E51" s="10">
        <v>44447</v>
      </c>
      <c r="F51" s="3" t="s">
        <v>3540</v>
      </c>
      <c r="G51" s="3">
        <v>1</v>
      </c>
      <c r="H51" s="3" t="s">
        <v>3497</v>
      </c>
    </row>
    <row r="52" spans="1:8" x14ac:dyDescent="0.3">
      <c r="A52" s="3">
        <v>51</v>
      </c>
      <c r="B52" s="3" t="s">
        <v>79</v>
      </c>
      <c r="C52" s="3" t="s">
        <v>413</v>
      </c>
      <c r="D52" s="3" t="s">
        <v>414</v>
      </c>
      <c r="E52" s="10">
        <v>44413</v>
      </c>
      <c r="F52" s="3" t="s">
        <v>3541</v>
      </c>
      <c r="G52" s="3">
        <v>4</v>
      </c>
      <c r="H52" s="3" t="s">
        <v>3497</v>
      </c>
    </row>
    <row r="53" spans="1:8" x14ac:dyDescent="0.3">
      <c r="A53" s="3">
        <v>52</v>
      </c>
      <c r="B53" s="3" t="s">
        <v>7</v>
      </c>
      <c r="C53" s="3" t="s">
        <v>363</v>
      </c>
      <c r="D53" s="3" t="s">
        <v>364</v>
      </c>
      <c r="E53" s="10">
        <v>44455</v>
      </c>
      <c r="F53" s="3" t="s">
        <v>3542</v>
      </c>
      <c r="G53" s="3">
        <v>5</v>
      </c>
      <c r="H53" s="3" t="s">
        <v>3495</v>
      </c>
    </row>
    <row r="54" spans="1:8" x14ac:dyDescent="0.3">
      <c r="A54" s="3">
        <v>53</v>
      </c>
      <c r="B54" s="3" t="s">
        <v>7</v>
      </c>
      <c r="C54" s="3" t="s">
        <v>363</v>
      </c>
      <c r="D54" s="3" t="s">
        <v>364</v>
      </c>
      <c r="E54" s="10">
        <v>44455</v>
      </c>
      <c r="F54" s="3" t="s">
        <v>3543</v>
      </c>
      <c r="G54" s="3">
        <v>1</v>
      </c>
      <c r="H54" s="3" t="s">
        <v>3497</v>
      </c>
    </row>
    <row r="55" spans="1:8" x14ac:dyDescent="0.3">
      <c r="A55" s="3">
        <v>54</v>
      </c>
      <c r="B55" s="3" t="s">
        <v>94</v>
      </c>
      <c r="C55" s="3" t="s">
        <v>293</v>
      </c>
      <c r="D55" s="3" t="s">
        <v>294</v>
      </c>
      <c r="E55" s="10">
        <v>44469</v>
      </c>
      <c r="F55" s="3" t="s">
        <v>3544</v>
      </c>
      <c r="G55" s="3">
        <v>5</v>
      </c>
      <c r="H55" s="3" t="s">
        <v>3497</v>
      </c>
    </row>
    <row r="56" spans="1:8" x14ac:dyDescent="0.3">
      <c r="A56" s="3">
        <v>55</v>
      </c>
      <c r="B56" s="3" t="s">
        <v>25</v>
      </c>
      <c r="C56" s="3" t="s">
        <v>578</v>
      </c>
      <c r="D56" s="3" t="s">
        <v>579</v>
      </c>
      <c r="E56" s="10">
        <v>44470</v>
      </c>
      <c r="F56" s="3" t="s">
        <v>3529</v>
      </c>
      <c r="G56" s="3">
        <v>3</v>
      </c>
      <c r="H56" s="3" t="s">
        <v>3497</v>
      </c>
    </row>
    <row r="57" spans="1:8" x14ac:dyDescent="0.3">
      <c r="A57" s="3">
        <v>56</v>
      </c>
      <c r="B57" s="3" t="s">
        <v>179</v>
      </c>
      <c r="C57" s="3" t="s">
        <v>888</v>
      </c>
      <c r="D57" s="3" t="s">
        <v>889</v>
      </c>
      <c r="E57" s="10">
        <v>44421</v>
      </c>
      <c r="F57" s="3" t="s">
        <v>3534</v>
      </c>
      <c r="G57" s="3">
        <v>3</v>
      </c>
      <c r="H57" s="3" t="s">
        <v>3495</v>
      </c>
    </row>
    <row r="58" spans="1:8" x14ac:dyDescent="0.3">
      <c r="A58" s="3">
        <v>57</v>
      </c>
      <c r="B58" s="3" t="s">
        <v>16</v>
      </c>
      <c r="C58" s="3" t="s">
        <v>443</v>
      </c>
      <c r="D58" s="3" t="s">
        <v>444</v>
      </c>
      <c r="E58" s="10">
        <v>44471</v>
      </c>
      <c r="F58" s="3" t="s">
        <v>3524</v>
      </c>
      <c r="G58" s="3">
        <v>4</v>
      </c>
      <c r="H58" s="3" t="s">
        <v>3495</v>
      </c>
    </row>
    <row r="59" spans="1:8" x14ac:dyDescent="0.3">
      <c r="A59" s="3">
        <v>58</v>
      </c>
      <c r="B59" s="3" t="s">
        <v>184</v>
      </c>
      <c r="C59" s="3" t="s">
        <v>863</v>
      </c>
      <c r="D59" s="3" t="s">
        <v>864</v>
      </c>
      <c r="E59" s="10">
        <v>44472</v>
      </c>
      <c r="F59" s="3" t="s">
        <v>3545</v>
      </c>
      <c r="G59" s="3">
        <v>3</v>
      </c>
      <c r="H59" s="3" t="s">
        <v>3495</v>
      </c>
    </row>
    <row r="60" spans="1:8" x14ac:dyDescent="0.3">
      <c r="A60" s="3">
        <v>59</v>
      </c>
      <c r="B60" s="3" t="s">
        <v>109</v>
      </c>
      <c r="C60" s="3" t="s">
        <v>753</v>
      </c>
      <c r="D60" s="3" t="s">
        <v>754</v>
      </c>
      <c r="E60" s="10">
        <v>44473</v>
      </c>
      <c r="F60" s="3" t="s">
        <v>3546</v>
      </c>
      <c r="G60" s="3">
        <v>3</v>
      </c>
      <c r="H60" s="3" t="s">
        <v>3497</v>
      </c>
    </row>
    <row r="61" spans="1:8" x14ac:dyDescent="0.3">
      <c r="A61" s="3">
        <v>60</v>
      </c>
      <c r="B61" s="3" t="s">
        <v>174</v>
      </c>
      <c r="C61" s="3" t="s">
        <v>618</v>
      </c>
      <c r="D61" s="3" t="s">
        <v>619</v>
      </c>
      <c r="E61" s="10">
        <v>44422</v>
      </c>
      <c r="F61" s="3" t="s">
        <v>3547</v>
      </c>
      <c r="G61" s="3">
        <v>5</v>
      </c>
      <c r="H61" s="3" t="s">
        <v>3495</v>
      </c>
    </row>
    <row r="62" spans="1:8" x14ac:dyDescent="0.3">
      <c r="A62" s="3">
        <v>61</v>
      </c>
      <c r="B62" s="3" t="s">
        <v>74</v>
      </c>
      <c r="C62" s="3" t="s">
        <v>573</v>
      </c>
      <c r="D62" s="3" t="s">
        <v>574</v>
      </c>
      <c r="E62" s="10">
        <v>44424</v>
      </c>
      <c r="F62" s="3" t="s">
        <v>3548</v>
      </c>
      <c r="G62" s="3">
        <v>5</v>
      </c>
      <c r="H62" s="3" t="s">
        <v>3495</v>
      </c>
    </row>
    <row r="63" spans="1:8" x14ac:dyDescent="0.3">
      <c r="A63" s="3">
        <v>62</v>
      </c>
      <c r="B63" s="3" t="s">
        <v>16</v>
      </c>
      <c r="C63" s="3" t="s">
        <v>733</v>
      </c>
      <c r="D63" s="3" t="s">
        <v>734</v>
      </c>
      <c r="E63" s="10">
        <v>44425</v>
      </c>
      <c r="F63" s="3" t="s">
        <v>3549</v>
      </c>
      <c r="G63" s="3">
        <v>3</v>
      </c>
      <c r="H63" s="3" t="s">
        <v>3497</v>
      </c>
    </row>
    <row r="64" spans="1:8" x14ac:dyDescent="0.3">
      <c r="A64" s="3">
        <v>63</v>
      </c>
      <c r="B64" s="3" t="s">
        <v>164</v>
      </c>
      <c r="C64" s="3" t="s">
        <v>593</v>
      </c>
      <c r="D64" s="3" t="s">
        <v>594</v>
      </c>
      <c r="E64" s="10">
        <v>44428</v>
      </c>
      <c r="F64" s="3" t="s">
        <v>3550</v>
      </c>
      <c r="G64" s="3">
        <v>5</v>
      </c>
      <c r="H64" s="3" t="s">
        <v>3497</v>
      </c>
    </row>
    <row r="65" spans="1:8" x14ac:dyDescent="0.3">
      <c r="A65" s="3">
        <v>64</v>
      </c>
      <c r="B65" s="3" t="s">
        <v>144</v>
      </c>
      <c r="C65" s="3" t="s">
        <v>553</v>
      </c>
      <c r="D65" s="3" t="s">
        <v>554</v>
      </c>
      <c r="E65" s="10">
        <v>44430</v>
      </c>
      <c r="F65" s="3" t="s">
        <v>3551</v>
      </c>
      <c r="G65" s="3">
        <v>1</v>
      </c>
      <c r="H65" s="3" t="s">
        <v>3497</v>
      </c>
    </row>
    <row r="66" spans="1:8" x14ac:dyDescent="0.3">
      <c r="A66" s="3">
        <v>65</v>
      </c>
      <c r="B66" s="3" t="s">
        <v>229</v>
      </c>
      <c r="C66" s="3" t="s">
        <v>533</v>
      </c>
      <c r="D66" s="3" t="s">
        <v>534</v>
      </c>
      <c r="E66" s="10">
        <v>44432</v>
      </c>
      <c r="F66" s="3" t="s">
        <v>3552</v>
      </c>
      <c r="G66" s="3">
        <v>5</v>
      </c>
      <c r="H66" s="3" t="s">
        <v>3495</v>
      </c>
    </row>
    <row r="67" spans="1:8" x14ac:dyDescent="0.3">
      <c r="A67" s="3">
        <v>66</v>
      </c>
      <c r="B67" s="3" t="s">
        <v>149</v>
      </c>
      <c r="C67" s="3" t="s">
        <v>458</v>
      </c>
      <c r="D67" s="3" t="s">
        <v>459</v>
      </c>
      <c r="E67" s="10">
        <v>44432</v>
      </c>
      <c r="F67" s="3" t="s">
        <v>3553</v>
      </c>
      <c r="G67" s="3">
        <v>5</v>
      </c>
      <c r="H67" s="3" t="s">
        <v>3495</v>
      </c>
    </row>
    <row r="68" spans="1:8" x14ac:dyDescent="0.3">
      <c r="A68" s="3">
        <v>67</v>
      </c>
      <c r="B68" s="3" t="s">
        <v>7</v>
      </c>
      <c r="C68" s="3" t="s">
        <v>648</v>
      </c>
      <c r="D68" s="3" t="s">
        <v>649</v>
      </c>
      <c r="E68" s="10">
        <v>44433</v>
      </c>
      <c r="F68" s="3" t="s">
        <v>3554</v>
      </c>
      <c r="G68" s="3">
        <v>1</v>
      </c>
      <c r="H68" s="3" t="s">
        <v>3495</v>
      </c>
    </row>
    <row r="69" spans="1:8" x14ac:dyDescent="0.3">
      <c r="A69" s="3">
        <v>68</v>
      </c>
      <c r="B69" s="3" t="s">
        <v>224</v>
      </c>
      <c r="C69" s="3" t="s">
        <v>668</v>
      </c>
      <c r="D69" s="3" t="s">
        <v>669</v>
      </c>
      <c r="E69" s="10">
        <v>44433</v>
      </c>
      <c r="F69" s="3" t="s">
        <v>3520</v>
      </c>
      <c r="G69" s="3">
        <v>5</v>
      </c>
      <c r="H69" s="3" t="s">
        <v>3497</v>
      </c>
    </row>
    <row r="70" spans="1:8" x14ac:dyDescent="0.3">
      <c r="A70" s="3">
        <v>69</v>
      </c>
      <c r="B70" s="3" t="s">
        <v>179</v>
      </c>
      <c r="C70" s="3" t="s">
        <v>453</v>
      </c>
      <c r="D70" s="3" t="s">
        <v>454</v>
      </c>
      <c r="E70" s="10">
        <v>44436</v>
      </c>
      <c r="F70" s="3" t="s">
        <v>3555</v>
      </c>
      <c r="G70" s="3">
        <v>1</v>
      </c>
      <c r="H70" s="3" t="s">
        <v>3497</v>
      </c>
    </row>
    <row r="71" spans="1:8" x14ac:dyDescent="0.3">
      <c r="A71" s="3">
        <v>70</v>
      </c>
      <c r="B71" s="3" t="s">
        <v>144</v>
      </c>
      <c r="C71" s="3" t="s">
        <v>568</v>
      </c>
      <c r="D71" s="3" t="s">
        <v>569</v>
      </c>
      <c r="E71" s="10">
        <v>44438</v>
      </c>
      <c r="F71" s="3" t="s">
        <v>3556</v>
      </c>
      <c r="G71" s="3">
        <v>2</v>
      </c>
      <c r="H71" s="3" t="s">
        <v>3497</v>
      </c>
    </row>
    <row r="72" spans="1:8" x14ac:dyDescent="0.3">
      <c r="A72" s="3">
        <v>71</v>
      </c>
      <c r="B72" s="3" t="s">
        <v>144</v>
      </c>
      <c r="C72" s="3" t="s">
        <v>653</v>
      </c>
      <c r="D72" s="3" t="s">
        <v>654</v>
      </c>
      <c r="E72" s="10">
        <v>44439</v>
      </c>
      <c r="F72" s="3" t="s">
        <v>3557</v>
      </c>
      <c r="G72" s="3">
        <v>2</v>
      </c>
      <c r="H72" s="3" t="s">
        <v>3497</v>
      </c>
    </row>
    <row r="73" spans="1:8" x14ac:dyDescent="0.3">
      <c r="A73" s="3">
        <v>72</v>
      </c>
      <c r="B73" s="3" t="s">
        <v>214</v>
      </c>
      <c r="C73" s="3" t="s">
        <v>598</v>
      </c>
      <c r="D73" s="3" t="s">
        <v>599</v>
      </c>
      <c r="E73" s="10">
        <v>44441</v>
      </c>
      <c r="F73" s="3" t="s">
        <v>3558</v>
      </c>
      <c r="G73" s="3">
        <v>5</v>
      </c>
      <c r="H73" s="3" t="s">
        <v>3495</v>
      </c>
    </row>
    <row r="74" spans="1:8" x14ac:dyDescent="0.3">
      <c r="A74" s="3">
        <v>73</v>
      </c>
      <c r="B74" s="3" t="s">
        <v>99</v>
      </c>
      <c r="C74" s="3" t="s">
        <v>608</v>
      </c>
      <c r="D74" s="3" t="s">
        <v>609</v>
      </c>
      <c r="E74" s="10">
        <v>44441</v>
      </c>
      <c r="F74" s="3" t="s">
        <v>3559</v>
      </c>
      <c r="G74" s="3">
        <v>3</v>
      </c>
      <c r="H74" s="3" t="s">
        <v>3497</v>
      </c>
    </row>
    <row r="75" spans="1:8" x14ac:dyDescent="0.3">
      <c r="A75" s="3">
        <v>74</v>
      </c>
      <c r="B75" s="3" t="s">
        <v>114</v>
      </c>
      <c r="C75" s="3" t="s">
        <v>428</v>
      </c>
      <c r="D75" s="3" t="s">
        <v>429</v>
      </c>
      <c r="E75" s="10">
        <v>44441</v>
      </c>
      <c r="F75" s="3" t="s">
        <v>3535</v>
      </c>
      <c r="G75" s="3">
        <v>5</v>
      </c>
      <c r="H75" s="3" t="s">
        <v>3495</v>
      </c>
    </row>
    <row r="76" spans="1:8" x14ac:dyDescent="0.3">
      <c r="A76" s="3">
        <v>75</v>
      </c>
      <c r="B76" s="3" t="s">
        <v>109</v>
      </c>
      <c r="C76" s="3" t="s">
        <v>468</v>
      </c>
      <c r="D76" s="3" t="s">
        <v>469</v>
      </c>
      <c r="E76" s="10">
        <v>44449</v>
      </c>
      <c r="F76" s="3" t="s">
        <v>3527</v>
      </c>
      <c r="G76" s="3">
        <v>2</v>
      </c>
      <c r="H76" s="3" t="s">
        <v>3497</v>
      </c>
    </row>
    <row r="77" spans="1:8" x14ac:dyDescent="0.3">
      <c r="A77" s="3">
        <v>76</v>
      </c>
      <c r="B77" s="3" t="s">
        <v>224</v>
      </c>
      <c r="C77" s="3" t="s">
        <v>478</v>
      </c>
      <c r="D77" s="3" t="s">
        <v>479</v>
      </c>
      <c r="E77" s="10">
        <v>44460</v>
      </c>
      <c r="F77" s="3" t="s">
        <v>3560</v>
      </c>
      <c r="G77" s="3">
        <v>1</v>
      </c>
      <c r="H77" s="3" t="s">
        <v>3497</v>
      </c>
    </row>
    <row r="78" spans="1:8" x14ac:dyDescent="0.3">
      <c r="A78" s="3">
        <v>77</v>
      </c>
      <c r="B78" s="3" t="s">
        <v>7</v>
      </c>
      <c r="C78" s="3" t="s">
        <v>438</v>
      </c>
      <c r="D78" s="3" t="s">
        <v>439</v>
      </c>
      <c r="E78" s="10">
        <v>44412</v>
      </c>
      <c r="F78" s="3" t="s">
        <v>3561</v>
      </c>
      <c r="G78" s="3">
        <v>3</v>
      </c>
      <c r="H78" s="3" t="s">
        <v>3495</v>
      </c>
    </row>
    <row r="79" spans="1:8" x14ac:dyDescent="0.3">
      <c r="A79" s="3">
        <v>78</v>
      </c>
      <c r="B79" s="3" t="s">
        <v>174</v>
      </c>
      <c r="C79" s="3" t="s">
        <v>403</v>
      </c>
      <c r="D79" s="3" t="s">
        <v>404</v>
      </c>
      <c r="E79" s="10">
        <v>44441</v>
      </c>
      <c r="F79" s="3" t="s">
        <v>3562</v>
      </c>
      <c r="G79" s="3">
        <v>3</v>
      </c>
      <c r="H79" s="3" t="s">
        <v>3497</v>
      </c>
    </row>
    <row r="80" spans="1:8" x14ac:dyDescent="0.3">
      <c r="A80" s="3">
        <v>79</v>
      </c>
      <c r="B80" s="3" t="s">
        <v>35</v>
      </c>
      <c r="C80" s="3" t="s">
        <v>613</v>
      </c>
      <c r="D80" s="3" t="s">
        <v>614</v>
      </c>
      <c r="E80" s="10">
        <v>44463</v>
      </c>
      <c r="F80" s="3" t="s">
        <v>3563</v>
      </c>
      <c r="G80" s="3">
        <v>1</v>
      </c>
      <c r="H80" s="3" t="s">
        <v>3495</v>
      </c>
    </row>
    <row r="81" spans="1:8" x14ac:dyDescent="0.3">
      <c r="A81" s="3">
        <v>80</v>
      </c>
      <c r="B81" s="3" t="s">
        <v>194</v>
      </c>
      <c r="C81" s="3" t="s">
        <v>708</v>
      </c>
      <c r="D81" s="3" t="s">
        <v>709</v>
      </c>
      <c r="E81" s="10">
        <v>44421</v>
      </c>
      <c r="F81" s="3" t="s">
        <v>3519</v>
      </c>
      <c r="G81" s="3">
        <v>4</v>
      </c>
      <c r="H81" s="3" t="s">
        <v>3497</v>
      </c>
    </row>
    <row r="82" spans="1:8" x14ac:dyDescent="0.3">
      <c r="A82" s="3">
        <v>81</v>
      </c>
      <c r="B82" s="3" t="s">
        <v>119</v>
      </c>
      <c r="C82" s="3" t="s">
        <v>518</v>
      </c>
      <c r="D82" s="3" t="s">
        <v>519</v>
      </c>
      <c r="E82" s="10">
        <v>44464</v>
      </c>
      <c r="F82" s="3" t="s">
        <v>3513</v>
      </c>
      <c r="G82" s="3">
        <v>5</v>
      </c>
      <c r="H82" s="3" t="s">
        <v>3497</v>
      </c>
    </row>
    <row r="83" spans="1:8" x14ac:dyDescent="0.3">
      <c r="A83" s="3">
        <v>82</v>
      </c>
      <c r="B83" s="3" t="s">
        <v>214</v>
      </c>
      <c r="C83" s="3" t="s">
        <v>673</v>
      </c>
      <c r="D83" s="3" t="s">
        <v>674</v>
      </c>
      <c r="E83" s="10">
        <v>44469</v>
      </c>
      <c r="F83" s="3" t="s">
        <v>3505</v>
      </c>
      <c r="G83" s="3">
        <v>4</v>
      </c>
      <c r="H83" s="3" t="s">
        <v>3495</v>
      </c>
    </row>
    <row r="84" spans="1:8" x14ac:dyDescent="0.3">
      <c r="A84" s="3">
        <v>83</v>
      </c>
      <c r="B84" s="3" t="s">
        <v>224</v>
      </c>
      <c r="C84" s="3" t="s">
        <v>623</v>
      </c>
      <c r="D84" s="3" t="s">
        <v>624</v>
      </c>
      <c r="E84" s="10">
        <v>44470</v>
      </c>
      <c r="F84" s="3" t="s">
        <v>3564</v>
      </c>
      <c r="G84" s="3">
        <v>4</v>
      </c>
      <c r="H84" s="3" t="s">
        <v>3495</v>
      </c>
    </row>
    <row r="85" spans="1:8" x14ac:dyDescent="0.3">
      <c r="A85" s="3">
        <v>84</v>
      </c>
      <c r="B85" s="3" t="s">
        <v>204</v>
      </c>
      <c r="C85" s="3" t="s">
        <v>598</v>
      </c>
      <c r="D85" s="3" t="s">
        <v>599</v>
      </c>
      <c r="E85" s="10">
        <v>44441</v>
      </c>
      <c r="F85" s="3" t="s">
        <v>3542</v>
      </c>
      <c r="G85" s="3">
        <v>5</v>
      </c>
      <c r="H85" s="3" t="s">
        <v>3495</v>
      </c>
    </row>
    <row r="86" spans="1:8" x14ac:dyDescent="0.3">
      <c r="A86" s="3">
        <v>85</v>
      </c>
      <c r="B86" s="3" t="s">
        <v>174</v>
      </c>
      <c r="C86" s="3" t="s">
        <v>678</v>
      </c>
      <c r="D86" s="3" t="s">
        <v>679</v>
      </c>
      <c r="E86" s="10">
        <v>44472</v>
      </c>
      <c r="F86" s="3" t="s">
        <v>3565</v>
      </c>
      <c r="G86" s="3">
        <v>3</v>
      </c>
      <c r="H86" s="3" t="s">
        <v>3495</v>
      </c>
    </row>
    <row r="87" spans="1:8" x14ac:dyDescent="0.3">
      <c r="A87" s="3">
        <v>86</v>
      </c>
      <c r="B87" s="3" t="s">
        <v>79</v>
      </c>
      <c r="C87" s="3" t="s">
        <v>558</v>
      </c>
      <c r="D87" s="3" t="s">
        <v>559</v>
      </c>
      <c r="E87" s="10">
        <v>44420</v>
      </c>
      <c r="F87" s="3" t="s">
        <v>3566</v>
      </c>
      <c r="G87" s="3">
        <v>5</v>
      </c>
      <c r="H87" s="3" t="s">
        <v>3497</v>
      </c>
    </row>
    <row r="88" spans="1:8" x14ac:dyDescent="0.3">
      <c r="A88" s="3">
        <v>87</v>
      </c>
      <c r="B88" s="3" t="s">
        <v>224</v>
      </c>
      <c r="C88" s="3" t="s">
        <v>688</v>
      </c>
      <c r="D88" s="3" t="s">
        <v>689</v>
      </c>
      <c r="E88" s="10">
        <v>44413</v>
      </c>
      <c r="F88" s="3" t="s">
        <v>3541</v>
      </c>
      <c r="G88" s="3">
        <v>4</v>
      </c>
      <c r="H88" s="3" t="s">
        <v>3495</v>
      </c>
    </row>
    <row r="89" spans="1:8" x14ac:dyDescent="0.3">
      <c r="A89" s="3">
        <v>88</v>
      </c>
      <c r="B89" s="3" t="s">
        <v>25</v>
      </c>
      <c r="C89" s="3" t="s">
        <v>248</v>
      </c>
      <c r="D89" s="3" t="s">
        <v>249</v>
      </c>
      <c r="E89" s="10">
        <v>44489</v>
      </c>
      <c r="F89" s="3" t="s">
        <v>3567</v>
      </c>
      <c r="G89" s="3">
        <v>5</v>
      </c>
      <c r="H89" s="3" t="s">
        <v>3497</v>
      </c>
    </row>
    <row r="90" spans="1:8" x14ac:dyDescent="0.3">
      <c r="A90" s="3">
        <v>89</v>
      </c>
      <c r="B90" s="3" t="s">
        <v>30</v>
      </c>
      <c r="C90" s="3" t="s">
        <v>248</v>
      </c>
      <c r="D90" s="3" t="s">
        <v>254</v>
      </c>
      <c r="E90" s="10">
        <v>44470</v>
      </c>
      <c r="F90" s="3" t="s">
        <v>3568</v>
      </c>
      <c r="G90" s="3">
        <v>2</v>
      </c>
      <c r="H90" s="3" t="s">
        <v>3497</v>
      </c>
    </row>
    <row r="91" spans="1:8" x14ac:dyDescent="0.3">
      <c r="A91" s="3">
        <v>90</v>
      </c>
      <c r="B91" s="3" t="s">
        <v>35</v>
      </c>
      <c r="C91" s="3" t="s">
        <v>248</v>
      </c>
      <c r="D91" s="3" t="s">
        <v>254</v>
      </c>
      <c r="E91" s="10">
        <v>44497</v>
      </c>
      <c r="F91" s="3" t="s">
        <v>3569</v>
      </c>
      <c r="G91" s="3">
        <v>4</v>
      </c>
      <c r="H91" s="3" t="s">
        <v>3497</v>
      </c>
    </row>
    <row r="92" spans="1:8" x14ac:dyDescent="0.3">
      <c r="A92" s="3">
        <v>91</v>
      </c>
      <c r="B92" s="3" t="s">
        <v>40</v>
      </c>
      <c r="C92" s="3" t="s">
        <v>248</v>
      </c>
      <c r="D92" s="3" t="s">
        <v>249</v>
      </c>
      <c r="E92" s="10">
        <v>44470</v>
      </c>
      <c r="F92" s="3" t="s">
        <v>3570</v>
      </c>
      <c r="G92" s="3">
        <v>4</v>
      </c>
      <c r="H92" s="3" t="s">
        <v>3495</v>
      </c>
    </row>
    <row r="93" spans="1:8" x14ac:dyDescent="0.3">
      <c r="A93" s="3">
        <v>92</v>
      </c>
      <c r="B93" s="3" t="s">
        <v>45</v>
      </c>
      <c r="C93" s="3" t="s">
        <v>248</v>
      </c>
      <c r="D93" s="3" t="s">
        <v>249</v>
      </c>
      <c r="E93" s="10">
        <v>44494</v>
      </c>
      <c r="F93" s="3" t="s">
        <v>3571</v>
      </c>
      <c r="G93" s="3">
        <v>4</v>
      </c>
      <c r="H93" s="3" t="s">
        <v>3497</v>
      </c>
    </row>
    <row r="94" spans="1:8" x14ac:dyDescent="0.3">
      <c r="A94" s="3">
        <v>93</v>
      </c>
      <c r="B94" s="3" t="s">
        <v>50</v>
      </c>
      <c r="C94" s="3" t="s">
        <v>253</v>
      </c>
      <c r="D94" s="3" t="s">
        <v>259</v>
      </c>
      <c r="E94" s="10">
        <v>44491</v>
      </c>
      <c r="F94" s="3" t="s">
        <v>3572</v>
      </c>
      <c r="G94" s="3">
        <v>2</v>
      </c>
      <c r="H94" s="3" t="s">
        <v>3495</v>
      </c>
    </row>
    <row r="95" spans="1:8" x14ac:dyDescent="0.3">
      <c r="A95" s="3">
        <v>94</v>
      </c>
      <c r="B95" s="3" t="s">
        <v>55</v>
      </c>
      <c r="C95" s="3" t="s">
        <v>253</v>
      </c>
      <c r="D95" s="3" t="s">
        <v>264</v>
      </c>
      <c r="E95" s="10">
        <v>44487</v>
      </c>
      <c r="F95" s="3" t="s">
        <v>3541</v>
      </c>
      <c r="G95" s="3">
        <v>4</v>
      </c>
      <c r="H95" s="3" t="s">
        <v>3495</v>
      </c>
    </row>
    <row r="96" spans="1:8" x14ac:dyDescent="0.3">
      <c r="A96" s="3">
        <v>95</v>
      </c>
      <c r="B96" s="3" t="s">
        <v>60</v>
      </c>
      <c r="C96" s="3" t="s">
        <v>253</v>
      </c>
      <c r="D96" s="3" t="s">
        <v>254</v>
      </c>
      <c r="E96" s="10">
        <v>44481</v>
      </c>
      <c r="F96" s="3" t="s">
        <v>3573</v>
      </c>
      <c r="G96" s="3">
        <v>3</v>
      </c>
      <c r="H96" s="3" t="s">
        <v>3495</v>
      </c>
    </row>
    <row r="97" spans="1:8" x14ac:dyDescent="0.3">
      <c r="A97" s="3">
        <v>96</v>
      </c>
      <c r="B97" s="3" t="s">
        <v>65</v>
      </c>
      <c r="C97" s="3" t="s">
        <v>258</v>
      </c>
      <c r="D97" s="3" t="s">
        <v>249</v>
      </c>
      <c r="E97" s="10">
        <v>44478</v>
      </c>
      <c r="F97" s="3" t="s">
        <v>3541</v>
      </c>
      <c r="G97" s="3">
        <v>4</v>
      </c>
      <c r="H97" s="3" t="s">
        <v>3495</v>
      </c>
    </row>
    <row r="98" spans="1:8" x14ac:dyDescent="0.3">
      <c r="A98" s="3">
        <v>97</v>
      </c>
      <c r="B98" s="3" t="s">
        <v>69</v>
      </c>
      <c r="C98" s="3" t="s">
        <v>258</v>
      </c>
      <c r="D98" s="3" t="s">
        <v>259</v>
      </c>
      <c r="E98" s="10">
        <v>44483</v>
      </c>
      <c r="F98" s="3" t="s">
        <v>3574</v>
      </c>
      <c r="G98" s="3">
        <v>4</v>
      </c>
      <c r="H98" s="3" t="s">
        <v>3497</v>
      </c>
    </row>
    <row r="99" spans="1:8" x14ac:dyDescent="0.3">
      <c r="A99" s="3">
        <v>98</v>
      </c>
      <c r="B99" s="3" t="s">
        <v>74</v>
      </c>
      <c r="C99" s="3" t="s">
        <v>263</v>
      </c>
      <c r="D99" s="3" t="s">
        <v>249</v>
      </c>
      <c r="E99" s="10">
        <v>44490</v>
      </c>
      <c r="F99" s="3" t="s">
        <v>3575</v>
      </c>
      <c r="G99" s="3">
        <v>3</v>
      </c>
      <c r="H99" s="3" t="s">
        <v>3495</v>
      </c>
    </row>
    <row r="100" spans="1:8" x14ac:dyDescent="0.3">
      <c r="A100" s="3">
        <v>99</v>
      </c>
      <c r="B100" s="3" t="s">
        <v>79</v>
      </c>
      <c r="C100" s="3" t="s">
        <v>263</v>
      </c>
      <c r="D100" s="3" t="s">
        <v>264</v>
      </c>
      <c r="E100" s="10">
        <v>44494</v>
      </c>
      <c r="F100" s="3" t="s">
        <v>3576</v>
      </c>
      <c r="G100" s="3">
        <v>4</v>
      </c>
      <c r="H100" s="3" t="s">
        <v>3497</v>
      </c>
    </row>
    <row r="101" spans="1:8" x14ac:dyDescent="0.3">
      <c r="A101" s="3">
        <v>100</v>
      </c>
      <c r="B101" s="3" t="s">
        <v>84</v>
      </c>
      <c r="C101" s="3" t="s">
        <v>263</v>
      </c>
      <c r="D101" s="3" t="s">
        <v>264</v>
      </c>
      <c r="E101" s="10">
        <v>44486</v>
      </c>
      <c r="F101" s="3" t="s">
        <v>3577</v>
      </c>
      <c r="G101" s="3">
        <v>5</v>
      </c>
      <c r="H101" s="3" t="s">
        <v>3495</v>
      </c>
    </row>
    <row r="102" spans="1:8" x14ac:dyDescent="0.3">
      <c r="A102" s="3">
        <v>101</v>
      </c>
      <c r="B102" s="3" t="s">
        <v>89</v>
      </c>
      <c r="C102" s="3" t="s">
        <v>268</v>
      </c>
      <c r="D102" s="3" t="s">
        <v>279</v>
      </c>
      <c r="E102" s="10">
        <v>44474</v>
      </c>
      <c r="F102" s="3" t="s">
        <v>3578</v>
      </c>
      <c r="G102" s="3">
        <v>3</v>
      </c>
      <c r="H102" s="3" t="s">
        <v>3497</v>
      </c>
    </row>
    <row r="103" spans="1:8" x14ac:dyDescent="0.3">
      <c r="A103" s="3">
        <v>102</v>
      </c>
      <c r="B103" s="3" t="s">
        <v>94</v>
      </c>
      <c r="C103" s="3" t="s">
        <v>268</v>
      </c>
      <c r="D103" s="3" t="s">
        <v>279</v>
      </c>
      <c r="E103" s="10">
        <v>44486</v>
      </c>
      <c r="F103" s="3" t="s">
        <v>3571</v>
      </c>
      <c r="G103" s="3">
        <v>4</v>
      </c>
      <c r="H103" s="3" t="s">
        <v>3495</v>
      </c>
    </row>
    <row r="104" spans="1:8" x14ac:dyDescent="0.3">
      <c r="A104" s="3">
        <v>103</v>
      </c>
      <c r="B104" s="3" t="s">
        <v>99</v>
      </c>
      <c r="C104" s="3" t="s">
        <v>268</v>
      </c>
      <c r="D104" s="3" t="s">
        <v>269</v>
      </c>
      <c r="E104" s="10">
        <v>44488</v>
      </c>
      <c r="F104" s="3" t="s">
        <v>3579</v>
      </c>
      <c r="G104" s="3">
        <v>5</v>
      </c>
      <c r="H104" s="3" t="s">
        <v>3497</v>
      </c>
    </row>
    <row r="105" spans="1:8" x14ac:dyDescent="0.3">
      <c r="A105" s="3">
        <v>104</v>
      </c>
      <c r="B105" s="3" t="s">
        <v>104</v>
      </c>
      <c r="C105" s="3" t="s">
        <v>278</v>
      </c>
      <c r="D105" s="3" t="s">
        <v>269</v>
      </c>
      <c r="E105" s="10">
        <v>44489</v>
      </c>
      <c r="F105" s="3" t="s">
        <v>3580</v>
      </c>
      <c r="G105" s="3">
        <v>2</v>
      </c>
      <c r="H105" s="3" t="s">
        <v>3497</v>
      </c>
    </row>
    <row r="106" spans="1:8" x14ac:dyDescent="0.3">
      <c r="A106" s="3">
        <v>105</v>
      </c>
      <c r="B106" s="3" t="s">
        <v>109</v>
      </c>
      <c r="C106" s="3" t="s">
        <v>278</v>
      </c>
      <c r="D106" s="3" t="s">
        <v>269</v>
      </c>
      <c r="E106" s="10">
        <v>44474</v>
      </c>
      <c r="F106" s="3" t="s">
        <v>3581</v>
      </c>
      <c r="G106" s="3">
        <v>3</v>
      </c>
      <c r="H106" s="3" t="s">
        <v>3495</v>
      </c>
    </row>
    <row r="107" spans="1:8" x14ac:dyDescent="0.3">
      <c r="A107" s="3">
        <v>106</v>
      </c>
      <c r="B107" s="3" t="s">
        <v>114</v>
      </c>
      <c r="C107" s="3" t="s">
        <v>278</v>
      </c>
      <c r="D107" s="3" t="s">
        <v>279</v>
      </c>
      <c r="E107" s="10">
        <v>44474</v>
      </c>
      <c r="F107" s="3" t="s">
        <v>3582</v>
      </c>
      <c r="G107" s="3">
        <v>2</v>
      </c>
      <c r="H107" s="3" t="s">
        <v>3495</v>
      </c>
    </row>
    <row r="108" spans="1:8" x14ac:dyDescent="0.3">
      <c r="A108" s="3">
        <v>107</v>
      </c>
      <c r="B108" s="3" t="s">
        <v>119</v>
      </c>
      <c r="C108" s="3" t="s">
        <v>283</v>
      </c>
      <c r="D108" s="3" t="s">
        <v>284</v>
      </c>
      <c r="E108" s="10">
        <v>44477</v>
      </c>
      <c r="F108" s="3" t="s">
        <v>3583</v>
      </c>
      <c r="G108" s="3">
        <v>4</v>
      </c>
      <c r="H108" s="3" t="s">
        <v>3497</v>
      </c>
    </row>
    <row r="109" spans="1:8" x14ac:dyDescent="0.3">
      <c r="A109" s="3">
        <v>108</v>
      </c>
      <c r="B109" s="3" t="s">
        <v>154</v>
      </c>
      <c r="C109" s="3" t="s">
        <v>288</v>
      </c>
      <c r="D109" s="3" t="s">
        <v>289</v>
      </c>
      <c r="E109" s="10">
        <v>44470</v>
      </c>
      <c r="F109" s="3" t="s">
        <v>3584</v>
      </c>
      <c r="G109" s="3">
        <v>3</v>
      </c>
      <c r="H109" s="3" t="s">
        <v>3497</v>
      </c>
    </row>
    <row r="110" spans="1:8" x14ac:dyDescent="0.3">
      <c r="A110" s="3">
        <v>109</v>
      </c>
      <c r="B110" s="3" t="s">
        <v>21</v>
      </c>
      <c r="C110" s="3" t="s">
        <v>303</v>
      </c>
      <c r="D110" s="3" t="s">
        <v>304</v>
      </c>
      <c r="E110" s="10">
        <v>44494</v>
      </c>
      <c r="F110" s="3" t="s">
        <v>3579</v>
      </c>
      <c r="G110" s="3">
        <v>4</v>
      </c>
      <c r="H110" s="3" t="s">
        <v>3495</v>
      </c>
    </row>
    <row r="111" spans="1:8" x14ac:dyDescent="0.3">
      <c r="A111" s="3">
        <v>110</v>
      </c>
      <c r="B111" s="3" t="s">
        <v>154</v>
      </c>
      <c r="C111" s="3" t="s">
        <v>313</v>
      </c>
      <c r="D111" s="3" t="s">
        <v>314</v>
      </c>
      <c r="E111" s="10">
        <v>44439</v>
      </c>
      <c r="F111" s="3" t="s">
        <v>3585</v>
      </c>
      <c r="G111" s="3">
        <v>2</v>
      </c>
      <c r="H111" s="3" t="s">
        <v>3497</v>
      </c>
    </row>
    <row r="112" spans="1:8" x14ac:dyDescent="0.3">
      <c r="A112" s="3">
        <v>111</v>
      </c>
      <c r="B112" s="3" t="s">
        <v>104</v>
      </c>
      <c r="C112" s="3" t="s">
        <v>318</v>
      </c>
      <c r="D112" s="3" t="s">
        <v>319</v>
      </c>
      <c r="E112" s="10">
        <v>44490</v>
      </c>
      <c r="F112" s="3" t="s">
        <v>3586</v>
      </c>
      <c r="G112" s="3">
        <v>1</v>
      </c>
      <c r="H112" s="3" t="s">
        <v>3497</v>
      </c>
    </row>
    <row r="113" spans="1:8" x14ac:dyDescent="0.3">
      <c r="A113" s="3">
        <v>112</v>
      </c>
      <c r="B113" s="3" t="s">
        <v>84</v>
      </c>
      <c r="C113" s="3" t="s">
        <v>323</v>
      </c>
      <c r="D113" s="3" t="s">
        <v>324</v>
      </c>
      <c r="E113" s="10">
        <v>44502</v>
      </c>
      <c r="F113" s="3" t="s">
        <v>3499</v>
      </c>
      <c r="G113" s="3">
        <v>5</v>
      </c>
      <c r="H113" s="3" t="s">
        <v>3495</v>
      </c>
    </row>
    <row r="114" spans="1:8" x14ac:dyDescent="0.3">
      <c r="A114" s="3">
        <v>113</v>
      </c>
      <c r="B114" s="3" t="s">
        <v>84</v>
      </c>
      <c r="C114" s="3" t="s">
        <v>328</v>
      </c>
      <c r="D114" s="3" t="s">
        <v>329</v>
      </c>
      <c r="E114" s="10">
        <v>44475</v>
      </c>
      <c r="F114" s="3" t="s">
        <v>3529</v>
      </c>
      <c r="G114" s="3">
        <v>3</v>
      </c>
      <c r="H114" s="3" t="s">
        <v>3495</v>
      </c>
    </row>
    <row r="115" spans="1:8" x14ac:dyDescent="0.3">
      <c r="A115" s="3">
        <v>114</v>
      </c>
      <c r="B115" s="3" t="s">
        <v>179</v>
      </c>
      <c r="C115" s="3" t="s">
        <v>338</v>
      </c>
      <c r="D115" s="3" t="s">
        <v>339</v>
      </c>
      <c r="E115" s="10">
        <v>44436</v>
      </c>
      <c r="F115" s="3" t="s">
        <v>3523</v>
      </c>
      <c r="G115" s="3">
        <v>5</v>
      </c>
      <c r="H115" s="3" t="s">
        <v>3495</v>
      </c>
    </row>
    <row r="116" spans="1:8" x14ac:dyDescent="0.3">
      <c r="A116" s="3">
        <v>115</v>
      </c>
      <c r="B116" s="3" t="s">
        <v>144</v>
      </c>
      <c r="C116" s="3" t="s">
        <v>348</v>
      </c>
      <c r="D116" s="3" t="s">
        <v>349</v>
      </c>
      <c r="E116" s="10">
        <v>44455</v>
      </c>
      <c r="F116" s="3" t="s">
        <v>3534</v>
      </c>
      <c r="G116" s="3">
        <v>2</v>
      </c>
      <c r="H116" s="3" t="s">
        <v>3495</v>
      </c>
    </row>
    <row r="117" spans="1:8" x14ac:dyDescent="0.3">
      <c r="A117" s="3">
        <v>116</v>
      </c>
      <c r="B117" s="3" t="s">
        <v>99</v>
      </c>
      <c r="C117" s="3" t="s">
        <v>353</v>
      </c>
      <c r="D117" s="3" t="s">
        <v>354</v>
      </c>
      <c r="E117" s="10">
        <v>44468</v>
      </c>
      <c r="F117" s="3" t="s">
        <v>3530</v>
      </c>
      <c r="G117" s="3">
        <v>1</v>
      </c>
      <c r="H117" s="3" t="s">
        <v>3497</v>
      </c>
    </row>
    <row r="118" spans="1:8" x14ac:dyDescent="0.3">
      <c r="A118" s="3">
        <v>117</v>
      </c>
      <c r="B118" s="3" t="s">
        <v>149</v>
      </c>
      <c r="C118" s="3" t="s">
        <v>358</v>
      </c>
      <c r="D118" s="3" t="s">
        <v>359</v>
      </c>
      <c r="E118" s="10">
        <v>44444</v>
      </c>
      <c r="F118" s="3" t="s">
        <v>3587</v>
      </c>
      <c r="G118" s="3">
        <v>3</v>
      </c>
      <c r="H118" s="3" t="s">
        <v>3497</v>
      </c>
    </row>
    <row r="119" spans="1:8" x14ac:dyDescent="0.3">
      <c r="A119" s="3">
        <v>118</v>
      </c>
      <c r="B119" s="3" t="s">
        <v>114</v>
      </c>
      <c r="C119" s="3" t="s">
        <v>368</v>
      </c>
      <c r="D119" s="3" t="s">
        <v>369</v>
      </c>
      <c r="E119" s="10">
        <v>44477</v>
      </c>
      <c r="F119" s="3" t="s">
        <v>3528</v>
      </c>
      <c r="G119" s="3">
        <v>1</v>
      </c>
      <c r="H119" s="3" t="s">
        <v>3497</v>
      </c>
    </row>
    <row r="120" spans="1:8" x14ac:dyDescent="0.3">
      <c r="A120" s="3">
        <v>119</v>
      </c>
      <c r="B120" s="3" t="s">
        <v>129</v>
      </c>
      <c r="C120" s="3" t="s">
        <v>373</v>
      </c>
      <c r="D120" s="3" t="s">
        <v>374</v>
      </c>
      <c r="E120" s="10">
        <v>44488</v>
      </c>
      <c r="F120" s="3" t="s">
        <v>3524</v>
      </c>
      <c r="G120" s="3">
        <v>4</v>
      </c>
      <c r="H120" s="3" t="s">
        <v>3495</v>
      </c>
    </row>
    <row r="121" spans="1:8" x14ac:dyDescent="0.3">
      <c r="A121" s="3">
        <v>120</v>
      </c>
      <c r="B121" s="3" t="s">
        <v>169</v>
      </c>
      <c r="C121" s="3" t="s">
        <v>378</v>
      </c>
      <c r="D121" s="3" t="s">
        <v>379</v>
      </c>
      <c r="E121" s="10">
        <v>44423</v>
      </c>
      <c r="F121" s="3" t="s">
        <v>3588</v>
      </c>
      <c r="G121" s="3">
        <v>2</v>
      </c>
      <c r="H121" s="3" t="s">
        <v>3497</v>
      </c>
    </row>
    <row r="122" spans="1:8" x14ac:dyDescent="0.3">
      <c r="A122" s="3">
        <v>121</v>
      </c>
      <c r="B122" s="3" t="s">
        <v>21</v>
      </c>
      <c r="C122" s="3" t="s">
        <v>383</v>
      </c>
      <c r="D122" s="3" t="s">
        <v>384</v>
      </c>
      <c r="E122" s="10">
        <v>44432</v>
      </c>
      <c r="F122" s="3" t="s">
        <v>3589</v>
      </c>
      <c r="G122" s="3">
        <v>4</v>
      </c>
      <c r="H122" s="3" t="s">
        <v>3495</v>
      </c>
    </row>
    <row r="123" spans="1:8" x14ac:dyDescent="0.3">
      <c r="A123" s="3">
        <v>122</v>
      </c>
      <c r="B123" s="3" t="s">
        <v>45</v>
      </c>
      <c r="C123" s="3" t="s">
        <v>388</v>
      </c>
      <c r="D123" s="3" t="s">
        <v>389</v>
      </c>
      <c r="E123" s="10">
        <v>44464</v>
      </c>
      <c r="F123" s="3" t="s">
        <v>3527</v>
      </c>
      <c r="G123" s="3">
        <v>3</v>
      </c>
      <c r="H123" s="3" t="s">
        <v>3497</v>
      </c>
    </row>
    <row r="124" spans="1:8" x14ac:dyDescent="0.3">
      <c r="A124" s="3">
        <v>123</v>
      </c>
      <c r="B124" s="3" t="s">
        <v>194</v>
      </c>
      <c r="C124" s="3" t="s">
        <v>393</v>
      </c>
      <c r="D124" s="3" t="s">
        <v>394</v>
      </c>
      <c r="E124" s="10">
        <v>44422</v>
      </c>
      <c r="F124" s="3" t="s">
        <v>3590</v>
      </c>
      <c r="G124" s="3">
        <v>1</v>
      </c>
      <c r="H124" s="3" t="s">
        <v>3495</v>
      </c>
    </row>
    <row r="125" spans="1:8" x14ac:dyDescent="0.3">
      <c r="A125" s="3">
        <v>124</v>
      </c>
      <c r="B125" s="3" t="s">
        <v>144</v>
      </c>
      <c r="C125" s="3" t="s">
        <v>398</v>
      </c>
      <c r="D125" s="3" t="s">
        <v>399</v>
      </c>
      <c r="E125" s="10">
        <v>44464</v>
      </c>
      <c r="F125" s="3" t="s">
        <v>3519</v>
      </c>
      <c r="G125" s="3">
        <v>1</v>
      </c>
      <c r="H125" s="3" t="s">
        <v>3497</v>
      </c>
    </row>
    <row r="126" spans="1:8" x14ac:dyDescent="0.3">
      <c r="A126" s="3">
        <v>125</v>
      </c>
      <c r="B126" s="3" t="s">
        <v>94</v>
      </c>
      <c r="C126" s="3" t="s">
        <v>418</v>
      </c>
      <c r="D126" s="3" t="s">
        <v>419</v>
      </c>
      <c r="E126" s="10">
        <v>44494</v>
      </c>
      <c r="F126" s="3" t="s">
        <v>3562</v>
      </c>
      <c r="G126" s="3">
        <v>2</v>
      </c>
      <c r="H126" s="3" t="s">
        <v>3497</v>
      </c>
    </row>
    <row r="127" spans="1:8" x14ac:dyDescent="0.3">
      <c r="A127" s="3">
        <v>126</v>
      </c>
      <c r="B127" s="3" t="s">
        <v>99</v>
      </c>
      <c r="C127" s="3" t="s">
        <v>423</v>
      </c>
      <c r="D127" s="3" t="s">
        <v>424</v>
      </c>
      <c r="E127" s="10">
        <v>44431</v>
      </c>
      <c r="F127" s="3" t="s">
        <v>3563</v>
      </c>
      <c r="G127" s="3">
        <v>2</v>
      </c>
      <c r="H127" s="3" t="s">
        <v>3497</v>
      </c>
    </row>
    <row r="128" spans="1:8" x14ac:dyDescent="0.3">
      <c r="A128" s="3">
        <v>127</v>
      </c>
      <c r="B128" s="3" t="s">
        <v>149</v>
      </c>
      <c r="C128" s="3" t="s">
        <v>433</v>
      </c>
      <c r="D128" s="3" t="s">
        <v>434</v>
      </c>
      <c r="E128" s="10">
        <v>44421</v>
      </c>
      <c r="F128" s="3" t="s">
        <v>3509</v>
      </c>
      <c r="G128" s="3">
        <v>1</v>
      </c>
      <c r="H128" s="3" t="s">
        <v>3495</v>
      </c>
    </row>
    <row r="129" spans="1:8" x14ac:dyDescent="0.3">
      <c r="A129" s="3">
        <v>128</v>
      </c>
      <c r="B129" s="3" t="s">
        <v>55</v>
      </c>
      <c r="C129" s="3" t="s">
        <v>463</v>
      </c>
      <c r="D129" s="3" t="s">
        <v>464</v>
      </c>
      <c r="E129" s="10">
        <v>44490</v>
      </c>
      <c r="F129" s="3" t="s">
        <v>3545</v>
      </c>
      <c r="G129" s="3">
        <v>5</v>
      </c>
      <c r="H129" s="3" t="s">
        <v>3495</v>
      </c>
    </row>
    <row r="130" spans="1:8" x14ac:dyDescent="0.3">
      <c r="A130" s="3">
        <v>129</v>
      </c>
      <c r="B130" s="3" t="s">
        <v>21</v>
      </c>
      <c r="C130" s="3" t="s">
        <v>473</v>
      </c>
      <c r="D130" s="3" t="s">
        <v>474</v>
      </c>
      <c r="E130" s="10">
        <v>44465</v>
      </c>
      <c r="F130" s="3" t="s">
        <v>3524</v>
      </c>
      <c r="G130" s="3">
        <v>5</v>
      </c>
      <c r="H130" s="3" t="s">
        <v>3495</v>
      </c>
    </row>
    <row r="131" spans="1:8" x14ac:dyDescent="0.3">
      <c r="A131" s="3">
        <v>130</v>
      </c>
      <c r="B131" s="3" t="s">
        <v>174</v>
      </c>
      <c r="C131" s="3" t="s">
        <v>483</v>
      </c>
      <c r="D131" s="3" t="s">
        <v>484</v>
      </c>
      <c r="E131" s="10">
        <v>44432</v>
      </c>
      <c r="F131" s="3" t="s">
        <v>3591</v>
      </c>
      <c r="G131" s="3">
        <v>4</v>
      </c>
      <c r="H131" s="3" t="s">
        <v>3495</v>
      </c>
    </row>
    <row r="132" spans="1:8" x14ac:dyDescent="0.3">
      <c r="A132" s="3">
        <v>131</v>
      </c>
      <c r="B132" s="3" t="s">
        <v>55</v>
      </c>
      <c r="C132" s="3" t="s">
        <v>488</v>
      </c>
      <c r="D132" s="3" t="s">
        <v>489</v>
      </c>
      <c r="E132" s="10">
        <v>44460</v>
      </c>
      <c r="F132" s="3" t="s">
        <v>3511</v>
      </c>
      <c r="G132" s="3">
        <v>2</v>
      </c>
      <c r="H132" s="3" t="s">
        <v>3497</v>
      </c>
    </row>
    <row r="133" spans="1:8" x14ac:dyDescent="0.3">
      <c r="A133" s="3">
        <v>132</v>
      </c>
      <c r="B133" s="3" t="s">
        <v>40</v>
      </c>
      <c r="C133" s="3" t="s">
        <v>493</v>
      </c>
      <c r="D133" s="3" t="s">
        <v>494</v>
      </c>
      <c r="E133" s="10">
        <v>44505</v>
      </c>
      <c r="F133" s="3" t="s">
        <v>3512</v>
      </c>
      <c r="G133" s="3">
        <v>2</v>
      </c>
      <c r="H133" s="3" t="s">
        <v>3495</v>
      </c>
    </row>
    <row r="134" spans="1:8" x14ac:dyDescent="0.3">
      <c r="A134" s="3">
        <v>133</v>
      </c>
      <c r="B134" s="3" t="s">
        <v>55</v>
      </c>
      <c r="C134" s="3" t="s">
        <v>503</v>
      </c>
      <c r="D134" s="3" t="s">
        <v>504</v>
      </c>
      <c r="E134" s="10">
        <v>44446</v>
      </c>
      <c r="F134" s="3" t="s">
        <v>3513</v>
      </c>
      <c r="G134" s="3">
        <v>4</v>
      </c>
      <c r="H134" s="3" t="s">
        <v>3497</v>
      </c>
    </row>
    <row r="135" spans="1:8" x14ac:dyDescent="0.3">
      <c r="A135" s="3">
        <v>134</v>
      </c>
      <c r="B135" s="3" t="s">
        <v>55</v>
      </c>
      <c r="C135" s="3" t="s">
        <v>508</v>
      </c>
      <c r="D135" s="3" t="s">
        <v>509</v>
      </c>
      <c r="E135" s="10">
        <v>44503</v>
      </c>
      <c r="F135" s="3" t="s">
        <v>3516</v>
      </c>
      <c r="G135" s="3">
        <v>4</v>
      </c>
      <c r="H135" s="3" t="s">
        <v>3495</v>
      </c>
    </row>
    <row r="136" spans="1:8" x14ac:dyDescent="0.3">
      <c r="A136" s="3">
        <v>135</v>
      </c>
      <c r="B136" s="3" t="s">
        <v>109</v>
      </c>
      <c r="C136" s="3" t="s">
        <v>513</v>
      </c>
      <c r="D136" s="3" t="s">
        <v>514</v>
      </c>
      <c r="E136" s="10">
        <v>44433</v>
      </c>
      <c r="F136" s="3" t="s">
        <v>3592</v>
      </c>
      <c r="G136" s="3">
        <v>2</v>
      </c>
      <c r="H136" s="3" t="s">
        <v>3495</v>
      </c>
    </row>
    <row r="137" spans="1:8" x14ac:dyDescent="0.3">
      <c r="A137" s="3">
        <v>136</v>
      </c>
      <c r="B137" s="3" t="s">
        <v>184</v>
      </c>
      <c r="C137" s="3" t="s">
        <v>523</v>
      </c>
      <c r="D137" s="3" t="s">
        <v>524</v>
      </c>
      <c r="E137" s="10">
        <v>44453</v>
      </c>
      <c r="F137" s="3" t="s">
        <v>3593</v>
      </c>
      <c r="G137" s="3">
        <v>1</v>
      </c>
      <c r="H137" s="3" t="s">
        <v>3495</v>
      </c>
    </row>
    <row r="138" spans="1:8" x14ac:dyDescent="0.3">
      <c r="A138" s="3">
        <v>137</v>
      </c>
      <c r="B138" s="3" t="s">
        <v>84</v>
      </c>
      <c r="C138" s="3" t="s">
        <v>548</v>
      </c>
      <c r="D138" s="3" t="s">
        <v>549</v>
      </c>
      <c r="E138" s="10">
        <v>44452</v>
      </c>
      <c r="F138" s="3" t="s">
        <v>3542</v>
      </c>
      <c r="G138" s="3">
        <v>5</v>
      </c>
      <c r="H138" s="3" t="s">
        <v>3497</v>
      </c>
    </row>
    <row r="139" spans="1:8" x14ac:dyDescent="0.3">
      <c r="A139" s="3">
        <v>138</v>
      </c>
      <c r="B139" s="3" t="s">
        <v>40</v>
      </c>
      <c r="C139" s="3" t="s">
        <v>563</v>
      </c>
      <c r="D139" s="3" t="s">
        <v>564</v>
      </c>
      <c r="E139" s="10">
        <v>44461</v>
      </c>
      <c r="F139" s="3" t="s">
        <v>3572</v>
      </c>
      <c r="G139" s="3">
        <v>3</v>
      </c>
      <c r="H139" s="3" t="s">
        <v>3497</v>
      </c>
    </row>
    <row r="140" spans="1:8" x14ac:dyDescent="0.3">
      <c r="A140" s="3">
        <v>139</v>
      </c>
      <c r="B140" s="3" t="s">
        <v>94</v>
      </c>
      <c r="C140" s="3" t="s">
        <v>583</v>
      </c>
      <c r="D140" s="3" t="s">
        <v>584</v>
      </c>
      <c r="E140" s="10">
        <v>44460</v>
      </c>
      <c r="F140" s="3" t="s">
        <v>3568</v>
      </c>
      <c r="G140" s="3">
        <v>2</v>
      </c>
      <c r="H140" s="3" t="s">
        <v>3495</v>
      </c>
    </row>
    <row r="141" spans="1:8" x14ac:dyDescent="0.3">
      <c r="A141" s="3">
        <v>140</v>
      </c>
      <c r="B141" s="3" t="s">
        <v>129</v>
      </c>
      <c r="C141" s="3" t="s">
        <v>603</v>
      </c>
      <c r="D141" s="3" t="s">
        <v>604</v>
      </c>
      <c r="E141" s="10">
        <v>44456</v>
      </c>
      <c r="F141" s="3" t="s">
        <v>3514</v>
      </c>
      <c r="G141" s="3">
        <v>4</v>
      </c>
      <c r="H141" s="3" t="s">
        <v>3495</v>
      </c>
    </row>
    <row r="142" spans="1:8" x14ac:dyDescent="0.3">
      <c r="A142" s="3">
        <v>141</v>
      </c>
      <c r="B142" s="3" t="s">
        <v>30</v>
      </c>
      <c r="C142" s="3" t="s">
        <v>628</v>
      </c>
      <c r="D142" s="3" t="s">
        <v>629</v>
      </c>
      <c r="E142" s="10">
        <v>44462</v>
      </c>
      <c r="F142" s="3" t="s">
        <v>3510</v>
      </c>
      <c r="G142" s="3">
        <v>3</v>
      </c>
      <c r="H142" s="3" t="s">
        <v>3495</v>
      </c>
    </row>
    <row r="143" spans="1:8" x14ac:dyDescent="0.3">
      <c r="A143" s="3">
        <v>142</v>
      </c>
      <c r="B143" s="3" t="s">
        <v>194</v>
      </c>
      <c r="C143" s="3" t="s">
        <v>638</v>
      </c>
      <c r="D143" s="3" t="s">
        <v>639</v>
      </c>
      <c r="E143" s="10">
        <v>44433</v>
      </c>
      <c r="F143" s="3" t="s">
        <v>3516</v>
      </c>
      <c r="G143" s="3">
        <v>1</v>
      </c>
      <c r="H143" s="3" t="s">
        <v>3495</v>
      </c>
    </row>
    <row r="144" spans="1:8" x14ac:dyDescent="0.3">
      <c r="A144" s="3">
        <v>143</v>
      </c>
      <c r="B144" s="3" t="s">
        <v>199</v>
      </c>
      <c r="C144" s="3" t="s">
        <v>643</v>
      </c>
      <c r="D144" s="3" t="s">
        <v>644</v>
      </c>
      <c r="E144" s="10">
        <v>44490</v>
      </c>
      <c r="F144" s="3" t="s">
        <v>3594</v>
      </c>
      <c r="G144" s="3">
        <v>2</v>
      </c>
      <c r="H144" s="3" t="s">
        <v>3497</v>
      </c>
    </row>
    <row r="145" spans="1:8" x14ac:dyDescent="0.3">
      <c r="A145" s="3">
        <v>144</v>
      </c>
      <c r="B145" s="3" t="s">
        <v>89</v>
      </c>
      <c r="C145" s="3" t="s">
        <v>663</v>
      </c>
      <c r="D145" s="3" t="s">
        <v>664</v>
      </c>
      <c r="E145" s="10">
        <v>44448</v>
      </c>
      <c r="F145" s="3" t="s">
        <v>3561</v>
      </c>
      <c r="G145" s="3">
        <v>2</v>
      </c>
      <c r="H145" s="3" t="s">
        <v>3497</v>
      </c>
    </row>
    <row r="146" spans="1:8" x14ac:dyDescent="0.3">
      <c r="A146" s="3">
        <v>145</v>
      </c>
      <c r="B146" s="3" t="s">
        <v>84</v>
      </c>
      <c r="C146" s="3" t="s">
        <v>683</v>
      </c>
      <c r="D146" s="3" t="s">
        <v>684</v>
      </c>
      <c r="E146" s="10">
        <v>44472</v>
      </c>
      <c r="F146" s="3" t="s">
        <v>3541</v>
      </c>
      <c r="G146" s="3">
        <v>5</v>
      </c>
      <c r="H146" s="3" t="s">
        <v>3495</v>
      </c>
    </row>
    <row r="147" spans="1:8" x14ac:dyDescent="0.3">
      <c r="A147" s="3">
        <v>146</v>
      </c>
      <c r="B147" s="3" t="s">
        <v>79</v>
      </c>
      <c r="C147" s="3" t="s">
        <v>693</v>
      </c>
      <c r="D147" s="3" t="s">
        <v>694</v>
      </c>
      <c r="E147" s="10">
        <v>44444</v>
      </c>
      <c r="F147" s="3" t="s">
        <v>3573</v>
      </c>
      <c r="G147" s="3">
        <v>1</v>
      </c>
      <c r="H147" s="3" t="s">
        <v>3497</v>
      </c>
    </row>
    <row r="148" spans="1:8" x14ac:dyDescent="0.3">
      <c r="A148" s="3">
        <v>147</v>
      </c>
      <c r="B148" s="3" t="s">
        <v>74</v>
      </c>
      <c r="C148" s="3" t="s">
        <v>698</v>
      </c>
      <c r="D148" s="3" t="s">
        <v>699</v>
      </c>
      <c r="E148" s="10">
        <v>44443</v>
      </c>
      <c r="F148" s="3" t="s">
        <v>3595</v>
      </c>
      <c r="G148" s="3">
        <v>4</v>
      </c>
      <c r="H148" s="3" t="s">
        <v>3497</v>
      </c>
    </row>
    <row r="149" spans="1:8" x14ac:dyDescent="0.3">
      <c r="A149" s="3">
        <v>148</v>
      </c>
      <c r="B149" s="3" t="s">
        <v>109</v>
      </c>
      <c r="C149" s="3" t="s">
        <v>703</v>
      </c>
      <c r="D149" s="3" t="s">
        <v>704</v>
      </c>
      <c r="E149" s="10">
        <v>44484</v>
      </c>
      <c r="F149" s="3" t="s">
        <v>3569</v>
      </c>
      <c r="G149" s="3">
        <v>4</v>
      </c>
      <c r="H149" s="3" t="s">
        <v>3495</v>
      </c>
    </row>
    <row r="150" spans="1:8" x14ac:dyDescent="0.3">
      <c r="A150" s="3">
        <v>149</v>
      </c>
      <c r="B150" s="3" t="s">
        <v>109</v>
      </c>
      <c r="C150" s="3" t="s">
        <v>713</v>
      </c>
      <c r="D150" s="3" t="s">
        <v>714</v>
      </c>
      <c r="E150" s="10">
        <v>44446</v>
      </c>
      <c r="F150" s="3" t="s">
        <v>3596</v>
      </c>
      <c r="G150" s="3">
        <v>3</v>
      </c>
      <c r="H150" s="3" t="s">
        <v>3495</v>
      </c>
    </row>
    <row r="151" spans="1:8" x14ac:dyDescent="0.3">
      <c r="A151" s="3">
        <v>150</v>
      </c>
      <c r="B151" s="3" t="s">
        <v>114</v>
      </c>
      <c r="C151" s="3" t="s">
        <v>718</v>
      </c>
      <c r="D151" s="3" t="s">
        <v>719</v>
      </c>
      <c r="E151" s="10">
        <v>44420</v>
      </c>
      <c r="F151" s="3" t="s">
        <v>3597</v>
      </c>
      <c r="G151" s="3">
        <v>3</v>
      </c>
      <c r="H151" s="3" t="s">
        <v>3495</v>
      </c>
    </row>
    <row r="152" spans="1:8" x14ac:dyDescent="0.3">
      <c r="A152" s="3">
        <v>151</v>
      </c>
      <c r="B152" s="3" t="s">
        <v>21</v>
      </c>
      <c r="C152" s="3" t="s">
        <v>723</v>
      </c>
      <c r="D152" s="3" t="s">
        <v>724</v>
      </c>
      <c r="E152" s="10">
        <v>44503</v>
      </c>
      <c r="F152" s="3" t="s">
        <v>3541</v>
      </c>
      <c r="G152" s="3">
        <v>5</v>
      </c>
      <c r="H152" s="3" t="s">
        <v>3497</v>
      </c>
    </row>
    <row r="153" spans="1:8" x14ac:dyDescent="0.3">
      <c r="A153" s="3">
        <v>152</v>
      </c>
      <c r="B153" s="3" t="s">
        <v>30</v>
      </c>
      <c r="C153" s="3" t="s">
        <v>728</v>
      </c>
      <c r="D153" s="3" t="s">
        <v>729</v>
      </c>
      <c r="E153" s="10">
        <v>44458</v>
      </c>
      <c r="F153" s="3" t="s">
        <v>3541</v>
      </c>
      <c r="G153" s="3">
        <v>4</v>
      </c>
      <c r="H153" s="3" t="s">
        <v>3495</v>
      </c>
    </row>
    <row r="154" spans="1:8" x14ac:dyDescent="0.3">
      <c r="A154" s="3">
        <v>153</v>
      </c>
      <c r="B154" s="3" t="s">
        <v>35</v>
      </c>
      <c r="C154" s="3" t="s">
        <v>738</v>
      </c>
      <c r="D154" s="3" t="s">
        <v>739</v>
      </c>
      <c r="E154" s="10">
        <v>44426</v>
      </c>
      <c r="F154" s="3" t="s">
        <v>3598</v>
      </c>
      <c r="G154" s="3">
        <v>1</v>
      </c>
      <c r="H154" s="3" t="s">
        <v>3497</v>
      </c>
    </row>
    <row r="155" spans="1:8" x14ac:dyDescent="0.3">
      <c r="A155" s="3">
        <v>154</v>
      </c>
      <c r="B155" s="3" t="s">
        <v>84</v>
      </c>
      <c r="C155" s="3" t="s">
        <v>743</v>
      </c>
      <c r="D155" s="3" t="s">
        <v>744</v>
      </c>
      <c r="E155" s="10">
        <v>44447</v>
      </c>
      <c r="F155" s="3" t="s">
        <v>3599</v>
      </c>
      <c r="G155" s="3">
        <v>1</v>
      </c>
      <c r="H155" s="3" t="s">
        <v>3495</v>
      </c>
    </row>
    <row r="156" spans="1:8" x14ac:dyDescent="0.3">
      <c r="A156" s="3">
        <v>155</v>
      </c>
      <c r="B156" s="3" t="s">
        <v>109</v>
      </c>
      <c r="C156" s="3" t="s">
        <v>748</v>
      </c>
      <c r="D156" s="3" t="s">
        <v>749</v>
      </c>
      <c r="E156" s="10">
        <v>44502</v>
      </c>
      <c r="F156" s="3" t="s">
        <v>3529</v>
      </c>
      <c r="G156" s="3">
        <v>2</v>
      </c>
      <c r="H156" s="3" t="s">
        <v>3495</v>
      </c>
    </row>
    <row r="157" spans="1:8" x14ac:dyDescent="0.3">
      <c r="A157" s="3">
        <v>156</v>
      </c>
      <c r="B157" s="3" t="s">
        <v>69</v>
      </c>
      <c r="C157" s="3" t="s">
        <v>758</v>
      </c>
      <c r="D157" s="3" t="s">
        <v>759</v>
      </c>
      <c r="E157" s="10">
        <v>44438</v>
      </c>
      <c r="F157" s="3" t="s">
        <v>3600</v>
      </c>
      <c r="G157" s="3">
        <v>1</v>
      </c>
      <c r="H157" s="3" t="s">
        <v>3495</v>
      </c>
    </row>
    <row r="158" spans="1:8" x14ac:dyDescent="0.3">
      <c r="A158" s="3">
        <v>157</v>
      </c>
      <c r="B158" s="3" t="s">
        <v>144</v>
      </c>
      <c r="C158" s="3" t="s">
        <v>763</v>
      </c>
      <c r="D158" s="3" t="s">
        <v>764</v>
      </c>
      <c r="E158" s="10">
        <v>44434</v>
      </c>
      <c r="F158" s="3" t="s">
        <v>3542</v>
      </c>
      <c r="G158" s="3">
        <v>5</v>
      </c>
      <c r="H158" s="3" t="s">
        <v>3495</v>
      </c>
    </row>
    <row r="159" spans="1:8" x14ac:dyDescent="0.3">
      <c r="A159" s="3">
        <v>158</v>
      </c>
      <c r="B159" s="3" t="s">
        <v>74</v>
      </c>
      <c r="C159" s="3" t="s">
        <v>768</v>
      </c>
      <c r="D159" s="3" t="s">
        <v>769</v>
      </c>
      <c r="E159" s="10">
        <v>44484</v>
      </c>
      <c r="F159" s="3" t="s">
        <v>3543</v>
      </c>
      <c r="G159" s="3">
        <v>1</v>
      </c>
      <c r="H159" s="3" t="s">
        <v>3495</v>
      </c>
    </row>
    <row r="160" spans="1:8" x14ac:dyDescent="0.3">
      <c r="A160" s="3">
        <v>159</v>
      </c>
      <c r="B160" s="3" t="s">
        <v>25</v>
      </c>
      <c r="C160" s="3" t="s">
        <v>773</v>
      </c>
      <c r="D160" s="3" t="s">
        <v>774</v>
      </c>
      <c r="E160" s="10">
        <v>44481</v>
      </c>
      <c r="F160" s="3" t="s">
        <v>3529</v>
      </c>
      <c r="G160" s="3">
        <v>2</v>
      </c>
      <c r="H160" s="3" t="s">
        <v>3497</v>
      </c>
    </row>
    <row r="161" spans="1:8" x14ac:dyDescent="0.3">
      <c r="A161" s="3">
        <v>160</v>
      </c>
      <c r="B161" s="3" t="s">
        <v>84</v>
      </c>
      <c r="C161" s="3" t="s">
        <v>783</v>
      </c>
      <c r="D161" s="3" t="s">
        <v>784</v>
      </c>
      <c r="E161" s="10">
        <v>44469</v>
      </c>
      <c r="F161" s="3" t="s">
        <v>3530</v>
      </c>
      <c r="G161" s="3">
        <v>2</v>
      </c>
      <c r="H161" s="3" t="s">
        <v>3495</v>
      </c>
    </row>
    <row r="162" spans="1:8" x14ac:dyDescent="0.3">
      <c r="A162" s="3">
        <v>161</v>
      </c>
      <c r="B162" s="3" t="s">
        <v>164</v>
      </c>
      <c r="C162" s="3" t="s">
        <v>788</v>
      </c>
      <c r="D162" s="3" t="s">
        <v>789</v>
      </c>
      <c r="E162" s="10">
        <v>44475</v>
      </c>
      <c r="F162" s="3" t="s">
        <v>3534</v>
      </c>
      <c r="G162" s="3">
        <v>3</v>
      </c>
      <c r="H162" s="3" t="s">
        <v>3495</v>
      </c>
    </row>
    <row r="163" spans="1:8" x14ac:dyDescent="0.3">
      <c r="A163" s="3">
        <v>162</v>
      </c>
      <c r="B163" s="3" t="s">
        <v>94</v>
      </c>
      <c r="C163" s="3" t="s">
        <v>793</v>
      </c>
      <c r="D163" s="3" t="s">
        <v>794</v>
      </c>
      <c r="E163" s="10">
        <v>44454</v>
      </c>
      <c r="F163" s="3" t="s">
        <v>3513</v>
      </c>
      <c r="G163" s="3">
        <v>4</v>
      </c>
      <c r="H163" s="3" t="s">
        <v>3497</v>
      </c>
    </row>
    <row r="164" spans="1:8" x14ac:dyDescent="0.3">
      <c r="A164" s="3">
        <v>163</v>
      </c>
      <c r="B164" s="3" t="s">
        <v>45</v>
      </c>
      <c r="C164" s="3" t="s">
        <v>798</v>
      </c>
      <c r="D164" s="3" t="s">
        <v>799</v>
      </c>
      <c r="E164" s="10">
        <v>44479</v>
      </c>
      <c r="F164" s="3" t="s">
        <v>3567</v>
      </c>
      <c r="G164" s="3">
        <v>5</v>
      </c>
      <c r="H164" s="3" t="s">
        <v>3495</v>
      </c>
    </row>
    <row r="165" spans="1:8" x14ac:dyDescent="0.3">
      <c r="A165" s="3">
        <v>164</v>
      </c>
      <c r="B165" s="3" t="s">
        <v>99</v>
      </c>
      <c r="C165" s="3" t="s">
        <v>808</v>
      </c>
      <c r="D165" s="3" t="s">
        <v>809</v>
      </c>
      <c r="E165" s="10">
        <v>44440</v>
      </c>
      <c r="F165" s="3" t="s">
        <v>3571</v>
      </c>
      <c r="G165" s="3">
        <v>5</v>
      </c>
      <c r="H165" s="3" t="s">
        <v>3497</v>
      </c>
    </row>
    <row r="166" spans="1:8" x14ac:dyDescent="0.3">
      <c r="A166" s="3">
        <v>165</v>
      </c>
      <c r="B166" s="3" t="s">
        <v>194</v>
      </c>
      <c r="C166" s="3" t="s">
        <v>818</v>
      </c>
      <c r="D166" s="3" t="s">
        <v>819</v>
      </c>
      <c r="E166" s="10">
        <v>44450</v>
      </c>
      <c r="F166" s="3" t="s">
        <v>3601</v>
      </c>
      <c r="G166" s="3">
        <v>4</v>
      </c>
      <c r="H166" s="3" t="s">
        <v>3495</v>
      </c>
    </row>
    <row r="167" spans="1:8" x14ac:dyDescent="0.3">
      <c r="A167" s="3">
        <v>166</v>
      </c>
      <c r="B167" s="3" t="s">
        <v>109</v>
      </c>
      <c r="C167" s="3" t="s">
        <v>828</v>
      </c>
      <c r="D167" s="3" t="s">
        <v>829</v>
      </c>
      <c r="E167" s="10">
        <v>44482</v>
      </c>
      <c r="F167" s="3" t="s">
        <v>3546</v>
      </c>
      <c r="G167" s="3">
        <v>5</v>
      </c>
      <c r="H167" s="3" t="s">
        <v>3497</v>
      </c>
    </row>
    <row r="168" spans="1:8" x14ac:dyDescent="0.3">
      <c r="A168" s="3">
        <v>167</v>
      </c>
      <c r="B168" s="3" t="s">
        <v>164</v>
      </c>
      <c r="C168" s="3" t="s">
        <v>833</v>
      </c>
      <c r="D168" s="3" t="s">
        <v>834</v>
      </c>
      <c r="E168" s="10">
        <v>44498</v>
      </c>
      <c r="F168" s="3" t="s">
        <v>3602</v>
      </c>
      <c r="G168" s="3">
        <v>2</v>
      </c>
      <c r="H168" s="3" t="s">
        <v>3497</v>
      </c>
    </row>
    <row r="169" spans="1:8" x14ac:dyDescent="0.3">
      <c r="A169" s="3">
        <v>168</v>
      </c>
      <c r="B169" s="3" t="s">
        <v>129</v>
      </c>
      <c r="C169" s="3" t="s">
        <v>838</v>
      </c>
      <c r="D169" s="3" t="s">
        <v>839</v>
      </c>
      <c r="E169" s="10">
        <v>44503</v>
      </c>
      <c r="F169" s="3" t="s">
        <v>3603</v>
      </c>
      <c r="G169" s="3">
        <v>2</v>
      </c>
      <c r="H169" s="3" t="s">
        <v>3497</v>
      </c>
    </row>
    <row r="170" spans="1:8" x14ac:dyDescent="0.3">
      <c r="A170" s="3">
        <v>169</v>
      </c>
      <c r="B170" s="3" t="s">
        <v>179</v>
      </c>
      <c r="C170" s="3" t="s">
        <v>843</v>
      </c>
      <c r="D170" s="3" t="s">
        <v>844</v>
      </c>
      <c r="E170" s="10">
        <v>44429</v>
      </c>
      <c r="F170" s="3" t="s">
        <v>3604</v>
      </c>
      <c r="G170" s="3">
        <v>3</v>
      </c>
      <c r="H170" s="3" t="s">
        <v>3497</v>
      </c>
    </row>
    <row r="171" spans="1:8" x14ac:dyDescent="0.3">
      <c r="A171" s="3">
        <v>170</v>
      </c>
      <c r="B171" s="3" t="s">
        <v>159</v>
      </c>
      <c r="C171" s="3" t="s">
        <v>848</v>
      </c>
      <c r="D171" s="3" t="s">
        <v>849</v>
      </c>
      <c r="E171" s="10">
        <v>44414</v>
      </c>
      <c r="F171" s="3" t="s">
        <v>3605</v>
      </c>
      <c r="G171" s="3">
        <v>2</v>
      </c>
      <c r="H171" s="3" t="s">
        <v>3495</v>
      </c>
    </row>
    <row r="172" spans="1:8" x14ac:dyDescent="0.3">
      <c r="A172" s="3">
        <v>171</v>
      </c>
      <c r="B172" s="3" t="s">
        <v>74</v>
      </c>
      <c r="C172" s="3" t="s">
        <v>853</v>
      </c>
      <c r="D172" s="3" t="s">
        <v>854</v>
      </c>
      <c r="E172" s="10">
        <v>44437</v>
      </c>
      <c r="F172" s="3" t="s">
        <v>3606</v>
      </c>
      <c r="G172" s="3">
        <v>3</v>
      </c>
      <c r="H172" s="3" t="s">
        <v>3497</v>
      </c>
    </row>
    <row r="173" spans="1:8" x14ac:dyDescent="0.3">
      <c r="A173" s="3">
        <v>172</v>
      </c>
      <c r="B173" s="3" t="s">
        <v>114</v>
      </c>
      <c r="C173" s="3" t="s">
        <v>858</v>
      </c>
      <c r="D173" s="3" t="s">
        <v>859</v>
      </c>
      <c r="E173" s="10">
        <v>44467</v>
      </c>
      <c r="F173" s="3" t="s">
        <v>3607</v>
      </c>
      <c r="G173" s="3">
        <v>4</v>
      </c>
      <c r="H173" s="3" t="s">
        <v>3495</v>
      </c>
    </row>
    <row r="174" spans="1:8" x14ac:dyDescent="0.3">
      <c r="A174" s="3">
        <v>173</v>
      </c>
      <c r="B174" s="3" t="s">
        <v>189</v>
      </c>
      <c r="C174" s="3" t="s">
        <v>868</v>
      </c>
      <c r="D174" s="3" t="s">
        <v>869</v>
      </c>
      <c r="E174" s="10">
        <v>44490</v>
      </c>
      <c r="F174" s="3" t="s">
        <v>3608</v>
      </c>
      <c r="G174" s="3">
        <v>4</v>
      </c>
      <c r="H174" s="3" t="s">
        <v>3495</v>
      </c>
    </row>
    <row r="175" spans="1:8" x14ac:dyDescent="0.3">
      <c r="A175" s="3">
        <v>174</v>
      </c>
      <c r="B175" s="3" t="s">
        <v>159</v>
      </c>
      <c r="C175" s="3" t="s">
        <v>873</v>
      </c>
      <c r="D175" s="3" t="s">
        <v>874</v>
      </c>
      <c r="E175" s="10">
        <v>44468</v>
      </c>
      <c r="F175" s="3" t="s">
        <v>3609</v>
      </c>
      <c r="G175" s="3">
        <v>2</v>
      </c>
      <c r="H175" s="3" t="s">
        <v>3497</v>
      </c>
    </row>
    <row r="176" spans="1:8" x14ac:dyDescent="0.3">
      <c r="A176" s="3">
        <v>175</v>
      </c>
      <c r="B176" s="3" t="s">
        <v>139</v>
      </c>
      <c r="C176" s="3" t="s">
        <v>883</v>
      </c>
      <c r="D176" s="3" t="s">
        <v>884</v>
      </c>
      <c r="E176" s="10">
        <v>44427</v>
      </c>
      <c r="F176" s="3" t="s">
        <v>3610</v>
      </c>
      <c r="G176" s="3">
        <v>1</v>
      </c>
      <c r="H176" s="3" t="s">
        <v>3495</v>
      </c>
    </row>
    <row r="177" spans="1:8" x14ac:dyDescent="0.3">
      <c r="A177" s="3">
        <v>176</v>
      </c>
      <c r="B177" s="3" t="s">
        <v>40</v>
      </c>
      <c r="C177" s="3" t="s">
        <v>893</v>
      </c>
      <c r="D177" s="3" t="s">
        <v>894</v>
      </c>
      <c r="E177" s="10">
        <v>44489</v>
      </c>
      <c r="F177" s="3" t="s">
        <v>3611</v>
      </c>
      <c r="G177" s="3">
        <v>3</v>
      </c>
      <c r="H177" s="3" t="s">
        <v>3495</v>
      </c>
    </row>
    <row r="178" spans="1:8" x14ac:dyDescent="0.3">
      <c r="A178" s="3">
        <v>177</v>
      </c>
      <c r="B178" s="3" t="s">
        <v>35</v>
      </c>
      <c r="C178" s="3" t="s">
        <v>898</v>
      </c>
      <c r="D178" s="3" t="s">
        <v>899</v>
      </c>
      <c r="E178" s="10">
        <v>44479</v>
      </c>
      <c r="F178" s="3" t="s">
        <v>3503</v>
      </c>
      <c r="G178" s="3">
        <v>2</v>
      </c>
      <c r="H178" s="3" t="s">
        <v>3497</v>
      </c>
    </row>
    <row r="179" spans="1:8" x14ac:dyDescent="0.3">
      <c r="A179" s="3">
        <v>178</v>
      </c>
      <c r="B179" s="3" t="s">
        <v>139</v>
      </c>
      <c r="C179" s="3" t="s">
        <v>908</v>
      </c>
      <c r="D179" s="3" t="s">
        <v>909</v>
      </c>
      <c r="E179" s="10">
        <v>44481</v>
      </c>
      <c r="F179" s="3" t="s">
        <v>3612</v>
      </c>
      <c r="G179" s="3">
        <v>1</v>
      </c>
      <c r="H179" s="3" t="s">
        <v>3497</v>
      </c>
    </row>
    <row r="180" spans="1:8" x14ac:dyDescent="0.3">
      <c r="A180" s="3">
        <v>179</v>
      </c>
      <c r="B180" s="3" t="s">
        <v>65</v>
      </c>
      <c r="C180" s="3" t="s">
        <v>913</v>
      </c>
      <c r="D180" s="3" t="s">
        <v>914</v>
      </c>
      <c r="E180" s="10">
        <v>44499</v>
      </c>
      <c r="F180" s="3" t="s">
        <v>3613</v>
      </c>
      <c r="G180" s="3">
        <v>5</v>
      </c>
      <c r="H180" s="3" t="s">
        <v>3495</v>
      </c>
    </row>
    <row r="181" spans="1:8" x14ac:dyDescent="0.3">
      <c r="A181" s="3">
        <v>180</v>
      </c>
      <c r="B181" s="3" t="s">
        <v>69</v>
      </c>
      <c r="C181" s="3" t="s">
        <v>918</v>
      </c>
      <c r="D181" s="3" t="s">
        <v>919</v>
      </c>
      <c r="E181" s="10">
        <v>44499</v>
      </c>
      <c r="F181" s="3" t="s">
        <v>3614</v>
      </c>
      <c r="G181" s="3">
        <v>4</v>
      </c>
      <c r="H181" s="3" t="s">
        <v>3495</v>
      </c>
    </row>
    <row r="182" spans="1:8" x14ac:dyDescent="0.3">
      <c r="A182" s="3">
        <v>181</v>
      </c>
      <c r="B182" s="3" t="s">
        <v>25</v>
      </c>
      <c r="C182" s="3" t="s">
        <v>923</v>
      </c>
      <c r="D182" s="3" t="s">
        <v>924</v>
      </c>
      <c r="E182" s="10">
        <v>44499</v>
      </c>
      <c r="F182" s="3" t="s">
        <v>3501</v>
      </c>
      <c r="G182" s="3">
        <v>4</v>
      </c>
      <c r="H182" s="3" t="s">
        <v>3495</v>
      </c>
    </row>
    <row r="183" spans="1:8" x14ac:dyDescent="0.3">
      <c r="A183" s="3">
        <v>182</v>
      </c>
      <c r="B183" s="3" t="s">
        <v>149</v>
      </c>
      <c r="C183" s="3" t="s">
        <v>238</v>
      </c>
      <c r="D183" s="3" t="s">
        <v>239</v>
      </c>
      <c r="E183" s="10">
        <v>44464</v>
      </c>
      <c r="F183" s="3" t="s">
        <v>3615</v>
      </c>
      <c r="G183" s="3">
        <v>1</v>
      </c>
      <c r="H183" s="3" t="s">
        <v>3497</v>
      </c>
    </row>
    <row r="184" spans="1:8" x14ac:dyDescent="0.3">
      <c r="A184" s="3">
        <v>183</v>
      </c>
      <c r="C184" s="3" t="s">
        <v>623</v>
      </c>
      <c r="D184" s="3" t="s">
        <v>624</v>
      </c>
      <c r="E184" s="10">
        <v>44446</v>
      </c>
      <c r="F184" s="3" t="s">
        <v>3656</v>
      </c>
      <c r="G184" s="3">
        <v>0</v>
      </c>
      <c r="H184" s="3" t="s">
        <v>3497</v>
      </c>
    </row>
    <row r="185" spans="1:8" x14ac:dyDescent="0.3">
      <c r="A185" s="3">
        <v>184</v>
      </c>
      <c r="C185" s="3" t="s">
        <v>598</v>
      </c>
      <c r="D185" s="3" t="s">
        <v>599</v>
      </c>
      <c r="E185" s="10">
        <v>44446</v>
      </c>
      <c r="F185" s="3" t="s">
        <v>3657</v>
      </c>
      <c r="G185" s="3">
        <v>5</v>
      </c>
      <c r="H185" s="3" t="s">
        <v>3497</v>
      </c>
    </row>
    <row r="186" spans="1:8" x14ac:dyDescent="0.3">
      <c r="A186" s="3">
        <v>185</v>
      </c>
      <c r="C186" s="3" t="s">
        <v>598</v>
      </c>
      <c r="D186" s="3" t="s">
        <v>599</v>
      </c>
      <c r="E186" s="10">
        <v>44446</v>
      </c>
      <c r="F186" s="3" t="s">
        <v>3658</v>
      </c>
      <c r="G186" s="3">
        <v>0</v>
      </c>
      <c r="H186" s="3" t="s">
        <v>3495</v>
      </c>
    </row>
  </sheetData>
  <phoneticPr fontId="1" type="noConversion"/>
  <conditionalFormatting sqref="U1">
    <cfRule type="expression" dxfId="1" priority="2">
      <formula>$A1&lt;&gt;""</formula>
    </cfRule>
  </conditionalFormatting>
  <conditionalFormatting sqref="P1:T1">
    <cfRule type="expression" dxfId="0" priority="1">
      <formula>$A1&lt;&gt;""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8</xdr:col>
                <xdr:colOff>295275</xdr:colOff>
                <xdr:row>0</xdr:row>
                <xdr:rowOff>200025</xdr:rowOff>
              </from>
              <to>
                <xdr:col>10</xdr:col>
                <xdr:colOff>266700</xdr:colOff>
                <xdr:row>3</xdr:row>
                <xdr:rowOff>19050</xdr:rowOff>
              </to>
            </anchor>
          </controlPr>
        </control>
      </mc:Choice>
      <mc:Fallback>
        <control shapeId="10241" r:id="rId3" name="CommandButton1"/>
      </mc:Fallback>
    </mc:AlternateContent>
  </controls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2"/>
  <sheetViews>
    <sheetView zoomScaleNormal="100" workbookViewId="0">
      <selection activeCell="S18" sqref="S18"/>
    </sheetView>
  </sheetViews>
  <sheetFormatPr defaultRowHeight="16.5" x14ac:dyDescent="0.3"/>
  <sheetData>
    <row r="1" spans="1:15" x14ac:dyDescent="0.3">
      <c r="A1" t="s">
        <v>3639</v>
      </c>
      <c r="B1" t="str">
        <f>VLOOKUP(유저번호,표2[],2,FALSE)</f>
        <v>강동원</v>
      </c>
      <c r="C1" t="str">
        <f>VLOOKUP(유저번호,표2[],3,FALSE)</f>
        <v>0,0</v>
      </c>
      <c r="D1" t="str">
        <f>VLOOKUP(유저번호,표2[],4,FALSE)</f>
        <v>user01</v>
      </c>
      <c r="E1" t="str">
        <f>VLOOKUP(유저번호,표2[],5,FALSE)</f>
        <v>user01!</v>
      </c>
      <c r="F1" t="str">
        <f>VLOOKUP(유저번호,표2[],6,FALSE)</f>
        <v>VIP</v>
      </c>
      <c r="G1" t="str">
        <f ca="1">TEXT(IF(LEFT(유저번호,1) = "A", SUMIFS(표7[가격 (원가)],표7[회원번호],유저번호,표7[구매날짜], "&lt;=" &amp; NOW()), SUMIFS(표7[가격 (원가)],표7[음식점],데이터!B1,표7[구매날짜], "&lt;=" &amp; NOW())), "#,##0원")</f>
        <v>664,500원</v>
      </c>
      <c r="H1" t="str">
        <f ca="1">IF(LEFT(유저번호,1)="A",COUNTIFS(표7[회원번호],유저번호,표7[구매날짜],"&lt;="&amp;NOW()),COUNTIFS(표7[음식점],데이터!B1,표7[구매날짜],"&lt;="&amp;NOW())) &amp; "번"</f>
        <v>11번</v>
      </c>
      <c r="I1" t="str">
        <f>IF(LEFT(유저번호,1) = "A", "유저",IF( LEFT(유저번호,1) = "Z", "판매자",  IF(LEFT(유저번호,1) = "관", "관리자", "")))</f>
        <v>유저</v>
      </c>
      <c r="K1" s="23" t="s">
        <v>3643</v>
      </c>
      <c r="L1" s="24" t="s">
        <v>3644</v>
      </c>
      <c r="M1" s="25" t="s">
        <v>3645</v>
      </c>
      <c r="O1">
        <f>SUM(M2:M1048576)</f>
        <v>75000</v>
      </c>
    </row>
    <row r="2" spans="1:15" x14ac:dyDescent="0.3">
      <c r="K2" t="s">
        <v>945</v>
      </c>
      <c r="L2">
        <v>5</v>
      </c>
      <c r="M2">
        <v>75000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17</vt:i4>
      </vt:variant>
    </vt:vector>
  </HeadingPairs>
  <TitlesOfParts>
    <vt:vector size="27" baseType="lpstr">
      <vt:lpstr>로딩</vt:lpstr>
      <vt:lpstr>Main</vt:lpstr>
      <vt:lpstr>회원</vt:lpstr>
      <vt:lpstr>상세정보</vt:lpstr>
      <vt:lpstr>음식</vt:lpstr>
      <vt:lpstr>접근금지구역</vt:lpstr>
      <vt:lpstr>주문 내역</vt:lpstr>
      <vt:lpstr>맛집파인더</vt:lpstr>
      <vt:lpstr>리뷰</vt:lpstr>
      <vt:lpstr>데이터</vt:lpstr>
      <vt:lpstr>리뷰!Criteria</vt:lpstr>
      <vt:lpstr>상세정보!Criteria</vt:lpstr>
      <vt:lpstr>음식!Criteria</vt:lpstr>
      <vt:lpstr>'주문 내역'!Criteria</vt:lpstr>
      <vt:lpstr>리뷰!Extract</vt:lpstr>
      <vt:lpstr>상세정보!Extract</vt:lpstr>
      <vt:lpstr>음식!Extract</vt:lpstr>
      <vt:lpstr>'주문 내역'!Extract</vt:lpstr>
      <vt:lpstr>등급</vt:lpstr>
      <vt:lpstr>맵</vt:lpstr>
      <vt:lpstr>수</vt:lpstr>
      <vt:lpstr>유저명</vt:lpstr>
      <vt:lpstr>유저번호</vt:lpstr>
      <vt:lpstr>총</vt:lpstr>
      <vt:lpstr>타입</vt:lpstr>
      <vt:lpstr>트리거</vt:lpstr>
      <vt:lpstr>판매자번호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2021-09-06T09:44:09Z</dcterms:created>
  <dcterms:modified xsi:type="dcterms:W3CDTF">2021-09-07T12:42:24Z</dcterms:modified>
</cp:coreProperties>
</file>