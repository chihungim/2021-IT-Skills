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drawings/drawing9.xml" ContentType="application/vnd.openxmlformats-officedocument.drawing+xml"/>
  <Override PartName="/xl/activeX/activeX12.xml" ContentType="application/vnd.ms-office.activeX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영재01\Desktop\2021 전국기능경기대회\30일전 공개과제\1과제 - 엑셀\3 - 서울\1차\"/>
    </mc:Choice>
  </mc:AlternateContent>
  <bookViews>
    <workbookView xWindow="0" yWindow="0" windowWidth="28800" windowHeight="11265" tabRatio="859" activeTab="9"/>
  </bookViews>
  <sheets>
    <sheet name="로딩" sheetId="1" r:id="rId1"/>
    <sheet name="Main" sheetId="2" r:id="rId2"/>
    <sheet name="회원" sheetId="3" r:id="rId3"/>
    <sheet name="상세정보" sheetId="4" r:id="rId4"/>
    <sheet name="음식" sheetId="5" r:id="rId5"/>
    <sheet name="접근금지구역" sheetId="6" r:id="rId6"/>
    <sheet name="주문내역" sheetId="7" r:id="rId7"/>
    <sheet name="맛집파인더" sheetId="8" r:id="rId8"/>
    <sheet name="리뷰" sheetId="9" r:id="rId9"/>
    <sheet name="디자인" sheetId="10" r:id="rId10"/>
  </sheets>
  <functionGroups builtInGroupCount="18"/>
  <definedNames>
    <definedName name="_xlnm._FilterDatabase" localSheetId="8" hidden="1">리뷰!$A$1:$H$183</definedName>
    <definedName name="_xlnm._FilterDatabase" localSheetId="4" hidden="1">음식!$A$1:$E$1311</definedName>
    <definedName name="_xlnm._FilterDatabase" localSheetId="6" hidden="1">주문내역!$A$1:$H$299</definedName>
    <definedName name="_xlnm.Criteria" localSheetId="8">리뷰!$N$1:$N$2</definedName>
    <definedName name="_xlnm.Criteria" localSheetId="4">음식!$J$1:$J$2</definedName>
    <definedName name="_xlnm.Criteria" localSheetId="6">주문내역!$M$1:$O$2</definedName>
    <definedName name="_xlnm.Extract" localSheetId="8">리뷰!$P$1:$T$1</definedName>
    <definedName name="_xlnm.Extract" localSheetId="4">음식!$L$1</definedName>
    <definedName name="_xlnm.Extract" localSheetId="6">주문내역!$Q$1:$S$1</definedName>
    <definedName name="등급">디자인!$F$1</definedName>
    <definedName name="로딩구역">로딩!$B$1:$Q$26</definedName>
    <definedName name="번호">디자인!$A$1</definedName>
    <definedName name="이름">디자인!$B$1</definedName>
    <definedName name="좌표">디자인!$C$1</definedName>
    <definedName name="타입">디자인!$A$2</definedName>
    <definedName name="판매자시작">회원!$A$51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0" l="1"/>
  <c r="J2" i="5"/>
  <c r="O2" i="7"/>
  <c r="M2" i="9"/>
  <c r="M2" i="7"/>
  <c r="H50" i="3"/>
  <c r="E1" i="10"/>
  <c r="D1" i="10"/>
  <c r="C1" i="10"/>
  <c r="B1" i="10"/>
  <c r="F3" i="3"/>
  <c r="F7" i="3"/>
  <c r="F11" i="3"/>
  <c r="F15" i="3"/>
  <c r="F19" i="3"/>
  <c r="F23" i="3"/>
  <c r="F27" i="3"/>
  <c r="F31" i="3"/>
  <c r="F35" i="3"/>
  <c r="F39" i="3"/>
  <c r="F43" i="3"/>
  <c r="F47" i="3"/>
  <c r="F51" i="3"/>
  <c r="F55" i="3"/>
  <c r="F59" i="3"/>
  <c r="F63" i="3"/>
  <c r="F67" i="3"/>
  <c r="F71" i="3"/>
  <c r="F75" i="3"/>
  <c r="F79" i="3"/>
  <c r="F83" i="3"/>
  <c r="F87" i="3"/>
  <c r="F91" i="3"/>
  <c r="F95" i="3"/>
  <c r="F99" i="3"/>
  <c r="F103" i="3"/>
  <c r="F107" i="3"/>
  <c r="F111" i="3"/>
  <c r="F115" i="3"/>
  <c r="F119" i="3"/>
  <c r="F123" i="3"/>
  <c r="F127" i="3"/>
  <c r="F131" i="3"/>
  <c r="F135" i="3"/>
  <c r="F139" i="3"/>
  <c r="F143" i="3"/>
  <c r="F147" i="3"/>
  <c r="F151" i="3"/>
  <c r="F155" i="3"/>
  <c r="F159" i="3"/>
  <c r="F163" i="3"/>
  <c r="F167" i="3"/>
  <c r="F171" i="3"/>
  <c r="F175" i="3"/>
  <c r="F179" i="3"/>
  <c r="F183" i="3"/>
  <c r="F187" i="3"/>
  <c r="F174" i="3"/>
  <c r="F4" i="3"/>
  <c r="F8" i="3"/>
  <c r="F12" i="3"/>
  <c r="F16" i="3"/>
  <c r="F20" i="3"/>
  <c r="F24" i="3"/>
  <c r="F28" i="3"/>
  <c r="F32" i="3"/>
  <c r="F36" i="3"/>
  <c r="F40" i="3"/>
  <c r="F44" i="3"/>
  <c r="F48" i="3"/>
  <c r="F52" i="3"/>
  <c r="F56" i="3"/>
  <c r="F60" i="3"/>
  <c r="F64" i="3"/>
  <c r="F68" i="3"/>
  <c r="F72" i="3"/>
  <c r="F76" i="3"/>
  <c r="F80" i="3"/>
  <c r="F84" i="3"/>
  <c r="F88" i="3"/>
  <c r="F92" i="3"/>
  <c r="F96" i="3"/>
  <c r="F100" i="3"/>
  <c r="F104" i="3"/>
  <c r="F108" i="3"/>
  <c r="F112" i="3"/>
  <c r="F116" i="3"/>
  <c r="F120" i="3"/>
  <c r="F124" i="3"/>
  <c r="F128" i="3"/>
  <c r="F132" i="3"/>
  <c r="F136" i="3"/>
  <c r="F140" i="3"/>
  <c r="F144" i="3"/>
  <c r="F148" i="3"/>
  <c r="F152" i="3"/>
  <c r="F156" i="3"/>
  <c r="F160" i="3"/>
  <c r="F164" i="3"/>
  <c r="F168" i="3"/>
  <c r="F172" i="3"/>
  <c r="F176" i="3"/>
  <c r="F180" i="3"/>
  <c r="F184" i="3"/>
  <c r="F188" i="3"/>
  <c r="F166" i="3"/>
  <c r="F182" i="3"/>
  <c r="F5" i="3"/>
  <c r="F9" i="3"/>
  <c r="F13" i="3"/>
  <c r="F17" i="3"/>
  <c r="F21" i="3"/>
  <c r="F25" i="3"/>
  <c r="F29" i="3"/>
  <c r="F33" i="3"/>
  <c r="F37" i="3"/>
  <c r="F41" i="3"/>
  <c r="F45" i="3"/>
  <c r="F49" i="3"/>
  <c r="F53" i="3"/>
  <c r="F57" i="3"/>
  <c r="F61" i="3"/>
  <c r="F65" i="3"/>
  <c r="F69" i="3"/>
  <c r="F73" i="3"/>
  <c r="F77" i="3"/>
  <c r="F81" i="3"/>
  <c r="F85" i="3"/>
  <c r="F89" i="3"/>
  <c r="F93" i="3"/>
  <c r="F97" i="3"/>
  <c r="F101" i="3"/>
  <c r="F105" i="3"/>
  <c r="F109" i="3"/>
  <c r="F113" i="3"/>
  <c r="F117" i="3"/>
  <c r="F121" i="3"/>
  <c r="F125" i="3"/>
  <c r="F129" i="3"/>
  <c r="F133" i="3"/>
  <c r="F137" i="3"/>
  <c r="F141" i="3"/>
  <c r="F145" i="3"/>
  <c r="F149" i="3"/>
  <c r="F153" i="3"/>
  <c r="F157" i="3"/>
  <c r="F161" i="3"/>
  <c r="F165" i="3"/>
  <c r="F169" i="3"/>
  <c r="F173" i="3"/>
  <c r="F177" i="3"/>
  <c r="F181" i="3"/>
  <c r="F185" i="3"/>
  <c r="F6" i="3"/>
  <c r="F10" i="3"/>
  <c r="F14" i="3"/>
  <c r="F18" i="3"/>
  <c r="F22" i="3"/>
  <c r="F26" i="3"/>
  <c r="F30" i="3"/>
  <c r="F34" i="3"/>
  <c r="F38" i="3"/>
  <c r="F42" i="3"/>
  <c r="F46" i="3"/>
  <c r="F50" i="3"/>
  <c r="F54" i="3"/>
  <c r="F58" i="3"/>
  <c r="F62" i="3"/>
  <c r="F66" i="3"/>
  <c r="F70" i="3"/>
  <c r="F74" i="3"/>
  <c r="F78" i="3"/>
  <c r="F82" i="3"/>
  <c r="F86" i="3"/>
  <c r="F90" i="3"/>
  <c r="F94" i="3"/>
  <c r="F98" i="3"/>
  <c r="F102" i="3"/>
  <c r="F106" i="3"/>
  <c r="F110" i="3"/>
  <c r="F114" i="3"/>
  <c r="F118" i="3"/>
  <c r="F122" i="3"/>
  <c r="F126" i="3"/>
  <c r="F130" i="3"/>
  <c r="F134" i="3"/>
  <c r="F138" i="3"/>
  <c r="F142" i="3"/>
  <c r="F146" i="3"/>
  <c r="F150" i="3"/>
  <c r="F154" i="3"/>
  <c r="F158" i="3"/>
  <c r="F162" i="3"/>
  <c r="F170" i="3"/>
  <c r="F178" i="3"/>
  <c r="F186" i="3"/>
  <c r="F2" i="3"/>
  <c r="I50" i="3"/>
  <c r="F1" i="10" l="1"/>
  <c r="G50" i="3"/>
  <c r="CZ6" i="8" l="1"/>
  <c r="C2" i="4" a="1"/>
  <c r="C2" i="4" s="1"/>
  <c r="C3" i="4" a="1"/>
  <c r="C3" i="4" s="1"/>
  <c r="C4" i="4" a="1"/>
  <c r="C4" i="4" s="1"/>
  <c r="C5" i="4" a="1"/>
  <c r="C5" i="4" s="1"/>
  <c r="C6" i="4" a="1"/>
  <c r="C6" i="4" s="1"/>
  <c r="C7" i="4" a="1"/>
  <c r="C7" i="4" s="1"/>
  <c r="C8" i="4" a="1"/>
  <c r="C8" i="4" s="1"/>
  <c r="C9" i="4" a="1"/>
  <c r="C9" i="4" s="1"/>
  <c r="C10" i="4" a="1"/>
  <c r="C10" i="4" s="1"/>
  <c r="C11" i="4" a="1"/>
  <c r="C11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C97" i="4" a="1"/>
  <c r="C97" i="4" s="1"/>
  <c r="C98" i="4" a="1"/>
  <c r="C98" i="4" s="1"/>
  <c r="C99" i="4" a="1"/>
  <c r="C99" i="4" s="1"/>
  <c r="C100" i="4" a="1"/>
  <c r="C100" i="4" s="1"/>
  <c r="C101" i="4" a="1"/>
  <c r="C101" i="4" s="1"/>
  <c r="C102" i="4" a="1"/>
  <c r="C102" i="4" s="1"/>
  <c r="C103" i="4" a="1"/>
  <c r="C103" i="4" s="1"/>
  <c r="C104" i="4" a="1"/>
  <c r="C104" i="4" s="1"/>
  <c r="C105" i="4" a="1"/>
  <c r="C105" i="4" s="1"/>
  <c r="C106" i="4" a="1"/>
  <c r="C106" i="4" s="1"/>
  <c r="C107" i="4" a="1"/>
  <c r="C107" i="4" s="1"/>
  <c r="C108" i="4" a="1"/>
  <c r="C108" i="4" s="1"/>
  <c r="C109" i="4" a="1"/>
  <c r="C109" i="4" s="1"/>
  <c r="C110" i="4" a="1"/>
  <c r="C110" i="4" s="1"/>
  <c r="C111" i="4" a="1"/>
  <c r="C111" i="4" s="1"/>
  <c r="C112" i="4" a="1"/>
  <c r="C112" i="4" s="1"/>
  <c r="C113" i="4" a="1"/>
  <c r="C113" i="4" s="1"/>
  <c r="C114" i="4" a="1"/>
  <c r="C114" i="4" s="1"/>
  <c r="C115" i="4" a="1"/>
  <c r="C115" i="4" s="1"/>
  <c r="C116" i="4" a="1"/>
  <c r="C116" i="4" s="1"/>
  <c r="C117" i="4" a="1"/>
  <c r="C117" i="4" s="1"/>
  <c r="C118" i="4" a="1"/>
  <c r="C118" i="4" s="1"/>
  <c r="C119" i="4" a="1"/>
  <c r="C119" i="4" s="1"/>
  <c r="C120" i="4" a="1"/>
  <c r="C120" i="4" s="1"/>
  <c r="C121" i="4" a="1"/>
  <c r="C121" i="4" s="1"/>
  <c r="C122" i="4" a="1"/>
  <c r="C122" i="4" s="1"/>
  <c r="C123" i="4" a="1"/>
  <c r="C123" i="4" s="1"/>
  <c r="C124" i="4" a="1"/>
  <c r="C124" i="4" s="1"/>
  <c r="C125" i="4" a="1"/>
  <c r="C125" i="4" s="1"/>
  <c r="C126" i="4" a="1"/>
  <c r="C126" i="4" s="1"/>
  <c r="C127" i="4" a="1"/>
  <c r="C127" i="4" s="1"/>
  <c r="C128" i="4" a="1"/>
  <c r="C128" i="4" s="1"/>
  <c r="C129" i="4" a="1"/>
  <c r="C129" i="4" s="1"/>
  <c r="C130" i="4" a="1"/>
  <c r="C130" i="4" s="1"/>
  <c r="C131" i="4" a="1"/>
  <c r="C131" i="4" s="1"/>
  <c r="C132" i="4" a="1"/>
  <c r="C132" i="4" s="1"/>
  <c r="C133" i="4" a="1"/>
  <c r="C133" i="4" s="1"/>
  <c r="C134" i="4" a="1"/>
  <c r="C134" i="4" s="1"/>
  <c r="C135" i="4" a="1"/>
  <c r="C135" i="4" s="1"/>
  <c r="C136" i="4" a="1"/>
  <c r="C136" i="4" s="1"/>
  <c r="C137" i="4" a="1"/>
  <c r="C137" i="4" s="1"/>
  <c r="C138" i="4" a="1"/>
  <c r="C138" i="4" s="1"/>
  <c r="C139" i="4" a="1"/>
  <c r="C139" i="4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I2" i="3"/>
  <c r="I6" i="3"/>
  <c r="I10" i="3"/>
  <c r="I14" i="3"/>
  <c r="I18" i="3"/>
  <c r="I22" i="3"/>
  <c r="I26" i="3"/>
  <c r="I30" i="3"/>
  <c r="I34" i="3"/>
  <c r="I38" i="3"/>
  <c r="I42" i="3"/>
  <c r="I46" i="3"/>
  <c r="I51" i="3"/>
  <c r="I55" i="3"/>
  <c r="I59" i="3"/>
  <c r="I63" i="3"/>
  <c r="I67" i="3"/>
  <c r="I71" i="3"/>
  <c r="I75" i="3"/>
  <c r="I79" i="3"/>
  <c r="I83" i="3"/>
  <c r="I87" i="3"/>
  <c r="I91" i="3"/>
  <c r="I95" i="3"/>
  <c r="I99" i="3"/>
  <c r="I103" i="3"/>
  <c r="I107" i="3"/>
  <c r="I111" i="3"/>
  <c r="I115" i="3"/>
  <c r="I119" i="3"/>
  <c r="I123" i="3"/>
  <c r="I127" i="3"/>
  <c r="I131" i="3"/>
  <c r="I135" i="3"/>
  <c r="I139" i="3"/>
  <c r="I143" i="3"/>
  <c r="I147" i="3"/>
  <c r="I151" i="3"/>
  <c r="I155" i="3"/>
  <c r="I159" i="3"/>
  <c r="I163" i="3"/>
  <c r="I167" i="3"/>
  <c r="I171" i="3"/>
  <c r="I175" i="3"/>
  <c r="I179" i="3"/>
  <c r="I183" i="3"/>
  <c r="I187" i="3"/>
  <c r="I140" i="3"/>
  <c r="I172" i="3"/>
  <c r="I184" i="3"/>
  <c r="I3" i="3"/>
  <c r="I7" i="3"/>
  <c r="I11" i="3"/>
  <c r="I15" i="3"/>
  <c r="I19" i="3"/>
  <c r="I23" i="3"/>
  <c r="I27" i="3"/>
  <c r="I31" i="3"/>
  <c r="I35" i="3"/>
  <c r="I39" i="3"/>
  <c r="I43" i="3"/>
  <c r="I47" i="3"/>
  <c r="I52" i="3"/>
  <c r="I56" i="3"/>
  <c r="I60" i="3"/>
  <c r="I64" i="3"/>
  <c r="I68" i="3"/>
  <c r="I72" i="3"/>
  <c r="I76" i="3"/>
  <c r="I80" i="3"/>
  <c r="I84" i="3"/>
  <c r="I88" i="3"/>
  <c r="I92" i="3"/>
  <c r="I96" i="3"/>
  <c r="I100" i="3"/>
  <c r="I104" i="3"/>
  <c r="I108" i="3"/>
  <c r="I112" i="3"/>
  <c r="I116" i="3"/>
  <c r="I120" i="3"/>
  <c r="I124" i="3"/>
  <c r="I128" i="3"/>
  <c r="I132" i="3"/>
  <c r="I144" i="3"/>
  <c r="I148" i="3"/>
  <c r="I152" i="3"/>
  <c r="I156" i="3"/>
  <c r="I160" i="3"/>
  <c r="I168" i="3"/>
  <c r="I188" i="3"/>
  <c r="I4" i="3"/>
  <c r="I8" i="3"/>
  <c r="I12" i="3"/>
  <c r="I16" i="3"/>
  <c r="I20" i="3"/>
  <c r="I24" i="3"/>
  <c r="I28" i="3"/>
  <c r="I32" i="3"/>
  <c r="I36" i="3"/>
  <c r="I40" i="3"/>
  <c r="I44" i="3"/>
  <c r="I48" i="3"/>
  <c r="I53" i="3"/>
  <c r="I57" i="3"/>
  <c r="I61" i="3"/>
  <c r="I65" i="3"/>
  <c r="I69" i="3"/>
  <c r="I73" i="3"/>
  <c r="I77" i="3"/>
  <c r="I81" i="3"/>
  <c r="I85" i="3"/>
  <c r="I89" i="3"/>
  <c r="I93" i="3"/>
  <c r="I97" i="3"/>
  <c r="I101" i="3"/>
  <c r="I105" i="3"/>
  <c r="I109" i="3"/>
  <c r="I113" i="3"/>
  <c r="I117" i="3"/>
  <c r="I121" i="3"/>
  <c r="I125" i="3"/>
  <c r="I129" i="3"/>
  <c r="I133" i="3"/>
  <c r="I137" i="3"/>
  <c r="I141" i="3"/>
  <c r="I145" i="3"/>
  <c r="I149" i="3"/>
  <c r="I153" i="3"/>
  <c r="I157" i="3"/>
  <c r="I161" i="3"/>
  <c r="I165" i="3"/>
  <c r="I169" i="3"/>
  <c r="I173" i="3"/>
  <c r="I177" i="3"/>
  <c r="I181" i="3"/>
  <c r="I185" i="3"/>
  <c r="I5" i="3"/>
  <c r="I9" i="3"/>
  <c r="I13" i="3"/>
  <c r="I17" i="3"/>
  <c r="I21" i="3"/>
  <c r="I25" i="3"/>
  <c r="I29" i="3"/>
  <c r="I33" i="3"/>
  <c r="I37" i="3"/>
  <c r="I41" i="3"/>
  <c r="I45" i="3"/>
  <c r="I49" i="3"/>
  <c r="I54" i="3"/>
  <c r="I58" i="3"/>
  <c r="I62" i="3"/>
  <c r="I66" i="3"/>
  <c r="I70" i="3"/>
  <c r="I74" i="3"/>
  <c r="I78" i="3"/>
  <c r="I82" i="3"/>
  <c r="I86" i="3"/>
  <c r="I90" i="3"/>
  <c r="I94" i="3"/>
  <c r="I98" i="3"/>
  <c r="I102" i="3"/>
  <c r="I106" i="3"/>
  <c r="I110" i="3"/>
  <c r="I114" i="3"/>
  <c r="I118" i="3"/>
  <c r="I122" i="3"/>
  <c r="I126" i="3"/>
  <c r="I130" i="3"/>
  <c r="I134" i="3"/>
  <c r="I138" i="3"/>
  <c r="I142" i="3"/>
  <c r="I146" i="3"/>
  <c r="I150" i="3"/>
  <c r="I154" i="3"/>
  <c r="I158" i="3"/>
  <c r="I162" i="3"/>
  <c r="I166" i="3"/>
  <c r="I170" i="3"/>
  <c r="I174" i="3"/>
  <c r="I178" i="3"/>
  <c r="I182" i="3"/>
  <c r="I186" i="3"/>
  <c r="I136" i="3"/>
  <c r="I164" i="3"/>
  <c r="I176" i="3"/>
  <c r="I180" i="3"/>
  <c r="G66" i="3" l="1"/>
  <c r="G62" i="3"/>
  <c r="G58" i="3"/>
  <c r="G54" i="3"/>
  <c r="G49" i="3"/>
  <c r="G45" i="3"/>
  <c r="G41" i="3"/>
  <c r="G37" i="3"/>
  <c r="G33" i="3"/>
  <c r="G29" i="3"/>
  <c r="G25" i="3"/>
  <c r="G21" i="3"/>
  <c r="G17" i="3"/>
  <c r="G13" i="3"/>
  <c r="G9" i="3"/>
  <c r="G5" i="3"/>
  <c r="G181" i="3"/>
  <c r="G173" i="3"/>
  <c r="G165" i="3"/>
  <c r="G185" i="3"/>
  <c r="G177" i="3"/>
  <c r="G169" i="3"/>
  <c r="G153" i="3"/>
  <c r="G141" i="3"/>
  <c r="G129" i="3"/>
  <c r="G121" i="3"/>
  <c r="G113" i="3"/>
  <c r="G105" i="3"/>
  <c r="G101" i="3"/>
  <c r="G97" i="3"/>
  <c r="G93" i="3"/>
  <c r="G89" i="3"/>
  <c r="G85" i="3"/>
  <c r="G81" i="3"/>
  <c r="G77" i="3"/>
  <c r="G73" i="3"/>
  <c r="G69" i="3"/>
  <c r="G65" i="3"/>
  <c r="G61" i="3"/>
  <c r="G57" i="3"/>
  <c r="G53" i="3"/>
  <c r="G48" i="3"/>
  <c r="G44" i="3"/>
  <c r="G40" i="3"/>
  <c r="G36" i="3"/>
  <c r="G32" i="3"/>
  <c r="G28" i="3"/>
  <c r="G24" i="3"/>
  <c r="G20" i="3"/>
  <c r="G16" i="3"/>
  <c r="G12" i="3"/>
  <c r="G8" i="3"/>
  <c r="G4" i="3"/>
  <c r="G188" i="3"/>
  <c r="G184" i="3"/>
  <c r="G180" i="3"/>
  <c r="G176" i="3"/>
  <c r="G172" i="3"/>
  <c r="G168" i="3"/>
  <c r="G164" i="3"/>
  <c r="G160" i="3"/>
  <c r="G156" i="3"/>
  <c r="G152" i="3"/>
  <c r="G148" i="3"/>
  <c r="G144" i="3"/>
  <c r="G140" i="3"/>
  <c r="G136" i="3"/>
  <c r="G132" i="3"/>
  <c r="G128" i="3"/>
  <c r="G124" i="3"/>
  <c r="G120" i="3"/>
  <c r="G116" i="3"/>
  <c r="G112" i="3"/>
  <c r="G108" i="3"/>
  <c r="G104" i="3"/>
  <c r="G100" i="3"/>
  <c r="G96" i="3"/>
  <c r="G92" i="3"/>
  <c r="G88" i="3"/>
  <c r="G84" i="3"/>
  <c r="G80" i="3"/>
  <c r="G76" i="3"/>
  <c r="G72" i="3"/>
  <c r="G68" i="3"/>
  <c r="G64" i="3"/>
  <c r="G60" i="3"/>
  <c r="G56" i="3"/>
  <c r="G52" i="3"/>
  <c r="G47" i="3"/>
  <c r="G43" i="3"/>
  <c r="G39" i="3"/>
  <c r="G35" i="3"/>
  <c r="G31" i="3"/>
  <c r="G27" i="3"/>
  <c r="G23" i="3"/>
  <c r="G19" i="3"/>
  <c r="G15" i="3"/>
  <c r="G11" i="3"/>
  <c r="G7" i="3"/>
  <c r="G161" i="3"/>
  <c r="G149" i="3"/>
  <c r="G133" i="3"/>
  <c r="G117" i="3"/>
  <c r="G187" i="3"/>
  <c r="G179" i="3"/>
  <c r="G167" i="3"/>
  <c r="G159" i="3"/>
  <c r="G151" i="3"/>
  <c r="G143" i="3"/>
  <c r="G131" i="3"/>
  <c r="G123" i="3"/>
  <c r="G115" i="3"/>
  <c r="G107" i="3"/>
  <c r="G99" i="3"/>
  <c r="G91" i="3"/>
  <c r="G83" i="3"/>
  <c r="G79" i="3"/>
  <c r="G75" i="3"/>
  <c r="G71" i="3"/>
  <c r="G67" i="3"/>
  <c r="G63" i="3"/>
  <c r="G59" i="3"/>
  <c r="G55" i="3"/>
  <c r="G51" i="3"/>
  <c r="G46" i="3"/>
  <c r="G42" i="3"/>
  <c r="G38" i="3"/>
  <c r="G34" i="3"/>
  <c r="G30" i="3"/>
  <c r="G26" i="3"/>
  <c r="G22" i="3"/>
  <c r="G18" i="3"/>
  <c r="G14" i="3"/>
  <c r="G10" i="3"/>
  <c r="G6" i="3"/>
  <c r="G157" i="3"/>
  <c r="G145" i="3"/>
  <c r="G137" i="3"/>
  <c r="G125" i="3"/>
  <c r="G109" i="3"/>
  <c r="G183" i="3"/>
  <c r="G175" i="3"/>
  <c r="G171" i="3"/>
  <c r="G163" i="3"/>
  <c r="G155" i="3"/>
  <c r="G147" i="3"/>
  <c r="G139" i="3"/>
  <c r="G135" i="3"/>
  <c r="G127" i="3"/>
  <c r="G119" i="3"/>
  <c r="G111" i="3"/>
  <c r="G103" i="3"/>
  <c r="G95" i="3"/>
  <c r="G87" i="3"/>
  <c r="G186" i="3"/>
  <c r="G182" i="3"/>
  <c r="G178" i="3"/>
  <c r="G174" i="3"/>
  <c r="G170" i="3"/>
  <c r="G166" i="3"/>
  <c r="G162" i="3"/>
  <c r="G158" i="3"/>
  <c r="G154" i="3"/>
  <c r="G150" i="3"/>
  <c r="G146" i="3"/>
  <c r="G142" i="3"/>
  <c r="G138" i="3"/>
  <c r="G134" i="3"/>
  <c r="G130" i="3"/>
  <c r="G126" i="3"/>
  <c r="G122" i="3"/>
  <c r="G118" i="3"/>
  <c r="G114" i="3"/>
  <c r="G110" i="3"/>
  <c r="G106" i="3"/>
  <c r="G102" i="3"/>
  <c r="G98" i="3"/>
  <c r="G94" i="3"/>
  <c r="G90" i="3"/>
  <c r="G86" i="3"/>
  <c r="G82" i="3"/>
  <c r="G78" i="3"/>
  <c r="G74" i="3"/>
  <c r="G70" i="3"/>
  <c r="G2" i="3"/>
  <c r="G3" i="3"/>
</calcChain>
</file>

<file path=xl/sharedStrings.xml><?xml version="1.0" encoding="utf-8"?>
<sst xmlns="http://schemas.openxmlformats.org/spreadsheetml/2006/main" count="10473" uniqueCount="3641">
  <si>
    <t>번호</t>
  </si>
  <si>
    <t>이름</t>
  </si>
  <si>
    <t>좌표</t>
  </si>
  <si>
    <t>아이디</t>
  </si>
  <si>
    <t>비밀번호</t>
  </si>
  <si>
    <t>등급</t>
  </si>
  <si>
    <t>A001</t>
  </si>
  <si>
    <t>강동원</t>
  </si>
  <si>
    <t>0,0</t>
  </si>
  <si>
    <t>user01</t>
  </si>
  <si>
    <t>user01!</t>
  </si>
  <si>
    <t>A002</t>
  </si>
  <si>
    <t>강해효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</si>
  <si>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</si>
  <si>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</si>
  <si>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</si>
  <si>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</si>
  <si>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</si>
  <si>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</si>
  <si>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</si>
  <si>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</si>
  <si>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</si>
  <si>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</si>
  <si>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</si>
  <si>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</si>
  <si>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</si>
  <si>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</si>
  <si>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</si>
  <si>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</si>
  <si>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</si>
  <si>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</si>
  <si>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</si>
  <si>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</si>
  <si>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</si>
  <si>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</si>
  <si>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</si>
  <si>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</si>
  <si>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</si>
  <si>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</si>
  <si>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</si>
  <si>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</si>
  <si>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</si>
  <si>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</si>
  <si>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</si>
  <si>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</si>
  <si>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</si>
  <si>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</si>
  <si>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</si>
  <si>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</si>
  <si>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</si>
  <si>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</si>
  <si>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</si>
  <si>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</si>
  <si>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</si>
  <si>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</si>
  <si>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</si>
  <si>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</si>
  <si>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</si>
  <si>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</si>
  <si>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</si>
  <si>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</si>
  <si>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</si>
  <si>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</si>
  <si>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</si>
  <si>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</si>
  <si>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</si>
  <si>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</si>
  <si>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</si>
  <si>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</si>
  <si>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</si>
  <si>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</si>
  <si>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</si>
  <si>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</si>
  <si>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</si>
  <si>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</si>
  <si>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</si>
  <si>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</si>
  <si>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</si>
  <si>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</si>
  <si>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</si>
  <si>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</si>
  <si>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</si>
  <si>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</si>
  <si>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</si>
  <si>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</si>
  <si>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</si>
  <si>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</si>
  <si>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</si>
  <si>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</si>
  <si>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</si>
  <si>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</si>
  <si>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</si>
  <si>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</si>
  <si>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</si>
  <si>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</si>
  <si>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</si>
  <si>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</si>
  <si>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</si>
  <si>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</si>
  <si>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</si>
  <si>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</si>
  <si>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</si>
  <si>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</si>
  <si>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</si>
  <si>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</si>
  <si>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</si>
  <si>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</si>
  <si>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</si>
  <si>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</si>
  <si>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</si>
  <si>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</si>
  <si>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</si>
  <si>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</si>
  <si>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</si>
  <si>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</si>
  <si>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</si>
  <si>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</si>
  <si>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</si>
  <si>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</si>
  <si>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</si>
  <si>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</si>
  <si>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</si>
  <si>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</si>
  <si>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</si>
  <si>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</si>
  <si>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</si>
  <si>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</si>
  <si>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</si>
  <si>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</si>
  <si>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</si>
  <si>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</si>
  <si>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</si>
  <si>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</si>
  <si>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</si>
  <si>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</si>
  <si>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</si>
  <si>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</si>
  <si>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</si>
  <si>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</si>
  <si>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</si>
  <si>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</si>
  <si>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</si>
  <si>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</si>
  <si>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</si>
  <si>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</si>
  <si>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</si>
  <si>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</si>
  <si>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</si>
  <si>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</si>
  <si>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</si>
  <si>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</si>
  <si>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</si>
  <si>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</si>
  <si>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</si>
  <si>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</si>
  <si>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</si>
  <si>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</si>
  <si>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</si>
  <si>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</si>
  <si>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</si>
  <si>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</si>
  <si>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</si>
  <si>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</si>
  <si>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</si>
  <si>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</si>
  <si>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</si>
  <si>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</si>
  <si>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</si>
  <si>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</si>
  <si>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</si>
  <si>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</si>
  <si>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</si>
  <si>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</si>
  <si>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</si>
  <si>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</si>
  <si>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</si>
  <si>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</si>
  <si>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</si>
  <si>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</si>
  <si>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</si>
  <si>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</si>
  <si>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</si>
  <si>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</si>
  <si>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</si>
  <si>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</si>
  <si>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</si>
  <si>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</si>
  <si>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</si>
  <si>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</si>
  <si>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</si>
  <si>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</si>
  <si>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</si>
  <si>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</si>
  <si>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</si>
  <si>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</si>
  <si>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</si>
  <si>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</si>
  <si>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</si>
  <si>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</si>
  <si>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</si>
  <si>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</si>
  <si>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</si>
  <si>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</si>
  <si>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</si>
  <si>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</si>
  <si>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</si>
  <si>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</si>
  <si>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</si>
  <si>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</si>
  <si>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</si>
  <si>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</si>
  <si>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</si>
  <si>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</si>
  <si>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</si>
  <si>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</si>
  <si>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</si>
  <si>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</si>
  <si>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</si>
  <si>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</si>
  <si>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</si>
  <si>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</si>
  <si>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</si>
  <si>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</si>
  <si>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</si>
  <si>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</si>
  <si>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</si>
  <si>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</si>
  <si>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</si>
  <si>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</si>
  <si>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</si>
  <si>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</si>
  <si>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</si>
  <si>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</si>
  <si>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</si>
  <si>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</si>
  <si>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</si>
  <si>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</si>
  <si>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</si>
  <si>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</si>
  <si>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</si>
  <si>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</si>
  <si>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</si>
  <si>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</si>
  <si>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</si>
  <si>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</si>
  <si>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</si>
  <si>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</si>
  <si>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</si>
  <si>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</si>
  <si>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</si>
  <si>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</si>
  <si>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</si>
  <si>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</si>
  <si>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</si>
  <si>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</si>
  <si>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</si>
  <si>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</si>
  <si>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</si>
  <si>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</si>
  <si>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</si>
  <si>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</si>
  <si>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</si>
  <si>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</si>
  <si>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</si>
  <si>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</si>
  <si>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</si>
  <si>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</si>
  <si>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</si>
  <si>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</si>
  <si>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</si>
  <si>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</si>
  <si>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</si>
  <si>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</si>
  <si>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</si>
  <si>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</si>
  <si>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</si>
  <si>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</si>
  <si>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</si>
  <si>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</si>
  <si>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</si>
  <si>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</si>
  <si>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</si>
  <si>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</si>
  <si>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</si>
  <si>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</si>
  <si>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</si>
  <si>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</si>
  <si>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</si>
  <si>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</si>
  <si>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</si>
  <si>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</si>
  <si>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</si>
  <si>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</si>
  <si>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</si>
  <si>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</si>
  <si>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</si>
  <si>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</si>
  <si>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</si>
  <si>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</si>
  <si>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</si>
  <si>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</si>
  <si>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</si>
  <si>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</si>
  <si>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</si>
  <si>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</si>
  <si>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</si>
  <si>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21,0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</si>
  <si>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</si>
  <si>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</si>
  <si>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</si>
  <si>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</si>
  <si>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</si>
  <si>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</si>
  <si>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</si>
  <si>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</si>
  <si>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</si>
  <si>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</si>
  <si>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</si>
  <si>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</si>
  <si>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</si>
  <si>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</si>
  <si>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</si>
  <si>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</si>
  <si>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</si>
  <si>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</si>
  <si>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</si>
  <si>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</si>
  <si>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</si>
  <si>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</si>
  <si>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</si>
  <si>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</si>
  <si>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</si>
  <si>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</si>
  <si>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</si>
  <si>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</si>
  <si>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</si>
  <si>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</si>
  <si>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</si>
  <si>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</si>
  <si>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</si>
  <si>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</si>
  <si>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</si>
  <si>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</si>
  <si>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</si>
  <si>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</si>
  <si>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</si>
  <si>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</si>
  <si>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</si>
  <si>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</si>
  <si>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</si>
  <si>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</si>
  <si>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</si>
  <si>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</si>
  <si>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</si>
  <si>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</si>
  <si>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</si>
  <si>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</si>
  <si>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</si>
  <si>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</si>
  <si>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</si>
  <si>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</si>
  <si>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</si>
  <si>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</si>
  <si>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</si>
  <si>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</si>
  <si>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</si>
  <si>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</si>
  <si>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</si>
  <si>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</si>
  <si>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</si>
  <si>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</si>
  <si>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</si>
  <si>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</si>
  <si>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</si>
  <si>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</si>
  <si>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</si>
  <si>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</si>
  <si>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</si>
  <si>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</si>
  <si>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</si>
  <si>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</si>
  <si>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</si>
  <si>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</si>
  <si>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</si>
  <si>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</si>
  <si>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</si>
  <si>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</si>
  <si>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</si>
  <si>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</si>
  <si>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</si>
  <si>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</si>
  <si>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</si>
  <si>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</si>
  <si>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</si>
  <si>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</si>
  <si>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</si>
  <si>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</si>
  <si>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</si>
  <si>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</si>
  <si>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</si>
  <si>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</si>
  <si>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</si>
  <si>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</si>
  <si>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</si>
  <si>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</si>
  <si>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</si>
  <si>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</si>
  <si>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</si>
  <si>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</si>
  <si>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</si>
  <si>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</si>
  <si>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</si>
  <si>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</si>
  <si>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</si>
  <si>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</si>
  <si>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</si>
  <si>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</si>
  <si>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</si>
  <si>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</si>
  <si>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</si>
  <si>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</si>
  <si>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</si>
  <si>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</si>
  <si>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</si>
  <si>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</si>
  <si>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</si>
  <si>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</si>
  <si>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</si>
  <si>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</si>
  <si>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</si>
  <si>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</si>
  <si>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</si>
  <si>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</si>
  <si>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</si>
  <si>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</si>
  <si>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</si>
  <si>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</si>
  <si>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</si>
  <si>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</si>
  <si>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</si>
  <si>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</si>
  <si>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</si>
  <si>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</si>
  <si>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</si>
  <si>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</si>
  <si>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</si>
  <si>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</si>
  <si>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</si>
  <si>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</si>
  <si>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</si>
  <si>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</si>
  <si>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</si>
  <si>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</si>
  <si>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</si>
  <si>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</si>
  <si>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</si>
  <si>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</si>
  <si>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</si>
  <si>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</si>
  <si>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</si>
  <si>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</si>
  <si>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</si>
  <si>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</si>
  <si>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</si>
  <si>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</si>
  <si>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</si>
  <si>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</si>
  <si>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</si>
  <si>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</si>
  <si>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</si>
  <si>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</si>
  <si>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</si>
  <si>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</si>
  <si>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</si>
  <si>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</si>
  <si>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</si>
  <si>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</si>
  <si>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</si>
  <si>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</si>
  <si>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</si>
  <si>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</si>
  <si>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</si>
  <si>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</si>
  <si>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</si>
  <si>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</si>
  <si>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</si>
  <si>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</si>
  <si>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</si>
  <si>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</si>
  <si>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</si>
  <si>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</si>
  <si>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</si>
  <si>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</si>
  <si>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</si>
  <si>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</si>
  <si>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</si>
  <si>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</si>
  <si>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</si>
  <si>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</si>
  <si>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</si>
  <si>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</si>
  <si>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</si>
  <si>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</si>
  <si>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</si>
  <si>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</si>
  <si>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</si>
  <si>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</si>
  <si>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</si>
  <si>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</si>
  <si>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</si>
  <si>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</si>
  <si>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</si>
  <si>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</si>
  <si>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</si>
  <si>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</si>
  <si>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</si>
  <si>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</si>
  <si>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</si>
  <si>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</si>
  <si>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</si>
  <si>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</si>
  <si>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</si>
  <si>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</si>
  <si>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</si>
  <si>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</si>
  <si>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</si>
  <si>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</si>
  <si>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</si>
  <si>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</si>
  <si>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</si>
  <si>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</si>
  <si>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</si>
  <si>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</si>
  <si>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</si>
  <si>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</si>
  <si>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</si>
  <si>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</si>
  <si>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</si>
  <si>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</si>
  <si>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</si>
  <si>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</si>
  <si>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</si>
  <si>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</si>
  <si>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</si>
  <si>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</si>
  <si>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</si>
  <si>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</si>
  <si>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</si>
  <si>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</si>
  <si>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</si>
  <si>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</si>
  <si>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</si>
  <si>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</si>
  <si>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</si>
  <si>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</si>
  <si>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</si>
  <si>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</si>
  <si>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</si>
  <si>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</si>
  <si>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</si>
  <si>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</si>
  <si>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</si>
  <si>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</si>
  <si>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</si>
  <si>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</si>
  <si>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</si>
  <si>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</si>
  <si>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</si>
  <si>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</si>
  <si>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</si>
  <si>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</si>
  <si>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</si>
  <si>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</si>
  <si>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</si>
  <si>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</si>
  <si>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</si>
  <si>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</si>
  <si>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</si>
  <si>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</si>
  <si>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</si>
  <si>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</si>
  <si>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</si>
  <si>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</si>
  <si>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</si>
  <si>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</si>
  <si>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</si>
  <si>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</si>
  <si>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</si>
  <si>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</si>
  <si>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</si>
  <si>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</si>
  <si>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</si>
  <si>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</si>
  <si>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</si>
  <si>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</si>
  <si>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</si>
  <si>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</si>
  <si>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</si>
  <si>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</si>
  <si>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</si>
  <si>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</si>
  <si>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</si>
  <si>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</si>
  <si>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</si>
  <si>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</si>
  <si>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</si>
  <si>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</si>
  <si>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</si>
  <si>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</si>
  <si>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</si>
  <si>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</si>
  <si>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</si>
  <si>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</si>
  <si>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</si>
  <si>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</si>
  <si>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</si>
  <si>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</si>
  <si>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</si>
  <si>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</si>
  <si>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</si>
  <si>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</si>
  <si>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</si>
  <si>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</si>
  <si>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</si>
  <si>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</si>
  <si>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</si>
  <si>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</si>
  <si>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</si>
  <si>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</si>
  <si>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</si>
  <si>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</si>
  <si>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</si>
  <si>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</si>
  <si>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</si>
  <si>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</si>
  <si>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</si>
  <si>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</si>
  <si>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</si>
  <si>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</si>
  <si>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</si>
  <si>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</si>
  <si>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</si>
  <si>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</si>
  <si>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</si>
  <si>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</si>
  <si>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</si>
  <si>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</si>
  <si>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</si>
  <si>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</si>
  <si>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</si>
  <si>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</si>
  <si>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</si>
  <si>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</si>
  <si>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</si>
  <si>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</si>
  <si>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</si>
  <si>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</si>
  <si>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</si>
  <si>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</si>
  <si>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</si>
  <si>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</si>
  <si>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</si>
  <si>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</si>
  <si>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</si>
  <si>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</si>
  <si>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</si>
  <si>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</si>
  <si>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</si>
  <si>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</si>
  <si>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</si>
  <si>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</si>
  <si>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</si>
  <si>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</si>
  <si>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</si>
  <si>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</si>
  <si>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</si>
  <si>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</si>
  <si>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</si>
  <si>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</si>
  <si>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</si>
  <si>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</si>
  <si>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</si>
  <si>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</si>
  <si>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</si>
  <si>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</si>
  <si>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</si>
  <si>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</si>
  <si>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</si>
  <si>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</si>
  <si>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</si>
  <si>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</si>
  <si>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</si>
  <si>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</si>
  <si>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</si>
  <si>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</si>
  <si>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</si>
  <si>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</si>
  <si>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</si>
  <si>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</si>
  <si>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</si>
  <si>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</si>
  <si>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</si>
  <si>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</si>
  <si>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</si>
  <si>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</si>
  <si>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</si>
  <si>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</si>
  <si>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</si>
  <si>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</si>
  <si>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</si>
  <si>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</si>
  <si>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</si>
  <si>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</si>
  <si>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</si>
  <si>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</si>
  <si>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</si>
  <si>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</si>
  <si>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</si>
  <si>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</si>
  <si>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</si>
  <si>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</si>
  <si>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</si>
  <si>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</si>
  <si>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</si>
  <si>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</si>
  <si>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</si>
  <si>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</si>
  <si>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</si>
  <si>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</si>
  <si>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</si>
  <si>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</si>
  <si>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</si>
  <si>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</si>
  <si>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</si>
  <si>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</si>
  <si>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</si>
  <si>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</si>
  <si>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</si>
  <si>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</si>
  <si>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</si>
  <si>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</si>
  <si>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</si>
  <si>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</si>
  <si>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</si>
  <si>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</si>
  <si>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</si>
  <si>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</si>
  <si>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</si>
  <si>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</si>
  <si>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</si>
  <si>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</si>
  <si>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</si>
  <si>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</si>
  <si>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</si>
  <si>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</si>
  <si>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</si>
  <si>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</si>
  <si>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</si>
  <si>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</si>
  <si>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</si>
  <si>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</si>
  <si>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</si>
  <si>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</si>
  <si>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</si>
  <si>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</si>
  <si>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</si>
  <si>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</si>
  <si>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</si>
  <si>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</si>
  <si>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</si>
  <si>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</si>
  <si>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</si>
  <si>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</si>
  <si>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</si>
  <si>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</si>
  <si>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</si>
  <si>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</si>
  <si>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</si>
  <si>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</si>
  <si>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</si>
  <si>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</si>
  <si>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</si>
  <si>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</si>
  <si>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</si>
  <si>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</si>
  <si>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</si>
  <si>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</si>
  <si>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</si>
  <si>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</si>
  <si>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</si>
  <si>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</si>
  <si>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</si>
  <si>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</si>
  <si>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</si>
  <si>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</si>
  <si>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</si>
  <si>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</si>
  <si>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</si>
  <si>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</si>
  <si>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</si>
  <si>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</si>
  <si>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</si>
  <si>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</si>
  <si>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</si>
  <si>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</si>
  <si>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</si>
  <si>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</si>
  <si>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</si>
  <si>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</si>
  <si>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</si>
  <si>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</si>
  <si>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</si>
  <si>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</si>
  <si>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</si>
  <si>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</si>
  <si>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</si>
  <si>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</si>
  <si>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</si>
  <si>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</si>
  <si>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</si>
  <si>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</si>
  <si>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</si>
  <si>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</si>
  <si>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</si>
  <si>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</si>
  <si>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</si>
  <si>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</si>
  <si>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</si>
  <si>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</si>
  <si>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</si>
  <si>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</si>
  <si>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</si>
  <si>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</si>
  <si>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</si>
  <si>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</si>
  <si>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</si>
  <si>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</si>
  <si>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</si>
  <si>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</si>
  <si>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</si>
  <si>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</si>
  <si>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</si>
  <si>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</si>
  <si>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</si>
  <si>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</si>
  <si>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</si>
  <si>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</si>
  <si>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</si>
  <si>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</si>
  <si>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</si>
  <si>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</si>
  <si>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</si>
  <si>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</si>
  <si>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</si>
  <si>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</si>
  <si>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</si>
  <si>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</si>
  <si>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</si>
  <si>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</si>
  <si>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</si>
  <si>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</si>
  <si>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</si>
  <si>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</si>
  <si>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</si>
  <si>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</si>
  <si>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</si>
  <si>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</si>
  <si>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</si>
  <si>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</si>
  <si>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</si>
  <si>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</si>
  <si>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</si>
  <si>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</si>
  <si>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</si>
  <si>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</si>
  <si>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</si>
  <si>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</si>
  <si>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</si>
  <si>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</si>
  <si>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</si>
  <si>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</si>
  <si>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</si>
  <si>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</si>
  <si>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</si>
  <si>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</si>
  <si>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</si>
  <si>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</si>
  <si>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</si>
  <si>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</si>
  <si>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</si>
  <si>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</si>
  <si>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</si>
  <si>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</si>
  <si>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</si>
  <si>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</si>
  <si>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</si>
  <si>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</si>
  <si>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</si>
  <si>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</si>
  <si>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</si>
  <si>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</si>
  <si>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</si>
  <si>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</si>
  <si>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</si>
  <si>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</si>
  <si>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</si>
  <si>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</si>
  <si>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</si>
  <si>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</si>
  <si>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</si>
  <si>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</si>
  <si>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</si>
  <si>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</si>
  <si>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</si>
  <si>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</si>
  <si>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</si>
  <si>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</si>
  <si>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</si>
  <si>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</si>
  <si>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</si>
  <si>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</si>
  <si>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</si>
  <si>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</si>
  <si>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</si>
  <si>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</si>
  <si>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</si>
  <si>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</si>
  <si>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</si>
  <si>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</si>
  <si>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</si>
  <si>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</si>
  <si>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</si>
  <si>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</si>
  <si>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</si>
  <si>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</si>
  <si>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</si>
  <si>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</si>
  <si>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</si>
  <si>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</si>
  <si>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</si>
  <si>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</si>
  <si>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</si>
  <si>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</si>
  <si>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</si>
  <si>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</si>
  <si>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</si>
  <si>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</si>
  <si>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</si>
  <si>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</si>
  <si>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</si>
  <si>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</si>
  <si>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</si>
  <si>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</si>
  <si>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</si>
  <si>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</si>
  <si>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</si>
  <si>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</si>
  <si>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</si>
  <si>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</si>
  <si>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</si>
  <si>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</si>
  <si>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</si>
  <si>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</si>
  <si>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</si>
  <si>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</si>
  <si>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</si>
  <si>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</si>
  <si>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</si>
  <si>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</si>
  <si>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</si>
  <si>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</si>
  <si>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</si>
  <si>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</si>
  <si>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</si>
  <si>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</si>
  <si>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</si>
  <si>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</si>
  <si>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</si>
  <si>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</si>
  <si>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</si>
  <si>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</si>
  <si>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</si>
  <si>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</si>
  <si>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</si>
  <si>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</si>
  <si>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</si>
  <si>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</si>
  <si>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</si>
  <si>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</si>
  <si>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</si>
  <si>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</si>
  <si>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</si>
  <si>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</si>
  <si>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</si>
  <si>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</si>
  <si>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</si>
  <si>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</si>
  <si>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</si>
  <si>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</si>
  <si>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</si>
  <si>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</si>
  <si>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</si>
  <si>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</si>
  <si>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</si>
  <si>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</si>
  <si>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</si>
  <si>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</si>
  <si>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</si>
  <si>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</si>
  <si>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</si>
  <si>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</si>
  <si>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</si>
  <si>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</si>
  <si>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</si>
  <si>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</si>
  <si>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</si>
  <si>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</si>
  <si>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</si>
  <si>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</si>
  <si>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</si>
  <si>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</si>
  <si>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</si>
  <si>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</si>
  <si>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</si>
  <si>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</si>
  <si>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</si>
  <si>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</si>
  <si>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</si>
  <si>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</si>
  <si>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</si>
  <si>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</si>
  <si>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</si>
  <si>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</si>
  <si>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</si>
  <si>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</si>
  <si>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</si>
  <si>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</si>
  <si>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</si>
  <si>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</si>
  <si>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</si>
  <si>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</si>
  <si>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</si>
  <si>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</si>
  <si>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</si>
  <si>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</si>
  <si>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</si>
  <si>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</si>
  <si>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</si>
  <si>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</si>
  <si>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</si>
  <si>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</si>
  <si>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</si>
  <si>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</si>
  <si>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</si>
  <si>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</si>
  <si>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</si>
  <si>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</si>
  <si>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</si>
  <si>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</si>
  <si>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</si>
  <si>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</si>
  <si>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</si>
  <si>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</si>
  <si>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</si>
  <si>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</si>
  <si>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</si>
  <si>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</si>
  <si>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</si>
  <si>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</si>
  <si>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</si>
  <si>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</si>
  <si>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</si>
  <si>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</si>
  <si>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</si>
  <si>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</si>
  <si>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</si>
  <si>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</si>
  <si>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</si>
  <si>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</si>
  <si>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</si>
  <si>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</si>
  <si>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</si>
  <si>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</si>
  <si>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</si>
  <si>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</si>
  <si>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</si>
  <si>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</si>
  <si>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</si>
  <si>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</si>
  <si>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</si>
  <si>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</si>
  <si>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</si>
  <si>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</si>
  <si>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</si>
  <si>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</si>
  <si>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</si>
  <si>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</si>
  <si>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</si>
  <si>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</si>
  <si>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</si>
  <si>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</si>
  <si>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</si>
  <si>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</si>
  <si>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</si>
  <si>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</si>
  <si>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</si>
  <si>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</si>
  <si>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</si>
  <si>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</si>
  <si>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</si>
  <si>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</si>
  <si>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</si>
  <si>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</si>
  <si>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</si>
  <si>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</si>
  <si>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</si>
  <si>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</si>
  <si>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</si>
  <si>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</si>
  <si>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</si>
  <si>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</si>
  <si>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</si>
  <si>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</si>
  <si>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</si>
  <si>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60,54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</si>
  <si>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</si>
  <si>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</si>
  <si>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</si>
  <si>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</si>
  <si>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</si>
  <si>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</si>
  <si>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</si>
  <si>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</si>
  <si>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</si>
  <si>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</si>
  <si>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</si>
  <si>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</si>
  <si>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</si>
  <si>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</si>
  <si>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</si>
  <si>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</si>
  <si>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</si>
  <si>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</si>
  <si>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</si>
  <si>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</si>
  <si>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</si>
  <si>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</si>
  <si>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</si>
  <si>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</si>
  <si>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</si>
  <si>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</si>
  <si>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</si>
  <si>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</si>
  <si>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</si>
  <si>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</si>
  <si>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</si>
  <si>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</si>
  <si>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</si>
  <si>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</si>
  <si>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</si>
  <si>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</si>
  <si>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</si>
  <si>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</si>
  <si>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</si>
  <si>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</si>
  <si>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</si>
  <si>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</si>
  <si>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</si>
  <si>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</si>
  <si>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</si>
  <si>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</si>
  <si>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</si>
  <si>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</si>
  <si>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</si>
  <si>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</si>
  <si>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</si>
  <si>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</si>
  <si>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</si>
  <si>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</si>
  <si>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</si>
  <si>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</si>
  <si>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</si>
  <si>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</si>
  <si>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</si>
  <si>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</si>
  <si>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</si>
  <si>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</si>
  <si>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</si>
  <si>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</si>
  <si>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</si>
  <si>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</si>
  <si>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</si>
  <si>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</si>
  <si>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</si>
  <si>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</si>
  <si>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</si>
  <si>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</si>
  <si>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</si>
  <si>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</si>
  <si>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</si>
  <si>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</si>
  <si>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</si>
  <si>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</si>
  <si>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</si>
  <si>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</si>
  <si>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</si>
  <si>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</si>
  <si>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</si>
  <si>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</si>
  <si>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</si>
  <si>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</si>
  <si>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</si>
  <si>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</si>
  <si>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</si>
  <si>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</si>
  <si>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</si>
  <si>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</si>
  <si>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</si>
  <si>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</si>
  <si>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</si>
  <si>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</si>
  <si>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</si>
  <si>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</si>
  <si>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</si>
  <si>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</si>
  <si>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</si>
  <si>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</si>
  <si>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</si>
  <si>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</si>
  <si>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</si>
  <si>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</si>
  <si>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</si>
  <si>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</si>
  <si>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</si>
  <si>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</si>
  <si>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</si>
  <si>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</si>
  <si>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</si>
  <si>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</si>
  <si>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</si>
  <si>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</si>
  <si>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</si>
  <si>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</si>
  <si>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</si>
  <si>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</si>
  <si>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</si>
  <si>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</si>
  <si>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</si>
  <si>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</si>
  <si>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</si>
  <si>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</si>
  <si>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</si>
  <si>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</si>
  <si>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</si>
  <si>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</si>
  <si>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</si>
  <si>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</si>
  <si>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</si>
  <si>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</si>
  <si>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</si>
  <si>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</si>
  <si>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</si>
  <si>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</si>
  <si>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</si>
  <si>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</si>
  <si>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</si>
  <si>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</si>
  <si>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</si>
  <si>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</si>
  <si>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</si>
  <si>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</si>
  <si>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</si>
  <si>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</si>
  <si>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</si>
  <si>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</si>
  <si>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</si>
  <si>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</si>
  <si>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</si>
  <si>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</si>
  <si>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</si>
  <si>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</si>
  <si>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</si>
  <si>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</si>
  <si>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</si>
  <si>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</si>
  <si>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</si>
  <si>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</si>
  <si>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</si>
  <si>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</si>
  <si>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</si>
  <si>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</si>
  <si>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</si>
  <si>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</si>
  <si>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</si>
  <si>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</si>
  <si>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</si>
  <si>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</si>
  <si>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</si>
  <si>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</si>
  <si>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</si>
  <si>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</si>
  <si>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</si>
  <si>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</si>
  <si>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</si>
  <si>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</si>
  <si>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</si>
  <si>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</si>
  <si>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</si>
  <si>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</si>
  <si>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</si>
  <si>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</si>
  <si>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</si>
  <si>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</si>
  <si>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</si>
  <si>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</si>
  <si>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</si>
  <si>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</si>
  <si>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</si>
  <si>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</si>
  <si>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</si>
  <si>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</si>
  <si>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</si>
  <si>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</si>
  <si>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</si>
  <si>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</si>
  <si>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</si>
  <si>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</si>
  <si>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</si>
  <si>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</si>
  <si>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</si>
  <si>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</si>
  <si>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</si>
  <si>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</si>
  <si>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</si>
  <si>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</si>
  <si>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</si>
  <si>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</si>
  <si>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</si>
  <si>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</si>
  <si>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</si>
  <si>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</si>
  <si>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</si>
  <si>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</si>
  <si>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</si>
  <si>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</si>
  <si>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</si>
  <si>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</si>
  <si>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</si>
  <si>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</si>
  <si>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</si>
  <si>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</si>
  <si>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</si>
  <si>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</si>
  <si>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</si>
  <si>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</si>
  <si>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</si>
  <si>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</si>
  <si>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</si>
  <si>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</si>
  <si>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</si>
  <si>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</si>
  <si>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</si>
  <si>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</si>
  <si>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</si>
  <si>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</si>
  <si>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</si>
  <si>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</si>
  <si>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</si>
  <si>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</si>
  <si>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</si>
  <si>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</si>
  <si>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</si>
  <si>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</si>
  <si>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</si>
  <si>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</si>
  <si>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</si>
  <si>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</si>
  <si>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</si>
  <si>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</si>
  <si>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</si>
  <si>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</si>
  <si>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</si>
  <si>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</si>
  <si>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</si>
  <si>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</si>
  <si>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</si>
  <si>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</si>
  <si>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</si>
  <si>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</si>
  <si>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</si>
  <si>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</si>
  <si>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</si>
  <si>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</si>
  <si>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</si>
  <si>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</si>
  <si>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</si>
  <si>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</si>
  <si>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</si>
  <si>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</si>
  <si>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</si>
  <si>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</si>
  <si>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</si>
  <si>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</si>
  <si>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</si>
  <si>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</si>
  <si>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</si>
  <si>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</si>
  <si>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</si>
  <si>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</si>
  <si>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</si>
  <si>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</si>
  <si>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</si>
  <si>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</si>
  <si>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</si>
  <si>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</si>
  <si>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</si>
  <si>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</si>
  <si>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</si>
  <si>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</si>
  <si>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</si>
  <si>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</si>
  <si>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</si>
  <si>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</si>
  <si>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</si>
  <si>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</si>
  <si>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</si>
  <si>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</si>
  <si>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</si>
  <si>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</si>
  <si>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</si>
  <si>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</si>
  <si>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</si>
  <si>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</si>
  <si>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</si>
  <si>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</si>
  <si>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</si>
  <si>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</si>
  <si>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</si>
  <si>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</si>
  <si>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</si>
  <si>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</si>
  <si>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</si>
  <si>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</si>
  <si>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</si>
  <si>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</si>
  <si>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</si>
  <si>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</si>
  <si>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</si>
  <si>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</si>
  <si>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</si>
  <si>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</si>
  <si>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</si>
  <si>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</si>
  <si>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</si>
  <si>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</si>
  <si>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</si>
  <si>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</si>
  <si>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</si>
  <si>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</si>
  <si>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</si>
  <si>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</si>
  <si>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</si>
  <si>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</si>
  <si>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</si>
  <si>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</si>
  <si>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</si>
  <si>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</si>
  <si>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</si>
  <si>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</si>
  <si>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</si>
  <si>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</si>
  <si>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</si>
  <si>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</si>
  <si>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</si>
  <si>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</si>
  <si>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</si>
  <si>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</si>
  <si>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</si>
  <si>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</si>
  <si>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</si>
  <si>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</si>
  <si>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</si>
  <si>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</si>
  <si>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</si>
  <si>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</si>
  <si>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</si>
  <si>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</si>
  <si>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</si>
  <si>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</si>
  <si>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</si>
  <si>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</si>
  <si>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</si>
  <si>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</si>
  <si>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</si>
  <si>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</si>
  <si>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</si>
  <si>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</si>
  <si>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</si>
  <si>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</si>
  <si>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</si>
  <si>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</si>
  <si>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</si>
  <si>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</si>
  <si>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</si>
  <si>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</si>
  <si>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</si>
  <si>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</si>
  <si>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</si>
  <si>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</si>
  <si>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</si>
  <si>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</si>
  <si>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</si>
  <si>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</si>
  <si>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</si>
  <si>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</si>
  <si>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</si>
  <si>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</si>
  <si>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</si>
  <si>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</si>
  <si>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</si>
  <si>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</si>
  <si>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</si>
  <si>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</si>
  <si>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</si>
  <si>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</si>
  <si>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</si>
  <si>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</si>
  <si>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</si>
  <si>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</si>
  <si>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</si>
  <si>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</si>
  <si>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</si>
  <si>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</si>
  <si>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</si>
  <si>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</si>
  <si>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</si>
  <si>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</si>
  <si>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</si>
  <si>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</si>
  <si>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</si>
  <si>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</si>
  <si>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</si>
  <si>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</si>
  <si>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</si>
  <si>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</si>
  <si>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</si>
  <si>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</si>
  <si>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</si>
  <si>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</si>
  <si>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</si>
  <si>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</si>
  <si>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</si>
  <si>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</si>
  <si>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</si>
  <si>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</si>
  <si>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</si>
  <si>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</si>
  <si>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</si>
  <si>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</si>
  <si>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</si>
  <si>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</si>
  <si>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</si>
  <si>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</si>
  <si>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</si>
  <si>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</si>
  <si>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</si>
  <si>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</si>
  <si>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</si>
  <si>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</si>
  <si>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</si>
  <si>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</si>
  <si>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</si>
  <si>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</si>
  <si>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</si>
  <si>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</si>
  <si>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</si>
  <si>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</si>
  <si>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</si>
  <si>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</si>
  <si>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</si>
  <si>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</si>
  <si>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</si>
  <si>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</si>
  <si>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</si>
  <si>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</si>
  <si>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</si>
  <si>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</si>
  <si>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</si>
  <si>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</si>
  <si>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</si>
  <si>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</si>
  <si>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</si>
  <si>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</si>
  <si>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</si>
  <si>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</si>
  <si>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</si>
  <si>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</si>
  <si>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</si>
  <si>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</si>
  <si>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</si>
  <si>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</si>
  <si>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</si>
  <si>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</si>
  <si>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</si>
  <si>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</si>
  <si>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</si>
  <si>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</si>
  <si>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</si>
  <si>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</si>
  <si>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</si>
  <si>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</si>
  <si>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</si>
  <si>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</si>
  <si>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</si>
  <si>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</si>
  <si>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</si>
  <si>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</si>
  <si>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</si>
  <si>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</si>
  <si>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</si>
  <si>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</si>
  <si>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</si>
  <si>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</si>
  <si>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</si>
  <si>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</si>
  <si>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</si>
  <si>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</si>
  <si>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</si>
  <si>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</si>
  <si>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</si>
  <si>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</si>
  <si>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</si>
  <si>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</si>
  <si>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</si>
  <si>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</si>
  <si>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</si>
  <si>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</si>
  <si>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</si>
  <si>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</si>
  <si>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</si>
  <si>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</si>
  <si>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</si>
  <si>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</si>
  <si>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</si>
  <si>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</si>
  <si>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</si>
  <si>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</si>
  <si>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</si>
  <si>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</si>
  <si>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</si>
  <si>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</si>
  <si>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</si>
  <si>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</si>
  <si>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</si>
  <si>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</si>
  <si>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</si>
  <si>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</si>
  <si>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</si>
  <si>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</si>
  <si>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</si>
  <si>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</si>
  <si>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</si>
  <si>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</si>
  <si>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</si>
  <si>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</si>
  <si>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</si>
  <si>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</si>
  <si>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</si>
  <si>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</si>
  <si>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</si>
  <si>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</si>
  <si>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</si>
  <si>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</si>
  <si>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</si>
  <si>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</si>
  <si>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</si>
  <si>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</si>
  <si>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</si>
  <si>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</si>
  <si>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</si>
  <si>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</si>
  <si>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</si>
  <si>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</si>
  <si>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</si>
  <si>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</si>
  <si>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</si>
  <si>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</si>
  <si>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</si>
  <si>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</si>
  <si>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</si>
  <si>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</si>
  <si>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</si>
  <si>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</si>
  <si>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</si>
  <si>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</si>
  <si>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</si>
  <si>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</si>
  <si>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</si>
  <si>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</si>
  <si>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</si>
  <si>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</si>
  <si>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</si>
  <si>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</si>
  <si>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</si>
  <si>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</si>
  <si>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</si>
  <si>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</si>
  <si>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</si>
  <si>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</si>
  <si>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</si>
  <si>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</si>
  <si>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</si>
  <si>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</si>
  <si>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</si>
  <si>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</si>
  <si>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</si>
  <si>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</si>
  <si>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</si>
  <si>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</si>
  <si>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</si>
  <si>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</si>
  <si>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</si>
  <si>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</si>
  <si>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</si>
  <si>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</si>
  <si>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</si>
  <si>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</si>
  <si>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</si>
  <si>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</si>
  <si>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</si>
  <si>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</si>
  <si>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</si>
  <si>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</si>
  <si>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</si>
  <si>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</si>
  <si>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</si>
  <si>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</si>
  <si>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</si>
  <si>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</si>
  <si>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</si>
  <si>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</si>
  <si>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</si>
  <si>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</si>
  <si>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</si>
  <si>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</si>
  <si>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</si>
  <si>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</si>
  <si>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</si>
  <si>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</si>
  <si>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</si>
  <si>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</si>
  <si>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</si>
  <si>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</si>
  <si>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</si>
  <si>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</si>
  <si>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</si>
  <si>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</si>
  <si>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</si>
  <si>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</si>
  <si>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</si>
  <si>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</si>
  <si>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</si>
  <si>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</si>
  <si>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</si>
  <si>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</si>
  <si>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</si>
  <si>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</si>
  <si>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</si>
  <si>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</si>
  <si>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</si>
  <si>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</si>
  <si>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</si>
  <si>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</si>
  <si>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</si>
  <si>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</si>
  <si>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</si>
  <si>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</si>
  <si>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</si>
  <si>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</si>
  <si>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</si>
  <si>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</si>
  <si>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</si>
  <si>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</si>
  <si>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</si>
  <si>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</si>
  <si>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</si>
  <si>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</si>
  <si>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</si>
  <si>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</si>
  <si>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</si>
  <si>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</si>
  <si>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</si>
  <si>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</si>
  <si>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</si>
  <si>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</si>
  <si>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</si>
  <si>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</si>
  <si>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</si>
  <si>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</si>
  <si>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</si>
  <si>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</si>
  <si>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</si>
  <si>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</si>
  <si>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</si>
  <si>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</si>
  <si>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</si>
  <si>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</si>
  <si>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</si>
  <si>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</si>
  <si>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</si>
  <si>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</si>
  <si>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</si>
  <si>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</si>
  <si>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</si>
  <si>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</si>
  <si>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</si>
  <si>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</si>
  <si>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</si>
  <si>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</si>
  <si>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</si>
  <si>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</si>
  <si>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</si>
  <si>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</si>
  <si>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</si>
  <si>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</si>
  <si>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</si>
  <si>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</si>
  <si>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</si>
  <si>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</si>
  <si>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</si>
  <si>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</si>
  <si>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</si>
  <si>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</si>
  <si>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</si>
  <si>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</si>
  <si>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</si>
  <si>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</si>
  <si>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</si>
  <si>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</si>
  <si>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</si>
  <si>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</si>
  <si>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</si>
  <si>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</si>
  <si>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</si>
  <si>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</si>
  <si>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</si>
  <si>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</si>
  <si>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</si>
  <si>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</si>
  <si>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</si>
  <si>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</si>
  <si>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</si>
  <si>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</si>
  <si>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</si>
  <si>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</si>
  <si>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</si>
  <si>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</si>
  <si>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</si>
  <si>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</si>
  <si>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</si>
  <si>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</si>
  <si>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</si>
  <si>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</si>
  <si>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</si>
  <si>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</si>
  <si>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</si>
  <si>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</si>
  <si>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</si>
  <si>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</si>
  <si>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</si>
  <si>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</si>
  <si>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</si>
  <si>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</si>
  <si>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</si>
  <si>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</si>
  <si>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</si>
  <si>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</si>
  <si>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</si>
  <si>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</si>
  <si>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</si>
  <si>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</si>
  <si>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</si>
  <si>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</si>
  <si>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</si>
  <si>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</si>
  <si>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</si>
  <si>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</si>
  <si>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</si>
  <si>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</si>
  <si>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</si>
  <si>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</si>
  <si>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</si>
  <si>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</si>
  <si>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</si>
  <si>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</si>
  <si>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</si>
  <si>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</si>
  <si>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</si>
  <si>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</si>
  <si>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</si>
  <si>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</si>
  <si>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</si>
  <si>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</si>
  <si>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</si>
  <si>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</si>
  <si>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</si>
  <si>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</si>
  <si>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</si>
  <si>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</si>
  <si>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</si>
  <si>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</si>
  <si>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</si>
  <si>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</si>
  <si>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</si>
  <si>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</si>
  <si>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</si>
  <si>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</si>
  <si>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</si>
  <si>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</si>
  <si>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</si>
  <si>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</si>
  <si>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</si>
  <si>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</si>
  <si>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</si>
  <si>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</si>
  <si>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</si>
  <si>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</si>
  <si>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</si>
  <si>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</si>
  <si>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</si>
  <si>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</si>
  <si>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</si>
  <si>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</si>
  <si>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</si>
  <si>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</si>
  <si>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</si>
  <si>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</si>
  <si>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</si>
  <si>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</si>
  <si>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</si>
  <si>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</si>
  <si>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</si>
  <si>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</si>
  <si>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</si>
  <si>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</si>
  <si>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</si>
  <si>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</si>
  <si>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</si>
  <si>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</si>
  <si>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</si>
  <si>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</si>
  <si>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</si>
  <si>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</si>
  <si>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</si>
  <si>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</si>
  <si>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</si>
  <si>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</si>
  <si>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</si>
  <si>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</si>
  <si>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</si>
  <si>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</si>
  <si>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</si>
  <si>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</si>
  <si>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</si>
  <si>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</si>
  <si>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</si>
  <si>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</si>
  <si>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</si>
  <si>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</si>
  <si>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</si>
  <si>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</si>
  <si>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</si>
  <si>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</si>
  <si>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</si>
  <si>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</si>
  <si>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</si>
  <si>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</si>
  <si>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</si>
  <si>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</si>
  <si>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</si>
  <si>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</si>
  <si>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</si>
  <si>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</si>
  <si>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</si>
  <si>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</si>
  <si>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</si>
  <si>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</si>
  <si>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</si>
  <si>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</si>
  <si>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</si>
  <si>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</si>
  <si>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</si>
  <si>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</si>
  <si>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</si>
  <si>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</si>
  <si>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</si>
  <si>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</si>
  <si>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</si>
  <si>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</si>
  <si>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</si>
  <si>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</si>
  <si>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</si>
  <si>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</si>
  <si>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</si>
  <si>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</si>
  <si>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</si>
  <si>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</si>
  <si>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</si>
  <si>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</si>
  <si>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</si>
  <si>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</si>
  <si>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</si>
  <si>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</si>
  <si>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</si>
  <si>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</si>
  <si>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</si>
  <si>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</si>
  <si>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</si>
  <si>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</si>
  <si>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</si>
  <si>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</si>
  <si>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</si>
  <si>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</si>
  <si>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</si>
  <si>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</si>
  <si>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</si>
  <si>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</si>
  <si>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</si>
  <si>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</si>
  <si>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</si>
  <si>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</si>
  <si>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</si>
  <si>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</si>
  <si>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</si>
  <si>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</si>
  <si>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</si>
  <si>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</si>
  <si>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</si>
  <si>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</si>
  <si>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</si>
  <si>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</si>
  <si>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</si>
  <si>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</si>
  <si>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</si>
  <si>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</si>
  <si>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</si>
  <si>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</si>
  <si>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</si>
  <si>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</si>
  <si>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</si>
  <si>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</si>
  <si>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</si>
  <si>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</si>
  <si>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</si>
  <si>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</si>
  <si>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</si>
  <si>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</si>
  <si>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</si>
  <si>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</si>
  <si>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</si>
  <si>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</si>
  <si>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</si>
  <si>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</si>
  <si>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</si>
  <si>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</si>
  <si>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</si>
  <si>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</si>
  <si>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</si>
  <si>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</si>
  <si>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</si>
  <si>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</si>
  <si>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</si>
  <si>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</si>
  <si>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</si>
  <si>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</si>
  <si>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</si>
  <si>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</si>
  <si>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</si>
  <si>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</si>
  <si>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</si>
  <si>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</si>
  <si>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</si>
  <si>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</si>
  <si>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</si>
  <si>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</si>
  <si>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</si>
  <si>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</si>
  <si>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</si>
  <si>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</si>
  <si>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</si>
  <si>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</si>
  <si>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</si>
  <si>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</si>
  <si>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</si>
  <si>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</si>
  <si>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</si>
  <si>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</si>
  <si>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</si>
  <si>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</si>
  <si>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</si>
  <si>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</si>
  <si>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</si>
  <si>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</si>
  <si>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</si>
  <si>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</si>
  <si>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</si>
  <si>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</si>
  <si>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</si>
  <si>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</si>
  <si>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</si>
  <si>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</si>
  <si>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</si>
  <si>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</si>
  <si>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</si>
  <si>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</si>
  <si>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</si>
  <si>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</si>
  <si>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</si>
  <si>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</si>
  <si>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</si>
  <si>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</si>
  <si>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</si>
  <si>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</si>
  <si>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</si>
  <si>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</si>
  <si>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</si>
  <si>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</si>
  <si>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</si>
  <si>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</si>
  <si>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</si>
  <si>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</si>
  <si>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</si>
  <si>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</si>
  <si>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</si>
  <si>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</si>
  <si>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</si>
  <si>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</si>
  <si>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</si>
  <si>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</si>
  <si>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</si>
  <si>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</si>
  <si>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</si>
  <si>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</si>
  <si>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</si>
  <si>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</si>
  <si>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</si>
  <si>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</si>
  <si>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</si>
  <si>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</si>
  <si>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</si>
  <si>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</si>
  <si>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</si>
  <si>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</si>
  <si>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</si>
  <si>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</si>
  <si>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</si>
  <si>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</si>
  <si>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</si>
  <si>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</si>
  <si>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</si>
  <si>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</si>
  <si>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</si>
  <si>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</si>
  <si>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</si>
  <si>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</si>
  <si>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</si>
  <si>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</si>
  <si>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</si>
  <si>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</si>
  <si>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</si>
  <si>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</si>
  <si>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</si>
  <si>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</si>
  <si>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</si>
  <si>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</si>
  <si>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</si>
  <si>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</si>
  <si>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</si>
  <si>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</si>
  <si>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</si>
  <si>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</si>
  <si>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</si>
  <si>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</si>
  <si>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</si>
  <si>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</si>
  <si>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</si>
  <si>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</si>
  <si>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</si>
  <si>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</si>
  <si>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</si>
  <si>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</si>
  <si>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</si>
  <si>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</si>
  <si>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</si>
  <si>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</si>
  <si>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</si>
  <si>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</si>
  <si>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</si>
  <si>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</si>
  <si>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</si>
  <si>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</si>
  <si>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</si>
  <si>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</si>
  <si>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</si>
  <si>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</si>
  <si>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</si>
  <si>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</si>
  <si>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</si>
  <si>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</si>
  <si>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</si>
  <si>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</si>
  <si>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</si>
  <si>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</si>
  <si>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</si>
  <si>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</si>
  <si>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</si>
  <si>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</si>
  <si>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</si>
  <si>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</si>
  <si>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</si>
  <si>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</si>
  <si>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</si>
  <si>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</si>
  <si>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</si>
  <si>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</si>
  <si>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</si>
  <si>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</si>
  <si>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</si>
  <si>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</si>
  <si>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</si>
  <si>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</si>
  <si>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</si>
  <si>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</si>
  <si>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</si>
  <si>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</si>
  <si>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</si>
  <si>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</si>
  <si>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</si>
  <si>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</si>
  <si>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</si>
  <si>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</si>
  <si>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</si>
  <si>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</si>
  <si>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</si>
  <si>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</si>
  <si>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</si>
  <si>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</si>
  <si>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</si>
  <si>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</si>
  <si>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</si>
  <si>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</si>
  <si>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</si>
  <si>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</si>
  <si>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</si>
  <si>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</si>
  <si>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</si>
  <si>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</si>
  <si>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</si>
  <si>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</si>
  <si>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</si>
  <si>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</si>
  <si>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</si>
  <si>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</si>
  <si>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</si>
  <si>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</si>
  <si>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</si>
  <si>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</si>
  <si>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</si>
  <si>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</si>
  <si>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</si>
  <si>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</si>
  <si>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</si>
  <si>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</si>
  <si>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</si>
  <si>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</si>
  <si>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</si>
  <si>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</si>
  <si>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</si>
  <si>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</si>
  <si>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</si>
  <si>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</si>
  <si>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</si>
  <si>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</si>
  <si>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</si>
  <si>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</si>
  <si>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</si>
  <si>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</si>
  <si>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</si>
  <si>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</si>
  <si>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</si>
  <si>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</si>
  <si>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</si>
  <si>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</si>
  <si>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</si>
  <si>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</si>
  <si>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</si>
  <si>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</si>
  <si>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</si>
  <si>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</si>
  <si>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</si>
  <si>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</si>
  <si>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</si>
  <si>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</si>
  <si>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</si>
  <si>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</si>
  <si>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</si>
  <si>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</si>
  <si>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</si>
  <si>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</si>
  <si>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</si>
  <si>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</si>
  <si>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</si>
  <si>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</si>
  <si>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</si>
  <si>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</si>
  <si>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</si>
  <si>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</si>
  <si>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</si>
  <si>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</si>
  <si>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</si>
  <si>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</si>
  <si>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</si>
  <si>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</si>
  <si>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</si>
  <si>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</si>
  <si>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</si>
  <si>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</si>
  <si>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</si>
  <si>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</si>
  <si>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</si>
  <si>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</si>
  <si>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</si>
  <si>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</si>
  <si>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</si>
  <si>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</si>
  <si>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</si>
  <si>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</si>
  <si>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</si>
  <si>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</si>
  <si>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</si>
  <si>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</si>
  <si>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</si>
  <si>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</si>
  <si>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</si>
  <si>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</si>
  <si>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</si>
  <si>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</si>
  <si>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</si>
  <si>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</si>
  <si>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</si>
  <si>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</si>
  <si>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</si>
  <si>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</si>
  <si>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</si>
  <si>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</si>
  <si>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</si>
  <si>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</si>
  <si>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</si>
  <si>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</si>
  <si>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</si>
  <si>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</si>
  <si>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</si>
  <si>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</si>
  <si>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</si>
  <si>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</si>
  <si>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</si>
  <si>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</si>
  <si>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</si>
  <si>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</si>
  <si>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</si>
  <si>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</si>
  <si>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</si>
  <si>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</si>
  <si>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</si>
  <si>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</si>
  <si>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</si>
  <si>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</si>
  <si>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</si>
  <si>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</si>
  <si>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</si>
  <si>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</si>
  <si>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</si>
  <si>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</si>
  <si>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</si>
  <si>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</si>
  <si>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</si>
  <si>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</si>
  <si>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</si>
  <si>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</si>
  <si>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</si>
  <si>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</si>
  <si>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</si>
  <si>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</si>
  <si>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</si>
  <si>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</si>
  <si>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</si>
  <si>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</si>
  <si>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</si>
  <si>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</si>
  <si>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</si>
  <si>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</si>
  <si>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</si>
  <si>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</si>
  <si>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</si>
  <si>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</si>
  <si>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</si>
  <si>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</si>
  <si>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</si>
  <si>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</si>
  <si>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</si>
  <si>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</si>
  <si>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</si>
  <si>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</si>
  <si>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</si>
  <si>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</si>
  <si>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</si>
  <si>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</si>
  <si>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</si>
  <si>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</si>
  <si>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</si>
  <si>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</si>
  <si>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</si>
  <si>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</si>
  <si>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</si>
  <si>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</si>
  <si>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</si>
  <si>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</si>
  <si>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</si>
  <si>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</si>
  <si>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</si>
  <si>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</si>
  <si>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</si>
  <si>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</si>
  <si>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</si>
  <si>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</si>
  <si>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</si>
  <si>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</si>
  <si>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</si>
  <si>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</si>
  <si>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</si>
  <si>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</si>
  <si>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</si>
  <si>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</si>
  <si>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</si>
  <si>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</si>
  <si>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</si>
  <si>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</si>
  <si>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</si>
  <si>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</si>
  <si>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</si>
  <si>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</si>
  <si>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</si>
  <si>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</si>
  <si>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</si>
  <si>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</si>
  <si>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</si>
  <si>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</si>
  <si>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</si>
  <si>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</si>
  <si>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</si>
  <si>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</si>
  <si>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</si>
  <si>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</si>
  <si>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</si>
  <si>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</si>
  <si>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</si>
  <si>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</si>
  <si>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</si>
  <si>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</si>
  <si>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</si>
  <si>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</si>
  <si>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</si>
  <si>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</si>
  <si>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</si>
  <si>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</si>
  <si>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</si>
  <si>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</si>
  <si>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</si>
  <si>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</si>
  <si>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</si>
  <si>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</si>
  <si>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</si>
  <si>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</si>
  <si>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</si>
  <si>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</si>
  <si>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</si>
  <si>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</si>
  <si>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</si>
  <si>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</si>
  <si>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</si>
  <si>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</si>
  <si>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</si>
  <si>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</si>
  <si>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</si>
  <si>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</si>
  <si>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</si>
  <si>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</si>
  <si>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</si>
  <si>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</si>
  <si>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</si>
  <si>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</si>
  <si>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</si>
  <si>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</si>
  <si>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</si>
  <si>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</si>
  <si>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</si>
  <si>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</si>
  <si>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</si>
  <si>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</si>
  <si>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</si>
  <si>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</si>
  <si>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</si>
  <si>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</si>
  <si>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</si>
  <si>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</si>
  <si>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</si>
  <si>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</si>
  <si>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</si>
  <si>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</si>
  <si>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</si>
  <si>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</si>
  <si>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</si>
  <si>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</si>
  <si>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</si>
  <si>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</si>
  <si>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</si>
  <si>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</si>
  <si>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</si>
  <si>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</si>
  <si>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</si>
  <si>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</si>
  <si>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</si>
  <si>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</si>
  <si>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</si>
  <si>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</si>
  <si>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</si>
  <si>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</si>
  <si>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</si>
  <si>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</si>
  <si>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</si>
  <si>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</si>
  <si>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</si>
  <si>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</si>
  <si>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</si>
  <si>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</si>
  <si>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</si>
  <si>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</si>
  <si>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</si>
  <si>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</si>
  <si>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</si>
  <si>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</si>
  <si>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</si>
  <si>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</si>
  <si>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</si>
  <si>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</si>
  <si>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</si>
  <si>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</si>
  <si>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</si>
  <si>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</si>
  <si>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</si>
  <si>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</si>
  <si>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</si>
  <si>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</si>
  <si>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</si>
  <si>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</si>
  <si>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</si>
  <si>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</si>
  <si>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</si>
  <si>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</si>
  <si>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</si>
  <si>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</si>
  <si>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</si>
  <si>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</si>
  <si>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</si>
  <si>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</si>
  <si>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</si>
  <si>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</si>
  <si>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</si>
  <si>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</si>
  <si>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</si>
  <si>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</si>
  <si>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</si>
  <si>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</si>
  <si>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</si>
  <si>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</si>
  <si>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</si>
  <si>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</si>
  <si>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</si>
  <si>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</si>
  <si>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</si>
  <si>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</si>
  <si>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</si>
  <si>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</si>
  <si>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</si>
  <si>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</si>
  <si>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</si>
  <si>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</si>
  <si>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</si>
  <si>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</si>
  <si>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</si>
  <si>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</si>
  <si>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</si>
  <si>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</si>
  <si>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</si>
  <si>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</si>
  <si>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</si>
  <si>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</si>
  <si>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</si>
  <si>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</si>
  <si>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</si>
  <si>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</si>
  <si>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</si>
  <si>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</si>
  <si>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</si>
  <si>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</si>
  <si>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</si>
  <si>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</si>
  <si>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</si>
  <si>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</si>
  <si>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</si>
  <si>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</si>
  <si>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</si>
  <si>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</si>
  <si>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</si>
  <si>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</si>
  <si>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</si>
  <si>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</si>
  <si>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</si>
  <si>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</si>
  <si>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</si>
  <si>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</si>
  <si>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</si>
  <si>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</si>
  <si>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</si>
  <si>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</si>
  <si>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</si>
  <si>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</si>
  <si>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</si>
  <si>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</si>
  <si>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</si>
  <si>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</si>
  <si>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</si>
  <si>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</si>
  <si>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</si>
  <si>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</si>
  <si>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</si>
  <si>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</si>
  <si>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</si>
  <si>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</si>
  <si>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</si>
  <si>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</si>
  <si>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</si>
  <si>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</si>
  <si>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</si>
  <si>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</si>
  <si>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</si>
  <si>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</si>
  <si>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</si>
  <si>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</si>
  <si>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</si>
  <si>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</si>
  <si>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</si>
  <si>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</si>
  <si>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</si>
  <si>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</si>
  <si>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</si>
  <si>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</si>
  <si>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</si>
  <si>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</si>
  <si>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</si>
  <si>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</si>
  <si>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</si>
  <si>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</si>
  <si>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</si>
  <si>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</si>
  <si>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</si>
  <si>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</si>
  <si>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</si>
  <si>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</si>
  <si>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</si>
  <si>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</si>
  <si>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</si>
  <si>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</si>
  <si>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</si>
  <si>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</si>
  <si>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</si>
  <si>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</si>
  <si>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</si>
  <si>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</si>
  <si>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</si>
  <si>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</si>
  <si>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</si>
  <si>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</si>
  <si>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</si>
  <si>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</si>
  <si>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</si>
  <si>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</si>
  <si>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</si>
  <si>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</si>
  <si>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</si>
  <si>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</si>
  <si>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</si>
  <si>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</si>
  <si>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</si>
  <si>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</si>
  <si>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</si>
  <si>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</si>
  <si>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</si>
  <si>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</si>
  <si>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</si>
  <si>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</si>
  <si>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</si>
  <si>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</si>
  <si>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</si>
  <si>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</si>
  <si>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</si>
  <si>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</si>
  <si>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</si>
  <si>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</si>
  <si>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</si>
  <si>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</si>
  <si>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</si>
  <si>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</si>
  <si>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</si>
  <si>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</si>
  <si>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</si>
  <si>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</si>
  <si>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</si>
  <si>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</si>
  <si>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</si>
  <si>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</si>
  <si>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</si>
  <si>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</si>
  <si>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</si>
  <si>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</si>
  <si>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</si>
  <si>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</si>
  <si>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</si>
  <si>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</si>
  <si>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</si>
  <si>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</si>
  <si>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</si>
  <si>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</si>
  <si>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</si>
  <si>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</si>
  <si>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</si>
  <si>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</si>
  <si>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</si>
  <si>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</si>
  <si>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</si>
  <si>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</si>
  <si>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</si>
  <si>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</si>
  <si>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</si>
  <si>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</si>
  <si>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</si>
  <si>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</si>
  <si>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</si>
  <si>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</si>
  <si>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</si>
  <si>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</si>
  <si>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</si>
  <si>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</si>
  <si>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</si>
  <si>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</si>
  <si>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</si>
  <si>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</si>
  <si>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</si>
  <si>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</si>
  <si>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</si>
  <si>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</si>
  <si>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</si>
  <si>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</si>
  <si>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</si>
  <si>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</si>
  <si>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</si>
  <si>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</si>
  <si>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</si>
  <si>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</si>
  <si>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</si>
  <si>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</si>
  <si>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</si>
  <si>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</si>
  <si>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</si>
  <si>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</si>
  <si>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</si>
  <si>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</si>
  <si>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</si>
  <si>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</si>
  <si>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</si>
  <si>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</si>
  <si>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</si>
  <si>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</si>
  <si>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</si>
  <si>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</si>
  <si>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</si>
  <si>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</si>
  <si>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</si>
  <si>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</si>
  <si>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</si>
  <si>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</si>
  <si>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</si>
  <si>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</si>
  <si>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</si>
  <si>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</si>
  <si>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</si>
  <si>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</si>
  <si>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</si>
  <si>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</si>
  <si>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</si>
  <si>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</si>
  <si>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</si>
  <si>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</si>
  <si>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</si>
  <si>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</si>
  <si>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</si>
  <si>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</si>
  <si>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</si>
  <si>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</si>
  <si>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</si>
  <si>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</si>
  <si>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</si>
  <si>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</si>
  <si>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</si>
  <si>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</si>
  <si>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</si>
  <si>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</si>
  <si>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</si>
  <si>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</si>
  <si>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</si>
  <si>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</si>
  <si>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</si>
  <si>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</si>
  <si>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</si>
  <si>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</si>
  <si>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</si>
  <si>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</si>
  <si>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</si>
  <si>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</si>
  <si>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</si>
  <si>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</si>
  <si>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</si>
  <si>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</si>
  <si>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</si>
  <si>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</si>
  <si>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</si>
  <si>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</si>
  <si>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</si>
  <si>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</si>
  <si>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</si>
  <si>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</si>
  <si>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</si>
  <si>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</si>
  <si>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</si>
  <si>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</si>
  <si>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</si>
  <si>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</si>
  <si>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</si>
  <si>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</si>
  <si>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</si>
  <si>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</si>
  <si>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</si>
  <si>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</si>
  <si>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</si>
  <si>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</si>
  <si>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</si>
  <si>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</si>
  <si>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</si>
  <si>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</si>
  <si>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</si>
  <si>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</si>
  <si>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</si>
  <si>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</si>
  <si>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</si>
  <si>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</si>
  <si>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</si>
  <si>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</si>
  <si>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</si>
  <si>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</si>
  <si>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</si>
  <si>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</si>
  <si>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</si>
  <si>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</si>
  <si>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</si>
  <si>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</si>
  <si>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</si>
  <si>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</si>
  <si>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</si>
  <si>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</si>
  <si>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</si>
  <si>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</si>
  <si>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</si>
  <si>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</si>
  <si>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</si>
  <si>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</si>
  <si>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</si>
  <si>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</si>
  <si>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</si>
  <si>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</si>
  <si>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</si>
  <si>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</si>
  <si>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</si>
  <si>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</si>
  <si>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</si>
  <si>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</si>
  <si>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</si>
  <si>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</si>
  <si>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</si>
  <si>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</si>
  <si>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</si>
  <si>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</si>
  <si>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</si>
  <si>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</si>
  <si>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</si>
  <si>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</si>
  <si>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</si>
  <si>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</si>
  <si>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</si>
  <si>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</si>
  <si>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</si>
  <si>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</si>
  <si>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</si>
  <si>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</si>
  <si>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</si>
  <si>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</si>
  <si>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</si>
  <si>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</si>
  <si>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</si>
  <si>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</si>
  <si>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</si>
  <si>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</si>
  <si>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</si>
  <si>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</si>
  <si>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</si>
  <si>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</si>
  <si>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</si>
  <si>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</si>
  <si>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</si>
  <si>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</si>
  <si>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</si>
  <si>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</si>
  <si>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</si>
  <si>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</si>
  <si>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</si>
  <si>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</si>
  <si>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</si>
  <si>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</si>
  <si>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</si>
  <si>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</si>
  <si>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</si>
  <si>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</si>
  <si>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</si>
  <si>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</si>
  <si>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</si>
  <si>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</si>
  <si>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</si>
  <si>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</si>
  <si>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</si>
  <si>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</si>
  <si>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</si>
  <si>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</si>
  <si>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</si>
  <si>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</si>
  <si>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</si>
  <si>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</si>
  <si>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</si>
  <si>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</si>
  <si>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</si>
  <si>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</si>
  <si>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</si>
  <si>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</si>
  <si>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</si>
  <si>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</si>
  <si>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</si>
  <si>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</si>
  <si>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</si>
  <si>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</si>
  <si>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</si>
  <si>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</si>
  <si>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</si>
  <si>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</si>
  <si>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</si>
  <si>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</si>
  <si>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</si>
  <si>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</si>
  <si>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</si>
  <si>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</si>
  <si>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</si>
  <si>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</si>
  <si>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</si>
  <si>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</si>
  <si>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</si>
  <si>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</si>
  <si>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</si>
  <si>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</si>
  <si>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</si>
  <si>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</si>
  <si>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</si>
  <si>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</si>
  <si>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</si>
  <si>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</si>
  <si>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</si>
  <si>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</si>
  <si>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</si>
  <si>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</si>
  <si>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</si>
  <si>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</si>
  <si>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</si>
  <si>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</si>
  <si>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</si>
  <si>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</si>
  <si>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</si>
  <si>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</si>
  <si>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</si>
  <si>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</si>
  <si>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</si>
  <si>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</si>
  <si>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</si>
  <si>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</si>
  <si>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</si>
  <si>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</si>
  <si>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</si>
  <si>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</si>
  <si>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</si>
  <si>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</si>
  <si>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</si>
  <si>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</si>
  <si>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</si>
  <si>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</si>
  <si>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</si>
  <si>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</si>
  <si>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</si>
  <si>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</si>
  <si>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</si>
  <si>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</si>
  <si>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</si>
  <si>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</si>
  <si>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</si>
  <si>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</si>
  <si>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</si>
  <si>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</si>
  <si>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</si>
  <si>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</si>
  <si>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</si>
  <si>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</si>
  <si>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</si>
  <si>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</si>
  <si>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</si>
  <si>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</si>
  <si>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</si>
  <si>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</si>
  <si>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</si>
  <si>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</si>
  <si>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</si>
  <si>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</si>
  <si>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</si>
  <si>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</si>
  <si>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</si>
  <si>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</si>
  <si>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</si>
  <si>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</si>
  <si>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</si>
  <si>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</si>
  <si>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</si>
  <si>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</si>
  <si>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</si>
  <si>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</si>
  <si>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</si>
  <si>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</si>
  <si>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</si>
  <si>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</si>
  <si>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</si>
  <si>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</si>
  <si>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</si>
  <si>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</si>
  <si>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</si>
  <si>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</si>
  <si>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</si>
  <si>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</si>
  <si>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</si>
  <si>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</si>
  <si>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</si>
  <si>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</si>
  <si>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</si>
  <si>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</si>
  <si>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</si>
  <si>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</si>
  <si>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</si>
  <si>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</si>
  <si>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</si>
  <si>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</si>
  <si>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</si>
  <si>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</si>
  <si>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</si>
  <si>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</si>
  <si>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</si>
  <si>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</si>
  <si>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</si>
  <si>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</si>
  <si>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</si>
  <si>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</si>
  <si>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</si>
  <si>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</si>
  <si>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</si>
  <si>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</si>
  <si>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</si>
  <si>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</si>
  <si>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</si>
  <si>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</si>
  <si>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</si>
  <si>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</si>
  <si>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</si>
  <si>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</si>
  <si>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</si>
  <si>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</si>
  <si>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</si>
  <si>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</si>
  <si>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</si>
  <si>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</si>
  <si>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</si>
  <si>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</si>
  <si>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</si>
  <si>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</si>
  <si>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</si>
  <si>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</si>
  <si>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</si>
  <si>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</si>
  <si>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</si>
  <si>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</si>
  <si>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</si>
  <si>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</si>
  <si>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</si>
  <si>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</si>
  <si>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</si>
  <si>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</si>
  <si>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</si>
  <si>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</si>
  <si>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</si>
  <si>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</si>
  <si>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</si>
  <si>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</si>
  <si>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</si>
  <si>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</si>
  <si>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</si>
  <si>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</si>
  <si>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</si>
  <si>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</si>
  <si>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</si>
  <si>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</si>
  <si>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</si>
  <si>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</si>
  <si>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</si>
  <si>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</si>
  <si>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</si>
  <si>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</si>
  <si>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</si>
  <si>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</si>
  <si>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</si>
  <si>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</si>
  <si>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</si>
  <si>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</si>
  <si>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</si>
  <si>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</si>
  <si>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</si>
  <si>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</si>
  <si>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</si>
  <si>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</si>
  <si>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</si>
  <si>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</si>
  <si>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</si>
  <si>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</si>
  <si>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</si>
  <si>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</si>
  <si>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</si>
  <si>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</si>
  <si>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</si>
  <si>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</si>
  <si>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</si>
  <si>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</si>
  <si>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</si>
  <si>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</si>
  <si>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</si>
  <si>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</si>
  <si>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</si>
  <si>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</si>
  <si>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</si>
  <si>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</si>
  <si>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</si>
  <si>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</si>
  <si>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</si>
  <si>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</si>
  <si>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</si>
  <si>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</si>
  <si>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</si>
  <si>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</si>
  <si>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</si>
  <si>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</si>
  <si>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</si>
  <si>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</si>
  <si>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</si>
  <si>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</si>
  <si>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</si>
  <si>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</si>
  <si>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</si>
  <si>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</si>
  <si>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</si>
  <si>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</si>
  <si>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</si>
  <si>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</si>
  <si>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</si>
  <si>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</si>
  <si>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</si>
  <si>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</si>
  <si>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</si>
  <si>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</si>
  <si>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</si>
  <si>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</si>
  <si>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</si>
  <si>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</si>
  <si>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</si>
  <si>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</si>
  <si>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</si>
  <si>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</si>
  <si>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</si>
  <si>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</si>
  <si>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</si>
  <si>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</si>
  <si>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</si>
  <si>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</si>
  <si>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</si>
  <si>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</si>
  <si>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</si>
  <si>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</si>
  <si>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</si>
  <si>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</si>
  <si>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</si>
  <si>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</si>
  <si>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</si>
  <si>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</si>
  <si>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</si>
  <si>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</si>
  <si>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</si>
  <si>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</si>
  <si>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</si>
  <si>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</si>
  <si>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</si>
  <si>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</si>
  <si>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</si>
  <si>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</si>
  <si>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</si>
  <si>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</si>
  <si>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</si>
  <si>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</si>
  <si>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</si>
  <si>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</si>
  <si>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</si>
  <si>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</si>
  <si>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</si>
  <si>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</si>
  <si>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</si>
  <si>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</si>
  <si>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</si>
  <si>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</si>
  <si>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</si>
  <si>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</si>
  <si>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</si>
  <si>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</si>
  <si>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</si>
  <si>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</si>
  <si>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</si>
  <si>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</si>
  <si>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</si>
  <si>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</si>
  <si>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</si>
  <si>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</si>
  <si>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</si>
  <si>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</si>
  <si>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</si>
  <si>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</si>
  <si>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</si>
  <si>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</si>
  <si>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</si>
  <si>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</si>
  <si>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</si>
  <si>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</si>
  <si>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</si>
  <si>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</si>
  <si>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</si>
  <si>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</si>
  <si>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</si>
  <si>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</si>
  <si>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</si>
  <si>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</si>
  <si>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</si>
  <si>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</si>
  <si>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</si>
  <si>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</si>
  <si>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</si>
  <si>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</si>
  <si>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</si>
  <si>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</si>
  <si>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</si>
  <si>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</si>
  <si>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</si>
  <si>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</si>
  <si>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</si>
  <si>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</si>
  <si>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</si>
  <si>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</si>
  <si>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</si>
  <si>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</si>
  <si>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</si>
  <si>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</si>
  <si>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</si>
  <si>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</si>
  <si>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</si>
  <si>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</si>
  <si>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</si>
  <si>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</si>
  <si>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</si>
  <si>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</si>
  <si>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</si>
  <si>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</si>
  <si>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</si>
  <si>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</si>
  <si>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</si>
  <si>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</si>
  <si>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</si>
  <si>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</si>
  <si>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</si>
  <si>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</si>
  <si>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</si>
  <si>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</si>
  <si>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</si>
  <si>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</si>
  <si>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</si>
  <si>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</si>
  <si>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</si>
  <si>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</si>
  <si>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</si>
  <si>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</si>
  <si>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</si>
  <si>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</si>
  <si>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</si>
  <si>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</si>
  <si>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</si>
  <si>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</si>
  <si>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</si>
  <si>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</si>
  <si>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</si>
  <si>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</si>
  <si>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</si>
  <si>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</si>
  <si>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</si>
  <si>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</si>
  <si>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</si>
  <si>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</si>
  <si>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</si>
  <si>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</si>
  <si>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</si>
  <si>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</si>
  <si>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</si>
  <si>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</si>
  <si>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</si>
  <si>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</si>
  <si>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</si>
  <si>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</si>
  <si>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</si>
  <si>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</si>
  <si>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</si>
  <si>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</si>
  <si>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</si>
  <si>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</si>
  <si>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</si>
  <si>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</si>
  <si>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</si>
  <si>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</si>
  <si>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</si>
  <si>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</si>
  <si>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</si>
  <si>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</si>
  <si>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</si>
  <si>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</si>
  <si>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</si>
  <si>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</si>
  <si>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</si>
  <si>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</si>
  <si>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</si>
  <si>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</si>
  <si>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</si>
  <si>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</si>
  <si>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</si>
  <si>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</si>
  <si>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</si>
  <si>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</si>
  <si>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</si>
  <si>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</si>
  <si>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</si>
  <si>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</si>
  <si>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</si>
  <si>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</si>
  <si>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</si>
  <si>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</si>
  <si>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</si>
  <si>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</si>
  <si>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</si>
  <si>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</si>
  <si>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</si>
  <si>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</si>
  <si>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</si>
  <si>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</si>
  <si>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</si>
  <si>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</si>
  <si>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</si>
  <si>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</si>
  <si>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</si>
  <si>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</si>
  <si>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</si>
  <si>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</si>
  <si>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</si>
  <si>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</si>
  <si>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</si>
  <si>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</si>
  <si>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</si>
  <si>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</si>
  <si>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</si>
  <si>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</si>
  <si>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</si>
  <si>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</si>
  <si>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</si>
  <si>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</si>
  <si>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</si>
  <si>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</si>
  <si>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</si>
  <si>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</si>
  <si>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</si>
  <si>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</si>
  <si>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</si>
  <si>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</si>
  <si>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</si>
  <si>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</si>
  <si>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</si>
  <si>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</si>
  <si>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</si>
  <si>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</si>
  <si>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</si>
  <si>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</si>
  <si>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</si>
  <si>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</si>
  <si>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</si>
  <si>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</si>
  <si>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</si>
  <si>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</si>
  <si>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</si>
  <si>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</si>
  <si>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</si>
  <si>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</si>
  <si>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</si>
  <si>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</si>
  <si>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</si>
  <si>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</si>
  <si>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</si>
  <si>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</si>
  <si>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</si>
  <si>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</si>
  <si>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</si>
  <si>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</si>
  <si>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</si>
  <si>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</si>
  <si>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</si>
  <si>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</si>
  <si>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</si>
  <si>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</si>
  <si>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</si>
  <si>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</si>
  <si>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</si>
  <si>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</si>
  <si>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</si>
  <si>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</si>
  <si>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</si>
  <si>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</si>
  <si>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</si>
  <si>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</si>
  <si>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</si>
  <si>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</si>
  <si>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</si>
  <si>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</si>
  <si>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</si>
  <si>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</si>
  <si>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</si>
  <si>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</si>
  <si>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</si>
  <si>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</si>
  <si>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</si>
  <si>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</si>
  <si>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</si>
  <si>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</si>
  <si>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</si>
  <si>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</si>
  <si>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</si>
  <si>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</si>
  <si>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</si>
  <si>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</si>
  <si>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</si>
  <si>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</si>
  <si>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</si>
  <si>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</si>
  <si>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</si>
  <si>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</si>
  <si>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</si>
  <si>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</si>
  <si>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</si>
  <si>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</si>
  <si>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</si>
  <si>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</si>
  <si>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</si>
  <si>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</si>
  <si>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</si>
  <si>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</si>
  <si>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</si>
  <si>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</si>
  <si>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</si>
  <si>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</si>
  <si>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</si>
  <si>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</si>
  <si>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</si>
  <si>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</si>
  <si>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</si>
  <si>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</si>
  <si>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적당적당한 줄 알았더니, 더 좋네요. 생각보다 (❁´◡`❁)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</si>
  <si>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</si>
  <si>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</si>
  <si>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</si>
  <si>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</si>
  <si>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</si>
  <si>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</si>
  <si>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</si>
  <si>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</si>
  <si>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</si>
  <si>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</si>
  <si>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</si>
  <si>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</si>
  <si>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</si>
  <si>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</si>
  <si>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</si>
  <si>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</si>
  <si>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</si>
  <si>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</si>
  <si>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</si>
  <si>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</si>
  <si>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</si>
  <si>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</si>
  <si>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</si>
  <si>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</si>
  <si>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</si>
  <si>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</si>
  <si>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</si>
  <si>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</si>
  <si>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</si>
  <si>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</si>
  <si>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</si>
  <si>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</si>
  <si>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</si>
  <si>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</si>
  <si>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</si>
  <si>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</si>
  <si>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</si>
  <si>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</si>
  <si>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</si>
  <si>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</si>
  <si>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</si>
  <si>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</si>
  <si>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</si>
  <si>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</si>
  <si>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</si>
  <si>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</si>
  <si>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</si>
  <si>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</si>
  <si>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</si>
  <si>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</si>
  <si>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</si>
  <si>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</si>
  <si>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</si>
  <si>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</si>
  <si>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</si>
  <si>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</si>
  <si>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</si>
  <si>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</si>
  <si>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</si>
  <si>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</si>
  <si>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</si>
  <si>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</si>
  <si>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</si>
  <si>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</si>
  <si>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</si>
  <si>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</si>
  <si>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</si>
  <si>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</si>
  <si>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</si>
  <si>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</si>
  <si>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</si>
  <si>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</si>
  <si>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</si>
  <si>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</si>
  <si>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</si>
  <si>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</si>
  <si>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</si>
  <si>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</si>
  <si>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</si>
  <si>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</si>
  <si>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</si>
  <si>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</si>
  <si>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</si>
  <si>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</si>
  <si>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</si>
  <si>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</si>
  <si>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</si>
  <si>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</si>
  <si>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</si>
  <si>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</si>
  <si>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최종</t>
    <phoneticPr fontId="1" type="noConversion"/>
  </si>
  <si>
    <t>좌표중복</t>
    <phoneticPr fontId="1" type="noConversion"/>
  </si>
  <si>
    <t>숫자범위</t>
    <phoneticPr fontId="1" type="noConversion"/>
  </si>
  <si>
    <t>94,0</t>
    <phoneticPr fontId="1" type="noConversion"/>
  </si>
  <si>
    <t>A049</t>
  </si>
  <si>
    <t>백창관</t>
  </si>
  <si>
    <t>4,1</t>
  </si>
  <si>
    <t>100@ckdrd</t>
  </si>
  <si>
    <t>Z001</t>
    <phoneticPr fontId="1" type="noConversion"/>
  </si>
  <si>
    <t>30+96</t>
    <phoneticPr fontId="1" type="noConversion"/>
  </si>
  <si>
    <t>0+30</t>
    <phoneticPr fontId="1" type="noConversion"/>
  </si>
  <si>
    <t>우동,돈코츠 라멘,모둠회</t>
  </si>
  <si>
    <t>구매날짜</t>
    <phoneticPr fontId="1" type="noConversion"/>
  </si>
  <si>
    <t>음식점 번호</t>
    <phoneticPr fontId="1" type="noConversion"/>
  </si>
  <si>
    <t>미가미</t>
    <phoneticPr fontId="1" type="noConversion"/>
  </si>
  <si>
    <t>개수</t>
    <phoneticPr fontId="1" type="noConversion"/>
  </si>
  <si>
    <t>메뉴</t>
    <phoneticPr fontId="1" type="noConversion"/>
  </si>
  <si>
    <t>우동</t>
    <phoneticPr fontId="1" type="noConversion"/>
  </si>
  <si>
    <t>번호</t>
    <phoneticPr fontId="1" type="noConversion"/>
  </si>
  <si>
    <t>판매자 번호</t>
    <phoneticPr fontId="1" type="noConversion"/>
  </si>
  <si>
    <t>음식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</si>
</sst>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BDF9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B4B4B4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0" fontId="0" fillId="0" borderId="0" xfId="0" applyBorder="1">
      <alignment vertical="center"/>
    </xf>
  </cellXfs>
  <cellStyles count="1">
    <cellStyle name="표준" xfId="0" builtinId="0"/>
  </cellStyles>
  <dxfs count="5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BDF9FF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BDF9FF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BDF9FF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BDF9FF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BDF9FF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BDF9FF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BDF9FF"/>
      <color rgb="FF9FF6FF"/>
      <color rgb="FF0DE8FF"/>
      <color rgb="FF43C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로딩!$A$1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D5-4EA1-87DD-6D02E589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7566432"/>
        <c:axId val="367567744"/>
      </c:barChart>
      <c:catAx>
        <c:axId val="3675664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7567744"/>
        <c:crosses val="autoZero"/>
        <c:auto val="1"/>
        <c:lblAlgn val="ctr"/>
        <c:lblOffset val="100"/>
        <c:noMultiLvlLbl val="0"/>
      </c:catAx>
      <c:valAx>
        <c:axId val="367567744"/>
        <c:scaling>
          <c:orientation val="minMax"/>
          <c:max val="25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7566432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6170544"/>
        <c:axId val="806173168"/>
      </c:barChart>
      <c:catAx>
        <c:axId val="80617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6173168"/>
        <c:crosses val="autoZero"/>
        <c:auto val="1"/>
        <c:lblAlgn val="ctr"/>
        <c:lblOffset val="100"/>
        <c:noMultiLvlLbl val="0"/>
      </c:catAx>
      <c:valAx>
        <c:axId val="80617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61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0</xdr:rowOff>
    </xdr:from>
    <xdr:to>
      <xdr:col>17</xdr:col>
      <xdr:colOff>238125</xdr:colOff>
      <xdr:row>14</xdr:row>
      <xdr:rowOff>95250</xdr:rowOff>
    </xdr:to>
    <xdr:sp macro="" textlink="">
      <xdr:nvSpPr>
        <xdr:cNvPr id="3" name="back"/>
        <xdr:cNvSpPr/>
      </xdr:nvSpPr>
      <xdr:spPr>
        <a:xfrm>
          <a:off x="447675" y="0"/>
          <a:ext cx="11449050" cy="3028950"/>
        </a:xfrm>
        <a:prstGeom prst="rect">
          <a:avLst/>
        </a:prstGeom>
        <a:solidFill>
          <a:srgbClr val="00F9F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266700</xdr:colOff>
      <xdr:row>8</xdr:row>
      <xdr:rowOff>95250</xdr:rowOff>
    </xdr:from>
    <xdr:to>
      <xdr:col>16</xdr:col>
      <xdr:colOff>438150</xdr:colOff>
      <xdr:row>11</xdr:row>
      <xdr:rowOff>180975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642762</xdr:colOff>
      <xdr:row>3</xdr:row>
      <xdr:rowOff>204216</xdr:rowOff>
    </xdr:from>
    <xdr:to>
      <xdr:col>17</xdr:col>
      <xdr:colOff>216042</xdr:colOff>
      <xdr:row>8</xdr:row>
      <xdr:rowOff>95250</xdr:rowOff>
    </xdr:to>
    <xdr:pic>
      <xdr:nvPicPr>
        <xdr:cNvPr id="4" name="라이더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6494" b="100000" l="0" r="9612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9762" y="832866"/>
          <a:ext cx="944880" cy="9387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175715</xdr:colOff>
      <xdr:row>0</xdr:row>
      <xdr:rowOff>209509</xdr:rowOff>
    </xdr:from>
    <xdr:to>
      <xdr:col>9</xdr:col>
      <xdr:colOff>0</xdr:colOff>
      <xdr:row>20</xdr:row>
      <xdr:rowOff>0</xdr:rowOff>
    </xdr:to>
    <xdr:pic>
      <xdr:nvPicPr>
        <xdr:cNvPr id="4" name="라이더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6494" b="100000" l="0" r="9612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6391" y="209509"/>
          <a:ext cx="3925638" cy="40487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5</xdr:row>
          <xdr:rowOff>0</xdr:rowOff>
        </xdr:from>
        <xdr:to>
          <xdr:col>13</xdr:col>
          <xdr:colOff>0</xdr:colOff>
          <xdr:row>7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9</xdr:row>
          <xdr:rowOff>95250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14</xdr:row>
          <xdr:rowOff>0</xdr:rowOff>
        </xdr:from>
        <xdr:to>
          <xdr:col>13</xdr:col>
          <xdr:colOff>0</xdr:colOff>
          <xdr:row>16</xdr:row>
          <xdr:rowOff>114300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21</xdr:row>
          <xdr:rowOff>200025</xdr:rowOff>
        </xdr:from>
        <xdr:to>
          <xdr:col>13</xdr:col>
          <xdr:colOff>0</xdr:colOff>
          <xdr:row>25</xdr:row>
          <xdr:rowOff>133350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28575</xdr:rowOff>
        </xdr:from>
        <xdr:to>
          <xdr:col>12</xdr:col>
          <xdr:colOff>123825</xdr:colOff>
          <xdr:row>3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0</xdr:row>
          <xdr:rowOff>180975</xdr:rowOff>
        </xdr:from>
        <xdr:to>
          <xdr:col>6</xdr:col>
          <xdr:colOff>171450</xdr:colOff>
          <xdr:row>3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214593</xdr:colOff>
          <xdr:row>0</xdr:row>
          <xdr:rowOff>163046</xdr:rowOff>
        </xdr:from>
        <xdr:to>
          <xdr:col>7</xdr:col>
          <xdr:colOff>622487</xdr:colOff>
          <xdr:row>3</xdr:row>
          <xdr:rowOff>64435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161925</xdr:rowOff>
        </xdr:from>
        <xdr:to>
          <xdr:col>5</xdr:col>
          <xdr:colOff>38100</xdr:colOff>
          <xdr:row>3</xdr:row>
          <xdr:rowOff>66675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0</xdr:row>
          <xdr:rowOff>142875</xdr:rowOff>
        </xdr:from>
        <xdr:to>
          <xdr:col>11</xdr:col>
          <xdr:colOff>47625</xdr:colOff>
          <xdr:row>3</xdr:row>
          <xdr:rowOff>47625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17</xdr:col>
      <xdr:colOff>0</xdr:colOff>
      <xdr:row>2</xdr:row>
      <xdr:rowOff>428625</xdr:rowOff>
    </xdr:from>
    <xdr:to>
      <xdr:col>22</xdr:col>
      <xdr:colOff>0</xdr:colOff>
      <xdr:row>6</xdr:row>
      <xdr:rowOff>0</xdr:rowOff>
    </xdr:to>
    <xdr:sp macro="[0]!Sheet8.shp_위로" textlink="">
      <xdr:nvSpPr>
        <xdr:cNvPr id="2" name="이등변 삼각형 1"/>
        <xdr:cNvSpPr/>
      </xdr:nvSpPr>
      <xdr:spPr>
        <a:xfrm>
          <a:off x="9944100" y="1419225"/>
          <a:ext cx="2857500" cy="1552575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17</xdr:col>
      <xdr:colOff>0</xdr:colOff>
      <xdr:row>107</xdr:row>
      <xdr:rowOff>428625</xdr:rowOff>
    </xdr:from>
    <xdr:to>
      <xdr:col>22</xdr:col>
      <xdr:colOff>0</xdr:colOff>
      <xdr:row>111</xdr:row>
      <xdr:rowOff>0</xdr:rowOff>
    </xdr:to>
    <xdr:sp macro="[0]!Sheet8.shp_아래로" textlink="">
      <xdr:nvSpPr>
        <xdr:cNvPr id="6" name="이등변 삼각형 5"/>
        <xdr:cNvSpPr/>
      </xdr:nvSpPr>
      <xdr:spPr>
        <a:xfrm rot="10800000">
          <a:off x="9944100" y="16278225"/>
          <a:ext cx="2857500" cy="1552575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105</xdr:col>
      <xdr:colOff>-1</xdr:colOff>
      <xdr:row>15</xdr:row>
      <xdr:rowOff>114301</xdr:rowOff>
    </xdr:from>
    <xdr:to>
      <xdr:col>107</xdr:col>
      <xdr:colOff>409574</xdr:colOff>
      <xdr:row>21</xdr:row>
      <xdr:rowOff>1</xdr:rowOff>
    </xdr:to>
    <xdr:sp macro="[0]!Sheet8.shp_오른쪽으로" textlink="">
      <xdr:nvSpPr>
        <xdr:cNvPr id="7" name="이등변 삼각형 6"/>
        <xdr:cNvSpPr/>
      </xdr:nvSpPr>
      <xdr:spPr>
        <a:xfrm rot="5400000">
          <a:off x="19578637" y="8196263"/>
          <a:ext cx="2857500" cy="1552575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390525</xdr:colOff>
      <xdr:row>15</xdr:row>
      <xdr:rowOff>0</xdr:rowOff>
    </xdr:from>
    <xdr:to>
      <xdr:col>3</xdr:col>
      <xdr:colOff>0</xdr:colOff>
      <xdr:row>20</xdr:row>
      <xdr:rowOff>381000</xdr:rowOff>
    </xdr:to>
    <xdr:sp macro="[0]!Sheet8.shp_왼쪽으로" textlink="">
      <xdr:nvSpPr>
        <xdr:cNvPr id="8" name="이등변 삼각형 7"/>
        <xdr:cNvSpPr/>
      </xdr:nvSpPr>
      <xdr:spPr>
        <a:xfrm rot="16200000">
          <a:off x="-261937" y="8081962"/>
          <a:ext cx="2857500" cy="1552575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28</xdr:col>
      <xdr:colOff>0</xdr:colOff>
      <xdr:row>4</xdr:row>
      <xdr:rowOff>0</xdr:rowOff>
    </xdr:from>
    <xdr:to>
      <xdr:col>34</xdr:col>
      <xdr:colOff>0</xdr:colOff>
      <xdr:row>6</xdr:row>
      <xdr:rowOff>0</xdr:rowOff>
    </xdr:to>
    <xdr:sp macro="" textlink="">
      <xdr:nvSpPr>
        <xdr:cNvPr id="3" name="txt예상시간"/>
        <xdr:cNvSpPr/>
      </xdr:nvSpPr>
      <xdr:spPr>
        <a:xfrm>
          <a:off x="16240125" y="2000250"/>
          <a:ext cx="3429000" cy="10001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600" b="1">
              <a:solidFill>
                <a:sysClr val="windowText" lastClr="000000"/>
              </a:solidFill>
            </a:rPr>
            <a:t>예상시간 </a:t>
          </a:r>
          <a:r>
            <a:rPr lang="en-US" altLang="ko-KR" sz="3600" b="1">
              <a:solidFill>
                <a:sysClr val="windowText" lastClr="000000"/>
              </a:solidFill>
            </a:rPr>
            <a:t>: 0</a:t>
          </a:r>
          <a:r>
            <a:rPr lang="ko-KR" altLang="en-US" sz="3600" b="1">
              <a:solidFill>
                <a:sysClr val="windowText" lastClr="000000"/>
              </a:solidFill>
            </a:rPr>
            <a:t>분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142875</xdr:rowOff>
        </xdr:from>
        <xdr:to>
          <xdr:col>10</xdr:col>
          <xdr:colOff>600075</xdr:colOff>
          <xdr:row>3</xdr:row>
          <xdr:rowOff>47625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180975</xdr:rowOff>
    </xdr:from>
    <xdr:to>
      <xdr:col>9</xdr:col>
      <xdr:colOff>400050</xdr:colOff>
      <xdr:row>8</xdr:row>
      <xdr:rowOff>0</xdr:rowOff>
    </xdr:to>
    <xdr:grpSp>
      <xdr:nvGrpSpPr>
        <xdr:cNvPr id="6" name="그룹 5"/>
        <xdr:cNvGrpSpPr/>
      </xdr:nvGrpSpPr>
      <xdr:grpSpPr>
        <a:xfrm>
          <a:off x="4114800" y="600075"/>
          <a:ext cx="2457450" cy="1076325"/>
          <a:chOff x="4114800" y="600075"/>
          <a:chExt cx="2457450" cy="1076325"/>
        </a:xfrm>
      </xdr:grpSpPr>
      <xdr:sp macro="" textlink="">
        <xdr:nvSpPr>
          <xdr:cNvPr id="2" name="_1"/>
          <xdr:cNvSpPr/>
        </xdr:nvSpPr>
        <xdr:spPr>
          <a:xfrm>
            <a:off x="4114800" y="600075"/>
            <a:ext cx="542925" cy="1076325"/>
          </a:xfrm>
          <a:prstGeom prst="rect">
            <a:avLst/>
          </a:prstGeom>
          <a:solidFill>
            <a:srgbClr val="78787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" name="_2"/>
          <xdr:cNvSpPr/>
        </xdr:nvSpPr>
        <xdr:spPr>
          <a:xfrm>
            <a:off x="4419600" y="600075"/>
            <a:ext cx="1609725" cy="1076325"/>
          </a:xfrm>
          <a:prstGeom prst="parallelogram">
            <a:avLst/>
          </a:prstGeom>
          <a:solidFill>
            <a:srgbClr val="3232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" name="_3"/>
          <xdr:cNvSpPr/>
        </xdr:nvSpPr>
        <xdr:spPr>
          <a:xfrm>
            <a:off x="4962525" y="600075"/>
            <a:ext cx="1609725" cy="1076325"/>
          </a:xfrm>
          <a:prstGeom prst="diamond">
            <a:avLst/>
          </a:prstGeom>
          <a:solidFill>
            <a:srgbClr val="78787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" name="txt캡챠"/>
          <xdr:cNvSpPr txBox="1"/>
        </xdr:nvSpPr>
        <xdr:spPr>
          <a:xfrm>
            <a:off x="4114800" y="771525"/>
            <a:ext cx="2420278" cy="7132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800" b="1" i="1">
                <a:solidFill>
                  <a:schemeClr val="accent6">
                    <a:lumMod val="60000"/>
                    <a:lumOff val="40000"/>
                  </a:schemeClr>
                </a:solidFill>
              </a:rPr>
              <a:t>퓤먗듙 툎낮춉</a:t>
            </a:r>
          </a:p>
        </xdr:txBody>
      </xdr:sp>
    </xdr:grpSp>
    <xdr:clientData/>
  </xdr:twoCellAnchor>
  <xdr:twoCellAnchor>
    <xdr:from>
      <xdr:col>10</xdr:col>
      <xdr:colOff>147637</xdr:colOff>
      <xdr:row>2</xdr:row>
      <xdr:rowOff>85724</xdr:rowOff>
    </xdr:from>
    <xdr:to>
      <xdr:col>15</xdr:col>
      <xdr:colOff>0</xdr:colOff>
      <xdr:row>10</xdr:row>
      <xdr:rowOff>209549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표2" displayName="표2" ref="A1:I188" totalsRowShown="0" headerRowDxfId="43" dataDxfId="44">
  <autoFilter ref="A1:I18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9">
    <tableColumn id="1" name="번호" dataDxfId="50"/>
    <tableColumn id="2" name="이름" dataDxfId="49"/>
    <tableColumn id="3" name="좌표" dataDxfId="48"/>
    <tableColumn id="4" name="아이디" dataDxfId="47"/>
    <tableColumn id="5" name="비밀번호" dataDxfId="46"/>
    <tableColumn id="6" name="등급" dataDxfId="45">
      <calculatedColumnFormula>fn등급(A2)</calculatedColumnFormula>
    </tableColumn>
    <tableColumn id="7" name="최종" dataDxfId="36">
      <calculatedColumnFormula>AND(표2[[#This Row],[좌표중복]], 표2[[#This Row],[숫자범위]])</calculatedColumnFormula>
    </tableColumn>
    <tableColumn id="8" name="좌표중복" dataDxfId="38">
      <calculatedColumnFormula>AND(COUNTIF($C:$C, 표2[[#This Row],[좌표]])=1, COUNTIF(접근금지구역!$B:$B, 표2[[#This Row],[좌표]])=0)</calculatedColumnFormula>
    </tableColumn>
    <tableColumn id="12" name="숫자범위" dataDxfId="37">
      <calculatedColumnFormula>fn숫자(표2[[#This Row],[좌표]])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표4" displayName="표4" ref="A1:C139" totalsRowShown="0" headerRowDxfId="32" dataDxfId="33">
  <autoFilter ref="A1:C139">
    <filterColumn colId="0" hiddenButton="1"/>
    <filterColumn colId="1" hiddenButton="1"/>
    <filterColumn colId="2" hiddenButton="1"/>
  </autoFilter>
  <tableColumns count="3">
    <tableColumn id="1" name="번호" dataDxfId="35"/>
    <tableColumn id="2" name="카테고리" dataDxfId="34"/>
    <tableColumn id="3" name="평균 별점" dataDxfId="14">
      <calculatedColumnFormula array="1">ROUND(SUM((표4[[#This Row],[번호]]=표6[음식점 번호])*표6[별점]) / SUM((표4[[#This Row],[번호]]=표6[음식점 번호])*1), 1)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5" name="표5" displayName="표5" ref="A1:E1311" totalsRowShown="0" headerRowDxfId="25" dataDxfId="26">
  <tableColumns count="5">
    <tableColumn id="1" name="순번" dataDxfId="31"/>
    <tableColumn id="2" name="판매자 번호" dataDxfId="30"/>
    <tableColumn id="3" name="음식" dataDxfId="29"/>
    <tableColumn id="4" name=" 상품 설명 " dataDxfId="28"/>
    <tableColumn id="5" name=" 가격 " dataDxfId="2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표3" displayName="표3" ref="A1:B1001" totalsRowShown="0" headerRowDxfId="39" dataDxfId="40">
  <autoFilter ref="A1:B1001"/>
  <tableColumns count="2">
    <tableColumn id="1" name="번호" dataDxfId="42"/>
    <tableColumn id="2" name="좌표" dataDxfId="4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1" name="표1" displayName="표1" ref="A1:H299" totalsRowShown="0" headerRowDxfId="51" dataDxfId="52">
  <tableColumns count="8">
    <tableColumn id="1" name="번호" dataDxfId="57"/>
    <tableColumn id="2" name="회원번호" dataDxfId="56"/>
    <tableColumn id="3" name="음식점" dataDxfId="55"/>
    <tableColumn id="4" name="음식이름" dataDxfId="54"/>
    <tableColumn id="5" name="개수" dataDxfId="53"/>
    <tableColumn id="6" name="구매날짜" dataDxfId="13"/>
    <tableColumn id="7" name="배달료" dataDxfId="12"/>
    <tableColumn id="8" name="가격 (원가)" dataDxfId="1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표6" displayName="표6" ref="A1:H183" totalsRowShown="0" headerRowDxfId="15" dataDxfId="16">
  <tableColumns count="8">
    <tableColumn id="1" name="번호" dataDxfId="24"/>
    <tableColumn id="2" name="회원번호" dataDxfId="23"/>
    <tableColumn id="3" name="음식점 번호" dataDxfId="22"/>
    <tableColumn id="4" name="음식점" dataDxfId="21"/>
    <tableColumn id="5" name="구매날짜" dataDxfId="20"/>
    <tableColumn id="6" name="리뷰" dataDxfId="19"/>
    <tableColumn id="7" name="별점" dataDxfId="18"/>
    <tableColumn id="8" name="공개여부" dataDxfId="1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image" Target="../media/image10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12.emf"/><Relationship Id="rId5" Type="http://schemas.openxmlformats.org/officeDocument/2006/relationships/control" Target="../activeX/activeX11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table" Target="../tables/table6.xml"/><Relationship Id="rId4" Type="http://schemas.openxmlformats.org/officeDocument/2006/relationships/image" Target="../media/image1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6"/>
  <sheetViews>
    <sheetView zoomScale="55" zoomScaleNormal="55" workbookViewId="0">
      <selection activeCell="F40" sqref="F40"/>
    </sheetView>
  </sheetViews>
  <sheetFormatPr defaultRowHeight="16.5" x14ac:dyDescent="0.3"/>
  <sheetData>
    <row r="1" spans="1:31" x14ac:dyDescent="0.3">
      <c r="A1" s="11">
        <v>250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</row>
    <row r="2" spans="1:3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43"/>
  <sheetViews>
    <sheetView zoomScale="85" zoomScaleNormal="85" workbookViewId="0">
      <selection activeCell="D33" sqref="D33"/>
    </sheetView>
  </sheetViews>
  <sheetFormatPr defaultRowHeight="16.5" x14ac:dyDescent="0.3"/>
  <sheetData>
    <row r="1" spans="1:3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</row>
    <row r="2" spans="1:3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2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2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2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"/>
    </row>
    <row r="20" spans="1:32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"/>
    </row>
    <row r="21" spans="1:32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</row>
    <row r="22" spans="1:32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"/>
    </row>
    <row r="23" spans="1:32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"/>
    </row>
    <row r="24" spans="1:32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"/>
    </row>
    <row r="25" spans="1:32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"/>
    </row>
    <row r="26" spans="1:32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"/>
    </row>
    <row r="27" spans="1:32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"/>
    </row>
    <row r="28" spans="1:32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"/>
    </row>
    <row r="29" spans="1:32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"/>
    </row>
    <row r="30" spans="1:32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"/>
    </row>
    <row r="31" spans="1:32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"/>
    </row>
    <row r="32" spans="1:32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31" x14ac:dyDescent="0.3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31" x14ac:dyDescent="0.3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31" x14ac:dyDescent="0.3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31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31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31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autoLine="0" autoPict="0" r:id="rId4">
            <anchor moveWithCells="1">
              <from>
                <xdr:col>10</xdr:col>
                <xdr:colOff>285750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114300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autoLine="0" r:id="rId6">
            <anchor moveWithCells="1">
              <from>
                <xdr:col>10</xdr:col>
                <xdr:colOff>285750</xdr:colOff>
                <xdr:row>9</xdr:row>
                <xdr:rowOff>95250</xdr:rowOff>
              </from>
              <to>
                <xdr:col>13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50" r:id="rId5" name="CommandButton2"/>
      </mc:Fallback>
    </mc:AlternateContent>
    <mc:AlternateContent xmlns:mc="http://schemas.openxmlformats.org/markup-compatibility/2006">
      <mc:Choice Requires="x14">
        <control shapeId="2051" r:id="rId7" name="CommandButton3">
          <controlPr autoLine="0" r:id="rId8">
            <anchor moveWithCells="1">
              <from>
                <xdr:col>10</xdr:col>
                <xdr:colOff>285750</xdr:colOff>
                <xdr:row>14</xdr:row>
                <xdr:rowOff>0</xdr:rowOff>
              </from>
              <to>
                <xdr:col>13</xdr:col>
                <xdr:colOff>0</xdr:colOff>
                <xdr:row>16</xdr:row>
                <xdr:rowOff>114300</xdr:rowOff>
              </to>
            </anchor>
          </controlPr>
        </control>
      </mc:Choice>
      <mc:Fallback>
        <control shapeId="2051" r:id="rId7" name="CommandButton3"/>
      </mc:Fallback>
    </mc:AlternateContent>
    <mc:AlternateContent xmlns:mc="http://schemas.openxmlformats.org/markup-compatibility/2006">
      <mc:Choice Requires="x14">
        <control shapeId="2052" r:id="rId9" name="CommandButton4">
          <controlPr autoLine="0" autoPict="0" r:id="rId10">
            <anchor moveWithCells="1">
              <from>
                <xdr:col>0</xdr:col>
                <xdr:colOff>323850</xdr:colOff>
                <xdr:row>21</xdr:row>
                <xdr:rowOff>200025</xdr:rowOff>
              </from>
              <to>
                <xdr:col>13</xdr:col>
                <xdr:colOff>0</xdr:colOff>
                <xdr:row>25</xdr:row>
                <xdr:rowOff>133350</xdr:rowOff>
              </to>
            </anchor>
          </controlPr>
        </control>
      </mc:Choice>
      <mc:Fallback>
        <control shapeId="2052" r:id="rId9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88"/>
  <sheetViews>
    <sheetView workbookViewId="0">
      <selection activeCell="F4" sqref="F4"/>
    </sheetView>
  </sheetViews>
  <sheetFormatPr defaultRowHeight="16.5" x14ac:dyDescent="0.3"/>
  <cols>
    <col min="1" max="1" width="9" style="2"/>
    <col min="2" max="2" width="22" style="2" bestFit="1" customWidth="1"/>
    <col min="3" max="4" width="9" style="2"/>
    <col min="5" max="5" width="10.25" style="2" customWidth="1"/>
    <col min="6" max="6" width="9" style="2"/>
    <col min="7" max="9" width="0" hidden="1" customWidth="1"/>
  </cols>
  <sheetData>
    <row r="1" spans="1: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3620</v>
      </c>
      <c r="H1" s="3" t="s">
        <v>3621</v>
      </c>
      <c r="I1" s="3" t="s">
        <v>3622</v>
      </c>
    </row>
    <row r="2" spans="1:9" x14ac:dyDescent="0.3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tr">
        <f>fn등급(A2)</f>
        <v>VIP</v>
      </c>
      <c r="G2" s="2" t="b">
        <f>AND(표2[[#This Row],[좌표중복]], 표2[[#This Row],[숫자범위]])</f>
        <v>1</v>
      </c>
      <c r="H2" s="2" t="b">
        <f>AND(COUNTIF($C:$C, 표2[[#This Row],[좌표]])=1, COUNTIF(접근금지구역!$B:$B, 표2[[#This Row],[좌표]])=0)</f>
        <v>1</v>
      </c>
      <c r="I2" s="2" t="b">
        <f>fn숫자(표2[[#This Row],[좌표]])</f>
        <v>1</v>
      </c>
    </row>
    <row r="3" spans="1:9" x14ac:dyDescent="0.3">
      <c r="A3" s="2" t="s">
        <v>11</v>
      </c>
      <c r="B3" s="2" t="s">
        <v>12</v>
      </c>
      <c r="C3" s="2" t="s">
        <v>3623</v>
      </c>
      <c r="D3" s="2" t="s">
        <v>13</v>
      </c>
      <c r="E3" s="2" t="s">
        <v>14</v>
      </c>
      <c r="F3" s="2" t="str">
        <f t="shared" ref="F3:F66" si="0">fn등급(A3)</f>
        <v>Gold</v>
      </c>
      <c r="G3" s="2" t="b">
        <f>AND(표2[[#This Row],[좌표중복]], 표2[[#This Row],[숫자범위]])</f>
        <v>1</v>
      </c>
      <c r="H3" s="2" t="b">
        <f>AND(COUNTIF($C:$C, 표2[[#This Row],[좌표]])=1, COUNTIF(접근금지구역!$B:$B, 표2[[#This Row],[좌표]])=0)</f>
        <v>1</v>
      </c>
      <c r="I3" s="2" t="b">
        <f>fn숫자(표2[[#This Row],[좌표]])</f>
        <v>1</v>
      </c>
    </row>
    <row r="4" spans="1:9" x14ac:dyDescent="0.3">
      <c r="A4" s="2" t="s">
        <v>15</v>
      </c>
      <c r="B4" s="2" t="s">
        <v>16</v>
      </c>
      <c r="C4" s="2" t="s">
        <v>17</v>
      </c>
      <c r="D4" s="2" t="s">
        <v>18</v>
      </c>
      <c r="E4" s="2" t="s">
        <v>19</v>
      </c>
      <c r="F4" s="2" t="str">
        <f t="shared" si="0"/>
        <v>VIP</v>
      </c>
      <c r="G4" s="2" t="b">
        <f>AND(표2[[#This Row],[좌표중복]], 표2[[#This Row],[숫자범위]])</f>
        <v>1</v>
      </c>
      <c r="H4" s="2" t="b">
        <f>AND(COUNTIF($C:$C, 표2[[#This Row],[좌표]])=1, COUNTIF(접근금지구역!$B:$B, 표2[[#This Row],[좌표]])=0)</f>
        <v>1</v>
      </c>
      <c r="I4" s="2" t="b">
        <f>fn숫자(표2[[#This Row],[좌표]])</f>
        <v>1</v>
      </c>
    </row>
    <row r="5" spans="1:9" x14ac:dyDescent="0.3">
      <c r="A5" s="2" t="s">
        <v>20</v>
      </c>
      <c r="B5" s="2" t="s">
        <v>21</v>
      </c>
      <c r="C5" s="2" t="s">
        <v>22</v>
      </c>
      <c r="D5" s="2" t="s">
        <v>23</v>
      </c>
      <c r="E5" s="2" t="s">
        <v>24</v>
      </c>
      <c r="F5" s="2" t="str">
        <f t="shared" si="0"/>
        <v>Gold</v>
      </c>
      <c r="G5" s="2" t="b">
        <f>AND(표2[[#This Row],[좌표중복]], 표2[[#This Row],[숫자범위]])</f>
        <v>1</v>
      </c>
      <c r="H5" s="2" t="b">
        <f>AND(COUNTIF($C:$C, 표2[[#This Row],[좌표]])=1, COUNTIF(접근금지구역!$B:$B, 표2[[#This Row],[좌표]])=0)</f>
        <v>1</v>
      </c>
      <c r="I5" s="2" t="b">
        <f>fn숫자(표2[[#This Row],[좌표]])</f>
        <v>1</v>
      </c>
    </row>
    <row r="6" spans="1:9" x14ac:dyDescent="0.3">
      <c r="A6" s="2" t="s">
        <v>25</v>
      </c>
      <c r="B6" s="2" t="s">
        <v>26</v>
      </c>
      <c r="C6" s="2" t="s">
        <v>27</v>
      </c>
      <c r="D6" s="2" t="s">
        <v>28</v>
      </c>
      <c r="E6" s="2" t="s">
        <v>29</v>
      </c>
      <c r="F6" s="2" t="str">
        <f t="shared" si="0"/>
        <v>VIP</v>
      </c>
      <c r="G6" s="2" t="b">
        <f>AND(표2[[#This Row],[좌표중복]], 표2[[#This Row],[숫자범위]])</f>
        <v>1</v>
      </c>
      <c r="H6" s="2" t="b">
        <f>AND(COUNTIF($C:$C, 표2[[#This Row],[좌표]])=1, COUNTIF(접근금지구역!$B:$B, 표2[[#This Row],[좌표]])=0)</f>
        <v>1</v>
      </c>
      <c r="I6" s="2" t="b">
        <f>fn숫자(표2[[#This Row],[좌표]])</f>
        <v>1</v>
      </c>
    </row>
    <row r="7" spans="1:9" x14ac:dyDescent="0.3">
      <c r="A7" s="2" t="s">
        <v>30</v>
      </c>
      <c r="B7" s="2" t="s">
        <v>31</v>
      </c>
      <c r="C7" s="2" t="s">
        <v>32</v>
      </c>
      <c r="D7" s="2" t="s">
        <v>33</v>
      </c>
      <c r="E7" s="2" t="s">
        <v>34</v>
      </c>
      <c r="F7" s="2" t="str">
        <f t="shared" si="0"/>
        <v>Gold</v>
      </c>
      <c r="G7" s="2" t="b">
        <f>AND(표2[[#This Row],[좌표중복]], 표2[[#This Row],[숫자범위]])</f>
        <v>1</v>
      </c>
      <c r="H7" s="2" t="b">
        <f>AND(COUNTIF($C:$C, 표2[[#This Row],[좌표]])=1, COUNTIF(접근금지구역!$B:$B, 표2[[#This Row],[좌표]])=0)</f>
        <v>1</v>
      </c>
      <c r="I7" s="2" t="b">
        <f>fn숫자(표2[[#This Row],[좌표]])</f>
        <v>1</v>
      </c>
    </row>
    <row r="8" spans="1:9" x14ac:dyDescent="0.3">
      <c r="A8" s="2" t="s">
        <v>35</v>
      </c>
      <c r="B8" s="2" t="s">
        <v>36</v>
      </c>
      <c r="C8" s="2" t="s">
        <v>37</v>
      </c>
      <c r="D8" s="2" t="s">
        <v>38</v>
      </c>
      <c r="E8" s="2" t="s">
        <v>39</v>
      </c>
      <c r="F8" s="2" t="str">
        <f t="shared" si="0"/>
        <v>Silver</v>
      </c>
      <c r="G8" s="2" t="b">
        <f>AND(표2[[#This Row],[좌표중복]], 표2[[#This Row],[숫자범위]])</f>
        <v>1</v>
      </c>
      <c r="H8" s="2" t="b">
        <f>AND(COUNTIF($C:$C, 표2[[#This Row],[좌표]])=1, COUNTIF(접근금지구역!$B:$B, 표2[[#This Row],[좌표]])=0)</f>
        <v>1</v>
      </c>
      <c r="I8" s="2" t="b">
        <f>fn숫자(표2[[#This Row],[좌표]])</f>
        <v>1</v>
      </c>
    </row>
    <row r="9" spans="1:9" x14ac:dyDescent="0.3">
      <c r="A9" s="2" t="s">
        <v>40</v>
      </c>
      <c r="B9" s="2" t="s">
        <v>41</v>
      </c>
      <c r="C9" s="2" t="s">
        <v>42</v>
      </c>
      <c r="D9" s="2" t="s">
        <v>43</v>
      </c>
      <c r="E9" s="2" t="s">
        <v>44</v>
      </c>
      <c r="F9" s="2" t="str">
        <f t="shared" si="0"/>
        <v>Gold</v>
      </c>
      <c r="G9" s="2" t="b">
        <f>AND(표2[[#This Row],[좌표중복]], 표2[[#This Row],[숫자범위]])</f>
        <v>1</v>
      </c>
      <c r="H9" s="2" t="b">
        <f>AND(COUNTIF($C:$C, 표2[[#This Row],[좌표]])=1, COUNTIF(접근금지구역!$B:$B, 표2[[#This Row],[좌표]])=0)</f>
        <v>1</v>
      </c>
      <c r="I9" s="2" t="b">
        <f>fn숫자(표2[[#This Row],[좌표]])</f>
        <v>1</v>
      </c>
    </row>
    <row r="10" spans="1:9" x14ac:dyDescent="0.3">
      <c r="A10" s="2" t="s">
        <v>45</v>
      </c>
      <c r="B10" s="2" t="s">
        <v>46</v>
      </c>
      <c r="C10" s="2" t="s">
        <v>47</v>
      </c>
      <c r="D10" s="2" t="s">
        <v>48</v>
      </c>
      <c r="E10" s="2" t="s">
        <v>49</v>
      </c>
      <c r="F10" s="2" t="str">
        <f t="shared" si="0"/>
        <v>VIP</v>
      </c>
      <c r="G10" s="2" t="b">
        <f>AND(표2[[#This Row],[좌표중복]], 표2[[#This Row],[숫자범위]])</f>
        <v>1</v>
      </c>
      <c r="H10" s="2" t="b">
        <f>AND(COUNTIF($C:$C, 표2[[#This Row],[좌표]])=1, COUNTIF(접근금지구역!$B:$B, 표2[[#This Row],[좌표]])=0)</f>
        <v>1</v>
      </c>
      <c r="I10" s="2" t="b">
        <f>fn숫자(표2[[#This Row],[좌표]])</f>
        <v>1</v>
      </c>
    </row>
    <row r="11" spans="1:9" x14ac:dyDescent="0.3">
      <c r="A11" s="2" t="s">
        <v>50</v>
      </c>
      <c r="B11" s="2" t="s">
        <v>51</v>
      </c>
      <c r="C11" s="2" t="s">
        <v>52</v>
      </c>
      <c r="D11" s="2" t="s">
        <v>53</v>
      </c>
      <c r="E11" s="2" t="s">
        <v>54</v>
      </c>
      <c r="F11" s="2" t="str">
        <f t="shared" si="0"/>
        <v>Silver</v>
      </c>
      <c r="G11" s="2" t="b">
        <f>AND(표2[[#This Row],[좌표중복]], 표2[[#This Row],[숫자범위]])</f>
        <v>1</v>
      </c>
      <c r="H11" s="2" t="b">
        <f>AND(COUNTIF($C:$C, 표2[[#This Row],[좌표]])=1, COUNTIF(접근금지구역!$B:$B, 표2[[#This Row],[좌표]])=0)</f>
        <v>1</v>
      </c>
      <c r="I11" s="2" t="b">
        <f>fn숫자(표2[[#This Row],[좌표]])</f>
        <v>1</v>
      </c>
    </row>
    <row r="12" spans="1:9" x14ac:dyDescent="0.3">
      <c r="A12" s="2" t="s">
        <v>55</v>
      </c>
      <c r="B12" s="2" t="s">
        <v>56</v>
      </c>
      <c r="C12" s="2" t="s">
        <v>57</v>
      </c>
      <c r="D12" s="2" t="s">
        <v>58</v>
      </c>
      <c r="E12" s="2" t="s">
        <v>59</v>
      </c>
      <c r="F12" s="2" t="str">
        <f t="shared" si="0"/>
        <v>Gold</v>
      </c>
      <c r="G12" s="2" t="b">
        <f>AND(표2[[#This Row],[좌표중복]], 표2[[#This Row],[숫자범위]])</f>
        <v>1</v>
      </c>
      <c r="H12" s="2" t="b">
        <f>AND(COUNTIF($C:$C, 표2[[#This Row],[좌표]])=1, COUNTIF(접근금지구역!$B:$B, 표2[[#This Row],[좌표]])=0)</f>
        <v>1</v>
      </c>
      <c r="I12" s="2" t="b">
        <f>fn숫자(표2[[#This Row],[좌표]])</f>
        <v>1</v>
      </c>
    </row>
    <row r="13" spans="1:9" x14ac:dyDescent="0.3">
      <c r="A13" s="2" t="s">
        <v>60</v>
      </c>
      <c r="B13" s="2" t="s">
        <v>61</v>
      </c>
      <c r="C13" s="2" t="s">
        <v>62</v>
      </c>
      <c r="D13" s="2" t="s">
        <v>63</v>
      </c>
      <c r="E13" s="2" t="s">
        <v>64</v>
      </c>
      <c r="F13" s="2" t="str">
        <f t="shared" si="0"/>
        <v>Gold</v>
      </c>
      <c r="G13" s="2" t="b">
        <f>AND(표2[[#This Row],[좌표중복]], 표2[[#This Row],[숫자범위]])</f>
        <v>1</v>
      </c>
      <c r="H13" s="2" t="b">
        <f>AND(COUNTIF($C:$C, 표2[[#This Row],[좌표]])=1, COUNTIF(접근금지구역!$B:$B, 표2[[#This Row],[좌표]])=0)</f>
        <v>1</v>
      </c>
      <c r="I13" s="2" t="b">
        <f>fn숫자(표2[[#This Row],[좌표]])</f>
        <v>1</v>
      </c>
    </row>
    <row r="14" spans="1:9" x14ac:dyDescent="0.3">
      <c r="A14" s="2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 t="str">
        <f t="shared" si="0"/>
        <v>Silver</v>
      </c>
      <c r="G14" s="2" t="b">
        <f>AND(표2[[#This Row],[좌표중복]], 표2[[#This Row],[숫자범위]])</f>
        <v>1</v>
      </c>
      <c r="H14" s="2" t="b">
        <f>AND(COUNTIF($C:$C, 표2[[#This Row],[좌표]])=1, COUNTIF(접근금지구역!$B:$B, 표2[[#This Row],[좌표]])=0)</f>
        <v>1</v>
      </c>
      <c r="I14" s="2" t="b">
        <f>fn숫자(표2[[#This Row],[좌표]])</f>
        <v>1</v>
      </c>
    </row>
    <row r="15" spans="1:9" x14ac:dyDescent="0.3">
      <c r="A15" s="2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 t="str">
        <f t="shared" si="0"/>
        <v>Gold</v>
      </c>
      <c r="G15" s="2" t="b">
        <f>AND(표2[[#This Row],[좌표중복]], 표2[[#This Row],[숫자범위]])</f>
        <v>1</v>
      </c>
      <c r="H15" s="2" t="b">
        <f>AND(COUNTIF($C:$C, 표2[[#This Row],[좌표]])=1, COUNTIF(접근금지구역!$B:$B, 표2[[#This Row],[좌표]])=0)</f>
        <v>1</v>
      </c>
      <c r="I15" s="2" t="b">
        <f>fn숫자(표2[[#This Row],[좌표]])</f>
        <v>1</v>
      </c>
    </row>
    <row r="16" spans="1:9" x14ac:dyDescent="0.3">
      <c r="A16" s="2" t="s">
        <v>75</v>
      </c>
      <c r="B16" s="2" t="s">
        <v>76</v>
      </c>
      <c r="C16" s="2" t="s">
        <v>77</v>
      </c>
      <c r="D16" s="2" t="s">
        <v>78</v>
      </c>
      <c r="E16" s="2" t="s">
        <v>79</v>
      </c>
      <c r="F16" s="2" t="str">
        <f t="shared" si="0"/>
        <v>Silver</v>
      </c>
      <c r="G16" s="2" t="b">
        <f>AND(표2[[#This Row],[좌표중복]], 표2[[#This Row],[숫자범위]])</f>
        <v>1</v>
      </c>
      <c r="H16" s="2" t="b">
        <f>AND(COUNTIF($C:$C, 표2[[#This Row],[좌표]])=1, COUNTIF(접근금지구역!$B:$B, 표2[[#This Row],[좌표]])=0)</f>
        <v>1</v>
      </c>
      <c r="I16" s="2" t="b">
        <f>fn숫자(표2[[#This Row],[좌표]])</f>
        <v>1</v>
      </c>
    </row>
    <row r="17" spans="1:9" x14ac:dyDescent="0.3">
      <c r="A17" s="2" t="s">
        <v>80</v>
      </c>
      <c r="B17" s="2" t="s">
        <v>81</v>
      </c>
      <c r="C17" s="2" t="s">
        <v>82</v>
      </c>
      <c r="D17" s="2" t="s">
        <v>83</v>
      </c>
      <c r="E17" s="2" t="s">
        <v>84</v>
      </c>
      <c r="F17" s="2" t="str">
        <f t="shared" si="0"/>
        <v>Normal</v>
      </c>
      <c r="G17" s="2" t="b">
        <f>AND(표2[[#This Row],[좌표중복]], 표2[[#This Row],[숫자범위]])</f>
        <v>1</v>
      </c>
      <c r="H17" s="2" t="b">
        <f>AND(COUNTIF($C:$C, 표2[[#This Row],[좌표]])=1, COUNTIF(접근금지구역!$B:$B, 표2[[#This Row],[좌표]])=0)</f>
        <v>1</v>
      </c>
      <c r="I17" s="2" t="b">
        <f>fn숫자(표2[[#This Row],[좌표]])</f>
        <v>1</v>
      </c>
    </row>
    <row r="18" spans="1:9" x14ac:dyDescent="0.3">
      <c r="A18" s="2" t="s">
        <v>85</v>
      </c>
      <c r="B18" s="2" t="s">
        <v>86</v>
      </c>
      <c r="C18" s="2" t="s">
        <v>87</v>
      </c>
      <c r="D18" s="2" t="s">
        <v>88</v>
      </c>
      <c r="E18" s="2" t="s">
        <v>89</v>
      </c>
      <c r="F18" s="2" t="str">
        <f t="shared" si="0"/>
        <v>Gold</v>
      </c>
      <c r="G18" s="2" t="b">
        <f>AND(표2[[#This Row],[좌표중복]], 표2[[#This Row],[숫자범위]])</f>
        <v>1</v>
      </c>
      <c r="H18" s="2" t="b">
        <f>AND(COUNTIF($C:$C, 표2[[#This Row],[좌표]])=1, COUNTIF(접근금지구역!$B:$B, 표2[[#This Row],[좌표]])=0)</f>
        <v>1</v>
      </c>
      <c r="I18" s="2" t="b">
        <f>fn숫자(표2[[#This Row],[좌표]])</f>
        <v>1</v>
      </c>
    </row>
    <row r="19" spans="1:9" x14ac:dyDescent="0.3">
      <c r="A19" s="2" t="s">
        <v>90</v>
      </c>
      <c r="B19" s="2" t="s">
        <v>91</v>
      </c>
      <c r="C19" s="2" t="s">
        <v>92</v>
      </c>
      <c r="D19" s="2" t="s">
        <v>93</v>
      </c>
      <c r="E19" s="2" t="s">
        <v>94</v>
      </c>
      <c r="F19" s="2" t="str">
        <f t="shared" si="0"/>
        <v>Normal</v>
      </c>
      <c r="G19" s="2" t="b">
        <f>AND(표2[[#This Row],[좌표중복]], 표2[[#This Row],[숫자범위]])</f>
        <v>1</v>
      </c>
      <c r="H19" s="2" t="b">
        <f>AND(COUNTIF($C:$C, 표2[[#This Row],[좌표]])=1, COUNTIF(접근금지구역!$B:$B, 표2[[#This Row],[좌표]])=0)</f>
        <v>1</v>
      </c>
      <c r="I19" s="2" t="b">
        <f>fn숫자(표2[[#This Row],[좌표]])</f>
        <v>1</v>
      </c>
    </row>
    <row r="20" spans="1:9" x14ac:dyDescent="0.3">
      <c r="A20" s="2" t="s">
        <v>95</v>
      </c>
      <c r="B20" s="2" t="s">
        <v>96</v>
      </c>
      <c r="C20" s="2" t="s">
        <v>97</v>
      </c>
      <c r="D20" s="2" t="s">
        <v>98</v>
      </c>
      <c r="E20" s="2" t="s">
        <v>99</v>
      </c>
      <c r="F20" s="2" t="str">
        <f t="shared" si="0"/>
        <v>Gold</v>
      </c>
      <c r="G20" s="2" t="b">
        <f>AND(표2[[#This Row],[좌표중복]], 표2[[#This Row],[숫자범위]])</f>
        <v>1</v>
      </c>
      <c r="H20" s="2" t="b">
        <f>AND(COUNTIF($C:$C, 표2[[#This Row],[좌표]])=1, COUNTIF(접근금지구역!$B:$B, 표2[[#This Row],[좌표]])=0)</f>
        <v>1</v>
      </c>
      <c r="I20" s="2" t="b">
        <f>fn숫자(표2[[#This Row],[좌표]])</f>
        <v>1</v>
      </c>
    </row>
    <row r="21" spans="1:9" x14ac:dyDescent="0.3">
      <c r="A21" s="2" t="s">
        <v>100</v>
      </c>
      <c r="B21" s="2" t="s">
        <v>101</v>
      </c>
      <c r="C21" s="2" t="s">
        <v>102</v>
      </c>
      <c r="D21" s="2" t="s">
        <v>103</v>
      </c>
      <c r="E21" s="2" t="s">
        <v>104</v>
      </c>
      <c r="F21" s="2" t="str">
        <f t="shared" si="0"/>
        <v>Silver</v>
      </c>
      <c r="G21" s="2" t="b">
        <f>AND(표2[[#This Row],[좌표중복]], 표2[[#This Row],[숫자범위]])</f>
        <v>1</v>
      </c>
      <c r="H21" s="2" t="b">
        <f>AND(COUNTIF($C:$C, 표2[[#This Row],[좌표]])=1, COUNTIF(접근금지구역!$B:$B, 표2[[#This Row],[좌표]])=0)</f>
        <v>1</v>
      </c>
      <c r="I21" s="2" t="b">
        <f>fn숫자(표2[[#This Row],[좌표]])</f>
        <v>1</v>
      </c>
    </row>
    <row r="22" spans="1:9" x14ac:dyDescent="0.3">
      <c r="A22" s="2" t="s">
        <v>105</v>
      </c>
      <c r="B22" s="2" t="s">
        <v>106</v>
      </c>
      <c r="C22" s="2" t="s">
        <v>107</v>
      </c>
      <c r="D22" s="2" t="s">
        <v>108</v>
      </c>
      <c r="E22" s="2" t="s">
        <v>109</v>
      </c>
      <c r="F22" s="2" t="str">
        <f t="shared" si="0"/>
        <v>Normal</v>
      </c>
      <c r="G22" s="2" t="b">
        <f>AND(표2[[#This Row],[좌표중복]], 표2[[#This Row],[숫자범위]])</f>
        <v>1</v>
      </c>
      <c r="H22" s="2" t="b">
        <f>AND(COUNTIF($C:$C, 표2[[#This Row],[좌표]])=1, COUNTIF(접근금지구역!$B:$B, 표2[[#This Row],[좌표]])=0)</f>
        <v>1</v>
      </c>
      <c r="I22" s="2" t="b">
        <f>fn숫자(표2[[#This Row],[좌표]])</f>
        <v>1</v>
      </c>
    </row>
    <row r="23" spans="1:9" x14ac:dyDescent="0.3">
      <c r="A23" s="2" t="s">
        <v>110</v>
      </c>
      <c r="B23" s="2" t="s">
        <v>111</v>
      </c>
      <c r="C23" s="2" t="s">
        <v>112</v>
      </c>
      <c r="D23" s="2" t="s">
        <v>113</v>
      </c>
      <c r="E23" s="2" t="s">
        <v>114</v>
      </c>
      <c r="F23" s="2" t="str">
        <f t="shared" si="0"/>
        <v>Gold</v>
      </c>
      <c r="G23" s="2" t="b">
        <f>AND(표2[[#This Row],[좌표중복]], 표2[[#This Row],[숫자범위]])</f>
        <v>1</v>
      </c>
      <c r="H23" s="2" t="b">
        <f>AND(COUNTIF($C:$C, 표2[[#This Row],[좌표]])=1, COUNTIF(접근금지구역!$B:$B, 표2[[#This Row],[좌표]])=0)</f>
        <v>1</v>
      </c>
      <c r="I23" s="2" t="b">
        <f>fn숫자(표2[[#This Row],[좌표]])</f>
        <v>1</v>
      </c>
    </row>
    <row r="24" spans="1:9" x14ac:dyDescent="0.3">
      <c r="A24" s="2" t="s">
        <v>115</v>
      </c>
      <c r="B24" s="2" t="s">
        <v>116</v>
      </c>
      <c r="C24" s="2" t="s">
        <v>117</v>
      </c>
      <c r="D24" s="2" t="s">
        <v>118</v>
      </c>
      <c r="E24" s="2" t="s">
        <v>119</v>
      </c>
      <c r="F24" s="2" t="str">
        <f t="shared" si="0"/>
        <v>Gold</v>
      </c>
      <c r="G24" s="2" t="b">
        <f>AND(표2[[#This Row],[좌표중복]], 표2[[#This Row],[숫자범위]])</f>
        <v>1</v>
      </c>
      <c r="H24" s="2" t="b">
        <f>AND(COUNTIF($C:$C, 표2[[#This Row],[좌표]])=1, COUNTIF(접근금지구역!$B:$B, 표2[[#This Row],[좌표]])=0)</f>
        <v>1</v>
      </c>
      <c r="I24" s="2" t="b">
        <f>fn숫자(표2[[#This Row],[좌표]])</f>
        <v>1</v>
      </c>
    </row>
    <row r="25" spans="1:9" x14ac:dyDescent="0.3">
      <c r="A25" s="2" t="s">
        <v>120</v>
      </c>
      <c r="B25" s="2" t="s">
        <v>121</v>
      </c>
      <c r="C25" s="2" t="s">
        <v>122</v>
      </c>
      <c r="D25" s="2" t="s">
        <v>123</v>
      </c>
      <c r="E25" s="2" t="s">
        <v>124</v>
      </c>
      <c r="F25" s="2" t="str">
        <f t="shared" si="0"/>
        <v>Silver</v>
      </c>
      <c r="G25" s="2" t="b">
        <f>AND(표2[[#This Row],[좌표중복]], 표2[[#This Row],[숫자범위]])</f>
        <v>1</v>
      </c>
      <c r="H25" s="2" t="b">
        <f>AND(COUNTIF($C:$C, 표2[[#This Row],[좌표]])=1, COUNTIF(접근금지구역!$B:$B, 표2[[#This Row],[좌표]])=0)</f>
        <v>1</v>
      </c>
      <c r="I25" s="2" t="b">
        <f>fn숫자(표2[[#This Row],[좌표]])</f>
        <v>1</v>
      </c>
    </row>
    <row r="26" spans="1:9" x14ac:dyDescent="0.3">
      <c r="A26" s="2" t="s">
        <v>125</v>
      </c>
      <c r="B26" s="2" t="s">
        <v>126</v>
      </c>
      <c r="C26" s="2" t="s">
        <v>127</v>
      </c>
      <c r="D26" s="2" t="s">
        <v>128</v>
      </c>
      <c r="E26" s="2" t="s">
        <v>129</v>
      </c>
      <c r="F26" s="2" t="str">
        <f t="shared" si="0"/>
        <v>Normal</v>
      </c>
      <c r="G26" s="2" t="b">
        <f>AND(표2[[#This Row],[좌표중복]], 표2[[#This Row],[숫자범위]])</f>
        <v>1</v>
      </c>
      <c r="H26" s="2" t="b">
        <f>AND(COUNTIF($C:$C, 표2[[#This Row],[좌표]])=1, COUNTIF(접근금지구역!$B:$B, 표2[[#This Row],[좌표]])=0)</f>
        <v>1</v>
      </c>
      <c r="I26" s="2" t="b">
        <f>fn숫자(표2[[#This Row],[좌표]])</f>
        <v>1</v>
      </c>
    </row>
    <row r="27" spans="1:9" x14ac:dyDescent="0.3">
      <c r="A27" s="2" t="s">
        <v>130</v>
      </c>
      <c r="B27" s="2" t="s">
        <v>131</v>
      </c>
      <c r="C27" s="2" t="s">
        <v>132</v>
      </c>
      <c r="D27" s="2" t="s">
        <v>133</v>
      </c>
      <c r="E27" s="2" t="s">
        <v>134</v>
      </c>
      <c r="F27" s="2" t="str">
        <f t="shared" si="0"/>
        <v>Silver</v>
      </c>
      <c r="G27" s="2" t="b">
        <f>AND(표2[[#This Row],[좌표중복]], 표2[[#This Row],[숫자범위]])</f>
        <v>1</v>
      </c>
      <c r="H27" s="2" t="b">
        <f>AND(COUNTIF($C:$C, 표2[[#This Row],[좌표]])=1, COUNTIF(접근금지구역!$B:$B, 표2[[#This Row],[좌표]])=0)</f>
        <v>1</v>
      </c>
      <c r="I27" s="2" t="b">
        <f>fn숫자(표2[[#This Row],[좌표]])</f>
        <v>1</v>
      </c>
    </row>
    <row r="28" spans="1:9" x14ac:dyDescent="0.3">
      <c r="A28" s="2" t="s">
        <v>135</v>
      </c>
      <c r="B28" s="2" t="s">
        <v>136</v>
      </c>
      <c r="C28" s="2" t="s">
        <v>137</v>
      </c>
      <c r="D28" s="2" t="s">
        <v>138</v>
      </c>
      <c r="E28" s="2" t="s">
        <v>139</v>
      </c>
      <c r="F28" s="2" t="str">
        <f t="shared" si="0"/>
        <v>Normal</v>
      </c>
      <c r="G28" s="2" t="b">
        <f>AND(표2[[#This Row],[좌표중복]], 표2[[#This Row],[숫자범위]])</f>
        <v>1</v>
      </c>
      <c r="H28" s="2" t="b">
        <f>AND(COUNTIF($C:$C, 표2[[#This Row],[좌표]])=1, COUNTIF(접근금지구역!$B:$B, 표2[[#This Row],[좌표]])=0)</f>
        <v>1</v>
      </c>
      <c r="I28" s="2" t="b">
        <f>fn숫자(표2[[#This Row],[좌표]])</f>
        <v>1</v>
      </c>
    </row>
    <row r="29" spans="1:9" x14ac:dyDescent="0.3">
      <c r="A29" s="2" t="s">
        <v>140</v>
      </c>
      <c r="B29" s="2" t="s">
        <v>141</v>
      </c>
      <c r="C29" s="2" t="s">
        <v>142</v>
      </c>
      <c r="D29" s="2" t="s">
        <v>143</v>
      </c>
      <c r="E29" s="2" t="s">
        <v>144</v>
      </c>
      <c r="F29" s="2" t="str">
        <f t="shared" si="0"/>
        <v>Normal</v>
      </c>
      <c r="G29" s="2" t="b">
        <f>AND(표2[[#This Row],[좌표중복]], 표2[[#This Row],[숫자범위]])</f>
        <v>1</v>
      </c>
      <c r="H29" s="2" t="b">
        <f>AND(COUNTIF($C:$C, 표2[[#This Row],[좌표]])=1, COUNTIF(접근금지구역!$B:$B, 표2[[#This Row],[좌표]])=0)</f>
        <v>1</v>
      </c>
      <c r="I29" s="2" t="b">
        <f>fn숫자(표2[[#This Row],[좌표]])</f>
        <v>1</v>
      </c>
    </row>
    <row r="30" spans="1:9" x14ac:dyDescent="0.3">
      <c r="A30" s="2" t="s">
        <v>145</v>
      </c>
      <c r="B30" s="2" t="s">
        <v>146</v>
      </c>
      <c r="C30" s="2" t="s">
        <v>147</v>
      </c>
      <c r="D30" s="2" t="s">
        <v>148</v>
      </c>
      <c r="E30" s="2" t="s">
        <v>149</v>
      </c>
      <c r="F30" s="2" t="str">
        <f t="shared" si="0"/>
        <v>Gold</v>
      </c>
      <c r="G30" s="2" t="b">
        <f>AND(표2[[#This Row],[좌표중복]], 표2[[#This Row],[숫자범위]])</f>
        <v>1</v>
      </c>
      <c r="H30" s="2" t="b">
        <f>AND(COUNTIF($C:$C, 표2[[#This Row],[좌표]])=1, COUNTIF(접근금지구역!$B:$B, 표2[[#This Row],[좌표]])=0)</f>
        <v>1</v>
      </c>
      <c r="I30" s="2" t="b">
        <f>fn숫자(표2[[#This Row],[좌표]])</f>
        <v>1</v>
      </c>
    </row>
    <row r="31" spans="1:9" x14ac:dyDescent="0.3">
      <c r="A31" s="2" t="s">
        <v>150</v>
      </c>
      <c r="B31" s="2" t="s">
        <v>151</v>
      </c>
      <c r="C31" s="2" t="s">
        <v>152</v>
      </c>
      <c r="D31" s="2" t="s">
        <v>153</v>
      </c>
      <c r="E31" s="2" t="s">
        <v>154</v>
      </c>
      <c r="F31" s="2" t="str">
        <f t="shared" si="0"/>
        <v>Gold</v>
      </c>
      <c r="G31" s="2" t="b">
        <f>AND(표2[[#This Row],[좌표중복]], 표2[[#This Row],[숫자범위]])</f>
        <v>1</v>
      </c>
      <c r="H31" s="2" t="b">
        <f>AND(COUNTIF($C:$C, 표2[[#This Row],[좌표]])=1, COUNTIF(접근금지구역!$B:$B, 표2[[#This Row],[좌표]])=0)</f>
        <v>1</v>
      </c>
      <c r="I31" s="2" t="b">
        <f>fn숫자(표2[[#This Row],[좌표]])</f>
        <v>1</v>
      </c>
    </row>
    <row r="32" spans="1:9" x14ac:dyDescent="0.3">
      <c r="A32" s="2" t="s">
        <v>155</v>
      </c>
      <c r="B32" s="2" t="s">
        <v>156</v>
      </c>
      <c r="C32" s="2" t="s">
        <v>157</v>
      </c>
      <c r="D32" s="2" t="s">
        <v>158</v>
      </c>
      <c r="E32" s="2" t="s">
        <v>159</v>
      </c>
      <c r="F32" s="2" t="str">
        <f t="shared" si="0"/>
        <v>Normal</v>
      </c>
      <c r="G32" s="2" t="b">
        <f>AND(표2[[#This Row],[좌표중복]], 표2[[#This Row],[숫자범위]])</f>
        <v>1</v>
      </c>
      <c r="H32" s="2" t="b">
        <f>AND(COUNTIF($C:$C, 표2[[#This Row],[좌표]])=1, COUNTIF(접근금지구역!$B:$B, 표2[[#This Row],[좌표]])=0)</f>
        <v>1</v>
      </c>
      <c r="I32" s="2" t="b">
        <f>fn숫자(표2[[#This Row],[좌표]])</f>
        <v>1</v>
      </c>
    </row>
    <row r="33" spans="1:9" x14ac:dyDescent="0.3">
      <c r="A33" s="2" t="s">
        <v>160</v>
      </c>
      <c r="B33" s="2" t="s">
        <v>161</v>
      </c>
      <c r="C33" s="2" t="s">
        <v>162</v>
      </c>
      <c r="D33" s="2" t="s">
        <v>163</v>
      </c>
      <c r="E33" s="2" t="s">
        <v>164</v>
      </c>
      <c r="F33" s="2" t="str">
        <f t="shared" si="0"/>
        <v>Normal</v>
      </c>
      <c r="G33" s="2" t="b">
        <f>AND(표2[[#This Row],[좌표중복]], 표2[[#This Row],[숫자범위]])</f>
        <v>1</v>
      </c>
      <c r="H33" s="2" t="b">
        <f>AND(COUNTIF($C:$C, 표2[[#This Row],[좌표]])=1, COUNTIF(접근금지구역!$B:$B, 표2[[#This Row],[좌표]])=0)</f>
        <v>1</v>
      </c>
      <c r="I33" s="2" t="b">
        <f>fn숫자(표2[[#This Row],[좌표]])</f>
        <v>1</v>
      </c>
    </row>
    <row r="34" spans="1:9" x14ac:dyDescent="0.3">
      <c r="A34" s="2" t="s">
        <v>165</v>
      </c>
      <c r="B34" s="2" t="s">
        <v>166</v>
      </c>
      <c r="C34" s="2" t="s">
        <v>167</v>
      </c>
      <c r="D34" s="2" t="s">
        <v>168</v>
      </c>
      <c r="E34" s="2" t="s">
        <v>169</v>
      </c>
      <c r="F34" s="2" t="str">
        <f t="shared" si="0"/>
        <v>Silver</v>
      </c>
      <c r="G34" s="2" t="b">
        <f>AND(표2[[#This Row],[좌표중복]], 표2[[#This Row],[숫자범위]])</f>
        <v>1</v>
      </c>
      <c r="H34" s="2" t="b">
        <f>AND(COUNTIF($C:$C, 표2[[#This Row],[좌표]])=1, COUNTIF(접근금지구역!$B:$B, 표2[[#This Row],[좌표]])=0)</f>
        <v>1</v>
      </c>
      <c r="I34" s="2" t="b">
        <f>fn숫자(표2[[#This Row],[좌표]])</f>
        <v>1</v>
      </c>
    </row>
    <row r="35" spans="1:9" x14ac:dyDescent="0.3">
      <c r="A35" s="2" t="s">
        <v>170</v>
      </c>
      <c r="B35" s="2" t="s">
        <v>171</v>
      </c>
      <c r="C35" s="2" t="s">
        <v>172</v>
      </c>
      <c r="D35" s="2" t="s">
        <v>173</v>
      </c>
      <c r="E35" s="2" t="s">
        <v>174</v>
      </c>
      <c r="F35" s="2" t="str">
        <f t="shared" si="0"/>
        <v>Normal</v>
      </c>
      <c r="G35" s="2" t="b">
        <f>AND(표2[[#This Row],[좌표중복]], 표2[[#This Row],[숫자범위]])</f>
        <v>1</v>
      </c>
      <c r="H35" s="2" t="b">
        <f>AND(COUNTIF($C:$C, 표2[[#This Row],[좌표]])=1, COUNTIF(접근금지구역!$B:$B, 표2[[#This Row],[좌표]])=0)</f>
        <v>1</v>
      </c>
      <c r="I35" s="2" t="b">
        <f>fn숫자(표2[[#This Row],[좌표]])</f>
        <v>1</v>
      </c>
    </row>
    <row r="36" spans="1:9" x14ac:dyDescent="0.3">
      <c r="A36" s="2" t="s">
        <v>175</v>
      </c>
      <c r="B36" s="2" t="s">
        <v>176</v>
      </c>
      <c r="C36" s="2" t="s">
        <v>177</v>
      </c>
      <c r="D36" s="2" t="s">
        <v>178</v>
      </c>
      <c r="E36" s="2" t="s">
        <v>179</v>
      </c>
      <c r="F36" s="2" t="str">
        <f t="shared" si="0"/>
        <v>Silver</v>
      </c>
      <c r="G36" s="2" t="b">
        <f>AND(표2[[#This Row],[좌표중복]], 표2[[#This Row],[숫자범위]])</f>
        <v>1</v>
      </c>
      <c r="H36" s="2" t="b">
        <f>AND(COUNTIF($C:$C, 표2[[#This Row],[좌표]])=1, COUNTIF(접근금지구역!$B:$B, 표2[[#This Row],[좌표]])=0)</f>
        <v>1</v>
      </c>
      <c r="I36" s="2" t="b">
        <f>fn숫자(표2[[#This Row],[좌표]])</f>
        <v>1</v>
      </c>
    </row>
    <row r="37" spans="1:9" x14ac:dyDescent="0.3">
      <c r="A37" s="2" t="s">
        <v>180</v>
      </c>
      <c r="B37" s="2" t="s">
        <v>181</v>
      </c>
      <c r="C37" s="2" t="s">
        <v>182</v>
      </c>
      <c r="D37" s="2" t="s">
        <v>183</v>
      </c>
      <c r="E37" s="2" t="s">
        <v>184</v>
      </c>
      <c r="F37" s="2" t="str">
        <f t="shared" si="0"/>
        <v>Silver</v>
      </c>
      <c r="G37" s="2" t="b">
        <f>AND(표2[[#This Row],[좌표중복]], 표2[[#This Row],[숫자범위]])</f>
        <v>1</v>
      </c>
      <c r="H37" s="2" t="b">
        <f>AND(COUNTIF($C:$C, 표2[[#This Row],[좌표]])=1, COUNTIF(접근금지구역!$B:$B, 표2[[#This Row],[좌표]])=0)</f>
        <v>1</v>
      </c>
      <c r="I37" s="2" t="b">
        <f>fn숫자(표2[[#This Row],[좌표]])</f>
        <v>1</v>
      </c>
    </row>
    <row r="38" spans="1:9" x14ac:dyDescent="0.3">
      <c r="A38" s="2" t="s">
        <v>185</v>
      </c>
      <c r="B38" s="2" t="s">
        <v>186</v>
      </c>
      <c r="C38" s="2" t="s">
        <v>187</v>
      </c>
      <c r="D38" s="2" t="s">
        <v>188</v>
      </c>
      <c r="E38" s="2" t="s">
        <v>189</v>
      </c>
      <c r="F38" s="2" t="str">
        <f t="shared" si="0"/>
        <v>Normal</v>
      </c>
      <c r="G38" s="2" t="b">
        <f>AND(표2[[#This Row],[좌표중복]], 표2[[#This Row],[숫자범위]])</f>
        <v>1</v>
      </c>
      <c r="H38" s="2" t="b">
        <f>AND(COUNTIF($C:$C, 표2[[#This Row],[좌표]])=1, COUNTIF(접근금지구역!$B:$B, 표2[[#This Row],[좌표]])=0)</f>
        <v>1</v>
      </c>
      <c r="I38" s="2" t="b">
        <f>fn숫자(표2[[#This Row],[좌표]])</f>
        <v>1</v>
      </c>
    </row>
    <row r="39" spans="1:9" x14ac:dyDescent="0.3">
      <c r="A39" s="2" t="s">
        <v>190</v>
      </c>
      <c r="B39" s="2" t="s">
        <v>191</v>
      </c>
      <c r="C39" s="2" t="s">
        <v>192</v>
      </c>
      <c r="D39" s="2" t="s">
        <v>193</v>
      </c>
      <c r="E39" s="2" t="s">
        <v>194</v>
      </c>
      <c r="F39" s="2" t="str">
        <f t="shared" si="0"/>
        <v>Normal</v>
      </c>
      <c r="G39" s="2" t="b">
        <f>AND(표2[[#This Row],[좌표중복]], 표2[[#This Row],[숫자범위]])</f>
        <v>1</v>
      </c>
      <c r="H39" s="2" t="b">
        <f>AND(COUNTIF($C:$C, 표2[[#This Row],[좌표]])=1, COUNTIF(접근금지구역!$B:$B, 표2[[#This Row],[좌표]])=0)</f>
        <v>1</v>
      </c>
      <c r="I39" s="2" t="b">
        <f>fn숫자(표2[[#This Row],[좌표]])</f>
        <v>1</v>
      </c>
    </row>
    <row r="40" spans="1:9" x14ac:dyDescent="0.3">
      <c r="A40" s="2" t="s">
        <v>195</v>
      </c>
      <c r="B40" s="2" t="s">
        <v>196</v>
      </c>
      <c r="C40" s="2" t="s">
        <v>197</v>
      </c>
      <c r="D40" s="2" t="s">
        <v>198</v>
      </c>
      <c r="E40" s="2" t="s">
        <v>199</v>
      </c>
      <c r="F40" s="2" t="str">
        <f t="shared" si="0"/>
        <v>Silver</v>
      </c>
      <c r="G40" s="2" t="b">
        <f>AND(표2[[#This Row],[좌표중복]], 표2[[#This Row],[숫자범위]])</f>
        <v>1</v>
      </c>
      <c r="H40" s="2" t="b">
        <f>AND(COUNTIF($C:$C, 표2[[#This Row],[좌표]])=1, COUNTIF(접근금지구역!$B:$B, 표2[[#This Row],[좌표]])=0)</f>
        <v>1</v>
      </c>
      <c r="I40" s="2" t="b">
        <f>fn숫자(표2[[#This Row],[좌표]])</f>
        <v>1</v>
      </c>
    </row>
    <row r="41" spans="1:9" x14ac:dyDescent="0.3">
      <c r="A41" s="2" t="s">
        <v>200</v>
      </c>
      <c r="B41" s="2" t="s">
        <v>201</v>
      </c>
      <c r="C41" s="2" t="s">
        <v>202</v>
      </c>
      <c r="D41" s="2" t="s">
        <v>203</v>
      </c>
      <c r="E41" s="2" t="s">
        <v>204</v>
      </c>
      <c r="F41" s="2" t="str">
        <f t="shared" si="0"/>
        <v>Normal</v>
      </c>
      <c r="G41" s="2" t="b">
        <f>AND(표2[[#This Row],[좌표중복]], 표2[[#This Row],[숫자범위]])</f>
        <v>1</v>
      </c>
      <c r="H41" s="2" t="b">
        <f>AND(COUNTIF($C:$C, 표2[[#This Row],[좌표]])=1, COUNTIF(접근금지구역!$B:$B, 표2[[#This Row],[좌표]])=0)</f>
        <v>1</v>
      </c>
      <c r="I41" s="2" t="b">
        <f>fn숫자(표2[[#This Row],[좌표]])</f>
        <v>1</v>
      </c>
    </row>
    <row r="42" spans="1:9" x14ac:dyDescent="0.3">
      <c r="A42" s="2" t="s">
        <v>205</v>
      </c>
      <c r="B42" s="2" t="s">
        <v>206</v>
      </c>
      <c r="C42" s="2" t="s">
        <v>207</v>
      </c>
      <c r="D42" s="2" t="s">
        <v>208</v>
      </c>
      <c r="E42" s="2" t="s">
        <v>209</v>
      </c>
      <c r="F42" s="2" t="str">
        <f t="shared" si="0"/>
        <v>Normal</v>
      </c>
      <c r="G42" s="2" t="b">
        <f>AND(표2[[#This Row],[좌표중복]], 표2[[#This Row],[숫자범위]])</f>
        <v>1</v>
      </c>
      <c r="H42" s="2" t="b">
        <f>AND(COUNTIF($C:$C, 표2[[#This Row],[좌표]])=1, COUNTIF(접근금지구역!$B:$B, 표2[[#This Row],[좌표]])=0)</f>
        <v>1</v>
      </c>
      <c r="I42" s="2" t="b">
        <f>fn숫자(표2[[#This Row],[좌표]])</f>
        <v>1</v>
      </c>
    </row>
    <row r="43" spans="1:9" x14ac:dyDescent="0.3">
      <c r="A43" s="2" t="s">
        <v>210</v>
      </c>
      <c r="B43" s="2" t="s">
        <v>211</v>
      </c>
      <c r="C43" s="2" t="s">
        <v>212</v>
      </c>
      <c r="D43" s="2" t="s">
        <v>213</v>
      </c>
      <c r="E43" s="2" t="s">
        <v>214</v>
      </c>
      <c r="F43" s="2" t="str">
        <f t="shared" si="0"/>
        <v>Normal</v>
      </c>
      <c r="G43" s="2" t="b">
        <f>AND(표2[[#This Row],[좌표중복]], 표2[[#This Row],[숫자범위]])</f>
        <v>1</v>
      </c>
      <c r="H43" s="2" t="b">
        <f>AND(COUNTIF($C:$C, 표2[[#This Row],[좌표]])=1, COUNTIF(접근금지구역!$B:$B, 표2[[#This Row],[좌표]])=0)</f>
        <v>1</v>
      </c>
      <c r="I43" s="2" t="b">
        <f>fn숫자(표2[[#This Row],[좌표]])</f>
        <v>1</v>
      </c>
    </row>
    <row r="44" spans="1:9" x14ac:dyDescent="0.3">
      <c r="A44" s="2" t="s">
        <v>215</v>
      </c>
      <c r="B44" s="2" t="s">
        <v>216</v>
      </c>
      <c r="C44" s="2" t="s">
        <v>217</v>
      </c>
      <c r="D44" s="2" t="s">
        <v>218</v>
      </c>
      <c r="E44" s="2" t="s">
        <v>219</v>
      </c>
      <c r="F44" s="2" t="str">
        <f t="shared" si="0"/>
        <v>Normal</v>
      </c>
      <c r="G44" s="2" t="b">
        <f>AND(표2[[#This Row],[좌표중복]], 표2[[#This Row],[숫자범위]])</f>
        <v>1</v>
      </c>
      <c r="H44" s="2" t="b">
        <f>AND(COUNTIF($C:$C, 표2[[#This Row],[좌표]])=1, COUNTIF(접근금지구역!$B:$B, 표2[[#This Row],[좌표]])=0)</f>
        <v>1</v>
      </c>
      <c r="I44" s="2" t="b">
        <f>fn숫자(표2[[#This Row],[좌표]])</f>
        <v>1</v>
      </c>
    </row>
    <row r="45" spans="1:9" x14ac:dyDescent="0.3">
      <c r="A45" s="2" t="s">
        <v>220</v>
      </c>
      <c r="B45" s="2" t="s">
        <v>221</v>
      </c>
      <c r="C45" s="2" t="s">
        <v>222</v>
      </c>
      <c r="D45" s="2" t="s">
        <v>223</v>
      </c>
      <c r="E45" s="2" t="s">
        <v>224</v>
      </c>
      <c r="F45" s="2" t="str">
        <f t="shared" si="0"/>
        <v>Normal</v>
      </c>
      <c r="G45" s="2" t="b">
        <f>AND(표2[[#This Row],[좌표중복]], 표2[[#This Row],[숫자범위]])</f>
        <v>1</v>
      </c>
      <c r="H45" s="2" t="b">
        <f>AND(COUNTIF($C:$C, 표2[[#This Row],[좌표]])=1, COUNTIF(접근금지구역!$B:$B, 표2[[#This Row],[좌표]])=0)</f>
        <v>1</v>
      </c>
      <c r="I45" s="2" t="b">
        <f>fn숫자(표2[[#This Row],[좌표]])</f>
        <v>1</v>
      </c>
    </row>
    <row r="46" spans="1:9" x14ac:dyDescent="0.3">
      <c r="A46" s="2" t="s">
        <v>225</v>
      </c>
      <c r="B46" s="2" t="s">
        <v>226</v>
      </c>
      <c r="C46" s="2" t="s">
        <v>227</v>
      </c>
      <c r="D46" s="2" t="s">
        <v>228</v>
      </c>
      <c r="E46" s="2" t="s">
        <v>229</v>
      </c>
      <c r="F46" s="2" t="str">
        <f t="shared" si="0"/>
        <v>Silver</v>
      </c>
      <c r="G46" s="2" t="b">
        <f>AND(표2[[#This Row],[좌표중복]], 표2[[#This Row],[숫자범위]])</f>
        <v>1</v>
      </c>
      <c r="H46" s="2" t="b">
        <f>AND(COUNTIF($C:$C, 표2[[#This Row],[좌표]])=1, COUNTIF(접근금지구역!$B:$B, 표2[[#This Row],[좌표]])=0)</f>
        <v>1</v>
      </c>
      <c r="I46" s="2" t="b">
        <f>fn숫자(표2[[#This Row],[좌표]])</f>
        <v>1</v>
      </c>
    </row>
    <row r="47" spans="1:9" x14ac:dyDescent="0.3">
      <c r="A47" s="2" t="s">
        <v>230</v>
      </c>
      <c r="B47" s="2" t="s">
        <v>231</v>
      </c>
      <c r="C47" s="2" t="s">
        <v>232</v>
      </c>
      <c r="D47" s="2" t="s">
        <v>228</v>
      </c>
      <c r="E47" s="2" t="s">
        <v>229</v>
      </c>
      <c r="F47" s="2" t="str">
        <f t="shared" si="0"/>
        <v>Silver</v>
      </c>
      <c r="G47" s="2" t="b">
        <f>AND(표2[[#This Row],[좌표중복]], 표2[[#This Row],[숫자범위]])</f>
        <v>1</v>
      </c>
      <c r="H47" s="2" t="b">
        <f>AND(COUNTIF($C:$C, 표2[[#This Row],[좌표]])=1, COUNTIF(접근금지구역!$B:$B, 표2[[#This Row],[좌표]])=0)</f>
        <v>1</v>
      </c>
      <c r="I47" s="2" t="b">
        <f>fn숫자(표2[[#This Row],[좌표]])</f>
        <v>1</v>
      </c>
    </row>
    <row r="48" spans="1:9" x14ac:dyDescent="0.3">
      <c r="A48" s="2" t="s">
        <v>233</v>
      </c>
      <c r="B48" s="2" t="s">
        <v>234</v>
      </c>
      <c r="C48" s="2" t="s">
        <v>235</v>
      </c>
      <c r="D48" s="2" t="s">
        <v>228</v>
      </c>
      <c r="E48" s="2" t="s">
        <v>229</v>
      </c>
      <c r="F48" s="2" t="str">
        <f t="shared" si="0"/>
        <v>Normal</v>
      </c>
      <c r="G48" s="2" t="b">
        <f>AND(표2[[#This Row],[좌표중복]], 표2[[#This Row],[숫자범위]])</f>
        <v>1</v>
      </c>
      <c r="H48" s="2" t="b">
        <f>AND(COUNTIF($C:$C, 표2[[#This Row],[좌표]])=1, COUNTIF(접근금지구역!$B:$B, 표2[[#This Row],[좌표]])=0)</f>
        <v>1</v>
      </c>
      <c r="I48" s="2" t="b">
        <f>fn숫자(표2[[#This Row],[좌표]])</f>
        <v>1</v>
      </c>
    </row>
    <row r="49" spans="1:9" x14ac:dyDescent="0.3">
      <c r="A49" s="2" t="s">
        <v>236</v>
      </c>
      <c r="B49" s="2" t="s">
        <v>237</v>
      </c>
      <c r="C49" s="2" t="s">
        <v>238</v>
      </c>
      <c r="D49" s="2" t="s">
        <v>228</v>
      </c>
      <c r="E49" s="2" t="s">
        <v>229</v>
      </c>
      <c r="F49" s="2" t="str">
        <f t="shared" si="0"/>
        <v>Normal</v>
      </c>
      <c r="G49" s="2" t="b">
        <f>AND(표2[[#This Row],[좌표중복]], 표2[[#This Row],[숫자범위]])</f>
        <v>1</v>
      </c>
      <c r="H49" s="2" t="b">
        <f>AND(COUNTIF($C:$C, 표2[[#This Row],[좌표]])=1, COUNTIF(접근금지구역!$B:$B, 표2[[#This Row],[좌표]])=0)</f>
        <v>1</v>
      </c>
      <c r="I49" s="2" t="b">
        <f>fn숫자(표2[[#This Row],[좌표]])</f>
        <v>1</v>
      </c>
    </row>
    <row r="50" spans="1:9" x14ac:dyDescent="0.3">
      <c r="A50" s="2" t="s">
        <v>3624</v>
      </c>
      <c r="B50" s="2" t="s">
        <v>3625</v>
      </c>
      <c r="C50" s="2" t="s">
        <v>3626</v>
      </c>
      <c r="D50" s="2" t="s">
        <v>3625</v>
      </c>
      <c r="E50" s="2" t="s">
        <v>3627</v>
      </c>
      <c r="F50" s="2" t="str">
        <f t="shared" si="0"/>
        <v>Normal</v>
      </c>
      <c r="G50" s="13" t="b">
        <f>AND(표2[[#This Row],[좌표중복]], 표2[[#This Row],[숫자범위]])</f>
        <v>1</v>
      </c>
      <c r="H50" s="13" t="b">
        <f>AND(COUNTIF($C:$C, 표2[[#This Row],[좌표]])=1, COUNTIF(접근금지구역!$B:$B, 표2[[#This Row],[좌표]])=0)</f>
        <v>1</v>
      </c>
      <c r="I50" s="13" t="b">
        <f>fn숫자(표2[[#This Row],[좌표]])</f>
        <v>1</v>
      </c>
    </row>
    <row r="51" spans="1:9" x14ac:dyDescent="0.3">
      <c r="A51" s="2" t="s">
        <v>239</v>
      </c>
      <c r="B51" s="2" t="s">
        <v>240</v>
      </c>
      <c r="C51" s="2" t="s">
        <v>241</v>
      </c>
      <c r="D51" s="2" t="s">
        <v>242</v>
      </c>
      <c r="E51" s="2" t="s">
        <v>243</v>
      </c>
      <c r="F51" s="2" t="str">
        <f t="shared" si="0"/>
        <v>-</v>
      </c>
      <c r="G51" s="2" t="b">
        <f>AND(표2[[#This Row],[좌표중복]], 표2[[#This Row],[숫자범위]])</f>
        <v>1</v>
      </c>
      <c r="H51" s="2" t="b">
        <f>AND(COUNTIF($C:$C, 표2[[#This Row],[좌표]])=1, COUNTIF(접근금지구역!$B:$B, 표2[[#This Row],[좌표]])=0)</f>
        <v>1</v>
      </c>
      <c r="I51" s="2" t="b">
        <f>fn숫자(표2[[#This Row],[좌표]])</f>
        <v>1</v>
      </c>
    </row>
    <row r="52" spans="1:9" x14ac:dyDescent="0.3">
      <c r="A52" s="2" t="s">
        <v>244</v>
      </c>
      <c r="B52" s="2" t="s">
        <v>245</v>
      </c>
      <c r="C52" s="2" t="s">
        <v>246</v>
      </c>
      <c r="D52" s="2" t="s">
        <v>247</v>
      </c>
      <c r="E52" s="2" t="s">
        <v>248</v>
      </c>
      <c r="F52" s="2" t="str">
        <f t="shared" si="0"/>
        <v>-</v>
      </c>
      <c r="G52" s="2" t="b">
        <f>AND(표2[[#This Row],[좌표중복]], 표2[[#This Row],[숫자범위]])</f>
        <v>1</v>
      </c>
      <c r="H52" s="2" t="b">
        <f>AND(COUNTIF($C:$C, 표2[[#This Row],[좌표]])=1, COUNTIF(접근금지구역!$B:$B, 표2[[#This Row],[좌표]])=0)</f>
        <v>1</v>
      </c>
      <c r="I52" s="2" t="b">
        <f>fn숫자(표2[[#This Row],[좌표]])</f>
        <v>1</v>
      </c>
    </row>
    <row r="53" spans="1:9" x14ac:dyDescent="0.3">
      <c r="A53" s="2" t="s">
        <v>249</v>
      </c>
      <c r="B53" s="2" t="s">
        <v>250</v>
      </c>
      <c r="C53" s="2" t="s">
        <v>251</v>
      </c>
      <c r="D53" s="2" t="s">
        <v>252</v>
      </c>
      <c r="E53" s="2" t="s">
        <v>253</v>
      </c>
      <c r="F53" s="2" t="str">
        <f t="shared" si="0"/>
        <v>-</v>
      </c>
      <c r="G53" s="2" t="b">
        <f>AND(표2[[#This Row],[좌표중복]], 표2[[#This Row],[숫자범위]])</f>
        <v>1</v>
      </c>
      <c r="H53" s="2" t="b">
        <f>AND(COUNTIF($C:$C, 표2[[#This Row],[좌표]])=1, COUNTIF(접근금지구역!$B:$B, 표2[[#This Row],[좌표]])=0)</f>
        <v>1</v>
      </c>
      <c r="I53" s="2" t="b">
        <f>fn숫자(표2[[#This Row],[좌표]])</f>
        <v>1</v>
      </c>
    </row>
    <row r="54" spans="1:9" x14ac:dyDescent="0.3">
      <c r="A54" s="2" t="s">
        <v>254</v>
      </c>
      <c r="B54" s="2" t="s">
        <v>255</v>
      </c>
      <c r="C54" s="2" t="s">
        <v>256</v>
      </c>
      <c r="D54" s="2" t="s">
        <v>257</v>
      </c>
      <c r="E54" s="2" t="s">
        <v>258</v>
      </c>
      <c r="F54" s="2" t="str">
        <f t="shared" si="0"/>
        <v>-</v>
      </c>
      <c r="G54" s="2" t="b">
        <f>AND(표2[[#This Row],[좌표중복]], 표2[[#This Row],[숫자범위]])</f>
        <v>1</v>
      </c>
      <c r="H54" s="2" t="b">
        <f>AND(COUNTIF($C:$C, 표2[[#This Row],[좌표]])=1, COUNTIF(접근금지구역!$B:$B, 표2[[#This Row],[좌표]])=0)</f>
        <v>1</v>
      </c>
      <c r="I54" s="2" t="b">
        <f>fn숫자(표2[[#This Row],[좌표]])</f>
        <v>1</v>
      </c>
    </row>
    <row r="55" spans="1:9" x14ac:dyDescent="0.3">
      <c r="A55" s="2" t="s">
        <v>259</v>
      </c>
      <c r="B55" s="2" t="s">
        <v>260</v>
      </c>
      <c r="C55" s="2" t="s">
        <v>261</v>
      </c>
      <c r="D55" s="2" t="s">
        <v>262</v>
      </c>
      <c r="E55" s="2" t="s">
        <v>263</v>
      </c>
      <c r="F55" s="2" t="str">
        <f t="shared" si="0"/>
        <v>-</v>
      </c>
      <c r="G55" s="2" t="b">
        <f>AND(표2[[#This Row],[좌표중복]], 표2[[#This Row],[숫자범위]])</f>
        <v>1</v>
      </c>
      <c r="H55" s="2" t="b">
        <f>AND(COUNTIF($C:$C, 표2[[#This Row],[좌표]])=1, COUNTIF(접근금지구역!$B:$B, 표2[[#This Row],[좌표]])=0)</f>
        <v>1</v>
      </c>
      <c r="I55" s="2" t="b">
        <f>fn숫자(표2[[#This Row],[좌표]])</f>
        <v>1</v>
      </c>
    </row>
    <row r="56" spans="1:9" x14ac:dyDescent="0.3">
      <c r="A56" s="2" t="s">
        <v>264</v>
      </c>
      <c r="B56" s="2" t="s">
        <v>265</v>
      </c>
      <c r="C56" s="2" t="s">
        <v>266</v>
      </c>
      <c r="D56" s="2" t="s">
        <v>267</v>
      </c>
      <c r="E56" s="2" t="s">
        <v>268</v>
      </c>
      <c r="F56" s="2" t="str">
        <f t="shared" si="0"/>
        <v>-</v>
      </c>
      <c r="G56" s="2" t="b">
        <f>AND(표2[[#This Row],[좌표중복]], 표2[[#This Row],[숫자범위]])</f>
        <v>1</v>
      </c>
      <c r="H56" s="2" t="b">
        <f>AND(COUNTIF($C:$C, 표2[[#This Row],[좌표]])=1, COUNTIF(접근금지구역!$B:$B, 표2[[#This Row],[좌표]])=0)</f>
        <v>1</v>
      </c>
      <c r="I56" s="2" t="b">
        <f>fn숫자(표2[[#This Row],[좌표]])</f>
        <v>1</v>
      </c>
    </row>
    <row r="57" spans="1:9" x14ac:dyDescent="0.3">
      <c r="A57" s="2" t="s">
        <v>269</v>
      </c>
      <c r="B57" s="2" t="s">
        <v>270</v>
      </c>
      <c r="C57" s="2" t="s">
        <v>271</v>
      </c>
      <c r="D57" s="2" t="s">
        <v>272</v>
      </c>
      <c r="E57" s="2" t="s">
        <v>273</v>
      </c>
      <c r="F57" s="2" t="str">
        <f t="shared" si="0"/>
        <v>-</v>
      </c>
      <c r="G57" s="2" t="b">
        <f>AND(표2[[#This Row],[좌표중복]], 표2[[#This Row],[숫자범위]])</f>
        <v>1</v>
      </c>
      <c r="H57" s="2" t="b">
        <f>AND(COUNTIF($C:$C, 표2[[#This Row],[좌표]])=1, COUNTIF(접근금지구역!$B:$B, 표2[[#This Row],[좌표]])=0)</f>
        <v>1</v>
      </c>
      <c r="I57" s="2" t="b">
        <f>fn숫자(표2[[#This Row],[좌표]])</f>
        <v>1</v>
      </c>
    </row>
    <row r="58" spans="1:9" x14ac:dyDescent="0.3">
      <c r="A58" s="2" t="s">
        <v>274</v>
      </c>
      <c r="B58" s="2" t="s">
        <v>275</v>
      </c>
      <c r="C58" s="2" t="s">
        <v>276</v>
      </c>
      <c r="D58" s="2" t="s">
        <v>277</v>
      </c>
      <c r="E58" s="2" t="s">
        <v>278</v>
      </c>
      <c r="F58" s="2" t="str">
        <f t="shared" si="0"/>
        <v>-</v>
      </c>
      <c r="G58" s="2" t="b">
        <f>AND(표2[[#This Row],[좌표중복]], 표2[[#This Row],[숫자범위]])</f>
        <v>1</v>
      </c>
      <c r="H58" s="2" t="b">
        <f>AND(COUNTIF($C:$C, 표2[[#This Row],[좌표]])=1, COUNTIF(접근금지구역!$B:$B, 표2[[#This Row],[좌표]])=0)</f>
        <v>1</v>
      </c>
      <c r="I58" s="2" t="b">
        <f>fn숫자(표2[[#This Row],[좌표]])</f>
        <v>1</v>
      </c>
    </row>
    <row r="59" spans="1:9" x14ac:dyDescent="0.3">
      <c r="A59" s="2" t="s">
        <v>279</v>
      </c>
      <c r="B59" s="2" t="s">
        <v>280</v>
      </c>
      <c r="C59" s="2" t="s">
        <v>281</v>
      </c>
      <c r="D59" s="2" t="s">
        <v>282</v>
      </c>
      <c r="E59" s="2" t="s">
        <v>283</v>
      </c>
      <c r="F59" s="2" t="str">
        <f t="shared" si="0"/>
        <v>-</v>
      </c>
      <c r="G59" s="2" t="b">
        <f>AND(표2[[#This Row],[좌표중복]], 표2[[#This Row],[숫자범위]])</f>
        <v>1</v>
      </c>
      <c r="H59" s="2" t="b">
        <f>AND(COUNTIF($C:$C, 표2[[#This Row],[좌표]])=1, COUNTIF(접근금지구역!$B:$B, 표2[[#This Row],[좌표]])=0)</f>
        <v>1</v>
      </c>
      <c r="I59" s="2" t="b">
        <f>fn숫자(표2[[#This Row],[좌표]])</f>
        <v>1</v>
      </c>
    </row>
    <row r="60" spans="1:9" x14ac:dyDescent="0.3">
      <c r="A60" s="2" t="s">
        <v>284</v>
      </c>
      <c r="B60" s="2" t="s">
        <v>285</v>
      </c>
      <c r="C60" s="2" t="s">
        <v>286</v>
      </c>
      <c r="D60" s="2" t="s">
        <v>287</v>
      </c>
      <c r="E60" s="2" t="s">
        <v>288</v>
      </c>
      <c r="F60" s="2" t="str">
        <f t="shared" si="0"/>
        <v>-</v>
      </c>
      <c r="G60" s="2" t="b">
        <f>AND(표2[[#This Row],[좌표중복]], 표2[[#This Row],[숫자범위]])</f>
        <v>1</v>
      </c>
      <c r="H60" s="2" t="b">
        <f>AND(COUNTIF($C:$C, 표2[[#This Row],[좌표]])=1, COUNTIF(접근금지구역!$B:$B, 표2[[#This Row],[좌표]])=0)</f>
        <v>1</v>
      </c>
      <c r="I60" s="2" t="b">
        <f>fn숫자(표2[[#This Row],[좌표]])</f>
        <v>1</v>
      </c>
    </row>
    <row r="61" spans="1:9" x14ac:dyDescent="0.3">
      <c r="A61" s="2" t="s">
        <v>289</v>
      </c>
      <c r="B61" s="2" t="s">
        <v>290</v>
      </c>
      <c r="C61" s="2" t="s">
        <v>291</v>
      </c>
      <c r="D61" s="2" t="s">
        <v>292</v>
      </c>
      <c r="E61" s="2" t="s">
        <v>293</v>
      </c>
      <c r="F61" s="2" t="str">
        <f t="shared" si="0"/>
        <v>-</v>
      </c>
      <c r="G61" s="2" t="b">
        <f>AND(표2[[#This Row],[좌표중복]], 표2[[#This Row],[숫자범위]])</f>
        <v>1</v>
      </c>
      <c r="H61" s="2" t="b">
        <f>AND(COUNTIF($C:$C, 표2[[#This Row],[좌표]])=1, COUNTIF(접근금지구역!$B:$B, 표2[[#This Row],[좌표]])=0)</f>
        <v>1</v>
      </c>
      <c r="I61" s="2" t="b">
        <f>fn숫자(표2[[#This Row],[좌표]])</f>
        <v>1</v>
      </c>
    </row>
    <row r="62" spans="1:9" x14ac:dyDescent="0.3">
      <c r="A62" s="2" t="s">
        <v>294</v>
      </c>
      <c r="B62" s="2" t="s">
        <v>295</v>
      </c>
      <c r="C62" s="2" t="s">
        <v>296</v>
      </c>
      <c r="D62" s="2" t="s">
        <v>297</v>
      </c>
      <c r="E62" s="2" t="s">
        <v>298</v>
      </c>
      <c r="F62" s="2" t="str">
        <f t="shared" si="0"/>
        <v>맛집</v>
      </c>
      <c r="G62" s="2" t="b">
        <f>AND(표2[[#This Row],[좌표중복]], 표2[[#This Row],[숫자범위]])</f>
        <v>1</v>
      </c>
      <c r="H62" s="2" t="b">
        <f>AND(COUNTIF($C:$C, 표2[[#This Row],[좌표]])=1, COUNTIF(접근금지구역!$B:$B, 표2[[#This Row],[좌표]])=0)</f>
        <v>1</v>
      </c>
      <c r="I62" s="2" t="b">
        <f>fn숫자(표2[[#This Row],[좌표]])</f>
        <v>1</v>
      </c>
    </row>
    <row r="63" spans="1:9" x14ac:dyDescent="0.3">
      <c r="A63" s="2" t="s">
        <v>299</v>
      </c>
      <c r="B63" s="2" t="s">
        <v>300</v>
      </c>
      <c r="C63" s="2" t="s">
        <v>301</v>
      </c>
      <c r="D63" s="2" t="s">
        <v>302</v>
      </c>
      <c r="E63" s="2" t="s">
        <v>303</v>
      </c>
      <c r="F63" s="2" t="str">
        <f t="shared" si="0"/>
        <v>-</v>
      </c>
      <c r="G63" s="2" t="b">
        <f>AND(표2[[#This Row],[좌표중복]], 표2[[#This Row],[숫자범위]])</f>
        <v>1</v>
      </c>
      <c r="H63" s="2" t="b">
        <f>AND(COUNTIF($C:$C, 표2[[#This Row],[좌표]])=1, COUNTIF(접근금지구역!$B:$B, 표2[[#This Row],[좌표]])=0)</f>
        <v>1</v>
      </c>
      <c r="I63" s="2" t="b">
        <f>fn숫자(표2[[#This Row],[좌표]])</f>
        <v>1</v>
      </c>
    </row>
    <row r="64" spans="1:9" x14ac:dyDescent="0.3">
      <c r="A64" s="2" t="s">
        <v>304</v>
      </c>
      <c r="B64" s="2" t="s">
        <v>305</v>
      </c>
      <c r="C64" s="2" t="s">
        <v>306</v>
      </c>
      <c r="D64" s="2" t="s">
        <v>307</v>
      </c>
      <c r="E64" s="2" t="s">
        <v>308</v>
      </c>
      <c r="F64" s="2" t="str">
        <f t="shared" si="0"/>
        <v>-</v>
      </c>
      <c r="G64" s="2" t="b">
        <f>AND(표2[[#This Row],[좌표중복]], 표2[[#This Row],[숫자범위]])</f>
        <v>1</v>
      </c>
      <c r="H64" s="2" t="b">
        <f>AND(COUNTIF($C:$C, 표2[[#This Row],[좌표]])=1, COUNTIF(접근금지구역!$B:$B, 표2[[#This Row],[좌표]])=0)</f>
        <v>1</v>
      </c>
      <c r="I64" s="2" t="b">
        <f>fn숫자(표2[[#This Row],[좌표]])</f>
        <v>1</v>
      </c>
    </row>
    <row r="65" spans="1:9" x14ac:dyDescent="0.3">
      <c r="A65" s="2" t="s">
        <v>309</v>
      </c>
      <c r="B65" s="2" t="s">
        <v>310</v>
      </c>
      <c r="C65" s="2" t="s">
        <v>311</v>
      </c>
      <c r="D65" s="2" t="s">
        <v>312</v>
      </c>
      <c r="E65" s="2" t="s">
        <v>313</v>
      </c>
      <c r="F65" s="2" t="str">
        <f t="shared" si="0"/>
        <v>-</v>
      </c>
      <c r="G65" s="2" t="b">
        <f>AND(표2[[#This Row],[좌표중복]], 표2[[#This Row],[숫자범위]])</f>
        <v>1</v>
      </c>
      <c r="H65" s="2" t="b">
        <f>AND(COUNTIF($C:$C, 표2[[#This Row],[좌표]])=1, COUNTIF(접근금지구역!$B:$B, 표2[[#This Row],[좌표]])=0)</f>
        <v>1</v>
      </c>
      <c r="I65" s="2" t="b">
        <f>fn숫자(표2[[#This Row],[좌표]])</f>
        <v>1</v>
      </c>
    </row>
    <row r="66" spans="1:9" x14ac:dyDescent="0.3">
      <c r="A66" s="2" t="s">
        <v>314</v>
      </c>
      <c r="B66" s="2" t="s">
        <v>315</v>
      </c>
      <c r="C66" s="2" t="s">
        <v>316</v>
      </c>
      <c r="D66" s="2" t="s">
        <v>317</v>
      </c>
      <c r="E66" s="2" t="s">
        <v>318</v>
      </c>
      <c r="F66" s="2" t="str">
        <f t="shared" si="0"/>
        <v>-</v>
      </c>
      <c r="G66" s="2" t="b">
        <f>AND(표2[[#This Row],[좌표중복]], 표2[[#This Row],[숫자범위]])</f>
        <v>1</v>
      </c>
      <c r="H66" s="2" t="b">
        <f>AND(COUNTIF($C:$C, 표2[[#This Row],[좌표]])=1, COUNTIF(접근금지구역!$B:$B, 표2[[#This Row],[좌표]])=0)</f>
        <v>1</v>
      </c>
      <c r="I66" s="2" t="b">
        <f>fn숫자(표2[[#This Row],[좌표]])</f>
        <v>1</v>
      </c>
    </row>
    <row r="67" spans="1:9" x14ac:dyDescent="0.3">
      <c r="A67" s="2" t="s">
        <v>319</v>
      </c>
      <c r="B67" s="2" t="s">
        <v>320</v>
      </c>
      <c r="C67" s="2" t="s">
        <v>321</v>
      </c>
      <c r="D67" s="2" t="s">
        <v>322</v>
      </c>
      <c r="E67" s="2" t="s">
        <v>323</v>
      </c>
      <c r="F67" s="2" t="str">
        <f t="shared" ref="F67:F130" si="1">fn등급(A67)</f>
        <v>-</v>
      </c>
      <c r="G67" s="2" t="b">
        <f>AND(표2[[#This Row],[좌표중복]], 표2[[#This Row],[숫자범위]])</f>
        <v>1</v>
      </c>
      <c r="H67" s="2" t="b">
        <f>AND(COUNTIF($C:$C, 표2[[#This Row],[좌표]])=1, COUNTIF(접근금지구역!$B:$B, 표2[[#This Row],[좌표]])=0)</f>
        <v>1</v>
      </c>
      <c r="I67" s="2" t="b">
        <f>fn숫자(표2[[#This Row],[좌표]])</f>
        <v>1</v>
      </c>
    </row>
    <row r="68" spans="1:9" x14ac:dyDescent="0.3">
      <c r="A68" s="2" t="s">
        <v>324</v>
      </c>
      <c r="B68" s="2" t="s">
        <v>325</v>
      </c>
      <c r="C68" s="2" t="s">
        <v>326</v>
      </c>
      <c r="D68" s="2" t="s">
        <v>327</v>
      </c>
      <c r="E68" s="2" t="s">
        <v>328</v>
      </c>
      <c r="F68" s="2" t="str">
        <f t="shared" si="1"/>
        <v>맛집</v>
      </c>
      <c r="G68" s="2" t="b">
        <f>AND(표2[[#This Row],[좌표중복]], 표2[[#This Row],[숫자범위]])</f>
        <v>1</v>
      </c>
      <c r="H68" s="2" t="b">
        <f>AND(COUNTIF($C:$C, 표2[[#This Row],[좌표]])=1, COUNTIF(접근금지구역!$B:$B, 표2[[#This Row],[좌표]])=0)</f>
        <v>1</v>
      </c>
      <c r="I68" s="2" t="b">
        <f>fn숫자(표2[[#This Row],[좌표]])</f>
        <v>1</v>
      </c>
    </row>
    <row r="69" spans="1:9" x14ac:dyDescent="0.3">
      <c r="A69" s="2" t="s">
        <v>329</v>
      </c>
      <c r="B69" s="2" t="s">
        <v>330</v>
      </c>
      <c r="C69" s="2" t="s">
        <v>331</v>
      </c>
      <c r="D69" s="2" t="s">
        <v>332</v>
      </c>
      <c r="E69" s="2" t="s">
        <v>333</v>
      </c>
      <c r="F69" s="2" t="str">
        <f t="shared" si="1"/>
        <v>-</v>
      </c>
      <c r="G69" s="2" t="b">
        <f>AND(표2[[#This Row],[좌표중복]], 표2[[#This Row],[숫자범위]])</f>
        <v>1</v>
      </c>
      <c r="H69" s="2" t="b">
        <f>AND(COUNTIF($C:$C, 표2[[#This Row],[좌표]])=1, COUNTIF(접근금지구역!$B:$B, 표2[[#This Row],[좌표]])=0)</f>
        <v>1</v>
      </c>
      <c r="I69" s="2" t="b">
        <f>fn숫자(표2[[#This Row],[좌표]])</f>
        <v>1</v>
      </c>
    </row>
    <row r="70" spans="1:9" x14ac:dyDescent="0.3">
      <c r="A70" s="2" t="s">
        <v>334</v>
      </c>
      <c r="B70" s="2" t="s">
        <v>335</v>
      </c>
      <c r="C70" s="2" t="s">
        <v>336</v>
      </c>
      <c r="D70" s="2" t="s">
        <v>337</v>
      </c>
      <c r="E70" s="2" t="s">
        <v>338</v>
      </c>
      <c r="F70" s="2" t="str">
        <f t="shared" si="1"/>
        <v>-</v>
      </c>
      <c r="G70" s="2" t="b">
        <f>AND(표2[[#This Row],[좌표중복]], 표2[[#This Row],[숫자범위]])</f>
        <v>1</v>
      </c>
      <c r="H70" s="2" t="b">
        <f>AND(COUNTIF($C:$C, 표2[[#This Row],[좌표]])=1, COUNTIF(접근금지구역!$B:$B, 표2[[#This Row],[좌표]])=0)</f>
        <v>1</v>
      </c>
      <c r="I70" s="2" t="b">
        <f>fn숫자(표2[[#This Row],[좌표]])</f>
        <v>1</v>
      </c>
    </row>
    <row r="71" spans="1:9" x14ac:dyDescent="0.3">
      <c r="A71" s="2" t="s">
        <v>339</v>
      </c>
      <c r="B71" s="2" t="s">
        <v>340</v>
      </c>
      <c r="C71" s="2" t="s">
        <v>341</v>
      </c>
      <c r="D71" s="2" t="s">
        <v>342</v>
      </c>
      <c r="E71" s="2" t="s">
        <v>343</v>
      </c>
      <c r="F71" s="2" t="str">
        <f t="shared" si="1"/>
        <v>맛집</v>
      </c>
      <c r="G71" s="2" t="b">
        <f>AND(표2[[#This Row],[좌표중복]], 표2[[#This Row],[숫자범위]])</f>
        <v>1</v>
      </c>
      <c r="H71" s="2" t="b">
        <f>AND(COUNTIF($C:$C, 표2[[#This Row],[좌표]])=1, COUNTIF(접근금지구역!$B:$B, 표2[[#This Row],[좌표]])=0)</f>
        <v>1</v>
      </c>
      <c r="I71" s="2" t="b">
        <f>fn숫자(표2[[#This Row],[좌표]])</f>
        <v>1</v>
      </c>
    </row>
    <row r="72" spans="1:9" x14ac:dyDescent="0.3">
      <c r="A72" s="2" t="s">
        <v>344</v>
      </c>
      <c r="B72" s="2" t="s">
        <v>345</v>
      </c>
      <c r="C72" s="2" t="s">
        <v>346</v>
      </c>
      <c r="D72" s="2" t="s">
        <v>347</v>
      </c>
      <c r="E72" s="2" t="s">
        <v>348</v>
      </c>
      <c r="F72" s="2" t="str">
        <f t="shared" si="1"/>
        <v>맛집</v>
      </c>
      <c r="G72" s="2" t="b">
        <f>AND(표2[[#This Row],[좌표중복]], 표2[[#This Row],[숫자범위]])</f>
        <v>1</v>
      </c>
      <c r="H72" s="2" t="b">
        <f>AND(COUNTIF($C:$C, 표2[[#This Row],[좌표]])=1, COUNTIF(접근금지구역!$B:$B, 표2[[#This Row],[좌표]])=0)</f>
        <v>1</v>
      </c>
      <c r="I72" s="2" t="b">
        <f>fn숫자(표2[[#This Row],[좌표]])</f>
        <v>1</v>
      </c>
    </row>
    <row r="73" spans="1:9" x14ac:dyDescent="0.3">
      <c r="A73" s="2" t="s">
        <v>349</v>
      </c>
      <c r="B73" s="2" t="s">
        <v>350</v>
      </c>
      <c r="C73" s="2" t="s">
        <v>351</v>
      </c>
      <c r="D73" s="2" t="s">
        <v>352</v>
      </c>
      <c r="E73" s="2" t="s">
        <v>353</v>
      </c>
      <c r="F73" s="2" t="str">
        <f t="shared" si="1"/>
        <v>-</v>
      </c>
      <c r="G73" s="2" t="b">
        <f>AND(표2[[#This Row],[좌표중복]], 표2[[#This Row],[숫자범위]])</f>
        <v>1</v>
      </c>
      <c r="H73" s="2" t="b">
        <f>AND(COUNTIF($C:$C, 표2[[#This Row],[좌표]])=1, COUNTIF(접근금지구역!$B:$B, 표2[[#This Row],[좌표]])=0)</f>
        <v>1</v>
      </c>
      <c r="I73" s="2" t="b">
        <f>fn숫자(표2[[#This Row],[좌표]])</f>
        <v>1</v>
      </c>
    </row>
    <row r="74" spans="1:9" x14ac:dyDescent="0.3">
      <c r="A74" s="2" t="s">
        <v>354</v>
      </c>
      <c r="B74" s="2" t="s">
        <v>355</v>
      </c>
      <c r="C74" s="2" t="s">
        <v>356</v>
      </c>
      <c r="D74" s="2" t="s">
        <v>357</v>
      </c>
      <c r="E74" s="2" t="s">
        <v>358</v>
      </c>
      <c r="F74" s="2" t="str">
        <f t="shared" si="1"/>
        <v>-</v>
      </c>
      <c r="G74" s="2" t="b">
        <f>AND(표2[[#This Row],[좌표중복]], 표2[[#This Row],[숫자범위]])</f>
        <v>1</v>
      </c>
      <c r="H74" s="2" t="b">
        <f>AND(COUNTIF($C:$C, 표2[[#This Row],[좌표]])=1, COUNTIF(접근금지구역!$B:$B, 표2[[#This Row],[좌표]])=0)</f>
        <v>1</v>
      </c>
      <c r="I74" s="2" t="b">
        <f>fn숫자(표2[[#This Row],[좌표]])</f>
        <v>1</v>
      </c>
    </row>
    <row r="75" spans="1:9" x14ac:dyDescent="0.3">
      <c r="A75" s="2" t="s">
        <v>359</v>
      </c>
      <c r="B75" s="2" t="s">
        <v>360</v>
      </c>
      <c r="C75" s="2" t="s">
        <v>361</v>
      </c>
      <c r="D75" s="2" t="s">
        <v>362</v>
      </c>
      <c r="E75" s="2" t="s">
        <v>363</v>
      </c>
      <c r="F75" s="2" t="str">
        <f t="shared" si="1"/>
        <v>-</v>
      </c>
      <c r="G75" s="2" t="b">
        <f>AND(표2[[#This Row],[좌표중복]], 표2[[#This Row],[숫자범위]])</f>
        <v>1</v>
      </c>
      <c r="H75" s="2" t="b">
        <f>AND(COUNTIF($C:$C, 표2[[#This Row],[좌표]])=1, COUNTIF(접근금지구역!$B:$B, 표2[[#This Row],[좌표]])=0)</f>
        <v>1</v>
      </c>
      <c r="I75" s="2" t="b">
        <f>fn숫자(표2[[#This Row],[좌표]])</f>
        <v>1</v>
      </c>
    </row>
    <row r="76" spans="1:9" x14ac:dyDescent="0.3">
      <c r="A76" s="2" t="s">
        <v>364</v>
      </c>
      <c r="B76" s="2" t="s">
        <v>365</v>
      </c>
      <c r="C76" s="2" t="s">
        <v>366</v>
      </c>
      <c r="D76" s="2" t="s">
        <v>367</v>
      </c>
      <c r="E76" s="2" t="s">
        <v>368</v>
      </c>
      <c r="F76" s="2" t="str">
        <f t="shared" si="1"/>
        <v>-</v>
      </c>
      <c r="G76" s="2" t="b">
        <f>AND(표2[[#This Row],[좌표중복]], 표2[[#This Row],[숫자범위]])</f>
        <v>1</v>
      </c>
      <c r="H76" s="2" t="b">
        <f>AND(COUNTIF($C:$C, 표2[[#This Row],[좌표]])=1, COUNTIF(접근금지구역!$B:$B, 표2[[#This Row],[좌표]])=0)</f>
        <v>1</v>
      </c>
      <c r="I76" s="2" t="b">
        <f>fn숫자(표2[[#This Row],[좌표]])</f>
        <v>1</v>
      </c>
    </row>
    <row r="77" spans="1:9" x14ac:dyDescent="0.3">
      <c r="A77" s="2" t="s">
        <v>369</v>
      </c>
      <c r="B77" s="2" t="s">
        <v>370</v>
      </c>
      <c r="C77" s="2" t="s">
        <v>371</v>
      </c>
      <c r="D77" s="2" t="s">
        <v>372</v>
      </c>
      <c r="E77" s="2" t="s">
        <v>373</v>
      </c>
      <c r="F77" s="2" t="str">
        <f t="shared" si="1"/>
        <v>-</v>
      </c>
      <c r="G77" s="2" t="b">
        <f>AND(표2[[#This Row],[좌표중복]], 표2[[#This Row],[숫자범위]])</f>
        <v>1</v>
      </c>
      <c r="H77" s="2" t="b">
        <f>AND(COUNTIF($C:$C, 표2[[#This Row],[좌표]])=1, COUNTIF(접근금지구역!$B:$B, 표2[[#This Row],[좌표]])=0)</f>
        <v>1</v>
      </c>
      <c r="I77" s="2" t="b">
        <f>fn숫자(표2[[#This Row],[좌표]])</f>
        <v>1</v>
      </c>
    </row>
    <row r="78" spans="1:9" x14ac:dyDescent="0.3">
      <c r="A78" s="2" t="s">
        <v>374</v>
      </c>
      <c r="B78" s="2" t="s">
        <v>375</v>
      </c>
      <c r="C78" s="2" t="s">
        <v>376</v>
      </c>
      <c r="D78" s="2" t="s">
        <v>377</v>
      </c>
      <c r="E78" s="2" t="s">
        <v>378</v>
      </c>
      <c r="F78" s="2" t="str">
        <f t="shared" si="1"/>
        <v>-</v>
      </c>
      <c r="G78" s="2" t="b">
        <f>AND(표2[[#This Row],[좌표중복]], 표2[[#This Row],[숫자범위]])</f>
        <v>1</v>
      </c>
      <c r="H78" s="2" t="b">
        <f>AND(COUNTIF($C:$C, 표2[[#This Row],[좌표]])=1, COUNTIF(접근금지구역!$B:$B, 표2[[#This Row],[좌표]])=0)</f>
        <v>1</v>
      </c>
      <c r="I78" s="2" t="b">
        <f>fn숫자(표2[[#This Row],[좌표]])</f>
        <v>1</v>
      </c>
    </row>
    <row r="79" spans="1:9" x14ac:dyDescent="0.3">
      <c r="A79" s="2" t="s">
        <v>379</v>
      </c>
      <c r="B79" s="2" t="s">
        <v>380</v>
      </c>
      <c r="C79" s="2" t="s">
        <v>381</v>
      </c>
      <c r="D79" s="2" t="s">
        <v>382</v>
      </c>
      <c r="E79" s="2" t="s">
        <v>383</v>
      </c>
      <c r="F79" s="2" t="str">
        <f t="shared" si="1"/>
        <v>-</v>
      </c>
      <c r="G79" s="2" t="b">
        <f>AND(표2[[#This Row],[좌표중복]], 표2[[#This Row],[숫자범위]])</f>
        <v>1</v>
      </c>
      <c r="H79" s="2" t="b">
        <f>AND(COUNTIF($C:$C, 표2[[#This Row],[좌표]])=1, COUNTIF(접근금지구역!$B:$B, 표2[[#This Row],[좌표]])=0)</f>
        <v>1</v>
      </c>
      <c r="I79" s="2" t="b">
        <f>fn숫자(표2[[#This Row],[좌표]])</f>
        <v>1</v>
      </c>
    </row>
    <row r="80" spans="1:9" x14ac:dyDescent="0.3">
      <c r="A80" s="2" t="s">
        <v>384</v>
      </c>
      <c r="B80" s="2" t="s">
        <v>385</v>
      </c>
      <c r="C80" s="2" t="s">
        <v>386</v>
      </c>
      <c r="D80" s="2" t="s">
        <v>387</v>
      </c>
      <c r="E80" s="2" t="s">
        <v>388</v>
      </c>
      <c r="F80" s="2" t="str">
        <f t="shared" si="1"/>
        <v>-</v>
      </c>
      <c r="G80" s="2" t="b">
        <f>AND(표2[[#This Row],[좌표중복]], 표2[[#This Row],[숫자범위]])</f>
        <v>1</v>
      </c>
      <c r="H80" s="2" t="b">
        <f>AND(COUNTIF($C:$C, 표2[[#This Row],[좌표]])=1, COUNTIF(접근금지구역!$B:$B, 표2[[#This Row],[좌표]])=0)</f>
        <v>1</v>
      </c>
      <c r="I80" s="2" t="b">
        <f>fn숫자(표2[[#This Row],[좌표]])</f>
        <v>1</v>
      </c>
    </row>
    <row r="81" spans="1:9" x14ac:dyDescent="0.3">
      <c r="A81" s="2" t="s">
        <v>389</v>
      </c>
      <c r="B81" s="2" t="s">
        <v>390</v>
      </c>
      <c r="C81" s="2" t="s">
        <v>391</v>
      </c>
      <c r="D81" s="2" t="s">
        <v>392</v>
      </c>
      <c r="E81" s="2" t="s">
        <v>393</v>
      </c>
      <c r="F81" s="2" t="str">
        <f t="shared" si="1"/>
        <v>-</v>
      </c>
      <c r="G81" s="2" t="b">
        <f>AND(표2[[#This Row],[좌표중복]], 표2[[#This Row],[숫자범위]])</f>
        <v>1</v>
      </c>
      <c r="H81" s="2" t="b">
        <f>AND(COUNTIF($C:$C, 표2[[#This Row],[좌표]])=1, COUNTIF(접근금지구역!$B:$B, 표2[[#This Row],[좌표]])=0)</f>
        <v>1</v>
      </c>
      <c r="I81" s="2" t="b">
        <f>fn숫자(표2[[#This Row],[좌표]])</f>
        <v>1</v>
      </c>
    </row>
    <row r="82" spans="1:9" x14ac:dyDescent="0.3">
      <c r="A82" s="2" t="s">
        <v>394</v>
      </c>
      <c r="B82" s="2" t="s">
        <v>395</v>
      </c>
      <c r="C82" s="2" t="s">
        <v>396</v>
      </c>
      <c r="D82" s="2" t="s">
        <v>397</v>
      </c>
      <c r="E82" s="2" t="s">
        <v>398</v>
      </c>
      <c r="F82" s="2" t="str">
        <f t="shared" si="1"/>
        <v>-</v>
      </c>
      <c r="G82" s="2" t="b">
        <f>AND(표2[[#This Row],[좌표중복]], 표2[[#This Row],[숫자범위]])</f>
        <v>1</v>
      </c>
      <c r="H82" s="2" t="b">
        <f>AND(COUNTIF($C:$C, 표2[[#This Row],[좌표]])=1, COUNTIF(접근금지구역!$B:$B, 표2[[#This Row],[좌표]])=0)</f>
        <v>1</v>
      </c>
      <c r="I82" s="2" t="b">
        <f>fn숫자(표2[[#This Row],[좌표]])</f>
        <v>1</v>
      </c>
    </row>
    <row r="83" spans="1:9" x14ac:dyDescent="0.3">
      <c r="A83" s="2" t="s">
        <v>399</v>
      </c>
      <c r="B83" s="2" t="s">
        <v>400</v>
      </c>
      <c r="C83" s="2" t="s">
        <v>401</v>
      </c>
      <c r="D83" s="2" t="s">
        <v>402</v>
      </c>
      <c r="E83" s="2" t="s">
        <v>403</v>
      </c>
      <c r="F83" s="2" t="str">
        <f t="shared" si="1"/>
        <v>-</v>
      </c>
      <c r="G83" s="2" t="b">
        <f>AND(표2[[#This Row],[좌표중복]], 표2[[#This Row],[숫자범위]])</f>
        <v>1</v>
      </c>
      <c r="H83" s="2" t="b">
        <f>AND(COUNTIF($C:$C, 표2[[#This Row],[좌표]])=1, COUNTIF(접근금지구역!$B:$B, 표2[[#This Row],[좌표]])=0)</f>
        <v>1</v>
      </c>
      <c r="I83" s="2" t="b">
        <f>fn숫자(표2[[#This Row],[좌표]])</f>
        <v>1</v>
      </c>
    </row>
    <row r="84" spans="1:9" x14ac:dyDescent="0.3">
      <c r="A84" s="2" t="s">
        <v>404</v>
      </c>
      <c r="B84" s="2" t="s">
        <v>405</v>
      </c>
      <c r="C84" s="2" t="s">
        <v>406</v>
      </c>
      <c r="D84" s="2" t="s">
        <v>407</v>
      </c>
      <c r="E84" s="2" t="s">
        <v>408</v>
      </c>
      <c r="F84" s="2" t="str">
        <f t="shared" si="1"/>
        <v>-</v>
      </c>
      <c r="G84" s="2" t="b">
        <f>AND(표2[[#This Row],[좌표중복]], 표2[[#This Row],[숫자범위]])</f>
        <v>1</v>
      </c>
      <c r="H84" s="2" t="b">
        <f>AND(COUNTIF($C:$C, 표2[[#This Row],[좌표]])=1, COUNTIF(접근금지구역!$B:$B, 표2[[#This Row],[좌표]])=0)</f>
        <v>1</v>
      </c>
      <c r="I84" s="2" t="b">
        <f>fn숫자(표2[[#This Row],[좌표]])</f>
        <v>1</v>
      </c>
    </row>
    <row r="85" spans="1:9" x14ac:dyDescent="0.3">
      <c r="A85" s="2" t="s">
        <v>409</v>
      </c>
      <c r="B85" s="2" t="s">
        <v>410</v>
      </c>
      <c r="C85" s="2" t="s">
        <v>411</v>
      </c>
      <c r="D85" s="2" t="s">
        <v>412</v>
      </c>
      <c r="E85" s="2" t="s">
        <v>413</v>
      </c>
      <c r="F85" s="2" t="str">
        <f t="shared" si="1"/>
        <v>맛집</v>
      </c>
      <c r="G85" s="2" t="b">
        <f>AND(표2[[#This Row],[좌표중복]], 표2[[#This Row],[숫자범위]])</f>
        <v>1</v>
      </c>
      <c r="H85" s="2" t="b">
        <f>AND(COUNTIF($C:$C, 표2[[#This Row],[좌표]])=1, COUNTIF(접근금지구역!$B:$B, 표2[[#This Row],[좌표]])=0)</f>
        <v>1</v>
      </c>
      <c r="I85" s="2" t="b">
        <f>fn숫자(표2[[#This Row],[좌표]])</f>
        <v>1</v>
      </c>
    </row>
    <row r="86" spans="1:9" x14ac:dyDescent="0.3">
      <c r="A86" s="2" t="s">
        <v>414</v>
      </c>
      <c r="B86" s="2" t="s">
        <v>415</v>
      </c>
      <c r="C86" s="2" t="s">
        <v>416</v>
      </c>
      <c r="D86" s="2" t="s">
        <v>417</v>
      </c>
      <c r="E86" s="2" t="s">
        <v>418</v>
      </c>
      <c r="F86" s="2" t="str">
        <f t="shared" si="1"/>
        <v>-</v>
      </c>
      <c r="G86" s="2" t="b">
        <f>AND(표2[[#This Row],[좌표중복]], 표2[[#This Row],[숫자범위]])</f>
        <v>1</v>
      </c>
      <c r="H86" s="2" t="b">
        <f>AND(COUNTIF($C:$C, 표2[[#This Row],[좌표]])=1, COUNTIF(접근금지구역!$B:$B, 표2[[#This Row],[좌표]])=0)</f>
        <v>1</v>
      </c>
      <c r="I86" s="2" t="b">
        <f>fn숫자(표2[[#This Row],[좌표]])</f>
        <v>1</v>
      </c>
    </row>
    <row r="87" spans="1:9" x14ac:dyDescent="0.3">
      <c r="A87" s="2" t="s">
        <v>419</v>
      </c>
      <c r="B87" s="2" t="s">
        <v>420</v>
      </c>
      <c r="C87" s="2" t="s">
        <v>421</v>
      </c>
      <c r="D87" s="2" t="s">
        <v>422</v>
      </c>
      <c r="E87" s="2" t="s">
        <v>423</v>
      </c>
      <c r="F87" s="2" t="str">
        <f t="shared" si="1"/>
        <v>-</v>
      </c>
      <c r="G87" s="2" t="b">
        <f>AND(표2[[#This Row],[좌표중복]], 표2[[#This Row],[숫자범위]])</f>
        <v>1</v>
      </c>
      <c r="H87" s="2" t="b">
        <f>AND(COUNTIF($C:$C, 표2[[#This Row],[좌표]])=1, COUNTIF(접근금지구역!$B:$B, 표2[[#This Row],[좌표]])=0)</f>
        <v>1</v>
      </c>
      <c r="I87" s="2" t="b">
        <f>fn숫자(표2[[#This Row],[좌표]])</f>
        <v>1</v>
      </c>
    </row>
    <row r="88" spans="1:9" x14ac:dyDescent="0.3">
      <c r="A88" s="2" t="s">
        <v>424</v>
      </c>
      <c r="B88" s="2" t="s">
        <v>425</v>
      </c>
      <c r="C88" s="2" t="s">
        <v>426</v>
      </c>
      <c r="D88" s="2" t="s">
        <v>427</v>
      </c>
      <c r="E88" s="2" t="s">
        <v>428</v>
      </c>
      <c r="F88" s="2" t="str">
        <f t="shared" si="1"/>
        <v>-</v>
      </c>
      <c r="G88" s="2" t="b">
        <f>AND(표2[[#This Row],[좌표중복]], 표2[[#This Row],[숫자범위]])</f>
        <v>1</v>
      </c>
      <c r="H88" s="2" t="b">
        <f>AND(COUNTIF($C:$C, 표2[[#This Row],[좌표]])=1, COUNTIF(접근금지구역!$B:$B, 표2[[#This Row],[좌표]])=0)</f>
        <v>1</v>
      </c>
      <c r="I88" s="2" t="b">
        <f>fn숫자(표2[[#This Row],[좌표]])</f>
        <v>1</v>
      </c>
    </row>
    <row r="89" spans="1:9" x14ac:dyDescent="0.3">
      <c r="A89" s="2" t="s">
        <v>429</v>
      </c>
      <c r="B89" s="2" t="s">
        <v>430</v>
      </c>
      <c r="C89" s="2" t="s">
        <v>431</v>
      </c>
      <c r="D89" s="2" t="s">
        <v>432</v>
      </c>
      <c r="E89" s="2" t="s">
        <v>433</v>
      </c>
      <c r="F89" s="2" t="str">
        <f t="shared" si="1"/>
        <v>맛집</v>
      </c>
      <c r="G89" s="2" t="b">
        <f>AND(표2[[#This Row],[좌표중복]], 표2[[#This Row],[숫자범위]])</f>
        <v>1</v>
      </c>
      <c r="H89" s="2" t="b">
        <f>AND(COUNTIF($C:$C, 표2[[#This Row],[좌표]])=1, COUNTIF(접근금지구역!$B:$B, 표2[[#This Row],[좌표]])=0)</f>
        <v>1</v>
      </c>
      <c r="I89" s="2" t="b">
        <f>fn숫자(표2[[#This Row],[좌표]])</f>
        <v>1</v>
      </c>
    </row>
    <row r="90" spans="1:9" x14ac:dyDescent="0.3">
      <c r="A90" s="2" t="s">
        <v>434</v>
      </c>
      <c r="B90" s="2" t="s">
        <v>435</v>
      </c>
      <c r="C90" s="2" t="s">
        <v>436</v>
      </c>
      <c r="D90" s="2" t="s">
        <v>437</v>
      </c>
      <c r="E90" s="2" t="s">
        <v>438</v>
      </c>
      <c r="F90" s="2" t="str">
        <f t="shared" si="1"/>
        <v>-</v>
      </c>
      <c r="G90" s="2" t="b">
        <f>AND(표2[[#This Row],[좌표중복]], 표2[[#This Row],[숫자범위]])</f>
        <v>1</v>
      </c>
      <c r="H90" s="2" t="b">
        <f>AND(COUNTIF($C:$C, 표2[[#This Row],[좌표]])=1, COUNTIF(접근금지구역!$B:$B, 표2[[#This Row],[좌표]])=0)</f>
        <v>1</v>
      </c>
      <c r="I90" s="2" t="b">
        <f>fn숫자(표2[[#This Row],[좌표]])</f>
        <v>1</v>
      </c>
    </row>
    <row r="91" spans="1:9" x14ac:dyDescent="0.3">
      <c r="A91" s="2" t="s">
        <v>439</v>
      </c>
      <c r="B91" s="2" t="s">
        <v>440</v>
      </c>
      <c r="C91" s="2" t="s">
        <v>441</v>
      </c>
      <c r="D91" s="2" t="s">
        <v>442</v>
      </c>
      <c r="E91" s="2" t="s">
        <v>443</v>
      </c>
      <c r="F91" s="2" t="str">
        <f t="shared" si="1"/>
        <v>-</v>
      </c>
      <c r="G91" s="2" t="b">
        <f>AND(표2[[#This Row],[좌표중복]], 표2[[#This Row],[숫자범위]])</f>
        <v>1</v>
      </c>
      <c r="H91" s="2" t="b">
        <f>AND(COUNTIF($C:$C, 표2[[#This Row],[좌표]])=1, COUNTIF(접근금지구역!$B:$B, 표2[[#This Row],[좌표]])=0)</f>
        <v>1</v>
      </c>
      <c r="I91" s="2" t="b">
        <f>fn숫자(표2[[#This Row],[좌표]])</f>
        <v>1</v>
      </c>
    </row>
    <row r="92" spans="1:9" x14ac:dyDescent="0.3">
      <c r="A92" s="2" t="s">
        <v>444</v>
      </c>
      <c r="B92" s="2" t="s">
        <v>445</v>
      </c>
      <c r="C92" s="2" t="s">
        <v>446</v>
      </c>
      <c r="D92" s="2" t="s">
        <v>447</v>
      </c>
      <c r="E92" s="2" t="s">
        <v>448</v>
      </c>
      <c r="F92" s="2" t="str">
        <f t="shared" si="1"/>
        <v>-</v>
      </c>
      <c r="G92" s="2" t="b">
        <f>AND(표2[[#This Row],[좌표중복]], 표2[[#This Row],[숫자범위]])</f>
        <v>1</v>
      </c>
      <c r="H92" s="2" t="b">
        <f>AND(COUNTIF($C:$C, 표2[[#This Row],[좌표]])=1, COUNTIF(접근금지구역!$B:$B, 표2[[#This Row],[좌표]])=0)</f>
        <v>1</v>
      </c>
      <c r="I92" s="2" t="b">
        <f>fn숫자(표2[[#This Row],[좌표]])</f>
        <v>1</v>
      </c>
    </row>
    <row r="93" spans="1:9" x14ac:dyDescent="0.3">
      <c r="A93" s="2" t="s">
        <v>449</v>
      </c>
      <c r="B93" s="2" t="s">
        <v>450</v>
      </c>
      <c r="C93" s="2" t="s">
        <v>451</v>
      </c>
      <c r="D93" s="2" t="s">
        <v>452</v>
      </c>
      <c r="E93" s="2" t="s">
        <v>453</v>
      </c>
      <c r="F93" s="2" t="str">
        <f t="shared" si="1"/>
        <v>-</v>
      </c>
      <c r="G93" s="2" t="b">
        <f>AND(표2[[#This Row],[좌표중복]], 표2[[#This Row],[숫자범위]])</f>
        <v>1</v>
      </c>
      <c r="H93" s="2" t="b">
        <f>AND(COUNTIF($C:$C, 표2[[#This Row],[좌표]])=1, COUNTIF(접근금지구역!$B:$B, 표2[[#This Row],[좌표]])=0)</f>
        <v>1</v>
      </c>
      <c r="I93" s="2" t="b">
        <f>fn숫자(표2[[#This Row],[좌표]])</f>
        <v>1</v>
      </c>
    </row>
    <row r="94" spans="1:9" x14ac:dyDescent="0.3">
      <c r="A94" s="2" t="s">
        <v>454</v>
      </c>
      <c r="B94" s="2" t="s">
        <v>455</v>
      </c>
      <c r="C94" s="2" t="s">
        <v>456</v>
      </c>
      <c r="D94" s="2" t="s">
        <v>457</v>
      </c>
      <c r="E94" s="2" t="s">
        <v>458</v>
      </c>
      <c r="F94" s="2" t="str">
        <f t="shared" si="1"/>
        <v>-</v>
      </c>
      <c r="G94" s="2" t="b">
        <f>AND(표2[[#This Row],[좌표중복]], 표2[[#This Row],[숫자범위]])</f>
        <v>1</v>
      </c>
      <c r="H94" s="2" t="b">
        <f>AND(COUNTIF($C:$C, 표2[[#This Row],[좌표]])=1, COUNTIF(접근금지구역!$B:$B, 표2[[#This Row],[좌표]])=0)</f>
        <v>1</v>
      </c>
      <c r="I94" s="2" t="b">
        <f>fn숫자(표2[[#This Row],[좌표]])</f>
        <v>1</v>
      </c>
    </row>
    <row r="95" spans="1:9" x14ac:dyDescent="0.3">
      <c r="A95" s="2" t="s">
        <v>459</v>
      </c>
      <c r="B95" s="2" t="s">
        <v>460</v>
      </c>
      <c r="C95" s="2" t="s">
        <v>461</v>
      </c>
      <c r="D95" s="2" t="s">
        <v>462</v>
      </c>
      <c r="E95" s="2" t="s">
        <v>463</v>
      </c>
      <c r="F95" s="2" t="str">
        <f t="shared" si="1"/>
        <v>맛집</v>
      </c>
      <c r="G95" s="2" t="b">
        <f>AND(표2[[#This Row],[좌표중복]], 표2[[#This Row],[숫자범위]])</f>
        <v>1</v>
      </c>
      <c r="H95" s="2" t="b">
        <f>AND(COUNTIF($C:$C, 표2[[#This Row],[좌표]])=1, COUNTIF(접근금지구역!$B:$B, 표2[[#This Row],[좌표]])=0)</f>
        <v>1</v>
      </c>
      <c r="I95" s="2" t="b">
        <f>fn숫자(표2[[#This Row],[좌표]])</f>
        <v>1</v>
      </c>
    </row>
    <row r="96" spans="1:9" x14ac:dyDescent="0.3">
      <c r="A96" s="2" t="s">
        <v>464</v>
      </c>
      <c r="B96" s="2" t="s">
        <v>465</v>
      </c>
      <c r="C96" s="2" t="s">
        <v>466</v>
      </c>
      <c r="D96" s="2" t="s">
        <v>467</v>
      </c>
      <c r="E96" s="2" t="s">
        <v>468</v>
      </c>
      <c r="F96" s="2" t="str">
        <f t="shared" si="1"/>
        <v>맛집</v>
      </c>
      <c r="G96" s="2" t="b">
        <f>AND(표2[[#This Row],[좌표중복]], 표2[[#This Row],[숫자범위]])</f>
        <v>1</v>
      </c>
      <c r="H96" s="2" t="b">
        <f>AND(COUNTIF($C:$C, 표2[[#This Row],[좌표]])=1, COUNTIF(접근금지구역!$B:$B, 표2[[#This Row],[좌표]])=0)</f>
        <v>1</v>
      </c>
      <c r="I96" s="2" t="b">
        <f>fn숫자(표2[[#This Row],[좌표]])</f>
        <v>1</v>
      </c>
    </row>
    <row r="97" spans="1:9" x14ac:dyDescent="0.3">
      <c r="A97" s="2" t="s">
        <v>469</v>
      </c>
      <c r="B97" s="2" t="s">
        <v>470</v>
      </c>
      <c r="C97" s="2" t="s">
        <v>471</v>
      </c>
      <c r="D97" s="2" t="s">
        <v>472</v>
      </c>
      <c r="E97" s="2" t="s">
        <v>473</v>
      </c>
      <c r="F97" s="2" t="str">
        <f t="shared" si="1"/>
        <v>-</v>
      </c>
      <c r="G97" s="2" t="b">
        <f>AND(표2[[#This Row],[좌표중복]], 표2[[#This Row],[숫자범위]])</f>
        <v>1</v>
      </c>
      <c r="H97" s="2" t="b">
        <f>AND(COUNTIF($C:$C, 표2[[#This Row],[좌표]])=1, COUNTIF(접근금지구역!$B:$B, 표2[[#This Row],[좌표]])=0)</f>
        <v>1</v>
      </c>
      <c r="I97" s="2" t="b">
        <f>fn숫자(표2[[#This Row],[좌표]])</f>
        <v>1</v>
      </c>
    </row>
    <row r="98" spans="1:9" x14ac:dyDescent="0.3">
      <c r="A98" s="2" t="s">
        <v>474</v>
      </c>
      <c r="B98" s="2" t="s">
        <v>475</v>
      </c>
      <c r="C98" s="2" t="s">
        <v>476</v>
      </c>
      <c r="D98" s="2" t="s">
        <v>477</v>
      </c>
      <c r="E98" s="2" t="s">
        <v>478</v>
      </c>
      <c r="F98" s="2" t="str">
        <f t="shared" si="1"/>
        <v>맛집</v>
      </c>
      <c r="G98" s="2" t="b">
        <f>AND(표2[[#This Row],[좌표중복]], 표2[[#This Row],[숫자범위]])</f>
        <v>1</v>
      </c>
      <c r="H98" s="2" t="b">
        <f>AND(COUNTIF($C:$C, 표2[[#This Row],[좌표]])=1, COUNTIF(접근금지구역!$B:$B, 표2[[#This Row],[좌표]])=0)</f>
        <v>1</v>
      </c>
      <c r="I98" s="2" t="b">
        <f>fn숫자(표2[[#This Row],[좌표]])</f>
        <v>1</v>
      </c>
    </row>
    <row r="99" spans="1:9" x14ac:dyDescent="0.3">
      <c r="A99" s="2" t="s">
        <v>479</v>
      </c>
      <c r="B99" s="2" t="s">
        <v>480</v>
      </c>
      <c r="C99" s="2" t="s">
        <v>481</v>
      </c>
      <c r="D99" s="2" t="s">
        <v>482</v>
      </c>
      <c r="E99" s="2" t="s">
        <v>483</v>
      </c>
      <c r="F99" s="2" t="str">
        <f t="shared" si="1"/>
        <v>-</v>
      </c>
      <c r="G99" s="2" t="b">
        <f>AND(표2[[#This Row],[좌표중복]], 표2[[#This Row],[숫자범위]])</f>
        <v>1</v>
      </c>
      <c r="H99" s="2" t="b">
        <f>AND(COUNTIF($C:$C, 표2[[#This Row],[좌표]])=1, COUNTIF(접근금지구역!$B:$B, 표2[[#This Row],[좌표]])=0)</f>
        <v>1</v>
      </c>
      <c r="I99" s="2" t="b">
        <f>fn숫자(표2[[#This Row],[좌표]])</f>
        <v>1</v>
      </c>
    </row>
    <row r="100" spans="1:9" x14ac:dyDescent="0.3">
      <c r="A100" s="2" t="s">
        <v>484</v>
      </c>
      <c r="B100" s="2" t="s">
        <v>485</v>
      </c>
      <c r="C100" s="2" t="s">
        <v>486</v>
      </c>
      <c r="D100" s="2" t="s">
        <v>487</v>
      </c>
      <c r="E100" s="2" t="s">
        <v>488</v>
      </c>
      <c r="F100" s="2" t="str">
        <f t="shared" si="1"/>
        <v>-</v>
      </c>
      <c r="G100" s="2" t="b">
        <f>AND(표2[[#This Row],[좌표중복]], 표2[[#This Row],[숫자범위]])</f>
        <v>1</v>
      </c>
      <c r="H100" s="2" t="b">
        <f>AND(COUNTIF($C:$C, 표2[[#This Row],[좌표]])=1, COUNTIF(접근금지구역!$B:$B, 표2[[#This Row],[좌표]])=0)</f>
        <v>1</v>
      </c>
      <c r="I100" s="2" t="b">
        <f>fn숫자(표2[[#This Row],[좌표]])</f>
        <v>1</v>
      </c>
    </row>
    <row r="101" spans="1:9" x14ac:dyDescent="0.3">
      <c r="A101" s="2" t="s">
        <v>489</v>
      </c>
      <c r="B101" s="2" t="s">
        <v>490</v>
      </c>
      <c r="C101" s="2" t="s">
        <v>491</v>
      </c>
      <c r="D101" s="2" t="s">
        <v>492</v>
      </c>
      <c r="E101" s="2" t="s">
        <v>493</v>
      </c>
      <c r="F101" s="2" t="str">
        <f t="shared" si="1"/>
        <v>-</v>
      </c>
      <c r="G101" s="2" t="b">
        <f>AND(표2[[#This Row],[좌표중복]], 표2[[#This Row],[숫자범위]])</f>
        <v>1</v>
      </c>
      <c r="H101" s="2" t="b">
        <f>AND(COUNTIF($C:$C, 표2[[#This Row],[좌표]])=1, COUNTIF(접근금지구역!$B:$B, 표2[[#This Row],[좌표]])=0)</f>
        <v>1</v>
      </c>
      <c r="I101" s="2" t="b">
        <f>fn숫자(표2[[#This Row],[좌표]])</f>
        <v>1</v>
      </c>
    </row>
    <row r="102" spans="1:9" x14ac:dyDescent="0.3">
      <c r="A102" s="2" t="s">
        <v>494</v>
      </c>
      <c r="B102" s="2" t="s">
        <v>495</v>
      </c>
      <c r="C102" s="2" t="s">
        <v>496</v>
      </c>
      <c r="D102" s="2" t="s">
        <v>497</v>
      </c>
      <c r="E102" s="2" t="s">
        <v>498</v>
      </c>
      <c r="F102" s="2" t="str">
        <f t="shared" si="1"/>
        <v>-</v>
      </c>
      <c r="G102" s="2" t="b">
        <f>AND(표2[[#This Row],[좌표중복]], 표2[[#This Row],[숫자범위]])</f>
        <v>1</v>
      </c>
      <c r="H102" s="2" t="b">
        <f>AND(COUNTIF($C:$C, 표2[[#This Row],[좌표]])=1, COUNTIF(접근금지구역!$B:$B, 표2[[#This Row],[좌표]])=0)</f>
        <v>1</v>
      </c>
      <c r="I102" s="2" t="b">
        <f>fn숫자(표2[[#This Row],[좌표]])</f>
        <v>1</v>
      </c>
    </row>
    <row r="103" spans="1:9" x14ac:dyDescent="0.3">
      <c r="A103" s="2" t="s">
        <v>499</v>
      </c>
      <c r="B103" s="2" t="s">
        <v>500</v>
      </c>
      <c r="C103" s="2" t="s">
        <v>501</v>
      </c>
      <c r="D103" s="2" t="s">
        <v>502</v>
      </c>
      <c r="E103" s="2" t="s">
        <v>503</v>
      </c>
      <c r="F103" s="2" t="str">
        <f t="shared" si="1"/>
        <v>맛집</v>
      </c>
      <c r="G103" s="2" t="b">
        <f>AND(표2[[#This Row],[좌표중복]], 표2[[#This Row],[숫자범위]])</f>
        <v>1</v>
      </c>
      <c r="H103" s="2" t="b">
        <f>AND(COUNTIF($C:$C, 표2[[#This Row],[좌표]])=1, COUNTIF(접근금지구역!$B:$B, 표2[[#This Row],[좌표]])=0)</f>
        <v>1</v>
      </c>
      <c r="I103" s="2" t="b">
        <f>fn숫자(표2[[#This Row],[좌표]])</f>
        <v>1</v>
      </c>
    </row>
    <row r="104" spans="1:9" x14ac:dyDescent="0.3">
      <c r="A104" s="2" t="s">
        <v>504</v>
      </c>
      <c r="B104" s="2" t="s">
        <v>505</v>
      </c>
      <c r="C104" s="2" t="s">
        <v>506</v>
      </c>
      <c r="D104" s="2" t="s">
        <v>507</v>
      </c>
      <c r="E104" s="2" t="s">
        <v>508</v>
      </c>
      <c r="F104" s="2" t="str">
        <f t="shared" si="1"/>
        <v>-</v>
      </c>
      <c r="G104" s="2" t="b">
        <f>AND(표2[[#This Row],[좌표중복]], 표2[[#This Row],[숫자범위]])</f>
        <v>1</v>
      </c>
      <c r="H104" s="2" t="b">
        <f>AND(COUNTIF($C:$C, 표2[[#This Row],[좌표]])=1, COUNTIF(접근금지구역!$B:$B, 표2[[#This Row],[좌표]])=0)</f>
        <v>1</v>
      </c>
      <c r="I104" s="2" t="b">
        <f>fn숫자(표2[[#This Row],[좌표]])</f>
        <v>1</v>
      </c>
    </row>
    <row r="105" spans="1:9" x14ac:dyDescent="0.3">
      <c r="A105" s="2" t="s">
        <v>509</v>
      </c>
      <c r="B105" s="2" t="s">
        <v>510</v>
      </c>
      <c r="C105" s="2" t="s">
        <v>511</v>
      </c>
      <c r="D105" s="2" t="s">
        <v>512</v>
      </c>
      <c r="E105" s="2" t="s">
        <v>513</v>
      </c>
      <c r="F105" s="2" t="str">
        <f t="shared" si="1"/>
        <v>-</v>
      </c>
      <c r="G105" s="2" t="b">
        <f>AND(표2[[#This Row],[좌표중복]], 표2[[#This Row],[숫자범위]])</f>
        <v>1</v>
      </c>
      <c r="H105" s="2" t="b">
        <f>AND(COUNTIF($C:$C, 표2[[#This Row],[좌표]])=1, COUNTIF(접근금지구역!$B:$B, 표2[[#This Row],[좌표]])=0)</f>
        <v>1</v>
      </c>
      <c r="I105" s="2" t="b">
        <f>fn숫자(표2[[#This Row],[좌표]])</f>
        <v>1</v>
      </c>
    </row>
    <row r="106" spans="1:9" x14ac:dyDescent="0.3">
      <c r="A106" s="2" t="s">
        <v>514</v>
      </c>
      <c r="B106" s="2" t="s">
        <v>515</v>
      </c>
      <c r="C106" s="2" t="s">
        <v>516</v>
      </c>
      <c r="D106" s="2" t="s">
        <v>517</v>
      </c>
      <c r="E106" s="2" t="s">
        <v>518</v>
      </c>
      <c r="F106" s="2" t="str">
        <f t="shared" si="1"/>
        <v>-</v>
      </c>
      <c r="G106" s="2" t="b">
        <f>AND(표2[[#This Row],[좌표중복]], 표2[[#This Row],[숫자범위]])</f>
        <v>1</v>
      </c>
      <c r="H106" s="2" t="b">
        <f>AND(COUNTIF($C:$C, 표2[[#This Row],[좌표]])=1, COUNTIF(접근금지구역!$B:$B, 표2[[#This Row],[좌표]])=0)</f>
        <v>1</v>
      </c>
      <c r="I106" s="2" t="b">
        <f>fn숫자(표2[[#This Row],[좌표]])</f>
        <v>1</v>
      </c>
    </row>
    <row r="107" spans="1:9" x14ac:dyDescent="0.3">
      <c r="A107" s="2" t="s">
        <v>519</v>
      </c>
      <c r="B107" s="2" t="s">
        <v>520</v>
      </c>
      <c r="C107" s="2" t="s">
        <v>521</v>
      </c>
      <c r="D107" s="2" t="s">
        <v>522</v>
      </c>
      <c r="E107" s="2" t="s">
        <v>523</v>
      </c>
      <c r="F107" s="2" t="str">
        <f t="shared" si="1"/>
        <v>-</v>
      </c>
      <c r="G107" s="2" t="b">
        <f>AND(표2[[#This Row],[좌표중복]], 표2[[#This Row],[숫자범위]])</f>
        <v>1</v>
      </c>
      <c r="H107" s="2" t="b">
        <f>AND(COUNTIF($C:$C, 표2[[#This Row],[좌표]])=1, COUNTIF(접근금지구역!$B:$B, 표2[[#This Row],[좌표]])=0)</f>
        <v>1</v>
      </c>
      <c r="I107" s="2" t="b">
        <f>fn숫자(표2[[#This Row],[좌표]])</f>
        <v>1</v>
      </c>
    </row>
    <row r="108" spans="1:9" x14ac:dyDescent="0.3">
      <c r="A108" s="2" t="s">
        <v>524</v>
      </c>
      <c r="B108" s="2" t="s">
        <v>525</v>
      </c>
      <c r="C108" s="2" t="s">
        <v>526</v>
      </c>
      <c r="D108" s="2" t="s">
        <v>527</v>
      </c>
      <c r="E108" s="2" t="s">
        <v>528</v>
      </c>
      <c r="F108" s="2" t="str">
        <f t="shared" si="1"/>
        <v>-</v>
      </c>
      <c r="G108" s="2" t="b">
        <f>AND(표2[[#This Row],[좌표중복]], 표2[[#This Row],[숫자범위]])</f>
        <v>1</v>
      </c>
      <c r="H108" s="2" t="b">
        <f>AND(COUNTIF($C:$C, 표2[[#This Row],[좌표]])=1, COUNTIF(접근금지구역!$B:$B, 표2[[#This Row],[좌표]])=0)</f>
        <v>1</v>
      </c>
      <c r="I108" s="2" t="b">
        <f>fn숫자(표2[[#This Row],[좌표]])</f>
        <v>1</v>
      </c>
    </row>
    <row r="109" spans="1:9" x14ac:dyDescent="0.3">
      <c r="A109" s="2" t="s">
        <v>529</v>
      </c>
      <c r="B109" s="2" t="s">
        <v>530</v>
      </c>
      <c r="C109" s="2" t="s">
        <v>531</v>
      </c>
      <c r="D109" s="2" t="s">
        <v>532</v>
      </c>
      <c r="E109" s="2" t="s">
        <v>533</v>
      </c>
      <c r="F109" s="2" t="str">
        <f t="shared" si="1"/>
        <v>-</v>
      </c>
      <c r="G109" s="2" t="b">
        <f>AND(표2[[#This Row],[좌표중복]], 표2[[#This Row],[숫자범위]])</f>
        <v>1</v>
      </c>
      <c r="H109" s="2" t="b">
        <f>AND(COUNTIF($C:$C, 표2[[#This Row],[좌표]])=1, COUNTIF(접근금지구역!$B:$B, 표2[[#This Row],[좌표]])=0)</f>
        <v>1</v>
      </c>
      <c r="I109" s="2" t="b">
        <f>fn숫자(표2[[#This Row],[좌표]])</f>
        <v>1</v>
      </c>
    </row>
    <row r="110" spans="1:9" x14ac:dyDescent="0.3">
      <c r="A110" s="2" t="s">
        <v>534</v>
      </c>
      <c r="B110" s="2" t="s">
        <v>535</v>
      </c>
      <c r="C110" s="2" t="s">
        <v>536</v>
      </c>
      <c r="D110" s="2" t="s">
        <v>537</v>
      </c>
      <c r="E110" s="2" t="s">
        <v>538</v>
      </c>
      <c r="F110" s="2" t="str">
        <f t="shared" si="1"/>
        <v>맛집</v>
      </c>
      <c r="G110" s="2" t="b">
        <f>AND(표2[[#This Row],[좌표중복]], 표2[[#This Row],[숫자범위]])</f>
        <v>1</v>
      </c>
      <c r="H110" s="2" t="b">
        <f>AND(COUNTIF($C:$C, 표2[[#This Row],[좌표]])=1, COUNTIF(접근금지구역!$B:$B, 표2[[#This Row],[좌표]])=0)</f>
        <v>1</v>
      </c>
      <c r="I110" s="2" t="b">
        <f>fn숫자(표2[[#This Row],[좌표]])</f>
        <v>1</v>
      </c>
    </row>
    <row r="111" spans="1:9" x14ac:dyDescent="0.3">
      <c r="A111" s="2" t="s">
        <v>539</v>
      </c>
      <c r="B111" s="2" t="s">
        <v>540</v>
      </c>
      <c r="C111" s="2" t="s">
        <v>541</v>
      </c>
      <c r="D111" s="2" t="s">
        <v>542</v>
      </c>
      <c r="E111" s="2" t="s">
        <v>543</v>
      </c>
      <c r="F111" s="2" t="str">
        <f t="shared" si="1"/>
        <v>-</v>
      </c>
      <c r="G111" s="2" t="b">
        <f>AND(표2[[#This Row],[좌표중복]], 표2[[#This Row],[숫자범위]])</f>
        <v>1</v>
      </c>
      <c r="H111" s="2" t="b">
        <f>AND(COUNTIF($C:$C, 표2[[#This Row],[좌표]])=1, COUNTIF(접근금지구역!$B:$B, 표2[[#This Row],[좌표]])=0)</f>
        <v>1</v>
      </c>
      <c r="I111" s="2" t="b">
        <f>fn숫자(표2[[#This Row],[좌표]])</f>
        <v>1</v>
      </c>
    </row>
    <row r="112" spans="1:9" x14ac:dyDescent="0.3">
      <c r="A112" s="2" t="s">
        <v>544</v>
      </c>
      <c r="B112" s="2" t="s">
        <v>545</v>
      </c>
      <c r="C112" s="2" t="s">
        <v>546</v>
      </c>
      <c r="D112" s="2" t="s">
        <v>547</v>
      </c>
      <c r="E112" s="2" t="s">
        <v>548</v>
      </c>
      <c r="F112" s="2" t="str">
        <f t="shared" si="1"/>
        <v>-</v>
      </c>
      <c r="G112" s="2" t="b">
        <f>AND(표2[[#This Row],[좌표중복]], 표2[[#This Row],[숫자범위]])</f>
        <v>1</v>
      </c>
      <c r="H112" s="2" t="b">
        <f>AND(COUNTIF($C:$C, 표2[[#This Row],[좌표]])=1, COUNTIF(접근금지구역!$B:$B, 표2[[#This Row],[좌표]])=0)</f>
        <v>1</v>
      </c>
      <c r="I112" s="2" t="b">
        <f>fn숫자(표2[[#This Row],[좌표]])</f>
        <v>1</v>
      </c>
    </row>
    <row r="113" spans="1:9" x14ac:dyDescent="0.3">
      <c r="A113" s="2" t="s">
        <v>549</v>
      </c>
      <c r="B113" s="2" t="s">
        <v>550</v>
      </c>
      <c r="C113" s="2" t="s">
        <v>551</v>
      </c>
      <c r="D113" s="2" t="s">
        <v>552</v>
      </c>
      <c r="E113" s="2" t="s">
        <v>553</v>
      </c>
      <c r="F113" s="2" t="str">
        <f t="shared" si="1"/>
        <v>맛집</v>
      </c>
      <c r="G113" s="2" t="b">
        <f>AND(표2[[#This Row],[좌표중복]], 표2[[#This Row],[숫자범위]])</f>
        <v>1</v>
      </c>
      <c r="H113" s="2" t="b">
        <f>AND(COUNTIF($C:$C, 표2[[#This Row],[좌표]])=1, COUNTIF(접근금지구역!$B:$B, 표2[[#This Row],[좌표]])=0)</f>
        <v>1</v>
      </c>
      <c r="I113" s="2" t="b">
        <f>fn숫자(표2[[#This Row],[좌표]])</f>
        <v>1</v>
      </c>
    </row>
    <row r="114" spans="1:9" x14ac:dyDescent="0.3">
      <c r="A114" s="2" t="s">
        <v>554</v>
      </c>
      <c r="B114" s="2" t="s">
        <v>555</v>
      </c>
      <c r="C114" s="2" t="s">
        <v>556</v>
      </c>
      <c r="D114" s="2" t="s">
        <v>557</v>
      </c>
      <c r="E114" s="2" t="s">
        <v>558</v>
      </c>
      <c r="F114" s="2" t="str">
        <f t="shared" si="1"/>
        <v>-</v>
      </c>
      <c r="G114" s="2" t="b">
        <f>AND(표2[[#This Row],[좌표중복]], 표2[[#This Row],[숫자범위]])</f>
        <v>1</v>
      </c>
      <c r="H114" s="2" t="b">
        <f>AND(COUNTIF($C:$C, 표2[[#This Row],[좌표]])=1, COUNTIF(접근금지구역!$B:$B, 표2[[#This Row],[좌표]])=0)</f>
        <v>1</v>
      </c>
      <c r="I114" s="2" t="b">
        <f>fn숫자(표2[[#This Row],[좌표]])</f>
        <v>1</v>
      </c>
    </row>
    <row r="115" spans="1:9" x14ac:dyDescent="0.3">
      <c r="A115" s="2" t="s">
        <v>559</v>
      </c>
      <c r="B115" s="2" t="s">
        <v>560</v>
      </c>
      <c r="C115" s="2" t="s">
        <v>561</v>
      </c>
      <c r="D115" s="2" t="s">
        <v>562</v>
      </c>
      <c r="E115" s="2" t="s">
        <v>563</v>
      </c>
      <c r="F115" s="2" t="str">
        <f t="shared" si="1"/>
        <v>맛집</v>
      </c>
      <c r="G115" s="2" t="b">
        <f>AND(표2[[#This Row],[좌표중복]], 표2[[#This Row],[숫자범위]])</f>
        <v>1</v>
      </c>
      <c r="H115" s="2" t="b">
        <f>AND(COUNTIF($C:$C, 표2[[#This Row],[좌표]])=1, COUNTIF(접근금지구역!$B:$B, 표2[[#This Row],[좌표]])=0)</f>
        <v>1</v>
      </c>
      <c r="I115" s="2" t="b">
        <f>fn숫자(표2[[#This Row],[좌표]])</f>
        <v>1</v>
      </c>
    </row>
    <row r="116" spans="1:9" x14ac:dyDescent="0.3">
      <c r="A116" s="2" t="s">
        <v>564</v>
      </c>
      <c r="B116" s="2" t="s">
        <v>565</v>
      </c>
      <c r="C116" s="2" t="s">
        <v>566</v>
      </c>
      <c r="D116" s="2" t="s">
        <v>567</v>
      </c>
      <c r="E116" s="2" t="s">
        <v>568</v>
      </c>
      <c r="F116" s="2" t="str">
        <f t="shared" si="1"/>
        <v>-</v>
      </c>
      <c r="G116" s="2" t="b">
        <f>AND(표2[[#This Row],[좌표중복]], 표2[[#This Row],[숫자범위]])</f>
        <v>1</v>
      </c>
      <c r="H116" s="2" t="b">
        <f>AND(COUNTIF($C:$C, 표2[[#This Row],[좌표]])=1, COUNTIF(접근금지구역!$B:$B, 표2[[#This Row],[좌표]])=0)</f>
        <v>1</v>
      </c>
      <c r="I116" s="2" t="b">
        <f>fn숫자(표2[[#This Row],[좌표]])</f>
        <v>1</v>
      </c>
    </row>
    <row r="117" spans="1:9" x14ac:dyDescent="0.3">
      <c r="A117" s="2" t="s">
        <v>569</v>
      </c>
      <c r="B117" s="2" t="s">
        <v>570</v>
      </c>
      <c r="C117" s="2" t="s">
        <v>571</v>
      </c>
      <c r="D117" s="2" t="s">
        <v>572</v>
      </c>
      <c r="E117" s="2" t="s">
        <v>573</v>
      </c>
      <c r="F117" s="2" t="str">
        <f t="shared" si="1"/>
        <v>-</v>
      </c>
      <c r="G117" s="2" t="b">
        <f>AND(표2[[#This Row],[좌표중복]], 표2[[#This Row],[숫자범위]])</f>
        <v>1</v>
      </c>
      <c r="H117" s="2" t="b">
        <f>AND(COUNTIF($C:$C, 표2[[#This Row],[좌표]])=1, COUNTIF(접근금지구역!$B:$B, 표2[[#This Row],[좌표]])=0)</f>
        <v>1</v>
      </c>
      <c r="I117" s="2" t="b">
        <f>fn숫자(표2[[#This Row],[좌표]])</f>
        <v>1</v>
      </c>
    </row>
    <row r="118" spans="1:9" x14ac:dyDescent="0.3">
      <c r="A118" s="2" t="s">
        <v>574</v>
      </c>
      <c r="B118" s="2" t="s">
        <v>575</v>
      </c>
      <c r="C118" s="2" t="s">
        <v>576</v>
      </c>
      <c r="D118" s="2" t="s">
        <v>577</v>
      </c>
      <c r="E118" s="2" t="s">
        <v>578</v>
      </c>
      <c r="F118" s="2" t="str">
        <f t="shared" si="1"/>
        <v>맛집</v>
      </c>
      <c r="G118" s="2" t="b">
        <f>AND(표2[[#This Row],[좌표중복]], 표2[[#This Row],[숫자범위]])</f>
        <v>1</v>
      </c>
      <c r="H118" s="2" t="b">
        <f>AND(COUNTIF($C:$C, 표2[[#This Row],[좌표]])=1, COUNTIF(접근금지구역!$B:$B, 표2[[#This Row],[좌표]])=0)</f>
        <v>1</v>
      </c>
      <c r="I118" s="2" t="b">
        <f>fn숫자(표2[[#This Row],[좌표]])</f>
        <v>1</v>
      </c>
    </row>
    <row r="119" spans="1:9" x14ac:dyDescent="0.3">
      <c r="A119" s="2" t="s">
        <v>579</v>
      </c>
      <c r="B119" s="2" t="s">
        <v>580</v>
      </c>
      <c r="C119" s="2" t="s">
        <v>581</v>
      </c>
      <c r="D119" s="2" t="s">
        <v>582</v>
      </c>
      <c r="E119" s="2" t="s">
        <v>583</v>
      </c>
      <c r="F119" s="2" t="str">
        <f t="shared" si="1"/>
        <v>-</v>
      </c>
      <c r="G119" s="2" t="b">
        <f>AND(표2[[#This Row],[좌표중복]], 표2[[#This Row],[숫자범위]])</f>
        <v>1</v>
      </c>
      <c r="H119" s="2" t="b">
        <f>AND(COUNTIF($C:$C, 표2[[#This Row],[좌표]])=1, COUNTIF(접근금지구역!$B:$B, 표2[[#This Row],[좌표]])=0)</f>
        <v>1</v>
      </c>
      <c r="I119" s="2" t="b">
        <f>fn숫자(표2[[#This Row],[좌표]])</f>
        <v>1</v>
      </c>
    </row>
    <row r="120" spans="1:9" x14ac:dyDescent="0.3">
      <c r="A120" s="2" t="s">
        <v>584</v>
      </c>
      <c r="B120" s="2" t="s">
        <v>585</v>
      </c>
      <c r="C120" s="2" t="s">
        <v>586</v>
      </c>
      <c r="D120" s="2" t="s">
        <v>587</v>
      </c>
      <c r="E120" s="2" t="s">
        <v>588</v>
      </c>
      <c r="F120" s="2" t="str">
        <f t="shared" si="1"/>
        <v>-</v>
      </c>
      <c r="G120" s="2" t="b">
        <f>AND(표2[[#This Row],[좌표중복]], 표2[[#This Row],[숫자범위]])</f>
        <v>1</v>
      </c>
      <c r="H120" s="2" t="b">
        <f>AND(COUNTIF($C:$C, 표2[[#This Row],[좌표]])=1, COUNTIF(접근금지구역!$B:$B, 표2[[#This Row],[좌표]])=0)</f>
        <v>1</v>
      </c>
      <c r="I120" s="2" t="b">
        <f>fn숫자(표2[[#This Row],[좌표]])</f>
        <v>1</v>
      </c>
    </row>
    <row r="121" spans="1:9" x14ac:dyDescent="0.3">
      <c r="A121" s="2" t="s">
        <v>589</v>
      </c>
      <c r="B121" s="2" t="s">
        <v>590</v>
      </c>
      <c r="C121" s="2" t="s">
        <v>591</v>
      </c>
      <c r="D121" s="2" t="s">
        <v>592</v>
      </c>
      <c r="E121" s="2" t="s">
        <v>593</v>
      </c>
      <c r="F121" s="2" t="str">
        <f t="shared" si="1"/>
        <v>-</v>
      </c>
      <c r="G121" s="2" t="b">
        <f>AND(표2[[#This Row],[좌표중복]], 표2[[#This Row],[숫자범위]])</f>
        <v>1</v>
      </c>
      <c r="H121" s="2" t="b">
        <f>AND(COUNTIF($C:$C, 표2[[#This Row],[좌표]])=1, COUNTIF(접근금지구역!$B:$B, 표2[[#This Row],[좌표]])=0)</f>
        <v>1</v>
      </c>
      <c r="I121" s="2" t="b">
        <f>fn숫자(표2[[#This Row],[좌표]])</f>
        <v>1</v>
      </c>
    </row>
    <row r="122" spans="1:9" x14ac:dyDescent="0.3">
      <c r="A122" s="2" t="s">
        <v>594</v>
      </c>
      <c r="B122" s="2" t="s">
        <v>595</v>
      </c>
      <c r="C122" s="2" t="s">
        <v>596</v>
      </c>
      <c r="D122" s="2" t="s">
        <v>597</v>
      </c>
      <c r="E122" s="2" t="s">
        <v>598</v>
      </c>
      <c r="F122" s="2" t="str">
        <f t="shared" si="1"/>
        <v>맛집</v>
      </c>
      <c r="G122" s="2" t="b">
        <f>AND(표2[[#This Row],[좌표중복]], 표2[[#This Row],[숫자범위]])</f>
        <v>1</v>
      </c>
      <c r="H122" s="2" t="b">
        <f>AND(COUNTIF($C:$C, 표2[[#This Row],[좌표]])=1, COUNTIF(접근금지구역!$B:$B, 표2[[#This Row],[좌표]])=0)</f>
        <v>1</v>
      </c>
      <c r="I122" s="2" t="b">
        <f>fn숫자(표2[[#This Row],[좌표]])</f>
        <v>1</v>
      </c>
    </row>
    <row r="123" spans="1:9" x14ac:dyDescent="0.3">
      <c r="A123" s="2" t="s">
        <v>599</v>
      </c>
      <c r="B123" s="2" t="s">
        <v>600</v>
      </c>
      <c r="C123" s="2" t="s">
        <v>601</v>
      </c>
      <c r="D123" s="2" t="s">
        <v>602</v>
      </c>
      <c r="E123" s="2" t="s">
        <v>603</v>
      </c>
      <c r="F123" s="2" t="str">
        <f t="shared" si="1"/>
        <v>맛집</v>
      </c>
      <c r="G123" s="2" t="b">
        <f>AND(표2[[#This Row],[좌표중복]], 표2[[#This Row],[숫자범위]])</f>
        <v>1</v>
      </c>
      <c r="H123" s="2" t="b">
        <f>AND(COUNTIF($C:$C, 표2[[#This Row],[좌표]])=1, COUNTIF(접근금지구역!$B:$B, 표2[[#This Row],[좌표]])=0)</f>
        <v>1</v>
      </c>
      <c r="I123" s="2" t="b">
        <f>fn숫자(표2[[#This Row],[좌표]])</f>
        <v>1</v>
      </c>
    </row>
    <row r="124" spans="1:9" x14ac:dyDescent="0.3">
      <c r="A124" s="2" t="s">
        <v>604</v>
      </c>
      <c r="B124" s="2" t="s">
        <v>605</v>
      </c>
      <c r="C124" s="2" t="s">
        <v>606</v>
      </c>
      <c r="D124" s="2" t="s">
        <v>607</v>
      </c>
      <c r="E124" s="2" t="s">
        <v>608</v>
      </c>
      <c r="F124" s="2" t="str">
        <f t="shared" si="1"/>
        <v>-</v>
      </c>
      <c r="G124" s="2" t="b">
        <f>AND(표2[[#This Row],[좌표중복]], 표2[[#This Row],[숫자범위]])</f>
        <v>1</v>
      </c>
      <c r="H124" s="2" t="b">
        <f>AND(COUNTIF($C:$C, 표2[[#This Row],[좌표]])=1, COUNTIF(접근금지구역!$B:$B, 표2[[#This Row],[좌표]])=0)</f>
        <v>1</v>
      </c>
      <c r="I124" s="2" t="b">
        <f>fn숫자(표2[[#This Row],[좌표]])</f>
        <v>1</v>
      </c>
    </row>
    <row r="125" spans="1:9" x14ac:dyDescent="0.3">
      <c r="A125" s="2" t="s">
        <v>609</v>
      </c>
      <c r="B125" s="2" t="s">
        <v>610</v>
      </c>
      <c r="C125" s="2" t="s">
        <v>611</v>
      </c>
      <c r="D125" s="2" t="s">
        <v>612</v>
      </c>
      <c r="E125" s="2" t="s">
        <v>613</v>
      </c>
      <c r="F125" s="2" t="str">
        <f t="shared" si="1"/>
        <v>-</v>
      </c>
      <c r="G125" s="2" t="b">
        <f>AND(표2[[#This Row],[좌표중복]], 표2[[#This Row],[숫자범위]])</f>
        <v>1</v>
      </c>
      <c r="H125" s="2" t="b">
        <f>AND(COUNTIF($C:$C, 표2[[#This Row],[좌표]])=1, COUNTIF(접근금지구역!$B:$B, 표2[[#This Row],[좌표]])=0)</f>
        <v>1</v>
      </c>
      <c r="I125" s="2" t="b">
        <f>fn숫자(표2[[#This Row],[좌표]])</f>
        <v>1</v>
      </c>
    </row>
    <row r="126" spans="1:9" x14ac:dyDescent="0.3">
      <c r="A126" s="2" t="s">
        <v>614</v>
      </c>
      <c r="B126" s="2" t="s">
        <v>615</v>
      </c>
      <c r="C126" s="2" t="s">
        <v>616</v>
      </c>
      <c r="D126" s="2" t="s">
        <v>617</v>
      </c>
      <c r="E126" s="2" t="s">
        <v>618</v>
      </c>
      <c r="F126" s="2" t="str">
        <f t="shared" si="1"/>
        <v>-</v>
      </c>
      <c r="G126" s="2" t="b">
        <f>AND(표2[[#This Row],[좌표중복]], 표2[[#This Row],[숫자범위]])</f>
        <v>1</v>
      </c>
      <c r="H126" s="2" t="b">
        <f>AND(COUNTIF($C:$C, 표2[[#This Row],[좌표]])=1, COUNTIF(접근금지구역!$B:$B, 표2[[#This Row],[좌표]])=0)</f>
        <v>1</v>
      </c>
      <c r="I126" s="2" t="b">
        <f>fn숫자(표2[[#This Row],[좌표]])</f>
        <v>1</v>
      </c>
    </row>
    <row r="127" spans="1:9" x14ac:dyDescent="0.3">
      <c r="A127" s="2" t="s">
        <v>619</v>
      </c>
      <c r="B127" s="2" t="s">
        <v>620</v>
      </c>
      <c r="C127" s="2" t="s">
        <v>621</v>
      </c>
      <c r="D127" s="2" t="s">
        <v>622</v>
      </c>
      <c r="E127" s="2" t="s">
        <v>623</v>
      </c>
      <c r="F127" s="2" t="str">
        <f t="shared" si="1"/>
        <v>맛집</v>
      </c>
      <c r="G127" s="2" t="b">
        <f>AND(표2[[#This Row],[좌표중복]], 표2[[#This Row],[숫자범위]])</f>
        <v>1</v>
      </c>
      <c r="H127" s="2" t="b">
        <f>AND(COUNTIF($C:$C, 표2[[#This Row],[좌표]])=1, COUNTIF(접근금지구역!$B:$B, 표2[[#This Row],[좌표]])=0)</f>
        <v>1</v>
      </c>
      <c r="I127" s="2" t="b">
        <f>fn숫자(표2[[#This Row],[좌표]])</f>
        <v>1</v>
      </c>
    </row>
    <row r="128" spans="1:9" x14ac:dyDescent="0.3">
      <c r="A128" s="2" t="s">
        <v>624</v>
      </c>
      <c r="B128" s="2" t="s">
        <v>625</v>
      </c>
      <c r="C128" s="2" t="s">
        <v>626</v>
      </c>
      <c r="D128" s="2" t="s">
        <v>627</v>
      </c>
      <c r="E128" s="2" t="s">
        <v>628</v>
      </c>
      <c r="F128" s="2" t="str">
        <f t="shared" si="1"/>
        <v>-</v>
      </c>
      <c r="G128" s="2" t="b">
        <f>AND(표2[[#This Row],[좌표중복]], 표2[[#This Row],[숫자범위]])</f>
        <v>1</v>
      </c>
      <c r="H128" s="2" t="b">
        <f>AND(COUNTIF($C:$C, 표2[[#This Row],[좌표]])=1, COUNTIF(접근금지구역!$B:$B, 표2[[#This Row],[좌표]])=0)</f>
        <v>1</v>
      </c>
      <c r="I128" s="2" t="b">
        <f>fn숫자(표2[[#This Row],[좌표]])</f>
        <v>1</v>
      </c>
    </row>
    <row r="129" spans="1:9" x14ac:dyDescent="0.3">
      <c r="A129" s="2" t="s">
        <v>629</v>
      </c>
      <c r="B129" s="2" t="s">
        <v>630</v>
      </c>
      <c r="C129" s="2" t="s">
        <v>631</v>
      </c>
      <c r="D129" s="2" t="s">
        <v>632</v>
      </c>
      <c r="E129" s="2" t="s">
        <v>633</v>
      </c>
      <c r="F129" s="2" t="str">
        <f t="shared" si="1"/>
        <v>-</v>
      </c>
      <c r="G129" s="2" t="b">
        <f>AND(표2[[#This Row],[좌표중복]], 표2[[#This Row],[숫자범위]])</f>
        <v>1</v>
      </c>
      <c r="H129" s="2" t="b">
        <f>AND(COUNTIF($C:$C, 표2[[#This Row],[좌표]])=1, COUNTIF(접근금지구역!$B:$B, 표2[[#This Row],[좌표]])=0)</f>
        <v>1</v>
      </c>
      <c r="I129" s="2" t="b">
        <f>fn숫자(표2[[#This Row],[좌표]])</f>
        <v>1</v>
      </c>
    </row>
    <row r="130" spans="1:9" x14ac:dyDescent="0.3">
      <c r="A130" s="2" t="s">
        <v>634</v>
      </c>
      <c r="B130" s="2" t="s">
        <v>635</v>
      </c>
      <c r="C130" s="2" t="s">
        <v>636</v>
      </c>
      <c r="D130" s="2" t="s">
        <v>637</v>
      </c>
      <c r="E130" s="2" t="s">
        <v>638</v>
      </c>
      <c r="F130" s="2" t="str">
        <f t="shared" si="1"/>
        <v>맛집</v>
      </c>
      <c r="G130" s="2" t="b">
        <f>AND(표2[[#This Row],[좌표중복]], 표2[[#This Row],[숫자범위]])</f>
        <v>1</v>
      </c>
      <c r="H130" s="2" t="b">
        <f>AND(COUNTIF($C:$C, 표2[[#This Row],[좌표]])=1, COUNTIF(접근금지구역!$B:$B, 표2[[#This Row],[좌표]])=0)</f>
        <v>1</v>
      </c>
      <c r="I130" s="2" t="b">
        <f>fn숫자(표2[[#This Row],[좌표]])</f>
        <v>1</v>
      </c>
    </row>
    <row r="131" spans="1:9" x14ac:dyDescent="0.3">
      <c r="A131" s="2" t="s">
        <v>639</v>
      </c>
      <c r="B131" s="2" t="s">
        <v>640</v>
      </c>
      <c r="C131" s="2" t="s">
        <v>641</v>
      </c>
      <c r="D131" s="2" t="s">
        <v>642</v>
      </c>
      <c r="E131" s="2" t="s">
        <v>643</v>
      </c>
      <c r="F131" s="2" t="str">
        <f t="shared" ref="F131:F188" si="2">fn등급(A131)</f>
        <v>-</v>
      </c>
      <c r="G131" s="2" t="b">
        <f>AND(표2[[#This Row],[좌표중복]], 표2[[#This Row],[숫자범위]])</f>
        <v>1</v>
      </c>
      <c r="H131" s="2" t="b">
        <f>AND(COUNTIF($C:$C, 표2[[#This Row],[좌표]])=1, COUNTIF(접근금지구역!$B:$B, 표2[[#This Row],[좌표]])=0)</f>
        <v>1</v>
      </c>
      <c r="I131" s="2" t="b">
        <f>fn숫자(표2[[#This Row],[좌표]])</f>
        <v>1</v>
      </c>
    </row>
    <row r="132" spans="1:9" x14ac:dyDescent="0.3">
      <c r="A132" s="2" t="s">
        <v>644</v>
      </c>
      <c r="B132" s="2" t="s">
        <v>645</v>
      </c>
      <c r="C132" s="2" t="s">
        <v>646</v>
      </c>
      <c r="D132" s="2" t="s">
        <v>647</v>
      </c>
      <c r="E132" s="2" t="s">
        <v>648</v>
      </c>
      <c r="F132" s="2" t="str">
        <f t="shared" si="2"/>
        <v>-</v>
      </c>
      <c r="G132" s="2" t="b">
        <f>AND(표2[[#This Row],[좌표중복]], 표2[[#This Row],[숫자범위]])</f>
        <v>1</v>
      </c>
      <c r="H132" s="2" t="b">
        <f>AND(COUNTIF($C:$C, 표2[[#This Row],[좌표]])=1, COUNTIF(접근금지구역!$B:$B, 표2[[#This Row],[좌표]])=0)</f>
        <v>1</v>
      </c>
      <c r="I132" s="2" t="b">
        <f>fn숫자(표2[[#This Row],[좌표]])</f>
        <v>1</v>
      </c>
    </row>
    <row r="133" spans="1:9" x14ac:dyDescent="0.3">
      <c r="A133" s="2" t="s">
        <v>649</v>
      </c>
      <c r="B133" s="2" t="s">
        <v>650</v>
      </c>
      <c r="C133" s="2" t="s">
        <v>651</v>
      </c>
      <c r="D133" s="2" t="s">
        <v>652</v>
      </c>
      <c r="E133" s="2" t="s">
        <v>653</v>
      </c>
      <c r="F133" s="2" t="str">
        <f t="shared" si="2"/>
        <v>-</v>
      </c>
      <c r="G133" s="2" t="b">
        <f>AND(표2[[#This Row],[좌표중복]], 표2[[#This Row],[숫자범위]])</f>
        <v>1</v>
      </c>
      <c r="H133" s="2" t="b">
        <f>AND(COUNTIF($C:$C, 표2[[#This Row],[좌표]])=1, COUNTIF(접근금지구역!$B:$B, 표2[[#This Row],[좌표]])=0)</f>
        <v>1</v>
      </c>
      <c r="I133" s="2" t="b">
        <f>fn숫자(표2[[#This Row],[좌표]])</f>
        <v>1</v>
      </c>
    </row>
    <row r="134" spans="1:9" x14ac:dyDescent="0.3">
      <c r="A134" s="2" t="s">
        <v>654</v>
      </c>
      <c r="B134" s="2" t="s">
        <v>655</v>
      </c>
      <c r="C134" s="2" t="s">
        <v>656</v>
      </c>
      <c r="D134" s="2" t="s">
        <v>657</v>
      </c>
      <c r="E134" s="2" t="s">
        <v>658</v>
      </c>
      <c r="F134" s="2" t="str">
        <f t="shared" si="2"/>
        <v>-</v>
      </c>
      <c r="G134" s="2" t="b">
        <f>AND(표2[[#This Row],[좌표중복]], 표2[[#This Row],[숫자범위]])</f>
        <v>1</v>
      </c>
      <c r="H134" s="2" t="b">
        <f>AND(COUNTIF($C:$C, 표2[[#This Row],[좌표]])=1, COUNTIF(접근금지구역!$B:$B, 표2[[#This Row],[좌표]])=0)</f>
        <v>1</v>
      </c>
      <c r="I134" s="2" t="b">
        <f>fn숫자(표2[[#This Row],[좌표]])</f>
        <v>1</v>
      </c>
    </row>
    <row r="135" spans="1:9" x14ac:dyDescent="0.3">
      <c r="A135" s="2" t="s">
        <v>659</v>
      </c>
      <c r="B135" s="2" t="s">
        <v>660</v>
      </c>
      <c r="C135" s="2" t="s">
        <v>661</v>
      </c>
      <c r="D135" s="2" t="s">
        <v>662</v>
      </c>
      <c r="E135" s="2" t="s">
        <v>663</v>
      </c>
      <c r="F135" s="2" t="str">
        <f t="shared" si="2"/>
        <v>-</v>
      </c>
      <c r="G135" s="2" t="b">
        <f>AND(표2[[#This Row],[좌표중복]], 표2[[#This Row],[숫자범위]])</f>
        <v>1</v>
      </c>
      <c r="H135" s="2" t="b">
        <f>AND(COUNTIF($C:$C, 표2[[#This Row],[좌표]])=1, COUNTIF(접근금지구역!$B:$B, 표2[[#This Row],[좌표]])=0)</f>
        <v>1</v>
      </c>
      <c r="I135" s="2" t="b">
        <f>fn숫자(표2[[#This Row],[좌표]])</f>
        <v>1</v>
      </c>
    </row>
    <row r="136" spans="1:9" x14ac:dyDescent="0.3">
      <c r="A136" s="2" t="s">
        <v>664</v>
      </c>
      <c r="B136" s="2" t="s">
        <v>665</v>
      </c>
      <c r="C136" s="2" t="s">
        <v>666</v>
      </c>
      <c r="D136" s="2" t="s">
        <v>667</v>
      </c>
      <c r="E136" s="2" t="s">
        <v>668</v>
      </c>
      <c r="F136" s="2" t="str">
        <f t="shared" si="2"/>
        <v>-</v>
      </c>
      <c r="G136" s="2" t="b">
        <f>AND(표2[[#This Row],[좌표중복]], 표2[[#This Row],[숫자범위]])</f>
        <v>1</v>
      </c>
      <c r="H136" s="2" t="b">
        <f>AND(COUNTIF($C:$C, 표2[[#This Row],[좌표]])=1, COUNTIF(접근금지구역!$B:$B, 표2[[#This Row],[좌표]])=0)</f>
        <v>1</v>
      </c>
      <c r="I136" s="2" t="b">
        <f>fn숫자(표2[[#This Row],[좌표]])</f>
        <v>1</v>
      </c>
    </row>
    <row r="137" spans="1:9" x14ac:dyDescent="0.3">
      <c r="A137" s="2" t="s">
        <v>669</v>
      </c>
      <c r="B137" s="2" t="s">
        <v>670</v>
      </c>
      <c r="C137" s="2" t="s">
        <v>671</v>
      </c>
      <c r="D137" s="2" t="s">
        <v>672</v>
      </c>
      <c r="E137" s="2" t="s">
        <v>673</v>
      </c>
      <c r="F137" s="2" t="str">
        <f t="shared" si="2"/>
        <v>맛집</v>
      </c>
      <c r="G137" s="2" t="b">
        <f>AND(표2[[#This Row],[좌표중복]], 표2[[#This Row],[숫자범위]])</f>
        <v>1</v>
      </c>
      <c r="H137" s="2" t="b">
        <f>AND(COUNTIF($C:$C, 표2[[#This Row],[좌표]])=1, COUNTIF(접근금지구역!$B:$B, 표2[[#This Row],[좌표]])=0)</f>
        <v>1</v>
      </c>
      <c r="I137" s="2" t="b">
        <f>fn숫자(표2[[#This Row],[좌표]])</f>
        <v>1</v>
      </c>
    </row>
    <row r="138" spans="1:9" x14ac:dyDescent="0.3">
      <c r="A138" s="2" t="s">
        <v>674</v>
      </c>
      <c r="B138" s="2" t="s">
        <v>675</v>
      </c>
      <c r="C138" s="2" t="s">
        <v>676</v>
      </c>
      <c r="D138" s="2" t="s">
        <v>677</v>
      </c>
      <c r="E138" s="2" t="s">
        <v>678</v>
      </c>
      <c r="F138" s="2" t="str">
        <f t="shared" si="2"/>
        <v>-</v>
      </c>
      <c r="G138" s="2" t="b">
        <f>AND(표2[[#This Row],[좌표중복]], 표2[[#This Row],[숫자범위]])</f>
        <v>1</v>
      </c>
      <c r="H138" s="2" t="b">
        <f>AND(COUNTIF($C:$C, 표2[[#This Row],[좌표]])=1, COUNTIF(접근금지구역!$B:$B, 표2[[#This Row],[좌표]])=0)</f>
        <v>1</v>
      </c>
      <c r="I138" s="2" t="b">
        <f>fn숫자(표2[[#This Row],[좌표]])</f>
        <v>1</v>
      </c>
    </row>
    <row r="139" spans="1:9" x14ac:dyDescent="0.3">
      <c r="A139" s="2" t="s">
        <v>679</v>
      </c>
      <c r="B139" s="2" t="s">
        <v>680</v>
      </c>
      <c r="C139" s="2" t="s">
        <v>681</v>
      </c>
      <c r="D139" s="2" t="s">
        <v>682</v>
      </c>
      <c r="E139" s="2" t="s">
        <v>683</v>
      </c>
      <c r="F139" s="2" t="str">
        <f t="shared" si="2"/>
        <v>-</v>
      </c>
      <c r="G139" s="2" t="b">
        <f>AND(표2[[#This Row],[좌표중복]], 표2[[#This Row],[숫자범위]])</f>
        <v>1</v>
      </c>
      <c r="H139" s="2" t="b">
        <f>AND(COUNTIF($C:$C, 표2[[#This Row],[좌표]])=1, COUNTIF(접근금지구역!$B:$B, 표2[[#This Row],[좌표]])=0)</f>
        <v>1</v>
      </c>
      <c r="I139" s="2" t="b">
        <f>fn숫자(표2[[#This Row],[좌표]])</f>
        <v>1</v>
      </c>
    </row>
    <row r="140" spans="1:9" x14ac:dyDescent="0.3">
      <c r="A140" s="2" t="s">
        <v>684</v>
      </c>
      <c r="B140" s="2" t="s">
        <v>685</v>
      </c>
      <c r="C140" s="2" t="s">
        <v>686</v>
      </c>
      <c r="D140" s="2" t="s">
        <v>687</v>
      </c>
      <c r="E140" s="2" t="s">
        <v>688</v>
      </c>
      <c r="F140" s="2" t="str">
        <f t="shared" si="2"/>
        <v>맛집</v>
      </c>
      <c r="G140" s="2" t="b">
        <f>AND(표2[[#This Row],[좌표중복]], 표2[[#This Row],[숫자범위]])</f>
        <v>1</v>
      </c>
      <c r="H140" s="2" t="b">
        <f>AND(COUNTIF($C:$C, 표2[[#This Row],[좌표]])=1, COUNTIF(접근금지구역!$B:$B, 표2[[#This Row],[좌표]])=0)</f>
        <v>1</v>
      </c>
      <c r="I140" s="2" t="b">
        <f>fn숫자(표2[[#This Row],[좌표]])</f>
        <v>1</v>
      </c>
    </row>
    <row r="141" spans="1:9" x14ac:dyDescent="0.3">
      <c r="A141" s="2" t="s">
        <v>689</v>
      </c>
      <c r="B141" s="2" t="s">
        <v>690</v>
      </c>
      <c r="C141" s="2" t="s">
        <v>691</v>
      </c>
      <c r="D141" s="2" t="s">
        <v>692</v>
      </c>
      <c r="E141" s="2" t="s">
        <v>693</v>
      </c>
      <c r="F141" s="2" t="str">
        <f t="shared" si="2"/>
        <v>-</v>
      </c>
      <c r="G141" s="2" t="b">
        <f>AND(표2[[#This Row],[좌표중복]], 표2[[#This Row],[숫자범위]])</f>
        <v>1</v>
      </c>
      <c r="H141" s="2" t="b">
        <f>AND(COUNTIF($C:$C, 표2[[#This Row],[좌표]])=1, COUNTIF(접근금지구역!$B:$B, 표2[[#This Row],[좌표]])=0)</f>
        <v>1</v>
      </c>
      <c r="I141" s="2" t="b">
        <f>fn숫자(표2[[#This Row],[좌표]])</f>
        <v>1</v>
      </c>
    </row>
    <row r="142" spans="1:9" x14ac:dyDescent="0.3">
      <c r="A142" s="2" t="s">
        <v>694</v>
      </c>
      <c r="B142" s="2" t="s">
        <v>695</v>
      </c>
      <c r="C142" s="2" t="s">
        <v>696</v>
      </c>
      <c r="D142" s="2" t="s">
        <v>697</v>
      </c>
      <c r="E142" s="2" t="s">
        <v>698</v>
      </c>
      <c r="F142" s="2" t="str">
        <f t="shared" si="2"/>
        <v>-</v>
      </c>
      <c r="G142" s="2" t="b">
        <f>AND(표2[[#This Row],[좌표중복]], 표2[[#This Row],[숫자범위]])</f>
        <v>1</v>
      </c>
      <c r="H142" s="2" t="b">
        <f>AND(COUNTIF($C:$C, 표2[[#This Row],[좌표]])=1, COUNTIF(접근금지구역!$B:$B, 표2[[#This Row],[좌표]])=0)</f>
        <v>1</v>
      </c>
      <c r="I142" s="2" t="b">
        <f>fn숫자(표2[[#This Row],[좌표]])</f>
        <v>1</v>
      </c>
    </row>
    <row r="143" spans="1:9" x14ac:dyDescent="0.3">
      <c r="A143" s="2" t="s">
        <v>699</v>
      </c>
      <c r="B143" s="2" t="s">
        <v>700</v>
      </c>
      <c r="C143" s="2" t="s">
        <v>701</v>
      </c>
      <c r="D143" s="2" t="s">
        <v>702</v>
      </c>
      <c r="E143" s="2" t="s">
        <v>703</v>
      </c>
      <c r="F143" s="2" t="str">
        <f t="shared" si="2"/>
        <v>-</v>
      </c>
      <c r="G143" s="2" t="b">
        <f>AND(표2[[#This Row],[좌표중복]], 표2[[#This Row],[숫자범위]])</f>
        <v>1</v>
      </c>
      <c r="H143" s="2" t="b">
        <f>AND(COUNTIF($C:$C, 표2[[#This Row],[좌표]])=1, COUNTIF(접근금지구역!$B:$B, 표2[[#This Row],[좌표]])=0)</f>
        <v>1</v>
      </c>
      <c r="I143" s="2" t="b">
        <f>fn숫자(표2[[#This Row],[좌표]])</f>
        <v>1</v>
      </c>
    </row>
    <row r="144" spans="1:9" x14ac:dyDescent="0.3">
      <c r="A144" s="2" t="s">
        <v>704</v>
      </c>
      <c r="B144" s="2" t="s">
        <v>705</v>
      </c>
      <c r="C144" s="2" t="s">
        <v>706</v>
      </c>
      <c r="D144" s="2" t="s">
        <v>707</v>
      </c>
      <c r="E144" s="2" t="s">
        <v>708</v>
      </c>
      <c r="F144" s="2" t="str">
        <f t="shared" si="2"/>
        <v>-</v>
      </c>
      <c r="G144" s="2" t="b">
        <f>AND(표2[[#This Row],[좌표중복]], 표2[[#This Row],[숫자범위]])</f>
        <v>1</v>
      </c>
      <c r="H144" s="2" t="b">
        <f>AND(COUNTIF($C:$C, 표2[[#This Row],[좌표]])=1, COUNTIF(접근금지구역!$B:$B, 표2[[#This Row],[좌표]])=0)</f>
        <v>1</v>
      </c>
      <c r="I144" s="2" t="b">
        <f>fn숫자(표2[[#This Row],[좌표]])</f>
        <v>1</v>
      </c>
    </row>
    <row r="145" spans="1:9" x14ac:dyDescent="0.3">
      <c r="A145" s="2" t="s">
        <v>709</v>
      </c>
      <c r="B145" s="2" t="s">
        <v>710</v>
      </c>
      <c r="C145" s="2" t="s">
        <v>711</v>
      </c>
      <c r="D145" s="2" t="s">
        <v>712</v>
      </c>
      <c r="E145" s="2" t="s">
        <v>713</v>
      </c>
      <c r="F145" s="2" t="str">
        <f t="shared" si="2"/>
        <v>-</v>
      </c>
      <c r="G145" s="2" t="b">
        <f>AND(표2[[#This Row],[좌표중복]], 표2[[#This Row],[숫자범위]])</f>
        <v>1</v>
      </c>
      <c r="H145" s="2" t="b">
        <f>AND(COUNTIF($C:$C, 표2[[#This Row],[좌표]])=1, COUNTIF(접근금지구역!$B:$B, 표2[[#This Row],[좌표]])=0)</f>
        <v>1</v>
      </c>
      <c r="I145" s="2" t="b">
        <f>fn숫자(표2[[#This Row],[좌표]])</f>
        <v>1</v>
      </c>
    </row>
    <row r="146" spans="1:9" x14ac:dyDescent="0.3">
      <c r="A146" s="2" t="s">
        <v>714</v>
      </c>
      <c r="B146" s="2" t="s">
        <v>715</v>
      </c>
      <c r="C146" s="2" t="s">
        <v>716</v>
      </c>
      <c r="D146" s="2" t="s">
        <v>717</v>
      </c>
      <c r="E146" s="2" t="s">
        <v>718</v>
      </c>
      <c r="F146" s="2" t="str">
        <f t="shared" si="2"/>
        <v>-</v>
      </c>
      <c r="G146" s="2" t="b">
        <f>AND(표2[[#This Row],[좌표중복]], 표2[[#This Row],[숫자범위]])</f>
        <v>1</v>
      </c>
      <c r="H146" s="2" t="b">
        <f>AND(COUNTIF($C:$C, 표2[[#This Row],[좌표]])=1, COUNTIF(접근금지구역!$B:$B, 표2[[#This Row],[좌표]])=0)</f>
        <v>1</v>
      </c>
      <c r="I146" s="2" t="b">
        <f>fn숫자(표2[[#This Row],[좌표]])</f>
        <v>1</v>
      </c>
    </row>
    <row r="147" spans="1:9" x14ac:dyDescent="0.3">
      <c r="A147" s="2" t="s">
        <v>719</v>
      </c>
      <c r="B147" s="2" t="s">
        <v>720</v>
      </c>
      <c r="C147" s="2" t="s">
        <v>721</v>
      </c>
      <c r="D147" s="2" t="s">
        <v>722</v>
      </c>
      <c r="E147" s="2" t="s">
        <v>723</v>
      </c>
      <c r="F147" s="2" t="str">
        <f t="shared" si="2"/>
        <v>-</v>
      </c>
      <c r="G147" s="2" t="b">
        <f>AND(표2[[#This Row],[좌표중복]], 표2[[#This Row],[숫자범위]])</f>
        <v>1</v>
      </c>
      <c r="H147" s="2" t="b">
        <f>AND(COUNTIF($C:$C, 표2[[#This Row],[좌표]])=1, COUNTIF(접근금지구역!$B:$B, 표2[[#This Row],[좌표]])=0)</f>
        <v>1</v>
      </c>
      <c r="I147" s="2" t="b">
        <f>fn숫자(표2[[#This Row],[좌표]])</f>
        <v>1</v>
      </c>
    </row>
    <row r="148" spans="1:9" x14ac:dyDescent="0.3">
      <c r="A148" s="2" t="s">
        <v>724</v>
      </c>
      <c r="B148" s="2" t="s">
        <v>725</v>
      </c>
      <c r="C148" s="2" t="s">
        <v>726</v>
      </c>
      <c r="D148" s="2" t="s">
        <v>727</v>
      </c>
      <c r="E148" s="2" t="s">
        <v>728</v>
      </c>
      <c r="F148" s="2" t="str">
        <f t="shared" si="2"/>
        <v>맛집</v>
      </c>
      <c r="G148" s="2" t="b">
        <f>AND(표2[[#This Row],[좌표중복]], 표2[[#This Row],[숫자범위]])</f>
        <v>1</v>
      </c>
      <c r="H148" s="2" t="b">
        <f>AND(COUNTIF($C:$C, 표2[[#This Row],[좌표]])=1, COUNTIF(접근금지구역!$B:$B, 표2[[#This Row],[좌표]])=0)</f>
        <v>1</v>
      </c>
      <c r="I148" s="2" t="b">
        <f>fn숫자(표2[[#This Row],[좌표]])</f>
        <v>1</v>
      </c>
    </row>
    <row r="149" spans="1:9" x14ac:dyDescent="0.3">
      <c r="A149" s="2" t="s">
        <v>729</v>
      </c>
      <c r="B149" s="2" t="s">
        <v>730</v>
      </c>
      <c r="C149" s="2" t="s">
        <v>731</v>
      </c>
      <c r="D149" s="2" t="s">
        <v>732</v>
      </c>
      <c r="E149" s="2" t="s">
        <v>733</v>
      </c>
      <c r="F149" s="2" t="str">
        <f t="shared" si="2"/>
        <v>-</v>
      </c>
      <c r="G149" s="2" t="b">
        <f>AND(표2[[#This Row],[좌표중복]], 표2[[#This Row],[숫자범위]])</f>
        <v>1</v>
      </c>
      <c r="H149" s="2" t="b">
        <f>AND(COUNTIF($C:$C, 표2[[#This Row],[좌표]])=1, COUNTIF(접근금지구역!$B:$B, 표2[[#This Row],[좌표]])=0)</f>
        <v>1</v>
      </c>
      <c r="I149" s="2" t="b">
        <f>fn숫자(표2[[#This Row],[좌표]])</f>
        <v>1</v>
      </c>
    </row>
    <row r="150" spans="1:9" x14ac:dyDescent="0.3">
      <c r="A150" s="2" t="s">
        <v>734</v>
      </c>
      <c r="B150" s="2" t="s">
        <v>735</v>
      </c>
      <c r="C150" s="2" t="s">
        <v>736</v>
      </c>
      <c r="D150" s="2" t="s">
        <v>737</v>
      </c>
      <c r="E150" s="2" t="s">
        <v>738</v>
      </c>
      <c r="F150" s="2" t="str">
        <f t="shared" si="2"/>
        <v>-</v>
      </c>
      <c r="G150" s="2" t="b">
        <f>AND(표2[[#This Row],[좌표중복]], 표2[[#This Row],[숫자범위]])</f>
        <v>1</v>
      </c>
      <c r="H150" s="2" t="b">
        <f>AND(COUNTIF($C:$C, 표2[[#This Row],[좌표]])=1, COUNTIF(접근금지구역!$B:$B, 표2[[#This Row],[좌표]])=0)</f>
        <v>1</v>
      </c>
      <c r="I150" s="2" t="b">
        <f>fn숫자(표2[[#This Row],[좌표]])</f>
        <v>1</v>
      </c>
    </row>
    <row r="151" spans="1:9" x14ac:dyDescent="0.3">
      <c r="A151" s="2" t="s">
        <v>739</v>
      </c>
      <c r="B151" s="2" t="s">
        <v>740</v>
      </c>
      <c r="C151" s="2" t="s">
        <v>741</v>
      </c>
      <c r="D151" s="2" t="s">
        <v>742</v>
      </c>
      <c r="E151" s="2" t="s">
        <v>743</v>
      </c>
      <c r="F151" s="2" t="str">
        <f t="shared" si="2"/>
        <v>-</v>
      </c>
      <c r="G151" s="2" t="b">
        <f>AND(표2[[#This Row],[좌표중복]], 표2[[#This Row],[숫자범위]])</f>
        <v>1</v>
      </c>
      <c r="H151" s="2" t="b">
        <f>AND(COUNTIF($C:$C, 표2[[#This Row],[좌표]])=1, COUNTIF(접근금지구역!$B:$B, 표2[[#This Row],[좌표]])=0)</f>
        <v>1</v>
      </c>
      <c r="I151" s="2" t="b">
        <f>fn숫자(표2[[#This Row],[좌표]])</f>
        <v>1</v>
      </c>
    </row>
    <row r="152" spans="1:9" x14ac:dyDescent="0.3">
      <c r="A152" s="2" t="s">
        <v>744</v>
      </c>
      <c r="B152" s="2" t="s">
        <v>745</v>
      </c>
      <c r="C152" s="2" t="s">
        <v>746</v>
      </c>
      <c r="D152" s="2" t="s">
        <v>747</v>
      </c>
      <c r="E152" s="2" t="s">
        <v>748</v>
      </c>
      <c r="F152" s="2" t="str">
        <f t="shared" si="2"/>
        <v>-</v>
      </c>
      <c r="G152" s="2" t="b">
        <f>AND(표2[[#This Row],[좌표중복]], 표2[[#This Row],[숫자범위]])</f>
        <v>1</v>
      </c>
      <c r="H152" s="2" t="b">
        <f>AND(COUNTIF($C:$C, 표2[[#This Row],[좌표]])=1, COUNTIF(접근금지구역!$B:$B, 표2[[#This Row],[좌표]])=0)</f>
        <v>1</v>
      </c>
      <c r="I152" s="2" t="b">
        <f>fn숫자(표2[[#This Row],[좌표]])</f>
        <v>1</v>
      </c>
    </row>
    <row r="153" spans="1:9" x14ac:dyDescent="0.3">
      <c r="A153" s="2" t="s">
        <v>749</v>
      </c>
      <c r="B153" s="2" t="s">
        <v>750</v>
      </c>
      <c r="C153" s="2" t="s">
        <v>751</v>
      </c>
      <c r="D153" s="2" t="s">
        <v>752</v>
      </c>
      <c r="E153" s="2" t="s">
        <v>753</v>
      </c>
      <c r="F153" s="2" t="str">
        <f t="shared" si="2"/>
        <v>-</v>
      </c>
      <c r="G153" s="2" t="b">
        <f>AND(표2[[#This Row],[좌표중복]], 표2[[#This Row],[숫자범위]])</f>
        <v>1</v>
      </c>
      <c r="H153" s="2" t="b">
        <f>AND(COUNTIF($C:$C, 표2[[#This Row],[좌표]])=1, COUNTIF(접근금지구역!$B:$B, 표2[[#This Row],[좌표]])=0)</f>
        <v>1</v>
      </c>
      <c r="I153" s="2" t="b">
        <f>fn숫자(표2[[#This Row],[좌표]])</f>
        <v>1</v>
      </c>
    </row>
    <row r="154" spans="1:9" x14ac:dyDescent="0.3">
      <c r="A154" s="2" t="s">
        <v>754</v>
      </c>
      <c r="B154" s="2" t="s">
        <v>755</v>
      </c>
      <c r="C154" s="2" t="s">
        <v>756</v>
      </c>
      <c r="D154" s="2" t="s">
        <v>757</v>
      </c>
      <c r="E154" s="2" t="s">
        <v>758</v>
      </c>
      <c r="F154" s="2" t="str">
        <f t="shared" si="2"/>
        <v>-</v>
      </c>
      <c r="G154" s="2" t="b">
        <f>AND(표2[[#This Row],[좌표중복]], 표2[[#This Row],[숫자범위]])</f>
        <v>1</v>
      </c>
      <c r="H154" s="2" t="b">
        <f>AND(COUNTIF($C:$C, 표2[[#This Row],[좌표]])=1, COUNTIF(접근금지구역!$B:$B, 표2[[#This Row],[좌표]])=0)</f>
        <v>1</v>
      </c>
      <c r="I154" s="2" t="b">
        <f>fn숫자(표2[[#This Row],[좌표]])</f>
        <v>1</v>
      </c>
    </row>
    <row r="155" spans="1:9" x14ac:dyDescent="0.3">
      <c r="A155" s="2" t="s">
        <v>759</v>
      </c>
      <c r="B155" s="2" t="s">
        <v>760</v>
      </c>
      <c r="C155" s="2" t="s">
        <v>761</v>
      </c>
      <c r="D155" s="2" t="s">
        <v>762</v>
      </c>
      <c r="E155" s="2" t="s">
        <v>763</v>
      </c>
      <c r="F155" s="2" t="str">
        <f t="shared" si="2"/>
        <v>-</v>
      </c>
      <c r="G155" s="2" t="b">
        <f>AND(표2[[#This Row],[좌표중복]], 표2[[#This Row],[숫자범위]])</f>
        <v>1</v>
      </c>
      <c r="H155" s="2" t="b">
        <f>AND(COUNTIF($C:$C, 표2[[#This Row],[좌표]])=1, COUNTIF(접근금지구역!$B:$B, 표2[[#This Row],[좌표]])=0)</f>
        <v>1</v>
      </c>
      <c r="I155" s="2" t="b">
        <f>fn숫자(표2[[#This Row],[좌표]])</f>
        <v>1</v>
      </c>
    </row>
    <row r="156" spans="1:9" x14ac:dyDescent="0.3">
      <c r="A156" s="2" t="s">
        <v>764</v>
      </c>
      <c r="B156" s="2" t="s">
        <v>765</v>
      </c>
      <c r="C156" s="2" t="s">
        <v>766</v>
      </c>
      <c r="D156" s="2" t="s">
        <v>767</v>
      </c>
      <c r="E156" s="2" t="s">
        <v>768</v>
      </c>
      <c r="F156" s="2" t="str">
        <f t="shared" si="2"/>
        <v>맛집</v>
      </c>
      <c r="G156" s="2" t="b">
        <f>AND(표2[[#This Row],[좌표중복]], 표2[[#This Row],[숫자범위]])</f>
        <v>1</v>
      </c>
      <c r="H156" s="2" t="b">
        <f>AND(COUNTIF($C:$C, 표2[[#This Row],[좌표]])=1, COUNTIF(접근금지구역!$B:$B, 표2[[#This Row],[좌표]])=0)</f>
        <v>1</v>
      </c>
      <c r="I156" s="2" t="b">
        <f>fn숫자(표2[[#This Row],[좌표]])</f>
        <v>1</v>
      </c>
    </row>
    <row r="157" spans="1:9" x14ac:dyDescent="0.3">
      <c r="A157" s="2" t="s">
        <v>769</v>
      </c>
      <c r="B157" s="2" t="s">
        <v>770</v>
      </c>
      <c r="C157" s="2" t="s">
        <v>771</v>
      </c>
      <c r="D157" s="2" t="s">
        <v>772</v>
      </c>
      <c r="E157" s="2" t="s">
        <v>773</v>
      </c>
      <c r="F157" s="2" t="str">
        <f t="shared" si="2"/>
        <v>-</v>
      </c>
      <c r="G157" s="2" t="b">
        <f>AND(표2[[#This Row],[좌표중복]], 표2[[#This Row],[숫자범위]])</f>
        <v>1</v>
      </c>
      <c r="H157" s="2" t="b">
        <f>AND(COUNTIF($C:$C, 표2[[#This Row],[좌표]])=1, COUNTIF(접근금지구역!$B:$B, 표2[[#This Row],[좌표]])=0)</f>
        <v>1</v>
      </c>
      <c r="I157" s="2" t="b">
        <f>fn숫자(표2[[#This Row],[좌표]])</f>
        <v>1</v>
      </c>
    </row>
    <row r="158" spans="1:9" x14ac:dyDescent="0.3">
      <c r="A158" s="2" t="s">
        <v>774</v>
      </c>
      <c r="B158" s="2" t="s">
        <v>775</v>
      </c>
      <c r="C158" s="2" t="s">
        <v>776</v>
      </c>
      <c r="D158" s="2" t="s">
        <v>777</v>
      </c>
      <c r="E158" s="2" t="s">
        <v>778</v>
      </c>
      <c r="F158" s="2" t="str">
        <f t="shared" si="2"/>
        <v>-</v>
      </c>
      <c r="G158" s="2" t="b">
        <f>AND(표2[[#This Row],[좌표중복]], 표2[[#This Row],[숫자범위]])</f>
        <v>1</v>
      </c>
      <c r="H158" s="2" t="b">
        <f>AND(COUNTIF($C:$C, 표2[[#This Row],[좌표]])=1, COUNTIF(접근금지구역!$B:$B, 표2[[#This Row],[좌표]])=0)</f>
        <v>1</v>
      </c>
      <c r="I158" s="2" t="b">
        <f>fn숫자(표2[[#This Row],[좌표]])</f>
        <v>1</v>
      </c>
    </row>
    <row r="159" spans="1:9" x14ac:dyDescent="0.3">
      <c r="A159" s="2" t="s">
        <v>779</v>
      </c>
      <c r="B159" s="2" t="s">
        <v>780</v>
      </c>
      <c r="C159" s="2" t="s">
        <v>781</v>
      </c>
      <c r="D159" s="2" t="s">
        <v>782</v>
      </c>
      <c r="E159" s="2" t="s">
        <v>783</v>
      </c>
      <c r="F159" s="2" t="str">
        <f t="shared" si="2"/>
        <v>-</v>
      </c>
      <c r="G159" s="2" t="b">
        <f>AND(표2[[#This Row],[좌표중복]], 표2[[#This Row],[숫자범위]])</f>
        <v>1</v>
      </c>
      <c r="H159" s="2" t="b">
        <f>AND(COUNTIF($C:$C, 표2[[#This Row],[좌표]])=1, COUNTIF(접근금지구역!$B:$B, 표2[[#This Row],[좌표]])=0)</f>
        <v>1</v>
      </c>
      <c r="I159" s="2" t="b">
        <f>fn숫자(표2[[#This Row],[좌표]])</f>
        <v>1</v>
      </c>
    </row>
    <row r="160" spans="1:9" x14ac:dyDescent="0.3">
      <c r="A160" s="2" t="s">
        <v>784</v>
      </c>
      <c r="B160" s="2" t="s">
        <v>785</v>
      </c>
      <c r="C160" s="2" t="s">
        <v>786</v>
      </c>
      <c r="D160" s="2" t="s">
        <v>787</v>
      </c>
      <c r="E160" s="2" t="s">
        <v>788</v>
      </c>
      <c r="F160" s="2" t="str">
        <f t="shared" si="2"/>
        <v>-</v>
      </c>
      <c r="G160" s="2" t="b">
        <f>AND(표2[[#This Row],[좌표중복]], 표2[[#This Row],[숫자범위]])</f>
        <v>1</v>
      </c>
      <c r="H160" s="2" t="b">
        <f>AND(COUNTIF($C:$C, 표2[[#This Row],[좌표]])=1, COUNTIF(접근금지구역!$B:$B, 표2[[#This Row],[좌표]])=0)</f>
        <v>1</v>
      </c>
      <c r="I160" s="2" t="b">
        <f>fn숫자(표2[[#This Row],[좌표]])</f>
        <v>1</v>
      </c>
    </row>
    <row r="161" spans="1:9" x14ac:dyDescent="0.3">
      <c r="A161" s="2" t="s">
        <v>789</v>
      </c>
      <c r="B161" s="2" t="s">
        <v>790</v>
      </c>
      <c r="C161" s="2" t="s">
        <v>791</v>
      </c>
      <c r="D161" s="2" t="s">
        <v>792</v>
      </c>
      <c r="E161" s="2" t="s">
        <v>793</v>
      </c>
      <c r="F161" s="2" t="str">
        <f t="shared" si="2"/>
        <v>-</v>
      </c>
      <c r="G161" s="2" t="b">
        <f>AND(표2[[#This Row],[좌표중복]], 표2[[#This Row],[숫자범위]])</f>
        <v>1</v>
      </c>
      <c r="H161" s="2" t="b">
        <f>AND(COUNTIF($C:$C, 표2[[#This Row],[좌표]])=1, COUNTIF(접근금지구역!$B:$B, 표2[[#This Row],[좌표]])=0)</f>
        <v>1</v>
      </c>
      <c r="I161" s="2" t="b">
        <f>fn숫자(표2[[#This Row],[좌표]])</f>
        <v>1</v>
      </c>
    </row>
    <row r="162" spans="1:9" x14ac:dyDescent="0.3">
      <c r="A162" s="2" t="s">
        <v>794</v>
      </c>
      <c r="B162" s="2" t="s">
        <v>795</v>
      </c>
      <c r="C162" s="2" t="s">
        <v>796</v>
      </c>
      <c r="D162" s="2" t="s">
        <v>797</v>
      </c>
      <c r="E162" s="2" t="s">
        <v>798</v>
      </c>
      <c r="F162" s="2" t="str">
        <f t="shared" si="2"/>
        <v>-</v>
      </c>
      <c r="G162" s="2" t="b">
        <f>AND(표2[[#This Row],[좌표중복]], 표2[[#This Row],[숫자범위]])</f>
        <v>1</v>
      </c>
      <c r="H162" s="2" t="b">
        <f>AND(COUNTIF($C:$C, 표2[[#This Row],[좌표]])=1, COUNTIF(접근금지구역!$B:$B, 표2[[#This Row],[좌표]])=0)</f>
        <v>1</v>
      </c>
      <c r="I162" s="2" t="b">
        <f>fn숫자(표2[[#This Row],[좌표]])</f>
        <v>1</v>
      </c>
    </row>
    <row r="163" spans="1:9" x14ac:dyDescent="0.3">
      <c r="A163" s="2" t="s">
        <v>799</v>
      </c>
      <c r="B163" s="2" t="s">
        <v>800</v>
      </c>
      <c r="C163" s="2" t="s">
        <v>801</v>
      </c>
      <c r="D163" s="2" t="s">
        <v>802</v>
      </c>
      <c r="E163" s="2" t="s">
        <v>803</v>
      </c>
      <c r="F163" s="2" t="str">
        <f t="shared" si="2"/>
        <v>맛집</v>
      </c>
      <c r="G163" s="2" t="b">
        <f>AND(표2[[#This Row],[좌표중복]], 표2[[#This Row],[숫자범위]])</f>
        <v>1</v>
      </c>
      <c r="H163" s="2" t="b">
        <f>AND(COUNTIF($C:$C, 표2[[#This Row],[좌표]])=1, COUNTIF(접근금지구역!$B:$B, 표2[[#This Row],[좌표]])=0)</f>
        <v>1</v>
      </c>
      <c r="I163" s="2" t="b">
        <f>fn숫자(표2[[#This Row],[좌표]])</f>
        <v>1</v>
      </c>
    </row>
    <row r="164" spans="1:9" x14ac:dyDescent="0.3">
      <c r="A164" s="2" t="s">
        <v>804</v>
      </c>
      <c r="B164" s="2" t="s">
        <v>805</v>
      </c>
      <c r="C164" s="2" t="s">
        <v>806</v>
      </c>
      <c r="D164" s="2" t="s">
        <v>807</v>
      </c>
      <c r="E164" s="2" t="s">
        <v>808</v>
      </c>
      <c r="F164" s="2" t="str">
        <f t="shared" si="2"/>
        <v>-</v>
      </c>
      <c r="G164" s="2" t="b">
        <f>AND(표2[[#This Row],[좌표중복]], 표2[[#This Row],[숫자범위]])</f>
        <v>1</v>
      </c>
      <c r="H164" s="2" t="b">
        <f>AND(COUNTIF($C:$C, 표2[[#This Row],[좌표]])=1, COUNTIF(접근금지구역!$B:$B, 표2[[#This Row],[좌표]])=0)</f>
        <v>1</v>
      </c>
      <c r="I164" s="2" t="b">
        <f>fn숫자(표2[[#This Row],[좌표]])</f>
        <v>1</v>
      </c>
    </row>
    <row r="165" spans="1:9" x14ac:dyDescent="0.3">
      <c r="A165" s="2" t="s">
        <v>809</v>
      </c>
      <c r="B165" s="2" t="s">
        <v>810</v>
      </c>
      <c r="C165" s="2" t="s">
        <v>811</v>
      </c>
      <c r="D165" s="2" t="s">
        <v>812</v>
      </c>
      <c r="E165" s="2" t="s">
        <v>813</v>
      </c>
      <c r="F165" s="2" t="str">
        <f t="shared" si="2"/>
        <v>맛집</v>
      </c>
      <c r="G165" s="2" t="b">
        <f>AND(표2[[#This Row],[좌표중복]], 표2[[#This Row],[숫자범위]])</f>
        <v>1</v>
      </c>
      <c r="H165" s="2" t="b">
        <f>AND(COUNTIF($C:$C, 표2[[#This Row],[좌표]])=1, COUNTIF(접근금지구역!$B:$B, 표2[[#This Row],[좌표]])=0)</f>
        <v>1</v>
      </c>
      <c r="I165" s="2" t="b">
        <f>fn숫자(표2[[#This Row],[좌표]])</f>
        <v>1</v>
      </c>
    </row>
    <row r="166" spans="1:9" x14ac:dyDescent="0.3">
      <c r="A166" s="2" t="s">
        <v>814</v>
      </c>
      <c r="B166" s="2" t="s">
        <v>815</v>
      </c>
      <c r="C166" s="2" t="s">
        <v>816</v>
      </c>
      <c r="D166" s="2" t="s">
        <v>817</v>
      </c>
      <c r="E166" s="2" t="s">
        <v>818</v>
      </c>
      <c r="F166" s="2" t="str">
        <f t="shared" si="2"/>
        <v>-</v>
      </c>
      <c r="G166" s="2" t="b">
        <f>AND(표2[[#This Row],[좌표중복]], 표2[[#This Row],[숫자범위]])</f>
        <v>1</v>
      </c>
      <c r="H166" s="2" t="b">
        <f>AND(COUNTIF($C:$C, 표2[[#This Row],[좌표]])=1, COUNTIF(접근금지구역!$B:$B, 표2[[#This Row],[좌표]])=0)</f>
        <v>1</v>
      </c>
      <c r="I166" s="2" t="b">
        <f>fn숫자(표2[[#This Row],[좌표]])</f>
        <v>1</v>
      </c>
    </row>
    <row r="167" spans="1:9" x14ac:dyDescent="0.3">
      <c r="A167" s="2" t="s">
        <v>819</v>
      </c>
      <c r="B167" s="2" t="s">
        <v>820</v>
      </c>
      <c r="C167" s="2" t="s">
        <v>821</v>
      </c>
      <c r="D167" s="2" t="s">
        <v>822</v>
      </c>
      <c r="E167" s="2" t="s">
        <v>823</v>
      </c>
      <c r="F167" s="2" t="str">
        <f t="shared" si="2"/>
        <v>-</v>
      </c>
      <c r="G167" s="2" t="b">
        <f>AND(표2[[#This Row],[좌표중복]], 표2[[#This Row],[숫자범위]])</f>
        <v>1</v>
      </c>
      <c r="H167" s="2" t="b">
        <f>AND(COUNTIF($C:$C, 표2[[#This Row],[좌표]])=1, COUNTIF(접근금지구역!$B:$B, 표2[[#This Row],[좌표]])=0)</f>
        <v>1</v>
      </c>
      <c r="I167" s="2" t="b">
        <f>fn숫자(표2[[#This Row],[좌표]])</f>
        <v>1</v>
      </c>
    </row>
    <row r="168" spans="1:9" x14ac:dyDescent="0.3">
      <c r="A168" s="2" t="s">
        <v>824</v>
      </c>
      <c r="B168" s="2" t="s">
        <v>825</v>
      </c>
      <c r="C168" s="2" t="s">
        <v>826</v>
      </c>
      <c r="D168" s="2" t="s">
        <v>827</v>
      </c>
      <c r="E168" s="2" t="s">
        <v>828</v>
      </c>
      <c r="F168" s="2" t="str">
        <f t="shared" si="2"/>
        <v>-</v>
      </c>
      <c r="G168" s="2" t="b">
        <f>AND(표2[[#This Row],[좌표중복]], 표2[[#This Row],[숫자범위]])</f>
        <v>1</v>
      </c>
      <c r="H168" s="2" t="b">
        <f>AND(COUNTIF($C:$C, 표2[[#This Row],[좌표]])=1, COUNTIF(접근금지구역!$B:$B, 표2[[#This Row],[좌표]])=0)</f>
        <v>1</v>
      </c>
      <c r="I168" s="2" t="b">
        <f>fn숫자(표2[[#This Row],[좌표]])</f>
        <v>1</v>
      </c>
    </row>
    <row r="169" spans="1:9" x14ac:dyDescent="0.3">
      <c r="A169" s="2" t="s">
        <v>829</v>
      </c>
      <c r="B169" s="2" t="s">
        <v>830</v>
      </c>
      <c r="C169" s="2" t="s">
        <v>831</v>
      </c>
      <c r="D169" s="2" t="s">
        <v>832</v>
      </c>
      <c r="E169" s="2" t="s">
        <v>833</v>
      </c>
      <c r="F169" s="2" t="str">
        <f t="shared" si="2"/>
        <v>맛집</v>
      </c>
      <c r="G169" s="2" t="b">
        <f>AND(표2[[#This Row],[좌표중복]], 표2[[#This Row],[숫자범위]])</f>
        <v>1</v>
      </c>
      <c r="H169" s="2" t="b">
        <f>AND(COUNTIF($C:$C, 표2[[#This Row],[좌표]])=1, COUNTIF(접근금지구역!$B:$B, 표2[[#This Row],[좌표]])=0)</f>
        <v>1</v>
      </c>
      <c r="I169" s="2" t="b">
        <f>fn숫자(표2[[#This Row],[좌표]])</f>
        <v>1</v>
      </c>
    </row>
    <row r="170" spans="1:9" x14ac:dyDescent="0.3">
      <c r="A170" s="2" t="s">
        <v>834</v>
      </c>
      <c r="B170" s="2" t="s">
        <v>835</v>
      </c>
      <c r="C170" s="2" t="s">
        <v>836</v>
      </c>
      <c r="D170" s="2" t="s">
        <v>837</v>
      </c>
      <c r="E170" s="2" t="s">
        <v>838</v>
      </c>
      <c r="F170" s="2" t="str">
        <f t="shared" si="2"/>
        <v>-</v>
      </c>
      <c r="G170" s="2" t="b">
        <f>AND(표2[[#This Row],[좌표중복]], 표2[[#This Row],[숫자범위]])</f>
        <v>1</v>
      </c>
      <c r="H170" s="2" t="b">
        <f>AND(COUNTIF($C:$C, 표2[[#This Row],[좌표]])=1, COUNTIF(접근금지구역!$B:$B, 표2[[#This Row],[좌표]])=0)</f>
        <v>1</v>
      </c>
      <c r="I170" s="2" t="b">
        <f>fn숫자(표2[[#This Row],[좌표]])</f>
        <v>1</v>
      </c>
    </row>
    <row r="171" spans="1:9" x14ac:dyDescent="0.3">
      <c r="A171" s="2" t="s">
        <v>839</v>
      </c>
      <c r="B171" s="2" t="s">
        <v>840</v>
      </c>
      <c r="C171" s="2" t="s">
        <v>841</v>
      </c>
      <c r="D171" s="2" t="s">
        <v>842</v>
      </c>
      <c r="E171" s="2" t="s">
        <v>843</v>
      </c>
      <c r="F171" s="2" t="str">
        <f t="shared" si="2"/>
        <v>-</v>
      </c>
      <c r="G171" s="2" t="b">
        <f>AND(표2[[#This Row],[좌표중복]], 표2[[#This Row],[숫자범위]])</f>
        <v>1</v>
      </c>
      <c r="H171" s="2" t="b">
        <f>AND(COUNTIF($C:$C, 표2[[#This Row],[좌표]])=1, COUNTIF(접근금지구역!$B:$B, 표2[[#This Row],[좌표]])=0)</f>
        <v>1</v>
      </c>
      <c r="I171" s="2" t="b">
        <f>fn숫자(표2[[#This Row],[좌표]])</f>
        <v>1</v>
      </c>
    </row>
    <row r="172" spans="1:9" x14ac:dyDescent="0.3">
      <c r="A172" s="2" t="s">
        <v>844</v>
      </c>
      <c r="B172" s="2" t="s">
        <v>845</v>
      </c>
      <c r="C172" s="2" t="s">
        <v>846</v>
      </c>
      <c r="D172" s="2" t="s">
        <v>847</v>
      </c>
      <c r="E172" s="2" t="s">
        <v>848</v>
      </c>
      <c r="F172" s="2" t="str">
        <f t="shared" si="2"/>
        <v>-</v>
      </c>
      <c r="G172" s="2" t="b">
        <f>AND(표2[[#This Row],[좌표중복]], 표2[[#This Row],[숫자범위]])</f>
        <v>1</v>
      </c>
      <c r="H172" s="2" t="b">
        <f>AND(COUNTIF($C:$C, 표2[[#This Row],[좌표]])=1, COUNTIF(접근금지구역!$B:$B, 표2[[#This Row],[좌표]])=0)</f>
        <v>1</v>
      </c>
      <c r="I172" s="2" t="b">
        <f>fn숫자(표2[[#This Row],[좌표]])</f>
        <v>1</v>
      </c>
    </row>
    <row r="173" spans="1:9" x14ac:dyDescent="0.3">
      <c r="A173" s="2" t="s">
        <v>849</v>
      </c>
      <c r="B173" s="2" t="s">
        <v>850</v>
      </c>
      <c r="C173" s="2" t="s">
        <v>851</v>
      </c>
      <c r="D173" s="2" t="s">
        <v>852</v>
      </c>
      <c r="E173" s="2" t="s">
        <v>853</v>
      </c>
      <c r="F173" s="2" t="str">
        <f t="shared" si="2"/>
        <v>-</v>
      </c>
      <c r="G173" s="2" t="b">
        <f>AND(표2[[#This Row],[좌표중복]], 표2[[#This Row],[숫자범위]])</f>
        <v>1</v>
      </c>
      <c r="H173" s="2" t="b">
        <f>AND(COUNTIF($C:$C, 표2[[#This Row],[좌표]])=1, COUNTIF(접근금지구역!$B:$B, 표2[[#This Row],[좌표]])=0)</f>
        <v>1</v>
      </c>
      <c r="I173" s="2" t="b">
        <f>fn숫자(표2[[#This Row],[좌표]])</f>
        <v>1</v>
      </c>
    </row>
    <row r="174" spans="1:9" x14ac:dyDescent="0.3">
      <c r="A174" s="2" t="s">
        <v>854</v>
      </c>
      <c r="B174" s="2" t="s">
        <v>855</v>
      </c>
      <c r="C174" s="2" t="s">
        <v>856</v>
      </c>
      <c r="D174" s="2" t="s">
        <v>857</v>
      </c>
      <c r="E174" s="2" t="s">
        <v>858</v>
      </c>
      <c r="F174" s="2" t="str">
        <f t="shared" si="2"/>
        <v>-</v>
      </c>
      <c r="G174" s="2" t="b">
        <f>AND(표2[[#This Row],[좌표중복]], 표2[[#This Row],[숫자범위]])</f>
        <v>1</v>
      </c>
      <c r="H174" s="2" t="b">
        <f>AND(COUNTIF($C:$C, 표2[[#This Row],[좌표]])=1, COUNTIF(접근금지구역!$B:$B, 표2[[#This Row],[좌표]])=0)</f>
        <v>1</v>
      </c>
      <c r="I174" s="2" t="b">
        <f>fn숫자(표2[[#This Row],[좌표]])</f>
        <v>1</v>
      </c>
    </row>
    <row r="175" spans="1:9" x14ac:dyDescent="0.3">
      <c r="A175" s="2" t="s">
        <v>859</v>
      </c>
      <c r="B175" s="2" t="s">
        <v>860</v>
      </c>
      <c r="C175" s="2" t="s">
        <v>861</v>
      </c>
      <c r="D175" s="2" t="s">
        <v>862</v>
      </c>
      <c r="E175" s="2" t="s">
        <v>863</v>
      </c>
      <c r="F175" s="2" t="str">
        <f t="shared" si="2"/>
        <v>-</v>
      </c>
      <c r="G175" s="2" t="b">
        <f>AND(표2[[#This Row],[좌표중복]], 표2[[#This Row],[숫자범위]])</f>
        <v>1</v>
      </c>
      <c r="H175" s="2" t="b">
        <f>AND(COUNTIF($C:$C, 표2[[#This Row],[좌표]])=1, COUNTIF(접근금지구역!$B:$B, 표2[[#This Row],[좌표]])=0)</f>
        <v>1</v>
      </c>
      <c r="I175" s="2" t="b">
        <f>fn숫자(표2[[#This Row],[좌표]])</f>
        <v>1</v>
      </c>
    </row>
    <row r="176" spans="1:9" x14ac:dyDescent="0.3">
      <c r="A176" s="2" t="s">
        <v>864</v>
      </c>
      <c r="B176" s="2" t="s">
        <v>865</v>
      </c>
      <c r="C176" s="2" t="s">
        <v>866</v>
      </c>
      <c r="D176" s="2" t="s">
        <v>867</v>
      </c>
      <c r="E176" s="2" t="s">
        <v>868</v>
      </c>
      <c r="F176" s="2" t="str">
        <f t="shared" si="2"/>
        <v>-</v>
      </c>
      <c r="G176" s="2" t="b">
        <f>AND(표2[[#This Row],[좌표중복]], 표2[[#This Row],[숫자범위]])</f>
        <v>1</v>
      </c>
      <c r="H176" s="2" t="b">
        <f>AND(COUNTIF($C:$C, 표2[[#This Row],[좌표]])=1, COUNTIF(접근금지구역!$B:$B, 표2[[#This Row],[좌표]])=0)</f>
        <v>1</v>
      </c>
      <c r="I176" s="2" t="b">
        <f>fn숫자(표2[[#This Row],[좌표]])</f>
        <v>1</v>
      </c>
    </row>
    <row r="177" spans="1:9" x14ac:dyDescent="0.3">
      <c r="A177" s="2" t="s">
        <v>869</v>
      </c>
      <c r="B177" s="2" t="s">
        <v>870</v>
      </c>
      <c r="C177" s="2" t="s">
        <v>871</v>
      </c>
      <c r="D177" s="2" t="s">
        <v>872</v>
      </c>
      <c r="E177" s="2" t="s">
        <v>873</v>
      </c>
      <c r="F177" s="2" t="str">
        <f t="shared" si="2"/>
        <v>-</v>
      </c>
      <c r="G177" s="2" t="b">
        <f>AND(표2[[#This Row],[좌표중복]], 표2[[#This Row],[숫자범위]])</f>
        <v>1</v>
      </c>
      <c r="H177" s="2" t="b">
        <f>AND(COUNTIF($C:$C, 표2[[#This Row],[좌표]])=1, COUNTIF(접근금지구역!$B:$B, 표2[[#This Row],[좌표]])=0)</f>
        <v>1</v>
      </c>
      <c r="I177" s="2" t="b">
        <f>fn숫자(표2[[#This Row],[좌표]])</f>
        <v>1</v>
      </c>
    </row>
    <row r="178" spans="1:9" x14ac:dyDescent="0.3">
      <c r="A178" s="2" t="s">
        <v>874</v>
      </c>
      <c r="B178" s="2" t="s">
        <v>875</v>
      </c>
      <c r="C178" s="2" t="s">
        <v>876</v>
      </c>
      <c r="D178" s="2" t="s">
        <v>877</v>
      </c>
      <c r="E178" s="2" t="s">
        <v>878</v>
      </c>
      <c r="F178" s="2" t="str">
        <f t="shared" si="2"/>
        <v>-</v>
      </c>
      <c r="G178" s="2" t="b">
        <f>AND(표2[[#This Row],[좌표중복]], 표2[[#This Row],[숫자범위]])</f>
        <v>1</v>
      </c>
      <c r="H178" s="2" t="b">
        <f>AND(COUNTIF($C:$C, 표2[[#This Row],[좌표]])=1, COUNTIF(접근금지구역!$B:$B, 표2[[#This Row],[좌표]])=0)</f>
        <v>1</v>
      </c>
      <c r="I178" s="2" t="b">
        <f>fn숫자(표2[[#This Row],[좌표]])</f>
        <v>1</v>
      </c>
    </row>
    <row r="179" spans="1:9" x14ac:dyDescent="0.3">
      <c r="A179" s="2" t="s">
        <v>879</v>
      </c>
      <c r="B179" s="2" t="s">
        <v>880</v>
      </c>
      <c r="C179" s="2" t="s">
        <v>881</v>
      </c>
      <c r="D179" s="2" t="s">
        <v>882</v>
      </c>
      <c r="E179" s="2" t="s">
        <v>883</v>
      </c>
      <c r="F179" s="2" t="str">
        <f t="shared" si="2"/>
        <v>-</v>
      </c>
      <c r="G179" s="2" t="b">
        <f>AND(표2[[#This Row],[좌표중복]], 표2[[#This Row],[숫자범위]])</f>
        <v>1</v>
      </c>
      <c r="H179" s="2" t="b">
        <f>AND(COUNTIF($C:$C, 표2[[#This Row],[좌표]])=1, COUNTIF(접근금지구역!$B:$B, 표2[[#This Row],[좌표]])=0)</f>
        <v>1</v>
      </c>
      <c r="I179" s="2" t="b">
        <f>fn숫자(표2[[#This Row],[좌표]])</f>
        <v>1</v>
      </c>
    </row>
    <row r="180" spans="1:9" x14ac:dyDescent="0.3">
      <c r="A180" s="2" t="s">
        <v>884</v>
      </c>
      <c r="B180" s="2" t="s">
        <v>885</v>
      </c>
      <c r="C180" s="2" t="s">
        <v>886</v>
      </c>
      <c r="D180" s="2" t="s">
        <v>887</v>
      </c>
      <c r="E180" s="2" t="s">
        <v>888</v>
      </c>
      <c r="F180" s="2" t="str">
        <f t="shared" si="2"/>
        <v>-</v>
      </c>
      <c r="G180" s="2" t="b">
        <f>AND(표2[[#This Row],[좌표중복]], 표2[[#This Row],[숫자범위]])</f>
        <v>1</v>
      </c>
      <c r="H180" s="2" t="b">
        <f>AND(COUNTIF($C:$C, 표2[[#This Row],[좌표]])=1, COUNTIF(접근금지구역!$B:$B, 표2[[#This Row],[좌표]])=0)</f>
        <v>1</v>
      </c>
      <c r="I180" s="2" t="b">
        <f>fn숫자(표2[[#This Row],[좌표]])</f>
        <v>1</v>
      </c>
    </row>
    <row r="181" spans="1:9" x14ac:dyDescent="0.3">
      <c r="A181" s="2" t="s">
        <v>889</v>
      </c>
      <c r="B181" s="2" t="s">
        <v>890</v>
      </c>
      <c r="C181" s="2" t="s">
        <v>891</v>
      </c>
      <c r="D181" s="2" t="s">
        <v>892</v>
      </c>
      <c r="E181" s="2" t="s">
        <v>893</v>
      </c>
      <c r="F181" s="2" t="str">
        <f t="shared" si="2"/>
        <v>-</v>
      </c>
      <c r="G181" s="2" t="b">
        <f>AND(표2[[#This Row],[좌표중복]], 표2[[#This Row],[숫자범위]])</f>
        <v>1</v>
      </c>
      <c r="H181" s="2" t="b">
        <f>AND(COUNTIF($C:$C, 표2[[#This Row],[좌표]])=1, COUNTIF(접근금지구역!$B:$B, 표2[[#This Row],[좌표]])=0)</f>
        <v>1</v>
      </c>
      <c r="I181" s="2" t="b">
        <f>fn숫자(표2[[#This Row],[좌표]])</f>
        <v>1</v>
      </c>
    </row>
    <row r="182" spans="1:9" x14ac:dyDescent="0.3">
      <c r="A182" s="2" t="s">
        <v>894</v>
      </c>
      <c r="B182" s="2" t="s">
        <v>895</v>
      </c>
      <c r="C182" s="2" t="s">
        <v>896</v>
      </c>
      <c r="D182" s="2" t="s">
        <v>897</v>
      </c>
      <c r="E182" s="2" t="s">
        <v>898</v>
      </c>
      <c r="F182" s="2" t="str">
        <f t="shared" si="2"/>
        <v>-</v>
      </c>
      <c r="G182" s="2" t="b">
        <f>AND(표2[[#This Row],[좌표중복]], 표2[[#This Row],[숫자범위]])</f>
        <v>1</v>
      </c>
      <c r="H182" s="2" t="b">
        <f>AND(COUNTIF($C:$C, 표2[[#This Row],[좌표]])=1, COUNTIF(접근금지구역!$B:$B, 표2[[#This Row],[좌표]])=0)</f>
        <v>1</v>
      </c>
      <c r="I182" s="2" t="b">
        <f>fn숫자(표2[[#This Row],[좌표]])</f>
        <v>1</v>
      </c>
    </row>
    <row r="183" spans="1:9" x14ac:dyDescent="0.3">
      <c r="A183" s="2" t="s">
        <v>899</v>
      </c>
      <c r="B183" s="2" t="s">
        <v>900</v>
      </c>
      <c r="C183" s="2" t="s">
        <v>901</v>
      </c>
      <c r="D183" s="2" t="s">
        <v>902</v>
      </c>
      <c r="E183" s="2" t="s">
        <v>903</v>
      </c>
      <c r="F183" s="2" t="str">
        <f t="shared" si="2"/>
        <v>-</v>
      </c>
      <c r="G183" s="2" t="b">
        <f>AND(표2[[#This Row],[좌표중복]], 표2[[#This Row],[숫자범위]])</f>
        <v>1</v>
      </c>
      <c r="H183" s="2" t="b">
        <f>AND(COUNTIF($C:$C, 표2[[#This Row],[좌표]])=1, COUNTIF(접근금지구역!$B:$B, 표2[[#This Row],[좌표]])=0)</f>
        <v>1</v>
      </c>
      <c r="I183" s="2" t="b">
        <f>fn숫자(표2[[#This Row],[좌표]])</f>
        <v>1</v>
      </c>
    </row>
    <row r="184" spans="1:9" x14ac:dyDescent="0.3">
      <c r="A184" s="2" t="s">
        <v>904</v>
      </c>
      <c r="B184" s="2" t="s">
        <v>905</v>
      </c>
      <c r="C184" s="2" t="s">
        <v>906</v>
      </c>
      <c r="D184" s="2" t="s">
        <v>907</v>
      </c>
      <c r="E184" s="2" t="s">
        <v>908</v>
      </c>
      <c r="F184" s="2" t="str">
        <f t="shared" si="2"/>
        <v>맛집</v>
      </c>
      <c r="G184" s="2" t="b">
        <f>AND(표2[[#This Row],[좌표중복]], 표2[[#This Row],[숫자범위]])</f>
        <v>1</v>
      </c>
      <c r="H184" s="2" t="b">
        <f>AND(COUNTIF($C:$C, 표2[[#This Row],[좌표]])=1, COUNTIF(접근금지구역!$B:$B, 표2[[#This Row],[좌표]])=0)</f>
        <v>1</v>
      </c>
      <c r="I184" s="2" t="b">
        <f>fn숫자(표2[[#This Row],[좌표]])</f>
        <v>1</v>
      </c>
    </row>
    <row r="185" spans="1:9" x14ac:dyDescent="0.3">
      <c r="A185" s="2" t="s">
        <v>909</v>
      </c>
      <c r="B185" s="2" t="s">
        <v>910</v>
      </c>
      <c r="C185" s="2" t="s">
        <v>911</v>
      </c>
      <c r="D185" s="2" t="s">
        <v>912</v>
      </c>
      <c r="E185" s="2" t="s">
        <v>913</v>
      </c>
      <c r="F185" s="2" t="str">
        <f t="shared" si="2"/>
        <v>-</v>
      </c>
      <c r="G185" s="2" t="b">
        <f>AND(표2[[#This Row],[좌표중복]], 표2[[#This Row],[숫자범위]])</f>
        <v>1</v>
      </c>
      <c r="H185" s="2" t="b">
        <f>AND(COUNTIF($C:$C, 표2[[#This Row],[좌표]])=1, COUNTIF(접근금지구역!$B:$B, 표2[[#This Row],[좌표]])=0)</f>
        <v>1</v>
      </c>
      <c r="I185" s="2" t="b">
        <f>fn숫자(표2[[#This Row],[좌표]])</f>
        <v>1</v>
      </c>
    </row>
    <row r="186" spans="1:9" x14ac:dyDescent="0.3">
      <c r="A186" s="2" t="s">
        <v>914</v>
      </c>
      <c r="B186" s="2" t="s">
        <v>915</v>
      </c>
      <c r="C186" s="2" t="s">
        <v>916</v>
      </c>
      <c r="D186" s="2" t="s">
        <v>917</v>
      </c>
      <c r="E186" s="2" t="s">
        <v>918</v>
      </c>
      <c r="F186" s="2" t="str">
        <f t="shared" si="2"/>
        <v>맛집</v>
      </c>
      <c r="G186" s="2" t="b">
        <f>AND(표2[[#This Row],[좌표중복]], 표2[[#This Row],[숫자범위]])</f>
        <v>1</v>
      </c>
      <c r="H186" s="2" t="b">
        <f>AND(COUNTIF($C:$C, 표2[[#This Row],[좌표]])=1, COUNTIF(접근금지구역!$B:$B, 표2[[#This Row],[좌표]])=0)</f>
        <v>1</v>
      </c>
      <c r="I186" s="2" t="b">
        <f>fn숫자(표2[[#This Row],[좌표]])</f>
        <v>1</v>
      </c>
    </row>
    <row r="187" spans="1:9" x14ac:dyDescent="0.3">
      <c r="A187" s="2" t="s">
        <v>919</v>
      </c>
      <c r="B187" s="2" t="s">
        <v>920</v>
      </c>
      <c r="C187" s="2" t="s">
        <v>921</v>
      </c>
      <c r="D187" s="2" t="s">
        <v>922</v>
      </c>
      <c r="E187" s="2" t="s">
        <v>923</v>
      </c>
      <c r="F187" s="2" t="str">
        <f t="shared" si="2"/>
        <v>-</v>
      </c>
      <c r="G187" s="2" t="b">
        <f>AND(표2[[#This Row],[좌표중복]], 표2[[#This Row],[숫자범위]])</f>
        <v>1</v>
      </c>
      <c r="H187" s="2" t="b">
        <f>AND(COUNTIF($C:$C, 표2[[#This Row],[좌표]])=1, COUNTIF(접근금지구역!$B:$B, 표2[[#This Row],[좌표]])=0)</f>
        <v>1</v>
      </c>
      <c r="I187" s="2" t="b">
        <f>fn숫자(표2[[#This Row],[좌표]])</f>
        <v>1</v>
      </c>
    </row>
    <row r="188" spans="1:9" x14ac:dyDescent="0.3">
      <c r="A188" s="2" t="s">
        <v>924</v>
      </c>
      <c r="B188" s="2" t="s">
        <v>925</v>
      </c>
      <c r="C188" s="2" t="s">
        <v>926</v>
      </c>
      <c r="D188" s="2" t="s">
        <v>927</v>
      </c>
      <c r="E188" s="2" t="s">
        <v>928</v>
      </c>
      <c r="F188" s="2" t="str">
        <f t="shared" si="2"/>
        <v>-</v>
      </c>
      <c r="G188" s="2" t="b">
        <f>AND(표2[[#This Row],[좌표중복]], 표2[[#This Row],[숫자범위]])</f>
        <v>1</v>
      </c>
      <c r="H188" s="2" t="b">
        <f>AND(COUNTIF($C:$C, 표2[[#This Row],[좌표]])=1, COUNTIF(접근금지구역!$B:$B, 표2[[#This Row],[좌표]])=0)</f>
        <v>1</v>
      </c>
      <c r="I188" s="2" t="b">
        <f>fn숫자(표2[[#This Row],[좌표]])</f>
        <v>1</v>
      </c>
    </row>
  </sheetData>
  <phoneticPr fontId="1" type="noConversion"/>
  <conditionalFormatting sqref="A1:F1048576">
    <cfRule type="expression" dxfId="10" priority="1">
      <formula>$A1&lt;&gt;""</formula>
    </cfRule>
  </conditionalFormatting>
  <dataValidations count="1">
    <dataValidation type="custom" allowBlank="1" showInputMessage="1" showErrorMessage="1" errorTitle="아래 조건에 부합하지 않는 항목이 있습니다." error="- 이미 등록된 좌표 (회원, 접근금지구역)_x000a_- 0~99이외 숫자 입력_x000a_- ',' 또는 숫자 이외 문자 입력_x000a_- 콤마는 1개만 입력되어야 함" sqref="C2:C1048576">
      <formula1>G2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autoLine="0" r:id="rId4">
            <anchor moveWithCells="1">
              <from>
                <xdr:col>9</xdr:col>
                <xdr:colOff>409575</xdr:colOff>
                <xdr:row>1</xdr:row>
                <xdr:rowOff>28575</xdr:rowOff>
              </from>
              <to>
                <xdr:col>12</xdr:col>
                <xdr:colOff>123825</xdr:colOff>
                <xdr:row>3</xdr:row>
                <xdr:rowOff>142875</xdr:rowOff>
              </to>
            </anchor>
          </controlPr>
        </control>
      </mc:Choice>
      <mc:Fallback>
        <control shapeId="307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139"/>
  <sheetViews>
    <sheetView workbookViewId="0">
      <selection activeCell="F17" sqref="F17"/>
    </sheetView>
  </sheetViews>
  <sheetFormatPr defaultRowHeight="16.5" x14ac:dyDescent="0.3"/>
  <cols>
    <col min="1" max="1" width="9" style="2"/>
    <col min="2" max="2" width="10.25" style="2" customWidth="1"/>
    <col min="3" max="3" width="10.875" style="2" customWidth="1"/>
  </cols>
  <sheetData>
    <row r="1" spans="1:3" x14ac:dyDescent="0.3">
      <c r="A1" s="3" t="s">
        <v>0</v>
      </c>
      <c r="B1" s="3" t="s">
        <v>929</v>
      </c>
      <c r="C1" s="3" t="s">
        <v>930</v>
      </c>
    </row>
    <row r="2" spans="1:3" x14ac:dyDescent="0.3">
      <c r="A2" s="2" t="s">
        <v>239</v>
      </c>
      <c r="B2" s="2" t="s">
        <v>931</v>
      </c>
      <c r="C2" s="2">
        <f t="array" ref="C2">ROUND(SUM((표4[[#This Row],[번호]]=표6[음식점 번호])*표6[별점]) / SUM((표4[[#This Row],[번호]]=표6[음식점 번호])*1), 1)</f>
        <v>2.8</v>
      </c>
    </row>
    <row r="3" spans="1:3" x14ac:dyDescent="0.3">
      <c r="A3" s="2" t="s">
        <v>244</v>
      </c>
      <c r="B3" s="2" t="s">
        <v>931</v>
      </c>
      <c r="C3" s="2">
        <f t="array" ref="C3">ROUND(SUM((표4[[#This Row],[번호]]=표6[음식점 번호])*표6[별점]) / SUM((표4[[#This Row],[번호]]=표6[음식점 번호])*1), 1)</f>
        <v>3</v>
      </c>
    </row>
    <row r="4" spans="1:3" x14ac:dyDescent="0.3">
      <c r="A4" s="2" t="s">
        <v>249</v>
      </c>
      <c r="B4" s="2" t="s">
        <v>932</v>
      </c>
      <c r="C4" s="2">
        <f t="array" ref="C4">ROUND(SUM((표4[[#This Row],[번호]]=표6[음식점 번호])*표6[별점]) / SUM((표4[[#This Row],[번호]]=표6[음식점 번호])*1), 1)</f>
        <v>3.8</v>
      </c>
    </row>
    <row r="5" spans="1:3" x14ac:dyDescent="0.3">
      <c r="A5" s="2" t="s">
        <v>254</v>
      </c>
      <c r="B5" s="2" t="s">
        <v>933</v>
      </c>
      <c r="C5" s="2">
        <f t="array" ref="C5">ROUND(SUM((표4[[#This Row],[번호]]=표6[음식점 번호])*표6[별점]) / SUM((표4[[#This Row],[번호]]=표6[음식점 번호])*1), 1)</f>
        <v>3</v>
      </c>
    </row>
    <row r="6" spans="1:3" x14ac:dyDescent="0.3">
      <c r="A6" s="2" t="s">
        <v>259</v>
      </c>
      <c r="B6" s="2" t="s">
        <v>934</v>
      </c>
      <c r="C6" s="2">
        <f t="array" ref="C6">ROUND(SUM((표4[[#This Row],[번호]]=표6[음식점 번호])*표6[별점]) / SUM((표4[[#This Row],[번호]]=표6[음식점 번호])*1), 1)</f>
        <v>4</v>
      </c>
    </row>
    <row r="7" spans="1:3" x14ac:dyDescent="0.3">
      <c r="A7" s="2" t="s">
        <v>264</v>
      </c>
      <c r="B7" s="2" t="s">
        <v>935</v>
      </c>
      <c r="C7" s="2">
        <f t="array" ref="C7">ROUND(SUM((표4[[#This Row],[번호]]=표6[음식점 번호])*표6[별점]) / SUM((표4[[#This Row],[번호]]=표6[음식점 번호])*1), 1)</f>
        <v>4</v>
      </c>
    </row>
    <row r="8" spans="1:3" x14ac:dyDescent="0.3">
      <c r="A8" s="2" t="s">
        <v>269</v>
      </c>
      <c r="B8" s="2" t="s">
        <v>936</v>
      </c>
      <c r="C8" s="2">
        <f t="array" ref="C8">ROUND(SUM((표4[[#This Row],[번호]]=표6[음식점 번호])*표6[별점]) / SUM((표4[[#This Row],[번호]]=표6[음식점 번호])*1), 1)</f>
        <v>4</v>
      </c>
    </row>
    <row r="9" spans="1:3" x14ac:dyDescent="0.3">
      <c r="A9" s="2" t="s">
        <v>274</v>
      </c>
      <c r="B9" s="2" t="s">
        <v>937</v>
      </c>
      <c r="C9" s="2">
        <f t="array" ref="C9">ROUND(SUM((표4[[#This Row],[번호]]=표6[음식점 번호])*표6[별점]) / SUM((표4[[#This Row],[번호]]=표6[음식점 번호])*1), 1)</f>
        <v>3</v>
      </c>
    </row>
    <row r="10" spans="1:3" x14ac:dyDescent="0.3">
      <c r="A10" s="2" t="s">
        <v>279</v>
      </c>
      <c r="B10" s="2" t="s">
        <v>932</v>
      </c>
      <c r="C10" s="2">
        <f t="array" ref="C10">ROUND(SUM((표4[[#This Row],[번호]]=표6[음식점 번호])*표6[별점]) / SUM((표4[[#This Row],[번호]]=표6[음식점 번호])*1), 1)</f>
        <v>2.2999999999999998</v>
      </c>
    </row>
    <row r="11" spans="1:3" x14ac:dyDescent="0.3">
      <c r="A11" s="2" t="s">
        <v>284</v>
      </c>
      <c r="B11" s="2" t="s">
        <v>936</v>
      </c>
      <c r="C11" s="2">
        <f t="array" ref="C11">ROUND(SUM((표4[[#This Row],[번호]]=표6[음식점 번호])*표6[별점]) / SUM((표4[[#This Row],[번호]]=표6[음식점 번호])*1), 1)</f>
        <v>4</v>
      </c>
    </row>
    <row r="12" spans="1:3" x14ac:dyDescent="0.3">
      <c r="A12" s="2" t="s">
        <v>289</v>
      </c>
      <c r="B12" s="2" t="s">
        <v>934</v>
      </c>
      <c r="C12" s="2">
        <f t="array" ref="C12">ROUND(SUM((표4[[#This Row],[번호]]=표6[음식점 번호])*표6[별점]) / SUM((표4[[#This Row],[번호]]=표6[음식점 번호])*1), 1)</f>
        <v>3</v>
      </c>
    </row>
    <row r="13" spans="1:3" x14ac:dyDescent="0.3">
      <c r="A13" s="2" t="s">
        <v>294</v>
      </c>
      <c r="B13" s="2" t="s">
        <v>937</v>
      </c>
      <c r="C13" s="2">
        <f t="array" ref="C13">ROUND(SUM((표4[[#This Row],[번호]]=표6[음식점 번호])*표6[별점]) / SUM((표4[[#This Row],[번호]]=표6[음식점 번호])*1), 1)</f>
        <v>5</v>
      </c>
    </row>
    <row r="14" spans="1:3" x14ac:dyDescent="0.3">
      <c r="A14" s="2" t="s">
        <v>299</v>
      </c>
      <c r="B14" s="2" t="s">
        <v>936</v>
      </c>
      <c r="C14" s="2">
        <f t="array" ref="C14">ROUND(SUM((표4[[#This Row],[번호]]=표6[음식점 번호])*표6[별점]) / SUM((표4[[#This Row],[번호]]=표6[음식점 번호])*1), 1)</f>
        <v>1</v>
      </c>
    </row>
    <row r="15" spans="1:3" x14ac:dyDescent="0.3">
      <c r="A15" s="2" t="s">
        <v>304</v>
      </c>
      <c r="B15" s="2" t="s">
        <v>937</v>
      </c>
      <c r="C15" s="2">
        <f t="array" ref="C15">ROUND(SUM((표4[[#This Row],[번호]]=표6[음식점 번호])*표6[별점]) / SUM((표4[[#This Row],[번호]]=표6[음식점 번호])*1), 1)</f>
        <v>4</v>
      </c>
    </row>
    <row r="16" spans="1:3" x14ac:dyDescent="0.3">
      <c r="A16" s="2" t="s">
        <v>309</v>
      </c>
      <c r="B16" s="2" t="s">
        <v>931</v>
      </c>
      <c r="C16" s="2">
        <f t="array" ref="C16">ROUND(SUM((표4[[#This Row],[번호]]=표6[음식점 번호])*표6[별점]) / SUM((표4[[#This Row],[번호]]=표6[음식점 번호])*1), 1)</f>
        <v>1</v>
      </c>
    </row>
    <row r="17" spans="1:3" x14ac:dyDescent="0.3">
      <c r="A17" s="2" t="s">
        <v>314</v>
      </c>
      <c r="B17" s="2" t="s">
        <v>938</v>
      </c>
      <c r="C17" s="2">
        <f t="array" ref="C17">ROUND(SUM((표4[[#This Row],[번호]]=표6[음식점 번호])*표6[별점]) / SUM((표4[[#This Row],[번호]]=표6[음식점 번호])*1), 1)</f>
        <v>2</v>
      </c>
    </row>
    <row r="18" spans="1:3" x14ac:dyDescent="0.3">
      <c r="A18" s="2" t="s">
        <v>319</v>
      </c>
      <c r="B18" s="2" t="s">
        <v>934</v>
      </c>
      <c r="C18" s="2">
        <f t="array" ref="C18">ROUND(SUM((표4[[#This Row],[번호]]=표6[음식점 번호])*표6[별점]) / SUM((표4[[#This Row],[번호]]=표6[음식점 번호])*1), 1)</f>
        <v>1</v>
      </c>
    </row>
    <row r="19" spans="1:3" x14ac:dyDescent="0.3">
      <c r="A19" s="2" t="s">
        <v>324</v>
      </c>
      <c r="B19" s="2" t="s">
        <v>936</v>
      </c>
      <c r="C19" s="2">
        <f t="array" ref="C19">ROUND(SUM((표4[[#This Row],[번호]]=표6[음식점 번호])*표6[별점]) / SUM((표4[[#This Row],[번호]]=표6[음식점 번호])*1), 1)</f>
        <v>5</v>
      </c>
    </row>
    <row r="20" spans="1:3" x14ac:dyDescent="0.3">
      <c r="A20" s="2" t="s">
        <v>329</v>
      </c>
      <c r="B20" s="2" t="s">
        <v>936</v>
      </c>
      <c r="C20" s="2">
        <f t="array" ref="C20">ROUND(SUM((표4[[#This Row],[번호]]=표6[음식점 번호])*표6[별점]) / SUM((표4[[#This Row],[번호]]=표6[음식점 번호])*1), 1)</f>
        <v>3</v>
      </c>
    </row>
    <row r="21" spans="1:3" x14ac:dyDescent="0.3">
      <c r="A21" s="2" t="s">
        <v>334</v>
      </c>
      <c r="B21" s="2" t="s">
        <v>934</v>
      </c>
      <c r="C21" s="2">
        <f t="array" ref="C21">ROUND(SUM((표4[[#This Row],[번호]]=표6[음식점 번호])*표6[별점]) / SUM((표4[[#This Row],[번호]]=표6[음식점 번호])*1), 1)</f>
        <v>2</v>
      </c>
    </row>
    <row r="22" spans="1:3" x14ac:dyDescent="0.3">
      <c r="A22" s="2" t="s">
        <v>339</v>
      </c>
      <c r="B22" s="2" t="s">
        <v>934</v>
      </c>
      <c r="C22" s="2">
        <f t="array" ref="C22">ROUND(SUM((표4[[#This Row],[번호]]=표6[음식점 번호])*표6[별점]) / SUM((표4[[#This Row],[번호]]=표6[음식점 번호])*1), 1)</f>
        <v>5</v>
      </c>
    </row>
    <row r="23" spans="1:3" x14ac:dyDescent="0.3">
      <c r="A23" s="2" t="s">
        <v>344</v>
      </c>
      <c r="B23" s="2" t="s">
        <v>935</v>
      </c>
      <c r="C23" s="2">
        <f t="array" ref="C23">ROUND(SUM((표4[[#This Row],[번호]]=표6[음식점 번호])*표6[별점]) / SUM((표4[[#This Row],[번호]]=표6[음식점 번호])*1), 1)</f>
        <v>5</v>
      </c>
    </row>
    <row r="24" spans="1:3" x14ac:dyDescent="0.3">
      <c r="A24" s="2" t="s">
        <v>349</v>
      </c>
      <c r="B24" s="2" t="s">
        <v>931</v>
      </c>
      <c r="C24" s="2">
        <f t="array" ref="C24">ROUND(SUM((표4[[#This Row],[번호]]=표6[음식점 번호])*표6[별점]) / SUM((표4[[#This Row],[번호]]=표6[음식점 번호])*1), 1)</f>
        <v>2</v>
      </c>
    </row>
    <row r="25" spans="1:3" x14ac:dyDescent="0.3">
      <c r="A25" s="2" t="s">
        <v>354</v>
      </c>
      <c r="B25" s="2" t="s">
        <v>931</v>
      </c>
      <c r="C25" s="2">
        <f t="array" ref="C25">ROUND(SUM((표4[[#This Row],[번호]]=표6[음식점 번호])*표6[별점]) / SUM((표4[[#This Row],[번호]]=표6[음식점 번호])*1), 1)</f>
        <v>1</v>
      </c>
    </row>
    <row r="26" spans="1:3" x14ac:dyDescent="0.3">
      <c r="A26" s="2" t="s">
        <v>359</v>
      </c>
      <c r="B26" s="2" t="s">
        <v>932</v>
      </c>
      <c r="C26" s="2">
        <f t="array" ref="C26">ROUND(SUM((표4[[#This Row],[번호]]=표6[음식점 번호])*표6[별점]) / SUM((표4[[#This Row],[번호]]=표6[음식점 번호])*1), 1)</f>
        <v>3</v>
      </c>
    </row>
    <row r="27" spans="1:3" x14ac:dyDescent="0.3">
      <c r="A27" s="2" t="s">
        <v>364</v>
      </c>
      <c r="B27" s="2" t="s">
        <v>934</v>
      </c>
      <c r="C27" s="2">
        <f t="array" ref="C27">ROUND(SUM((표4[[#This Row],[번호]]=표6[음식점 번호])*표6[별점]) / SUM((표4[[#This Row],[번호]]=표6[음식점 번호])*1), 1)</f>
        <v>3.3</v>
      </c>
    </row>
    <row r="28" spans="1:3" x14ac:dyDescent="0.3">
      <c r="A28" s="2" t="s">
        <v>369</v>
      </c>
      <c r="B28" s="2" t="s">
        <v>935</v>
      </c>
      <c r="C28" s="2">
        <f t="array" ref="C28">ROUND(SUM((표4[[#This Row],[번호]]=표6[음식점 번호])*표6[별점]) / SUM((표4[[#This Row],[번호]]=표6[음식점 번호])*1), 1)</f>
        <v>1</v>
      </c>
    </row>
    <row r="29" spans="1:3" x14ac:dyDescent="0.3">
      <c r="A29" s="2" t="s">
        <v>374</v>
      </c>
      <c r="B29" s="2" t="s">
        <v>931</v>
      </c>
      <c r="C29" s="2">
        <f t="array" ref="C29">ROUND(SUM((표4[[#This Row],[번호]]=표6[음식점 번호])*표6[별점]) / SUM((표4[[#This Row],[번호]]=표6[음식점 번호])*1), 1)</f>
        <v>4</v>
      </c>
    </row>
    <row r="30" spans="1:3" x14ac:dyDescent="0.3">
      <c r="A30" s="2" t="s">
        <v>379</v>
      </c>
      <c r="B30" s="2" t="s">
        <v>933</v>
      </c>
      <c r="C30" s="2">
        <f t="array" ref="C30">ROUND(SUM((표4[[#This Row],[번호]]=표6[음식점 번호])*표6[별점]) / SUM((표4[[#This Row],[번호]]=표6[음식점 번호])*1), 1)</f>
        <v>2</v>
      </c>
    </row>
    <row r="31" spans="1:3" x14ac:dyDescent="0.3">
      <c r="A31" s="2" t="s">
        <v>384</v>
      </c>
      <c r="B31" s="2" t="s">
        <v>931</v>
      </c>
      <c r="C31" s="2">
        <f t="array" ref="C31">ROUND(SUM((표4[[#This Row],[번호]]=표6[음식점 번호])*표6[별점]) / SUM((표4[[#This Row],[번호]]=표6[음식점 번호])*1), 1)</f>
        <v>4</v>
      </c>
    </row>
    <row r="32" spans="1:3" x14ac:dyDescent="0.3">
      <c r="A32" s="2" t="s">
        <v>389</v>
      </c>
      <c r="B32" s="2" t="s">
        <v>932</v>
      </c>
      <c r="C32" s="2">
        <f t="array" ref="C32">ROUND(SUM((표4[[#This Row],[번호]]=표6[음식점 번호])*표6[별점]) / SUM((표4[[#This Row],[번호]]=표6[음식점 번호])*1), 1)</f>
        <v>3</v>
      </c>
    </row>
    <row r="33" spans="1:3" x14ac:dyDescent="0.3">
      <c r="A33" s="2" t="s">
        <v>394</v>
      </c>
      <c r="B33" s="2" t="s">
        <v>939</v>
      </c>
      <c r="C33" s="2">
        <f t="array" ref="C33">ROUND(SUM((표4[[#This Row],[번호]]=표6[음식점 번호])*표6[별점]) / SUM((표4[[#This Row],[번호]]=표6[음식점 번호])*1), 1)</f>
        <v>1</v>
      </c>
    </row>
    <row r="34" spans="1:3" x14ac:dyDescent="0.3">
      <c r="A34" s="2" t="s">
        <v>399</v>
      </c>
      <c r="B34" s="2" t="s">
        <v>938</v>
      </c>
      <c r="C34" s="2">
        <f t="array" ref="C34">ROUND(SUM((표4[[#This Row],[번호]]=표6[음식점 번호])*표6[별점]) / SUM((표4[[#This Row],[번호]]=표6[음식점 번호])*1), 1)</f>
        <v>1</v>
      </c>
    </row>
    <row r="35" spans="1:3" x14ac:dyDescent="0.3">
      <c r="A35" s="2" t="s">
        <v>404</v>
      </c>
      <c r="B35" s="2" t="s">
        <v>939</v>
      </c>
      <c r="C35" s="2">
        <f t="array" ref="C35">ROUND(SUM((표4[[#This Row],[번호]]=표6[음식점 번호])*표6[별점]) / SUM((표4[[#This Row],[번호]]=표6[음식점 번호])*1), 1)</f>
        <v>4</v>
      </c>
    </row>
    <row r="36" spans="1:3" x14ac:dyDescent="0.3">
      <c r="A36" s="2" t="s">
        <v>409</v>
      </c>
      <c r="B36" s="2" t="s">
        <v>939</v>
      </c>
      <c r="C36" s="2">
        <f t="array" ref="C36">ROUND(SUM((표4[[#This Row],[번호]]=표6[음식점 번호])*표6[별점]) / SUM((표4[[#This Row],[번호]]=표6[음식점 번호])*1), 1)</f>
        <v>5</v>
      </c>
    </row>
    <row r="37" spans="1:3" x14ac:dyDescent="0.3">
      <c r="A37" s="2" t="s">
        <v>414</v>
      </c>
      <c r="B37" s="2" t="s">
        <v>940</v>
      </c>
      <c r="C37" s="2">
        <f t="array" ref="C37">ROUND(SUM((표4[[#This Row],[번호]]=표6[음식점 번호])*표6[별점]) / SUM((표4[[#This Row],[번호]]=표6[음식점 번호])*1), 1)</f>
        <v>4</v>
      </c>
    </row>
    <row r="38" spans="1:3" x14ac:dyDescent="0.3">
      <c r="A38" s="2" t="s">
        <v>419</v>
      </c>
      <c r="B38" s="2" t="s">
        <v>936</v>
      </c>
      <c r="C38" s="2">
        <f t="array" ref="C38">ROUND(SUM((표4[[#This Row],[번호]]=표6[음식점 번호])*표6[별점]) / SUM((표4[[#This Row],[번호]]=표6[음식점 번호])*1), 1)</f>
        <v>2</v>
      </c>
    </row>
    <row r="39" spans="1:3" x14ac:dyDescent="0.3">
      <c r="A39" s="2" t="s">
        <v>424</v>
      </c>
      <c r="B39" s="2" t="s">
        <v>936</v>
      </c>
      <c r="C39" s="2">
        <f t="array" ref="C39">ROUND(SUM((표4[[#This Row],[번호]]=표6[음식점 번호])*표6[별점]) / SUM((표4[[#This Row],[번호]]=표6[음식점 번호])*1), 1)</f>
        <v>2</v>
      </c>
    </row>
    <row r="40" spans="1:3" x14ac:dyDescent="0.3">
      <c r="A40" s="2" t="s">
        <v>429</v>
      </c>
      <c r="B40" s="2" t="s">
        <v>940</v>
      </c>
      <c r="C40" s="2">
        <f t="array" ref="C40">ROUND(SUM((표4[[#This Row],[번호]]=표6[음식점 번호])*표6[별점]) / SUM((표4[[#This Row],[번호]]=표6[음식점 번호])*1), 1)</f>
        <v>5</v>
      </c>
    </row>
    <row r="41" spans="1:3" x14ac:dyDescent="0.3">
      <c r="A41" s="2" t="s">
        <v>434</v>
      </c>
      <c r="B41" s="2" t="s">
        <v>936</v>
      </c>
      <c r="C41" s="2">
        <f t="array" ref="C41">ROUND(SUM((표4[[#This Row],[번호]]=표6[음식점 번호])*표6[별점]) / SUM((표4[[#This Row],[번호]]=표6[음식점 번호])*1), 1)</f>
        <v>1</v>
      </c>
    </row>
    <row r="42" spans="1:3" x14ac:dyDescent="0.3">
      <c r="A42" s="2" t="s">
        <v>439</v>
      </c>
      <c r="B42" s="2" t="s">
        <v>935</v>
      </c>
      <c r="C42" s="2">
        <f t="array" ref="C42">ROUND(SUM((표4[[#This Row],[번호]]=표6[음식점 번호])*표6[별점]) / SUM((표4[[#This Row],[번호]]=표6[음식점 번호])*1), 1)</f>
        <v>3.5</v>
      </c>
    </row>
    <row r="43" spans="1:3" x14ac:dyDescent="0.3">
      <c r="A43" s="2" t="s">
        <v>444</v>
      </c>
      <c r="B43" s="2" t="s">
        <v>936</v>
      </c>
      <c r="C43" s="2">
        <f t="array" ref="C43">ROUND(SUM((표4[[#This Row],[번호]]=표6[음식점 번호])*표6[별점]) / SUM((표4[[#This Row],[번호]]=표6[음식점 번호])*1), 1)</f>
        <v>4</v>
      </c>
    </row>
    <row r="44" spans="1:3" x14ac:dyDescent="0.3">
      <c r="A44" s="2" t="s">
        <v>449</v>
      </c>
      <c r="B44" s="2" t="s">
        <v>934</v>
      </c>
      <c r="C44" s="2">
        <f t="array" ref="C44">ROUND(SUM((표4[[#This Row],[번호]]=표6[음식점 번호])*표6[별점]) / SUM((표4[[#This Row],[번호]]=표6[음식점 번호])*1), 1)</f>
        <v>1</v>
      </c>
    </row>
    <row r="45" spans="1:3" x14ac:dyDescent="0.3">
      <c r="A45" s="2" t="s">
        <v>454</v>
      </c>
      <c r="B45" s="2" t="s">
        <v>939</v>
      </c>
      <c r="C45" s="2">
        <f t="array" ref="C45">ROUND(SUM((표4[[#This Row],[번호]]=표6[음식점 번호])*표6[별점]) / SUM((표4[[#This Row],[번호]]=표6[음식점 번호])*1), 1)</f>
        <v>1</v>
      </c>
    </row>
    <row r="46" spans="1:3" x14ac:dyDescent="0.3">
      <c r="A46" s="2" t="s">
        <v>459</v>
      </c>
      <c r="B46" s="2" t="s">
        <v>931</v>
      </c>
      <c r="C46" s="2">
        <f t="array" ref="C46">ROUND(SUM((표4[[#This Row],[번호]]=표6[음식점 번호])*표6[별점]) / SUM((표4[[#This Row],[번호]]=표6[음식점 번호])*1), 1)</f>
        <v>5</v>
      </c>
    </row>
    <row r="47" spans="1:3" x14ac:dyDescent="0.3">
      <c r="A47" s="2" t="s">
        <v>464</v>
      </c>
      <c r="B47" s="2" t="s">
        <v>931</v>
      </c>
      <c r="C47" s="2">
        <f t="array" ref="C47">ROUND(SUM((표4[[#This Row],[번호]]=표6[음식점 번호])*표6[별점]) / SUM((표4[[#This Row],[번호]]=표6[음식점 번호])*1), 1)</f>
        <v>5</v>
      </c>
    </row>
    <row r="48" spans="1:3" x14ac:dyDescent="0.3">
      <c r="A48" s="2" t="s">
        <v>469</v>
      </c>
      <c r="B48" s="2" t="s">
        <v>931</v>
      </c>
      <c r="C48" s="2">
        <f t="array" ref="C48">ROUND(SUM((표4[[#This Row],[번호]]=표6[음식점 번호])*표6[별점]) / SUM((표4[[#This Row],[번호]]=표6[음식점 번호])*1), 1)</f>
        <v>3.3</v>
      </c>
    </row>
    <row r="49" spans="1:3" x14ac:dyDescent="0.3">
      <c r="A49" s="2" t="s">
        <v>474</v>
      </c>
      <c r="B49" s="2" t="s">
        <v>940</v>
      </c>
      <c r="C49" s="2">
        <f t="array" ref="C49">ROUND(SUM((표4[[#This Row],[번호]]=표6[음식점 번호])*표6[별점]) / SUM((표4[[#This Row],[번호]]=표6[음식점 번호])*1), 1)</f>
        <v>5</v>
      </c>
    </row>
    <row r="50" spans="1:3" x14ac:dyDescent="0.3">
      <c r="A50" s="2" t="s">
        <v>479</v>
      </c>
      <c r="B50" s="2" t="s">
        <v>931</v>
      </c>
      <c r="C50" s="2">
        <f t="array" ref="C50">ROUND(SUM((표4[[#This Row],[번호]]=표6[음식점 번호])*표6[별점]) / SUM((표4[[#This Row],[번호]]=표6[음식점 번호])*1), 1)</f>
        <v>1</v>
      </c>
    </row>
    <row r="51" spans="1:3" x14ac:dyDescent="0.3">
      <c r="A51" s="2" t="s">
        <v>484</v>
      </c>
      <c r="B51" s="2" t="s">
        <v>931</v>
      </c>
      <c r="C51" s="2">
        <f t="array" ref="C51">ROUND(SUM((표4[[#This Row],[번호]]=표6[음식점 번호])*표6[별점]) / SUM((표4[[#This Row],[번호]]=표6[음식점 번호])*1), 1)</f>
        <v>4</v>
      </c>
    </row>
    <row r="52" spans="1:3" x14ac:dyDescent="0.3">
      <c r="A52" s="2" t="s">
        <v>489</v>
      </c>
      <c r="B52" s="2" t="s">
        <v>934</v>
      </c>
      <c r="C52" s="2">
        <f t="array" ref="C52">ROUND(SUM((표4[[#This Row],[번호]]=표6[음식점 번호])*표6[별점]) / SUM((표4[[#This Row],[번호]]=표6[음식점 번호])*1), 1)</f>
        <v>2</v>
      </c>
    </row>
    <row r="53" spans="1:3" x14ac:dyDescent="0.3">
      <c r="A53" s="2" t="s">
        <v>494</v>
      </c>
      <c r="B53" s="2" t="s">
        <v>934</v>
      </c>
      <c r="C53" s="2">
        <f t="array" ref="C53">ROUND(SUM((표4[[#This Row],[번호]]=표6[음식점 번호])*표6[별점]) / SUM((표4[[#This Row],[번호]]=표6[음식점 번호])*1), 1)</f>
        <v>2</v>
      </c>
    </row>
    <row r="54" spans="1:3" x14ac:dyDescent="0.3">
      <c r="A54" s="2" t="s">
        <v>499</v>
      </c>
      <c r="B54" s="2" t="s">
        <v>940</v>
      </c>
      <c r="C54" s="2">
        <f t="array" ref="C54">ROUND(SUM((표4[[#This Row],[번호]]=표6[음식점 번호])*표6[별점]) / SUM((표4[[#This Row],[번호]]=표6[음식점 번호])*1), 1)</f>
        <v>5</v>
      </c>
    </row>
    <row r="55" spans="1:3" x14ac:dyDescent="0.3">
      <c r="A55" s="2" t="s">
        <v>504</v>
      </c>
      <c r="B55" s="2" t="s">
        <v>939</v>
      </c>
      <c r="C55" s="2">
        <f t="array" ref="C55">ROUND(SUM((표4[[#This Row],[번호]]=표6[음식점 번호])*표6[별점]) / SUM((표4[[#This Row],[번호]]=표6[음식점 번호])*1), 1)</f>
        <v>4</v>
      </c>
    </row>
    <row r="56" spans="1:3" x14ac:dyDescent="0.3">
      <c r="A56" s="2" t="s">
        <v>509</v>
      </c>
      <c r="B56" s="2" t="s">
        <v>934</v>
      </c>
      <c r="C56" s="2">
        <f t="array" ref="C56">ROUND(SUM((표4[[#This Row],[번호]]=표6[음식점 번호])*표6[별점]) / SUM((표4[[#This Row],[번호]]=표6[음식점 번호])*1), 1)</f>
        <v>4</v>
      </c>
    </row>
    <row r="57" spans="1:3" x14ac:dyDescent="0.3">
      <c r="A57" s="2" t="s">
        <v>514</v>
      </c>
      <c r="B57" s="2" t="s">
        <v>936</v>
      </c>
      <c r="C57" s="2">
        <f t="array" ref="C57">ROUND(SUM((표4[[#This Row],[번호]]=표6[음식점 번호])*표6[별점]) / SUM((표4[[#This Row],[번호]]=표6[음식점 번호])*1), 1)</f>
        <v>2</v>
      </c>
    </row>
    <row r="58" spans="1:3" x14ac:dyDescent="0.3">
      <c r="A58" s="2" t="s">
        <v>519</v>
      </c>
      <c r="B58" s="2" t="s">
        <v>931</v>
      </c>
      <c r="C58" s="2">
        <f t="array" ref="C58">ROUND(SUM((표4[[#This Row],[번호]]=표6[음식점 번호])*표6[별점]) / SUM((표4[[#This Row],[번호]]=표6[음식점 번호])*1), 1)</f>
        <v>4</v>
      </c>
    </row>
    <row r="59" spans="1:3" x14ac:dyDescent="0.3">
      <c r="A59" s="2" t="s">
        <v>524</v>
      </c>
      <c r="B59" s="2" t="s">
        <v>932</v>
      </c>
      <c r="C59" s="2">
        <f t="array" ref="C59">ROUND(SUM((표4[[#This Row],[번호]]=표6[음식점 번호])*표6[별점]) / SUM((표4[[#This Row],[번호]]=표6[음식점 번호])*1), 1)</f>
        <v>1</v>
      </c>
    </row>
    <row r="60" spans="1:3" x14ac:dyDescent="0.3">
      <c r="A60" s="2" t="s">
        <v>529</v>
      </c>
      <c r="B60" s="2" t="s">
        <v>939</v>
      </c>
      <c r="C60" s="2">
        <f t="array" ref="C60">ROUND(SUM((표4[[#This Row],[번호]]=표6[음식점 번호])*표6[별점]) / SUM((표4[[#This Row],[번호]]=표6[음식점 번호])*1), 1)</f>
        <v>4</v>
      </c>
    </row>
    <row r="61" spans="1:3" x14ac:dyDescent="0.3">
      <c r="A61" s="2" t="s">
        <v>534</v>
      </c>
      <c r="B61" s="2" t="s">
        <v>931</v>
      </c>
      <c r="C61" s="2">
        <f t="array" ref="C61">ROUND(SUM((표4[[#This Row],[번호]]=표6[음식점 번호])*표6[별점]) / SUM((표4[[#This Row],[번호]]=표6[음식점 번호])*1), 1)</f>
        <v>5</v>
      </c>
    </row>
    <row r="62" spans="1:3" x14ac:dyDescent="0.3">
      <c r="A62" s="2" t="s">
        <v>539</v>
      </c>
      <c r="B62" s="2" t="s">
        <v>934</v>
      </c>
      <c r="C62" s="2">
        <f t="array" ref="C62">ROUND(SUM((표4[[#This Row],[번호]]=표6[음식점 번호])*표6[별점]) / SUM((표4[[#This Row],[번호]]=표6[음식점 번호])*1), 1)</f>
        <v>3</v>
      </c>
    </row>
    <row r="63" spans="1:3" x14ac:dyDescent="0.3">
      <c r="A63" s="2" t="s">
        <v>544</v>
      </c>
      <c r="B63" s="2" t="s">
        <v>936</v>
      </c>
      <c r="C63" s="2">
        <f t="array" ref="C63">ROUND(SUM((표4[[#This Row],[번호]]=표6[음식점 번호])*표6[별점]) / SUM((표4[[#This Row],[번호]]=표6[음식점 번호])*1), 1)</f>
        <v>2.5</v>
      </c>
    </row>
    <row r="64" spans="1:3" x14ac:dyDescent="0.3">
      <c r="A64" s="2" t="s">
        <v>549</v>
      </c>
      <c r="B64" s="2" t="s">
        <v>934</v>
      </c>
      <c r="C64" s="2">
        <f t="array" ref="C64">ROUND(SUM((표4[[#This Row],[번호]]=표6[음식점 번호])*표6[별점]) / SUM((표4[[#This Row],[번호]]=표6[음식점 번호])*1), 1)</f>
        <v>5</v>
      </c>
    </row>
    <row r="65" spans="1:3" x14ac:dyDescent="0.3">
      <c r="A65" s="2" t="s">
        <v>554</v>
      </c>
      <c r="B65" s="2" t="s">
        <v>937</v>
      </c>
      <c r="C65" s="2">
        <f t="array" ref="C65">ROUND(SUM((표4[[#This Row],[번호]]=표6[음식점 번호])*표6[별점]) / SUM((표4[[#This Row],[번호]]=표6[음식점 번호])*1), 1)</f>
        <v>1</v>
      </c>
    </row>
    <row r="66" spans="1:3" x14ac:dyDescent="0.3">
      <c r="A66" s="2" t="s">
        <v>559</v>
      </c>
      <c r="B66" s="2" t="s">
        <v>931</v>
      </c>
      <c r="C66" s="2">
        <f t="array" ref="C66">ROUND(SUM((표4[[#This Row],[번호]]=표6[음식점 번호])*표6[별점]) / SUM((표4[[#This Row],[번호]]=표6[음식점 번호])*1), 1)</f>
        <v>5</v>
      </c>
    </row>
    <row r="67" spans="1:3" x14ac:dyDescent="0.3">
      <c r="A67" s="2" t="s">
        <v>564</v>
      </c>
      <c r="B67" s="2" t="s">
        <v>934</v>
      </c>
      <c r="C67" s="2">
        <f t="array" ref="C67">ROUND(SUM((표4[[#This Row],[번호]]=표6[음식점 번호])*표6[별점]) / SUM((표4[[#This Row],[번호]]=표6[음식점 번호])*1), 1)</f>
        <v>3</v>
      </c>
    </row>
    <row r="68" spans="1:3" x14ac:dyDescent="0.3">
      <c r="A68" s="2" t="s">
        <v>569</v>
      </c>
      <c r="B68" s="2" t="s">
        <v>934</v>
      </c>
      <c r="C68" s="2">
        <f t="array" ref="C68">ROUND(SUM((표4[[#This Row],[번호]]=표6[음식점 번호])*표6[별점]) / SUM((표4[[#This Row],[번호]]=표6[음식점 번호])*1), 1)</f>
        <v>2</v>
      </c>
    </row>
    <row r="69" spans="1:3" x14ac:dyDescent="0.3">
      <c r="A69" s="2" t="s">
        <v>574</v>
      </c>
      <c r="B69" s="2" t="s">
        <v>934</v>
      </c>
      <c r="C69" s="2">
        <f t="array" ref="C69">ROUND(SUM((표4[[#This Row],[번호]]=표6[음식점 번호])*표6[별점]) / SUM((표4[[#This Row],[번호]]=표6[음식점 번호])*1), 1)</f>
        <v>5</v>
      </c>
    </row>
    <row r="70" spans="1:3" x14ac:dyDescent="0.3">
      <c r="A70" s="2" t="s">
        <v>579</v>
      </c>
      <c r="B70" s="2" t="s">
        <v>936</v>
      </c>
      <c r="C70" s="2">
        <f t="array" ref="C70">ROUND(SUM((표4[[#This Row],[번호]]=표6[음식점 번호])*표6[별점]) / SUM((표4[[#This Row],[번호]]=표6[음식점 번호])*1), 1)</f>
        <v>3</v>
      </c>
    </row>
    <row r="71" spans="1:3" x14ac:dyDescent="0.3">
      <c r="A71" s="2" t="s">
        <v>584</v>
      </c>
      <c r="B71" s="2" t="s">
        <v>931</v>
      </c>
      <c r="C71" s="2">
        <f t="array" ref="C71">ROUND(SUM((표4[[#This Row],[번호]]=표6[음식점 번호])*표6[별점]) / SUM((표4[[#This Row],[번호]]=표6[음식점 번호])*1), 1)</f>
        <v>2</v>
      </c>
    </row>
    <row r="72" spans="1:3" x14ac:dyDescent="0.3">
      <c r="A72" s="2" t="s">
        <v>589</v>
      </c>
      <c r="B72" s="2" t="s">
        <v>936</v>
      </c>
      <c r="C72" s="2">
        <f t="array" ref="C72">ROUND(SUM((표4[[#This Row],[번호]]=표6[음식점 번호])*표6[별점]) / SUM((표4[[#This Row],[번호]]=표6[음식점 번호])*1), 1)</f>
        <v>2</v>
      </c>
    </row>
    <row r="73" spans="1:3" x14ac:dyDescent="0.3">
      <c r="A73" s="2" t="s">
        <v>594</v>
      </c>
      <c r="B73" s="2" t="s">
        <v>936</v>
      </c>
      <c r="C73" s="2">
        <f t="array" ref="C73">ROUND(SUM((표4[[#This Row],[번호]]=표6[음식점 번호])*표6[별점]) / SUM((표4[[#This Row],[번호]]=표6[음식점 번호])*1), 1)</f>
        <v>5</v>
      </c>
    </row>
    <row r="74" spans="1:3" x14ac:dyDescent="0.3">
      <c r="A74" s="2" t="s">
        <v>599</v>
      </c>
      <c r="B74" s="2" t="s">
        <v>931</v>
      </c>
      <c r="C74" s="2">
        <f t="array" ref="C74">ROUND(SUM((표4[[#This Row],[번호]]=표6[음식점 번호])*표6[별점]) / SUM((표4[[#This Row],[번호]]=표6[음식점 번호])*1), 1)</f>
        <v>5</v>
      </c>
    </row>
    <row r="75" spans="1:3" x14ac:dyDescent="0.3">
      <c r="A75" s="2" t="s">
        <v>604</v>
      </c>
      <c r="B75" s="2" t="s">
        <v>934</v>
      </c>
      <c r="C75" s="2">
        <f t="array" ref="C75">ROUND(SUM((표4[[#This Row],[번호]]=표6[음식점 번호])*표6[별점]) / SUM((표4[[#This Row],[번호]]=표6[음식점 번호])*1), 1)</f>
        <v>4</v>
      </c>
    </row>
    <row r="76" spans="1:3" x14ac:dyDescent="0.3">
      <c r="A76" s="2" t="s">
        <v>609</v>
      </c>
      <c r="B76" s="2" t="s">
        <v>939</v>
      </c>
      <c r="C76" s="2">
        <f t="array" ref="C76">ROUND(SUM((표4[[#This Row],[번호]]=표6[음식점 번호])*표6[별점]) / SUM((표4[[#This Row],[번호]]=표6[음식점 번호])*1), 1)</f>
        <v>3</v>
      </c>
    </row>
    <row r="77" spans="1:3" x14ac:dyDescent="0.3">
      <c r="A77" s="2" t="s">
        <v>614</v>
      </c>
      <c r="B77" s="2" t="s">
        <v>931</v>
      </c>
      <c r="C77" s="2">
        <f t="array" ref="C77">ROUND(SUM((표4[[#This Row],[번호]]=표6[음식점 번호])*표6[별점]) / SUM((표4[[#This Row],[번호]]=표6[음식점 번호])*1), 1)</f>
        <v>1</v>
      </c>
    </row>
    <row r="78" spans="1:3" x14ac:dyDescent="0.3">
      <c r="A78" s="2" t="s">
        <v>619</v>
      </c>
      <c r="B78" s="2" t="s">
        <v>931</v>
      </c>
      <c r="C78" s="2">
        <f t="array" ref="C78">ROUND(SUM((표4[[#This Row],[번호]]=표6[음식점 번호])*표6[별점]) / SUM((표4[[#This Row],[번호]]=표6[음식점 번호])*1), 1)</f>
        <v>5</v>
      </c>
    </row>
    <row r="79" spans="1:3" x14ac:dyDescent="0.3">
      <c r="A79" s="2" t="s">
        <v>624</v>
      </c>
      <c r="B79" s="2" t="s">
        <v>931</v>
      </c>
      <c r="C79" s="2">
        <f t="array" ref="C79">ROUND(SUM((표4[[#This Row],[번호]]=표6[음식점 번호])*표6[별점]) / SUM((표4[[#This Row],[번호]]=표6[음식점 번호])*1), 1)</f>
        <v>4</v>
      </c>
    </row>
    <row r="80" spans="1:3" x14ac:dyDescent="0.3">
      <c r="A80" s="2" t="s">
        <v>629</v>
      </c>
      <c r="B80" s="2" t="s">
        <v>933</v>
      </c>
      <c r="C80" s="2">
        <f t="array" ref="C80">ROUND(SUM((표4[[#This Row],[번호]]=표6[음식점 번호])*표6[별점]) / SUM((표4[[#This Row],[번호]]=표6[음식점 번호])*1), 1)</f>
        <v>3</v>
      </c>
    </row>
    <row r="81" spans="1:3" x14ac:dyDescent="0.3">
      <c r="A81" s="2" t="s">
        <v>634</v>
      </c>
      <c r="B81" s="2" t="s">
        <v>934</v>
      </c>
      <c r="C81" s="2">
        <f t="array" ref="C81">ROUND(SUM((표4[[#This Row],[번호]]=표6[음식점 번호])*표6[별점]) / SUM((표4[[#This Row],[번호]]=표6[음식점 번호])*1), 1)</f>
        <v>5</v>
      </c>
    </row>
    <row r="82" spans="1:3" x14ac:dyDescent="0.3">
      <c r="A82" s="2" t="s">
        <v>639</v>
      </c>
      <c r="B82" s="2" t="s">
        <v>931</v>
      </c>
      <c r="C82" s="2">
        <f t="array" ref="C82">ROUND(SUM((표4[[#This Row],[번호]]=표6[음식점 번호])*표6[별점]) / SUM((표4[[#This Row],[번호]]=표6[음식점 번호])*1), 1)</f>
        <v>1</v>
      </c>
    </row>
    <row r="83" spans="1:3" x14ac:dyDescent="0.3">
      <c r="A83" s="2" t="s">
        <v>644</v>
      </c>
      <c r="B83" s="2" t="s">
        <v>936</v>
      </c>
      <c r="C83" s="2">
        <f t="array" ref="C83">ROUND(SUM((표4[[#This Row],[번호]]=표6[음식점 번호])*표6[별점]) / SUM((표4[[#This Row],[번호]]=표6[음식점 번호])*1), 1)</f>
        <v>2</v>
      </c>
    </row>
    <row r="84" spans="1:3" x14ac:dyDescent="0.3">
      <c r="A84" s="2" t="s">
        <v>649</v>
      </c>
      <c r="B84" s="2" t="s">
        <v>932</v>
      </c>
      <c r="C84" s="2">
        <f t="array" ref="C84">ROUND(SUM((표4[[#This Row],[번호]]=표6[음식점 번호])*표6[별점]) / SUM((표4[[#This Row],[번호]]=표6[음식점 번호])*1), 1)</f>
        <v>1</v>
      </c>
    </row>
    <row r="85" spans="1:3" x14ac:dyDescent="0.3">
      <c r="A85" s="2" t="s">
        <v>654</v>
      </c>
      <c r="B85" s="2" t="s">
        <v>934</v>
      </c>
      <c r="C85" s="2">
        <f t="array" ref="C85">ROUND(SUM((표4[[#This Row],[번호]]=표6[음식점 번호])*표6[별점]) / SUM((표4[[#This Row],[번호]]=표6[음식점 번호])*1), 1)</f>
        <v>2</v>
      </c>
    </row>
    <row r="86" spans="1:3" x14ac:dyDescent="0.3">
      <c r="A86" s="2" t="s">
        <v>659</v>
      </c>
      <c r="B86" s="2" t="s">
        <v>938</v>
      </c>
      <c r="C86" s="2">
        <f t="array" ref="C86">ROUND(SUM((표4[[#This Row],[번호]]=표6[음식점 번호])*표6[별점]) / SUM((표4[[#This Row],[번호]]=표6[음식점 번호])*1), 1)</f>
        <v>1</v>
      </c>
    </row>
    <row r="87" spans="1:3" x14ac:dyDescent="0.3">
      <c r="A87" s="2" t="s">
        <v>664</v>
      </c>
      <c r="B87" s="2" t="s">
        <v>936</v>
      </c>
      <c r="C87" s="2">
        <f t="array" ref="C87">ROUND(SUM((표4[[#This Row],[번호]]=표6[음식점 번호])*표6[별점]) / SUM((표4[[#This Row],[번호]]=표6[음식점 번호])*1), 1)</f>
        <v>2</v>
      </c>
    </row>
    <row r="88" spans="1:3" x14ac:dyDescent="0.3">
      <c r="A88" s="2" t="s">
        <v>669</v>
      </c>
      <c r="B88" s="2" t="s">
        <v>931</v>
      </c>
      <c r="C88" s="2">
        <f t="array" ref="C88">ROUND(SUM((표4[[#This Row],[번호]]=표6[음식점 번호])*표6[별점]) / SUM((표4[[#This Row],[번호]]=표6[음식점 번호])*1), 1)</f>
        <v>5</v>
      </c>
    </row>
    <row r="89" spans="1:3" x14ac:dyDescent="0.3">
      <c r="A89" s="2" t="s">
        <v>674</v>
      </c>
      <c r="B89" s="2" t="s">
        <v>932</v>
      </c>
      <c r="C89" s="2">
        <f t="array" ref="C89">ROUND(SUM((표4[[#This Row],[번호]]=표6[음식점 번호])*표6[별점]) / SUM((표4[[#This Row],[번호]]=표6[음식점 번호])*1), 1)</f>
        <v>4</v>
      </c>
    </row>
    <row r="90" spans="1:3" x14ac:dyDescent="0.3">
      <c r="A90" s="2" t="s">
        <v>679</v>
      </c>
      <c r="B90" s="2" t="s">
        <v>939</v>
      </c>
      <c r="C90" s="2">
        <f t="array" ref="C90">ROUND(SUM((표4[[#This Row],[번호]]=표6[음식점 번호])*표6[별점]) / SUM((표4[[#This Row],[번호]]=표6[음식점 번호])*1), 1)</f>
        <v>3</v>
      </c>
    </row>
    <row r="91" spans="1:3" x14ac:dyDescent="0.3">
      <c r="A91" s="2" t="s">
        <v>684</v>
      </c>
      <c r="B91" s="2" t="s">
        <v>934</v>
      </c>
      <c r="C91" s="2">
        <f t="array" ref="C91">ROUND(SUM((표4[[#This Row],[번호]]=표6[음식점 번호])*표6[별점]) / SUM((표4[[#This Row],[번호]]=표6[음식점 번호])*1), 1)</f>
        <v>5</v>
      </c>
    </row>
    <row r="92" spans="1:3" x14ac:dyDescent="0.3">
      <c r="A92" s="2" t="s">
        <v>689</v>
      </c>
      <c r="B92" s="2" t="s">
        <v>934</v>
      </c>
      <c r="C92" s="2">
        <f t="array" ref="C92">ROUND(SUM((표4[[#This Row],[번호]]=표6[음식점 번호])*표6[별점]) / SUM((표4[[#This Row],[번호]]=표6[음식점 번호])*1), 1)</f>
        <v>4</v>
      </c>
    </row>
    <row r="93" spans="1:3" x14ac:dyDescent="0.3">
      <c r="A93" s="2" t="s">
        <v>694</v>
      </c>
      <c r="B93" s="2" t="s">
        <v>936</v>
      </c>
      <c r="C93" s="2">
        <f t="array" ref="C93">ROUND(SUM((표4[[#This Row],[번호]]=표6[음식점 번호])*표6[별점]) / SUM((표4[[#This Row],[번호]]=표6[음식점 번호])*1), 1)</f>
        <v>1</v>
      </c>
    </row>
    <row r="94" spans="1:3" x14ac:dyDescent="0.3">
      <c r="A94" s="2" t="s">
        <v>699</v>
      </c>
      <c r="B94" s="2" t="s">
        <v>936</v>
      </c>
      <c r="C94" s="2">
        <f t="array" ref="C94">ROUND(SUM((표4[[#This Row],[번호]]=표6[음식점 번호])*표6[별점]) / SUM((표4[[#This Row],[번호]]=표6[음식점 번호])*1), 1)</f>
        <v>4</v>
      </c>
    </row>
    <row r="95" spans="1:3" x14ac:dyDescent="0.3">
      <c r="A95" s="2" t="s">
        <v>704</v>
      </c>
      <c r="B95" s="2" t="s">
        <v>934</v>
      </c>
      <c r="C95" s="2">
        <f t="array" ref="C95">ROUND(SUM((표4[[#This Row],[번호]]=표6[음식점 번호])*표6[별점]) / SUM((표4[[#This Row],[번호]]=표6[음식점 번호])*1), 1)</f>
        <v>4</v>
      </c>
    </row>
    <row r="96" spans="1:3" x14ac:dyDescent="0.3">
      <c r="A96" s="2" t="s">
        <v>709</v>
      </c>
      <c r="B96" s="2" t="s">
        <v>931</v>
      </c>
      <c r="C96" s="2">
        <f t="array" ref="C96">ROUND(SUM((표4[[#This Row],[번호]]=표6[음식점 번호])*표6[별점]) / SUM((표4[[#This Row],[번호]]=표6[음식점 번호])*1), 1)</f>
        <v>4.5</v>
      </c>
    </row>
    <row r="97" spans="1:3" x14ac:dyDescent="0.3">
      <c r="A97" s="2" t="s">
        <v>714</v>
      </c>
      <c r="B97" s="2" t="s">
        <v>938</v>
      </c>
      <c r="C97" s="2">
        <f t="array" ref="C97">ROUND(SUM((표4[[#This Row],[번호]]=표6[음식점 번호])*표6[별점]) / SUM((표4[[#This Row],[번호]]=표6[음식점 번호])*1), 1)</f>
        <v>3</v>
      </c>
    </row>
    <row r="98" spans="1:3" x14ac:dyDescent="0.3">
      <c r="A98" s="2" t="s">
        <v>719</v>
      </c>
      <c r="B98" s="2" t="s">
        <v>931</v>
      </c>
      <c r="C98" s="2">
        <f t="array" ref="C98">ROUND(SUM((표4[[#This Row],[번호]]=표6[음식점 번호])*표6[별점]) / SUM((표4[[#This Row],[번호]]=표6[음식점 번호])*1), 1)</f>
        <v>3</v>
      </c>
    </row>
    <row r="99" spans="1:3" x14ac:dyDescent="0.3">
      <c r="A99" s="2" t="s">
        <v>724</v>
      </c>
      <c r="B99" s="2" t="s">
        <v>936</v>
      </c>
      <c r="C99" s="2">
        <f t="array" ref="C99">ROUND(SUM((표4[[#This Row],[번호]]=표6[음식점 번호])*표6[별점]) / SUM((표4[[#This Row],[번호]]=표6[음식점 번호])*1), 1)</f>
        <v>5</v>
      </c>
    </row>
    <row r="100" spans="1:3" x14ac:dyDescent="0.3">
      <c r="A100" s="2" t="s">
        <v>729</v>
      </c>
      <c r="B100" s="2" t="s">
        <v>931</v>
      </c>
      <c r="C100" s="2">
        <f t="array" ref="C100">ROUND(SUM((표4[[#This Row],[번호]]=표6[음식점 번호])*표6[별점]) / SUM((표4[[#This Row],[번호]]=표6[음식점 번호])*1), 1)</f>
        <v>4</v>
      </c>
    </row>
    <row r="101" spans="1:3" x14ac:dyDescent="0.3">
      <c r="A101" s="2" t="s">
        <v>734</v>
      </c>
      <c r="B101" s="2" t="s">
        <v>937</v>
      </c>
      <c r="C101" s="2">
        <f t="array" ref="C101">ROUND(SUM((표4[[#This Row],[번호]]=표6[음식점 번호])*표6[별점]) / SUM((표4[[#This Row],[번호]]=표6[음식점 번호])*1), 1)</f>
        <v>3</v>
      </c>
    </row>
    <row r="102" spans="1:3" x14ac:dyDescent="0.3">
      <c r="A102" s="2" t="s">
        <v>739</v>
      </c>
      <c r="B102" s="2" t="s">
        <v>936</v>
      </c>
      <c r="C102" s="2">
        <f t="array" ref="C102">ROUND(SUM((표4[[#This Row],[번호]]=표6[음식점 번호])*표6[별점]) / SUM((표4[[#This Row],[번호]]=표6[음식점 번호])*1), 1)</f>
        <v>1</v>
      </c>
    </row>
    <row r="103" spans="1:3" x14ac:dyDescent="0.3">
      <c r="A103" s="2" t="s">
        <v>744</v>
      </c>
      <c r="B103" s="2" t="s">
        <v>936</v>
      </c>
      <c r="C103" s="2">
        <f t="array" ref="C103">ROUND(SUM((표4[[#This Row],[번호]]=표6[음식점 번호])*표6[별점]) / SUM((표4[[#This Row],[번호]]=표6[음식점 번호])*1), 1)</f>
        <v>1</v>
      </c>
    </row>
    <row r="104" spans="1:3" x14ac:dyDescent="0.3">
      <c r="A104" s="2" t="s">
        <v>749</v>
      </c>
      <c r="B104" s="2" t="s">
        <v>936</v>
      </c>
      <c r="C104" s="2">
        <f t="array" ref="C104">ROUND(SUM((표4[[#This Row],[번호]]=표6[음식점 번호])*표6[별점]) / SUM((표4[[#This Row],[번호]]=표6[음식점 번호])*1), 1)</f>
        <v>2</v>
      </c>
    </row>
    <row r="105" spans="1:3" x14ac:dyDescent="0.3">
      <c r="A105" s="2" t="s">
        <v>754</v>
      </c>
      <c r="B105" s="2" t="s">
        <v>939</v>
      </c>
      <c r="C105" s="2">
        <f t="array" ref="C105">ROUND(SUM((표4[[#This Row],[번호]]=표6[음식점 번호])*표6[별점]) / SUM((표4[[#This Row],[번호]]=표6[음식점 번호])*1), 1)</f>
        <v>3</v>
      </c>
    </row>
    <row r="106" spans="1:3" x14ac:dyDescent="0.3">
      <c r="A106" s="2" t="s">
        <v>759</v>
      </c>
      <c r="B106" s="2" t="s">
        <v>933</v>
      </c>
      <c r="C106" s="2">
        <f t="array" ref="C106">ROUND(SUM((표4[[#This Row],[번호]]=표6[음식점 번호])*표6[별점]) / SUM((표4[[#This Row],[번호]]=표6[음식점 번호])*1), 1)</f>
        <v>1</v>
      </c>
    </row>
    <row r="107" spans="1:3" x14ac:dyDescent="0.3">
      <c r="A107" s="2" t="s">
        <v>764</v>
      </c>
      <c r="B107" s="2" t="s">
        <v>937</v>
      </c>
      <c r="C107" s="2">
        <f t="array" ref="C107">ROUND(SUM((표4[[#This Row],[번호]]=표6[음식점 번호])*표6[별점]) / SUM((표4[[#This Row],[번호]]=표6[음식점 번호])*1), 1)</f>
        <v>5</v>
      </c>
    </row>
    <row r="108" spans="1:3" x14ac:dyDescent="0.3">
      <c r="A108" s="2" t="s">
        <v>769</v>
      </c>
      <c r="B108" s="2" t="s">
        <v>931</v>
      </c>
      <c r="C108" s="2">
        <f t="array" ref="C108">ROUND(SUM((표4[[#This Row],[번호]]=표6[음식점 번호])*표6[별점]) / SUM((표4[[#This Row],[번호]]=표6[음식점 번호])*1), 1)</f>
        <v>1</v>
      </c>
    </row>
    <row r="109" spans="1:3" x14ac:dyDescent="0.3">
      <c r="A109" s="2" t="s">
        <v>774</v>
      </c>
      <c r="B109" s="2" t="s">
        <v>936</v>
      </c>
      <c r="C109" s="2">
        <f t="array" ref="C109">ROUND(SUM((표4[[#This Row],[번호]]=표6[음식점 번호])*표6[별점]) / SUM((표4[[#This Row],[번호]]=표6[음식점 번호])*1), 1)</f>
        <v>2</v>
      </c>
    </row>
    <row r="110" spans="1:3" x14ac:dyDescent="0.3">
      <c r="A110" s="2" t="s">
        <v>779</v>
      </c>
      <c r="B110" s="2" t="s">
        <v>936</v>
      </c>
      <c r="C110" s="2">
        <f t="array" ref="C110">ROUND(SUM((표4[[#This Row],[번호]]=표6[음식점 번호])*표6[별점]) / SUM((표4[[#This Row],[번호]]=표6[음식점 번호])*1), 1)</f>
        <v>2.5</v>
      </c>
    </row>
    <row r="111" spans="1:3" x14ac:dyDescent="0.3">
      <c r="A111" s="2" t="s">
        <v>784</v>
      </c>
      <c r="B111" s="2" t="s">
        <v>934</v>
      </c>
      <c r="C111" s="2">
        <f t="array" ref="C111">ROUND(SUM((표4[[#This Row],[번호]]=표6[음식점 번호])*표6[별점]) / SUM((표4[[#This Row],[번호]]=표6[음식점 번호])*1), 1)</f>
        <v>2</v>
      </c>
    </row>
    <row r="112" spans="1:3" x14ac:dyDescent="0.3">
      <c r="A112" s="2" t="s">
        <v>789</v>
      </c>
      <c r="B112" s="2" t="s">
        <v>931</v>
      </c>
      <c r="C112" s="2">
        <f t="array" ref="C112">ROUND(SUM((표4[[#This Row],[번호]]=표6[음식점 번호])*표6[별점]) / SUM((표4[[#This Row],[번호]]=표6[음식점 번호])*1), 1)</f>
        <v>3</v>
      </c>
    </row>
    <row r="113" spans="1:3" x14ac:dyDescent="0.3">
      <c r="A113" s="2" t="s">
        <v>794</v>
      </c>
      <c r="B113" s="2" t="s">
        <v>934</v>
      </c>
      <c r="C113" s="2">
        <f t="array" ref="C113">ROUND(SUM((표4[[#This Row],[번호]]=표6[음식점 번호])*표6[별점]) / SUM((표4[[#This Row],[번호]]=표6[음식점 번호])*1), 1)</f>
        <v>4</v>
      </c>
    </row>
    <row r="114" spans="1:3" x14ac:dyDescent="0.3">
      <c r="A114" s="2" t="s">
        <v>799</v>
      </c>
      <c r="B114" s="2" t="s">
        <v>937</v>
      </c>
      <c r="C114" s="2">
        <f t="array" ref="C114">ROUND(SUM((표4[[#This Row],[번호]]=표6[음식점 번호])*표6[별점]) / SUM((표4[[#This Row],[번호]]=표6[음식점 번호])*1), 1)</f>
        <v>5</v>
      </c>
    </row>
    <row r="115" spans="1:3" x14ac:dyDescent="0.3">
      <c r="A115" s="2" t="s">
        <v>804</v>
      </c>
      <c r="B115" s="2" t="s">
        <v>931</v>
      </c>
      <c r="C115" s="2">
        <f t="array" ref="C115">ROUND(SUM((표4[[#This Row],[번호]]=표6[음식점 번호])*표6[별점]) / SUM((표4[[#This Row],[번호]]=표6[음식점 번호])*1), 1)</f>
        <v>4</v>
      </c>
    </row>
    <row r="116" spans="1:3" x14ac:dyDescent="0.3">
      <c r="A116" s="2" t="s">
        <v>809</v>
      </c>
      <c r="B116" s="2" t="s">
        <v>937</v>
      </c>
      <c r="C116" s="2">
        <f t="array" ref="C116">ROUND(SUM((표4[[#This Row],[번호]]=표6[음식점 번호])*표6[별점]) / SUM((표4[[#This Row],[번호]]=표6[음식점 번호])*1), 1)</f>
        <v>5</v>
      </c>
    </row>
    <row r="117" spans="1:3" x14ac:dyDescent="0.3">
      <c r="A117" s="2" t="s">
        <v>814</v>
      </c>
      <c r="B117" s="2" t="s">
        <v>937</v>
      </c>
      <c r="C117" s="2">
        <f t="array" ref="C117">ROUND(SUM((표4[[#This Row],[번호]]=표6[음식점 번호])*표6[별점]) / SUM((표4[[#This Row],[번호]]=표6[음식점 번호])*1), 1)</f>
        <v>2</v>
      </c>
    </row>
    <row r="118" spans="1:3" x14ac:dyDescent="0.3">
      <c r="A118" s="2" t="s">
        <v>819</v>
      </c>
      <c r="B118" s="2" t="s">
        <v>931</v>
      </c>
      <c r="C118" s="2">
        <f t="array" ref="C118">ROUND(SUM((표4[[#This Row],[번호]]=표6[음식점 번호])*표6[별점]) / SUM((표4[[#This Row],[번호]]=표6[음식점 번호])*1), 1)</f>
        <v>4</v>
      </c>
    </row>
    <row r="119" spans="1:3" x14ac:dyDescent="0.3">
      <c r="A119" s="2" t="s">
        <v>824</v>
      </c>
      <c r="B119" s="2" t="s">
        <v>931</v>
      </c>
      <c r="C119" s="2">
        <f t="array" ref="C119">ROUND(SUM((표4[[#This Row],[번호]]=표6[음식점 번호])*표6[별점]) / SUM((표4[[#This Row],[번호]]=표6[음식점 번호])*1), 1)</f>
        <v>2</v>
      </c>
    </row>
    <row r="120" spans="1:3" x14ac:dyDescent="0.3">
      <c r="A120" s="2" t="s">
        <v>829</v>
      </c>
      <c r="B120" s="2" t="s">
        <v>934</v>
      </c>
      <c r="C120" s="2">
        <f t="array" ref="C120">ROUND(SUM((표4[[#This Row],[번호]]=표6[음식점 번호])*표6[별점]) / SUM((표4[[#This Row],[번호]]=표6[음식점 번호])*1), 1)</f>
        <v>5</v>
      </c>
    </row>
    <row r="121" spans="1:3" x14ac:dyDescent="0.3">
      <c r="A121" s="2" t="s">
        <v>834</v>
      </c>
      <c r="B121" s="2" t="s">
        <v>936</v>
      </c>
      <c r="C121" s="2">
        <f t="array" ref="C121">ROUND(SUM((표4[[#This Row],[번호]]=표6[음식점 번호])*표6[별점]) / SUM((표4[[#This Row],[번호]]=표6[음식점 번호])*1), 1)</f>
        <v>2</v>
      </c>
    </row>
    <row r="122" spans="1:3" x14ac:dyDescent="0.3">
      <c r="A122" s="2" t="s">
        <v>839</v>
      </c>
      <c r="B122" s="2" t="s">
        <v>939</v>
      </c>
      <c r="C122" s="2">
        <f t="array" ref="C122">ROUND(SUM((표4[[#This Row],[번호]]=표6[음식점 번호])*표6[별점]) / SUM((표4[[#This Row],[번호]]=표6[음식점 번호])*1), 1)</f>
        <v>2</v>
      </c>
    </row>
    <row r="123" spans="1:3" x14ac:dyDescent="0.3">
      <c r="A123" s="2" t="s">
        <v>844</v>
      </c>
      <c r="B123" s="2" t="s">
        <v>931</v>
      </c>
      <c r="C123" s="2">
        <f t="array" ref="C123">ROUND(SUM((표4[[#This Row],[번호]]=표6[음식점 번호])*표6[별점]) / SUM((표4[[#This Row],[번호]]=표6[음식점 번호])*1), 1)</f>
        <v>3</v>
      </c>
    </row>
    <row r="124" spans="1:3" x14ac:dyDescent="0.3">
      <c r="A124" s="2" t="s">
        <v>849</v>
      </c>
      <c r="B124" s="2" t="s">
        <v>939</v>
      </c>
      <c r="C124" s="2">
        <f t="array" ref="C124">ROUND(SUM((표4[[#This Row],[번호]]=표6[음식점 번호])*표6[별점]) / SUM((표4[[#This Row],[번호]]=표6[음식점 번호])*1), 1)</f>
        <v>2</v>
      </c>
    </row>
    <row r="125" spans="1:3" x14ac:dyDescent="0.3">
      <c r="A125" s="2" t="s">
        <v>854</v>
      </c>
      <c r="B125" s="2" t="s">
        <v>935</v>
      </c>
      <c r="C125" s="2">
        <f t="array" ref="C125">ROUND(SUM((표4[[#This Row],[번호]]=표6[음식점 번호])*표6[별점]) / SUM((표4[[#This Row],[번호]]=표6[음식점 번호])*1), 1)</f>
        <v>3</v>
      </c>
    </row>
    <row r="126" spans="1:3" x14ac:dyDescent="0.3">
      <c r="A126" s="2" t="s">
        <v>859</v>
      </c>
      <c r="B126" s="2" t="s">
        <v>937</v>
      </c>
      <c r="C126" s="2">
        <f t="array" ref="C126">ROUND(SUM((표4[[#This Row],[번호]]=표6[음식점 번호])*표6[별점]) / SUM((표4[[#This Row],[번호]]=표6[음식점 번호])*1), 1)</f>
        <v>4</v>
      </c>
    </row>
    <row r="127" spans="1:3" x14ac:dyDescent="0.3">
      <c r="A127" s="2" t="s">
        <v>864</v>
      </c>
      <c r="B127" s="2" t="s">
        <v>935</v>
      </c>
      <c r="C127" s="2">
        <f t="array" ref="C127">ROUND(SUM((표4[[#This Row],[번호]]=표6[음식점 번호])*표6[별점]) / SUM((표4[[#This Row],[번호]]=표6[음식점 번호])*1), 1)</f>
        <v>3</v>
      </c>
    </row>
    <row r="128" spans="1:3" x14ac:dyDescent="0.3">
      <c r="A128" s="2" t="s">
        <v>869</v>
      </c>
      <c r="B128" s="2" t="s">
        <v>934</v>
      </c>
      <c r="C128" s="2">
        <f t="array" ref="C128">ROUND(SUM((표4[[#This Row],[번호]]=표6[음식점 번호])*표6[별점]) / SUM((표4[[#This Row],[번호]]=표6[음식점 번호])*1), 1)</f>
        <v>4</v>
      </c>
    </row>
    <row r="129" spans="1:3" x14ac:dyDescent="0.3">
      <c r="A129" s="2" t="s">
        <v>874</v>
      </c>
      <c r="B129" s="2" t="s">
        <v>932</v>
      </c>
      <c r="C129" s="2">
        <f t="array" ref="C129">ROUND(SUM((표4[[#This Row],[번호]]=표6[음식점 번호])*표6[별점]) / SUM((표4[[#This Row],[번호]]=표6[음식점 번호])*1), 1)</f>
        <v>2</v>
      </c>
    </row>
    <row r="130" spans="1:3" x14ac:dyDescent="0.3">
      <c r="A130" s="2" t="s">
        <v>879</v>
      </c>
      <c r="B130" s="2" t="s">
        <v>935</v>
      </c>
      <c r="C130" s="2">
        <f t="array" ref="C130">ROUND(SUM((표4[[#This Row],[번호]]=표6[음식점 번호])*표6[별점]) / SUM((표4[[#This Row],[번호]]=표6[음식점 번호])*1), 1)</f>
        <v>3</v>
      </c>
    </row>
    <row r="131" spans="1:3" x14ac:dyDescent="0.3">
      <c r="A131" s="2" t="s">
        <v>884</v>
      </c>
      <c r="B131" s="2" t="s">
        <v>934</v>
      </c>
      <c r="C131" s="2">
        <f t="array" ref="C131">ROUND(SUM((표4[[#This Row],[번호]]=표6[음식점 번호])*표6[별점]) / SUM((표4[[#This Row],[번호]]=표6[음식점 번호])*1), 1)</f>
        <v>1</v>
      </c>
    </row>
    <row r="132" spans="1:3" x14ac:dyDescent="0.3">
      <c r="A132" s="2" t="s">
        <v>889</v>
      </c>
      <c r="B132" s="2" t="s">
        <v>934</v>
      </c>
      <c r="C132" s="2">
        <f t="array" ref="C132">ROUND(SUM((표4[[#This Row],[번호]]=표6[음식점 번호])*표6[별점]) / SUM((표4[[#This Row],[번호]]=표6[음식점 번호])*1), 1)</f>
        <v>3</v>
      </c>
    </row>
    <row r="133" spans="1:3" x14ac:dyDescent="0.3">
      <c r="A133" s="2" t="s">
        <v>894</v>
      </c>
      <c r="B133" s="2" t="s">
        <v>934</v>
      </c>
      <c r="C133" s="2">
        <f t="array" ref="C133">ROUND(SUM((표4[[#This Row],[번호]]=표6[음식점 번호])*표6[별점]) / SUM((표4[[#This Row],[번호]]=표6[음식점 번호])*1), 1)</f>
        <v>3</v>
      </c>
    </row>
    <row r="134" spans="1:3" x14ac:dyDescent="0.3">
      <c r="A134" s="2" t="s">
        <v>899</v>
      </c>
      <c r="B134" s="2" t="s">
        <v>934</v>
      </c>
      <c r="C134" s="2">
        <f t="array" ref="C134">ROUND(SUM((표4[[#This Row],[번호]]=표6[음식점 번호])*표6[별점]) / SUM((표4[[#This Row],[번호]]=표6[음식점 번호])*1), 1)</f>
        <v>2</v>
      </c>
    </row>
    <row r="135" spans="1:3" x14ac:dyDescent="0.3">
      <c r="A135" s="2" t="s">
        <v>904</v>
      </c>
      <c r="B135" s="2" t="s">
        <v>934</v>
      </c>
      <c r="C135" s="2">
        <f t="array" ref="C135">ROUND(SUM((표4[[#This Row],[번호]]=표6[음식점 번호])*표6[별점]) / SUM((표4[[#This Row],[번호]]=표6[음식점 번호])*1), 1)</f>
        <v>5</v>
      </c>
    </row>
    <row r="136" spans="1:3" x14ac:dyDescent="0.3">
      <c r="A136" s="2" t="s">
        <v>909</v>
      </c>
      <c r="B136" s="2" t="s">
        <v>934</v>
      </c>
      <c r="C136" s="2">
        <f t="array" ref="C136">ROUND(SUM((표4[[#This Row],[번호]]=표6[음식점 번호])*표6[별점]) / SUM((표4[[#This Row],[번호]]=표6[음식점 번호])*1), 1)</f>
        <v>1</v>
      </c>
    </row>
    <row r="137" spans="1:3" x14ac:dyDescent="0.3">
      <c r="A137" s="2" t="s">
        <v>914</v>
      </c>
      <c r="B137" s="2" t="s">
        <v>931</v>
      </c>
      <c r="C137" s="2">
        <f t="array" ref="C137">ROUND(SUM((표4[[#This Row],[번호]]=표6[음식점 번호])*표6[별점]) / SUM((표4[[#This Row],[번호]]=표6[음식점 번호])*1), 1)</f>
        <v>5</v>
      </c>
    </row>
    <row r="138" spans="1:3" x14ac:dyDescent="0.3">
      <c r="A138" s="2" t="s">
        <v>919</v>
      </c>
      <c r="B138" s="2" t="s">
        <v>936</v>
      </c>
      <c r="C138" s="2">
        <f t="array" ref="C138">ROUND(SUM((표4[[#This Row],[번호]]=표6[음식점 번호])*표6[별점]) / SUM((표4[[#This Row],[번호]]=표6[음식점 번호])*1), 1)</f>
        <v>4</v>
      </c>
    </row>
    <row r="139" spans="1:3" x14ac:dyDescent="0.3">
      <c r="A139" s="2" t="s">
        <v>924</v>
      </c>
      <c r="B139" s="2" t="s">
        <v>936</v>
      </c>
      <c r="C139" s="2">
        <f t="array" ref="C139">ROUND(SUM((표4[[#This Row],[번호]]=표6[음식점 번호])*표6[별점]) / SUM((표4[[#This Row],[번호]]=표6[음식점 번호])*1), 1)</f>
        <v>4</v>
      </c>
    </row>
  </sheetData>
  <phoneticPr fontId="1" type="noConversion"/>
  <conditionalFormatting sqref="A1:C1048576">
    <cfRule type="expression" dxfId="9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autoLine="0" r:id="rId4">
            <anchor moveWithCells="1">
              <from>
                <xdr:col>3</xdr:col>
                <xdr:colOff>457200</xdr:colOff>
                <xdr:row>0</xdr:row>
                <xdr:rowOff>180975</xdr:rowOff>
              </from>
              <to>
                <xdr:col>6</xdr:col>
                <xdr:colOff>171450</xdr:colOff>
                <xdr:row>3</xdr:row>
                <xdr:rowOff>85725</xdr:rowOff>
              </to>
            </anchor>
          </controlPr>
        </control>
      </mc:Choice>
      <mc:Fallback>
        <control shapeId="4098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311"/>
  <sheetViews>
    <sheetView topLeftCell="D1" zoomScale="55" zoomScaleNormal="55" workbookViewId="0">
      <selection activeCell="J9" sqref="J9"/>
    </sheetView>
  </sheetViews>
  <sheetFormatPr defaultRowHeight="16.5" x14ac:dyDescent="0.3"/>
  <cols>
    <col min="1" max="1" width="9" style="2"/>
    <col min="2" max="2" width="12.75" style="2" customWidth="1"/>
    <col min="3" max="3" width="17.75" style="2" bestFit="1" customWidth="1"/>
    <col min="4" max="4" width="149.375" style="2" bestFit="1" customWidth="1"/>
    <col min="5" max="5" width="9" style="2"/>
  </cols>
  <sheetData>
    <row r="1" spans="1:16" x14ac:dyDescent="0.3">
      <c r="A1" s="3" t="s">
        <v>941</v>
      </c>
      <c r="B1" s="3" t="s">
        <v>942</v>
      </c>
      <c r="C1" s="3" t="s">
        <v>943</v>
      </c>
      <c r="D1" s="3" t="s">
        <v>944</v>
      </c>
      <c r="E1" s="3" t="s">
        <v>945</v>
      </c>
      <c r="J1" t="s">
        <v>3639</v>
      </c>
      <c r="L1" s="3" t="s">
        <v>3640</v>
      </c>
      <c r="M1" s="3"/>
      <c r="N1" s="3"/>
      <c r="O1" s="3"/>
      <c r="P1" s="3"/>
    </row>
    <row r="2" spans="1:16" x14ac:dyDescent="0.3">
      <c r="A2" s="2">
        <v>1</v>
      </c>
      <c r="B2" s="2" t="s">
        <v>239</v>
      </c>
      <c r="C2" s="2" t="s">
        <v>946</v>
      </c>
      <c r="D2" s="2" t="s">
        <v>947</v>
      </c>
      <c r="E2" s="4">
        <v>15000</v>
      </c>
      <c r="J2">
        <f>번호</f>
        <v>0</v>
      </c>
      <c r="L2" s="2" t="s">
        <v>946</v>
      </c>
      <c r="M2" s="2"/>
      <c r="N2" s="2"/>
      <c r="O2" s="2"/>
      <c r="P2" s="4"/>
    </row>
    <row r="3" spans="1:16" x14ac:dyDescent="0.3">
      <c r="A3" s="2">
        <v>2</v>
      </c>
      <c r="B3" s="2" t="s">
        <v>239</v>
      </c>
      <c r="C3" s="2" t="s">
        <v>948</v>
      </c>
      <c r="D3" s="2" t="s">
        <v>949</v>
      </c>
      <c r="E3" s="4">
        <v>4000</v>
      </c>
      <c r="L3" s="2" t="s">
        <v>948</v>
      </c>
      <c r="M3" s="2"/>
      <c r="N3" s="2"/>
      <c r="O3" s="2"/>
      <c r="P3" s="4"/>
    </row>
    <row r="4" spans="1:16" x14ac:dyDescent="0.3">
      <c r="A4" s="2">
        <v>3</v>
      </c>
      <c r="B4" s="2" t="s">
        <v>239</v>
      </c>
      <c r="C4" s="2" t="s">
        <v>950</v>
      </c>
      <c r="D4" s="2" t="s">
        <v>951</v>
      </c>
      <c r="E4" s="4">
        <v>25000</v>
      </c>
      <c r="L4" s="2" t="s">
        <v>950</v>
      </c>
      <c r="M4" s="2"/>
      <c r="N4" s="2"/>
      <c r="O4" s="2"/>
      <c r="P4" s="4"/>
    </row>
    <row r="5" spans="1:16" x14ac:dyDescent="0.3">
      <c r="A5" s="2">
        <v>4</v>
      </c>
      <c r="B5" s="2" t="s">
        <v>239</v>
      </c>
      <c r="C5" s="2" t="s">
        <v>952</v>
      </c>
      <c r="D5" s="2" t="s">
        <v>953</v>
      </c>
      <c r="E5" s="4">
        <v>8000</v>
      </c>
      <c r="L5" s="2" t="s">
        <v>952</v>
      </c>
      <c r="M5" s="2"/>
      <c r="N5" s="2"/>
      <c r="O5" s="2"/>
      <c r="P5" s="4"/>
    </row>
    <row r="6" spans="1:16" x14ac:dyDescent="0.3">
      <c r="A6" s="2">
        <v>5</v>
      </c>
      <c r="B6" s="2" t="s">
        <v>239</v>
      </c>
      <c r="C6" s="2" t="s">
        <v>954</v>
      </c>
      <c r="D6" s="2" t="s">
        <v>955</v>
      </c>
      <c r="E6" s="4">
        <v>8000</v>
      </c>
      <c r="L6" s="2" t="s">
        <v>954</v>
      </c>
      <c r="M6" s="2"/>
      <c r="N6" s="2"/>
      <c r="O6" s="2"/>
      <c r="P6" s="4"/>
    </row>
    <row r="7" spans="1:16" x14ac:dyDescent="0.3">
      <c r="A7" s="2">
        <v>6</v>
      </c>
      <c r="B7" s="2" t="s">
        <v>239</v>
      </c>
      <c r="C7" s="2" t="s">
        <v>956</v>
      </c>
      <c r="D7" s="2" t="s">
        <v>957</v>
      </c>
      <c r="E7" s="4">
        <v>10000</v>
      </c>
      <c r="L7" s="2" t="s">
        <v>956</v>
      </c>
      <c r="M7" s="2"/>
      <c r="N7" s="2"/>
      <c r="O7" s="2"/>
      <c r="P7" s="4"/>
    </row>
    <row r="8" spans="1:16" x14ac:dyDescent="0.3">
      <c r="A8" s="2">
        <v>7</v>
      </c>
      <c r="B8" s="2" t="s">
        <v>239</v>
      </c>
      <c r="C8" s="2" t="s">
        <v>958</v>
      </c>
      <c r="D8" s="2" t="s">
        <v>959</v>
      </c>
      <c r="E8" s="4">
        <v>3000</v>
      </c>
      <c r="L8" s="2" t="s">
        <v>958</v>
      </c>
      <c r="M8" s="2"/>
      <c r="N8" s="2"/>
      <c r="O8" s="2"/>
      <c r="P8" s="4"/>
    </row>
    <row r="9" spans="1:16" x14ac:dyDescent="0.3">
      <c r="A9" s="2">
        <v>8</v>
      </c>
      <c r="B9" s="2" t="s">
        <v>239</v>
      </c>
      <c r="C9" s="2" t="s">
        <v>960</v>
      </c>
      <c r="D9" s="2" t="s">
        <v>961</v>
      </c>
      <c r="E9" s="4">
        <v>12000</v>
      </c>
      <c r="L9" s="2" t="s">
        <v>960</v>
      </c>
      <c r="M9" s="2"/>
      <c r="N9" s="2"/>
      <c r="O9" s="2"/>
      <c r="P9" s="4"/>
    </row>
    <row r="10" spans="1:16" x14ac:dyDescent="0.3">
      <c r="A10" s="2">
        <v>9</v>
      </c>
      <c r="B10" s="2" t="s">
        <v>239</v>
      </c>
      <c r="C10" s="2" t="s">
        <v>962</v>
      </c>
      <c r="D10" s="2" t="s">
        <v>963</v>
      </c>
      <c r="E10" s="4">
        <v>2500</v>
      </c>
      <c r="L10" s="2" t="s">
        <v>962</v>
      </c>
      <c r="M10" s="2"/>
      <c r="N10" s="2"/>
      <c r="O10" s="2"/>
      <c r="P10" s="4"/>
    </row>
    <row r="11" spans="1:16" x14ac:dyDescent="0.3">
      <c r="A11" s="2">
        <v>10</v>
      </c>
      <c r="B11" s="2" t="s">
        <v>239</v>
      </c>
      <c r="C11" s="2" t="s">
        <v>964</v>
      </c>
      <c r="D11" s="2" t="s">
        <v>965</v>
      </c>
      <c r="E11" s="4">
        <v>2000</v>
      </c>
      <c r="L11" s="2" t="s">
        <v>964</v>
      </c>
      <c r="M11" s="2"/>
      <c r="N11" s="2"/>
      <c r="O11" s="2"/>
      <c r="P11" s="4"/>
    </row>
    <row r="12" spans="1:16" x14ac:dyDescent="0.3">
      <c r="A12" s="2">
        <v>11</v>
      </c>
      <c r="B12" s="2" t="s">
        <v>239</v>
      </c>
      <c r="C12" s="2" t="s">
        <v>966</v>
      </c>
      <c r="D12" s="2" t="s">
        <v>965</v>
      </c>
      <c r="E12" s="4">
        <v>2000</v>
      </c>
      <c r="L12" s="2" t="s">
        <v>966</v>
      </c>
      <c r="M12" s="2"/>
      <c r="N12" s="2"/>
      <c r="O12" s="2"/>
      <c r="P12" s="4"/>
    </row>
    <row r="13" spans="1:16" x14ac:dyDescent="0.3">
      <c r="A13" s="2">
        <v>12</v>
      </c>
      <c r="B13" s="2" t="s">
        <v>244</v>
      </c>
      <c r="C13" s="2" t="s">
        <v>946</v>
      </c>
      <c r="D13" s="2" t="s">
        <v>947</v>
      </c>
      <c r="E13" s="4">
        <v>14000</v>
      </c>
    </row>
    <row r="14" spans="1:16" x14ac:dyDescent="0.3">
      <c r="A14" s="2">
        <v>13</v>
      </c>
      <c r="B14" s="2" t="s">
        <v>244</v>
      </c>
      <c r="C14" s="2" t="s">
        <v>948</v>
      </c>
      <c r="D14" s="2" t="s">
        <v>949</v>
      </c>
      <c r="E14" s="4">
        <v>4000</v>
      </c>
    </row>
    <row r="15" spans="1:16" x14ac:dyDescent="0.3">
      <c r="A15" s="2">
        <v>14</v>
      </c>
      <c r="B15" s="2" t="s">
        <v>244</v>
      </c>
      <c r="C15" s="2" t="s">
        <v>954</v>
      </c>
      <c r="D15" s="2" t="s">
        <v>955</v>
      </c>
      <c r="E15" s="4">
        <v>8000</v>
      </c>
    </row>
    <row r="16" spans="1:16" x14ac:dyDescent="0.3">
      <c r="A16" s="2">
        <v>15</v>
      </c>
      <c r="B16" s="2" t="s">
        <v>244</v>
      </c>
      <c r="C16" s="2" t="s">
        <v>956</v>
      </c>
      <c r="D16" s="2" t="s">
        <v>957</v>
      </c>
      <c r="E16" s="4">
        <v>8000</v>
      </c>
    </row>
    <row r="17" spans="1:5" x14ac:dyDescent="0.3">
      <c r="A17" s="2">
        <v>16</v>
      </c>
      <c r="B17" s="2" t="s">
        <v>244</v>
      </c>
      <c r="C17" s="2" t="s">
        <v>958</v>
      </c>
      <c r="D17" s="2" t="s">
        <v>959</v>
      </c>
      <c r="E17" s="4">
        <v>3000</v>
      </c>
    </row>
    <row r="18" spans="1:5" x14ac:dyDescent="0.3">
      <c r="A18" s="2">
        <v>17</v>
      </c>
      <c r="B18" s="2" t="s">
        <v>244</v>
      </c>
      <c r="C18" s="2" t="s">
        <v>964</v>
      </c>
      <c r="D18" s="2" t="s">
        <v>965</v>
      </c>
      <c r="E18" s="4">
        <v>2000</v>
      </c>
    </row>
    <row r="19" spans="1:5" x14ac:dyDescent="0.3">
      <c r="A19" s="2">
        <v>18</v>
      </c>
      <c r="B19" s="2" t="s">
        <v>249</v>
      </c>
      <c r="C19" s="2" t="s">
        <v>967</v>
      </c>
      <c r="D19" s="2" t="s">
        <v>968</v>
      </c>
      <c r="E19" s="4">
        <v>25000</v>
      </c>
    </row>
    <row r="20" spans="1:5" x14ac:dyDescent="0.3">
      <c r="A20" s="2">
        <v>19</v>
      </c>
      <c r="B20" s="2" t="s">
        <v>249</v>
      </c>
      <c r="C20" s="2" t="s">
        <v>969</v>
      </c>
      <c r="D20" s="2" t="s">
        <v>970</v>
      </c>
      <c r="E20" s="4">
        <v>10000</v>
      </c>
    </row>
    <row r="21" spans="1:5" x14ac:dyDescent="0.3">
      <c r="A21" s="2">
        <v>20</v>
      </c>
      <c r="B21" s="2" t="s">
        <v>249</v>
      </c>
      <c r="C21" s="2" t="s">
        <v>971</v>
      </c>
      <c r="D21" s="2" t="s">
        <v>972</v>
      </c>
      <c r="E21" s="4">
        <v>35000</v>
      </c>
    </row>
    <row r="22" spans="1:5" x14ac:dyDescent="0.3">
      <c r="A22" s="2">
        <v>21</v>
      </c>
      <c r="B22" s="2" t="s">
        <v>249</v>
      </c>
      <c r="C22" s="2" t="s">
        <v>973</v>
      </c>
      <c r="D22" s="2" t="s">
        <v>974</v>
      </c>
      <c r="E22" s="4">
        <v>15000</v>
      </c>
    </row>
    <row r="23" spans="1:5" x14ac:dyDescent="0.3">
      <c r="A23" s="2">
        <v>22</v>
      </c>
      <c r="B23" s="2" t="s">
        <v>249</v>
      </c>
      <c r="C23" s="2" t="s">
        <v>975</v>
      </c>
      <c r="D23" s="2" t="s">
        <v>976</v>
      </c>
      <c r="E23" s="4">
        <v>2000</v>
      </c>
    </row>
    <row r="24" spans="1:5" x14ac:dyDescent="0.3">
      <c r="A24" s="2">
        <v>23</v>
      </c>
      <c r="B24" s="2" t="s">
        <v>249</v>
      </c>
      <c r="C24" s="2" t="s">
        <v>977</v>
      </c>
      <c r="D24" s="2" t="s">
        <v>978</v>
      </c>
      <c r="E24" s="4">
        <v>9000</v>
      </c>
    </row>
    <row r="25" spans="1:5" x14ac:dyDescent="0.3">
      <c r="A25" s="2">
        <v>24</v>
      </c>
      <c r="B25" s="2" t="s">
        <v>249</v>
      </c>
      <c r="C25" s="2" t="s">
        <v>979</v>
      </c>
      <c r="D25" s="2" t="s">
        <v>980</v>
      </c>
      <c r="E25" s="4">
        <v>22000</v>
      </c>
    </row>
    <row r="26" spans="1:5" x14ac:dyDescent="0.3">
      <c r="A26" s="2">
        <v>25</v>
      </c>
      <c r="B26" s="2" t="s">
        <v>249</v>
      </c>
      <c r="C26" s="2" t="s">
        <v>981</v>
      </c>
      <c r="D26" s="2" t="s">
        <v>982</v>
      </c>
      <c r="E26" s="4">
        <v>8000</v>
      </c>
    </row>
    <row r="27" spans="1:5" x14ac:dyDescent="0.3">
      <c r="A27" s="2">
        <v>26</v>
      </c>
      <c r="B27" s="2" t="s">
        <v>249</v>
      </c>
      <c r="C27" s="2" t="s">
        <v>964</v>
      </c>
      <c r="D27" s="2" t="s">
        <v>965</v>
      </c>
      <c r="E27" s="4">
        <v>2000</v>
      </c>
    </row>
    <row r="28" spans="1:5" x14ac:dyDescent="0.3">
      <c r="A28" s="2">
        <v>27</v>
      </c>
      <c r="B28" s="2" t="s">
        <v>254</v>
      </c>
      <c r="C28" s="2" t="s">
        <v>983</v>
      </c>
      <c r="D28" s="2" t="s">
        <v>984</v>
      </c>
      <c r="E28" s="4">
        <v>10000</v>
      </c>
    </row>
    <row r="29" spans="1:5" x14ac:dyDescent="0.3">
      <c r="A29" s="2">
        <v>28</v>
      </c>
      <c r="B29" s="2" t="s">
        <v>254</v>
      </c>
      <c r="C29" s="2" t="s">
        <v>985</v>
      </c>
      <c r="D29" s="2" t="s">
        <v>986</v>
      </c>
      <c r="E29" s="4">
        <v>7000</v>
      </c>
    </row>
    <row r="30" spans="1:5" x14ac:dyDescent="0.3">
      <c r="A30" s="2">
        <v>29</v>
      </c>
      <c r="B30" s="2" t="s">
        <v>254</v>
      </c>
      <c r="C30" s="2" t="s">
        <v>987</v>
      </c>
      <c r="D30" s="2" t="s">
        <v>988</v>
      </c>
      <c r="E30" s="4">
        <v>12000</v>
      </c>
    </row>
    <row r="31" spans="1:5" x14ac:dyDescent="0.3">
      <c r="A31" s="2">
        <v>30</v>
      </c>
      <c r="B31" s="2" t="s">
        <v>254</v>
      </c>
      <c r="C31" s="2" t="s">
        <v>989</v>
      </c>
      <c r="D31" s="2" t="s">
        <v>990</v>
      </c>
      <c r="E31" s="4">
        <v>15000</v>
      </c>
    </row>
    <row r="32" spans="1:5" x14ac:dyDescent="0.3">
      <c r="A32" s="2">
        <v>31</v>
      </c>
      <c r="B32" s="2" t="s">
        <v>254</v>
      </c>
      <c r="C32" s="2" t="s">
        <v>991</v>
      </c>
      <c r="D32" s="2" t="s">
        <v>992</v>
      </c>
      <c r="E32" s="4">
        <v>12000</v>
      </c>
    </row>
    <row r="33" spans="1:5" x14ac:dyDescent="0.3">
      <c r="A33" s="2">
        <v>32</v>
      </c>
      <c r="B33" s="2" t="s">
        <v>259</v>
      </c>
      <c r="C33" s="2" t="s">
        <v>993</v>
      </c>
      <c r="D33" s="2" t="s">
        <v>994</v>
      </c>
      <c r="E33" s="4">
        <v>25000</v>
      </c>
    </row>
    <row r="34" spans="1:5" x14ac:dyDescent="0.3">
      <c r="A34" s="2">
        <v>33</v>
      </c>
      <c r="B34" s="2" t="s">
        <v>259</v>
      </c>
      <c r="C34" s="2" t="s">
        <v>995</v>
      </c>
      <c r="D34" s="2" t="s">
        <v>996</v>
      </c>
      <c r="E34" s="4">
        <v>20000</v>
      </c>
    </row>
    <row r="35" spans="1:5" x14ac:dyDescent="0.3">
      <c r="A35" s="2">
        <v>34</v>
      </c>
      <c r="B35" s="2" t="s">
        <v>259</v>
      </c>
      <c r="C35" s="2" t="s">
        <v>997</v>
      </c>
      <c r="D35" s="2" t="s">
        <v>998</v>
      </c>
      <c r="E35" s="4">
        <v>12000</v>
      </c>
    </row>
    <row r="36" spans="1:5" x14ac:dyDescent="0.3">
      <c r="A36" s="2">
        <v>35</v>
      </c>
      <c r="B36" s="2" t="s">
        <v>259</v>
      </c>
      <c r="C36" s="2" t="s">
        <v>999</v>
      </c>
      <c r="D36" s="2" t="s">
        <v>1000</v>
      </c>
      <c r="E36" s="4">
        <v>8000</v>
      </c>
    </row>
    <row r="37" spans="1:5" x14ac:dyDescent="0.3">
      <c r="A37" s="2">
        <v>36</v>
      </c>
      <c r="B37" s="2" t="s">
        <v>259</v>
      </c>
      <c r="C37" s="2" t="s">
        <v>1001</v>
      </c>
      <c r="D37" s="2" t="s">
        <v>1002</v>
      </c>
      <c r="E37" s="4">
        <v>8000</v>
      </c>
    </row>
    <row r="38" spans="1:5" x14ac:dyDescent="0.3">
      <c r="A38" s="2">
        <v>37</v>
      </c>
      <c r="B38" s="2" t="s">
        <v>259</v>
      </c>
      <c r="C38" s="2" t="s">
        <v>1003</v>
      </c>
      <c r="D38" s="2" t="s">
        <v>1004</v>
      </c>
      <c r="E38" s="4">
        <v>14000</v>
      </c>
    </row>
    <row r="39" spans="1:5" x14ac:dyDescent="0.3">
      <c r="A39" s="2">
        <v>38</v>
      </c>
      <c r="B39" s="2" t="s">
        <v>259</v>
      </c>
      <c r="C39" s="2" t="s">
        <v>1005</v>
      </c>
      <c r="D39" s="2" t="s">
        <v>1006</v>
      </c>
      <c r="E39" s="4">
        <v>26000</v>
      </c>
    </row>
    <row r="40" spans="1:5" x14ac:dyDescent="0.3">
      <c r="A40" s="2">
        <v>39</v>
      </c>
      <c r="B40" s="2" t="s">
        <v>259</v>
      </c>
      <c r="C40" s="2" t="s">
        <v>1007</v>
      </c>
      <c r="D40" s="2" t="s">
        <v>1008</v>
      </c>
      <c r="E40" s="4">
        <v>7000</v>
      </c>
    </row>
    <row r="41" spans="1:5" x14ac:dyDescent="0.3">
      <c r="A41" s="2">
        <v>40</v>
      </c>
      <c r="B41" s="2" t="s">
        <v>259</v>
      </c>
      <c r="C41" s="2" t="s">
        <v>1009</v>
      </c>
      <c r="D41" s="2" t="s">
        <v>1010</v>
      </c>
      <c r="E41" s="4">
        <v>35000</v>
      </c>
    </row>
    <row r="42" spans="1:5" x14ac:dyDescent="0.3">
      <c r="A42" s="2">
        <v>41</v>
      </c>
      <c r="B42" s="2" t="s">
        <v>259</v>
      </c>
      <c r="C42" s="2" t="s">
        <v>1011</v>
      </c>
      <c r="D42" s="2" t="s">
        <v>1012</v>
      </c>
      <c r="E42" s="4">
        <v>8000</v>
      </c>
    </row>
    <row r="43" spans="1:5" x14ac:dyDescent="0.3">
      <c r="A43" s="2">
        <v>42</v>
      </c>
      <c r="B43" s="2" t="s">
        <v>259</v>
      </c>
      <c r="C43" s="2" t="s">
        <v>1013</v>
      </c>
      <c r="D43" s="2" t="s">
        <v>1014</v>
      </c>
      <c r="E43" s="4">
        <v>8000</v>
      </c>
    </row>
    <row r="44" spans="1:5" x14ac:dyDescent="0.3">
      <c r="A44" s="2">
        <v>43</v>
      </c>
      <c r="B44" s="2" t="s">
        <v>264</v>
      </c>
      <c r="C44" s="2" t="s">
        <v>1015</v>
      </c>
      <c r="D44" s="2" t="s">
        <v>1016</v>
      </c>
      <c r="E44" s="4">
        <v>10000</v>
      </c>
    </row>
    <row r="45" spans="1:5" x14ac:dyDescent="0.3">
      <c r="A45" s="2">
        <v>44</v>
      </c>
      <c r="B45" s="2" t="s">
        <v>264</v>
      </c>
      <c r="C45" s="2" t="s">
        <v>1017</v>
      </c>
      <c r="D45" s="2" t="s">
        <v>1018</v>
      </c>
      <c r="E45" s="4">
        <v>8000</v>
      </c>
    </row>
    <row r="46" spans="1:5" x14ac:dyDescent="0.3">
      <c r="A46" s="2">
        <v>45</v>
      </c>
      <c r="B46" s="2" t="s">
        <v>264</v>
      </c>
      <c r="C46" s="2" t="s">
        <v>1019</v>
      </c>
      <c r="D46" s="2" t="s">
        <v>1020</v>
      </c>
      <c r="E46" s="4">
        <v>8000</v>
      </c>
    </row>
    <row r="47" spans="1:5" x14ac:dyDescent="0.3">
      <c r="A47" s="2">
        <v>46</v>
      </c>
      <c r="B47" s="2" t="s">
        <v>264</v>
      </c>
      <c r="C47" s="2" t="s">
        <v>1021</v>
      </c>
      <c r="D47" s="2" t="s">
        <v>1022</v>
      </c>
      <c r="E47" s="4">
        <v>9000</v>
      </c>
    </row>
    <row r="48" spans="1:5" x14ac:dyDescent="0.3">
      <c r="A48" s="2">
        <v>47</v>
      </c>
      <c r="B48" s="2" t="s">
        <v>264</v>
      </c>
      <c r="C48" s="2" t="s">
        <v>1023</v>
      </c>
      <c r="D48" s="2" t="s">
        <v>1024</v>
      </c>
      <c r="E48" s="4">
        <v>5000</v>
      </c>
    </row>
    <row r="49" spans="1:5" x14ac:dyDescent="0.3">
      <c r="A49" s="2">
        <v>48</v>
      </c>
      <c r="B49" s="2" t="s">
        <v>264</v>
      </c>
      <c r="C49" s="2" t="s">
        <v>1025</v>
      </c>
      <c r="D49" s="2" t="s">
        <v>1026</v>
      </c>
      <c r="E49" s="4">
        <v>5000</v>
      </c>
    </row>
    <row r="50" spans="1:5" x14ac:dyDescent="0.3">
      <c r="A50" s="2">
        <v>49</v>
      </c>
      <c r="B50" s="2" t="s">
        <v>264</v>
      </c>
      <c r="C50" s="2" t="s">
        <v>964</v>
      </c>
      <c r="D50" s="2" t="s">
        <v>1027</v>
      </c>
      <c r="E50" s="4">
        <v>2000</v>
      </c>
    </row>
    <row r="51" spans="1:5" x14ac:dyDescent="0.3">
      <c r="A51" s="2">
        <v>50</v>
      </c>
      <c r="B51" s="2" t="s">
        <v>269</v>
      </c>
      <c r="C51" s="2" t="s">
        <v>1028</v>
      </c>
      <c r="D51" s="2" t="s">
        <v>1029</v>
      </c>
      <c r="E51" s="4">
        <v>4000</v>
      </c>
    </row>
    <row r="52" spans="1:5" x14ac:dyDescent="0.3">
      <c r="A52" s="2">
        <v>51</v>
      </c>
      <c r="B52" s="2" t="s">
        <v>269</v>
      </c>
      <c r="C52" s="2" t="s">
        <v>1030</v>
      </c>
      <c r="D52" s="2" t="s">
        <v>1031</v>
      </c>
      <c r="E52" s="4">
        <v>5000</v>
      </c>
    </row>
    <row r="53" spans="1:5" x14ac:dyDescent="0.3">
      <c r="A53" s="2">
        <v>52</v>
      </c>
      <c r="B53" s="2" t="s">
        <v>269</v>
      </c>
      <c r="C53" s="2" t="s">
        <v>1032</v>
      </c>
      <c r="D53" s="2" t="s">
        <v>1033</v>
      </c>
      <c r="E53" s="4">
        <v>6000</v>
      </c>
    </row>
    <row r="54" spans="1:5" x14ac:dyDescent="0.3">
      <c r="A54" s="2">
        <v>53</v>
      </c>
      <c r="B54" s="2" t="s">
        <v>269</v>
      </c>
      <c r="C54" s="2" t="s">
        <v>1034</v>
      </c>
      <c r="D54" s="2" t="s">
        <v>1035</v>
      </c>
      <c r="E54" s="4">
        <v>18000</v>
      </c>
    </row>
    <row r="55" spans="1:5" x14ac:dyDescent="0.3">
      <c r="A55" s="2">
        <v>54</v>
      </c>
      <c r="B55" s="2" t="s">
        <v>269</v>
      </c>
      <c r="C55" s="2" t="s">
        <v>1036</v>
      </c>
      <c r="D55" s="2" t="s">
        <v>1037</v>
      </c>
      <c r="E55" s="4">
        <v>7000</v>
      </c>
    </row>
    <row r="56" spans="1:5" x14ac:dyDescent="0.3">
      <c r="A56" s="2">
        <v>55</v>
      </c>
      <c r="B56" s="2" t="s">
        <v>269</v>
      </c>
      <c r="C56" s="2" t="s">
        <v>1038</v>
      </c>
      <c r="D56" s="2" t="s">
        <v>1039</v>
      </c>
      <c r="E56" s="4">
        <v>4000</v>
      </c>
    </row>
    <row r="57" spans="1:5" x14ac:dyDescent="0.3">
      <c r="A57" s="2">
        <v>56</v>
      </c>
      <c r="B57" s="2" t="s">
        <v>269</v>
      </c>
      <c r="C57" s="2" t="s">
        <v>964</v>
      </c>
      <c r="D57" s="2" t="s">
        <v>1027</v>
      </c>
      <c r="E57" s="4">
        <v>2000</v>
      </c>
    </row>
    <row r="58" spans="1:5" x14ac:dyDescent="0.3">
      <c r="A58" s="2">
        <v>57</v>
      </c>
      <c r="B58" s="2" t="s">
        <v>274</v>
      </c>
      <c r="C58" s="2" t="s">
        <v>1040</v>
      </c>
      <c r="D58" s="2" t="s">
        <v>1041</v>
      </c>
      <c r="E58" s="4">
        <v>6000</v>
      </c>
    </row>
    <row r="59" spans="1:5" x14ac:dyDescent="0.3">
      <c r="A59" s="2">
        <v>58</v>
      </c>
      <c r="B59" s="2" t="s">
        <v>274</v>
      </c>
      <c r="C59" s="2" t="s">
        <v>1042</v>
      </c>
      <c r="D59" s="2" t="s">
        <v>1043</v>
      </c>
      <c r="E59" s="4">
        <v>4000</v>
      </c>
    </row>
    <row r="60" spans="1:5" x14ac:dyDescent="0.3">
      <c r="A60" s="2">
        <v>59</v>
      </c>
      <c r="B60" s="2" t="s">
        <v>274</v>
      </c>
      <c r="C60" s="2" t="s">
        <v>1044</v>
      </c>
      <c r="D60" s="2" t="s">
        <v>1045</v>
      </c>
      <c r="E60" s="4">
        <v>4000</v>
      </c>
    </row>
    <row r="61" spans="1:5" x14ac:dyDescent="0.3">
      <c r="A61" s="2">
        <v>60</v>
      </c>
      <c r="B61" s="2" t="s">
        <v>274</v>
      </c>
      <c r="C61" s="2" t="s">
        <v>1046</v>
      </c>
      <c r="D61" s="2" t="s">
        <v>1047</v>
      </c>
      <c r="E61" s="4">
        <v>4000</v>
      </c>
    </row>
    <row r="62" spans="1:5" x14ac:dyDescent="0.3">
      <c r="A62" s="2">
        <v>61</v>
      </c>
      <c r="B62" s="2" t="s">
        <v>274</v>
      </c>
      <c r="C62" s="2" t="s">
        <v>1048</v>
      </c>
      <c r="D62" s="2" t="s">
        <v>1049</v>
      </c>
      <c r="E62" s="4">
        <v>4000</v>
      </c>
    </row>
    <row r="63" spans="1:5" x14ac:dyDescent="0.3">
      <c r="A63" s="2">
        <v>62</v>
      </c>
      <c r="B63" s="2" t="s">
        <v>279</v>
      </c>
      <c r="C63" s="2" t="s">
        <v>967</v>
      </c>
      <c r="D63" s="2" t="s">
        <v>968</v>
      </c>
      <c r="E63" s="4">
        <v>20000</v>
      </c>
    </row>
    <row r="64" spans="1:5" x14ac:dyDescent="0.3">
      <c r="A64" s="2">
        <v>63</v>
      </c>
      <c r="B64" s="2" t="s">
        <v>279</v>
      </c>
      <c r="C64" s="2" t="s">
        <v>969</v>
      </c>
      <c r="D64" s="2" t="s">
        <v>970</v>
      </c>
      <c r="E64" s="4">
        <v>12000</v>
      </c>
    </row>
    <row r="65" spans="1:5" x14ac:dyDescent="0.3">
      <c r="A65" s="2">
        <v>64</v>
      </c>
      <c r="B65" s="2" t="s">
        <v>279</v>
      </c>
      <c r="C65" s="2" t="s">
        <v>971</v>
      </c>
      <c r="D65" s="2" t="s">
        <v>972</v>
      </c>
      <c r="E65" s="4">
        <v>30000</v>
      </c>
    </row>
    <row r="66" spans="1:5" x14ac:dyDescent="0.3">
      <c r="A66" s="2">
        <v>65</v>
      </c>
      <c r="B66" s="2" t="s">
        <v>279</v>
      </c>
      <c r="C66" s="2" t="s">
        <v>973</v>
      </c>
      <c r="D66" s="2" t="s">
        <v>974</v>
      </c>
      <c r="E66" s="4">
        <v>15000</v>
      </c>
    </row>
    <row r="67" spans="1:5" x14ac:dyDescent="0.3">
      <c r="A67" s="2">
        <v>66</v>
      </c>
      <c r="B67" s="2" t="s">
        <v>279</v>
      </c>
      <c r="C67" s="2" t="s">
        <v>1050</v>
      </c>
      <c r="D67" s="2" t="s">
        <v>1051</v>
      </c>
      <c r="E67" s="4">
        <v>6000</v>
      </c>
    </row>
    <row r="68" spans="1:5" x14ac:dyDescent="0.3">
      <c r="A68" s="2">
        <v>67</v>
      </c>
      <c r="B68" s="2" t="s">
        <v>279</v>
      </c>
      <c r="C68" s="2" t="s">
        <v>1052</v>
      </c>
      <c r="D68" s="2" t="s">
        <v>1053</v>
      </c>
      <c r="E68" s="4">
        <v>18000</v>
      </c>
    </row>
    <row r="69" spans="1:5" x14ac:dyDescent="0.3">
      <c r="A69" s="2">
        <v>68</v>
      </c>
      <c r="B69" s="2" t="s">
        <v>279</v>
      </c>
      <c r="C69" s="2" t="s">
        <v>966</v>
      </c>
      <c r="D69" s="2" t="s">
        <v>1027</v>
      </c>
      <c r="E69" s="4">
        <v>2000</v>
      </c>
    </row>
    <row r="70" spans="1:5" x14ac:dyDescent="0.3">
      <c r="A70" s="2">
        <v>69</v>
      </c>
      <c r="B70" s="2" t="s">
        <v>284</v>
      </c>
      <c r="C70" s="2" t="s">
        <v>1028</v>
      </c>
      <c r="D70" s="2" t="s">
        <v>1029</v>
      </c>
      <c r="E70" s="4">
        <v>7000</v>
      </c>
    </row>
    <row r="71" spans="1:5" x14ac:dyDescent="0.3">
      <c r="A71" s="2">
        <v>70</v>
      </c>
      <c r="B71" s="2" t="s">
        <v>284</v>
      </c>
      <c r="C71" s="2" t="s">
        <v>1030</v>
      </c>
      <c r="D71" s="2" t="s">
        <v>1031</v>
      </c>
      <c r="E71" s="4">
        <v>8000</v>
      </c>
    </row>
    <row r="72" spans="1:5" x14ac:dyDescent="0.3">
      <c r="A72" s="2">
        <v>71</v>
      </c>
      <c r="B72" s="2" t="s">
        <v>284</v>
      </c>
      <c r="C72" s="2" t="s">
        <v>1036</v>
      </c>
      <c r="D72" s="2" t="s">
        <v>1037</v>
      </c>
      <c r="E72" s="4">
        <v>10000</v>
      </c>
    </row>
    <row r="73" spans="1:5" x14ac:dyDescent="0.3">
      <c r="A73" s="2">
        <v>72</v>
      </c>
      <c r="B73" s="2" t="s">
        <v>284</v>
      </c>
      <c r="C73" s="2" t="s">
        <v>1038</v>
      </c>
      <c r="D73" s="2" t="s">
        <v>1039</v>
      </c>
      <c r="E73" s="4">
        <v>4000</v>
      </c>
    </row>
    <row r="74" spans="1:5" x14ac:dyDescent="0.3">
      <c r="A74" s="2">
        <v>73</v>
      </c>
      <c r="B74" s="2" t="s">
        <v>284</v>
      </c>
      <c r="C74" s="2" t="s">
        <v>964</v>
      </c>
      <c r="D74" s="2" t="s">
        <v>1027</v>
      </c>
      <c r="E74" s="4">
        <v>2000</v>
      </c>
    </row>
    <row r="75" spans="1:5" x14ac:dyDescent="0.3">
      <c r="A75" s="2">
        <v>74</v>
      </c>
      <c r="B75" s="2" t="s">
        <v>289</v>
      </c>
      <c r="C75" s="2" t="s">
        <v>993</v>
      </c>
      <c r="D75" s="2" t="s">
        <v>1054</v>
      </c>
      <c r="E75" s="4">
        <v>5000</v>
      </c>
    </row>
    <row r="76" spans="1:5" x14ac:dyDescent="0.3">
      <c r="A76" s="2">
        <v>75</v>
      </c>
      <c r="B76" s="2" t="s">
        <v>289</v>
      </c>
      <c r="C76" s="2" t="s">
        <v>995</v>
      </c>
      <c r="D76" s="2" t="s">
        <v>996</v>
      </c>
      <c r="E76" s="4">
        <v>6000</v>
      </c>
    </row>
    <row r="77" spans="1:5" x14ac:dyDescent="0.3">
      <c r="A77" s="2">
        <v>76</v>
      </c>
      <c r="B77" s="2" t="s">
        <v>289</v>
      </c>
      <c r="C77" s="2" t="s">
        <v>997</v>
      </c>
      <c r="D77" s="2" t="s">
        <v>1055</v>
      </c>
      <c r="E77" s="4">
        <v>5500</v>
      </c>
    </row>
    <row r="78" spans="1:5" x14ac:dyDescent="0.3">
      <c r="A78" s="2">
        <v>77</v>
      </c>
      <c r="B78" s="2" t="s">
        <v>289</v>
      </c>
      <c r="C78" s="2" t="s">
        <v>999</v>
      </c>
      <c r="D78" s="2" t="s">
        <v>1000</v>
      </c>
      <c r="E78" s="4">
        <v>6000</v>
      </c>
    </row>
    <row r="79" spans="1:5" x14ac:dyDescent="0.3">
      <c r="A79" s="2">
        <v>78</v>
      </c>
      <c r="B79" s="2" t="s">
        <v>289</v>
      </c>
      <c r="C79" s="2" t="s">
        <v>1001</v>
      </c>
      <c r="D79" s="2" t="s">
        <v>1002</v>
      </c>
      <c r="E79" s="4">
        <v>4500</v>
      </c>
    </row>
    <row r="80" spans="1:5" x14ac:dyDescent="0.3">
      <c r="A80" s="2">
        <v>79</v>
      </c>
      <c r="B80" s="2" t="s">
        <v>289</v>
      </c>
      <c r="C80" s="2" t="s">
        <v>1003</v>
      </c>
      <c r="D80" s="2" t="s">
        <v>1056</v>
      </c>
      <c r="E80" s="4">
        <v>4000</v>
      </c>
    </row>
    <row r="81" spans="1:5" x14ac:dyDescent="0.3">
      <c r="A81" s="2">
        <v>80</v>
      </c>
      <c r="B81" s="2" t="s">
        <v>289</v>
      </c>
      <c r="C81" s="2" t="s">
        <v>1005</v>
      </c>
      <c r="D81" s="2" t="s">
        <v>1006</v>
      </c>
      <c r="E81" s="4">
        <v>3000</v>
      </c>
    </row>
    <row r="82" spans="1:5" x14ac:dyDescent="0.3">
      <c r="A82" s="2">
        <v>81</v>
      </c>
      <c r="B82" s="2" t="s">
        <v>289</v>
      </c>
      <c r="C82" s="2" t="s">
        <v>1007</v>
      </c>
      <c r="D82" s="2" t="s">
        <v>1008</v>
      </c>
      <c r="E82" s="4">
        <v>2500</v>
      </c>
    </row>
    <row r="83" spans="1:5" x14ac:dyDescent="0.3">
      <c r="A83" s="2">
        <v>82</v>
      </c>
      <c r="B83" s="2" t="s">
        <v>289</v>
      </c>
      <c r="C83" s="2" t="s">
        <v>1009</v>
      </c>
      <c r="D83" s="2" t="s">
        <v>1010</v>
      </c>
      <c r="E83" s="4">
        <v>8000</v>
      </c>
    </row>
    <row r="84" spans="1:5" x14ac:dyDescent="0.3">
      <c r="A84" s="2">
        <v>83</v>
      </c>
      <c r="B84" s="2" t="s">
        <v>289</v>
      </c>
      <c r="C84" s="2" t="s">
        <v>1057</v>
      </c>
      <c r="D84" s="2" t="s">
        <v>1058</v>
      </c>
      <c r="E84" s="4">
        <v>9000</v>
      </c>
    </row>
    <row r="85" spans="1:5" x14ac:dyDescent="0.3">
      <c r="A85" s="2">
        <v>84</v>
      </c>
      <c r="B85" s="2" t="s">
        <v>289</v>
      </c>
      <c r="C85" s="2" t="s">
        <v>1011</v>
      </c>
      <c r="D85" s="2" t="s">
        <v>1012</v>
      </c>
      <c r="E85" s="4">
        <v>8000</v>
      </c>
    </row>
    <row r="86" spans="1:5" x14ac:dyDescent="0.3">
      <c r="A86" s="2">
        <v>85</v>
      </c>
      <c r="B86" s="2" t="s">
        <v>289</v>
      </c>
      <c r="C86" s="2" t="s">
        <v>1013</v>
      </c>
      <c r="D86" s="2" t="s">
        <v>1014</v>
      </c>
      <c r="E86" s="4">
        <v>6000</v>
      </c>
    </row>
    <row r="87" spans="1:5" x14ac:dyDescent="0.3">
      <c r="A87" s="2">
        <v>86</v>
      </c>
      <c r="B87" s="2" t="s">
        <v>289</v>
      </c>
      <c r="C87" s="2" t="s">
        <v>964</v>
      </c>
      <c r="D87" s="2" t="s">
        <v>1027</v>
      </c>
      <c r="E87" s="4">
        <v>1500</v>
      </c>
    </row>
    <row r="88" spans="1:5" x14ac:dyDescent="0.3">
      <c r="A88" s="2">
        <v>87</v>
      </c>
      <c r="B88" s="2" t="s">
        <v>294</v>
      </c>
      <c r="C88" s="2" t="s">
        <v>1040</v>
      </c>
      <c r="D88" s="2" t="s">
        <v>1041</v>
      </c>
      <c r="E88" s="4">
        <v>4500</v>
      </c>
    </row>
    <row r="89" spans="1:5" x14ac:dyDescent="0.3">
      <c r="A89" s="2">
        <v>88</v>
      </c>
      <c r="B89" s="2" t="s">
        <v>294</v>
      </c>
      <c r="C89" s="2" t="s">
        <v>1042</v>
      </c>
      <c r="D89" s="2" t="s">
        <v>1043</v>
      </c>
      <c r="E89" s="4">
        <v>3000</v>
      </c>
    </row>
    <row r="90" spans="1:5" x14ac:dyDescent="0.3">
      <c r="A90" s="2">
        <v>89</v>
      </c>
      <c r="B90" s="2" t="s">
        <v>294</v>
      </c>
      <c r="C90" s="2" t="s">
        <v>1044</v>
      </c>
      <c r="D90" s="2" t="s">
        <v>1045</v>
      </c>
      <c r="E90" s="4">
        <v>2000</v>
      </c>
    </row>
    <row r="91" spans="1:5" x14ac:dyDescent="0.3">
      <c r="A91" s="2">
        <v>90</v>
      </c>
      <c r="B91" s="2" t="s">
        <v>294</v>
      </c>
      <c r="C91" s="2" t="s">
        <v>1059</v>
      </c>
      <c r="D91" s="2" t="s">
        <v>1060</v>
      </c>
      <c r="E91" s="2">
        <v>500</v>
      </c>
    </row>
    <row r="92" spans="1:5" x14ac:dyDescent="0.3">
      <c r="A92" s="2">
        <v>91</v>
      </c>
      <c r="B92" s="2" t="s">
        <v>294</v>
      </c>
      <c r="C92" s="2" t="s">
        <v>1046</v>
      </c>
      <c r="D92" s="2" t="s">
        <v>1047</v>
      </c>
      <c r="E92" s="2">
        <v>700</v>
      </c>
    </row>
    <row r="93" spans="1:5" x14ac:dyDescent="0.3">
      <c r="A93" s="2">
        <v>92</v>
      </c>
      <c r="B93" s="2" t="s">
        <v>294</v>
      </c>
      <c r="C93" s="2" t="s">
        <v>1048</v>
      </c>
      <c r="D93" s="2" t="s">
        <v>1049</v>
      </c>
      <c r="E93" s="2">
        <v>700</v>
      </c>
    </row>
    <row r="94" spans="1:5" x14ac:dyDescent="0.3">
      <c r="A94" s="2">
        <v>93</v>
      </c>
      <c r="B94" s="2" t="s">
        <v>294</v>
      </c>
      <c r="C94" s="2" t="s">
        <v>1061</v>
      </c>
      <c r="D94" s="2" t="s">
        <v>1062</v>
      </c>
      <c r="E94" s="4">
        <v>2500</v>
      </c>
    </row>
    <row r="95" spans="1:5" x14ac:dyDescent="0.3">
      <c r="A95" s="2">
        <v>94</v>
      </c>
      <c r="B95" s="2" t="s">
        <v>294</v>
      </c>
      <c r="C95" s="2" t="s">
        <v>1063</v>
      </c>
      <c r="D95" s="2" t="s">
        <v>1064</v>
      </c>
      <c r="E95" s="4">
        <v>3500</v>
      </c>
    </row>
    <row r="96" spans="1:5" x14ac:dyDescent="0.3">
      <c r="A96" s="2">
        <v>95</v>
      </c>
      <c r="B96" s="2" t="s">
        <v>294</v>
      </c>
      <c r="C96" s="2" t="s">
        <v>964</v>
      </c>
      <c r="D96" s="2" t="s">
        <v>1027</v>
      </c>
      <c r="E96" s="4">
        <v>1500</v>
      </c>
    </row>
    <row r="97" spans="1:5" x14ac:dyDescent="0.3">
      <c r="A97" s="2">
        <v>96</v>
      </c>
      <c r="B97" s="2" t="s">
        <v>294</v>
      </c>
      <c r="C97" s="2" t="s">
        <v>966</v>
      </c>
      <c r="D97" s="2" t="s">
        <v>1027</v>
      </c>
      <c r="E97" s="4">
        <v>1500</v>
      </c>
    </row>
    <row r="98" spans="1:5" x14ac:dyDescent="0.3">
      <c r="A98" s="2">
        <v>97</v>
      </c>
      <c r="B98" s="2" t="s">
        <v>299</v>
      </c>
      <c r="C98" s="2" t="s">
        <v>1028</v>
      </c>
      <c r="D98" s="2" t="s">
        <v>1029</v>
      </c>
      <c r="E98" s="4">
        <v>4000</v>
      </c>
    </row>
    <row r="99" spans="1:5" x14ac:dyDescent="0.3">
      <c r="A99" s="2">
        <v>98</v>
      </c>
      <c r="B99" s="2" t="s">
        <v>299</v>
      </c>
      <c r="C99" s="2" t="s">
        <v>1030</v>
      </c>
      <c r="D99" s="2" t="s">
        <v>1031</v>
      </c>
      <c r="E99" s="4">
        <v>5000</v>
      </c>
    </row>
    <row r="100" spans="1:5" x14ac:dyDescent="0.3">
      <c r="A100" s="2">
        <v>99</v>
      </c>
      <c r="B100" s="2" t="s">
        <v>299</v>
      </c>
      <c r="C100" s="2" t="s">
        <v>1032</v>
      </c>
      <c r="D100" s="2" t="s">
        <v>1033</v>
      </c>
      <c r="E100" s="4">
        <v>5000</v>
      </c>
    </row>
    <row r="101" spans="1:5" x14ac:dyDescent="0.3">
      <c r="A101" s="2">
        <v>100</v>
      </c>
      <c r="B101" s="2" t="s">
        <v>299</v>
      </c>
      <c r="C101" s="2" t="s">
        <v>1034</v>
      </c>
      <c r="D101" s="2" t="s">
        <v>1035</v>
      </c>
      <c r="E101" s="4">
        <v>6000</v>
      </c>
    </row>
    <row r="102" spans="1:5" x14ac:dyDescent="0.3">
      <c r="A102" s="2">
        <v>101</v>
      </c>
      <c r="B102" s="2" t="s">
        <v>299</v>
      </c>
      <c r="C102" s="2" t="s">
        <v>1036</v>
      </c>
      <c r="D102" s="2" t="s">
        <v>1037</v>
      </c>
      <c r="E102" s="4">
        <v>5000</v>
      </c>
    </row>
    <row r="103" spans="1:5" x14ac:dyDescent="0.3">
      <c r="A103" s="2">
        <v>102</v>
      </c>
      <c r="B103" s="2" t="s">
        <v>299</v>
      </c>
      <c r="C103" s="2" t="s">
        <v>1038</v>
      </c>
      <c r="D103" s="2" t="s">
        <v>1039</v>
      </c>
      <c r="E103" s="4">
        <v>2000</v>
      </c>
    </row>
    <row r="104" spans="1:5" x14ac:dyDescent="0.3">
      <c r="A104" s="2">
        <v>103</v>
      </c>
      <c r="B104" s="2" t="s">
        <v>299</v>
      </c>
      <c r="C104" s="2" t="s">
        <v>1065</v>
      </c>
      <c r="D104" s="2" t="s">
        <v>1066</v>
      </c>
      <c r="E104" s="4">
        <v>4000</v>
      </c>
    </row>
    <row r="105" spans="1:5" x14ac:dyDescent="0.3">
      <c r="A105" s="2">
        <v>104</v>
      </c>
      <c r="B105" s="2" t="s">
        <v>299</v>
      </c>
      <c r="C105" s="2" t="s">
        <v>1067</v>
      </c>
      <c r="D105" s="2" t="s">
        <v>1068</v>
      </c>
      <c r="E105" s="4">
        <v>6500</v>
      </c>
    </row>
    <row r="106" spans="1:5" x14ac:dyDescent="0.3">
      <c r="A106" s="2">
        <v>105</v>
      </c>
      <c r="B106" s="2" t="s">
        <v>299</v>
      </c>
      <c r="C106" s="2" t="s">
        <v>1069</v>
      </c>
      <c r="D106" s="2" t="s">
        <v>1070</v>
      </c>
      <c r="E106" s="4">
        <v>8000</v>
      </c>
    </row>
    <row r="107" spans="1:5" x14ac:dyDescent="0.3">
      <c r="A107" s="2">
        <v>106</v>
      </c>
      <c r="B107" s="2" t="s">
        <v>304</v>
      </c>
      <c r="C107" s="2" t="s">
        <v>1040</v>
      </c>
      <c r="D107" s="2" t="s">
        <v>1041</v>
      </c>
      <c r="E107" s="4">
        <v>4500</v>
      </c>
    </row>
    <row r="108" spans="1:5" x14ac:dyDescent="0.3">
      <c r="A108" s="2">
        <v>107</v>
      </c>
      <c r="B108" s="2" t="s">
        <v>304</v>
      </c>
      <c r="C108" s="2" t="s">
        <v>1042</v>
      </c>
      <c r="D108" s="2" t="s">
        <v>1043</v>
      </c>
      <c r="E108" s="4">
        <v>3000</v>
      </c>
    </row>
    <row r="109" spans="1:5" x14ac:dyDescent="0.3">
      <c r="A109" s="2">
        <v>108</v>
      </c>
      <c r="B109" s="2" t="s">
        <v>304</v>
      </c>
      <c r="C109" s="2" t="s">
        <v>1044</v>
      </c>
      <c r="D109" s="2" t="s">
        <v>1045</v>
      </c>
      <c r="E109" s="4">
        <v>2000</v>
      </c>
    </row>
    <row r="110" spans="1:5" x14ac:dyDescent="0.3">
      <c r="A110" s="2">
        <v>109</v>
      </c>
      <c r="B110" s="2" t="s">
        <v>304</v>
      </c>
      <c r="C110" s="2" t="s">
        <v>1059</v>
      </c>
      <c r="D110" s="2" t="s">
        <v>1071</v>
      </c>
      <c r="E110" s="2">
        <v>500</v>
      </c>
    </row>
    <row r="111" spans="1:5" x14ac:dyDescent="0.3">
      <c r="A111" s="2">
        <v>110</v>
      </c>
      <c r="B111" s="2" t="s">
        <v>304</v>
      </c>
      <c r="C111" s="2" t="s">
        <v>1046</v>
      </c>
      <c r="D111" s="2" t="s">
        <v>1047</v>
      </c>
      <c r="E111" s="2">
        <v>700</v>
      </c>
    </row>
    <row r="112" spans="1:5" x14ac:dyDescent="0.3">
      <c r="A112" s="2">
        <v>111</v>
      </c>
      <c r="B112" s="2" t="s">
        <v>304</v>
      </c>
      <c r="C112" s="2" t="s">
        <v>1048</v>
      </c>
      <c r="D112" s="2" t="s">
        <v>1072</v>
      </c>
      <c r="E112" s="2">
        <v>700</v>
      </c>
    </row>
    <row r="113" spans="1:5" x14ac:dyDescent="0.3">
      <c r="A113" s="2">
        <v>112</v>
      </c>
      <c r="B113" s="2" t="s">
        <v>304</v>
      </c>
      <c r="C113" s="2" t="s">
        <v>1061</v>
      </c>
      <c r="D113" s="2" t="s">
        <v>1062</v>
      </c>
      <c r="E113" s="4">
        <v>2500</v>
      </c>
    </row>
    <row r="114" spans="1:5" x14ac:dyDescent="0.3">
      <c r="A114" s="2">
        <v>113</v>
      </c>
      <c r="B114" s="2" t="s">
        <v>304</v>
      </c>
      <c r="C114" s="2" t="s">
        <v>1063</v>
      </c>
      <c r="D114" s="2" t="s">
        <v>1064</v>
      </c>
      <c r="E114" s="4">
        <v>3500</v>
      </c>
    </row>
    <row r="115" spans="1:5" x14ac:dyDescent="0.3">
      <c r="A115" s="2">
        <v>114</v>
      </c>
      <c r="B115" s="2" t="s">
        <v>309</v>
      </c>
      <c r="C115" s="2" t="s">
        <v>946</v>
      </c>
      <c r="D115" s="2" t="s">
        <v>947</v>
      </c>
      <c r="E115" s="4">
        <v>15000</v>
      </c>
    </row>
    <row r="116" spans="1:5" x14ac:dyDescent="0.3">
      <c r="A116" s="2">
        <v>115</v>
      </c>
      <c r="B116" s="2" t="s">
        <v>309</v>
      </c>
      <c r="C116" s="2" t="s">
        <v>948</v>
      </c>
      <c r="D116" s="2" t="s">
        <v>1073</v>
      </c>
      <c r="E116" s="4">
        <v>5000</v>
      </c>
    </row>
    <row r="117" spans="1:5" x14ac:dyDescent="0.3">
      <c r="A117" s="2">
        <v>116</v>
      </c>
      <c r="B117" s="2" t="s">
        <v>309</v>
      </c>
      <c r="C117" s="2" t="s">
        <v>950</v>
      </c>
      <c r="D117" s="2" t="s">
        <v>1074</v>
      </c>
      <c r="E117" s="4">
        <v>4000</v>
      </c>
    </row>
    <row r="118" spans="1:5" x14ac:dyDescent="0.3">
      <c r="A118" s="2">
        <v>117</v>
      </c>
      <c r="B118" s="2" t="s">
        <v>309</v>
      </c>
      <c r="C118" s="2" t="s">
        <v>952</v>
      </c>
      <c r="D118" s="2" t="s">
        <v>953</v>
      </c>
      <c r="E118" s="4">
        <v>17000</v>
      </c>
    </row>
    <row r="119" spans="1:5" x14ac:dyDescent="0.3">
      <c r="A119" s="2">
        <v>118</v>
      </c>
      <c r="B119" s="2" t="s">
        <v>309</v>
      </c>
      <c r="C119" s="2" t="s">
        <v>954</v>
      </c>
      <c r="D119" s="2" t="s">
        <v>955</v>
      </c>
      <c r="E119" s="4">
        <v>11000</v>
      </c>
    </row>
    <row r="120" spans="1:5" x14ac:dyDescent="0.3">
      <c r="A120" s="2">
        <v>119</v>
      </c>
      <c r="B120" s="2" t="s">
        <v>309</v>
      </c>
      <c r="C120" s="2" t="s">
        <v>956</v>
      </c>
      <c r="D120" s="2" t="s">
        <v>1075</v>
      </c>
      <c r="E120" s="4">
        <v>6000</v>
      </c>
    </row>
    <row r="121" spans="1:5" x14ac:dyDescent="0.3">
      <c r="A121" s="2">
        <v>120</v>
      </c>
      <c r="B121" s="2" t="s">
        <v>309</v>
      </c>
      <c r="C121" s="2" t="s">
        <v>958</v>
      </c>
      <c r="D121" s="2" t="s">
        <v>959</v>
      </c>
      <c r="E121" s="4">
        <v>4500</v>
      </c>
    </row>
    <row r="122" spans="1:5" x14ac:dyDescent="0.3">
      <c r="A122" s="2">
        <v>121</v>
      </c>
      <c r="B122" s="2" t="s">
        <v>309</v>
      </c>
      <c r="C122" s="2" t="s">
        <v>960</v>
      </c>
      <c r="D122" s="2" t="s">
        <v>961</v>
      </c>
      <c r="E122" s="4">
        <v>8500</v>
      </c>
    </row>
    <row r="123" spans="1:5" x14ac:dyDescent="0.3">
      <c r="A123" s="2">
        <v>122</v>
      </c>
      <c r="B123" s="2" t="s">
        <v>309</v>
      </c>
      <c r="C123" s="2" t="s">
        <v>962</v>
      </c>
      <c r="D123" s="2" t="s">
        <v>963</v>
      </c>
      <c r="E123" s="4">
        <v>2000</v>
      </c>
    </row>
    <row r="124" spans="1:5" x14ac:dyDescent="0.3">
      <c r="A124" s="2">
        <v>123</v>
      </c>
      <c r="B124" s="2" t="s">
        <v>314</v>
      </c>
      <c r="C124" s="2" t="s">
        <v>1076</v>
      </c>
      <c r="D124" s="2" t="s">
        <v>1077</v>
      </c>
      <c r="E124" s="4">
        <v>10000</v>
      </c>
    </row>
    <row r="125" spans="1:5" x14ac:dyDescent="0.3">
      <c r="A125" s="2">
        <v>124</v>
      </c>
      <c r="B125" s="2" t="s">
        <v>314</v>
      </c>
      <c r="C125" s="2" t="s">
        <v>1078</v>
      </c>
      <c r="D125" s="2" t="s">
        <v>1079</v>
      </c>
      <c r="E125" s="4">
        <v>10500</v>
      </c>
    </row>
    <row r="126" spans="1:5" x14ac:dyDescent="0.3">
      <c r="A126" s="2">
        <v>125</v>
      </c>
      <c r="B126" s="2" t="s">
        <v>314</v>
      </c>
      <c r="C126" s="2" t="s">
        <v>1080</v>
      </c>
      <c r="D126" s="2" t="s">
        <v>1081</v>
      </c>
      <c r="E126" s="4">
        <v>11000</v>
      </c>
    </row>
    <row r="127" spans="1:5" x14ac:dyDescent="0.3">
      <c r="A127" s="2">
        <v>126</v>
      </c>
      <c r="B127" s="2" t="s">
        <v>314</v>
      </c>
      <c r="C127" s="2" t="s">
        <v>1082</v>
      </c>
      <c r="D127" s="2" t="s">
        <v>1083</v>
      </c>
      <c r="E127" s="4">
        <v>11000</v>
      </c>
    </row>
    <row r="128" spans="1:5" x14ac:dyDescent="0.3">
      <c r="A128" s="2">
        <v>127</v>
      </c>
      <c r="B128" s="2" t="s">
        <v>314</v>
      </c>
      <c r="C128" s="2" t="s">
        <v>1084</v>
      </c>
      <c r="D128" s="2" t="s">
        <v>1085</v>
      </c>
      <c r="E128" s="4">
        <v>12000</v>
      </c>
    </row>
    <row r="129" spans="1:5" x14ac:dyDescent="0.3">
      <c r="A129" s="2">
        <v>128</v>
      </c>
      <c r="B129" s="2" t="s">
        <v>314</v>
      </c>
      <c r="C129" s="2" t="s">
        <v>1086</v>
      </c>
      <c r="D129" s="2" t="s">
        <v>1087</v>
      </c>
      <c r="E129" s="4">
        <v>12000</v>
      </c>
    </row>
    <row r="130" spans="1:5" x14ac:dyDescent="0.3">
      <c r="A130" s="2">
        <v>129</v>
      </c>
      <c r="B130" s="2" t="s">
        <v>314</v>
      </c>
      <c r="C130" s="2" t="s">
        <v>1088</v>
      </c>
      <c r="D130" s="2" t="s">
        <v>1089</v>
      </c>
      <c r="E130" s="4">
        <v>11000</v>
      </c>
    </row>
    <row r="131" spans="1:5" x14ac:dyDescent="0.3">
      <c r="A131" s="2">
        <v>130</v>
      </c>
      <c r="B131" s="2" t="s">
        <v>319</v>
      </c>
      <c r="C131" s="2" t="s">
        <v>993</v>
      </c>
      <c r="D131" s="2" t="s">
        <v>994</v>
      </c>
      <c r="E131" s="4">
        <v>5000</v>
      </c>
    </row>
    <row r="132" spans="1:5" x14ac:dyDescent="0.3">
      <c r="A132" s="2">
        <v>131</v>
      </c>
      <c r="B132" s="2" t="s">
        <v>319</v>
      </c>
      <c r="C132" s="2" t="s">
        <v>995</v>
      </c>
      <c r="D132" s="2" t="s">
        <v>1090</v>
      </c>
      <c r="E132" s="4">
        <v>6000</v>
      </c>
    </row>
    <row r="133" spans="1:5" x14ac:dyDescent="0.3">
      <c r="A133" s="2">
        <v>132</v>
      </c>
      <c r="B133" s="2" t="s">
        <v>319</v>
      </c>
      <c r="C133" s="2" t="s">
        <v>997</v>
      </c>
      <c r="D133" s="2" t="s">
        <v>998</v>
      </c>
      <c r="E133" s="4">
        <v>5500</v>
      </c>
    </row>
    <row r="134" spans="1:5" x14ac:dyDescent="0.3">
      <c r="A134" s="2">
        <v>133</v>
      </c>
      <c r="B134" s="2" t="s">
        <v>319</v>
      </c>
      <c r="C134" s="2" t="s">
        <v>999</v>
      </c>
      <c r="D134" s="2" t="s">
        <v>1000</v>
      </c>
      <c r="E134" s="4">
        <v>6000</v>
      </c>
    </row>
    <row r="135" spans="1:5" x14ac:dyDescent="0.3">
      <c r="A135" s="2">
        <v>134</v>
      </c>
      <c r="B135" s="2" t="s">
        <v>319</v>
      </c>
      <c r="C135" s="2" t="s">
        <v>1001</v>
      </c>
      <c r="D135" s="2" t="s">
        <v>1091</v>
      </c>
      <c r="E135" s="4">
        <v>4500</v>
      </c>
    </row>
    <row r="136" spans="1:5" x14ac:dyDescent="0.3">
      <c r="A136" s="2">
        <v>135</v>
      </c>
      <c r="B136" s="2" t="s">
        <v>319</v>
      </c>
      <c r="C136" s="2" t="s">
        <v>1003</v>
      </c>
      <c r="D136" s="2" t="s">
        <v>1004</v>
      </c>
      <c r="E136" s="4">
        <v>4000</v>
      </c>
    </row>
    <row r="137" spans="1:5" x14ac:dyDescent="0.3">
      <c r="A137" s="2">
        <v>136</v>
      </c>
      <c r="B137" s="2" t="s">
        <v>319</v>
      </c>
      <c r="C137" s="2" t="s">
        <v>1005</v>
      </c>
      <c r="D137" s="2" t="s">
        <v>1006</v>
      </c>
      <c r="E137" s="4">
        <v>3000</v>
      </c>
    </row>
    <row r="138" spans="1:5" x14ac:dyDescent="0.3">
      <c r="A138" s="2">
        <v>137</v>
      </c>
      <c r="B138" s="2" t="s">
        <v>319</v>
      </c>
      <c r="C138" s="2" t="s">
        <v>1007</v>
      </c>
      <c r="D138" s="2" t="s">
        <v>1008</v>
      </c>
      <c r="E138" s="4">
        <v>2500</v>
      </c>
    </row>
    <row r="139" spans="1:5" x14ac:dyDescent="0.3">
      <c r="A139" s="2">
        <v>138</v>
      </c>
      <c r="B139" s="2" t="s">
        <v>319</v>
      </c>
      <c r="C139" s="2" t="s">
        <v>1009</v>
      </c>
      <c r="D139" s="2" t="s">
        <v>1010</v>
      </c>
      <c r="E139" s="4">
        <v>8000</v>
      </c>
    </row>
    <row r="140" spans="1:5" x14ac:dyDescent="0.3">
      <c r="A140" s="2">
        <v>139</v>
      </c>
      <c r="B140" s="2" t="s">
        <v>319</v>
      </c>
      <c r="C140" s="2" t="s">
        <v>1057</v>
      </c>
      <c r="D140" s="2" t="s">
        <v>1058</v>
      </c>
      <c r="E140" s="4">
        <v>9000</v>
      </c>
    </row>
    <row r="141" spans="1:5" x14ac:dyDescent="0.3">
      <c r="A141" s="2">
        <v>140</v>
      </c>
      <c r="B141" s="2" t="s">
        <v>319</v>
      </c>
      <c r="C141" s="2" t="s">
        <v>1011</v>
      </c>
      <c r="D141" s="2" t="s">
        <v>1012</v>
      </c>
      <c r="E141" s="4">
        <v>8000</v>
      </c>
    </row>
    <row r="142" spans="1:5" x14ac:dyDescent="0.3">
      <c r="A142" s="2">
        <v>141</v>
      </c>
      <c r="B142" s="2" t="s">
        <v>319</v>
      </c>
      <c r="C142" s="2" t="s">
        <v>1013</v>
      </c>
      <c r="D142" s="2" t="s">
        <v>1014</v>
      </c>
      <c r="E142" s="4">
        <v>6000</v>
      </c>
    </row>
    <row r="143" spans="1:5" x14ac:dyDescent="0.3">
      <c r="A143" s="2">
        <v>142</v>
      </c>
      <c r="B143" s="2" t="s">
        <v>319</v>
      </c>
      <c r="C143" s="2" t="s">
        <v>966</v>
      </c>
      <c r="D143" s="2" t="s">
        <v>1027</v>
      </c>
      <c r="E143" s="4">
        <v>1500</v>
      </c>
    </row>
    <row r="144" spans="1:5" x14ac:dyDescent="0.3">
      <c r="A144" s="2">
        <v>143</v>
      </c>
      <c r="B144" s="2" t="s">
        <v>324</v>
      </c>
      <c r="C144" s="2" t="s">
        <v>1028</v>
      </c>
      <c r="D144" s="2" t="s">
        <v>1029</v>
      </c>
      <c r="E144" s="4">
        <v>4000</v>
      </c>
    </row>
    <row r="145" spans="1:5" x14ac:dyDescent="0.3">
      <c r="A145" s="2">
        <v>144</v>
      </c>
      <c r="B145" s="2" t="s">
        <v>324</v>
      </c>
      <c r="C145" s="2" t="s">
        <v>1030</v>
      </c>
      <c r="D145" s="2" t="s">
        <v>1031</v>
      </c>
      <c r="E145" s="4">
        <v>5000</v>
      </c>
    </row>
    <row r="146" spans="1:5" x14ac:dyDescent="0.3">
      <c r="A146" s="2">
        <v>145</v>
      </c>
      <c r="B146" s="2" t="s">
        <v>324</v>
      </c>
      <c r="C146" s="2" t="s">
        <v>1032</v>
      </c>
      <c r="D146" s="2" t="s">
        <v>1033</v>
      </c>
      <c r="E146" s="4">
        <v>5000</v>
      </c>
    </row>
    <row r="147" spans="1:5" x14ac:dyDescent="0.3">
      <c r="A147" s="2">
        <v>146</v>
      </c>
      <c r="B147" s="2" t="s">
        <v>324</v>
      </c>
      <c r="C147" s="2" t="s">
        <v>1034</v>
      </c>
      <c r="D147" s="2" t="s">
        <v>1035</v>
      </c>
      <c r="E147" s="4">
        <v>6000</v>
      </c>
    </row>
    <row r="148" spans="1:5" x14ac:dyDescent="0.3">
      <c r="A148" s="2">
        <v>147</v>
      </c>
      <c r="B148" s="2" t="s">
        <v>324</v>
      </c>
      <c r="C148" s="2" t="s">
        <v>1036</v>
      </c>
      <c r="D148" s="2" t="s">
        <v>1037</v>
      </c>
      <c r="E148" s="4">
        <v>5000</v>
      </c>
    </row>
    <row r="149" spans="1:5" x14ac:dyDescent="0.3">
      <c r="A149" s="2">
        <v>148</v>
      </c>
      <c r="B149" s="2" t="s">
        <v>324</v>
      </c>
      <c r="C149" s="2" t="s">
        <v>1038</v>
      </c>
      <c r="D149" s="2" t="s">
        <v>1039</v>
      </c>
      <c r="E149" s="4">
        <v>2000</v>
      </c>
    </row>
    <row r="150" spans="1:5" x14ac:dyDescent="0.3">
      <c r="A150" s="2">
        <v>149</v>
      </c>
      <c r="B150" s="2" t="s">
        <v>324</v>
      </c>
      <c r="C150" s="2" t="s">
        <v>1065</v>
      </c>
      <c r="D150" s="2" t="s">
        <v>1066</v>
      </c>
      <c r="E150" s="4">
        <v>4000</v>
      </c>
    </row>
    <row r="151" spans="1:5" x14ac:dyDescent="0.3">
      <c r="A151" s="2">
        <v>150</v>
      </c>
      <c r="B151" s="2" t="s">
        <v>324</v>
      </c>
      <c r="C151" s="2" t="s">
        <v>1067</v>
      </c>
      <c r="D151" s="2" t="s">
        <v>1068</v>
      </c>
      <c r="E151" s="4">
        <v>6500</v>
      </c>
    </row>
    <row r="152" spans="1:5" x14ac:dyDescent="0.3">
      <c r="A152" s="2">
        <v>151</v>
      </c>
      <c r="B152" s="2" t="s">
        <v>324</v>
      </c>
      <c r="C152" s="2" t="s">
        <v>1069</v>
      </c>
      <c r="D152" s="2" t="s">
        <v>1070</v>
      </c>
      <c r="E152" s="4">
        <v>8000</v>
      </c>
    </row>
    <row r="153" spans="1:5" x14ac:dyDescent="0.3">
      <c r="A153" s="2">
        <v>152</v>
      </c>
      <c r="B153" s="2" t="s">
        <v>329</v>
      </c>
      <c r="C153" s="2" t="s">
        <v>1028</v>
      </c>
      <c r="D153" s="2" t="s">
        <v>1029</v>
      </c>
      <c r="E153" s="4">
        <v>4000</v>
      </c>
    </row>
    <row r="154" spans="1:5" x14ac:dyDescent="0.3">
      <c r="A154" s="2">
        <v>153</v>
      </c>
      <c r="B154" s="2" t="s">
        <v>329</v>
      </c>
      <c r="C154" s="2" t="s">
        <v>1030</v>
      </c>
      <c r="D154" s="2" t="s">
        <v>1031</v>
      </c>
      <c r="E154" s="4">
        <v>5000</v>
      </c>
    </row>
    <row r="155" spans="1:5" x14ac:dyDescent="0.3">
      <c r="A155" s="2">
        <v>154</v>
      </c>
      <c r="B155" s="2" t="s">
        <v>329</v>
      </c>
      <c r="C155" s="2" t="s">
        <v>1032</v>
      </c>
      <c r="D155" s="2" t="s">
        <v>1033</v>
      </c>
      <c r="E155" s="4">
        <v>5000</v>
      </c>
    </row>
    <row r="156" spans="1:5" x14ac:dyDescent="0.3">
      <c r="A156" s="2">
        <v>155</v>
      </c>
      <c r="B156" s="2" t="s">
        <v>329</v>
      </c>
      <c r="C156" s="2" t="s">
        <v>1034</v>
      </c>
      <c r="D156" s="2" t="s">
        <v>1035</v>
      </c>
      <c r="E156" s="4">
        <v>6000</v>
      </c>
    </row>
    <row r="157" spans="1:5" x14ac:dyDescent="0.3">
      <c r="A157" s="2">
        <v>156</v>
      </c>
      <c r="B157" s="2" t="s">
        <v>329</v>
      </c>
      <c r="C157" s="2" t="s">
        <v>1036</v>
      </c>
      <c r="D157" s="2" t="s">
        <v>1037</v>
      </c>
      <c r="E157" s="4">
        <v>5000</v>
      </c>
    </row>
    <row r="158" spans="1:5" x14ac:dyDescent="0.3">
      <c r="A158" s="2">
        <v>157</v>
      </c>
      <c r="B158" s="2" t="s">
        <v>329</v>
      </c>
      <c r="C158" s="2" t="s">
        <v>1038</v>
      </c>
      <c r="D158" s="2" t="s">
        <v>1039</v>
      </c>
      <c r="E158" s="4">
        <v>2000</v>
      </c>
    </row>
    <row r="159" spans="1:5" x14ac:dyDescent="0.3">
      <c r="A159" s="2">
        <v>158</v>
      </c>
      <c r="B159" s="2" t="s">
        <v>329</v>
      </c>
      <c r="C159" s="2" t="s">
        <v>1065</v>
      </c>
      <c r="D159" s="2" t="s">
        <v>1066</v>
      </c>
      <c r="E159" s="4">
        <v>4000</v>
      </c>
    </row>
    <row r="160" spans="1:5" x14ac:dyDescent="0.3">
      <c r="A160" s="2">
        <v>159</v>
      </c>
      <c r="B160" s="2" t="s">
        <v>329</v>
      </c>
      <c r="C160" s="2" t="s">
        <v>1067</v>
      </c>
      <c r="D160" s="2" t="s">
        <v>1068</v>
      </c>
      <c r="E160" s="4">
        <v>6500</v>
      </c>
    </row>
    <row r="161" spans="1:5" x14ac:dyDescent="0.3">
      <c r="A161" s="2">
        <v>160</v>
      </c>
      <c r="B161" s="2" t="s">
        <v>329</v>
      </c>
      <c r="C161" s="2" t="s">
        <v>1069</v>
      </c>
      <c r="D161" s="2" t="s">
        <v>1070</v>
      </c>
      <c r="E161" s="4">
        <v>8000</v>
      </c>
    </row>
    <row r="162" spans="1:5" x14ac:dyDescent="0.3">
      <c r="A162" s="2">
        <v>161</v>
      </c>
      <c r="B162" s="2" t="s">
        <v>334</v>
      </c>
      <c r="C162" s="2" t="s">
        <v>993</v>
      </c>
      <c r="D162" s="2" t="s">
        <v>994</v>
      </c>
      <c r="E162" s="4">
        <v>5000</v>
      </c>
    </row>
    <row r="163" spans="1:5" x14ac:dyDescent="0.3">
      <c r="A163" s="2">
        <v>162</v>
      </c>
      <c r="B163" s="2" t="s">
        <v>334</v>
      </c>
      <c r="C163" s="2" t="s">
        <v>995</v>
      </c>
      <c r="D163" s="2" t="s">
        <v>996</v>
      </c>
      <c r="E163" s="4">
        <v>6000</v>
      </c>
    </row>
    <row r="164" spans="1:5" x14ac:dyDescent="0.3">
      <c r="A164" s="2">
        <v>163</v>
      </c>
      <c r="B164" s="2" t="s">
        <v>334</v>
      </c>
      <c r="C164" s="2" t="s">
        <v>997</v>
      </c>
      <c r="D164" s="2" t="s">
        <v>998</v>
      </c>
      <c r="E164" s="4">
        <v>5500</v>
      </c>
    </row>
    <row r="165" spans="1:5" x14ac:dyDescent="0.3">
      <c r="A165" s="2">
        <v>164</v>
      </c>
      <c r="B165" s="2" t="s">
        <v>334</v>
      </c>
      <c r="C165" s="2" t="s">
        <v>999</v>
      </c>
      <c r="D165" s="2" t="s">
        <v>1000</v>
      </c>
      <c r="E165" s="4">
        <v>6000</v>
      </c>
    </row>
    <row r="166" spans="1:5" x14ac:dyDescent="0.3">
      <c r="A166" s="2">
        <v>165</v>
      </c>
      <c r="B166" s="2" t="s">
        <v>334</v>
      </c>
      <c r="C166" s="2" t="s">
        <v>1001</v>
      </c>
      <c r="D166" s="2" t="s">
        <v>1002</v>
      </c>
      <c r="E166" s="4">
        <v>4500</v>
      </c>
    </row>
    <row r="167" spans="1:5" x14ac:dyDescent="0.3">
      <c r="A167" s="2">
        <v>166</v>
      </c>
      <c r="B167" s="2" t="s">
        <v>334</v>
      </c>
      <c r="C167" s="2" t="s">
        <v>1003</v>
      </c>
      <c r="D167" s="2" t="s">
        <v>1004</v>
      </c>
      <c r="E167" s="4">
        <v>4000</v>
      </c>
    </row>
    <row r="168" spans="1:5" x14ac:dyDescent="0.3">
      <c r="A168" s="2">
        <v>167</v>
      </c>
      <c r="B168" s="2" t="s">
        <v>334</v>
      </c>
      <c r="C168" s="2" t="s">
        <v>1005</v>
      </c>
      <c r="D168" s="2" t="s">
        <v>1006</v>
      </c>
      <c r="E168" s="4">
        <v>3000</v>
      </c>
    </row>
    <row r="169" spans="1:5" x14ac:dyDescent="0.3">
      <c r="A169" s="2">
        <v>168</v>
      </c>
      <c r="B169" s="2" t="s">
        <v>334</v>
      </c>
      <c r="C169" s="2" t="s">
        <v>1007</v>
      </c>
      <c r="D169" s="2" t="s">
        <v>1008</v>
      </c>
      <c r="E169" s="4">
        <v>2500</v>
      </c>
    </row>
    <row r="170" spans="1:5" x14ac:dyDescent="0.3">
      <c r="A170" s="2">
        <v>169</v>
      </c>
      <c r="B170" s="2" t="s">
        <v>334</v>
      </c>
      <c r="C170" s="2" t="s">
        <v>1009</v>
      </c>
      <c r="D170" s="2" t="s">
        <v>1010</v>
      </c>
      <c r="E170" s="4">
        <v>8000</v>
      </c>
    </row>
    <row r="171" spans="1:5" x14ac:dyDescent="0.3">
      <c r="A171" s="2">
        <v>170</v>
      </c>
      <c r="B171" s="2" t="s">
        <v>334</v>
      </c>
      <c r="C171" s="2" t="s">
        <v>1057</v>
      </c>
      <c r="D171" s="2" t="s">
        <v>1058</v>
      </c>
      <c r="E171" s="4">
        <v>9000</v>
      </c>
    </row>
    <row r="172" spans="1:5" x14ac:dyDescent="0.3">
      <c r="A172" s="2">
        <v>171</v>
      </c>
      <c r="B172" s="2" t="s">
        <v>334</v>
      </c>
      <c r="C172" s="2" t="s">
        <v>1011</v>
      </c>
      <c r="D172" s="2" t="s">
        <v>1012</v>
      </c>
      <c r="E172" s="4">
        <v>8000</v>
      </c>
    </row>
    <row r="173" spans="1:5" x14ac:dyDescent="0.3">
      <c r="A173" s="2">
        <v>172</v>
      </c>
      <c r="B173" s="2" t="s">
        <v>334</v>
      </c>
      <c r="C173" s="2" t="s">
        <v>1013</v>
      </c>
      <c r="D173" s="2" t="s">
        <v>1014</v>
      </c>
      <c r="E173" s="4">
        <v>6000</v>
      </c>
    </row>
    <row r="174" spans="1:5" x14ac:dyDescent="0.3">
      <c r="A174" s="2">
        <v>173</v>
      </c>
      <c r="B174" s="2" t="s">
        <v>334</v>
      </c>
      <c r="C174" s="2" t="s">
        <v>966</v>
      </c>
      <c r="D174" s="2" t="s">
        <v>1027</v>
      </c>
      <c r="E174" s="4">
        <v>1500</v>
      </c>
    </row>
    <row r="175" spans="1:5" x14ac:dyDescent="0.3">
      <c r="A175" s="2">
        <v>174</v>
      </c>
      <c r="B175" s="2" t="s">
        <v>339</v>
      </c>
      <c r="C175" s="2" t="s">
        <v>993</v>
      </c>
      <c r="D175" s="2" t="s">
        <v>994</v>
      </c>
      <c r="E175" s="4">
        <v>5000</v>
      </c>
    </row>
    <row r="176" spans="1:5" x14ac:dyDescent="0.3">
      <c r="A176" s="2">
        <v>175</v>
      </c>
      <c r="B176" s="2" t="s">
        <v>339</v>
      </c>
      <c r="C176" s="2" t="s">
        <v>995</v>
      </c>
      <c r="D176" s="2" t="s">
        <v>996</v>
      </c>
      <c r="E176" s="4">
        <v>6000</v>
      </c>
    </row>
    <row r="177" spans="1:5" x14ac:dyDescent="0.3">
      <c r="A177" s="2">
        <v>176</v>
      </c>
      <c r="B177" s="2" t="s">
        <v>339</v>
      </c>
      <c r="C177" s="2" t="s">
        <v>997</v>
      </c>
      <c r="D177" s="2" t="s">
        <v>998</v>
      </c>
      <c r="E177" s="4">
        <v>5500</v>
      </c>
    </row>
    <row r="178" spans="1:5" x14ac:dyDescent="0.3">
      <c r="A178" s="2">
        <v>177</v>
      </c>
      <c r="B178" s="2" t="s">
        <v>339</v>
      </c>
      <c r="C178" s="2" t="s">
        <v>999</v>
      </c>
      <c r="D178" s="2" t="s">
        <v>1000</v>
      </c>
      <c r="E178" s="4">
        <v>6000</v>
      </c>
    </row>
    <row r="179" spans="1:5" x14ac:dyDescent="0.3">
      <c r="A179" s="2">
        <v>178</v>
      </c>
      <c r="B179" s="2" t="s">
        <v>339</v>
      </c>
      <c r="C179" s="2" t="s">
        <v>1001</v>
      </c>
      <c r="D179" s="2" t="s">
        <v>1002</v>
      </c>
      <c r="E179" s="4">
        <v>4500</v>
      </c>
    </row>
    <row r="180" spans="1:5" x14ac:dyDescent="0.3">
      <c r="A180" s="2">
        <v>179</v>
      </c>
      <c r="B180" s="2" t="s">
        <v>339</v>
      </c>
      <c r="C180" s="2" t="s">
        <v>1003</v>
      </c>
      <c r="D180" s="2" t="s">
        <v>1004</v>
      </c>
      <c r="E180" s="4">
        <v>4000</v>
      </c>
    </row>
    <row r="181" spans="1:5" x14ac:dyDescent="0.3">
      <c r="A181" s="2">
        <v>180</v>
      </c>
      <c r="B181" s="2" t="s">
        <v>339</v>
      </c>
      <c r="C181" s="2" t="s">
        <v>1005</v>
      </c>
      <c r="D181" s="2" t="s">
        <v>1006</v>
      </c>
      <c r="E181" s="4">
        <v>3000</v>
      </c>
    </row>
    <row r="182" spans="1:5" x14ac:dyDescent="0.3">
      <c r="A182" s="2">
        <v>181</v>
      </c>
      <c r="B182" s="2" t="s">
        <v>339</v>
      </c>
      <c r="C182" s="2" t="s">
        <v>1007</v>
      </c>
      <c r="D182" s="2" t="s">
        <v>1008</v>
      </c>
      <c r="E182" s="4">
        <v>2500</v>
      </c>
    </row>
    <row r="183" spans="1:5" x14ac:dyDescent="0.3">
      <c r="A183" s="2">
        <v>182</v>
      </c>
      <c r="B183" s="2" t="s">
        <v>339</v>
      </c>
      <c r="C183" s="2" t="s">
        <v>1009</v>
      </c>
      <c r="D183" s="2" t="s">
        <v>1010</v>
      </c>
      <c r="E183" s="4">
        <v>8000</v>
      </c>
    </row>
    <row r="184" spans="1:5" x14ac:dyDescent="0.3">
      <c r="A184" s="2">
        <v>183</v>
      </c>
      <c r="B184" s="2" t="s">
        <v>339</v>
      </c>
      <c r="C184" s="2" t="s">
        <v>1057</v>
      </c>
      <c r="D184" s="2" t="s">
        <v>1058</v>
      </c>
      <c r="E184" s="4">
        <v>9000</v>
      </c>
    </row>
    <row r="185" spans="1:5" x14ac:dyDescent="0.3">
      <c r="A185" s="2">
        <v>184</v>
      </c>
      <c r="B185" s="2" t="s">
        <v>339</v>
      </c>
      <c r="C185" s="2" t="s">
        <v>1011</v>
      </c>
      <c r="D185" s="2" t="s">
        <v>1012</v>
      </c>
      <c r="E185" s="4">
        <v>8000</v>
      </c>
    </row>
    <row r="186" spans="1:5" x14ac:dyDescent="0.3">
      <c r="A186" s="2">
        <v>185</v>
      </c>
      <c r="B186" s="2" t="s">
        <v>339</v>
      </c>
      <c r="C186" s="2" t="s">
        <v>1013</v>
      </c>
      <c r="D186" s="2" t="s">
        <v>1014</v>
      </c>
      <c r="E186" s="4">
        <v>6000</v>
      </c>
    </row>
    <row r="187" spans="1:5" x14ac:dyDescent="0.3">
      <c r="A187" s="2">
        <v>186</v>
      </c>
      <c r="B187" s="2" t="s">
        <v>344</v>
      </c>
      <c r="C187" s="2" t="s">
        <v>1015</v>
      </c>
      <c r="D187" s="2" t="s">
        <v>1016</v>
      </c>
      <c r="E187" s="4">
        <v>4500</v>
      </c>
    </row>
    <row r="188" spans="1:5" x14ac:dyDescent="0.3">
      <c r="A188" s="2">
        <v>187</v>
      </c>
      <c r="B188" s="2" t="s">
        <v>344</v>
      </c>
      <c r="C188" s="2" t="s">
        <v>1017</v>
      </c>
      <c r="D188" s="2" t="s">
        <v>1018</v>
      </c>
      <c r="E188" s="4">
        <v>6000</v>
      </c>
    </row>
    <row r="189" spans="1:5" x14ac:dyDescent="0.3">
      <c r="A189" s="2">
        <v>188</v>
      </c>
      <c r="B189" s="2" t="s">
        <v>344</v>
      </c>
      <c r="C189" s="2" t="s">
        <v>1019</v>
      </c>
      <c r="D189" s="2" t="s">
        <v>1020</v>
      </c>
      <c r="E189" s="4">
        <v>7600</v>
      </c>
    </row>
    <row r="190" spans="1:5" x14ac:dyDescent="0.3">
      <c r="A190" s="2">
        <v>189</v>
      </c>
      <c r="B190" s="2" t="s">
        <v>344</v>
      </c>
      <c r="C190" s="2" t="s">
        <v>1021</v>
      </c>
      <c r="D190" s="2" t="s">
        <v>1022</v>
      </c>
      <c r="E190" s="4">
        <v>5000</v>
      </c>
    </row>
    <row r="191" spans="1:5" x14ac:dyDescent="0.3">
      <c r="A191" s="2">
        <v>190</v>
      </c>
      <c r="B191" s="2" t="s">
        <v>344</v>
      </c>
      <c r="C191" s="2" t="s">
        <v>1092</v>
      </c>
      <c r="D191" s="2" t="s">
        <v>1093</v>
      </c>
      <c r="E191" s="4">
        <v>6500</v>
      </c>
    </row>
    <row r="192" spans="1:5" x14ac:dyDescent="0.3">
      <c r="A192" s="2">
        <v>191</v>
      </c>
      <c r="B192" s="2" t="s">
        <v>344</v>
      </c>
      <c r="C192" s="2" t="s">
        <v>1094</v>
      </c>
      <c r="D192" s="2" t="s">
        <v>1095</v>
      </c>
      <c r="E192" s="4">
        <v>9000</v>
      </c>
    </row>
    <row r="193" spans="1:5" x14ac:dyDescent="0.3">
      <c r="A193" s="2">
        <v>192</v>
      </c>
      <c r="B193" s="2" t="s">
        <v>344</v>
      </c>
      <c r="C193" s="2" t="s">
        <v>1096</v>
      </c>
      <c r="D193" s="2" t="s">
        <v>1097</v>
      </c>
      <c r="E193" s="4">
        <v>2500</v>
      </c>
    </row>
    <row r="194" spans="1:5" x14ac:dyDescent="0.3">
      <c r="A194" s="2">
        <v>193</v>
      </c>
      <c r="B194" s="2" t="s">
        <v>344</v>
      </c>
      <c r="C194" s="2" t="s">
        <v>1023</v>
      </c>
      <c r="D194" s="2" t="s">
        <v>1024</v>
      </c>
      <c r="E194" s="4">
        <v>6000</v>
      </c>
    </row>
    <row r="195" spans="1:5" x14ac:dyDescent="0.3">
      <c r="A195" s="2">
        <v>194</v>
      </c>
      <c r="B195" s="2" t="s">
        <v>344</v>
      </c>
      <c r="C195" s="2" t="s">
        <v>1025</v>
      </c>
      <c r="D195" s="2" t="s">
        <v>1026</v>
      </c>
      <c r="E195" s="4">
        <v>5000</v>
      </c>
    </row>
    <row r="196" spans="1:5" x14ac:dyDescent="0.3">
      <c r="A196" s="2">
        <v>195</v>
      </c>
      <c r="B196" s="2" t="s">
        <v>344</v>
      </c>
      <c r="C196" s="2" t="s">
        <v>964</v>
      </c>
      <c r="D196" s="2" t="s">
        <v>1027</v>
      </c>
      <c r="E196" s="4">
        <v>1500</v>
      </c>
    </row>
    <row r="197" spans="1:5" x14ac:dyDescent="0.3">
      <c r="A197" s="2">
        <v>196</v>
      </c>
      <c r="B197" s="2" t="s">
        <v>349</v>
      </c>
      <c r="C197" s="2" t="s">
        <v>946</v>
      </c>
      <c r="D197" s="2" t="s">
        <v>1098</v>
      </c>
      <c r="E197" s="4">
        <v>15000</v>
      </c>
    </row>
    <row r="198" spans="1:5" x14ac:dyDescent="0.3">
      <c r="A198" s="2">
        <v>197</v>
      </c>
      <c r="B198" s="2" t="s">
        <v>349</v>
      </c>
      <c r="C198" s="2" t="s">
        <v>948</v>
      </c>
      <c r="D198" s="2" t="s">
        <v>949</v>
      </c>
      <c r="E198" s="4">
        <v>5000</v>
      </c>
    </row>
    <row r="199" spans="1:5" x14ac:dyDescent="0.3">
      <c r="A199" s="2">
        <v>198</v>
      </c>
      <c r="B199" s="2" t="s">
        <v>349</v>
      </c>
      <c r="C199" s="2" t="s">
        <v>950</v>
      </c>
      <c r="D199" s="2" t="s">
        <v>1074</v>
      </c>
      <c r="E199" s="4">
        <v>4000</v>
      </c>
    </row>
    <row r="200" spans="1:5" x14ac:dyDescent="0.3">
      <c r="A200" s="2">
        <v>199</v>
      </c>
      <c r="B200" s="2" t="s">
        <v>349</v>
      </c>
      <c r="C200" s="2" t="s">
        <v>952</v>
      </c>
      <c r="D200" s="2" t="s">
        <v>953</v>
      </c>
      <c r="E200" s="4">
        <v>17000</v>
      </c>
    </row>
    <row r="201" spans="1:5" x14ac:dyDescent="0.3">
      <c r="A201" s="2">
        <v>200</v>
      </c>
      <c r="B201" s="2" t="s">
        <v>349</v>
      </c>
      <c r="C201" s="2" t="s">
        <v>954</v>
      </c>
      <c r="D201" s="2" t="s">
        <v>955</v>
      </c>
      <c r="E201" s="4">
        <v>11000</v>
      </c>
    </row>
    <row r="202" spans="1:5" x14ac:dyDescent="0.3">
      <c r="A202" s="2">
        <v>201</v>
      </c>
      <c r="B202" s="2" t="s">
        <v>349</v>
      </c>
      <c r="C202" s="2" t="s">
        <v>956</v>
      </c>
      <c r="D202" s="2" t="s">
        <v>1075</v>
      </c>
      <c r="E202" s="4">
        <v>6000</v>
      </c>
    </row>
    <row r="203" spans="1:5" x14ac:dyDescent="0.3">
      <c r="A203" s="2">
        <v>202</v>
      </c>
      <c r="B203" s="2" t="s">
        <v>349</v>
      </c>
      <c r="C203" s="2" t="s">
        <v>958</v>
      </c>
      <c r="D203" s="2" t="s">
        <v>959</v>
      </c>
      <c r="E203" s="4">
        <v>4500</v>
      </c>
    </row>
    <row r="204" spans="1:5" x14ac:dyDescent="0.3">
      <c r="A204" s="2">
        <v>203</v>
      </c>
      <c r="B204" s="2" t="s">
        <v>349</v>
      </c>
      <c r="C204" s="2" t="s">
        <v>960</v>
      </c>
      <c r="D204" s="2" t="s">
        <v>961</v>
      </c>
      <c r="E204" s="4">
        <v>8500</v>
      </c>
    </row>
    <row r="205" spans="1:5" x14ac:dyDescent="0.3">
      <c r="A205" s="2">
        <v>204</v>
      </c>
      <c r="B205" s="2" t="s">
        <v>349</v>
      </c>
      <c r="C205" s="2" t="s">
        <v>962</v>
      </c>
      <c r="D205" s="2" t="s">
        <v>963</v>
      </c>
      <c r="E205" s="4">
        <v>2000</v>
      </c>
    </row>
    <row r="206" spans="1:5" x14ac:dyDescent="0.3">
      <c r="A206" s="2">
        <v>205</v>
      </c>
      <c r="B206" s="2" t="s">
        <v>354</v>
      </c>
      <c r="C206" s="2" t="s">
        <v>946</v>
      </c>
      <c r="D206" s="2" t="s">
        <v>1098</v>
      </c>
      <c r="E206" s="4">
        <v>15000</v>
      </c>
    </row>
    <row r="207" spans="1:5" x14ac:dyDescent="0.3">
      <c r="A207" s="2">
        <v>206</v>
      </c>
      <c r="B207" s="2" t="s">
        <v>354</v>
      </c>
      <c r="C207" s="2" t="s">
        <v>948</v>
      </c>
      <c r="D207" s="2" t="s">
        <v>949</v>
      </c>
      <c r="E207" s="4">
        <v>5000</v>
      </c>
    </row>
    <row r="208" spans="1:5" x14ac:dyDescent="0.3">
      <c r="A208" s="2">
        <v>207</v>
      </c>
      <c r="B208" s="2" t="s">
        <v>354</v>
      </c>
      <c r="C208" s="2" t="s">
        <v>950</v>
      </c>
      <c r="D208" s="2" t="s">
        <v>1074</v>
      </c>
      <c r="E208" s="4">
        <v>4000</v>
      </c>
    </row>
    <row r="209" spans="1:5" x14ac:dyDescent="0.3">
      <c r="A209" s="2">
        <v>208</v>
      </c>
      <c r="B209" s="2" t="s">
        <v>354</v>
      </c>
      <c r="C209" s="2" t="s">
        <v>952</v>
      </c>
      <c r="D209" s="2" t="s">
        <v>953</v>
      </c>
      <c r="E209" s="4">
        <v>17000</v>
      </c>
    </row>
    <row r="210" spans="1:5" x14ac:dyDescent="0.3">
      <c r="A210" s="2">
        <v>209</v>
      </c>
      <c r="B210" s="2" t="s">
        <v>354</v>
      </c>
      <c r="C210" s="2" t="s">
        <v>954</v>
      </c>
      <c r="D210" s="2" t="s">
        <v>955</v>
      </c>
      <c r="E210" s="4">
        <v>11000</v>
      </c>
    </row>
    <row r="211" spans="1:5" x14ac:dyDescent="0.3">
      <c r="A211" s="2">
        <v>210</v>
      </c>
      <c r="B211" s="2" t="s">
        <v>354</v>
      </c>
      <c r="C211" s="2" t="s">
        <v>956</v>
      </c>
      <c r="D211" s="2" t="s">
        <v>1075</v>
      </c>
      <c r="E211" s="4">
        <v>6000</v>
      </c>
    </row>
    <row r="212" spans="1:5" x14ac:dyDescent="0.3">
      <c r="A212" s="2">
        <v>211</v>
      </c>
      <c r="B212" s="2" t="s">
        <v>354</v>
      </c>
      <c r="C212" s="2" t="s">
        <v>958</v>
      </c>
      <c r="D212" s="2" t="s">
        <v>959</v>
      </c>
      <c r="E212" s="4">
        <v>4500</v>
      </c>
    </row>
    <row r="213" spans="1:5" x14ac:dyDescent="0.3">
      <c r="A213" s="2">
        <v>212</v>
      </c>
      <c r="B213" s="2" t="s">
        <v>354</v>
      </c>
      <c r="C213" s="2" t="s">
        <v>960</v>
      </c>
      <c r="D213" s="2" t="s">
        <v>961</v>
      </c>
      <c r="E213" s="4">
        <v>8500</v>
      </c>
    </row>
    <row r="214" spans="1:5" x14ac:dyDescent="0.3">
      <c r="A214" s="2">
        <v>213</v>
      </c>
      <c r="B214" s="2" t="s">
        <v>354</v>
      </c>
      <c r="C214" s="2" t="s">
        <v>962</v>
      </c>
      <c r="D214" s="2" t="s">
        <v>963</v>
      </c>
      <c r="E214" s="4">
        <v>2000</v>
      </c>
    </row>
    <row r="215" spans="1:5" x14ac:dyDescent="0.3">
      <c r="A215" s="2">
        <v>214</v>
      </c>
      <c r="B215" s="2" t="s">
        <v>359</v>
      </c>
      <c r="C215" s="2" t="s">
        <v>967</v>
      </c>
      <c r="D215" s="2" t="s">
        <v>968</v>
      </c>
      <c r="E215" s="4">
        <v>18000</v>
      </c>
    </row>
    <row r="216" spans="1:5" x14ac:dyDescent="0.3">
      <c r="A216" s="2">
        <v>215</v>
      </c>
      <c r="B216" s="2" t="s">
        <v>359</v>
      </c>
      <c r="C216" s="2" t="s">
        <v>969</v>
      </c>
      <c r="D216" s="2" t="s">
        <v>970</v>
      </c>
      <c r="E216" s="4">
        <v>4500</v>
      </c>
    </row>
    <row r="217" spans="1:5" x14ac:dyDescent="0.3">
      <c r="A217" s="2">
        <v>216</v>
      </c>
      <c r="B217" s="2" t="s">
        <v>359</v>
      </c>
      <c r="C217" s="2" t="s">
        <v>971</v>
      </c>
      <c r="D217" s="2" t="s">
        <v>972</v>
      </c>
      <c r="E217" s="4">
        <v>16000</v>
      </c>
    </row>
    <row r="218" spans="1:5" x14ac:dyDescent="0.3">
      <c r="A218" s="2">
        <v>217</v>
      </c>
      <c r="B218" s="2" t="s">
        <v>359</v>
      </c>
      <c r="C218" s="2" t="s">
        <v>973</v>
      </c>
      <c r="D218" s="2" t="s">
        <v>974</v>
      </c>
      <c r="E218" s="4">
        <v>9000</v>
      </c>
    </row>
    <row r="219" spans="1:5" x14ac:dyDescent="0.3">
      <c r="A219" s="2">
        <v>218</v>
      </c>
      <c r="B219" s="2" t="s">
        <v>359</v>
      </c>
      <c r="C219" s="2" t="s">
        <v>975</v>
      </c>
      <c r="D219" s="2" t="s">
        <v>976</v>
      </c>
      <c r="E219" s="4">
        <v>2500</v>
      </c>
    </row>
    <row r="220" spans="1:5" x14ac:dyDescent="0.3">
      <c r="A220" s="2">
        <v>219</v>
      </c>
      <c r="B220" s="2" t="s">
        <v>359</v>
      </c>
      <c r="C220" s="2" t="s">
        <v>977</v>
      </c>
      <c r="D220" s="2" t="s">
        <v>978</v>
      </c>
      <c r="E220" s="4">
        <v>5000</v>
      </c>
    </row>
    <row r="221" spans="1:5" x14ac:dyDescent="0.3">
      <c r="A221" s="2">
        <v>220</v>
      </c>
      <c r="B221" s="2" t="s">
        <v>359</v>
      </c>
      <c r="C221" s="2" t="s">
        <v>979</v>
      </c>
      <c r="D221" s="2" t="s">
        <v>980</v>
      </c>
      <c r="E221" s="4">
        <v>15000</v>
      </c>
    </row>
    <row r="222" spans="1:5" x14ac:dyDescent="0.3">
      <c r="A222" s="2">
        <v>221</v>
      </c>
      <c r="B222" s="2" t="s">
        <v>359</v>
      </c>
      <c r="C222" s="2" t="s">
        <v>981</v>
      </c>
      <c r="D222" s="2" t="s">
        <v>982</v>
      </c>
      <c r="E222" s="4">
        <v>9000</v>
      </c>
    </row>
    <row r="223" spans="1:5" x14ac:dyDescent="0.3">
      <c r="A223" s="2">
        <v>222</v>
      </c>
      <c r="B223" s="2" t="s">
        <v>359</v>
      </c>
      <c r="C223" s="2" t="s">
        <v>1050</v>
      </c>
      <c r="D223" s="2" t="s">
        <v>1051</v>
      </c>
      <c r="E223" s="4">
        <v>7000</v>
      </c>
    </row>
    <row r="224" spans="1:5" x14ac:dyDescent="0.3">
      <c r="A224" s="2">
        <v>223</v>
      </c>
      <c r="B224" s="2" t="s">
        <v>359</v>
      </c>
      <c r="C224" s="2" t="s">
        <v>1052</v>
      </c>
      <c r="D224" s="2" t="s">
        <v>1053</v>
      </c>
      <c r="E224" s="4">
        <v>12000</v>
      </c>
    </row>
    <row r="225" spans="1:5" x14ac:dyDescent="0.3">
      <c r="A225" s="2">
        <v>224</v>
      </c>
      <c r="B225" s="2" t="s">
        <v>364</v>
      </c>
      <c r="C225" s="2" t="s">
        <v>993</v>
      </c>
      <c r="D225" s="2" t="s">
        <v>994</v>
      </c>
      <c r="E225" s="4">
        <v>5000</v>
      </c>
    </row>
    <row r="226" spans="1:5" x14ac:dyDescent="0.3">
      <c r="A226" s="2">
        <v>225</v>
      </c>
      <c r="B226" s="2" t="s">
        <v>364</v>
      </c>
      <c r="C226" s="2" t="s">
        <v>995</v>
      </c>
      <c r="D226" s="2" t="s">
        <v>996</v>
      </c>
      <c r="E226" s="4">
        <v>6000</v>
      </c>
    </row>
    <row r="227" spans="1:5" x14ac:dyDescent="0.3">
      <c r="A227" s="2">
        <v>226</v>
      </c>
      <c r="B227" s="2" t="s">
        <v>364</v>
      </c>
      <c r="C227" s="2" t="s">
        <v>997</v>
      </c>
      <c r="D227" s="2" t="s">
        <v>998</v>
      </c>
      <c r="E227" s="4">
        <v>5500</v>
      </c>
    </row>
    <row r="228" spans="1:5" x14ac:dyDescent="0.3">
      <c r="A228" s="2">
        <v>227</v>
      </c>
      <c r="B228" s="2" t="s">
        <v>364</v>
      </c>
      <c r="C228" s="2" t="s">
        <v>999</v>
      </c>
      <c r="D228" s="2" t="s">
        <v>1000</v>
      </c>
      <c r="E228" s="4">
        <v>6000</v>
      </c>
    </row>
    <row r="229" spans="1:5" x14ac:dyDescent="0.3">
      <c r="A229" s="2">
        <v>228</v>
      </c>
      <c r="B229" s="2" t="s">
        <v>364</v>
      </c>
      <c r="C229" s="2" t="s">
        <v>1001</v>
      </c>
      <c r="D229" s="2" t="s">
        <v>1002</v>
      </c>
      <c r="E229" s="4">
        <v>4500</v>
      </c>
    </row>
    <row r="230" spans="1:5" x14ac:dyDescent="0.3">
      <c r="A230" s="2">
        <v>229</v>
      </c>
      <c r="B230" s="2" t="s">
        <v>364</v>
      </c>
      <c r="C230" s="2" t="s">
        <v>1003</v>
      </c>
      <c r="D230" s="2" t="s">
        <v>1004</v>
      </c>
      <c r="E230" s="4">
        <v>4000</v>
      </c>
    </row>
    <row r="231" spans="1:5" x14ac:dyDescent="0.3">
      <c r="A231" s="2">
        <v>230</v>
      </c>
      <c r="B231" s="2" t="s">
        <v>364</v>
      </c>
      <c r="C231" s="2" t="s">
        <v>1005</v>
      </c>
      <c r="D231" s="2" t="s">
        <v>1006</v>
      </c>
      <c r="E231" s="4">
        <v>3000</v>
      </c>
    </row>
    <row r="232" spans="1:5" x14ac:dyDescent="0.3">
      <c r="A232" s="2">
        <v>231</v>
      </c>
      <c r="B232" s="2" t="s">
        <v>364</v>
      </c>
      <c r="C232" s="2" t="s">
        <v>1007</v>
      </c>
      <c r="D232" s="2" t="s">
        <v>1008</v>
      </c>
      <c r="E232" s="4">
        <v>2500</v>
      </c>
    </row>
    <row r="233" spans="1:5" x14ac:dyDescent="0.3">
      <c r="A233" s="2">
        <v>232</v>
      </c>
      <c r="B233" s="2" t="s">
        <v>364</v>
      </c>
      <c r="C233" s="2" t="s">
        <v>1009</v>
      </c>
      <c r="D233" s="2" t="s">
        <v>1010</v>
      </c>
      <c r="E233" s="4">
        <v>8000</v>
      </c>
    </row>
    <row r="234" spans="1:5" x14ac:dyDescent="0.3">
      <c r="A234" s="2">
        <v>233</v>
      </c>
      <c r="B234" s="2" t="s">
        <v>364</v>
      </c>
      <c r="C234" s="2" t="s">
        <v>1057</v>
      </c>
      <c r="D234" s="2" t="s">
        <v>1058</v>
      </c>
      <c r="E234" s="4">
        <v>9000</v>
      </c>
    </row>
    <row r="235" spans="1:5" x14ac:dyDescent="0.3">
      <c r="A235" s="2">
        <v>234</v>
      </c>
      <c r="B235" s="2" t="s">
        <v>364</v>
      </c>
      <c r="C235" s="2" t="s">
        <v>1011</v>
      </c>
      <c r="D235" s="2" t="s">
        <v>1012</v>
      </c>
      <c r="E235" s="4">
        <v>8000</v>
      </c>
    </row>
    <row r="236" spans="1:5" x14ac:dyDescent="0.3">
      <c r="A236" s="2">
        <v>235</v>
      </c>
      <c r="B236" s="2" t="s">
        <v>364</v>
      </c>
      <c r="C236" s="2" t="s">
        <v>1013</v>
      </c>
      <c r="D236" s="2" t="s">
        <v>1014</v>
      </c>
      <c r="E236" s="4">
        <v>6000</v>
      </c>
    </row>
    <row r="237" spans="1:5" x14ac:dyDescent="0.3">
      <c r="A237" s="2">
        <v>236</v>
      </c>
      <c r="B237" s="2" t="s">
        <v>369</v>
      </c>
      <c r="C237" s="2" t="s">
        <v>1015</v>
      </c>
      <c r="D237" s="2" t="s">
        <v>1016</v>
      </c>
      <c r="E237" s="4">
        <v>4500</v>
      </c>
    </row>
    <row r="238" spans="1:5" x14ac:dyDescent="0.3">
      <c r="A238" s="2">
        <v>237</v>
      </c>
      <c r="B238" s="2" t="s">
        <v>369</v>
      </c>
      <c r="C238" s="2" t="s">
        <v>1017</v>
      </c>
      <c r="D238" s="2" t="s">
        <v>1018</v>
      </c>
      <c r="E238" s="4">
        <v>6000</v>
      </c>
    </row>
    <row r="239" spans="1:5" x14ac:dyDescent="0.3">
      <c r="A239" s="2">
        <v>238</v>
      </c>
      <c r="B239" s="2" t="s">
        <v>369</v>
      </c>
      <c r="C239" s="2" t="s">
        <v>1019</v>
      </c>
      <c r="D239" s="2" t="s">
        <v>1020</v>
      </c>
      <c r="E239" s="4">
        <v>7600</v>
      </c>
    </row>
    <row r="240" spans="1:5" x14ac:dyDescent="0.3">
      <c r="A240" s="2">
        <v>239</v>
      </c>
      <c r="B240" s="2" t="s">
        <v>369</v>
      </c>
      <c r="C240" s="2" t="s">
        <v>1021</v>
      </c>
      <c r="D240" s="2" t="s">
        <v>1022</v>
      </c>
      <c r="E240" s="4">
        <v>5000</v>
      </c>
    </row>
    <row r="241" spans="1:5" x14ac:dyDescent="0.3">
      <c r="A241" s="2">
        <v>240</v>
      </c>
      <c r="B241" s="2" t="s">
        <v>369</v>
      </c>
      <c r="C241" s="2" t="s">
        <v>1092</v>
      </c>
      <c r="D241" s="2" t="s">
        <v>1093</v>
      </c>
      <c r="E241" s="4">
        <v>6500</v>
      </c>
    </row>
    <row r="242" spans="1:5" x14ac:dyDescent="0.3">
      <c r="A242" s="2">
        <v>241</v>
      </c>
      <c r="B242" s="2" t="s">
        <v>369</v>
      </c>
      <c r="C242" s="2" t="s">
        <v>1094</v>
      </c>
      <c r="D242" s="2" t="s">
        <v>1095</v>
      </c>
      <c r="E242" s="4">
        <v>9000</v>
      </c>
    </row>
    <row r="243" spans="1:5" x14ac:dyDescent="0.3">
      <c r="A243" s="2">
        <v>242</v>
      </c>
      <c r="B243" s="2" t="s">
        <v>369</v>
      </c>
      <c r="C243" s="2" t="s">
        <v>1096</v>
      </c>
      <c r="D243" s="2" t="s">
        <v>1097</v>
      </c>
      <c r="E243" s="4">
        <v>2500</v>
      </c>
    </row>
    <row r="244" spans="1:5" x14ac:dyDescent="0.3">
      <c r="A244" s="2">
        <v>243</v>
      </c>
      <c r="B244" s="2" t="s">
        <v>369</v>
      </c>
      <c r="C244" s="2" t="s">
        <v>1023</v>
      </c>
      <c r="D244" s="2" t="s">
        <v>1024</v>
      </c>
      <c r="E244" s="4">
        <v>6000</v>
      </c>
    </row>
    <row r="245" spans="1:5" x14ac:dyDescent="0.3">
      <c r="A245" s="2">
        <v>244</v>
      </c>
      <c r="B245" s="2" t="s">
        <v>369</v>
      </c>
      <c r="C245" s="2" t="s">
        <v>1025</v>
      </c>
      <c r="D245" s="2" t="s">
        <v>1026</v>
      </c>
      <c r="E245" s="4">
        <v>5000</v>
      </c>
    </row>
    <row r="246" spans="1:5" x14ac:dyDescent="0.3">
      <c r="A246" s="2">
        <v>245</v>
      </c>
      <c r="B246" s="2" t="s">
        <v>374</v>
      </c>
      <c r="C246" s="2" t="s">
        <v>946</v>
      </c>
      <c r="D246" s="2" t="s">
        <v>1098</v>
      </c>
      <c r="E246" s="4">
        <v>15000</v>
      </c>
    </row>
    <row r="247" spans="1:5" x14ac:dyDescent="0.3">
      <c r="A247" s="2">
        <v>246</v>
      </c>
      <c r="B247" s="2" t="s">
        <v>374</v>
      </c>
      <c r="C247" s="2" t="s">
        <v>948</v>
      </c>
      <c r="D247" s="2" t="s">
        <v>949</v>
      </c>
      <c r="E247" s="4">
        <v>5000</v>
      </c>
    </row>
    <row r="248" spans="1:5" x14ac:dyDescent="0.3">
      <c r="A248" s="2">
        <v>247</v>
      </c>
      <c r="B248" s="2" t="s">
        <v>374</v>
      </c>
      <c r="C248" s="2" t="s">
        <v>950</v>
      </c>
      <c r="D248" s="2" t="s">
        <v>1074</v>
      </c>
      <c r="E248" s="4">
        <v>4000</v>
      </c>
    </row>
    <row r="249" spans="1:5" x14ac:dyDescent="0.3">
      <c r="A249" s="2">
        <v>248</v>
      </c>
      <c r="B249" s="2" t="s">
        <v>374</v>
      </c>
      <c r="C249" s="2" t="s">
        <v>952</v>
      </c>
      <c r="D249" s="2" t="s">
        <v>953</v>
      </c>
      <c r="E249" s="4">
        <v>17000</v>
      </c>
    </row>
    <row r="250" spans="1:5" x14ac:dyDescent="0.3">
      <c r="A250" s="2">
        <v>249</v>
      </c>
      <c r="B250" s="2" t="s">
        <v>374</v>
      </c>
      <c r="C250" s="2" t="s">
        <v>954</v>
      </c>
      <c r="D250" s="2" t="s">
        <v>955</v>
      </c>
      <c r="E250" s="4">
        <v>11000</v>
      </c>
    </row>
    <row r="251" spans="1:5" x14ac:dyDescent="0.3">
      <c r="A251" s="2">
        <v>250</v>
      </c>
      <c r="B251" s="2" t="s">
        <v>374</v>
      </c>
      <c r="C251" s="2" t="s">
        <v>956</v>
      </c>
      <c r="D251" s="2" t="s">
        <v>1075</v>
      </c>
      <c r="E251" s="4">
        <v>6000</v>
      </c>
    </row>
    <row r="252" spans="1:5" x14ac:dyDescent="0.3">
      <c r="A252" s="2">
        <v>251</v>
      </c>
      <c r="B252" s="2" t="s">
        <v>374</v>
      </c>
      <c r="C252" s="2" t="s">
        <v>958</v>
      </c>
      <c r="D252" s="2" t="s">
        <v>959</v>
      </c>
      <c r="E252" s="4">
        <v>4500</v>
      </c>
    </row>
    <row r="253" spans="1:5" x14ac:dyDescent="0.3">
      <c r="A253" s="2">
        <v>252</v>
      </c>
      <c r="B253" s="2" t="s">
        <v>374</v>
      </c>
      <c r="C253" s="2" t="s">
        <v>960</v>
      </c>
      <c r="D253" s="2" t="s">
        <v>961</v>
      </c>
      <c r="E253" s="4">
        <v>8500</v>
      </c>
    </row>
    <row r="254" spans="1:5" x14ac:dyDescent="0.3">
      <c r="A254" s="2">
        <v>253</v>
      </c>
      <c r="B254" s="2" t="s">
        <v>374</v>
      </c>
      <c r="C254" s="2" t="s">
        <v>962</v>
      </c>
      <c r="D254" s="2" t="s">
        <v>963</v>
      </c>
      <c r="E254" s="4">
        <v>2000</v>
      </c>
    </row>
    <row r="255" spans="1:5" x14ac:dyDescent="0.3">
      <c r="A255" s="2">
        <v>254</v>
      </c>
      <c r="B255" s="2" t="s">
        <v>379</v>
      </c>
      <c r="C255" s="2" t="s">
        <v>983</v>
      </c>
      <c r="D255" s="2" t="s">
        <v>984</v>
      </c>
      <c r="E255" s="4">
        <v>10000</v>
      </c>
    </row>
    <row r="256" spans="1:5" x14ac:dyDescent="0.3">
      <c r="A256" s="2">
        <v>255</v>
      </c>
      <c r="B256" s="2" t="s">
        <v>379</v>
      </c>
      <c r="C256" s="2" t="s">
        <v>1099</v>
      </c>
      <c r="D256" s="2" t="s">
        <v>1100</v>
      </c>
      <c r="E256" s="4">
        <v>11000</v>
      </c>
    </row>
    <row r="257" spans="1:5" x14ac:dyDescent="0.3">
      <c r="A257" s="2">
        <v>256</v>
      </c>
      <c r="B257" s="2" t="s">
        <v>379</v>
      </c>
      <c r="C257" s="2" t="s">
        <v>1101</v>
      </c>
      <c r="D257" s="2" t="s">
        <v>1102</v>
      </c>
      <c r="E257" s="4">
        <v>9000</v>
      </c>
    </row>
    <row r="258" spans="1:5" x14ac:dyDescent="0.3">
      <c r="A258" s="2">
        <v>257</v>
      </c>
      <c r="B258" s="2" t="s">
        <v>379</v>
      </c>
      <c r="C258" s="2" t="s">
        <v>985</v>
      </c>
      <c r="D258" s="2" t="s">
        <v>986</v>
      </c>
      <c r="E258" s="4">
        <v>6000</v>
      </c>
    </row>
    <row r="259" spans="1:5" x14ac:dyDescent="0.3">
      <c r="A259" s="2">
        <v>258</v>
      </c>
      <c r="B259" s="2" t="s">
        <v>379</v>
      </c>
      <c r="C259" s="2" t="s">
        <v>987</v>
      </c>
      <c r="D259" s="2" t="s">
        <v>988</v>
      </c>
      <c r="E259" s="4">
        <v>6500</v>
      </c>
    </row>
    <row r="260" spans="1:5" x14ac:dyDescent="0.3">
      <c r="A260" s="2">
        <v>259</v>
      </c>
      <c r="B260" s="2" t="s">
        <v>379</v>
      </c>
      <c r="C260" s="2" t="s">
        <v>989</v>
      </c>
      <c r="D260" s="2" t="s">
        <v>990</v>
      </c>
      <c r="E260" s="4">
        <v>13000</v>
      </c>
    </row>
    <row r="261" spans="1:5" x14ac:dyDescent="0.3">
      <c r="A261" s="2">
        <v>260</v>
      </c>
      <c r="B261" s="2" t="s">
        <v>379</v>
      </c>
      <c r="C261" s="2" t="s">
        <v>991</v>
      </c>
      <c r="D261" s="2" t="s">
        <v>992</v>
      </c>
      <c r="E261" s="4">
        <v>11000</v>
      </c>
    </row>
    <row r="262" spans="1:5" x14ac:dyDescent="0.3">
      <c r="A262" s="2">
        <v>261</v>
      </c>
      <c r="B262" s="2" t="s">
        <v>384</v>
      </c>
      <c r="C262" s="2" t="s">
        <v>946</v>
      </c>
      <c r="D262" s="2" t="s">
        <v>1098</v>
      </c>
      <c r="E262" s="4">
        <v>15000</v>
      </c>
    </row>
    <row r="263" spans="1:5" x14ac:dyDescent="0.3">
      <c r="A263" s="2">
        <v>262</v>
      </c>
      <c r="B263" s="2" t="s">
        <v>384</v>
      </c>
      <c r="C263" s="2" t="s">
        <v>948</v>
      </c>
      <c r="D263" s="2" t="s">
        <v>949</v>
      </c>
      <c r="E263" s="4">
        <v>5000</v>
      </c>
    </row>
    <row r="264" spans="1:5" x14ac:dyDescent="0.3">
      <c r="A264" s="2">
        <v>263</v>
      </c>
      <c r="B264" s="2" t="s">
        <v>384</v>
      </c>
      <c r="C264" s="2" t="s">
        <v>950</v>
      </c>
      <c r="D264" s="2" t="s">
        <v>1074</v>
      </c>
      <c r="E264" s="4">
        <v>4000</v>
      </c>
    </row>
    <row r="265" spans="1:5" x14ac:dyDescent="0.3">
      <c r="A265" s="2">
        <v>264</v>
      </c>
      <c r="B265" s="2" t="s">
        <v>384</v>
      </c>
      <c r="C265" s="2" t="s">
        <v>952</v>
      </c>
      <c r="D265" s="2" t="s">
        <v>953</v>
      </c>
      <c r="E265" s="4">
        <v>17000</v>
      </c>
    </row>
    <row r="266" spans="1:5" x14ac:dyDescent="0.3">
      <c r="A266" s="2">
        <v>265</v>
      </c>
      <c r="B266" s="2" t="s">
        <v>384</v>
      </c>
      <c r="C266" s="2" t="s">
        <v>954</v>
      </c>
      <c r="D266" s="2" t="s">
        <v>955</v>
      </c>
      <c r="E266" s="4">
        <v>11000</v>
      </c>
    </row>
    <row r="267" spans="1:5" x14ac:dyDescent="0.3">
      <c r="A267" s="2">
        <v>266</v>
      </c>
      <c r="B267" s="2" t="s">
        <v>384</v>
      </c>
      <c r="C267" s="2" t="s">
        <v>956</v>
      </c>
      <c r="D267" s="2" t="s">
        <v>1075</v>
      </c>
      <c r="E267" s="4">
        <v>6000</v>
      </c>
    </row>
    <row r="268" spans="1:5" x14ac:dyDescent="0.3">
      <c r="A268" s="2">
        <v>267</v>
      </c>
      <c r="B268" s="2" t="s">
        <v>384</v>
      </c>
      <c r="C268" s="2" t="s">
        <v>958</v>
      </c>
      <c r="D268" s="2" t="s">
        <v>959</v>
      </c>
      <c r="E268" s="4">
        <v>4500</v>
      </c>
    </row>
    <row r="269" spans="1:5" x14ac:dyDescent="0.3">
      <c r="A269" s="2">
        <v>268</v>
      </c>
      <c r="B269" s="2" t="s">
        <v>384</v>
      </c>
      <c r="C269" s="2" t="s">
        <v>960</v>
      </c>
      <c r="D269" s="2" t="s">
        <v>961</v>
      </c>
      <c r="E269" s="4">
        <v>8500</v>
      </c>
    </row>
    <row r="270" spans="1:5" x14ac:dyDescent="0.3">
      <c r="A270" s="2">
        <v>269</v>
      </c>
      <c r="B270" s="2" t="s">
        <v>384</v>
      </c>
      <c r="C270" s="2" t="s">
        <v>962</v>
      </c>
      <c r="D270" s="2" t="s">
        <v>963</v>
      </c>
      <c r="E270" s="4">
        <v>2000</v>
      </c>
    </row>
    <row r="271" spans="1:5" x14ac:dyDescent="0.3">
      <c r="A271" s="2">
        <v>270</v>
      </c>
      <c r="B271" s="2" t="s">
        <v>1103</v>
      </c>
      <c r="C271" s="2" t="s">
        <v>964</v>
      </c>
      <c r="D271" s="2" t="s">
        <v>1027</v>
      </c>
      <c r="E271" s="4">
        <v>1500</v>
      </c>
    </row>
    <row r="272" spans="1:5" x14ac:dyDescent="0.3">
      <c r="A272" s="2">
        <v>271</v>
      </c>
      <c r="B272" s="2" t="s">
        <v>389</v>
      </c>
      <c r="C272" s="2" t="s">
        <v>967</v>
      </c>
      <c r="D272" s="2" t="s">
        <v>968</v>
      </c>
      <c r="E272" s="4">
        <v>18000</v>
      </c>
    </row>
    <row r="273" spans="1:5" x14ac:dyDescent="0.3">
      <c r="A273" s="2">
        <v>272</v>
      </c>
      <c r="B273" s="2" t="s">
        <v>389</v>
      </c>
      <c r="C273" s="2" t="s">
        <v>969</v>
      </c>
      <c r="D273" s="2" t="s">
        <v>970</v>
      </c>
      <c r="E273" s="4">
        <v>4500</v>
      </c>
    </row>
    <row r="274" spans="1:5" x14ac:dyDescent="0.3">
      <c r="A274" s="2">
        <v>273</v>
      </c>
      <c r="B274" s="2" t="s">
        <v>389</v>
      </c>
      <c r="C274" s="2" t="s">
        <v>971</v>
      </c>
      <c r="D274" s="2" t="s">
        <v>972</v>
      </c>
      <c r="E274" s="4">
        <v>16000</v>
      </c>
    </row>
    <row r="275" spans="1:5" x14ac:dyDescent="0.3">
      <c r="A275" s="2">
        <v>274</v>
      </c>
      <c r="B275" s="2" t="s">
        <v>389</v>
      </c>
      <c r="C275" s="2" t="s">
        <v>973</v>
      </c>
      <c r="D275" s="2" t="s">
        <v>974</v>
      </c>
      <c r="E275" s="4">
        <v>9000</v>
      </c>
    </row>
    <row r="276" spans="1:5" x14ac:dyDescent="0.3">
      <c r="A276" s="2">
        <v>275</v>
      </c>
      <c r="B276" s="2" t="s">
        <v>389</v>
      </c>
      <c r="C276" s="2" t="s">
        <v>975</v>
      </c>
      <c r="D276" s="2" t="s">
        <v>976</v>
      </c>
      <c r="E276" s="4">
        <v>2500</v>
      </c>
    </row>
    <row r="277" spans="1:5" x14ac:dyDescent="0.3">
      <c r="A277" s="2">
        <v>276</v>
      </c>
      <c r="B277" s="2" t="s">
        <v>389</v>
      </c>
      <c r="C277" s="2" t="s">
        <v>977</v>
      </c>
      <c r="D277" s="2" t="s">
        <v>978</v>
      </c>
      <c r="E277" s="4">
        <v>5000</v>
      </c>
    </row>
    <row r="278" spans="1:5" x14ac:dyDescent="0.3">
      <c r="A278" s="2">
        <v>277</v>
      </c>
      <c r="B278" s="2" t="s">
        <v>389</v>
      </c>
      <c r="C278" s="2" t="s">
        <v>979</v>
      </c>
      <c r="D278" s="2" t="s">
        <v>980</v>
      </c>
      <c r="E278" s="4">
        <v>15000</v>
      </c>
    </row>
    <row r="279" spans="1:5" x14ac:dyDescent="0.3">
      <c r="A279" s="2">
        <v>278</v>
      </c>
      <c r="B279" s="2" t="s">
        <v>389</v>
      </c>
      <c r="C279" s="2" t="s">
        <v>981</v>
      </c>
      <c r="D279" s="2" t="s">
        <v>982</v>
      </c>
      <c r="E279" s="4">
        <v>9000</v>
      </c>
    </row>
    <row r="280" spans="1:5" x14ac:dyDescent="0.3">
      <c r="A280" s="2">
        <v>279</v>
      </c>
      <c r="B280" s="2" t="s">
        <v>389</v>
      </c>
      <c r="C280" s="2" t="s">
        <v>1050</v>
      </c>
      <c r="D280" s="2" t="s">
        <v>1051</v>
      </c>
      <c r="E280" s="4">
        <v>7000</v>
      </c>
    </row>
    <row r="281" spans="1:5" x14ac:dyDescent="0.3">
      <c r="A281" s="2">
        <v>280</v>
      </c>
      <c r="B281" s="2" t="s">
        <v>389</v>
      </c>
      <c r="C281" s="2" t="s">
        <v>1052</v>
      </c>
      <c r="D281" s="2" t="s">
        <v>1053</v>
      </c>
      <c r="E281" s="4">
        <v>12000</v>
      </c>
    </row>
    <row r="282" spans="1:5" x14ac:dyDescent="0.3">
      <c r="A282" s="2">
        <v>281</v>
      </c>
      <c r="B282" s="2" t="s">
        <v>394</v>
      </c>
      <c r="C282" s="2" t="s">
        <v>1104</v>
      </c>
      <c r="D282" s="2" t="s">
        <v>1105</v>
      </c>
      <c r="E282" s="4">
        <v>1500</v>
      </c>
    </row>
    <row r="283" spans="1:5" x14ac:dyDescent="0.3">
      <c r="A283" s="2">
        <v>282</v>
      </c>
      <c r="B283" s="2" t="s">
        <v>394</v>
      </c>
      <c r="C283" s="2" t="s">
        <v>1106</v>
      </c>
      <c r="D283" s="2" t="s">
        <v>1107</v>
      </c>
      <c r="E283" s="4">
        <v>2000</v>
      </c>
    </row>
    <row r="284" spans="1:5" x14ac:dyDescent="0.3">
      <c r="A284" s="2">
        <v>283</v>
      </c>
      <c r="B284" s="2" t="s">
        <v>394</v>
      </c>
      <c r="C284" s="2" t="s">
        <v>1108</v>
      </c>
      <c r="D284" s="2" t="s">
        <v>1109</v>
      </c>
      <c r="E284" s="4">
        <v>1500</v>
      </c>
    </row>
    <row r="285" spans="1:5" x14ac:dyDescent="0.3">
      <c r="A285" s="2">
        <v>284</v>
      </c>
      <c r="B285" s="2" t="s">
        <v>394</v>
      </c>
      <c r="C285" s="2" t="s">
        <v>1110</v>
      </c>
      <c r="D285" s="2" t="s">
        <v>1111</v>
      </c>
      <c r="E285" s="4">
        <v>2000</v>
      </c>
    </row>
    <row r="286" spans="1:5" x14ac:dyDescent="0.3">
      <c r="A286" s="2">
        <v>285</v>
      </c>
      <c r="B286" s="2" t="s">
        <v>394</v>
      </c>
      <c r="C286" s="2" t="s">
        <v>1112</v>
      </c>
      <c r="D286" s="2" t="s">
        <v>1113</v>
      </c>
      <c r="E286" s="4">
        <v>2000</v>
      </c>
    </row>
    <row r="287" spans="1:5" x14ac:dyDescent="0.3">
      <c r="A287" s="2">
        <v>286</v>
      </c>
      <c r="B287" s="2" t="s">
        <v>394</v>
      </c>
      <c r="C287" s="2" t="s">
        <v>1114</v>
      </c>
      <c r="D287" s="2" t="s">
        <v>1115</v>
      </c>
      <c r="E287" s="4">
        <v>2500</v>
      </c>
    </row>
    <row r="288" spans="1:5" x14ac:dyDescent="0.3">
      <c r="A288" s="2">
        <v>287</v>
      </c>
      <c r="B288" s="2" t="s">
        <v>394</v>
      </c>
      <c r="C288" s="2" t="s">
        <v>1116</v>
      </c>
      <c r="D288" s="2" t="s">
        <v>1117</v>
      </c>
      <c r="E288" s="4">
        <v>2000</v>
      </c>
    </row>
    <row r="289" spans="1:5" x14ac:dyDescent="0.3">
      <c r="A289" s="2">
        <v>288</v>
      </c>
      <c r="B289" s="2" t="s">
        <v>394</v>
      </c>
      <c r="C289" s="2" t="s">
        <v>1118</v>
      </c>
      <c r="D289" s="2" t="s">
        <v>1119</v>
      </c>
      <c r="E289" s="4">
        <v>2500</v>
      </c>
    </row>
    <row r="290" spans="1:5" x14ac:dyDescent="0.3">
      <c r="A290" s="2">
        <v>289</v>
      </c>
      <c r="B290" s="2" t="s">
        <v>394</v>
      </c>
      <c r="C290" s="2" t="s">
        <v>1120</v>
      </c>
      <c r="D290" s="2" t="s">
        <v>1121</v>
      </c>
      <c r="E290" s="4">
        <v>3000</v>
      </c>
    </row>
    <row r="291" spans="1:5" x14ac:dyDescent="0.3">
      <c r="A291" s="2">
        <v>290</v>
      </c>
      <c r="B291" s="2" t="s">
        <v>399</v>
      </c>
      <c r="C291" s="2" t="s">
        <v>1076</v>
      </c>
      <c r="D291" s="2" t="s">
        <v>1077</v>
      </c>
      <c r="E291" s="4">
        <v>10000</v>
      </c>
    </row>
    <row r="292" spans="1:5" x14ac:dyDescent="0.3">
      <c r="A292" s="2">
        <v>291</v>
      </c>
      <c r="B292" s="2" t="s">
        <v>399</v>
      </c>
      <c r="C292" s="2" t="s">
        <v>1078</v>
      </c>
      <c r="D292" s="2" t="s">
        <v>1079</v>
      </c>
      <c r="E292" s="4">
        <v>10500</v>
      </c>
    </row>
    <row r="293" spans="1:5" x14ac:dyDescent="0.3">
      <c r="A293" s="2">
        <v>292</v>
      </c>
      <c r="B293" s="2" t="s">
        <v>399</v>
      </c>
      <c r="C293" s="2" t="s">
        <v>1080</v>
      </c>
      <c r="D293" s="2" t="s">
        <v>1081</v>
      </c>
      <c r="E293" s="4">
        <v>11000</v>
      </c>
    </row>
    <row r="294" spans="1:5" x14ac:dyDescent="0.3">
      <c r="A294" s="2">
        <v>293</v>
      </c>
      <c r="B294" s="2" t="s">
        <v>399</v>
      </c>
      <c r="C294" s="2" t="s">
        <v>1082</v>
      </c>
      <c r="D294" s="2" t="s">
        <v>1083</v>
      </c>
      <c r="E294" s="4">
        <v>11000</v>
      </c>
    </row>
    <row r="295" spans="1:5" x14ac:dyDescent="0.3">
      <c r="A295" s="2">
        <v>294</v>
      </c>
      <c r="B295" s="2" t="s">
        <v>399</v>
      </c>
      <c r="C295" s="2" t="s">
        <v>1084</v>
      </c>
      <c r="D295" s="2" t="s">
        <v>1085</v>
      </c>
      <c r="E295" s="4">
        <v>12000</v>
      </c>
    </row>
    <row r="296" spans="1:5" x14ac:dyDescent="0.3">
      <c r="A296" s="2">
        <v>295</v>
      </c>
      <c r="B296" s="2" t="s">
        <v>399</v>
      </c>
      <c r="C296" s="2" t="s">
        <v>1086</v>
      </c>
      <c r="D296" s="2" t="s">
        <v>1087</v>
      </c>
      <c r="E296" s="4">
        <v>12000</v>
      </c>
    </row>
    <row r="297" spans="1:5" x14ac:dyDescent="0.3">
      <c r="A297" s="2">
        <v>296</v>
      </c>
      <c r="B297" s="2" t="s">
        <v>399</v>
      </c>
      <c r="C297" s="2" t="s">
        <v>1088</v>
      </c>
      <c r="D297" s="2" t="s">
        <v>1122</v>
      </c>
      <c r="E297" s="4">
        <v>11000</v>
      </c>
    </row>
    <row r="298" spans="1:5" x14ac:dyDescent="0.3">
      <c r="A298" s="2">
        <v>297</v>
      </c>
      <c r="B298" s="2" t="s">
        <v>404</v>
      </c>
      <c r="C298" s="2" t="s">
        <v>1104</v>
      </c>
      <c r="D298" s="2" t="s">
        <v>1105</v>
      </c>
      <c r="E298" s="4">
        <v>1500</v>
      </c>
    </row>
    <row r="299" spans="1:5" x14ac:dyDescent="0.3">
      <c r="A299" s="2">
        <v>298</v>
      </c>
      <c r="B299" s="2" t="s">
        <v>404</v>
      </c>
      <c r="C299" s="2" t="s">
        <v>1106</v>
      </c>
      <c r="D299" s="2" t="s">
        <v>1107</v>
      </c>
      <c r="E299" s="4">
        <v>2000</v>
      </c>
    </row>
    <row r="300" spans="1:5" x14ac:dyDescent="0.3">
      <c r="A300" s="2">
        <v>299</v>
      </c>
      <c r="B300" s="2" t="s">
        <v>404</v>
      </c>
      <c r="C300" s="2" t="s">
        <v>1108</v>
      </c>
      <c r="D300" s="2" t="s">
        <v>1109</v>
      </c>
      <c r="E300" s="4">
        <v>1500</v>
      </c>
    </row>
    <row r="301" spans="1:5" x14ac:dyDescent="0.3">
      <c r="A301" s="2">
        <v>300</v>
      </c>
      <c r="B301" s="2" t="s">
        <v>404</v>
      </c>
      <c r="C301" s="2" t="s">
        <v>1110</v>
      </c>
      <c r="D301" s="2" t="s">
        <v>1111</v>
      </c>
      <c r="E301" s="4">
        <v>2000</v>
      </c>
    </row>
    <row r="302" spans="1:5" x14ac:dyDescent="0.3">
      <c r="A302" s="2">
        <v>301</v>
      </c>
      <c r="B302" s="2" t="s">
        <v>404</v>
      </c>
      <c r="C302" s="2" t="s">
        <v>1112</v>
      </c>
      <c r="D302" s="2" t="s">
        <v>1113</v>
      </c>
      <c r="E302" s="4">
        <v>2000</v>
      </c>
    </row>
    <row r="303" spans="1:5" x14ac:dyDescent="0.3">
      <c r="A303" s="2">
        <v>302</v>
      </c>
      <c r="B303" s="2" t="s">
        <v>404</v>
      </c>
      <c r="C303" s="2" t="s">
        <v>1114</v>
      </c>
      <c r="D303" s="2" t="s">
        <v>1115</v>
      </c>
      <c r="E303" s="4">
        <v>2500</v>
      </c>
    </row>
    <row r="304" spans="1:5" x14ac:dyDescent="0.3">
      <c r="A304" s="2">
        <v>303</v>
      </c>
      <c r="B304" s="2" t="s">
        <v>404</v>
      </c>
      <c r="C304" s="2" t="s">
        <v>1116</v>
      </c>
      <c r="D304" s="2" t="s">
        <v>1117</v>
      </c>
      <c r="E304" s="4">
        <v>2000</v>
      </c>
    </row>
    <row r="305" spans="1:5" x14ac:dyDescent="0.3">
      <c r="A305" s="2">
        <v>304</v>
      </c>
      <c r="B305" s="2" t="s">
        <v>404</v>
      </c>
      <c r="C305" s="2" t="s">
        <v>1118</v>
      </c>
      <c r="D305" s="2" t="s">
        <v>1119</v>
      </c>
      <c r="E305" s="4">
        <v>2500</v>
      </c>
    </row>
    <row r="306" spans="1:5" x14ac:dyDescent="0.3">
      <c r="A306" s="2">
        <v>305</v>
      </c>
      <c r="B306" s="2" t="s">
        <v>404</v>
      </c>
      <c r="C306" s="2" t="s">
        <v>1120</v>
      </c>
      <c r="D306" s="2" t="s">
        <v>1121</v>
      </c>
      <c r="E306" s="4">
        <v>3000</v>
      </c>
    </row>
    <row r="307" spans="1:5" x14ac:dyDescent="0.3">
      <c r="A307" s="2">
        <v>306</v>
      </c>
      <c r="B307" s="2" t="s">
        <v>409</v>
      </c>
      <c r="C307" s="2" t="s">
        <v>1104</v>
      </c>
      <c r="D307" s="2" t="s">
        <v>1105</v>
      </c>
      <c r="E307" s="4">
        <v>1500</v>
      </c>
    </row>
    <row r="308" spans="1:5" x14ac:dyDescent="0.3">
      <c r="A308" s="2">
        <v>307</v>
      </c>
      <c r="B308" s="2" t="s">
        <v>409</v>
      </c>
      <c r="C308" s="2" t="s">
        <v>1106</v>
      </c>
      <c r="D308" s="2" t="s">
        <v>1107</v>
      </c>
      <c r="E308" s="4">
        <v>2000</v>
      </c>
    </row>
    <row r="309" spans="1:5" x14ac:dyDescent="0.3">
      <c r="A309" s="2">
        <v>308</v>
      </c>
      <c r="B309" s="2" t="s">
        <v>409</v>
      </c>
      <c r="C309" s="2" t="s">
        <v>1108</v>
      </c>
      <c r="D309" s="2" t="s">
        <v>1109</v>
      </c>
      <c r="E309" s="4">
        <v>1500</v>
      </c>
    </row>
    <row r="310" spans="1:5" x14ac:dyDescent="0.3">
      <c r="A310" s="2">
        <v>309</v>
      </c>
      <c r="B310" s="2" t="s">
        <v>409</v>
      </c>
      <c r="C310" s="2" t="s">
        <v>1110</v>
      </c>
      <c r="D310" s="2" t="s">
        <v>1111</v>
      </c>
      <c r="E310" s="4">
        <v>2000</v>
      </c>
    </row>
    <row r="311" spans="1:5" x14ac:dyDescent="0.3">
      <c r="A311" s="2">
        <v>310</v>
      </c>
      <c r="B311" s="2" t="s">
        <v>409</v>
      </c>
      <c r="C311" s="2" t="s">
        <v>1112</v>
      </c>
      <c r="D311" s="2" t="s">
        <v>1113</v>
      </c>
      <c r="E311" s="4">
        <v>2000</v>
      </c>
    </row>
    <row r="312" spans="1:5" x14ac:dyDescent="0.3">
      <c r="A312" s="2">
        <v>311</v>
      </c>
      <c r="B312" s="2" t="s">
        <v>409</v>
      </c>
      <c r="C312" s="2" t="s">
        <v>1114</v>
      </c>
      <c r="D312" s="2" t="s">
        <v>1115</v>
      </c>
      <c r="E312" s="4">
        <v>2500</v>
      </c>
    </row>
    <row r="313" spans="1:5" x14ac:dyDescent="0.3">
      <c r="A313" s="2">
        <v>312</v>
      </c>
      <c r="B313" s="2" t="s">
        <v>409</v>
      </c>
      <c r="C313" s="2" t="s">
        <v>1116</v>
      </c>
      <c r="D313" s="2" t="s">
        <v>1117</v>
      </c>
      <c r="E313" s="4">
        <v>2000</v>
      </c>
    </row>
    <row r="314" spans="1:5" x14ac:dyDescent="0.3">
      <c r="A314" s="2">
        <v>313</v>
      </c>
      <c r="B314" s="2" t="s">
        <v>409</v>
      </c>
      <c r="C314" s="2" t="s">
        <v>1118</v>
      </c>
      <c r="D314" s="2" t="s">
        <v>1119</v>
      </c>
      <c r="E314" s="4">
        <v>2500</v>
      </c>
    </row>
    <row r="315" spans="1:5" x14ac:dyDescent="0.3">
      <c r="A315" s="2">
        <v>314</v>
      </c>
      <c r="B315" s="2" t="s">
        <v>409</v>
      </c>
      <c r="C315" s="2" t="s">
        <v>1120</v>
      </c>
      <c r="D315" s="2" t="s">
        <v>1121</v>
      </c>
      <c r="E315" s="4">
        <v>3000</v>
      </c>
    </row>
    <row r="316" spans="1:5" x14ac:dyDescent="0.3">
      <c r="A316" s="2">
        <v>315</v>
      </c>
      <c r="B316" s="2" t="s">
        <v>414</v>
      </c>
      <c r="C316" s="2" t="s">
        <v>946</v>
      </c>
      <c r="D316" s="2" t="s">
        <v>1098</v>
      </c>
      <c r="E316" s="4">
        <v>15000</v>
      </c>
    </row>
    <row r="317" spans="1:5" x14ac:dyDescent="0.3">
      <c r="A317" s="2">
        <v>316</v>
      </c>
      <c r="B317" s="2" t="s">
        <v>414</v>
      </c>
      <c r="C317" s="2" t="s">
        <v>948</v>
      </c>
      <c r="D317" s="2" t="s">
        <v>949</v>
      </c>
      <c r="E317" s="4">
        <v>5000</v>
      </c>
    </row>
    <row r="318" spans="1:5" x14ac:dyDescent="0.3">
      <c r="A318" s="2">
        <v>317</v>
      </c>
      <c r="B318" s="2" t="s">
        <v>414</v>
      </c>
      <c r="C318" s="2" t="s">
        <v>950</v>
      </c>
      <c r="D318" s="2" t="s">
        <v>1074</v>
      </c>
      <c r="E318" s="4">
        <v>4000</v>
      </c>
    </row>
    <row r="319" spans="1:5" x14ac:dyDescent="0.3">
      <c r="A319" s="2">
        <v>318</v>
      </c>
      <c r="B319" s="2" t="s">
        <v>414</v>
      </c>
      <c r="C319" s="2" t="s">
        <v>952</v>
      </c>
      <c r="D319" s="2" t="s">
        <v>953</v>
      </c>
      <c r="E319" s="4">
        <v>17000</v>
      </c>
    </row>
    <row r="320" spans="1:5" x14ac:dyDescent="0.3">
      <c r="A320" s="2">
        <v>319</v>
      </c>
      <c r="B320" s="2" t="s">
        <v>414</v>
      </c>
      <c r="C320" s="2" t="s">
        <v>954</v>
      </c>
      <c r="D320" s="2" t="s">
        <v>955</v>
      </c>
      <c r="E320" s="4">
        <v>11000</v>
      </c>
    </row>
    <row r="321" spans="1:5" x14ac:dyDescent="0.3">
      <c r="A321" s="2">
        <v>320</v>
      </c>
      <c r="B321" s="2" t="s">
        <v>414</v>
      </c>
      <c r="C321" s="2" t="s">
        <v>956</v>
      </c>
      <c r="D321" s="2" t="s">
        <v>1075</v>
      </c>
      <c r="E321" s="4">
        <v>6000</v>
      </c>
    </row>
    <row r="322" spans="1:5" x14ac:dyDescent="0.3">
      <c r="A322" s="2">
        <v>321</v>
      </c>
      <c r="B322" s="2" t="s">
        <v>414</v>
      </c>
      <c r="C322" s="2" t="s">
        <v>958</v>
      </c>
      <c r="D322" s="2" t="s">
        <v>959</v>
      </c>
      <c r="E322" s="4">
        <v>4500</v>
      </c>
    </row>
    <row r="323" spans="1:5" x14ac:dyDescent="0.3">
      <c r="A323" s="2">
        <v>322</v>
      </c>
      <c r="B323" s="2" t="s">
        <v>414</v>
      </c>
      <c r="C323" s="2" t="s">
        <v>960</v>
      </c>
      <c r="D323" s="2" t="s">
        <v>961</v>
      </c>
      <c r="E323" s="4">
        <v>8500</v>
      </c>
    </row>
    <row r="324" spans="1:5" x14ac:dyDescent="0.3">
      <c r="A324" s="2">
        <v>323</v>
      </c>
      <c r="B324" s="2" t="s">
        <v>414</v>
      </c>
      <c r="C324" s="2" t="s">
        <v>962</v>
      </c>
      <c r="D324" s="2" t="s">
        <v>963</v>
      </c>
      <c r="E324" s="4">
        <v>2000</v>
      </c>
    </row>
    <row r="325" spans="1:5" x14ac:dyDescent="0.3">
      <c r="A325" s="2">
        <v>324</v>
      </c>
      <c r="B325" s="2" t="s">
        <v>419</v>
      </c>
      <c r="C325" s="2" t="s">
        <v>1028</v>
      </c>
      <c r="D325" s="2" t="s">
        <v>1029</v>
      </c>
      <c r="E325" s="4">
        <v>4000</v>
      </c>
    </row>
    <row r="326" spans="1:5" x14ac:dyDescent="0.3">
      <c r="A326" s="2">
        <v>325</v>
      </c>
      <c r="B326" s="2" t="s">
        <v>419</v>
      </c>
      <c r="C326" s="2" t="s">
        <v>1030</v>
      </c>
      <c r="D326" s="2" t="s">
        <v>1031</v>
      </c>
      <c r="E326" s="4">
        <v>5000</v>
      </c>
    </row>
    <row r="327" spans="1:5" x14ac:dyDescent="0.3">
      <c r="A327" s="2">
        <v>326</v>
      </c>
      <c r="B327" s="2" t="s">
        <v>419</v>
      </c>
      <c r="C327" s="2" t="s">
        <v>1032</v>
      </c>
      <c r="D327" s="2" t="s">
        <v>1033</v>
      </c>
      <c r="E327" s="4">
        <v>5000</v>
      </c>
    </row>
    <row r="328" spans="1:5" x14ac:dyDescent="0.3">
      <c r="A328" s="2">
        <v>327</v>
      </c>
      <c r="B328" s="2" t="s">
        <v>419</v>
      </c>
      <c r="C328" s="2" t="s">
        <v>1034</v>
      </c>
      <c r="D328" s="2" t="s">
        <v>1035</v>
      </c>
      <c r="E328" s="4">
        <v>6000</v>
      </c>
    </row>
    <row r="329" spans="1:5" x14ac:dyDescent="0.3">
      <c r="A329" s="2">
        <v>328</v>
      </c>
      <c r="B329" s="2" t="s">
        <v>419</v>
      </c>
      <c r="C329" s="2" t="s">
        <v>1036</v>
      </c>
      <c r="D329" s="2" t="s">
        <v>1037</v>
      </c>
      <c r="E329" s="4">
        <v>5000</v>
      </c>
    </row>
    <row r="330" spans="1:5" x14ac:dyDescent="0.3">
      <c r="A330" s="2">
        <v>329</v>
      </c>
      <c r="B330" s="2" t="s">
        <v>419</v>
      </c>
      <c r="C330" s="2" t="s">
        <v>1038</v>
      </c>
      <c r="D330" s="2" t="s">
        <v>1039</v>
      </c>
      <c r="E330" s="4">
        <v>2000</v>
      </c>
    </row>
    <row r="331" spans="1:5" x14ac:dyDescent="0.3">
      <c r="A331" s="2">
        <v>330</v>
      </c>
      <c r="B331" s="2" t="s">
        <v>419</v>
      </c>
      <c r="C331" s="2" t="s">
        <v>1065</v>
      </c>
      <c r="D331" s="2" t="s">
        <v>1066</v>
      </c>
      <c r="E331" s="4">
        <v>4000</v>
      </c>
    </row>
    <row r="332" spans="1:5" x14ac:dyDescent="0.3">
      <c r="A332" s="2">
        <v>331</v>
      </c>
      <c r="B332" s="2" t="s">
        <v>419</v>
      </c>
      <c r="C332" s="2" t="s">
        <v>1067</v>
      </c>
      <c r="D332" s="2" t="s">
        <v>1068</v>
      </c>
      <c r="E332" s="4">
        <v>6500</v>
      </c>
    </row>
    <row r="333" spans="1:5" x14ac:dyDescent="0.3">
      <c r="A333" s="2">
        <v>332</v>
      </c>
      <c r="B333" s="2" t="s">
        <v>419</v>
      </c>
      <c r="C333" s="2" t="s">
        <v>1069</v>
      </c>
      <c r="D333" s="2" t="s">
        <v>1070</v>
      </c>
      <c r="E333" s="4">
        <v>8000</v>
      </c>
    </row>
    <row r="334" spans="1:5" x14ac:dyDescent="0.3">
      <c r="A334" s="2">
        <v>333</v>
      </c>
      <c r="B334" s="2" t="s">
        <v>424</v>
      </c>
      <c r="C334" s="2" t="s">
        <v>1028</v>
      </c>
      <c r="D334" s="2" t="s">
        <v>1029</v>
      </c>
      <c r="E334" s="4">
        <v>4000</v>
      </c>
    </row>
    <row r="335" spans="1:5" x14ac:dyDescent="0.3">
      <c r="A335" s="2">
        <v>334</v>
      </c>
      <c r="B335" s="2" t="s">
        <v>424</v>
      </c>
      <c r="C335" s="2" t="s">
        <v>1030</v>
      </c>
      <c r="D335" s="2" t="s">
        <v>1031</v>
      </c>
      <c r="E335" s="4">
        <v>5000</v>
      </c>
    </row>
    <row r="336" spans="1:5" x14ac:dyDescent="0.3">
      <c r="A336" s="2">
        <v>335</v>
      </c>
      <c r="B336" s="2" t="s">
        <v>424</v>
      </c>
      <c r="C336" s="2" t="s">
        <v>1032</v>
      </c>
      <c r="D336" s="2" t="s">
        <v>1033</v>
      </c>
      <c r="E336" s="4">
        <v>5000</v>
      </c>
    </row>
    <row r="337" spans="1:5" x14ac:dyDescent="0.3">
      <c r="A337" s="2">
        <v>336</v>
      </c>
      <c r="B337" s="2" t="s">
        <v>424</v>
      </c>
      <c r="C337" s="2" t="s">
        <v>1034</v>
      </c>
      <c r="D337" s="2" t="s">
        <v>1035</v>
      </c>
      <c r="E337" s="4">
        <v>6000</v>
      </c>
    </row>
    <row r="338" spans="1:5" x14ac:dyDescent="0.3">
      <c r="A338" s="2">
        <v>337</v>
      </c>
      <c r="B338" s="2" t="s">
        <v>424</v>
      </c>
      <c r="C338" s="2" t="s">
        <v>1036</v>
      </c>
      <c r="D338" s="2" t="s">
        <v>1037</v>
      </c>
      <c r="E338" s="4">
        <v>5000</v>
      </c>
    </row>
    <row r="339" spans="1:5" x14ac:dyDescent="0.3">
      <c r="A339" s="2">
        <v>338</v>
      </c>
      <c r="B339" s="2" t="s">
        <v>424</v>
      </c>
      <c r="C339" s="2" t="s">
        <v>1038</v>
      </c>
      <c r="D339" s="2" t="s">
        <v>1039</v>
      </c>
      <c r="E339" s="4">
        <v>2000</v>
      </c>
    </row>
    <row r="340" spans="1:5" x14ac:dyDescent="0.3">
      <c r="A340" s="2">
        <v>339</v>
      </c>
      <c r="B340" s="2" t="s">
        <v>424</v>
      </c>
      <c r="C340" s="2" t="s">
        <v>1065</v>
      </c>
      <c r="D340" s="2" t="s">
        <v>1066</v>
      </c>
      <c r="E340" s="4">
        <v>4000</v>
      </c>
    </row>
    <row r="341" spans="1:5" x14ac:dyDescent="0.3">
      <c r="A341" s="2">
        <v>340</v>
      </c>
      <c r="B341" s="2" t="s">
        <v>424</v>
      </c>
      <c r="C341" s="2" t="s">
        <v>1067</v>
      </c>
      <c r="D341" s="2" t="s">
        <v>1068</v>
      </c>
      <c r="E341" s="4">
        <v>6500</v>
      </c>
    </row>
    <row r="342" spans="1:5" x14ac:dyDescent="0.3">
      <c r="A342" s="2">
        <v>341</v>
      </c>
      <c r="B342" s="2" t="s">
        <v>424</v>
      </c>
      <c r="C342" s="2" t="s">
        <v>1069</v>
      </c>
      <c r="D342" s="2" t="s">
        <v>1070</v>
      </c>
      <c r="E342" s="4">
        <v>8000</v>
      </c>
    </row>
    <row r="343" spans="1:5" x14ac:dyDescent="0.3">
      <c r="A343" s="2">
        <v>342</v>
      </c>
      <c r="B343" s="2" t="s">
        <v>429</v>
      </c>
      <c r="C343" s="2" t="s">
        <v>946</v>
      </c>
      <c r="D343" s="2" t="s">
        <v>1098</v>
      </c>
      <c r="E343" s="4">
        <v>15000</v>
      </c>
    </row>
    <row r="344" spans="1:5" x14ac:dyDescent="0.3">
      <c r="A344" s="2">
        <v>343</v>
      </c>
      <c r="B344" s="2" t="s">
        <v>429</v>
      </c>
      <c r="C344" s="2" t="s">
        <v>948</v>
      </c>
      <c r="D344" s="2" t="s">
        <v>949</v>
      </c>
      <c r="E344" s="4">
        <v>5000</v>
      </c>
    </row>
    <row r="345" spans="1:5" x14ac:dyDescent="0.3">
      <c r="A345" s="2">
        <v>344</v>
      </c>
      <c r="B345" s="2" t="s">
        <v>429</v>
      </c>
      <c r="C345" s="2" t="s">
        <v>950</v>
      </c>
      <c r="D345" s="2" t="s">
        <v>1074</v>
      </c>
      <c r="E345" s="4">
        <v>4000</v>
      </c>
    </row>
    <row r="346" spans="1:5" x14ac:dyDescent="0.3">
      <c r="A346" s="2">
        <v>345</v>
      </c>
      <c r="B346" s="2" t="s">
        <v>429</v>
      </c>
      <c r="C346" s="2" t="s">
        <v>952</v>
      </c>
      <c r="D346" s="2" t="s">
        <v>953</v>
      </c>
      <c r="E346" s="4">
        <v>17000</v>
      </c>
    </row>
    <row r="347" spans="1:5" x14ac:dyDescent="0.3">
      <c r="A347" s="2">
        <v>346</v>
      </c>
      <c r="B347" s="2" t="s">
        <v>429</v>
      </c>
      <c r="C347" s="2" t="s">
        <v>954</v>
      </c>
      <c r="D347" s="2" t="s">
        <v>955</v>
      </c>
      <c r="E347" s="4">
        <v>11000</v>
      </c>
    </row>
    <row r="348" spans="1:5" x14ac:dyDescent="0.3">
      <c r="A348" s="2">
        <v>347</v>
      </c>
      <c r="B348" s="2" t="s">
        <v>429</v>
      </c>
      <c r="C348" s="2" t="s">
        <v>956</v>
      </c>
      <c r="D348" s="2" t="s">
        <v>1075</v>
      </c>
      <c r="E348" s="4">
        <v>6000</v>
      </c>
    </row>
    <row r="349" spans="1:5" x14ac:dyDescent="0.3">
      <c r="A349" s="2">
        <v>348</v>
      </c>
      <c r="B349" s="2" t="s">
        <v>429</v>
      </c>
      <c r="C349" s="2" t="s">
        <v>958</v>
      </c>
      <c r="D349" s="2" t="s">
        <v>959</v>
      </c>
      <c r="E349" s="4">
        <v>4500</v>
      </c>
    </row>
    <row r="350" spans="1:5" x14ac:dyDescent="0.3">
      <c r="A350" s="2">
        <v>349</v>
      </c>
      <c r="B350" s="2" t="s">
        <v>429</v>
      </c>
      <c r="C350" s="2" t="s">
        <v>960</v>
      </c>
      <c r="D350" s="2" t="s">
        <v>961</v>
      </c>
      <c r="E350" s="4">
        <v>8500</v>
      </c>
    </row>
    <row r="351" spans="1:5" x14ac:dyDescent="0.3">
      <c r="A351" s="2">
        <v>350</v>
      </c>
      <c r="B351" s="2" t="s">
        <v>429</v>
      </c>
      <c r="C351" s="2" t="s">
        <v>962</v>
      </c>
      <c r="D351" s="2" t="s">
        <v>963</v>
      </c>
      <c r="E351" s="4">
        <v>2000</v>
      </c>
    </row>
    <row r="352" spans="1:5" x14ac:dyDescent="0.3">
      <c r="A352" s="2">
        <v>351</v>
      </c>
      <c r="B352" s="2" t="s">
        <v>434</v>
      </c>
      <c r="C352" s="2" t="s">
        <v>1028</v>
      </c>
      <c r="D352" s="2" t="s">
        <v>1029</v>
      </c>
      <c r="E352" s="4">
        <v>4000</v>
      </c>
    </row>
    <row r="353" spans="1:5" x14ac:dyDescent="0.3">
      <c r="A353" s="2">
        <v>352</v>
      </c>
      <c r="B353" s="2" t="s">
        <v>434</v>
      </c>
      <c r="C353" s="2" t="s">
        <v>1030</v>
      </c>
      <c r="D353" s="2" t="s">
        <v>1031</v>
      </c>
      <c r="E353" s="4">
        <v>5000</v>
      </c>
    </row>
    <row r="354" spans="1:5" x14ac:dyDescent="0.3">
      <c r="A354" s="2">
        <v>353</v>
      </c>
      <c r="B354" s="2" t="s">
        <v>434</v>
      </c>
      <c r="C354" s="2" t="s">
        <v>1032</v>
      </c>
      <c r="D354" s="2" t="s">
        <v>1033</v>
      </c>
      <c r="E354" s="4">
        <v>5000</v>
      </c>
    </row>
    <row r="355" spans="1:5" x14ac:dyDescent="0.3">
      <c r="A355" s="2">
        <v>354</v>
      </c>
      <c r="B355" s="2" t="s">
        <v>434</v>
      </c>
      <c r="C355" s="2" t="s">
        <v>1034</v>
      </c>
      <c r="D355" s="2" t="s">
        <v>1035</v>
      </c>
      <c r="E355" s="4">
        <v>6000</v>
      </c>
    </row>
    <row r="356" spans="1:5" x14ac:dyDescent="0.3">
      <c r="A356" s="2">
        <v>355</v>
      </c>
      <c r="B356" s="2" t="s">
        <v>434</v>
      </c>
      <c r="C356" s="2" t="s">
        <v>1036</v>
      </c>
      <c r="D356" s="2" t="s">
        <v>1037</v>
      </c>
      <c r="E356" s="4">
        <v>5000</v>
      </c>
    </row>
    <row r="357" spans="1:5" x14ac:dyDescent="0.3">
      <c r="A357" s="2">
        <v>356</v>
      </c>
      <c r="B357" s="2" t="s">
        <v>434</v>
      </c>
      <c r="C357" s="2" t="s">
        <v>1038</v>
      </c>
      <c r="D357" s="2" t="s">
        <v>1039</v>
      </c>
      <c r="E357" s="4">
        <v>2000</v>
      </c>
    </row>
    <row r="358" spans="1:5" x14ac:dyDescent="0.3">
      <c r="A358" s="2">
        <v>357</v>
      </c>
      <c r="B358" s="2" t="s">
        <v>434</v>
      </c>
      <c r="C358" s="2" t="s">
        <v>1065</v>
      </c>
      <c r="D358" s="2" t="s">
        <v>1066</v>
      </c>
      <c r="E358" s="4">
        <v>4000</v>
      </c>
    </row>
    <row r="359" spans="1:5" x14ac:dyDescent="0.3">
      <c r="A359" s="2">
        <v>358</v>
      </c>
      <c r="B359" s="2" t="s">
        <v>434</v>
      </c>
      <c r="C359" s="2" t="s">
        <v>1067</v>
      </c>
      <c r="D359" s="2" t="s">
        <v>1068</v>
      </c>
      <c r="E359" s="4">
        <v>6500</v>
      </c>
    </row>
    <row r="360" spans="1:5" x14ac:dyDescent="0.3">
      <c r="A360" s="2">
        <v>359</v>
      </c>
      <c r="B360" s="2" t="s">
        <v>434</v>
      </c>
      <c r="C360" s="2" t="s">
        <v>1069</v>
      </c>
      <c r="D360" s="2" t="s">
        <v>1070</v>
      </c>
      <c r="E360" s="4">
        <v>8000</v>
      </c>
    </row>
    <row r="361" spans="1:5" x14ac:dyDescent="0.3">
      <c r="A361" s="2">
        <v>360</v>
      </c>
      <c r="B361" s="2" t="s">
        <v>439</v>
      </c>
      <c r="C361" s="2" t="s">
        <v>1015</v>
      </c>
      <c r="D361" s="2" t="s">
        <v>1016</v>
      </c>
      <c r="E361" s="4">
        <v>4500</v>
      </c>
    </row>
    <row r="362" spans="1:5" x14ac:dyDescent="0.3">
      <c r="A362" s="2">
        <v>361</v>
      </c>
      <c r="B362" s="2" t="s">
        <v>439</v>
      </c>
      <c r="C362" s="2" t="s">
        <v>1017</v>
      </c>
      <c r="D362" s="2" t="s">
        <v>1018</v>
      </c>
      <c r="E362" s="4">
        <v>6000</v>
      </c>
    </row>
    <row r="363" spans="1:5" x14ac:dyDescent="0.3">
      <c r="A363" s="2">
        <v>362</v>
      </c>
      <c r="B363" s="2" t="s">
        <v>439</v>
      </c>
      <c r="C363" s="2" t="s">
        <v>1019</v>
      </c>
      <c r="D363" s="2" t="s">
        <v>1020</v>
      </c>
      <c r="E363" s="4">
        <v>7600</v>
      </c>
    </row>
    <row r="364" spans="1:5" x14ac:dyDescent="0.3">
      <c r="A364" s="2">
        <v>363</v>
      </c>
      <c r="B364" s="2" t="s">
        <v>439</v>
      </c>
      <c r="C364" s="2" t="s">
        <v>1021</v>
      </c>
      <c r="D364" s="2" t="s">
        <v>1022</v>
      </c>
      <c r="E364" s="4">
        <v>5000</v>
      </c>
    </row>
    <row r="365" spans="1:5" x14ac:dyDescent="0.3">
      <c r="A365" s="2">
        <v>364</v>
      </c>
      <c r="B365" s="2" t="s">
        <v>439</v>
      </c>
      <c r="C365" s="2" t="s">
        <v>1092</v>
      </c>
      <c r="D365" s="2" t="s">
        <v>1093</v>
      </c>
      <c r="E365" s="4">
        <v>6500</v>
      </c>
    </row>
    <row r="366" spans="1:5" x14ac:dyDescent="0.3">
      <c r="A366" s="2">
        <v>365</v>
      </c>
      <c r="B366" s="2" t="s">
        <v>439</v>
      </c>
      <c r="C366" s="2" t="s">
        <v>1094</v>
      </c>
      <c r="D366" s="2" t="s">
        <v>1095</v>
      </c>
      <c r="E366" s="4">
        <v>9000</v>
      </c>
    </row>
    <row r="367" spans="1:5" x14ac:dyDescent="0.3">
      <c r="A367" s="2">
        <v>366</v>
      </c>
      <c r="B367" s="2" t="s">
        <v>439</v>
      </c>
      <c r="C367" s="2" t="s">
        <v>1096</v>
      </c>
      <c r="D367" s="2" t="s">
        <v>1097</v>
      </c>
      <c r="E367" s="4">
        <v>2500</v>
      </c>
    </row>
    <row r="368" spans="1:5" x14ac:dyDescent="0.3">
      <c r="A368" s="2">
        <v>367</v>
      </c>
      <c r="B368" s="2" t="s">
        <v>439</v>
      </c>
      <c r="C368" s="2" t="s">
        <v>1023</v>
      </c>
      <c r="D368" s="2" t="s">
        <v>1024</v>
      </c>
      <c r="E368" s="4">
        <v>6000</v>
      </c>
    </row>
    <row r="369" spans="1:5" x14ac:dyDescent="0.3">
      <c r="A369" s="2">
        <v>368</v>
      </c>
      <c r="B369" s="2" t="s">
        <v>439</v>
      </c>
      <c r="C369" s="2" t="s">
        <v>1025</v>
      </c>
      <c r="D369" s="2" t="s">
        <v>1026</v>
      </c>
      <c r="E369" s="4">
        <v>5000</v>
      </c>
    </row>
    <row r="370" spans="1:5" x14ac:dyDescent="0.3">
      <c r="A370" s="2">
        <v>369</v>
      </c>
      <c r="B370" s="2" t="s">
        <v>439</v>
      </c>
      <c r="C370" s="2" t="s">
        <v>966</v>
      </c>
      <c r="D370" s="2" t="s">
        <v>1027</v>
      </c>
      <c r="E370" s="4">
        <v>1500</v>
      </c>
    </row>
    <row r="371" spans="1:5" x14ac:dyDescent="0.3">
      <c r="A371" s="2">
        <v>370</v>
      </c>
      <c r="B371" s="2" t="s">
        <v>444</v>
      </c>
      <c r="C371" s="2" t="s">
        <v>1028</v>
      </c>
      <c r="D371" s="2" t="s">
        <v>1029</v>
      </c>
      <c r="E371" s="4">
        <v>4000</v>
      </c>
    </row>
    <row r="372" spans="1:5" x14ac:dyDescent="0.3">
      <c r="A372" s="2">
        <v>371</v>
      </c>
      <c r="B372" s="2" t="s">
        <v>444</v>
      </c>
      <c r="C372" s="2" t="s">
        <v>1030</v>
      </c>
      <c r="D372" s="2" t="s">
        <v>1031</v>
      </c>
      <c r="E372" s="4">
        <v>5000</v>
      </c>
    </row>
    <row r="373" spans="1:5" x14ac:dyDescent="0.3">
      <c r="A373" s="2">
        <v>372</v>
      </c>
      <c r="B373" s="2" t="s">
        <v>444</v>
      </c>
      <c r="C373" s="2" t="s">
        <v>1032</v>
      </c>
      <c r="D373" s="2" t="s">
        <v>1033</v>
      </c>
      <c r="E373" s="4">
        <v>5000</v>
      </c>
    </row>
    <row r="374" spans="1:5" x14ac:dyDescent="0.3">
      <c r="A374" s="2">
        <v>373</v>
      </c>
      <c r="B374" s="2" t="s">
        <v>444</v>
      </c>
      <c r="C374" s="2" t="s">
        <v>1034</v>
      </c>
      <c r="D374" s="2" t="s">
        <v>1035</v>
      </c>
      <c r="E374" s="4">
        <v>6000</v>
      </c>
    </row>
    <row r="375" spans="1:5" x14ac:dyDescent="0.3">
      <c r="A375" s="2">
        <v>374</v>
      </c>
      <c r="B375" s="2" t="s">
        <v>444</v>
      </c>
      <c r="C375" s="2" t="s">
        <v>1036</v>
      </c>
      <c r="D375" s="2" t="s">
        <v>1037</v>
      </c>
      <c r="E375" s="4">
        <v>5000</v>
      </c>
    </row>
    <row r="376" spans="1:5" x14ac:dyDescent="0.3">
      <c r="A376" s="2">
        <v>375</v>
      </c>
      <c r="B376" s="2" t="s">
        <v>444</v>
      </c>
      <c r="C376" s="2" t="s">
        <v>1038</v>
      </c>
      <c r="D376" s="2" t="s">
        <v>1039</v>
      </c>
      <c r="E376" s="4">
        <v>2000</v>
      </c>
    </row>
    <row r="377" spans="1:5" x14ac:dyDescent="0.3">
      <c r="A377" s="2">
        <v>376</v>
      </c>
      <c r="B377" s="2" t="s">
        <v>444</v>
      </c>
      <c r="C377" s="2" t="s">
        <v>1065</v>
      </c>
      <c r="D377" s="2" t="s">
        <v>1066</v>
      </c>
      <c r="E377" s="4">
        <v>4000</v>
      </c>
    </row>
    <row r="378" spans="1:5" x14ac:dyDescent="0.3">
      <c r="A378" s="2">
        <v>377</v>
      </c>
      <c r="B378" s="2" t="s">
        <v>444</v>
      </c>
      <c r="C378" s="2" t="s">
        <v>1067</v>
      </c>
      <c r="D378" s="2" t="s">
        <v>1068</v>
      </c>
      <c r="E378" s="4">
        <v>6500</v>
      </c>
    </row>
    <row r="379" spans="1:5" x14ac:dyDescent="0.3">
      <c r="A379" s="2">
        <v>378</v>
      </c>
      <c r="B379" s="2" t="s">
        <v>444</v>
      </c>
      <c r="C379" s="2" t="s">
        <v>1069</v>
      </c>
      <c r="D379" s="2" t="s">
        <v>1070</v>
      </c>
      <c r="E379" s="4">
        <v>8000</v>
      </c>
    </row>
    <row r="380" spans="1:5" x14ac:dyDescent="0.3">
      <c r="A380" s="2">
        <v>379</v>
      </c>
      <c r="B380" s="2" t="s">
        <v>449</v>
      </c>
      <c r="C380" s="2" t="s">
        <v>993</v>
      </c>
      <c r="D380" s="2" t="s">
        <v>994</v>
      </c>
      <c r="E380" s="4">
        <v>5000</v>
      </c>
    </row>
    <row r="381" spans="1:5" x14ac:dyDescent="0.3">
      <c r="A381" s="2">
        <v>380</v>
      </c>
      <c r="B381" s="2" t="s">
        <v>449</v>
      </c>
      <c r="C381" s="2" t="s">
        <v>995</v>
      </c>
      <c r="D381" s="2" t="s">
        <v>996</v>
      </c>
      <c r="E381" s="4">
        <v>6000</v>
      </c>
    </row>
    <row r="382" spans="1:5" x14ac:dyDescent="0.3">
      <c r="A382" s="2">
        <v>381</v>
      </c>
      <c r="B382" s="2" t="s">
        <v>449</v>
      </c>
      <c r="C382" s="2" t="s">
        <v>997</v>
      </c>
      <c r="D382" s="2" t="s">
        <v>998</v>
      </c>
      <c r="E382" s="4">
        <v>5500</v>
      </c>
    </row>
    <row r="383" spans="1:5" x14ac:dyDescent="0.3">
      <c r="A383" s="2">
        <v>382</v>
      </c>
      <c r="B383" s="2" t="s">
        <v>449</v>
      </c>
      <c r="C383" s="2" t="s">
        <v>999</v>
      </c>
      <c r="D383" s="2" t="s">
        <v>1000</v>
      </c>
      <c r="E383" s="4">
        <v>6000</v>
      </c>
    </row>
    <row r="384" spans="1:5" x14ac:dyDescent="0.3">
      <c r="A384" s="2">
        <v>383</v>
      </c>
      <c r="B384" s="2" t="s">
        <v>449</v>
      </c>
      <c r="C384" s="2" t="s">
        <v>1001</v>
      </c>
      <c r="D384" s="2" t="s">
        <v>1002</v>
      </c>
      <c r="E384" s="4">
        <v>4500</v>
      </c>
    </row>
    <row r="385" spans="1:5" x14ac:dyDescent="0.3">
      <c r="A385" s="2">
        <v>384</v>
      </c>
      <c r="B385" s="2" t="s">
        <v>449</v>
      </c>
      <c r="C385" s="2" t="s">
        <v>1003</v>
      </c>
      <c r="D385" s="2" t="s">
        <v>1004</v>
      </c>
      <c r="E385" s="4">
        <v>4000</v>
      </c>
    </row>
    <row r="386" spans="1:5" x14ac:dyDescent="0.3">
      <c r="A386" s="2">
        <v>385</v>
      </c>
      <c r="B386" s="2" t="s">
        <v>449</v>
      </c>
      <c r="C386" s="2" t="s">
        <v>1005</v>
      </c>
      <c r="D386" s="2" t="s">
        <v>1006</v>
      </c>
      <c r="E386" s="4">
        <v>3000</v>
      </c>
    </row>
    <row r="387" spans="1:5" x14ac:dyDescent="0.3">
      <c r="A387" s="2">
        <v>386</v>
      </c>
      <c r="B387" s="2" t="s">
        <v>449</v>
      </c>
      <c r="C387" s="2" t="s">
        <v>1007</v>
      </c>
      <c r="D387" s="2" t="s">
        <v>1008</v>
      </c>
      <c r="E387" s="4">
        <v>2500</v>
      </c>
    </row>
    <row r="388" spans="1:5" x14ac:dyDescent="0.3">
      <c r="A388" s="2">
        <v>387</v>
      </c>
      <c r="B388" s="2" t="s">
        <v>449</v>
      </c>
      <c r="C388" s="2" t="s">
        <v>1009</v>
      </c>
      <c r="D388" s="2" t="s">
        <v>1010</v>
      </c>
      <c r="E388" s="4">
        <v>8000</v>
      </c>
    </row>
    <row r="389" spans="1:5" x14ac:dyDescent="0.3">
      <c r="A389" s="2">
        <v>388</v>
      </c>
      <c r="B389" s="2" t="s">
        <v>449</v>
      </c>
      <c r="C389" s="2" t="s">
        <v>1057</v>
      </c>
      <c r="D389" s="2" t="s">
        <v>1058</v>
      </c>
      <c r="E389" s="4">
        <v>9000</v>
      </c>
    </row>
    <row r="390" spans="1:5" x14ac:dyDescent="0.3">
      <c r="A390" s="2">
        <v>389</v>
      </c>
      <c r="B390" s="2" t="s">
        <v>449</v>
      </c>
      <c r="C390" s="2" t="s">
        <v>1011</v>
      </c>
      <c r="D390" s="2" t="s">
        <v>1012</v>
      </c>
      <c r="E390" s="4">
        <v>8000</v>
      </c>
    </row>
    <row r="391" spans="1:5" x14ac:dyDescent="0.3">
      <c r="A391" s="2">
        <v>390</v>
      </c>
      <c r="B391" s="2" t="s">
        <v>449</v>
      </c>
      <c r="C391" s="2" t="s">
        <v>1013</v>
      </c>
      <c r="D391" s="2" t="s">
        <v>1014</v>
      </c>
      <c r="E391" s="4">
        <v>6000</v>
      </c>
    </row>
    <row r="392" spans="1:5" x14ac:dyDescent="0.3">
      <c r="A392" s="2">
        <v>391</v>
      </c>
      <c r="B392" s="2" t="s">
        <v>449</v>
      </c>
      <c r="C392" s="2" t="s">
        <v>966</v>
      </c>
      <c r="D392" s="2" t="s">
        <v>1027</v>
      </c>
      <c r="E392" s="4">
        <v>1500</v>
      </c>
    </row>
    <row r="393" spans="1:5" x14ac:dyDescent="0.3">
      <c r="A393" s="2">
        <v>392</v>
      </c>
      <c r="B393" s="2" t="s">
        <v>454</v>
      </c>
      <c r="C393" s="2" t="s">
        <v>1104</v>
      </c>
      <c r="D393" s="2" t="s">
        <v>1105</v>
      </c>
      <c r="E393" s="4">
        <v>1500</v>
      </c>
    </row>
    <row r="394" spans="1:5" x14ac:dyDescent="0.3">
      <c r="A394" s="2">
        <v>393</v>
      </c>
      <c r="B394" s="2" t="s">
        <v>454</v>
      </c>
      <c r="C394" s="2" t="s">
        <v>1106</v>
      </c>
      <c r="D394" s="2" t="s">
        <v>1107</v>
      </c>
      <c r="E394" s="4">
        <v>2000</v>
      </c>
    </row>
    <row r="395" spans="1:5" x14ac:dyDescent="0.3">
      <c r="A395" s="2">
        <v>394</v>
      </c>
      <c r="B395" s="2" t="s">
        <v>454</v>
      </c>
      <c r="C395" s="2" t="s">
        <v>1108</v>
      </c>
      <c r="D395" s="2" t="s">
        <v>1109</v>
      </c>
      <c r="E395" s="4">
        <v>1500</v>
      </c>
    </row>
    <row r="396" spans="1:5" x14ac:dyDescent="0.3">
      <c r="A396" s="2">
        <v>395</v>
      </c>
      <c r="B396" s="2" t="s">
        <v>454</v>
      </c>
      <c r="C396" s="2" t="s">
        <v>1110</v>
      </c>
      <c r="D396" s="2" t="s">
        <v>1111</v>
      </c>
      <c r="E396" s="4">
        <v>2000</v>
      </c>
    </row>
    <row r="397" spans="1:5" x14ac:dyDescent="0.3">
      <c r="A397" s="2">
        <v>396</v>
      </c>
      <c r="B397" s="2" t="s">
        <v>454</v>
      </c>
      <c r="C397" s="2" t="s">
        <v>1112</v>
      </c>
      <c r="D397" s="2" t="s">
        <v>1113</v>
      </c>
      <c r="E397" s="4">
        <v>2000</v>
      </c>
    </row>
    <row r="398" spans="1:5" x14ac:dyDescent="0.3">
      <c r="A398" s="2">
        <v>397</v>
      </c>
      <c r="B398" s="2" t="s">
        <v>454</v>
      </c>
      <c r="C398" s="2" t="s">
        <v>1114</v>
      </c>
      <c r="D398" s="2" t="s">
        <v>1115</v>
      </c>
      <c r="E398" s="4">
        <v>2500</v>
      </c>
    </row>
    <row r="399" spans="1:5" x14ac:dyDescent="0.3">
      <c r="A399" s="2">
        <v>398</v>
      </c>
      <c r="B399" s="2" t="s">
        <v>454</v>
      </c>
      <c r="C399" s="2" t="s">
        <v>1116</v>
      </c>
      <c r="D399" s="2" t="s">
        <v>1117</v>
      </c>
      <c r="E399" s="4">
        <v>2000</v>
      </c>
    </row>
    <row r="400" spans="1:5" x14ac:dyDescent="0.3">
      <c r="A400" s="2">
        <v>399</v>
      </c>
      <c r="B400" s="2" t="s">
        <v>454</v>
      </c>
      <c r="C400" s="2" t="s">
        <v>1118</v>
      </c>
      <c r="D400" s="2" t="s">
        <v>1119</v>
      </c>
      <c r="E400" s="4">
        <v>2500</v>
      </c>
    </row>
    <row r="401" spans="1:5" x14ac:dyDescent="0.3">
      <c r="A401" s="2">
        <v>400</v>
      </c>
      <c r="B401" s="2" t="s">
        <v>454</v>
      </c>
      <c r="C401" s="2" t="s">
        <v>1120</v>
      </c>
      <c r="D401" s="2" t="s">
        <v>1121</v>
      </c>
      <c r="E401" s="4">
        <v>3000</v>
      </c>
    </row>
    <row r="402" spans="1:5" x14ac:dyDescent="0.3">
      <c r="A402" s="2">
        <v>401</v>
      </c>
      <c r="B402" s="2" t="s">
        <v>459</v>
      </c>
      <c r="C402" s="2" t="s">
        <v>946</v>
      </c>
      <c r="D402" s="2" t="s">
        <v>1098</v>
      </c>
      <c r="E402" s="4">
        <v>15000</v>
      </c>
    </row>
    <row r="403" spans="1:5" x14ac:dyDescent="0.3">
      <c r="A403" s="2">
        <v>402</v>
      </c>
      <c r="B403" s="2" t="s">
        <v>459</v>
      </c>
      <c r="C403" s="2" t="s">
        <v>948</v>
      </c>
      <c r="D403" s="2" t="s">
        <v>949</v>
      </c>
      <c r="E403" s="4">
        <v>5000</v>
      </c>
    </row>
    <row r="404" spans="1:5" x14ac:dyDescent="0.3">
      <c r="A404" s="2">
        <v>403</v>
      </c>
      <c r="B404" s="2" t="s">
        <v>459</v>
      </c>
      <c r="C404" s="2" t="s">
        <v>950</v>
      </c>
      <c r="D404" s="2" t="s">
        <v>1074</v>
      </c>
      <c r="E404" s="4">
        <v>4000</v>
      </c>
    </row>
    <row r="405" spans="1:5" x14ac:dyDescent="0.3">
      <c r="A405" s="2">
        <v>404</v>
      </c>
      <c r="B405" s="2" t="s">
        <v>459</v>
      </c>
      <c r="C405" s="2" t="s">
        <v>952</v>
      </c>
      <c r="D405" s="2" t="s">
        <v>953</v>
      </c>
      <c r="E405" s="4">
        <v>17000</v>
      </c>
    </row>
    <row r="406" spans="1:5" x14ac:dyDescent="0.3">
      <c r="A406" s="2">
        <v>405</v>
      </c>
      <c r="B406" s="2" t="s">
        <v>459</v>
      </c>
      <c r="C406" s="2" t="s">
        <v>954</v>
      </c>
      <c r="D406" s="2" t="s">
        <v>955</v>
      </c>
      <c r="E406" s="4">
        <v>11000</v>
      </c>
    </row>
    <row r="407" spans="1:5" x14ac:dyDescent="0.3">
      <c r="A407" s="2">
        <v>406</v>
      </c>
      <c r="B407" s="2" t="s">
        <v>459</v>
      </c>
      <c r="C407" s="2" t="s">
        <v>956</v>
      </c>
      <c r="D407" s="2" t="s">
        <v>1075</v>
      </c>
      <c r="E407" s="4">
        <v>6000</v>
      </c>
    </row>
    <row r="408" spans="1:5" x14ac:dyDescent="0.3">
      <c r="A408" s="2">
        <v>407</v>
      </c>
      <c r="B408" s="2" t="s">
        <v>459</v>
      </c>
      <c r="C408" s="2" t="s">
        <v>958</v>
      </c>
      <c r="D408" s="2" t="s">
        <v>959</v>
      </c>
      <c r="E408" s="4">
        <v>4500</v>
      </c>
    </row>
    <row r="409" spans="1:5" x14ac:dyDescent="0.3">
      <c r="A409" s="2">
        <v>408</v>
      </c>
      <c r="B409" s="2" t="s">
        <v>459</v>
      </c>
      <c r="C409" s="2" t="s">
        <v>960</v>
      </c>
      <c r="D409" s="2" t="s">
        <v>961</v>
      </c>
      <c r="E409" s="4">
        <v>8500</v>
      </c>
    </row>
    <row r="410" spans="1:5" x14ac:dyDescent="0.3">
      <c r="A410" s="2">
        <v>409</v>
      </c>
      <c r="B410" s="2" t="s">
        <v>459</v>
      </c>
      <c r="C410" s="2" t="s">
        <v>962</v>
      </c>
      <c r="D410" s="2" t="s">
        <v>963</v>
      </c>
      <c r="E410" s="4">
        <v>2000</v>
      </c>
    </row>
    <row r="411" spans="1:5" x14ac:dyDescent="0.3">
      <c r="A411" s="2">
        <v>410</v>
      </c>
      <c r="B411" s="2" t="s">
        <v>464</v>
      </c>
      <c r="C411" s="2" t="s">
        <v>946</v>
      </c>
      <c r="D411" s="2" t="s">
        <v>1098</v>
      </c>
      <c r="E411" s="4">
        <v>15000</v>
      </c>
    </row>
    <row r="412" spans="1:5" x14ac:dyDescent="0.3">
      <c r="A412" s="2">
        <v>411</v>
      </c>
      <c r="B412" s="2" t="s">
        <v>464</v>
      </c>
      <c r="C412" s="2" t="s">
        <v>948</v>
      </c>
      <c r="D412" s="2" t="s">
        <v>949</v>
      </c>
      <c r="E412" s="4">
        <v>5000</v>
      </c>
    </row>
    <row r="413" spans="1:5" x14ac:dyDescent="0.3">
      <c r="A413" s="2">
        <v>412</v>
      </c>
      <c r="B413" s="2" t="s">
        <v>464</v>
      </c>
      <c r="C413" s="2" t="s">
        <v>950</v>
      </c>
      <c r="D413" s="2" t="s">
        <v>1074</v>
      </c>
      <c r="E413" s="4">
        <v>4000</v>
      </c>
    </row>
    <row r="414" spans="1:5" x14ac:dyDescent="0.3">
      <c r="A414" s="2">
        <v>413</v>
      </c>
      <c r="B414" s="2" t="s">
        <v>464</v>
      </c>
      <c r="C414" s="2" t="s">
        <v>952</v>
      </c>
      <c r="D414" s="2" t="s">
        <v>953</v>
      </c>
      <c r="E414" s="4">
        <v>17000</v>
      </c>
    </row>
    <row r="415" spans="1:5" x14ac:dyDescent="0.3">
      <c r="A415" s="2">
        <v>414</v>
      </c>
      <c r="B415" s="2" t="s">
        <v>464</v>
      </c>
      <c r="C415" s="2" t="s">
        <v>954</v>
      </c>
      <c r="D415" s="2" t="s">
        <v>955</v>
      </c>
      <c r="E415" s="4">
        <v>11000</v>
      </c>
    </row>
    <row r="416" spans="1:5" x14ac:dyDescent="0.3">
      <c r="A416" s="2">
        <v>415</v>
      </c>
      <c r="B416" s="2" t="s">
        <v>464</v>
      </c>
      <c r="C416" s="2" t="s">
        <v>956</v>
      </c>
      <c r="D416" s="2" t="s">
        <v>1075</v>
      </c>
      <c r="E416" s="4">
        <v>6000</v>
      </c>
    </row>
    <row r="417" spans="1:5" x14ac:dyDescent="0.3">
      <c r="A417" s="2">
        <v>416</v>
      </c>
      <c r="B417" s="2" t="s">
        <v>464</v>
      </c>
      <c r="C417" s="2" t="s">
        <v>958</v>
      </c>
      <c r="D417" s="2" t="s">
        <v>959</v>
      </c>
      <c r="E417" s="4">
        <v>4500</v>
      </c>
    </row>
    <row r="418" spans="1:5" x14ac:dyDescent="0.3">
      <c r="A418" s="2">
        <v>417</v>
      </c>
      <c r="B418" s="2" t="s">
        <v>464</v>
      </c>
      <c r="C418" s="2" t="s">
        <v>960</v>
      </c>
      <c r="D418" s="2" t="s">
        <v>961</v>
      </c>
      <c r="E418" s="4">
        <v>8500</v>
      </c>
    </row>
    <row r="419" spans="1:5" x14ac:dyDescent="0.3">
      <c r="A419" s="2">
        <v>418</v>
      </c>
      <c r="B419" s="2" t="s">
        <v>464</v>
      </c>
      <c r="C419" s="2" t="s">
        <v>962</v>
      </c>
      <c r="D419" s="2" t="s">
        <v>963</v>
      </c>
      <c r="E419" s="4">
        <v>2000</v>
      </c>
    </row>
    <row r="420" spans="1:5" x14ac:dyDescent="0.3">
      <c r="A420" s="2">
        <v>419</v>
      </c>
      <c r="B420" s="2" t="s">
        <v>469</v>
      </c>
      <c r="C420" s="2" t="s">
        <v>946</v>
      </c>
      <c r="D420" s="2" t="s">
        <v>1098</v>
      </c>
      <c r="E420" s="4">
        <v>15000</v>
      </c>
    </row>
    <row r="421" spans="1:5" x14ac:dyDescent="0.3">
      <c r="A421" s="2">
        <v>420</v>
      </c>
      <c r="B421" s="2" t="s">
        <v>469</v>
      </c>
      <c r="C421" s="2" t="s">
        <v>948</v>
      </c>
      <c r="D421" s="2" t="s">
        <v>949</v>
      </c>
      <c r="E421" s="4">
        <v>5000</v>
      </c>
    </row>
    <row r="422" spans="1:5" x14ac:dyDescent="0.3">
      <c r="A422" s="2">
        <v>421</v>
      </c>
      <c r="B422" s="2" t="s">
        <v>469</v>
      </c>
      <c r="C422" s="2" t="s">
        <v>950</v>
      </c>
      <c r="D422" s="2" t="s">
        <v>1074</v>
      </c>
      <c r="E422" s="4">
        <v>4000</v>
      </c>
    </row>
    <row r="423" spans="1:5" x14ac:dyDescent="0.3">
      <c r="A423" s="2">
        <v>422</v>
      </c>
      <c r="B423" s="2" t="s">
        <v>469</v>
      </c>
      <c r="C423" s="2" t="s">
        <v>952</v>
      </c>
      <c r="D423" s="2" t="s">
        <v>953</v>
      </c>
      <c r="E423" s="4">
        <v>17000</v>
      </c>
    </row>
    <row r="424" spans="1:5" x14ac:dyDescent="0.3">
      <c r="A424" s="2">
        <v>423</v>
      </c>
      <c r="B424" s="2" t="s">
        <v>469</v>
      </c>
      <c r="C424" s="2" t="s">
        <v>954</v>
      </c>
      <c r="D424" s="2" t="s">
        <v>955</v>
      </c>
      <c r="E424" s="4">
        <v>11000</v>
      </c>
    </row>
    <row r="425" spans="1:5" x14ac:dyDescent="0.3">
      <c r="A425" s="2">
        <v>424</v>
      </c>
      <c r="B425" s="2" t="s">
        <v>469</v>
      </c>
      <c r="C425" s="2" t="s">
        <v>956</v>
      </c>
      <c r="D425" s="2" t="s">
        <v>1075</v>
      </c>
      <c r="E425" s="4">
        <v>6000</v>
      </c>
    </row>
    <row r="426" spans="1:5" x14ac:dyDescent="0.3">
      <c r="A426" s="2">
        <v>425</v>
      </c>
      <c r="B426" s="2" t="s">
        <v>469</v>
      </c>
      <c r="C426" s="2" t="s">
        <v>958</v>
      </c>
      <c r="D426" s="2" t="s">
        <v>959</v>
      </c>
      <c r="E426" s="4">
        <v>4500</v>
      </c>
    </row>
    <row r="427" spans="1:5" x14ac:dyDescent="0.3">
      <c r="A427" s="2">
        <v>426</v>
      </c>
      <c r="B427" s="2" t="s">
        <v>469</v>
      </c>
      <c r="C427" s="2" t="s">
        <v>960</v>
      </c>
      <c r="D427" s="2" t="s">
        <v>961</v>
      </c>
      <c r="E427" s="4">
        <v>8500</v>
      </c>
    </row>
    <row r="428" spans="1:5" x14ac:dyDescent="0.3">
      <c r="A428" s="2">
        <v>427</v>
      </c>
      <c r="B428" s="2" t="s">
        <v>469</v>
      </c>
      <c r="C428" s="2" t="s">
        <v>962</v>
      </c>
      <c r="D428" s="2" t="s">
        <v>963</v>
      </c>
      <c r="E428" s="4">
        <v>2000</v>
      </c>
    </row>
    <row r="429" spans="1:5" x14ac:dyDescent="0.3">
      <c r="A429" s="2">
        <v>428</v>
      </c>
      <c r="B429" s="2" t="s">
        <v>474</v>
      </c>
      <c r="C429" s="2" t="s">
        <v>946</v>
      </c>
      <c r="D429" s="2" t="s">
        <v>1098</v>
      </c>
      <c r="E429" s="4">
        <v>15000</v>
      </c>
    </row>
    <row r="430" spans="1:5" x14ac:dyDescent="0.3">
      <c r="A430" s="2">
        <v>429</v>
      </c>
      <c r="B430" s="2" t="s">
        <v>474</v>
      </c>
      <c r="C430" s="2" t="s">
        <v>948</v>
      </c>
      <c r="D430" s="2" t="s">
        <v>949</v>
      </c>
      <c r="E430" s="4">
        <v>5000</v>
      </c>
    </row>
    <row r="431" spans="1:5" x14ac:dyDescent="0.3">
      <c r="A431" s="2">
        <v>430</v>
      </c>
      <c r="B431" s="2" t="s">
        <v>474</v>
      </c>
      <c r="C431" s="2" t="s">
        <v>950</v>
      </c>
      <c r="D431" s="2" t="s">
        <v>1074</v>
      </c>
      <c r="E431" s="4">
        <v>4000</v>
      </c>
    </row>
    <row r="432" spans="1:5" x14ac:dyDescent="0.3">
      <c r="A432" s="2">
        <v>431</v>
      </c>
      <c r="B432" s="2" t="s">
        <v>474</v>
      </c>
      <c r="C432" s="2" t="s">
        <v>952</v>
      </c>
      <c r="D432" s="2" t="s">
        <v>953</v>
      </c>
      <c r="E432" s="4">
        <v>17000</v>
      </c>
    </row>
    <row r="433" spans="1:5" x14ac:dyDescent="0.3">
      <c r="A433" s="2">
        <v>432</v>
      </c>
      <c r="B433" s="2" t="s">
        <v>474</v>
      </c>
      <c r="C433" s="2" t="s">
        <v>954</v>
      </c>
      <c r="D433" s="2" t="s">
        <v>955</v>
      </c>
      <c r="E433" s="4">
        <v>11000</v>
      </c>
    </row>
    <row r="434" spans="1:5" x14ac:dyDescent="0.3">
      <c r="A434" s="2">
        <v>433</v>
      </c>
      <c r="B434" s="2" t="s">
        <v>474</v>
      </c>
      <c r="C434" s="2" t="s">
        <v>956</v>
      </c>
      <c r="D434" s="2" t="s">
        <v>1075</v>
      </c>
      <c r="E434" s="4">
        <v>6000</v>
      </c>
    </row>
    <row r="435" spans="1:5" x14ac:dyDescent="0.3">
      <c r="A435" s="2">
        <v>434</v>
      </c>
      <c r="B435" s="2" t="s">
        <v>474</v>
      </c>
      <c r="C435" s="2" t="s">
        <v>958</v>
      </c>
      <c r="D435" s="2" t="s">
        <v>959</v>
      </c>
      <c r="E435" s="4">
        <v>4500</v>
      </c>
    </row>
    <row r="436" spans="1:5" x14ac:dyDescent="0.3">
      <c r="A436" s="2">
        <v>435</v>
      </c>
      <c r="B436" s="2" t="s">
        <v>474</v>
      </c>
      <c r="C436" s="2" t="s">
        <v>960</v>
      </c>
      <c r="D436" s="2" t="s">
        <v>961</v>
      </c>
      <c r="E436" s="4">
        <v>8500</v>
      </c>
    </row>
    <row r="437" spans="1:5" x14ac:dyDescent="0.3">
      <c r="A437" s="2">
        <v>436</v>
      </c>
      <c r="B437" s="2" t="s">
        <v>474</v>
      </c>
      <c r="C437" s="2" t="s">
        <v>962</v>
      </c>
      <c r="D437" s="2" t="s">
        <v>963</v>
      </c>
      <c r="E437" s="4">
        <v>2000</v>
      </c>
    </row>
    <row r="438" spans="1:5" x14ac:dyDescent="0.3">
      <c r="A438" s="2">
        <v>437</v>
      </c>
      <c r="B438" s="2" t="s">
        <v>479</v>
      </c>
      <c r="C438" s="2" t="s">
        <v>946</v>
      </c>
      <c r="D438" s="2" t="s">
        <v>1098</v>
      </c>
      <c r="E438" s="4">
        <v>15000</v>
      </c>
    </row>
    <row r="439" spans="1:5" x14ac:dyDescent="0.3">
      <c r="A439" s="2">
        <v>438</v>
      </c>
      <c r="B439" s="2" t="s">
        <v>479</v>
      </c>
      <c r="C439" s="2" t="s">
        <v>948</v>
      </c>
      <c r="D439" s="2" t="s">
        <v>949</v>
      </c>
      <c r="E439" s="4">
        <v>5000</v>
      </c>
    </row>
    <row r="440" spans="1:5" x14ac:dyDescent="0.3">
      <c r="A440" s="2">
        <v>439</v>
      </c>
      <c r="B440" s="2" t="s">
        <v>479</v>
      </c>
      <c r="C440" s="2" t="s">
        <v>950</v>
      </c>
      <c r="D440" s="2" t="s">
        <v>1074</v>
      </c>
      <c r="E440" s="4">
        <v>4000</v>
      </c>
    </row>
    <row r="441" spans="1:5" x14ac:dyDescent="0.3">
      <c r="A441" s="2">
        <v>440</v>
      </c>
      <c r="B441" s="2" t="s">
        <v>479</v>
      </c>
      <c r="C441" s="2" t="s">
        <v>952</v>
      </c>
      <c r="D441" s="2" t="s">
        <v>953</v>
      </c>
      <c r="E441" s="4">
        <v>17000</v>
      </c>
    </row>
    <row r="442" spans="1:5" x14ac:dyDescent="0.3">
      <c r="A442" s="2">
        <v>441</v>
      </c>
      <c r="B442" s="2" t="s">
        <v>479</v>
      </c>
      <c r="C442" s="2" t="s">
        <v>954</v>
      </c>
      <c r="D442" s="2" t="s">
        <v>955</v>
      </c>
      <c r="E442" s="4">
        <v>11000</v>
      </c>
    </row>
    <row r="443" spans="1:5" x14ac:dyDescent="0.3">
      <c r="A443" s="2">
        <v>442</v>
      </c>
      <c r="B443" s="2" t="s">
        <v>479</v>
      </c>
      <c r="C443" s="2" t="s">
        <v>956</v>
      </c>
      <c r="D443" s="2" t="s">
        <v>1075</v>
      </c>
      <c r="E443" s="4">
        <v>6000</v>
      </c>
    </row>
    <row r="444" spans="1:5" x14ac:dyDescent="0.3">
      <c r="A444" s="2">
        <v>443</v>
      </c>
      <c r="B444" s="2" t="s">
        <v>479</v>
      </c>
      <c r="C444" s="2" t="s">
        <v>958</v>
      </c>
      <c r="D444" s="2" t="s">
        <v>959</v>
      </c>
      <c r="E444" s="4">
        <v>4500</v>
      </c>
    </row>
    <row r="445" spans="1:5" x14ac:dyDescent="0.3">
      <c r="A445" s="2">
        <v>444</v>
      </c>
      <c r="B445" s="2" t="s">
        <v>479</v>
      </c>
      <c r="C445" s="2" t="s">
        <v>960</v>
      </c>
      <c r="D445" s="2" t="s">
        <v>961</v>
      </c>
      <c r="E445" s="4">
        <v>8500</v>
      </c>
    </row>
    <row r="446" spans="1:5" x14ac:dyDescent="0.3">
      <c r="A446" s="2">
        <v>445</v>
      </c>
      <c r="B446" s="2" t="s">
        <v>479</v>
      </c>
      <c r="C446" s="2" t="s">
        <v>962</v>
      </c>
      <c r="D446" s="2" t="s">
        <v>963</v>
      </c>
      <c r="E446" s="4">
        <v>2000</v>
      </c>
    </row>
    <row r="447" spans="1:5" x14ac:dyDescent="0.3">
      <c r="A447" s="2">
        <v>446</v>
      </c>
      <c r="B447" s="2" t="s">
        <v>484</v>
      </c>
      <c r="C447" s="2" t="s">
        <v>946</v>
      </c>
      <c r="D447" s="2" t="s">
        <v>1098</v>
      </c>
      <c r="E447" s="4">
        <v>15000</v>
      </c>
    </row>
    <row r="448" spans="1:5" x14ac:dyDescent="0.3">
      <c r="A448" s="2">
        <v>447</v>
      </c>
      <c r="B448" s="2" t="s">
        <v>484</v>
      </c>
      <c r="C448" s="2" t="s">
        <v>948</v>
      </c>
      <c r="D448" s="2" t="s">
        <v>949</v>
      </c>
      <c r="E448" s="4">
        <v>5000</v>
      </c>
    </row>
    <row r="449" spans="1:5" x14ac:dyDescent="0.3">
      <c r="A449" s="2">
        <v>448</v>
      </c>
      <c r="B449" s="2" t="s">
        <v>484</v>
      </c>
      <c r="C449" s="2" t="s">
        <v>950</v>
      </c>
      <c r="D449" s="2" t="s">
        <v>1074</v>
      </c>
      <c r="E449" s="4">
        <v>4000</v>
      </c>
    </row>
    <row r="450" spans="1:5" x14ac:dyDescent="0.3">
      <c r="A450" s="2">
        <v>449</v>
      </c>
      <c r="B450" s="2" t="s">
        <v>484</v>
      </c>
      <c r="C450" s="2" t="s">
        <v>952</v>
      </c>
      <c r="D450" s="2" t="s">
        <v>953</v>
      </c>
      <c r="E450" s="4">
        <v>17000</v>
      </c>
    </row>
    <row r="451" spans="1:5" x14ac:dyDescent="0.3">
      <c r="A451" s="2">
        <v>450</v>
      </c>
      <c r="B451" s="2" t="s">
        <v>484</v>
      </c>
      <c r="C451" s="2" t="s">
        <v>954</v>
      </c>
      <c r="D451" s="2" t="s">
        <v>955</v>
      </c>
      <c r="E451" s="4">
        <v>11000</v>
      </c>
    </row>
    <row r="452" spans="1:5" x14ac:dyDescent="0.3">
      <c r="A452" s="2">
        <v>451</v>
      </c>
      <c r="B452" s="2" t="s">
        <v>484</v>
      </c>
      <c r="C452" s="2" t="s">
        <v>956</v>
      </c>
      <c r="D452" s="2" t="s">
        <v>1075</v>
      </c>
      <c r="E452" s="4">
        <v>6000</v>
      </c>
    </row>
    <row r="453" spans="1:5" x14ac:dyDescent="0.3">
      <c r="A453" s="2">
        <v>452</v>
      </c>
      <c r="B453" s="2" t="s">
        <v>484</v>
      </c>
      <c r="C453" s="2" t="s">
        <v>958</v>
      </c>
      <c r="D453" s="2" t="s">
        <v>959</v>
      </c>
      <c r="E453" s="4">
        <v>4500</v>
      </c>
    </row>
    <row r="454" spans="1:5" x14ac:dyDescent="0.3">
      <c r="A454" s="2">
        <v>453</v>
      </c>
      <c r="B454" s="2" t="s">
        <v>484</v>
      </c>
      <c r="C454" s="2" t="s">
        <v>960</v>
      </c>
      <c r="D454" s="2" t="s">
        <v>961</v>
      </c>
      <c r="E454" s="4">
        <v>8500</v>
      </c>
    </row>
    <row r="455" spans="1:5" x14ac:dyDescent="0.3">
      <c r="A455" s="2">
        <v>454</v>
      </c>
      <c r="B455" s="2" t="s">
        <v>484</v>
      </c>
      <c r="C455" s="2" t="s">
        <v>962</v>
      </c>
      <c r="D455" s="2" t="s">
        <v>963</v>
      </c>
      <c r="E455" s="4">
        <v>2000</v>
      </c>
    </row>
    <row r="456" spans="1:5" x14ac:dyDescent="0.3">
      <c r="A456" s="2">
        <v>455</v>
      </c>
      <c r="B456" s="2" t="s">
        <v>489</v>
      </c>
      <c r="C456" s="2" t="s">
        <v>993</v>
      </c>
      <c r="D456" s="2" t="s">
        <v>994</v>
      </c>
      <c r="E456" s="4">
        <v>5000</v>
      </c>
    </row>
    <row r="457" spans="1:5" x14ac:dyDescent="0.3">
      <c r="A457" s="2">
        <v>456</v>
      </c>
      <c r="B457" s="2" t="s">
        <v>489</v>
      </c>
      <c r="C457" s="2" t="s">
        <v>995</v>
      </c>
      <c r="D457" s="2" t="s">
        <v>996</v>
      </c>
      <c r="E457" s="4">
        <v>6000</v>
      </c>
    </row>
    <row r="458" spans="1:5" x14ac:dyDescent="0.3">
      <c r="A458" s="2">
        <v>457</v>
      </c>
      <c r="B458" s="2" t="s">
        <v>489</v>
      </c>
      <c r="C458" s="2" t="s">
        <v>997</v>
      </c>
      <c r="D458" s="2" t="s">
        <v>998</v>
      </c>
      <c r="E458" s="4">
        <v>5500</v>
      </c>
    </row>
    <row r="459" spans="1:5" x14ac:dyDescent="0.3">
      <c r="A459" s="2">
        <v>458</v>
      </c>
      <c r="B459" s="2" t="s">
        <v>489</v>
      </c>
      <c r="C459" s="2" t="s">
        <v>999</v>
      </c>
      <c r="D459" s="2" t="s">
        <v>1000</v>
      </c>
      <c r="E459" s="4">
        <v>6000</v>
      </c>
    </row>
    <row r="460" spans="1:5" x14ac:dyDescent="0.3">
      <c r="A460" s="2">
        <v>459</v>
      </c>
      <c r="B460" s="2" t="s">
        <v>489</v>
      </c>
      <c r="C460" s="2" t="s">
        <v>1001</v>
      </c>
      <c r="D460" s="2" t="s">
        <v>1002</v>
      </c>
      <c r="E460" s="4">
        <v>4500</v>
      </c>
    </row>
    <row r="461" spans="1:5" x14ac:dyDescent="0.3">
      <c r="A461" s="2">
        <v>460</v>
      </c>
      <c r="B461" s="2" t="s">
        <v>489</v>
      </c>
      <c r="C461" s="2" t="s">
        <v>1003</v>
      </c>
      <c r="D461" s="2" t="s">
        <v>1004</v>
      </c>
      <c r="E461" s="4">
        <v>4000</v>
      </c>
    </row>
    <row r="462" spans="1:5" x14ac:dyDescent="0.3">
      <c r="A462" s="2">
        <v>461</v>
      </c>
      <c r="B462" s="2" t="s">
        <v>489</v>
      </c>
      <c r="C462" s="2" t="s">
        <v>1005</v>
      </c>
      <c r="D462" s="2" t="s">
        <v>1006</v>
      </c>
      <c r="E462" s="4">
        <v>3000</v>
      </c>
    </row>
    <row r="463" spans="1:5" x14ac:dyDescent="0.3">
      <c r="A463" s="2">
        <v>462</v>
      </c>
      <c r="B463" s="2" t="s">
        <v>489</v>
      </c>
      <c r="C463" s="2" t="s">
        <v>1007</v>
      </c>
      <c r="D463" s="2" t="s">
        <v>1008</v>
      </c>
      <c r="E463" s="4">
        <v>2500</v>
      </c>
    </row>
    <row r="464" spans="1:5" x14ac:dyDescent="0.3">
      <c r="A464" s="2">
        <v>463</v>
      </c>
      <c r="B464" s="2" t="s">
        <v>489</v>
      </c>
      <c r="C464" s="2" t="s">
        <v>1009</v>
      </c>
      <c r="D464" s="2" t="s">
        <v>1010</v>
      </c>
      <c r="E464" s="4">
        <v>8000</v>
      </c>
    </row>
    <row r="465" spans="1:5" x14ac:dyDescent="0.3">
      <c r="A465" s="2">
        <v>464</v>
      </c>
      <c r="B465" s="2" t="s">
        <v>489</v>
      </c>
      <c r="C465" s="2" t="s">
        <v>1057</v>
      </c>
      <c r="D465" s="2" t="s">
        <v>1058</v>
      </c>
      <c r="E465" s="4">
        <v>9000</v>
      </c>
    </row>
    <row r="466" spans="1:5" x14ac:dyDescent="0.3">
      <c r="A466" s="2">
        <v>465</v>
      </c>
      <c r="B466" s="2" t="s">
        <v>489</v>
      </c>
      <c r="C466" s="2" t="s">
        <v>1011</v>
      </c>
      <c r="D466" s="2" t="s">
        <v>1012</v>
      </c>
      <c r="E466" s="4">
        <v>8000</v>
      </c>
    </row>
    <row r="467" spans="1:5" x14ac:dyDescent="0.3">
      <c r="A467" s="2">
        <v>466</v>
      </c>
      <c r="B467" s="2" t="s">
        <v>489</v>
      </c>
      <c r="C467" s="2" t="s">
        <v>1013</v>
      </c>
      <c r="D467" s="2" t="s">
        <v>1014</v>
      </c>
      <c r="E467" s="4">
        <v>6000</v>
      </c>
    </row>
    <row r="468" spans="1:5" x14ac:dyDescent="0.3">
      <c r="A468" s="2">
        <v>467</v>
      </c>
      <c r="B468" s="2" t="s">
        <v>494</v>
      </c>
      <c r="C468" s="2" t="s">
        <v>993</v>
      </c>
      <c r="D468" s="2" t="s">
        <v>994</v>
      </c>
      <c r="E468" s="4">
        <v>5000</v>
      </c>
    </row>
    <row r="469" spans="1:5" x14ac:dyDescent="0.3">
      <c r="A469" s="2">
        <v>468</v>
      </c>
      <c r="B469" s="2" t="s">
        <v>494</v>
      </c>
      <c r="C469" s="2" t="s">
        <v>995</v>
      </c>
      <c r="D469" s="2" t="s">
        <v>996</v>
      </c>
      <c r="E469" s="4">
        <v>6000</v>
      </c>
    </row>
    <row r="470" spans="1:5" x14ac:dyDescent="0.3">
      <c r="A470" s="2">
        <v>469</v>
      </c>
      <c r="B470" s="2" t="s">
        <v>494</v>
      </c>
      <c r="C470" s="2" t="s">
        <v>997</v>
      </c>
      <c r="D470" s="2" t="s">
        <v>998</v>
      </c>
      <c r="E470" s="4">
        <v>5500</v>
      </c>
    </row>
    <row r="471" spans="1:5" x14ac:dyDescent="0.3">
      <c r="A471" s="2">
        <v>470</v>
      </c>
      <c r="B471" s="2" t="s">
        <v>494</v>
      </c>
      <c r="C471" s="2" t="s">
        <v>999</v>
      </c>
      <c r="D471" s="2" t="s">
        <v>1000</v>
      </c>
      <c r="E471" s="4">
        <v>6000</v>
      </c>
    </row>
    <row r="472" spans="1:5" x14ac:dyDescent="0.3">
      <c r="A472" s="2">
        <v>471</v>
      </c>
      <c r="B472" s="2" t="s">
        <v>494</v>
      </c>
      <c r="C472" s="2" t="s">
        <v>1001</v>
      </c>
      <c r="D472" s="2" t="s">
        <v>1002</v>
      </c>
      <c r="E472" s="4">
        <v>4500</v>
      </c>
    </row>
    <row r="473" spans="1:5" x14ac:dyDescent="0.3">
      <c r="A473" s="2">
        <v>472</v>
      </c>
      <c r="B473" s="2" t="s">
        <v>494</v>
      </c>
      <c r="C473" s="2" t="s">
        <v>1003</v>
      </c>
      <c r="D473" s="2" t="s">
        <v>1004</v>
      </c>
      <c r="E473" s="4">
        <v>4000</v>
      </c>
    </row>
    <row r="474" spans="1:5" x14ac:dyDescent="0.3">
      <c r="A474" s="2">
        <v>473</v>
      </c>
      <c r="B474" s="2" t="s">
        <v>494</v>
      </c>
      <c r="C474" s="2" t="s">
        <v>1005</v>
      </c>
      <c r="D474" s="2" t="s">
        <v>1006</v>
      </c>
      <c r="E474" s="4">
        <v>3000</v>
      </c>
    </row>
    <row r="475" spans="1:5" x14ac:dyDescent="0.3">
      <c r="A475" s="2">
        <v>474</v>
      </c>
      <c r="B475" s="2" t="s">
        <v>494</v>
      </c>
      <c r="C475" s="2" t="s">
        <v>1007</v>
      </c>
      <c r="D475" s="2" t="s">
        <v>1008</v>
      </c>
      <c r="E475" s="4">
        <v>2500</v>
      </c>
    </row>
    <row r="476" spans="1:5" x14ac:dyDescent="0.3">
      <c r="A476" s="2">
        <v>475</v>
      </c>
      <c r="B476" s="2" t="s">
        <v>494</v>
      </c>
      <c r="C476" s="2" t="s">
        <v>1009</v>
      </c>
      <c r="D476" s="2" t="s">
        <v>1010</v>
      </c>
      <c r="E476" s="4">
        <v>8000</v>
      </c>
    </row>
    <row r="477" spans="1:5" x14ac:dyDescent="0.3">
      <c r="A477" s="2">
        <v>476</v>
      </c>
      <c r="B477" s="2" t="s">
        <v>494</v>
      </c>
      <c r="C477" s="2" t="s">
        <v>1057</v>
      </c>
      <c r="D477" s="2" t="s">
        <v>1058</v>
      </c>
      <c r="E477" s="4">
        <v>9000</v>
      </c>
    </row>
    <row r="478" spans="1:5" x14ac:dyDescent="0.3">
      <c r="A478" s="2">
        <v>477</v>
      </c>
      <c r="B478" s="2" t="s">
        <v>494</v>
      </c>
      <c r="C478" s="2" t="s">
        <v>1011</v>
      </c>
      <c r="D478" s="2" t="s">
        <v>1012</v>
      </c>
      <c r="E478" s="4">
        <v>8000</v>
      </c>
    </row>
    <row r="479" spans="1:5" x14ac:dyDescent="0.3">
      <c r="A479" s="2">
        <v>478</v>
      </c>
      <c r="B479" s="2" t="s">
        <v>494</v>
      </c>
      <c r="C479" s="2" t="s">
        <v>1013</v>
      </c>
      <c r="D479" s="2" t="s">
        <v>1014</v>
      </c>
      <c r="E479" s="4">
        <v>6000</v>
      </c>
    </row>
    <row r="480" spans="1:5" x14ac:dyDescent="0.3">
      <c r="A480" s="2">
        <v>479</v>
      </c>
      <c r="B480" s="2" t="s">
        <v>499</v>
      </c>
      <c r="C480" s="2" t="s">
        <v>946</v>
      </c>
      <c r="D480" s="2" t="s">
        <v>1098</v>
      </c>
      <c r="E480" s="4">
        <v>15000</v>
      </c>
    </row>
    <row r="481" spans="1:5" x14ac:dyDescent="0.3">
      <c r="A481" s="2">
        <v>480</v>
      </c>
      <c r="B481" s="2" t="s">
        <v>499</v>
      </c>
      <c r="C481" s="2" t="s">
        <v>948</v>
      </c>
      <c r="D481" s="2" t="s">
        <v>949</v>
      </c>
      <c r="E481" s="4">
        <v>5000</v>
      </c>
    </row>
    <row r="482" spans="1:5" x14ac:dyDescent="0.3">
      <c r="A482" s="2">
        <v>481</v>
      </c>
      <c r="B482" s="2" t="s">
        <v>499</v>
      </c>
      <c r="C482" s="2" t="s">
        <v>950</v>
      </c>
      <c r="D482" s="2" t="s">
        <v>1074</v>
      </c>
      <c r="E482" s="4">
        <v>4000</v>
      </c>
    </row>
    <row r="483" spans="1:5" x14ac:dyDescent="0.3">
      <c r="A483" s="2">
        <v>482</v>
      </c>
      <c r="B483" s="2" t="s">
        <v>499</v>
      </c>
      <c r="C483" s="2" t="s">
        <v>952</v>
      </c>
      <c r="D483" s="2" t="s">
        <v>953</v>
      </c>
      <c r="E483" s="4">
        <v>17000</v>
      </c>
    </row>
    <row r="484" spans="1:5" x14ac:dyDescent="0.3">
      <c r="A484" s="2">
        <v>483</v>
      </c>
      <c r="B484" s="2" t="s">
        <v>499</v>
      </c>
      <c r="C484" s="2" t="s">
        <v>954</v>
      </c>
      <c r="D484" s="2" t="s">
        <v>955</v>
      </c>
      <c r="E484" s="4">
        <v>11000</v>
      </c>
    </row>
    <row r="485" spans="1:5" x14ac:dyDescent="0.3">
      <c r="A485" s="2">
        <v>484</v>
      </c>
      <c r="B485" s="2" t="s">
        <v>499</v>
      </c>
      <c r="C485" s="2" t="s">
        <v>956</v>
      </c>
      <c r="D485" s="2" t="s">
        <v>1075</v>
      </c>
      <c r="E485" s="4">
        <v>6000</v>
      </c>
    </row>
    <row r="486" spans="1:5" x14ac:dyDescent="0.3">
      <c r="A486" s="2">
        <v>485</v>
      </c>
      <c r="B486" s="2" t="s">
        <v>499</v>
      </c>
      <c r="C486" s="2" t="s">
        <v>958</v>
      </c>
      <c r="D486" s="2" t="s">
        <v>959</v>
      </c>
      <c r="E486" s="4">
        <v>4500</v>
      </c>
    </row>
    <row r="487" spans="1:5" x14ac:dyDescent="0.3">
      <c r="A487" s="2">
        <v>486</v>
      </c>
      <c r="B487" s="2" t="s">
        <v>499</v>
      </c>
      <c r="C487" s="2" t="s">
        <v>960</v>
      </c>
      <c r="D487" s="2" t="s">
        <v>961</v>
      </c>
      <c r="E487" s="4">
        <v>8500</v>
      </c>
    </row>
    <row r="488" spans="1:5" x14ac:dyDescent="0.3">
      <c r="A488" s="2">
        <v>487</v>
      </c>
      <c r="B488" s="2" t="s">
        <v>499</v>
      </c>
      <c r="C488" s="2" t="s">
        <v>962</v>
      </c>
      <c r="D488" s="2" t="s">
        <v>963</v>
      </c>
      <c r="E488" s="4">
        <v>2000</v>
      </c>
    </row>
    <row r="489" spans="1:5" x14ac:dyDescent="0.3">
      <c r="A489" s="2">
        <v>488</v>
      </c>
      <c r="B489" s="2" t="s">
        <v>504</v>
      </c>
      <c r="C489" s="2" t="s">
        <v>1104</v>
      </c>
      <c r="D489" s="2" t="s">
        <v>1105</v>
      </c>
      <c r="E489" s="4">
        <v>1500</v>
      </c>
    </row>
    <row r="490" spans="1:5" x14ac:dyDescent="0.3">
      <c r="A490" s="2">
        <v>489</v>
      </c>
      <c r="B490" s="2" t="s">
        <v>504</v>
      </c>
      <c r="C490" s="2" t="s">
        <v>1106</v>
      </c>
      <c r="D490" s="2" t="s">
        <v>1107</v>
      </c>
      <c r="E490" s="4">
        <v>2000</v>
      </c>
    </row>
    <row r="491" spans="1:5" x14ac:dyDescent="0.3">
      <c r="A491" s="2">
        <v>490</v>
      </c>
      <c r="B491" s="2" t="s">
        <v>504</v>
      </c>
      <c r="C491" s="2" t="s">
        <v>1108</v>
      </c>
      <c r="D491" s="2" t="s">
        <v>1109</v>
      </c>
      <c r="E491" s="4">
        <v>1500</v>
      </c>
    </row>
    <row r="492" spans="1:5" x14ac:dyDescent="0.3">
      <c r="A492" s="2">
        <v>491</v>
      </c>
      <c r="B492" s="2" t="s">
        <v>504</v>
      </c>
      <c r="C492" s="2" t="s">
        <v>1110</v>
      </c>
      <c r="D492" s="2" t="s">
        <v>1111</v>
      </c>
      <c r="E492" s="4">
        <v>2000</v>
      </c>
    </row>
    <row r="493" spans="1:5" x14ac:dyDescent="0.3">
      <c r="A493" s="2">
        <v>492</v>
      </c>
      <c r="B493" s="2" t="s">
        <v>504</v>
      </c>
      <c r="C493" s="2" t="s">
        <v>1112</v>
      </c>
      <c r="D493" s="2" t="s">
        <v>1113</v>
      </c>
      <c r="E493" s="4">
        <v>2000</v>
      </c>
    </row>
    <row r="494" spans="1:5" x14ac:dyDescent="0.3">
      <c r="A494" s="2">
        <v>493</v>
      </c>
      <c r="B494" s="2" t="s">
        <v>504</v>
      </c>
      <c r="C494" s="2" t="s">
        <v>1114</v>
      </c>
      <c r="D494" s="2" t="s">
        <v>1115</v>
      </c>
      <c r="E494" s="4">
        <v>2500</v>
      </c>
    </row>
    <row r="495" spans="1:5" x14ac:dyDescent="0.3">
      <c r="A495" s="2">
        <v>494</v>
      </c>
      <c r="B495" s="2" t="s">
        <v>504</v>
      </c>
      <c r="C495" s="2" t="s">
        <v>1116</v>
      </c>
      <c r="D495" s="2" t="s">
        <v>1117</v>
      </c>
      <c r="E495" s="4">
        <v>2000</v>
      </c>
    </row>
    <row r="496" spans="1:5" x14ac:dyDescent="0.3">
      <c r="A496" s="2">
        <v>495</v>
      </c>
      <c r="B496" s="2" t="s">
        <v>504</v>
      </c>
      <c r="C496" s="2" t="s">
        <v>1118</v>
      </c>
      <c r="D496" s="2" t="s">
        <v>1119</v>
      </c>
      <c r="E496" s="4">
        <v>2500</v>
      </c>
    </row>
    <row r="497" spans="1:5" x14ac:dyDescent="0.3">
      <c r="A497" s="2">
        <v>496</v>
      </c>
      <c r="B497" s="2" t="s">
        <v>504</v>
      </c>
      <c r="C497" s="2" t="s">
        <v>1120</v>
      </c>
      <c r="D497" s="2" t="s">
        <v>1121</v>
      </c>
      <c r="E497" s="4">
        <v>3000</v>
      </c>
    </row>
    <row r="498" spans="1:5" x14ac:dyDescent="0.3">
      <c r="A498" s="2">
        <v>497</v>
      </c>
      <c r="B498" s="2" t="s">
        <v>509</v>
      </c>
      <c r="C498" s="2" t="s">
        <v>993</v>
      </c>
      <c r="D498" s="2" t="s">
        <v>994</v>
      </c>
      <c r="E498" s="4">
        <v>5000</v>
      </c>
    </row>
    <row r="499" spans="1:5" x14ac:dyDescent="0.3">
      <c r="A499" s="2">
        <v>498</v>
      </c>
      <c r="B499" s="2" t="s">
        <v>509</v>
      </c>
      <c r="C499" s="2" t="s">
        <v>995</v>
      </c>
      <c r="D499" s="2" t="s">
        <v>996</v>
      </c>
      <c r="E499" s="4">
        <v>6000</v>
      </c>
    </row>
    <row r="500" spans="1:5" x14ac:dyDescent="0.3">
      <c r="A500" s="2">
        <v>499</v>
      </c>
      <c r="B500" s="2" t="s">
        <v>509</v>
      </c>
      <c r="C500" s="2" t="s">
        <v>997</v>
      </c>
      <c r="D500" s="2" t="s">
        <v>998</v>
      </c>
      <c r="E500" s="4">
        <v>5500</v>
      </c>
    </row>
    <row r="501" spans="1:5" x14ac:dyDescent="0.3">
      <c r="A501" s="2">
        <v>500</v>
      </c>
      <c r="B501" s="2" t="s">
        <v>509</v>
      </c>
      <c r="C501" s="2" t="s">
        <v>999</v>
      </c>
      <c r="D501" s="2" t="s">
        <v>1000</v>
      </c>
      <c r="E501" s="4">
        <v>6000</v>
      </c>
    </row>
    <row r="502" spans="1:5" x14ac:dyDescent="0.3">
      <c r="A502" s="2">
        <v>501</v>
      </c>
      <c r="B502" s="2" t="s">
        <v>509</v>
      </c>
      <c r="C502" s="2" t="s">
        <v>1001</v>
      </c>
      <c r="D502" s="2" t="s">
        <v>1002</v>
      </c>
      <c r="E502" s="4">
        <v>4500</v>
      </c>
    </row>
    <row r="503" spans="1:5" x14ac:dyDescent="0.3">
      <c r="A503" s="2">
        <v>502</v>
      </c>
      <c r="B503" s="2" t="s">
        <v>509</v>
      </c>
      <c r="C503" s="2" t="s">
        <v>1003</v>
      </c>
      <c r="D503" s="2" t="s">
        <v>1004</v>
      </c>
      <c r="E503" s="4">
        <v>4000</v>
      </c>
    </row>
    <row r="504" spans="1:5" x14ac:dyDescent="0.3">
      <c r="A504" s="2">
        <v>503</v>
      </c>
      <c r="B504" s="2" t="s">
        <v>509</v>
      </c>
      <c r="C504" s="2" t="s">
        <v>1005</v>
      </c>
      <c r="D504" s="2" t="s">
        <v>1006</v>
      </c>
      <c r="E504" s="4">
        <v>3000</v>
      </c>
    </row>
    <row r="505" spans="1:5" x14ac:dyDescent="0.3">
      <c r="A505" s="2">
        <v>504</v>
      </c>
      <c r="B505" s="2" t="s">
        <v>509</v>
      </c>
      <c r="C505" s="2" t="s">
        <v>1007</v>
      </c>
      <c r="D505" s="2" t="s">
        <v>1008</v>
      </c>
      <c r="E505" s="4">
        <v>2500</v>
      </c>
    </row>
    <row r="506" spans="1:5" x14ac:dyDescent="0.3">
      <c r="A506" s="2">
        <v>505</v>
      </c>
      <c r="B506" s="2" t="s">
        <v>509</v>
      </c>
      <c r="C506" s="2" t="s">
        <v>1009</v>
      </c>
      <c r="D506" s="2" t="s">
        <v>1010</v>
      </c>
      <c r="E506" s="4">
        <v>8000</v>
      </c>
    </row>
    <row r="507" spans="1:5" x14ac:dyDescent="0.3">
      <c r="A507" s="2">
        <v>506</v>
      </c>
      <c r="B507" s="2" t="s">
        <v>509</v>
      </c>
      <c r="C507" s="2" t="s">
        <v>1057</v>
      </c>
      <c r="D507" s="2" t="s">
        <v>1058</v>
      </c>
      <c r="E507" s="4">
        <v>9000</v>
      </c>
    </row>
    <row r="508" spans="1:5" x14ac:dyDescent="0.3">
      <c r="A508" s="2">
        <v>507</v>
      </c>
      <c r="B508" s="2" t="s">
        <v>509</v>
      </c>
      <c r="C508" s="2" t="s">
        <v>1011</v>
      </c>
      <c r="D508" s="2" t="s">
        <v>1012</v>
      </c>
      <c r="E508" s="4">
        <v>8000</v>
      </c>
    </row>
    <row r="509" spans="1:5" x14ac:dyDescent="0.3">
      <c r="A509" s="2">
        <v>508</v>
      </c>
      <c r="B509" s="2" t="s">
        <v>509</v>
      </c>
      <c r="C509" s="2" t="s">
        <v>1013</v>
      </c>
      <c r="D509" s="2" t="s">
        <v>1014</v>
      </c>
      <c r="E509" s="4">
        <v>6000</v>
      </c>
    </row>
    <row r="510" spans="1:5" x14ac:dyDescent="0.3">
      <c r="A510" s="2">
        <v>509</v>
      </c>
      <c r="B510" s="2" t="s">
        <v>514</v>
      </c>
      <c r="C510" s="2" t="s">
        <v>1028</v>
      </c>
      <c r="D510" s="2" t="s">
        <v>1029</v>
      </c>
      <c r="E510" s="4">
        <v>4000</v>
      </c>
    </row>
    <row r="511" spans="1:5" x14ac:dyDescent="0.3">
      <c r="A511" s="2">
        <v>510</v>
      </c>
      <c r="B511" s="2" t="s">
        <v>514</v>
      </c>
      <c r="C511" s="2" t="s">
        <v>1030</v>
      </c>
      <c r="D511" s="2" t="s">
        <v>1031</v>
      </c>
      <c r="E511" s="4">
        <v>5000</v>
      </c>
    </row>
    <row r="512" spans="1:5" x14ac:dyDescent="0.3">
      <c r="A512" s="2">
        <v>511</v>
      </c>
      <c r="B512" s="2" t="s">
        <v>514</v>
      </c>
      <c r="C512" s="2" t="s">
        <v>1032</v>
      </c>
      <c r="D512" s="2" t="s">
        <v>1033</v>
      </c>
      <c r="E512" s="4">
        <v>5000</v>
      </c>
    </row>
    <row r="513" spans="1:5" x14ac:dyDescent="0.3">
      <c r="A513" s="2">
        <v>512</v>
      </c>
      <c r="B513" s="2" t="s">
        <v>514</v>
      </c>
      <c r="C513" s="2" t="s">
        <v>1034</v>
      </c>
      <c r="D513" s="2" t="s">
        <v>1035</v>
      </c>
      <c r="E513" s="4">
        <v>6000</v>
      </c>
    </row>
    <row r="514" spans="1:5" x14ac:dyDescent="0.3">
      <c r="A514" s="2">
        <v>513</v>
      </c>
      <c r="B514" s="2" t="s">
        <v>514</v>
      </c>
      <c r="C514" s="2" t="s">
        <v>1036</v>
      </c>
      <c r="D514" s="2" t="s">
        <v>1037</v>
      </c>
      <c r="E514" s="4">
        <v>5000</v>
      </c>
    </row>
    <row r="515" spans="1:5" x14ac:dyDescent="0.3">
      <c r="A515" s="2">
        <v>514</v>
      </c>
      <c r="B515" s="2" t="s">
        <v>514</v>
      </c>
      <c r="C515" s="2" t="s">
        <v>1038</v>
      </c>
      <c r="D515" s="2" t="s">
        <v>1039</v>
      </c>
      <c r="E515" s="4">
        <v>2000</v>
      </c>
    </row>
    <row r="516" spans="1:5" x14ac:dyDescent="0.3">
      <c r="A516" s="2">
        <v>515</v>
      </c>
      <c r="B516" s="2" t="s">
        <v>514</v>
      </c>
      <c r="C516" s="2" t="s">
        <v>1065</v>
      </c>
      <c r="D516" s="2" t="s">
        <v>1066</v>
      </c>
      <c r="E516" s="4">
        <v>4000</v>
      </c>
    </row>
    <row r="517" spans="1:5" x14ac:dyDescent="0.3">
      <c r="A517" s="2">
        <v>516</v>
      </c>
      <c r="B517" s="2" t="s">
        <v>514</v>
      </c>
      <c r="C517" s="2" t="s">
        <v>1067</v>
      </c>
      <c r="D517" s="2" t="s">
        <v>1068</v>
      </c>
      <c r="E517" s="4">
        <v>6500</v>
      </c>
    </row>
    <row r="518" spans="1:5" x14ac:dyDescent="0.3">
      <c r="A518" s="2">
        <v>517</v>
      </c>
      <c r="B518" s="2" t="s">
        <v>514</v>
      </c>
      <c r="C518" s="2" t="s">
        <v>1069</v>
      </c>
      <c r="D518" s="2" t="s">
        <v>1070</v>
      </c>
      <c r="E518" s="4">
        <v>8000</v>
      </c>
    </row>
    <row r="519" spans="1:5" x14ac:dyDescent="0.3">
      <c r="A519" s="2">
        <v>518</v>
      </c>
      <c r="B519" s="2" t="s">
        <v>519</v>
      </c>
      <c r="C519" s="2" t="s">
        <v>946</v>
      </c>
      <c r="D519" s="2" t="s">
        <v>1098</v>
      </c>
      <c r="E519" s="4">
        <v>15000</v>
      </c>
    </row>
    <row r="520" spans="1:5" x14ac:dyDescent="0.3">
      <c r="A520" s="2">
        <v>519</v>
      </c>
      <c r="B520" s="2" t="s">
        <v>519</v>
      </c>
      <c r="C520" s="2" t="s">
        <v>948</v>
      </c>
      <c r="D520" s="2" t="s">
        <v>949</v>
      </c>
      <c r="E520" s="4">
        <v>5000</v>
      </c>
    </row>
    <row r="521" spans="1:5" x14ac:dyDescent="0.3">
      <c r="A521" s="2">
        <v>520</v>
      </c>
      <c r="B521" s="2" t="s">
        <v>519</v>
      </c>
      <c r="C521" s="2" t="s">
        <v>950</v>
      </c>
      <c r="D521" s="2" t="s">
        <v>1074</v>
      </c>
      <c r="E521" s="4">
        <v>4000</v>
      </c>
    </row>
    <row r="522" spans="1:5" x14ac:dyDescent="0.3">
      <c r="A522" s="2">
        <v>521</v>
      </c>
      <c r="B522" s="2" t="s">
        <v>519</v>
      </c>
      <c r="C522" s="2" t="s">
        <v>952</v>
      </c>
      <c r="D522" s="2" t="s">
        <v>953</v>
      </c>
      <c r="E522" s="4">
        <v>17000</v>
      </c>
    </row>
    <row r="523" spans="1:5" x14ac:dyDescent="0.3">
      <c r="A523" s="2">
        <v>522</v>
      </c>
      <c r="B523" s="2" t="s">
        <v>519</v>
      </c>
      <c r="C523" s="2" t="s">
        <v>954</v>
      </c>
      <c r="D523" s="2" t="s">
        <v>955</v>
      </c>
      <c r="E523" s="4">
        <v>11000</v>
      </c>
    </row>
    <row r="524" spans="1:5" x14ac:dyDescent="0.3">
      <c r="A524" s="2">
        <v>523</v>
      </c>
      <c r="B524" s="2" t="s">
        <v>519</v>
      </c>
      <c r="C524" s="2" t="s">
        <v>956</v>
      </c>
      <c r="D524" s="2" t="s">
        <v>1075</v>
      </c>
      <c r="E524" s="4">
        <v>6000</v>
      </c>
    </row>
    <row r="525" spans="1:5" x14ac:dyDescent="0.3">
      <c r="A525" s="2">
        <v>524</v>
      </c>
      <c r="B525" s="2" t="s">
        <v>519</v>
      </c>
      <c r="C525" s="2" t="s">
        <v>958</v>
      </c>
      <c r="D525" s="2" t="s">
        <v>959</v>
      </c>
      <c r="E525" s="4">
        <v>4500</v>
      </c>
    </row>
    <row r="526" spans="1:5" x14ac:dyDescent="0.3">
      <c r="A526" s="2">
        <v>525</v>
      </c>
      <c r="B526" s="2" t="s">
        <v>519</v>
      </c>
      <c r="C526" s="2" t="s">
        <v>960</v>
      </c>
      <c r="D526" s="2" t="s">
        <v>961</v>
      </c>
      <c r="E526" s="4">
        <v>8500</v>
      </c>
    </row>
    <row r="527" spans="1:5" x14ac:dyDescent="0.3">
      <c r="A527" s="2">
        <v>526</v>
      </c>
      <c r="B527" s="2" t="s">
        <v>519</v>
      </c>
      <c r="C527" s="2" t="s">
        <v>962</v>
      </c>
      <c r="D527" s="2" t="s">
        <v>963</v>
      </c>
      <c r="E527" s="4">
        <v>2000</v>
      </c>
    </row>
    <row r="528" spans="1:5" x14ac:dyDescent="0.3">
      <c r="A528" s="2">
        <v>527</v>
      </c>
      <c r="B528" s="2" t="s">
        <v>524</v>
      </c>
      <c r="C528" s="2" t="s">
        <v>967</v>
      </c>
      <c r="D528" s="2" t="s">
        <v>968</v>
      </c>
      <c r="E528" s="4">
        <v>18000</v>
      </c>
    </row>
    <row r="529" spans="1:5" x14ac:dyDescent="0.3">
      <c r="A529" s="2">
        <v>528</v>
      </c>
      <c r="B529" s="2" t="s">
        <v>524</v>
      </c>
      <c r="C529" s="2" t="s">
        <v>969</v>
      </c>
      <c r="D529" s="2" t="s">
        <v>970</v>
      </c>
      <c r="E529" s="4">
        <v>4500</v>
      </c>
    </row>
    <row r="530" spans="1:5" x14ac:dyDescent="0.3">
      <c r="A530" s="2">
        <v>529</v>
      </c>
      <c r="B530" s="2" t="s">
        <v>524</v>
      </c>
      <c r="C530" s="2" t="s">
        <v>971</v>
      </c>
      <c r="D530" s="2" t="s">
        <v>972</v>
      </c>
      <c r="E530" s="4">
        <v>16000</v>
      </c>
    </row>
    <row r="531" spans="1:5" x14ac:dyDescent="0.3">
      <c r="A531" s="2">
        <v>530</v>
      </c>
      <c r="B531" s="2" t="s">
        <v>524</v>
      </c>
      <c r="C531" s="2" t="s">
        <v>973</v>
      </c>
      <c r="D531" s="2" t="s">
        <v>974</v>
      </c>
      <c r="E531" s="4">
        <v>9000</v>
      </c>
    </row>
    <row r="532" spans="1:5" x14ac:dyDescent="0.3">
      <c r="A532" s="2">
        <v>531</v>
      </c>
      <c r="B532" s="2" t="s">
        <v>524</v>
      </c>
      <c r="C532" s="2" t="s">
        <v>975</v>
      </c>
      <c r="D532" s="2" t="s">
        <v>976</v>
      </c>
      <c r="E532" s="4">
        <v>2500</v>
      </c>
    </row>
    <row r="533" spans="1:5" x14ac:dyDescent="0.3">
      <c r="A533" s="2">
        <v>532</v>
      </c>
      <c r="B533" s="2" t="s">
        <v>524</v>
      </c>
      <c r="C533" s="2" t="s">
        <v>977</v>
      </c>
      <c r="D533" s="2" t="s">
        <v>978</v>
      </c>
      <c r="E533" s="4">
        <v>5000</v>
      </c>
    </row>
    <row r="534" spans="1:5" x14ac:dyDescent="0.3">
      <c r="A534" s="2">
        <v>533</v>
      </c>
      <c r="B534" s="2" t="s">
        <v>524</v>
      </c>
      <c r="C534" s="2" t="s">
        <v>979</v>
      </c>
      <c r="D534" s="2" t="s">
        <v>980</v>
      </c>
      <c r="E534" s="4">
        <v>15000</v>
      </c>
    </row>
    <row r="535" spans="1:5" x14ac:dyDescent="0.3">
      <c r="A535" s="2">
        <v>534</v>
      </c>
      <c r="B535" s="2" t="s">
        <v>524</v>
      </c>
      <c r="C535" s="2" t="s">
        <v>981</v>
      </c>
      <c r="D535" s="2" t="s">
        <v>982</v>
      </c>
      <c r="E535" s="4">
        <v>9000</v>
      </c>
    </row>
    <row r="536" spans="1:5" x14ac:dyDescent="0.3">
      <c r="A536" s="2">
        <v>535</v>
      </c>
      <c r="B536" s="2" t="s">
        <v>524</v>
      </c>
      <c r="C536" s="2" t="s">
        <v>1050</v>
      </c>
      <c r="D536" s="2" t="s">
        <v>1051</v>
      </c>
      <c r="E536" s="4">
        <v>7000</v>
      </c>
    </row>
    <row r="537" spans="1:5" x14ac:dyDescent="0.3">
      <c r="A537" s="2">
        <v>536</v>
      </c>
      <c r="B537" s="2" t="s">
        <v>524</v>
      </c>
      <c r="C537" s="2" t="s">
        <v>1052</v>
      </c>
      <c r="D537" s="2" t="s">
        <v>1053</v>
      </c>
      <c r="E537" s="4">
        <v>12000</v>
      </c>
    </row>
    <row r="538" spans="1:5" x14ac:dyDescent="0.3">
      <c r="A538" s="2">
        <v>537</v>
      </c>
      <c r="B538" s="2" t="s">
        <v>524</v>
      </c>
      <c r="C538" s="2" t="s">
        <v>966</v>
      </c>
      <c r="D538" s="2" t="s">
        <v>1027</v>
      </c>
      <c r="E538" s="4">
        <v>1500</v>
      </c>
    </row>
    <row r="539" spans="1:5" x14ac:dyDescent="0.3">
      <c r="A539" s="2">
        <v>538</v>
      </c>
      <c r="B539" s="2" t="s">
        <v>529</v>
      </c>
      <c r="C539" s="2" t="s">
        <v>1104</v>
      </c>
      <c r="D539" s="2" t="s">
        <v>1105</v>
      </c>
      <c r="E539" s="4">
        <v>1500</v>
      </c>
    </row>
    <row r="540" spans="1:5" x14ac:dyDescent="0.3">
      <c r="A540" s="2">
        <v>539</v>
      </c>
      <c r="B540" s="2" t="s">
        <v>529</v>
      </c>
      <c r="C540" s="2" t="s">
        <v>1106</v>
      </c>
      <c r="D540" s="2" t="s">
        <v>1107</v>
      </c>
      <c r="E540" s="4">
        <v>2000</v>
      </c>
    </row>
    <row r="541" spans="1:5" x14ac:dyDescent="0.3">
      <c r="A541" s="2">
        <v>540</v>
      </c>
      <c r="B541" s="2" t="s">
        <v>529</v>
      </c>
      <c r="C541" s="2" t="s">
        <v>1108</v>
      </c>
      <c r="D541" s="2" t="s">
        <v>1109</v>
      </c>
      <c r="E541" s="4">
        <v>1500</v>
      </c>
    </row>
    <row r="542" spans="1:5" x14ac:dyDescent="0.3">
      <c r="A542" s="2">
        <v>541</v>
      </c>
      <c r="B542" s="2" t="s">
        <v>529</v>
      </c>
      <c r="C542" s="2" t="s">
        <v>1110</v>
      </c>
      <c r="D542" s="2" t="s">
        <v>1111</v>
      </c>
      <c r="E542" s="4">
        <v>2000</v>
      </c>
    </row>
    <row r="543" spans="1:5" x14ac:dyDescent="0.3">
      <c r="A543" s="2">
        <v>542</v>
      </c>
      <c r="B543" s="2" t="s">
        <v>529</v>
      </c>
      <c r="C543" s="2" t="s">
        <v>1112</v>
      </c>
      <c r="D543" s="2" t="s">
        <v>1113</v>
      </c>
      <c r="E543" s="4">
        <v>2000</v>
      </c>
    </row>
    <row r="544" spans="1:5" x14ac:dyDescent="0.3">
      <c r="A544" s="2">
        <v>543</v>
      </c>
      <c r="B544" s="2" t="s">
        <v>529</v>
      </c>
      <c r="C544" s="2" t="s">
        <v>1114</v>
      </c>
      <c r="D544" s="2" t="s">
        <v>1115</v>
      </c>
      <c r="E544" s="4">
        <v>2500</v>
      </c>
    </row>
    <row r="545" spans="1:5" x14ac:dyDescent="0.3">
      <c r="A545" s="2">
        <v>544</v>
      </c>
      <c r="B545" s="2" t="s">
        <v>529</v>
      </c>
      <c r="C545" s="2" t="s">
        <v>1116</v>
      </c>
      <c r="D545" s="2" t="s">
        <v>1117</v>
      </c>
      <c r="E545" s="4">
        <v>2000</v>
      </c>
    </row>
    <row r="546" spans="1:5" x14ac:dyDescent="0.3">
      <c r="A546" s="2">
        <v>545</v>
      </c>
      <c r="B546" s="2" t="s">
        <v>529</v>
      </c>
      <c r="C546" s="2" t="s">
        <v>1118</v>
      </c>
      <c r="D546" s="2" t="s">
        <v>1119</v>
      </c>
      <c r="E546" s="4">
        <v>2500</v>
      </c>
    </row>
    <row r="547" spans="1:5" x14ac:dyDescent="0.3">
      <c r="A547" s="2">
        <v>546</v>
      </c>
      <c r="B547" s="2" t="s">
        <v>529</v>
      </c>
      <c r="C547" s="2" t="s">
        <v>1120</v>
      </c>
      <c r="D547" s="2" t="s">
        <v>1121</v>
      </c>
      <c r="E547" s="4">
        <v>3000</v>
      </c>
    </row>
    <row r="548" spans="1:5" x14ac:dyDescent="0.3">
      <c r="A548" s="2">
        <v>547</v>
      </c>
      <c r="B548" s="2" t="s">
        <v>534</v>
      </c>
      <c r="C548" s="2" t="s">
        <v>946</v>
      </c>
      <c r="D548" s="2" t="s">
        <v>1098</v>
      </c>
      <c r="E548" s="4">
        <v>15000</v>
      </c>
    </row>
    <row r="549" spans="1:5" x14ac:dyDescent="0.3">
      <c r="A549" s="2">
        <v>548</v>
      </c>
      <c r="B549" s="2" t="s">
        <v>534</v>
      </c>
      <c r="C549" s="2" t="s">
        <v>948</v>
      </c>
      <c r="D549" s="2" t="s">
        <v>949</v>
      </c>
      <c r="E549" s="4">
        <v>5000</v>
      </c>
    </row>
    <row r="550" spans="1:5" x14ac:dyDescent="0.3">
      <c r="A550" s="2">
        <v>549</v>
      </c>
      <c r="B550" s="2" t="s">
        <v>534</v>
      </c>
      <c r="C550" s="2" t="s">
        <v>950</v>
      </c>
      <c r="D550" s="2" t="s">
        <v>1074</v>
      </c>
      <c r="E550" s="4">
        <v>4000</v>
      </c>
    </row>
    <row r="551" spans="1:5" x14ac:dyDescent="0.3">
      <c r="A551" s="2">
        <v>550</v>
      </c>
      <c r="B551" s="2" t="s">
        <v>534</v>
      </c>
      <c r="C551" s="2" t="s">
        <v>952</v>
      </c>
      <c r="D551" s="2" t="s">
        <v>953</v>
      </c>
      <c r="E551" s="4">
        <v>17000</v>
      </c>
    </row>
    <row r="552" spans="1:5" x14ac:dyDescent="0.3">
      <c r="A552" s="2">
        <v>551</v>
      </c>
      <c r="B552" s="2" t="s">
        <v>534</v>
      </c>
      <c r="C552" s="2" t="s">
        <v>954</v>
      </c>
      <c r="D552" s="2" t="s">
        <v>955</v>
      </c>
      <c r="E552" s="4">
        <v>11000</v>
      </c>
    </row>
    <row r="553" spans="1:5" x14ac:dyDescent="0.3">
      <c r="A553" s="2">
        <v>552</v>
      </c>
      <c r="B553" s="2" t="s">
        <v>534</v>
      </c>
      <c r="C553" s="2" t="s">
        <v>956</v>
      </c>
      <c r="D553" s="2" t="s">
        <v>1075</v>
      </c>
      <c r="E553" s="4">
        <v>6000</v>
      </c>
    </row>
    <row r="554" spans="1:5" x14ac:dyDescent="0.3">
      <c r="A554" s="2">
        <v>553</v>
      </c>
      <c r="B554" s="2" t="s">
        <v>534</v>
      </c>
      <c r="C554" s="2" t="s">
        <v>958</v>
      </c>
      <c r="D554" s="2" t="s">
        <v>959</v>
      </c>
      <c r="E554" s="4">
        <v>4500</v>
      </c>
    </row>
    <row r="555" spans="1:5" x14ac:dyDescent="0.3">
      <c r="A555" s="2">
        <v>554</v>
      </c>
      <c r="B555" s="2" t="s">
        <v>534</v>
      </c>
      <c r="C555" s="2" t="s">
        <v>960</v>
      </c>
      <c r="D555" s="2" t="s">
        <v>961</v>
      </c>
      <c r="E555" s="4">
        <v>8500</v>
      </c>
    </row>
    <row r="556" spans="1:5" x14ac:dyDescent="0.3">
      <c r="A556" s="2">
        <v>555</v>
      </c>
      <c r="B556" s="2" t="s">
        <v>534</v>
      </c>
      <c r="C556" s="2" t="s">
        <v>962</v>
      </c>
      <c r="D556" s="2" t="s">
        <v>963</v>
      </c>
      <c r="E556" s="4">
        <v>2000</v>
      </c>
    </row>
    <row r="557" spans="1:5" x14ac:dyDescent="0.3">
      <c r="A557" s="2">
        <v>556</v>
      </c>
      <c r="B557" s="2" t="s">
        <v>539</v>
      </c>
      <c r="C557" s="2" t="s">
        <v>993</v>
      </c>
      <c r="D557" s="2" t="s">
        <v>994</v>
      </c>
      <c r="E557" s="4">
        <v>5000</v>
      </c>
    </row>
    <row r="558" spans="1:5" x14ac:dyDescent="0.3">
      <c r="A558" s="2">
        <v>557</v>
      </c>
      <c r="B558" s="2" t="s">
        <v>539</v>
      </c>
      <c r="C558" s="2" t="s">
        <v>995</v>
      </c>
      <c r="D558" s="2" t="s">
        <v>996</v>
      </c>
      <c r="E558" s="4">
        <v>6000</v>
      </c>
    </row>
    <row r="559" spans="1:5" x14ac:dyDescent="0.3">
      <c r="A559" s="2">
        <v>558</v>
      </c>
      <c r="B559" s="2" t="s">
        <v>539</v>
      </c>
      <c r="C559" s="2" t="s">
        <v>997</v>
      </c>
      <c r="D559" s="2" t="s">
        <v>998</v>
      </c>
      <c r="E559" s="4">
        <v>5500</v>
      </c>
    </row>
    <row r="560" spans="1:5" x14ac:dyDescent="0.3">
      <c r="A560" s="2">
        <v>559</v>
      </c>
      <c r="B560" s="2" t="s">
        <v>539</v>
      </c>
      <c r="C560" s="2" t="s">
        <v>999</v>
      </c>
      <c r="D560" s="2" t="s">
        <v>1000</v>
      </c>
      <c r="E560" s="4">
        <v>6000</v>
      </c>
    </row>
    <row r="561" spans="1:5" x14ac:dyDescent="0.3">
      <c r="A561" s="2">
        <v>560</v>
      </c>
      <c r="B561" s="2" t="s">
        <v>539</v>
      </c>
      <c r="C561" s="2" t="s">
        <v>1001</v>
      </c>
      <c r="D561" s="2" t="s">
        <v>1002</v>
      </c>
      <c r="E561" s="4">
        <v>4500</v>
      </c>
    </row>
    <row r="562" spans="1:5" x14ac:dyDescent="0.3">
      <c r="A562" s="2">
        <v>561</v>
      </c>
      <c r="B562" s="2" t="s">
        <v>539</v>
      </c>
      <c r="C562" s="2" t="s">
        <v>1003</v>
      </c>
      <c r="D562" s="2" t="s">
        <v>1004</v>
      </c>
      <c r="E562" s="4">
        <v>4000</v>
      </c>
    </row>
    <row r="563" spans="1:5" x14ac:dyDescent="0.3">
      <c r="A563" s="2">
        <v>562</v>
      </c>
      <c r="B563" s="2" t="s">
        <v>539</v>
      </c>
      <c r="C563" s="2" t="s">
        <v>1005</v>
      </c>
      <c r="D563" s="2" t="s">
        <v>1006</v>
      </c>
      <c r="E563" s="4">
        <v>3000</v>
      </c>
    </row>
    <row r="564" spans="1:5" x14ac:dyDescent="0.3">
      <c r="A564" s="2">
        <v>563</v>
      </c>
      <c r="B564" s="2" t="s">
        <v>539</v>
      </c>
      <c r="C564" s="2" t="s">
        <v>1007</v>
      </c>
      <c r="D564" s="2" t="s">
        <v>1008</v>
      </c>
      <c r="E564" s="4">
        <v>2500</v>
      </c>
    </row>
    <row r="565" spans="1:5" x14ac:dyDescent="0.3">
      <c r="A565" s="2">
        <v>564</v>
      </c>
      <c r="B565" s="2" t="s">
        <v>539</v>
      </c>
      <c r="C565" s="2" t="s">
        <v>1009</v>
      </c>
      <c r="D565" s="2" t="s">
        <v>1010</v>
      </c>
      <c r="E565" s="4">
        <v>8000</v>
      </c>
    </row>
    <row r="566" spans="1:5" x14ac:dyDescent="0.3">
      <c r="A566" s="2">
        <v>565</v>
      </c>
      <c r="B566" s="2" t="s">
        <v>539</v>
      </c>
      <c r="C566" s="2" t="s">
        <v>1057</v>
      </c>
      <c r="D566" s="2" t="s">
        <v>1058</v>
      </c>
      <c r="E566" s="4">
        <v>9000</v>
      </c>
    </row>
    <row r="567" spans="1:5" x14ac:dyDescent="0.3">
      <c r="A567" s="2">
        <v>566</v>
      </c>
      <c r="B567" s="2" t="s">
        <v>539</v>
      </c>
      <c r="C567" s="2" t="s">
        <v>1011</v>
      </c>
      <c r="D567" s="2" t="s">
        <v>1012</v>
      </c>
      <c r="E567" s="4">
        <v>8000</v>
      </c>
    </row>
    <row r="568" spans="1:5" x14ac:dyDescent="0.3">
      <c r="A568" s="2">
        <v>567</v>
      </c>
      <c r="B568" s="2" t="s">
        <v>539</v>
      </c>
      <c r="C568" s="2" t="s">
        <v>1013</v>
      </c>
      <c r="D568" s="2" t="s">
        <v>1014</v>
      </c>
      <c r="E568" s="4">
        <v>6000</v>
      </c>
    </row>
    <row r="569" spans="1:5" x14ac:dyDescent="0.3">
      <c r="A569" s="2">
        <v>568</v>
      </c>
      <c r="B569" s="2" t="s">
        <v>544</v>
      </c>
      <c r="C569" s="2" t="s">
        <v>1028</v>
      </c>
      <c r="D569" s="2" t="s">
        <v>1029</v>
      </c>
      <c r="E569" s="4">
        <v>4000</v>
      </c>
    </row>
    <row r="570" spans="1:5" x14ac:dyDescent="0.3">
      <c r="A570" s="2">
        <v>569</v>
      </c>
      <c r="B570" s="2" t="s">
        <v>544</v>
      </c>
      <c r="C570" s="2" t="s">
        <v>1030</v>
      </c>
      <c r="D570" s="2" t="s">
        <v>1031</v>
      </c>
      <c r="E570" s="4">
        <v>5000</v>
      </c>
    </row>
    <row r="571" spans="1:5" x14ac:dyDescent="0.3">
      <c r="A571" s="2">
        <v>570</v>
      </c>
      <c r="B571" s="2" t="s">
        <v>544</v>
      </c>
      <c r="C571" s="2" t="s">
        <v>1032</v>
      </c>
      <c r="D571" s="2" t="s">
        <v>1033</v>
      </c>
      <c r="E571" s="4">
        <v>5000</v>
      </c>
    </row>
    <row r="572" spans="1:5" x14ac:dyDescent="0.3">
      <c r="A572" s="2">
        <v>571</v>
      </c>
      <c r="B572" s="2" t="s">
        <v>544</v>
      </c>
      <c r="C572" s="2" t="s">
        <v>1034</v>
      </c>
      <c r="D572" s="2" t="s">
        <v>1035</v>
      </c>
      <c r="E572" s="4">
        <v>6000</v>
      </c>
    </row>
    <row r="573" spans="1:5" x14ac:dyDescent="0.3">
      <c r="A573" s="2">
        <v>572</v>
      </c>
      <c r="B573" s="2" t="s">
        <v>544</v>
      </c>
      <c r="C573" s="2" t="s">
        <v>1036</v>
      </c>
      <c r="D573" s="2" t="s">
        <v>1037</v>
      </c>
      <c r="E573" s="4">
        <v>5000</v>
      </c>
    </row>
    <row r="574" spans="1:5" x14ac:dyDescent="0.3">
      <c r="A574" s="2">
        <v>573</v>
      </c>
      <c r="B574" s="2" t="s">
        <v>544</v>
      </c>
      <c r="C574" s="2" t="s">
        <v>1038</v>
      </c>
      <c r="D574" s="2" t="s">
        <v>1039</v>
      </c>
      <c r="E574" s="4">
        <v>2000</v>
      </c>
    </row>
    <row r="575" spans="1:5" x14ac:dyDescent="0.3">
      <c r="A575" s="2">
        <v>574</v>
      </c>
      <c r="B575" s="2" t="s">
        <v>544</v>
      </c>
      <c r="C575" s="2" t="s">
        <v>1065</v>
      </c>
      <c r="D575" s="2" t="s">
        <v>1066</v>
      </c>
      <c r="E575" s="4">
        <v>4000</v>
      </c>
    </row>
    <row r="576" spans="1:5" x14ac:dyDescent="0.3">
      <c r="A576" s="2">
        <v>575</v>
      </c>
      <c r="B576" s="2" t="s">
        <v>544</v>
      </c>
      <c r="C576" s="2" t="s">
        <v>1067</v>
      </c>
      <c r="D576" s="2" t="s">
        <v>1068</v>
      </c>
      <c r="E576" s="4">
        <v>6500</v>
      </c>
    </row>
    <row r="577" spans="1:5" x14ac:dyDescent="0.3">
      <c r="A577" s="2">
        <v>576</v>
      </c>
      <c r="B577" s="2" t="s">
        <v>544</v>
      </c>
      <c r="C577" s="2" t="s">
        <v>1069</v>
      </c>
      <c r="D577" s="2" t="s">
        <v>1070</v>
      </c>
      <c r="E577" s="4">
        <v>8000</v>
      </c>
    </row>
    <row r="578" spans="1:5" x14ac:dyDescent="0.3">
      <c r="A578" s="2">
        <v>577</v>
      </c>
      <c r="B578" s="2" t="s">
        <v>549</v>
      </c>
      <c r="C578" s="2" t="s">
        <v>993</v>
      </c>
      <c r="D578" s="2" t="s">
        <v>994</v>
      </c>
      <c r="E578" s="4">
        <v>5000</v>
      </c>
    </row>
    <row r="579" spans="1:5" x14ac:dyDescent="0.3">
      <c r="A579" s="2">
        <v>578</v>
      </c>
      <c r="B579" s="2" t="s">
        <v>549</v>
      </c>
      <c r="C579" s="2" t="s">
        <v>995</v>
      </c>
      <c r="D579" s="2" t="s">
        <v>996</v>
      </c>
      <c r="E579" s="4">
        <v>6000</v>
      </c>
    </row>
    <row r="580" spans="1:5" x14ac:dyDescent="0.3">
      <c r="A580" s="2">
        <v>579</v>
      </c>
      <c r="B580" s="2" t="s">
        <v>549</v>
      </c>
      <c r="C580" s="2" t="s">
        <v>997</v>
      </c>
      <c r="D580" s="2" t="s">
        <v>998</v>
      </c>
      <c r="E580" s="4">
        <v>5500</v>
      </c>
    </row>
    <row r="581" spans="1:5" x14ac:dyDescent="0.3">
      <c r="A581" s="2">
        <v>580</v>
      </c>
      <c r="B581" s="2" t="s">
        <v>549</v>
      </c>
      <c r="C581" s="2" t="s">
        <v>999</v>
      </c>
      <c r="D581" s="2" t="s">
        <v>1000</v>
      </c>
      <c r="E581" s="4">
        <v>6000</v>
      </c>
    </row>
    <row r="582" spans="1:5" x14ac:dyDescent="0.3">
      <c r="A582" s="2">
        <v>581</v>
      </c>
      <c r="B582" s="2" t="s">
        <v>549</v>
      </c>
      <c r="C582" s="2" t="s">
        <v>1001</v>
      </c>
      <c r="D582" s="2" t="s">
        <v>1002</v>
      </c>
      <c r="E582" s="4">
        <v>4500</v>
      </c>
    </row>
    <row r="583" spans="1:5" x14ac:dyDescent="0.3">
      <c r="A583" s="2">
        <v>582</v>
      </c>
      <c r="B583" s="2" t="s">
        <v>549</v>
      </c>
      <c r="C583" s="2" t="s">
        <v>1003</v>
      </c>
      <c r="D583" s="2" t="s">
        <v>1004</v>
      </c>
      <c r="E583" s="4">
        <v>4000</v>
      </c>
    </row>
    <row r="584" spans="1:5" x14ac:dyDescent="0.3">
      <c r="A584" s="2">
        <v>583</v>
      </c>
      <c r="B584" s="2" t="s">
        <v>549</v>
      </c>
      <c r="C584" s="2" t="s">
        <v>1005</v>
      </c>
      <c r="D584" s="2" t="s">
        <v>1006</v>
      </c>
      <c r="E584" s="4">
        <v>3000</v>
      </c>
    </row>
    <row r="585" spans="1:5" x14ac:dyDescent="0.3">
      <c r="A585" s="2">
        <v>584</v>
      </c>
      <c r="B585" s="2" t="s">
        <v>549</v>
      </c>
      <c r="C585" s="2" t="s">
        <v>1007</v>
      </c>
      <c r="D585" s="2" t="s">
        <v>1008</v>
      </c>
      <c r="E585" s="4">
        <v>2500</v>
      </c>
    </row>
    <row r="586" spans="1:5" x14ac:dyDescent="0.3">
      <c r="A586" s="2">
        <v>585</v>
      </c>
      <c r="B586" s="2" t="s">
        <v>549</v>
      </c>
      <c r="C586" s="2" t="s">
        <v>1009</v>
      </c>
      <c r="D586" s="2" t="s">
        <v>1010</v>
      </c>
      <c r="E586" s="4">
        <v>8000</v>
      </c>
    </row>
    <row r="587" spans="1:5" x14ac:dyDescent="0.3">
      <c r="A587" s="2">
        <v>586</v>
      </c>
      <c r="B587" s="2" t="s">
        <v>549</v>
      </c>
      <c r="C587" s="2" t="s">
        <v>1057</v>
      </c>
      <c r="D587" s="2" t="s">
        <v>1058</v>
      </c>
      <c r="E587" s="4">
        <v>9000</v>
      </c>
    </row>
    <row r="588" spans="1:5" x14ac:dyDescent="0.3">
      <c r="A588" s="2">
        <v>587</v>
      </c>
      <c r="B588" s="2" t="s">
        <v>549</v>
      </c>
      <c r="C588" s="2" t="s">
        <v>1011</v>
      </c>
      <c r="D588" s="2" t="s">
        <v>1012</v>
      </c>
      <c r="E588" s="4">
        <v>8000</v>
      </c>
    </row>
    <row r="589" spans="1:5" x14ac:dyDescent="0.3">
      <c r="A589" s="2">
        <v>588</v>
      </c>
      <c r="B589" s="2" t="s">
        <v>549</v>
      </c>
      <c r="C589" s="2" t="s">
        <v>1013</v>
      </c>
      <c r="D589" s="2" t="s">
        <v>1014</v>
      </c>
      <c r="E589" s="4">
        <v>6000</v>
      </c>
    </row>
    <row r="590" spans="1:5" x14ac:dyDescent="0.3">
      <c r="A590" s="2">
        <v>589</v>
      </c>
      <c r="B590" s="2" t="s">
        <v>554</v>
      </c>
      <c r="C590" s="2" t="s">
        <v>1040</v>
      </c>
      <c r="D590" s="2" t="s">
        <v>1041</v>
      </c>
      <c r="E590" s="4">
        <v>4500</v>
      </c>
    </row>
    <row r="591" spans="1:5" x14ac:dyDescent="0.3">
      <c r="A591" s="2">
        <v>590</v>
      </c>
      <c r="B591" s="2" t="s">
        <v>554</v>
      </c>
      <c r="C591" s="2" t="s">
        <v>1042</v>
      </c>
      <c r="D591" s="2" t="s">
        <v>1043</v>
      </c>
      <c r="E591" s="4">
        <v>3000</v>
      </c>
    </row>
    <row r="592" spans="1:5" x14ac:dyDescent="0.3">
      <c r="A592" s="2">
        <v>591</v>
      </c>
      <c r="B592" s="2" t="s">
        <v>554</v>
      </c>
      <c r="C592" s="2" t="s">
        <v>1044</v>
      </c>
      <c r="D592" s="2" t="s">
        <v>1045</v>
      </c>
      <c r="E592" s="4">
        <v>2000</v>
      </c>
    </row>
    <row r="593" spans="1:5" x14ac:dyDescent="0.3">
      <c r="A593" s="2">
        <v>592</v>
      </c>
      <c r="B593" s="2" t="s">
        <v>554</v>
      </c>
      <c r="C593" s="2" t="s">
        <v>1059</v>
      </c>
      <c r="D593" s="2" t="s">
        <v>1060</v>
      </c>
      <c r="E593" s="2">
        <v>500</v>
      </c>
    </row>
    <row r="594" spans="1:5" x14ac:dyDescent="0.3">
      <c r="A594" s="2">
        <v>593</v>
      </c>
      <c r="B594" s="2" t="s">
        <v>554</v>
      </c>
      <c r="C594" s="2" t="s">
        <v>1046</v>
      </c>
      <c r="D594" s="2" t="s">
        <v>1047</v>
      </c>
      <c r="E594" s="2">
        <v>700</v>
      </c>
    </row>
    <row r="595" spans="1:5" x14ac:dyDescent="0.3">
      <c r="A595" s="2">
        <v>594</v>
      </c>
      <c r="B595" s="2" t="s">
        <v>554</v>
      </c>
      <c r="C595" s="2" t="s">
        <v>1048</v>
      </c>
      <c r="D595" s="2" t="s">
        <v>1049</v>
      </c>
      <c r="E595" s="2">
        <v>700</v>
      </c>
    </row>
    <row r="596" spans="1:5" x14ac:dyDescent="0.3">
      <c r="A596" s="2">
        <v>595</v>
      </c>
      <c r="B596" s="2" t="s">
        <v>554</v>
      </c>
      <c r="C596" s="2" t="s">
        <v>1061</v>
      </c>
      <c r="D596" s="2" t="s">
        <v>1062</v>
      </c>
      <c r="E596" s="4">
        <v>2500</v>
      </c>
    </row>
    <row r="597" spans="1:5" x14ac:dyDescent="0.3">
      <c r="A597" s="2">
        <v>596</v>
      </c>
      <c r="B597" s="2" t="s">
        <v>554</v>
      </c>
      <c r="C597" s="2" t="s">
        <v>1063</v>
      </c>
      <c r="D597" s="2" t="s">
        <v>1064</v>
      </c>
      <c r="E597" s="4">
        <v>3500</v>
      </c>
    </row>
    <row r="598" spans="1:5" x14ac:dyDescent="0.3">
      <c r="A598" s="2">
        <v>597</v>
      </c>
      <c r="B598" s="2" t="s">
        <v>559</v>
      </c>
      <c r="C598" s="2" t="s">
        <v>946</v>
      </c>
      <c r="D598" s="2" t="s">
        <v>1098</v>
      </c>
      <c r="E598" s="4">
        <v>15000</v>
      </c>
    </row>
    <row r="599" spans="1:5" x14ac:dyDescent="0.3">
      <c r="A599" s="2">
        <v>598</v>
      </c>
      <c r="B599" s="2" t="s">
        <v>559</v>
      </c>
      <c r="C599" s="2" t="s">
        <v>948</v>
      </c>
      <c r="D599" s="2" t="s">
        <v>949</v>
      </c>
      <c r="E599" s="4">
        <v>5000</v>
      </c>
    </row>
    <row r="600" spans="1:5" x14ac:dyDescent="0.3">
      <c r="A600" s="2">
        <v>599</v>
      </c>
      <c r="B600" s="2" t="s">
        <v>559</v>
      </c>
      <c r="C600" s="2" t="s">
        <v>950</v>
      </c>
      <c r="D600" s="2" t="s">
        <v>1074</v>
      </c>
      <c r="E600" s="4">
        <v>4000</v>
      </c>
    </row>
    <row r="601" spans="1:5" x14ac:dyDescent="0.3">
      <c r="A601" s="2">
        <v>600</v>
      </c>
      <c r="B601" s="2" t="s">
        <v>559</v>
      </c>
      <c r="C601" s="2" t="s">
        <v>952</v>
      </c>
      <c r="D601" s="2" t="s">
        <v>953</v>
      </c>
      <c r="E601" s="4">
        <v>17000</v>
      </c>
    </row>
    <row r="602" spans="1:5" x14ac:dyDescent="0.3">
      <c r="A602" s="2">
        <v>601</v>
      </c>
      <c r="B602" s="2" t="s">
        <v>559</v>
      </c>
      <c r="C602" s="2" t="s">
        <v>954</v>
      </c>
      <c r="D602" s="2" t="s">
        <v>955</v>
      </c>
      <c r="E602" s="4">
        <v>11000</v>
      </c>
    </row>
    <row r="603" spans="1:5" x14ac:dyDescent="0.3">
      <c r="A603" s="2">
        <v>602</v>
      </c>
      <c r="B603" s="2" t="s">
        <v>559</v>
      </c>
      <c r="C603" s="2" t="s">
        <v>956</v>
      </c>
      <c r="D603" s="2" t="s">
        <v>1075</v>
      </c>
      <c r="E603" s="4">
        <v>6000</v>
      </c>
    </row>
    <row r="604" spans="1:5" x14ac:dyDescent="0.3">
      <c r="A604" s="2">
        <v>603</v>
      </c>
      <c r="B604" s="2" t="s">
        <v>559</v>
      </c>
      <c r="C604" s="2" t="s">
        <v>958</v>
      </c>
      <c r="D604" s="2" t="s">
        <v>959</v>
      </c>
      <c r="E604" s="4">
        <v>4500</v>
      </c>
    </row>
    <row r="605" spans="1:5" x14ac:dyDescent="0.3">
      <c r="A605" s="2">
        <v>604</v>
      </c>
      <c r="B605" s="2" t="s">
        <v>559</v>
      </c>
      <c r="C605" s="2" t="s">
        <v>960</v>
      </c>
      <c r="D605" s="2" t="s">
        <v>961</v>
      </c>
      <c r="E605" s="4">
        <v>8500</v>
      </c>
    </row>
    <row r="606" spans="1:5" x14ac:dyDescent="0.3">
      <c r="A606" s="2">
        <v>605</v>
      </c>
      <c r="B606" s="2" t="s">
        <v>559</v>
      </c>
      <c r="C606" s="2" t="s">
        <v>962</v>
      </c>
      <c r="D606" s="2" t="s">
        <v>963</v>
      </c>
      <c r="E606" s="4">
        <v>2000</v>
      </c>
    </row>
    <row r="607" spans="1:5" x14ac:dyDescent="0.3">
      <c r="A607" s="2">
        <v>606</v>
      </c>
      <c r="B607" s="2" t="s">
        <v>564</v>
      </c>
      <c r="C607" s="2" t="s">
        <v>993</v>
      </c>
      <c r="D607" s="2" t="s">
        <v>994</v>
      </c>
      <c r="E607" s="4">
        <v>5000</v>
      </c>
    </row>
    <row r="608" spans="1:5" x14ac:dyDescent="0.3">
      <c r="A608" s="2">
        <v>607</v>
      </c>
      <c r="B608" s="2" t="s">
        <v>564</v>
      </c>
      <c r="C608" s="2" t="s">
        <v>995</v>
      </c>
      <c r="D608" s="2" t="s">
        <v>996</v>
      </c>
      <c r="E608" s="4">
        <v>6000</v>
      </c>
    </row>
    <row r="609" spans="1:5" x14ac:dyDescent="0.3">
      <c r="A609" s="2">
        <v>608</v>
      </c>
      <c r="B609" s="2" t="s">
        <v>564</v>
      </c>
      <c r="C609" s="2" t="s">
        <v>997</v>
      </c>
      <c r="D609" s="2" t="s">
        <v>998</v>
      </c>
      <c r="E609" s="4">
        <v>5500</v>
      </c>
    </row>
    <row r="610" spans="1:5" x14ac:dyDescent="0.3">
      <c r="A610" s="2">
        <v>609</v>
      </c>
      <c r="B610" s="2" t="s">
        <v>564</v>
      </c>
      <c r="C610" s="2" t="s">
        <v>999</v>
      </c>
      <c r="D610" s="2" t="s">
        <v>1000</v>
      </c>
      <c r="E610" s="4">
        <v>6000</v>
      </c>
    </row>
    <row r="611" spans="1:5" x14ac:dyDescent="0.3">
      <c r="A611" s="2">
        <v>610</v>
      </c>
      <c r="B611" s="2" t="s">
        <v>564</v>
      </c>
      <c r="C611" s="2" t="s">
        <v>1001</v>
      </c>
      <c r="D611" s="2" t="s">
        <v>1002</v>
      </c>
      <c r="E611" s="4">
        <v>4500</v>
      </c>
    </row>
    <row r="612" spans="1:5" x14ac:dyDescent="0.3">
      <c r="A612" s="2">
        <v>611</v>
      </c>
      <c r="B612" s="2" t="s">
        <v>564</v>
      </c>
      <c r="C612" s="2" t="s">
        <v>1003</v>
      </c>
      <c r="D612" s="2" t="s">
        <v>1004</v>
      </c>
      <c r="E612" s="4">
        <v>4000</v>
      </c>
    </row>
    <row r="613" spans="1:5" x14ac:dyDescent="0.3">
      <c r="A613" s="2">
        <v>612</v>
      </c>
      <c r="B613" s="2" t="s">
        <v>564</v>
      </c>
      <c r="C613" s="2" t="s">
        <v>1005</v>
      </c>
      <c r="D613" s="2" t="s">
        <v>1006</v>
      </c>
      <c r="E613" s="4">
        <v>3000</v>
      </c>
    </row>
    <row r="614" spans="1:5" x14ac:dyDescent="0.3">
      <c r="A614" s="2">
        <v>613</v>
      </c>
      <c r="B614" s="2" t="s">
        <v>564</v>
      </c>
      <c r="C614" s="2" t="s">
        <v>1007</v>
      </c>
      <c r="D614" s="2" t="s">
        <v>1008</v>
      </c>
      <c r="E614" s="4">
        <v>2500</v>
      </c>
    </row>
    <row r="615" spans="1:5" x14ac:dyDescent="0.3">
      <c r="A615" s="2">
        <v>614</v>
      </c>
      <c r="B615" s="2" t="s">
        <v>564</v>
      </c>
      <c r="C615" s="2" t="s">
        <v>1009</v>
      </c>
      <c r="D615" s="2" t="s">
        <v>1010</v>
      </c>
      <c r="E615" s="4">
        <v>8000</v>
      </c>
    </row>
    <row r="616" spans="1:5" x14ac:dyDescent="0.3">
      <c r="A616" s="2">
        <v>615</v>
      </c>
      <c r="B616" s="2" t="s">
        <v>564</v>
      </c>
      <c r="C616" s="2" t="s">
        <v>1057</v>
      </c>
      <c r="D616" s="2" t="s">
        <v>1058</v>
      </c>
      <c r="E616" s="4">
        <v>9000</v>
      </c>
    </row>
    <row r="617" spans="1:5" x14ac:dyDescent="0.3">
      <c r="A617" s="2">
        <v>616</v>
      </c>
      <c r="B617" s="2" t="s">
        <v>564</v>
      </c>
      <c r="C617" s="2" t="s">
        <v>1011</v>
      </c>
      <c r="D617" s="2" t="s">
        <v>1012</v>
      </c>
      <c r="E617" s="4">
        <v>8000</v>
      </c>
    </row>
    <row r="618" spans="1:5" x14ac:dyDescent="0.3">
      <c r="A618" s="2">
        <v>617</v>
      </c>
      <c r="B618" s="2" t="s">
        <v>564</v>
      </c>
      <c r="C618" s="2" t="s">
        <v>1013</v>
      </c>
      <c r="D618" s="2" t="s">
        <v>1014</v>
      </c>
      <c r="E618" s="4">
        <v>6000</v>
      </c>
    </row>
    <row r="619" spans="1:5" x14ac:dyDescent="0.3">
      <c r="A619" s="2">
        <v>618</v>
      </c>
      <c r="B619" s="2" t="s">
        <v>569</v>
      </c>
      <c r="C619" s="2" t="s">
        <v>993</v>
      </c>
      <c r="D619" s="2" t="s">
        <v>994</v>
      </c>
      <c r="E619" s="4">
        <v>5000</v>
      </c>
    </row>
    <row r="620" spans="1:5" x14ac:dyDescent="0.3">
      <c r="A620" s="2">
        <v>619</v>
      </c>
      <c r="B620" s="2" t="s">
        <v>569</v>
      </c>
      <c r="C620" s="2" t="s">
        <v>995</v>
      </c>
      <c r="D620" s="2" t="s">
        <v>996</v>
      </c>
      <c r="E620" s="4">
        <v>6000</v>
      </c>
    </row>
    <row r="621" spans="1:5" x14ac:dyDescent="0.3">
      <c r="A621" s="2">
        <v>620</v>
      </c>
      <c r="B621" s="2" t="s">
        <v>569</v>
      </c>
      <c r="C621" s="2" t="s">
        <v>997</v>
      </c>
      <c r="D621" s="2" t="s">
        <v>998</v>
      </c>
      <c r="E621" s="4">
        <v>5500</v>
      </c>
    </row>
    <row r="622" spans="1:5" x14ac:dyDescent="0.3">
      <c r="A622" s="2">
        <v>621</v>
      </c>
      <c r="B622" s="2" t="s">
        <v>569</v>
      </c>
      <c r="C622" s="2" t="s">
        <v>999</v>
      </c>
      <c r="D622" s="2" t="s">
        <v>1000</v>
      </c>
      <c r="E622" s="4">
        <v>6000</v>
      </c>
    </row>
    <row r="623" spans="1:5" x14ac:dyDescent="0.3">
      <c r="A623" s="2">
        <v>622</v>
      </c>
      <c r="B623" s="2" t="s">
        <v>569</v>
      </c>
      <c r="C623" s="2" t="s">
        <v>1001</v>
      </c>
      <c r="D623" s="2" t="s">
        <v>1002</v>
      </c>
      <c r="E623" s="4">
        <v>4500</v>
      </c>
    </row>
    <row r="624" spans="1:5" x14ac:dyDescent="0.3">
      <c r="A624" s="2">
        <v>623</v>
      </c>
      <c r="B624" s="2" t="s">
        <v>569</v>
      </c>
      <c r="C624" s="2" t="s">
        <v>1003</v>
      </c>
      <c r="D624" s="2" t="s">
        <v>1004</v>
      </c>
      <c r="E624" s="4">
        <v>4000</v>
      </c>
    </row>
    <row r="625" spans="1:5" x14ac:dyDescent="0.3">
      <c r="A625" s="2">
        <v>624</v>
      </c>
      <c r="B625" s="2" t="s">
        <v>569</v>
      </c>
      <c r="C625" s="2" t="s">
        <v>1005</v>
      </c>
      <c r="D625" s="2" t="s">
        <v>1006</v>
      </c>
      <c r="E625" s="4">
        <v>3000</v>
      </c>
    </row>
    <row r="626" spans="1:5" x14ac:dyDescent="0.3">
      <c r="A626" s="2">
        <v>625</v>
      </c>
      <c r="B626" s="2" t="s">
        <v>569</v>
      </c>
      <c r="C626" s="2" t="s">
        <v>1007</v>
      </c>
      <c r="D626" s="2" t="s">
        <v>1008</v>
      </c>
      <c r="E626" s="4">
        <v>2500</v>
      </c>
    </row>
    <row r="627" spans="1:5" x14ac:dyDescent="0.3">
      <c r="A627" s="2">
        <v>626</v>
      </c>
      <c r="B627" s="2" t="s">
        <v>569</v>
      </c>
      <c r="C627" s="2" t="s">
        <v>1009</v>
      </c>
      <c r="D627" s="2" t="s">
        <v>1010</v>
      </c>
      <c r="E627" s="4">
        <v>8000</v>
      </c>
    </row>
    <row r="628" spans="1:5" x14ac:dyDescent="0.3">
      <c r="A628" s="2">
        <v>627</v>
      </c>
      <c r="B628" s="2" t="s">
        <v>569</v>
      </c>
      <c r="C628" s="2" t="s">
        <v>1057</v>
      </c>
      <c r="D628" s="2" t="s">
        <v>1058</v>
      </c>
      <c r="E628" s="4">
        <v>9000</v>
      </c>
    </row>
    <row r="629" spans="1:5" x14ac:dyDescent="0.3">
      <c r="A629" s="2">
        <v>628</v>
      </c>
      <c r="B629" s="2" t="s">
        <v>569</v>
      </c>
      <c r="C629" s="2" t="s">
        <v>1011</v>
      </c>
      <c r="D629" s="2" t="s">
        <v>1012</v>
      </c>
      <c r="E629" s="4">
        <v>8000</v>
      </c>
    </row>
    <row r="630" spans="1:5" x14ac:dyDescent="0.3">
      <c r="A630" s="2">
        <v>629</v>
      </c>
      <c r="B630" s="2" t="s">
        <v>569</v>
      </c>
      <c r="C630" s="2" t="s">
        <v>1013</v>
      </c>
      <c r="D630" s="2" t="s">
        <v>1014</v>
      </c>
      <c r="E630" s="4">
        <v>6000</v>
      </c>
    </row>
    <row r="631" spans="1:5" x14ac:dyDescent="0.3">
      <c r="A631" s="2">
        <v>630</v>
      </c>
      <c r="B631" s="2" t="s">
        <v>574</v>
      </c>
      <c r="C631" s="2" t="s">
        <v>993</v>
      </c>
      <c r="D631" s="2" t="s">
        <v>994</v>
      </c>
      <c r="E631" s="4">
        <v>5000</v>
      </c>
    </row>
    <row r="632" spans="1:5" x14ac:dyDescent="0.3">
      <c r="A632" s="2">
        <v>631</v>
      </c>
      <c r="B632" s="2" t="s">
        <v>574</v>
      </c>
      <c r="C632" s="2" t="s">
        <v>995</v>
      </c>
      <c r="D632" s="2" t="s">
        <v>996</v>
      </c>
      <c r="E632" s="4">
        <v>6000</v>
      </c>
    </row>
    <row r="633" spans="1:5" x14ac:dyDescent="0.3">
      <c r="A633" s="2">
        <v>632</v>
      </c>
      <c r="B633" s="2" t="s">
        <v>574</v>
      </c>
      <c r="C633" s="2" t="s">
        <v>997</v>
      </c>
      <c r="D633" s="2" t="s">
        <v>998</v>
      </c>
      <c r="E633" s="4">
        <v>5500</v>
      </c>
    </row>
    <row r="634" spans="1:5" x14ac:dyDescent="0.3">
      <c r="A634" s="2">
        <v>633</v>
      </c>
      <c r="B634" s="2" t="s">
        <v>574</v>
      </c>
      <c r="C634" s="2" t="s">
        <v>999</v>
      </c>
      <c r="D634" s="2" t="s">
        <v>1000</v>
      </c>
      <c r="E634" s="4">
        <v>6000</v>
      </c>
    </row>
    <row r="635" spans="1:5" x14ac:dyDescent="0.3">
      <c r="A635" s="2">
        <v>634</v>
      </c>
      <c r="B635" s="2" t="s">
        <v>574</v>
      </c>
      <c r="C635" s="2" t="s">
        <v>1001</v>
      </c>
      <c r="D635" s="2" t="s">
        <v>1002</v>
      </c>
      <c r="E635" s="4">
        <v>4500</v>
      </c>
    </row>
    <row r="636" spans="1:5" x14ac:dyDescent="0.3">
      <c r="A636" s="2">
        <v>635</v>
      </c>
      <c r="B636" s="2" t="s">
        <v>574</v>
      </c>
      <c r="C636" s="2" t="s">
        <v>1003</v>
      </c>
      <c r="D636" s="2" t="s">
        <v>1004</v>
      </c>
      <c r="E636" s="4">
        <v>4000</v>
      </c>
    </row>
    <row r="637" spans="1:5" x14ac:dyDescent="0.3">
      <c r="A637" s="2">
        <v>636</v>
      </c>
      <c r="B637" s="2" t="s">
        <v>574</v>
      </c>
      <c r="C637" s="2" t="s">
        <v>1005</v>
      </c>
      <c r="D637" s="2" t="s">
        <v>1006</v>
      </c>
      <c r="E637" s="4">
        <v>3000</v>
      </c>
    </row>
    <row r="638" spans="1:5" x14ac:dyDescent="0.3">
      <c r="A638" s="2">
        <v>637</v>
      </c>
      <c r="B638" s="2" t="s">
        <v>574</v>
      </c>
      <c r="C638" s="2" t="s">
        <v>1007</v>
      </c>
      <c r="D638" s="2" t="s">
        <v>1008</v>
      </c>
      <c r="E638" s="4">
        <v>2500</v>
      </c>
    </row>
    <row r="639" spans="1:5" x14ac:dyDescent="0.3">
      <c r="A639" s="2">
        <v>638</v>
      </c>
      <c r="B639" s="2" t="s">
        <v>574</v>
      </c>
      <c r="C639" s="2" t="s">
        <v>1009</v>
      </c>
      <c r="D639" s="2" t="s">
        <v>1010</v>
      </c>
      <c r="E639" s="4">
        <v>8000</v>
      </c>
    </row>
    <row r="640" spans="1:5" x14ac:dyDescent="0.3">
      <c r="A640" s="2">
        <v>639</v>
      </c>
      <c r="B640" s="2" t="s">
        <v>574</v>
      </c>
      <c r="C640" s="2" t="s">
        <v>1057</v>
      </c>
      <c r="D640" s="2" t="s">
        <v>1058</v>
      </c>
      <c r="E640" s="4">
        <v>9000</v>
      </c>
    </row>
    <row r="641" spans="1:5" x14ac:dyDescent="0.3">
      <c r="A641" s="2">
        <v>640</v>
      </c>
      <c r="B641" s="2" t="s">
        <v>574</v>
      </c>
      <c r="C641" s="2" t="s">
        <v>1011</v>
      </c>
      <c r="D641" s="2" t="s">
        <v>1012</v>
      </c>
      <c r="E641" s="4">
        <v>8000</v>
      </c>
    </row>
    <row r="642" spans="1:5" x14ac:dyDescent="0.3">
      <c r="A642" s="2">
        <v>641</v>
      </c>
      <c r="B642" s="2" t="s">
        <v>574</v>
      </c>
      <c r="C642" s="2" t="s">
        <v>1013</v>
      </c>
      <c r="D642" s="2" t="s">
        <v>1014</v>
      </c>
      <c r="E642" s="4">
        <v>6000</v>
      </c>
    </row>
    <row r="643" spans="1:5" x14ac:dyDescent="0.3">
      <c r="A643" s="2">
        <v>642</v>
      </c>
      <c r="B643" s="2" t="s">
        <v>579</v>
      </c>
      <c r="C643" s="2" t="s">
        <v>1028</v>
      </c>
      <c r="D643" s="2" t="s">
        <v>1029</v>
      </c>
      <c r="E643" s="4">
        <v>4000</v>
      </c>
    </row>
    <row r="644" spans="1:5" x14ac:dyDescent="0.3">
      <c r="A644" s="2">
        <v>643</v>
      </c>
      <c r="B644" s="2" t="s">
        <v>579</v>
      </c>
      <c r="C644" s="2" t="s">
        <v>1030</v>
      </c>
      <c r="D644" s="2" t="s">
        <v>1031</v>
      </c>
      <c r="E644" s="4">
        <v>5000</v>
      </c>
    </row>
    <row r="645" spans="1:5" x14ac:dyDescent="0.3">
      <c r="A645" s="2">
        <v>644</v>
      </c>
      <c r="B645" s="2" t="s">
        <v>579</v>
      </c>
      <c r="C645" s="2" t="s">
        <v>1032</v>
      </c>
      <c r="D645" s="2" t="s">
        <v>1033</v>
      </c>
      <c r="E645" s="4">
        <v>5000</v>
      </c>
    </row>
    <row r="646" spans="1:5" x14ac:dyDescent="0.3">
      <c r="A646" s="2">
        <v>645</v>
      </c>
      <c r="B646" s="2" t="s">
        <v>579</v>
      </c>
      <c r="C646" s="2" t="s">
        <v>1034</v>
      </c>
      <c r="D646" s="2" t="s">
        <v>1035</v>
      </c>
      <c r="E646" s="4">
        <v>6000</v>
      </c>
    </row>
    <row r="647" spans="1:5" x14ac:dyDescent="0.3">
      <c r="A647" s="2">
        <v>646</v>
      </c>
      <c r="B647" s="2" t="s">
        <v>579</v>
      </c>
      <c r="C647" s="2" t="s">
        <v>1036</v>
      </c>
      <c r="D647" s="2" t="s">
        <v>1037</v>
      </c>
      <c r="E647" s="4">
        <v>5000</v>
      </c>
    </row>
    <row r="648" spans="1:5" x14ac:dyDescent="0.3">
      <c r="A648" s="2">
        <v>647</v>
      </c>
      <c r="B648" s="2" t="s">
        <v>579</v>
      </c>
      <c r="C648" s="2" t="s">
        <v>1038</v>
      </c>
      <c r="D648" s="2" t="s">
        <v>1039</v>
      </c>
      <c r="E648" s="4">
        <v>2000</v>
      </c>
    </row>
    <row r="649" spans="1:5" x14ac:dyDescent="0.3">
      <c r="A649" s="2">
        <v>648</v>
      </c>
      <c r="B649" s="2" t="s">
        <v>579</v>
      </c>
      <c r="C649" s="2" t="s">
        <v>1065</v>
      </c>
      <c r="D649" s="2" t="s">
        <v>1066</v>
      </c>
      <c r="E649" s="4">
        <v>4000</v>
      </c>
    </row>
    <row r="650" spans="1:5" x14ac:dyDescent="0.3">
      <c r="A650" s="2">
        <v>649</v>
      </c>
      <c r="B650" s="2" t="s">
        <v>579</v>
      </c>
      <c r="C650" s="2" t="s">
        <v>1067</v>
      </c>
      <c r="D650" s="2" t="s">
        <v>1068</v>
      </c>
      <c r="E650" s="4">
        <v>6500</v>
      </c>
    </row>
    <row r="651" spans="1:5" x14ac:dyDescent="0.3">
      <c r="A651" s="2">
        <v>650</v>
      </c>
      <c r="B651" s="2" t="s">
        <v>579</v>
      </c>
      <c r="C651" s="2" t="s">
        <v>1069</v>
      </c>
      <c r="D651" s="2" t="s">
        <v>1070</v>
      </c>
      <c r="E651" s="4">
        <v>8000</v>
      </c>
    </row>
    <row r="652" spans="1:5" x14ac:dyDescent="0.3">
      <c r="A652" s="2">
        <v>651</v>
      </c>
      <c r="B652" s="2" t="s">
        <v>579</v>
      </c>
      <c r="C652" s="2" t="s">
        <v>966</v>
      </c>
      <c r="D652" s="2" t="s">
        <v>1027</v>
      </c>
      <c r="E652" s="4">
        <v>1500</v>
      </c>
    </row>
    <row r="653" spans="1:5" x14ac:dyDescent="0.3">
      <c r="A653" s="2">
        <v>652</v>
      </c>
      <c r="B653" s="2" t="s">
        <v>584</v>
      </c>
      <c r="C653" s="2" t="s">
        <v>946</v>
      </c>
      <c r="D653" s="2" t="s">
        <v>1098</v>
      </c>
      <c r="E653" s="4">
        <v>15000</v>
      </c>
    </row>
    <row r="654" spans="1:5" x14ac:dyDescent="0.3">
      <c r="A654" s="2">
        <v>653</v>
      </c>
      <c r="B654" s="2" t="s">
        <v>584</v>
      </c>
      <c r="C654" s="2" t="s">
        <v>948</v>
      </c>
      <c r="D654" s="2" t="s">
        <v>949</v>
      </c>
      <c r="E654" s="4">
        <v>5000</v>
      </c>
    </row>
    <row r="655" spans="1:5" x14ac:dyDescent="0.3">
      <c r="A655" s="2">
        <v>654</v>
      </c>
      <c r="B655" s="2" t="s">
        <v>584</v>
      </c>
      <c r="C655" s="2" t="s">
        <v>950</v>
      </c>
      <c r="D655" s="2" t="s">
        <v>1074</v>
      </c>
      <c r="E655" s="4">
        <v>4000</v>
      </c>
    </row>
    <row r="656" spans="1:5" x14ac:dyDescent="0.3">
      <c r="A656" s="2">
        <v>655</v>
      </c>
      <c r="B656" s="2" t="s">
        <v>584</v>
      </c>
      <c r="C656" s="2" t="s">
        <v>952</v>
      </c>
      <c r="D656" s="2" t="s">
        <v>953</v>
      </c>
      <c r="E656" s="4">
        <v>17000</v>
      </c>
    </row>
    <row r="657" spans="1:5" x14ac:dyDescent="0.3">
      <c r="A657" s="2">
        <v>656</v>
      </c>
      <c r="B657" s="2" t="s">
        <v>584</v>
      </c>
      <c r="C657" s="2" t="s">
        <v>954</v>
      </c>
      <c r="D657" s="2" t="s">
        <v>955</v>
      </c>
      <c r="E657" s="4">
        <v>11000</v>
      </c>
    </row>
    <row r="658" spans="1:5" x14ac:dyDescent="0.3">
      <c r="A658" s="2">
        <v>657</v>
      </c>
      <c r="B658" s="2" t="s">
        <v>584</v>
      </c>
      <c r="C658" s="2" t="s">
        <v>956</v>
      </c>
      <c r="D658" s="2" t="s">
        <v>1075</v>
      </c>
      <c r="E658" s="4">
        <v>6000</v>
      </c>
    </row>
    <row r="659" spans="1:5" x14ac:dyDescent="0.3">
      <c r="A659" s="2">
        <v>658</v>
      </c>
      <c r="B659" s="2" t="s">
        <v>584</v>
      </c>
      <c r="C659" s="2" t="s">
        <v>958</v>
      </c>
      <c r="D659" s="2" t="s">
        <v>959</v>
      </c>
      <c r="E659" s="4">
        <v>4500</v>
      </c>
    </row>
    <row r="660" spans="1:5" x14ac:dyDescent="0.3">
      <c r="A660" s="2">
        <v>659</v>
      </c>
      <c r="B660" s="2" t="s">
        <v>584</v>
      </c>
      <c r="C660" s="2" t="s">
        <v>960</v>
      </c>
      <c r="D660" s="2" t="s">
        <v>961</v>
      </c>
      <c r="E660" s="4">
        <v>8500</v>
      </c>
    </row>
    <row r="661" spans="1:5" x14ac:dyDescent="0.3">
      <c r="A661" s="2">
        <v>660</v>
      </c>
      <c r="B661" s="2" t="s">
        <v>584</v>
      </c>
      <c r="C661" s="2" t="s">
        <v>962</v>
      </c>
      <c r="D661" s="2" t="s">
        <v>963</v>
      </c>
      <c r="E661" s="4">
        <v>2000</v>
      </c>
    </row>
    <row r="662" spans="1:5" x14ac:dyDescent="0.3">
      <c r="A662" s="2">
        <v>661</v>
      </c>
      <c r="B662" s="2" t="s">
        <v>589</v>
      </c>
      <c r="C662" s="2" t="s">
        <v>1028</v>
      </c>
      <c r="D662" s="2" t="s">
        <v>1029</v>
      </c>
      <c r="E662" s="4">
        <v>4000</v>
      </c>
    </row>
    <row r="663" spans="1:5" x14ac:dyDescent="0.3">
      <c r="A663" s="2">
        <v>662</v>
      </c>
      <c r="B663" s="2" t="s">
        <v>589</v>
      </c>
      <c r="C663" s="2" t="s">
        <v>1030</v>
      </c>
      <c r="D663" s="2" t="s">
        <v>1031</v>
      </c>
      <c r="E663" s="4">
        <v>5000</v>
      </c>
    </row>
    <row r="664" spans="1:5" x14ac:dyDescent="0.3">
      <c r="A664" s="2">
        <v>663</v>
      </c>
      <c r="B664" s="2" t="s">
        <v>589</v>
      </c>
      <c r="C664" s="2" t="s">
        <v>1032</v>
      </c>
      <c r="D664" s="2" t="s">
        <v>1033</v>
      </c>
      <c r="E664" s="4">
        <v>5000</v>
      </c>
    </row>
    <row r="665" spans="1:5" x14ac:dyDescent="0.3">
      <c r="A665" s="2">
        <v>664</v>
      </c>
      <c r="B665" s="2" t="s">
        <v>589</v>
      </c>
      <c r="C665" s="2" t="s">
        <v>1034</v>
      </c>
      <c r="D665" s="2" t="s">
        <v>1035</v>
      </c>
      <c r="E665" s="4">
        <v>6000</v>
      </c>
    </row>
    <row r="666" spans="1:5" x14ac:dyDescent="0.3">
      <c r="A666" s="2">
        <v>665</v>
      </c>
      <c r="B666" s="2" t="s">
        <v>589</v>
      </c>
      <c r="C666" s="2" t="s">
        <v>1036</v>
      </c>
      <c r="D666" s="2" t="s">
        <v>1037</v>
      </c>
      <c r="E666" s="4">
        <v>5000</v>
      </c>
    </row>
    <row r="667" spans="1:5" x14ac:dyDescent="0.3">
      <c r="A667" s="2">
        <v>666</v>
      </c>
      <c r="B667" s="2" t="s">
        <v>589</v>
      </c>
      <c r="C667" s="2" t="s">
        <v>1038</v>
      </c>
      <c r="D667" s="2" t="s">
        <v>1039</v>
      </c>
      <c r="E667" s="4">
        <v>2000</v>
      </c>
    </row>
    <row r="668" spans="1:5" x14ac:dyDescent="0.3">
      <c r="A668" s="2">
        <v>667</v>
      </c>
      <c r="B668" s="2" t="s">
        <v>589</v>
      </c>
      <c r="C668" s="2" t="s">
        <v>1065</v>
      </c>
      <c r="D668" s="2" t="s">
        <v>1066</v>
      </c>
      <c r="E668" s="4">
        <v>4000</v>
      </c>
    </row>
    <row r="669" spans="1:5" x14ac:dyDescent="0.3">
      <c r="A669" s="2">
        <v>668</v>
      </c>
      <c r="B669" s="2" t="s">
        <v>589</v>
      </c>
      <c r="C669" s="2" t="s">
        <v>1067</v>
      </c>
      <c r="D669" s="2" t="s">
        <v>1068</v>
      </c>
      <c r="E669" s="4">
        <v>6500</v>
      </c>
    </row>
    <row r="670" spans="1:5" x14ac:dyDescent="0.3">
      <c r="A670" s="2">
        <v>669</v>
      </c>
      <c r="B670" s="2" t="s">
        <v>589</v>
      </c>
      <c r="C670" s="2" t="s">
        <v>1069</v>
      </c>
      <c r="D670" s="2" t="s">
        <v>1070</v>
      </c>
      <c r="E670" s="4">
        <v>8000</v>
      </c>
    </row>
    <row r="671" spans="1:5" x14ac:dyDescent="0.3">
      <c r="A671" s="2">
        <v>670</v>
      </c>
      <c r="B671" s="2" t="s">
        <v>594</v>
      </c>
      <c r="C671" s="2" t="s">
        <v>1028</v>
      </c>
      <c r="D671" s="2" t="s">
        <v>1029</v>
      </c>
      <c r="E671" s="4">
        <v>4000</v>
      </c>
    </row>
    <row r="672" spans="1:5" x14ac:dyDescent="0.3">
      <c r="A672" s="2">
        <v>671</v>
      </c>
      <c r="B672" s="2" t="s">
        <v>594</v>
      </c>
      <c r="C672" s="2" t="s">
        <v>1030</v>
      </c>
      <c r="D672" s="2" t="s">
        <v>1031</v>
      </c>
      <c r="E672" s="4">
        <v>5000</v>
      </c>
    </row>
    <row r="673" spans="1:5" x14ac:dyDescent="0.3">
      <c r="A673" s="2">
        <v>672</v>
      </c>
      <c r="B673" s="2" t="s">
        <v>594</v>
      </c>
      <c r="C673" s="2" t="s">
        <v>1032</v>
      </c>
      <c r="D673" s="2" t="s">
        <v>1033</v>
      </c>
      <c r="E673" s="4">
        <v>5000</v>
      </c>
    </row>
    <row r="674" spans="1:5" x14ac:dyDescent="0.3">
      <c r="A674" s="2">
        <v>673</v>
      </c>
      <c r="B674" s="2" t="s">
        <v>594</v>
      </c>
      <c r="C674" s="2" t="s">
        <v>1034</v>
      </c>
      <c r="D674" s="2" t="s">
        <v>1035</v>
      </c>
      <c r="E674" s="4">
        <v>6000</v>
      </c>
    </row>
    <row r="675" spans="1:5" x14ac:dyDescent="0.3">
      <c r="A675" s="2">
        <v>674</v>
      </c>
      <c r="B675" s="2" t="s">
        <v>594</v>
      </c>
      <c r="C675" s="2" t="s">
        <v>1036</v>
      </c>
      <c r="D675" s="2" t="s">
        <v>1037</v>
      </c>
      <c r="E675" s="4">
        <v>5000</v>
      </c>
    </row>
    <row r="676" spans="1:5" x14ac:dyDescent="0.3">
      <c r="A676" s="2">
        <v>675</v>
      </c>
      <c r="B676" s="2" t="s">
        <v>594</v>
      </c>
      <c r="C676" s="2" t="s">
        <v>1038</v>
      </c>
      <c r="D676" s="2" t="s">
        <v>1039</v>
      </c>
      <c r="E676" s="4">
        <v>2000</v>
      </c>
    </row>
    <row r="677" spans="1:5" x14ac:dyDescent="0.3">
      <c r="A677" s="2">
        <v>676</v>
      </c>
      <c r="B677" s="2" t="s">
        <v>594</v>
      </c>
      <c r="C677" s="2" t="s">
        <v>1065</v>
      </c>
      <c r="D677" s="2" t="s">
        <v>1066</v>
      </c>
      <c r="E677" s="4">
        <v>4000</v>
      </c>
    </row>
    <row r="678" spans="1:5" x14ac:dyDescent="0.3">
      <c r="A678" s="2">
        <v>677</v>
      </c>
      <c r="B678" s="2" t="s">
        <v>594</v>
      </c>
      <c r="C678" s="2" t="s">
        <v>1067</v>
      </c>
      <c r="D678" s="2" t="s">
        <v>1068</v>
      </c>
      <c r="E678" s="4">
        <v>6500</v>
      </c>
    </row>
    <row r="679" spans="1:5" x14ac:dyDescent="0.3">
      <c r="A679" s="2">
        <v>678</v>
      </c>
      <c r="B679" s="2" t="s">
        <v>594</v>
      </c>
      <c r="C679" s="2" t="s">
        <v>1069</v>
      </c>
      <c r="D679" s="2" t="s">
        <v>1070</v>
      </c>
      <c r="E679" s="4">
        <v>8000</v>
      </c>
    </row>
    <row r="680" spans="1:5" x14ac:dyDescent="0.3">
      <c r="A680" s="2">
        <v>679</v>
      </c>
      <c r="B680" s="2" t="s">
        <v>599</v>
      </c>
      <c r="C680" s="2" t="s">
        <v>946</v>
      </c>
      <c r="D680" s="2" t="s">
        <v>1098</v>
      </c>
      <c r="E680" s="4">
        <v>15000</v>
      </c>
    </row>
    <row r="681" spans="1:5" x14ac:dyDescent="0.3">
      <c r="A681" s="2">
        <v>680</v>
      </c>
      <c r="B681" s="2" t="s">
        <v>599</v>
      </c>
      <c r="C681" s="2" t="s">
        <v>948</v>
      </c>
      <c r="D681" s="2" t="s">
        <v>949</v>
      </c>
      <c r="E681" s="4">
        <v>5000</v>
      </c>
    </row>
    <row r="682" spans="1:5" x14ac:dyDescent="0.3">
      <c r="A682" s="2">
        <v>681</v>
      </c>
      <c r="B682" s="2" t="s">
        <v>599</v>
      </c>
      <c r="C682" s="2" t="s">
        <v>950</v>
      </c>
      <c r="D682" s="2" t="s">
        <v>1074</v>
      </c>
      <c r="E682" s="4">
        <v>4000</v>
      </c>
    </row>
    <row r="683" spans="1:5" x14ac:dyDescent="0.3">
      <c r="A683" s="2">
        <v>682</v>
      </c>
      <c r="B683" s="2" t="s">
        <v>599</v>
      </c>
      <c r="C683" s="2" t="s">
        <v>952</v>
      </c>
      <c r="D683" s="2" t="s">
        <v>953</v>
      </c>
      <c r="E683" s="4">
        <v>17000</v>
      </c>
    </row>
    <row r="684" spans="1:5" x14ac:dyDescent="0.3">
      <c r="A684" s="2">
        <v>683</v>
      </c>
      <c r="B684" s="2" t="s">
        <v>599</v>
      </c>
      <c r="C684" s="2" t="s">
        <v>954</v>
      </c>
      <c r="D684" s="2" t="s">
        <v>955</v>
      </c>
      <c r="E684" s="4">
        <v>11000</v>
      </c>
    </row>
    <row r="685" spans="1:5" x14ac:dyDescent="0.3">
      <c r="A685" s="2">
        <v>684</v>
      </c>
      <c r="B685" s="2" t="s">
        <v>599</v>
      </c>
      <c r="C685" s="2" t="s">
        <v>956</v>
      </c>
      <c r="D685" s="2" t="s">
        <v>1075</v>
      </c>
      <c r="E685" s="4">
        <v>6000</v>
      </c>
    </row>
    <row r="686" spans="1:5" x14ac:dyDescent="0.3">
      <c r="A686" s="2">
        <v>685</v>
      </c>
      <c r="B686" s="2" t="s">
        <v>599</v>
      </c>
      <c r="C686" s="2" t="s">
        <v>958</v>
      </c>
      <c r="D686" s="2" t="s">
        <v>959</v>
      </c>
      <c r="E686" s="4">
        <v>4500</v>
      </c>
    </row>
    <row r="687" spans="1:5" x14ac:dyDescent="0.3">
      <c r="A687" s="2">
        <v>686</v>
      </c>
      <c r="B687" s="2" t="s">
        <v>599</v>
      </c>
      <c r="C687" s="2" t="s">
        <v>960</v>
      </c>
      <c r="D687" s="2" t="s">
        <v>961</v>
      </c>
      <c r="E687" s="4">
        <v>8500</v>
      </c>
    </row>
    <row r="688" spans="1:5" x14ac:dyDescent="0.3">
      <c r="A688" s="2">
        <v>687</v>
      </c>
      <c r="B688" s="2" t="s">
        <v>599</v>
      </c>
      <c r="C688" s="2" t="s">
        <v>962</v>
      </c>
      <c r="D688" s="2" t="s">
        <v>963</v>
      </c>
      <c r="E688" s="4">
        <v>2000</v>
      </c>
    </row>
    <row r="689" spans="1:5" x14ac:dyDescent="0.3">
      <c r="A689" s="2">
        <v>688</v>
      </c>
      <c r="B689" s="2" t="s">
        <v>604</v>
      </c>
      <c r="C689" s="2" t="s">
        <v>993</v>
      </c>
      <c r="D689" s="2" t="s">
        <v>994</v>
      </c>
      <c r="E689" s="4">
        <v>5000</v>
      </c>
    </row>
    <row r="690" spans="1:5" x14ac:dyDescent="0.3">
      <c r="A690" s="2">
        <v>689</v>
      </c>
      <c r="B690" s="2" t="s">
        <v>604</v>
      </c>
      <c r="C690" s="2" t="s">
        <v>995</v>
      </c>
      <c r="D690" s="2" t="s">
        <v>996</v>
      </c>
      <c r="E690" s="4">
        <v>6000</v>
      </c>
    </row>
    <row r="691" spans="1:5" x14ac:dyDescent="0.3">
      <c r="A691" s="2">
        <v>690</v>
      </c>
      <c r="B691" s="2" t="s">
        <v>604</v>
      </c>
      <c r="C691" s="2" t="s">
        <v>997</v>
      </c>
      <c r="D691" s="2" t="s">
        <v>998</v>
      </c>
      <c r="E691" s="4">
        <v>5500</v>
      </c>
    </row>
    <row r="692" spans="1:5" x14ac:dyDescent="0.3">
      <c r="A692" s="2">
        <v>691</v>
      </c>
      <c r="B692" s="2" t="s">
        <v>604</v>
      </c>
      <c r="C692" s="2" t="s">
        <v>999</v>
      </c>
      <c r="D692" s="2" t="s">
        <v>1000</v>
      </c>
      <c r="E692" s="4">
        <v>6000</v>
      </c>
    </row>
    <row r="693" spans="1:5" x14ac:dyDescent="0.3">
      <c r="A693" s="2">
        <v>692</v>
      </c>
      <c r="B693" s="2" t="s">
        <v>604</v>
      </c>
      <c r="C693" s="2" t="s">
        <v>1001</v>
      </c>
      <c r="D693" s="2" t="s">
        <v>1002</v>
      </c>
      <c r="E693" s="4">
        <v>4500</v>
      </c>
    </row>
    <row r="694" spans="1:5" x14ac:dyDescent="0.3">
      <c r="A694" s="2">
        <v>693</v>
      </c>
      <c r="B694" s="2" t="s">
        <v>604</v>
      </c>
      <c r="C694" s="2" t="s">
        <v>1003</v>
      </c>
      <c r="D694" s="2" t="s">
        <v>1004</v>
      </c>
      <c r="E694" s="4">
        <v>4000</v>
      </c>
    </row>
    <row r="695" spans="1:5" x14ac:dyDescent="0.3">
      <c r="A695" s="2">
        <v>694</v>
      </c>
      <c r="B695" s="2" t="s">
        <v>604</v>
      </c>
      <c r="C695" s="2" t="s">
        <v>1005</v>
      </c>
      <c r="D695" s="2" t="s">
        <v>1006</v>
      </c>
      <c r="E695" s="4">
        <v>3000</v>
      </c>
    </row>
    <row r="696" spans="1:5" x14ac:dyDescent="0.3">
      <c r="A696" s="2">
        <v>695</v>
      </c>
      <c r="B696" s="2" t="s">
        <v>604</v>
      </c>
      <c r="C696" s="2" t="s">
        <v>1007</v>
      </c>
      <c r="D696" s="2" t="s">
        <v>1008</v>
      </c>
      <c r="E696" s="4">
        <v>2500</v>
      </c>
    </row>
    <row r="697" spans="1:5" x14ac:dyDescent="0.3">
      <c r="A697" s="2">
        <v>696</v>
      </c>
      <c r="B697" s="2" t="s">
        <v>604</v>
      </c>
      <c r="C697" s="2" t="s">
        <v>1009</v>
      </c>
      <c r="D697" s="2" t="s">
        <v>1010</v>
      </c>
      <c r="E697" s="4">
        <v>8000</v>
      </c>
    </row>
    <row r="698" spans="1:5" x14ac:dyDescent="0.3">
      <c r="A698" s="2">
        <v>697</v>
      </c>
      <c r="B698" s="2" t="s">
        <v>604</v>
      </c>
      <c r="C698" s="2" t="s">
        <v>1057</v>
      </c>
      <c r="D698" s="2" t="s">
        <v>1058</v>
      </c>
      <c r="E698" s="4">
        <v>9000</v>
      </c>
    </row>
    <row r="699" spans="1:5" x14ac:dyDescent="0.3">
      <c r="A699" s="2">
        <v>698</v>
      </c>
      <c r="B699" s="2" t="s">
        <v>604</v>
      </c>
      <c r="C699" s="2" t="s">
        <v>1011</v>
      </c>
      <c r="D699" s="2" t="s">
        <v>1012</v>
      </c>
      <c r="E699" s="4">
        <v>8000</v>
      </c>
    </row>
    <row r="700" spans="1:5" x14ac:dyDescent="0.3">
      <c r="A700" s="2">
        <v>699</v>
      </c>
      <c r="B700" s="2" t="s">
        <v>604</v>
      </c>
      <c r="C700" s="2" t="s">
        <v>1013</v>
      </c>
      <c r="D700" s="2" t="s">
        <v>1014</v>
      </c>
      <c r="E700" s="4">
        <v>6000</v>
      </c>
    </row>
    <row r="701" spans="1:5" x14ac:dyDescent="0.3">
      <c r="A701" s="2">
        <v>700</v>
      </c>
      <c r="B701" s="2" t="s">
        <v>609</v>
      </c>
      <c r="C701" s="2" t="s">
        <v>1104</v>
      </c>
      <c r="D701" s="2" t="s">
        <v>1105</v>
      </c>
      <c r="E701" s="4">
        <v>1500</v>
      </c>
    </row>
    <row r="702" spans="1:5" x14ac:dyDescent="0.3">
      <c r="A702" s="2">
        <v>701</v>
      </c>
      <c r="B702" s="2" t="s">
        <v>609</v>
      </c>
      <c r="C702" s="2" t="s">
        <v>1106</v>
      </c>
      <c r="D702" s="2" t="s">
        <v>1107</v>
      </c>
      <c r="E702" s="4">
        <v>2000</v>
      </c>
    </row>
    <row r="703" spans="1:5" x14ac:dyDescent="0.3">
      <c r="A703" s="2">
        <v>702</v>
      </c>
      <c r="B703" s="2" t="s">
        <v>609</v>
      </c>
      <c r="C703" s="2" t="s">
        <v>1108</v>
      </c>
      <c r="D703" s="2" t="s">
        <v>1109</v>
      </c>
      <c r="E703" s="4">
        <v>1500</v>
      </c>
    </row>
    <row r="704" spans="1:5" x14ac:dyDescent="0.3">
      <c r="A704" s="2">
        <v>703</v>
      </c>
      <c r="B704" s="2" t="s">
        <v>609</v>
      </c>
      <c r="C704" s="2" t="s">
        <v>1110</v>
      </c>
      <c r="D704" s="2" t="s">
        <v>1111</v>
      </c>
      <c r="E704" s="4">
        <v>2000</v>
      </c>
    </row>
    <row r="705" spans="1:5" x14ac:dyDescent="0.3">
      <c r="A705" s="2">
        <v>704</v>
      </c>
      <c r="B705" s="2" t="s">
        <v>609</v>
      </c>
      <c r="C705" s="2" t="s">
        <v>1112</v>
      </c>
      <c r="D705" s="2" t="s">
        <v>1113</v>
      </c>
      <c r="E705" s="4">
        <v>2000</v>
      </c>
    </row>
    <row r="706" spans="1:5" x14ac:dyDescent="0.3">
      <c r="A706" s="2">
        <v>705</v>
      </c>
      <c r="B706" s="2" t="s">
        <v>609</v>
      </c>
      <c r="C706" s="2" t="s">
        <v>1114</v>
      </c>
      <c r="D706" s="2" t="s">
        <v>1115</v>
      </c>
      <c r="E706" s="4">
        <v>2500</v>
      </c>
    </row>
    <row r="707" spans="1:5" x14ac:dyDescent="0.3">
      <c r="A707" s="2">
        <v>706</v>
      </c>
      <c r="B707" s="2" t="s">
        <v>609</v>
      </c>
      <c r="C707" s="2" t="s">
        <v>1116</v>
      </c>
      <c r="D707" s="2" t="s">
        <v>1117</v>
      </c>
      <c r="E707" s="4">
        <v>2000</v>
      </c>
    </row>
    <row r="708" spans="1:5" x14ac:dyDescent="0.3">
      <c r="A708" s="2">
        <v>707</v>
      </c>
      <c r="B708" s="2" t="s">
        <v>609</v>
      </c>
      <c r="C708" s="2" t="s">
        <v>1118</v>
      </c>
      <c r="D708" s="2" t="s">
        <v>1119</v>
      </c>
      <c r="E708" s="4">
        <v>2500</v>
      </c>
    </row>
    <row r="709" spans="1:5" x14ac:dyDescent="0.3">
      <c r="A709" s="2">
        <v>708</v>
      </c>
      <c r="B709" s="2" t="s">
        <v>609</v>
      </c>
      <c r="C709" s="2" t="s">
        <v>1120</v>
      </c>
      <c r="D709" s="2" t="s">
        <v>1121</v>
      </c>
      <c r="E709" s="4">
        <v>3000</v>
      </c>
    </row>
    <row r="710" spans="1:5" x14ac:dyDescent="0.3">
      <c r="A710" s="2">
        <v>709</v>
      </c>
      <c r="B710" s="2" t="s">
        <v>614</v>
      </c>
      <c r="C710" s="2" t="s">
        <v>946</v>
      </c>
      <c r="D710" s="2" t="s">
        <v>1098</v>
      </c>
      <c r="E710" s="4">
        <v>15000</v>
      </c>
    </row>
    <row r="711" spans="1:5" x14ac:dyDescent="0.3">
      <c r="A711" s="2">
        <v>710</v>
      </c>
      <c r="B711" s="2" t="s">
        <v>614</v>
      </c>
      <c r="C711" s="2" t="s">
        <v>948</v>
      </c>
      <c r="D711" s="2" t="s">
        <v>949</v>
      </c>
      <c r="E711" s="4">
        <v>5000</v>
      </c>
    </row>
    <row r="712" spans="1:5" x14ac:dyDescent="0.3">
      <c r="A712" s="2">
        <v>711</v>
      </c>
      <c r="B712" s="2" t="s">
        <v>614</v>
      </c>
      <c r="C712" s="2" t="s">
        <v>950</v>
      </c>
      <c r="D712" s="2" t="s">
        <v>1074</v>
      </c>
      <c r="E712" s="4">
        <v>4000</v>
      </c>
    </row>
    <row r="713" spans="1:5" x14ac:dyDescent="0.3">
      <c r="A713" s="2">
        <v>712</v>
      </c>
      <c r="B713" s="2" t="s">
        <v>614</v>
      </c>
      <c r="C713" s="2" t="s">
        <v>952</v>
      </c>
      <c r="D713" s="2" t="s">
        <v>953</v>
      </c>
      <c r="E713" s="4">
        <v>17000</v>
      </c>
    </row>
    <row r="714" spans="1:5" x14ac:dyDescent="0.3">
      <c r="A714" s="2">
        <v>713</v>
      </c>
      <c r="B714" s="2" t="s">
        <v>614</v>
      </c>
      <c r="C714" s="2" t="s">
        <v>954</v>
      </c>
      <c r="D714" s="2" t="s">
        <v>955</v>
      </c>
      <c r="E714" s="4">
        <v>11000</v>
      </c>
    </row>
    <row r="715" spans="1:5" x14ac:dyDescent="0.3">
      <c r="A715" s="2">
        <v>714</v>
      </c>
      <c r="B715" s="2" t="s">
        <v>614</v>
      </c>
      <c r="C715" s="2" t="s">
        <v>956</v>
      </c>
      <c r="D715" s="2" t="s">
        <v>1075</v>
      </c>
      <c r="E715" s="4">
        <v>6000</v>
      </c>
    </row>
    <row r="716" spans="1:5" x14ac:dyDescent="0.3">
      <c r="A716" s="2">
        <v>715</v>
      </c>
      <c r="B716" s="2" t="s">
        <v>614</v>
      </c>
      <c r="C716" s="2" t="s">
        <v>958</v>
      </c>
      <c r="D716" s="2" t="s">
        <v>959</v>
      </c>
      <c r="E716" s="4">
        <v>4500</v>
      </c>
    </row>
    <row r="717" spans="1:5" x14ac:dyDescent="0.3">
      <c r="A717" s="2">
        <v>716</v>
      </c>
      <c r="B717" s="2" t="s">
        <v>614</v>
      </c>
      <c r="C717" s="2" t="s">
        <v>960</v>
      </c>
      <c r="D717" s="2" t="s">
        <v>961</v>
      </c>
      <c r="E717" s="4">
        <v>8500</v>
      </c>
    </row>
    <row r="718" spans="1:5" x14ac:dyDescent="0.3">
      <c r="A718" s="2">
        <v>717</v>
      </c>
      <c r="B718" s="2" t="s">
        <v>614</v>
      </c>
      <c r="C718" s="2" t="s">
        <v>962</v>
      </c>
      <c r="D718" s="2" t="s">
        <v>963</v>
      </c>
      <c r="E718" s="4">
        <v>2000</v>
      </c>
    </row>
    <row r="719" spans="1:5" x14ac:dyDescent="0.3">
      <c r="A719" s="2">
        <v>718</v>
      </c>
      <c r="B719" s="2" t="s">
        <v>619</v>
      </c>
      <c r="C719" s="2" t="s">
        <v>946</v>
      </c>
      <c r="D719" s="2" t="s">
        <v>1098</v>
      </c>
      <c r="E719" s="4">
        <v>15000</v>
      </c>
    </row>
    <row r="720" spans="1:5" x14ac:dyDescent="0.3">
      <c r="A720" s="2">
        <v>719</v>
      </c>
      <c r="B720" s="2" t="s">
        <v>619</v>
      </c>
      <c r="C720" s="2" t="s">
        <v>948</v>
      </c>
      <c r="D720" s="2" t="s">
        <v>949</v>
      </c>
      <c r="E720" s="4">
        <v>5000</v>
      </c>
    </row>
    <row r="721" spans="1:5" x14ac:dyDescent="0.3">
      <c r="A721" s="2">
        <v>720</v>
      </c>
      <c r="B721" s="2" t="s">
        <v>619</v>
      </c>
      <c r="C721" s="2" t="s">
        <v>950</v>
      </c>
      <c r="D721" s="2" t="s">
        <v>1074</v>
      </c>
      <c r="E721" s="4">
        <v>4000</v>
      </c>
    </row>
    <row r="722" spans="1:5" x14ac:dyDescent="0.3">
      <c r="A722" s="2">
        <v>721</v>
      </c>
      <c r="B722" s="2" t="s">
        <v>619</v>
      </c>
      <c r="C722" s="2" t="s">
        <v>952</v>
      </c>
      <c r="D722" s="2" t="s">
        <v>953</v>
      </c>
      <c r="E722" s="4">
        <v>17000</v>
      </c>
    </row>
    <row r="723" spans="1:5" x14ac:dyDescent="0.3">
      <c r="A723" s="2">
        <v>722</v>
      </c>
      <c r="B723" s="2" t="s">
        <v>619</v>
      </c>
      <c r="C723" s="2" t="s">
        <v>954</v>
      </c>
      <c r="D723" s="2" t="s">
        <v>955</v>
      </c>
      <c r="E723" s="4">
        <v>11000</v>
      </c>
    </row>
    <row r="724" spans="1:5" x14ac:dyDescent="0.3">
      <c r="A724" s="2">
        <v>723</v>
      </c>
      <c r="B724" s="2" t="s">
        <v>619</v>
      </c>
      <c r="C724" s="2" t="s">
        <v>956</v>
      </c>
      <c r="D724" s="2" t="s">
        <v>1075</v>
      </c>
      <c r="E724" s="4">
        <v>6000</v>
      </c>
    </row>
    <row r="725" spans="1:5" x14ac:dyDescent="0.3">
      <c r="A725" s="2">
        <v>724</v>
      </c>
      <c r="B725" s="2" t="s">
        <v>619</v>
      </c>
      <c r="C725" s="2" t="s">
        <v>958</v>
      </c>
      <c r="D725" s="2" t="s">
        <v>959</v>
      </c>
      <c r="E725" s="4">
        <v>4500</v>
      </c>
    </row>
    <row r="726" spans="1:5" x14ac:dyDescent="0.3">
      <c r="A726" s="2">
        <v>725</v>
      </c>
      <c r="B726" s="2" t="s">
        <v>619</v>
      </c>
      <c r="C726" s="2" t="s">
        <v>960</v>
      </c>
      <c r="D726" s="2" t="s">
        <v>961</v>
      </c>
      <c r="E726" s="4">
        <v>8500</v>
      </c>
    </row>
    <row r="727" spans="1:5" x14ac:dyDescent="0.3">
      <c r="A727" s="2">
        <v>726</v>
      </c>
      <c r="B727" s="2" t="s">
        <v>619</v>
      </c>
      <c r="C727" s="2" t="s">
        <v>962</v>
      </c>
      <c r="D727" s="2" t="s">
        <v>963</v>
      </c>
      <c r="E727" s="4">
        <v>2000</v>
      </c>
    </row>
    <row r="728" spans="1:5" x14ac:dyDescent="0.3">
      <c r="A728" s="2">
        <v>727</v>
      </c>
      <c r="B728" s="2" t="s">
        <v>624</v>
      </c>
      <c r="C728" s="2" t="s">
        <v>946</v>
      </c>
      <c r="D728" s="2" t="s">
        <v>1098</v>
      </c>
      <c r="E728" s="4">
        <v>15000</v>
      </c>
    </row>
    <row r="729" spans="1:5" x14ac:dyDescent="0.3">
      <c r="A729" s="2">
        <v>728</v>
      </c>
      <c r="B729" s="2" t="s">
        <v>624</v>
      </c>
      <c r="C729" s="2" t="s">
        <v>948</v>
      </c>
      <c r="D729" s="2" t="s">
        <v>949</v>
      </c>
      <c r="E729" s="4">
        <v>5000</v>
      </c>
    </row>
    <row r="730" spans="1:5" x14ac:dyDescent="0.3">
      <c r="A730" s="2">
        <v>729</v>
      </c>
      <c r="B730" s="2" t="s">
        <v>624</v>
      </c>
      <c r="C730" s="2" t="s">
        <v>950</v>
      </c>
      <c r="D730" s="2" t="s">
        <v>1074</v>
      </c>
      <c r="E730" s="4">
        <v>4000</v>
      </c>
    </row>
    <row r="731" spans="1:5" x14ac:dyDescent="0.3">
      <c r="A731" s="2">
        <v>730</v>
      </c>
      <c r="B731" s="2" t="s">
        <v>624</v>
      </c>
      <c r="C731" s="2" t="s">
        <v>952</v>
      </c>
      <c r="D731" s="2" t="s">
        <v>953</v>
      </c>
      <c r="E731" s="4">
        <v>17000</v>
      </c>
    </row>
    <row r="732" spans="1:5" x14ac:dyDescent="0.3">
      <c r="A732" s="2">
        <v>731</v>
      </c>
      <c r="B732" s="2" t="s">
        <v>624</v>
      </c>
      <c r="C732" s="2" t="s">
        <v>954</v>
      </c>
      <c r="D732" s="2" t="s">
        <v>955</v>
      </c>
      <c r="E732" s="4">
        <v>11000</v>
      </c>
    </row>
    <row r="733" spans="1:5" x14ac:dyDescent="0.3">
      <c r="A733" s="2">
        <v>732</v>
      </c>
      <c r="B733" s="2" t="s">
        <v>624</v>
      </c>
      <c r="C733" s="2" t="s">
        <v>956</v>
      </c>
      <c r="D733" s="2" t="s">
        <v>1075</v>
      </c>
      <c r="E733" s="4">
        <v>6000</v>
      </c>
    </row>
    <row r="734" spans="1:5" x14ac:dyDescent="0.3">
      <c r="A734" s="2">
        <v>733</v>
      </c>
      <c r="B734" s="2" t="s">
        <v>624</v>
      </c>
      <c r="C734" s="2" t="s">
        <v>958</v>
      </c>
      <c r="D734" s="2" t="s">
        <v>959</v>
      </c>
      <c r="E734" s="4">
        <v>4500</v>
      </c>
    </row>
    <row r="735" spans="1:5" x14ac:dyDescent="0.3">
      <c r="A735" s="2">
        <v>734</v>
      </c>
      <c r="B735" s="2" t="s">
        <v>624</v>
      </c>
      <c r="C735" s="2" t="s">
        <v>960</v>
      </c>
      <c r="D735" s="2" t="s">
        <v>961</v>
      </c>
      <c r="E735" s="4">
        <v>8500</v>
      </c>
    </row>
    <row r="736" spans="1:5" x14ac:dyDescent="0.3">
      <c r="A736" s="2">
        <v>735</v>
      </c>
      <c r="B736" s="2" t="s">
        <v>624</v>
      </c>
      <c r="C736" s="2" t="s">
        <v>962</v>
      </c>
      <c r="D736" s="2" t="s">
        <v>963</v>
      </c>
      <c r="E736" s="4">
        <v>2000</v>
      </c>
    </row>
    <row r="737" spans="1:5" x14ac:dyDescent="0.3">
      <c r="A737" s="2">
        <v>736</v>
      </c>
      <c r="B737" s="2" t="s">
        <v>629</v>
      </c>
      <c r="C737" s="2" t="s">
        <v>983</v>
      </c>
      <c r="D737" s="2" t="s">
        <v>984</v>
      </c>
      <c r="E737" s="4">
        <v>10000</v>
      </c>
    </row>
    <row r="738" spans="1:5" x14ac:dyDescent="0.3">
      <c r="A738" s="2">
        <v>737</v>
      </c>
      <c r="B738" s="2" t="s">
        <v>629</v>
      </c>
      <c r="C738" s="2" t="s">
        <v>1099</v>
      </c>
      <c r="D738" s="2" t="s">
        <v>1100</v>
      </c>
      <c r="E738" s="4">
        <v>11000</v>
      </c>
    </row>
    <row r="739" spans="1:5" x14ac:dyDescent="0.3">
      <c r="A739" s="2">
        <v>738</v>
      </c>
      <c r="B739" s="2" t="s">
        <v>629</v>
      </c>
      <c r="C739" s="2" t="s">
        <v>1101</v>
      </c>
      <c r="D739" s="2" t="s">
        <v>1102</v>
      </c>
      <c r="E739" s="4">
        <v>9000</v>
      </c>
    </row>
    <row r="740" spans="1:5" x14ac:dyDescent="0.3">
      <c r="A740" s="2">
        <v>739</v>
      </c>
      <c r="B740" s="2" t="s">
        <v>629</v>
      </c>
      <c r="C740" s="2" t="s">
        <v>985</v>
      </c>
      <c r="D740" s="2" t="s">
        <v>986</v>
      </c>
      <c r="E740" s="4">
        <v>6000</v>
      </c>
    </row>
    <row r="741" spans="1:5" x14ac:dyDescent="0.3">
      <c r="A741" s="2">
        <v>740</v>
      </c>
      <c r="B741" s="2" t="s">
        <v>629</v>
      </c>
      <c r="C741" s="2" t="s">
        <v>987</v>
      </c>
      <c r="D741" s="2" t="s">
        <v>988</v>
      </c>
      <c r="E741" s="4">
        <v>6500</v>
      </c>
    </row>
    <row r="742" spans="1:5" x14ac:dyDescent="0.3">
      <c r="A742" s="2">
        <v>741</v>
      </c>
      <c r="B742" s="2" t="s">
        <v>629</v>
      </c>
      <c r="C742" s="2" t="s">
        <v>989</v>
      </c>
      <c r="D742" s="2" t="s">
        <v>990</v>
      </c>
      <c r="E742" s="4">
        <v>13000</v>
      </c>
    </row>
    <row r="743" spans="1:5" x14ac:dyDescent="0.3">
      <c r="A743" s="2">
        <v>742</v>
      </c>
      <c r="B743" s="2" t="s">
        <v>629</v>
      </c>
      <c r="C743" s="2" t="s">
        <v>991</v>
      </c>
      <c r="D743" s="2" t="s">
        <v>992</v>
      </c>
      <c r="E743" s="4">
        <v>11000</v>
      </c>
    </row>
    <row r="744" spans="1:5" x14ac:dyDescent="0.3">
      <c r="A744" s="2">
        <v>743</v>
      </c>
      <c r="B744" s="2" t="s">
        <v>634</v>
      </c>
      <c r="C744" s="2" t="s">
        <v>993</v>
      </c>
      <c r="D744" s="2" t="s">
        <v>994</v>
      </c>
      <c r="E744" s="4">
        <v>5000</v>
      </c>
    </row>
    <row r="745" spans="1:5" x14ac:dyDescent="0.3">
      <c r="A745" s="2">
        <v>744</v>
      </c>
      <c r="B745" s="2" t="s">
        <v>634</v>
      </c>
      <c r="C745" s="2" t="s">
        <v>995</v>
      </c>
      <c r="D745" s="2" t="s">
        <v>996</v>
      </c>
      <c r="E745" s="4">
        <v>6000</v>
      </c>
    </row>
    <row r="746" spans="1:5" x14ac:dyDescent="0.3">
      <c r="A746" s="2">
        <v>745</v>
      </c>
      <c r="B746" s="2" t="s">
        <v>634</v>
      </c>
      <c r="C746" s="2" t="s">
        <v>997</v>
      </c>
      <c r="D746" s="2" t="s">
        <v>998</v>
      </c>
      <c r="E746" s="4">
        <v>5500</v>
      </c>
    </row>
    <row r="747" spans="1:5" x14ac:dyDescent="0.3">
      <c r="A747" s="2">
        <v>746</v>
      </c>
      <c r="B747" s="2" t="s">
        <v>634</v>
      </c>
      <c r="C747" s="2" t="s">
        <v>999</v>
      </c>
      <c r="D747" s="2" t="s">
        <v>1000</v>
      </c>
      <c r="E747" s="4">
        <v>6000</v>
      </c>
    </row>
    <row r="748" spans="1:5" x14ac:dyDescent="0.3">
      <c r="A748" s="2">
        <v>747</v>
      </c>
      <c r="B748" s="2" t="s">
        <v>634</v>
      </c>
      <c r="C748" s="2" t="s">
        <v>1001</v>
      </c>
      <c r="D748" s="2" t="s">
        <v>1002</v>
      </c>
      <c r="E748" s="4">
        <v>4500</v>
      </c>
    </row>
    <row r="749" spans="1:5" x14ac:dyDescent="0.3">
      <c r="A749" s="2">
        <v>748</v>
      </c>
      <c r="B749" s="2" t="s">
        <v>634</v>
      </c>
      <c r="C749" s="2" t="s">
        <v>1003</v>
      </c>
      <c r="D749" s="2" t="s">
        <v>1004</v>
      </c>
      <c r="E749" s="4">
        <v>4000</v>
      </c>
    </row>
    <row r="750" spans="1:5" x14ac:dyDescent="0.3">
      <c r="A750" s="2">
        <v>749</v>
      </c>
      <c r="B750" s="2" t="s">
        <v>634</v>
      </c>
      <c r="C750" s="2" t="s">
        <v>1005</v>
      </c>
      <c r="D750" s="2" t="s">
        <v>1006</v>
      </c>
      <c r="E750" s="4">
        <v>3000</v>
      </c>
    </row>
    <row r="751" spans="1:5" x14ac:dyDescent="0.3">
      <c r="A751" s="2">
        <v>750</v>
      </c>
      <c r="B751" s="2" t="s">
        <v>634</v>
      </c>
      <c r="C751" s="2" t="s">
        <v>1007</v>
      </c>
      <c r="D751" s="2" t="s">
        <v>1008</v>
      </c>
      <c r="E751" s="4">
        <v>2500</v>
      </c>
    </row>
    <row r="752" spans="1:5" x14ac:dyDescent="0.3">
      <c r="A752" s="2">
        <v>751</v>
      </c>
      <c r="B752" s="2" t="s">
        <v>634</v>
      </c>
      <c r="C752" s="2" t="s">
        <v>1009</v>
      </c>
      <c r="D752" s="2" t="s">
        <v>1010</v>
      </c>
      <c r="E752" s="4">
        <v>8000</v>
      </c>
    </row>
    <row r="753" spans="1:5" x14ac:dyDescent="0.3">
      <c r="A753" s="2">
        <v>752</v>
      </c>
      <c r="B753" s="2" t="s">
        <v>634</v>
      </c>
      <c r="C753" s="2" t="s">
        <v>1057</v>
      </c>
      <c r="D753" s="2" t="s">
        <v>1058</v>
      </c>
      <c r="E753" s="4">
        <v>9000</v>
      </c>
    </row>
    <row r="754" spans="1:5" x14ac:dyDescent="0.3">
      <c r="A754" s="2">
        <v>753</v>
      </c>
      <c r="B754" s="2" t="s">
        <v>634</v>
      </c>
      <c r="C754" s="2" t="s">
        <v>1011</v>
      </c>
      <c r="D754" s="2" t="s">
        <v>1012</v>
      </c>
      <c r="E754" s="4">
        <v>8000</v>
      </c>
    </row>
    <row r="755" spans="1:5" x14ac:dyDescent="0.3">
      <c r="A755" s="2">
        <v>754</v>
      </c>
      <c r="B755" s="2" t="s">
        <v>634</v>
      </c>
      <c r="C755" s="2" t="s">
        <v>1013</v>
      </c>
      <c r="D755" s="2" t="s">
        <v>1014</v>
      </c>
      <c r="E755" s="4">
        <v>6000</v>
      </c>
    </row>
    <row r="756" spans="1:5" x14ac:dyDescent="0.3">
      <c r="A756" s="2">
        <v>755</v>
      </c>
      <c r="B756" s="2" t="s">
        <v>639</v>
      </c>
      <c r="C756" s="2" t="s">
        <v>946</v>
      </c>
      <c r="D756" s="2" t="s">
        <v>1098</v>
      </c>
      <c r="E756" s="4">
        <v>15000</v>
      </c>
    </row>
    <row r="757" spans="1:5" x14ac:dyDescent="0.3">
      <c r="A757" s="2">
        <v>756</v>
      </c>
      <c r="B757" s="2" t="s">
        <v>639</v>
      </c>
      <c r="C757" s="2" t="s">
        <v>948</v>
      </c>
      <c r="D757" s="2" t="s">
        <v>949</v>
      </c>
      <c r="E757" s="4">
        <v>5000</v>
      </c>
    </row>
    <row r="758" spans="1:5" x14ac:dyDescent="0.3">
      <c r="A758" s="2">
        <v>757</v>
      </c>
      <c r="B758" s="2" t="s">
        <v>639</v>
      </c>
      <c r="C758" s="2" t="s">
        <v>950</v>
      </c>
      <c r="D758" s="2" t="s">
        <v>1074</v>
      </c>
      <c r="E758" s="4">
        <v>4000</v>
      </c>
    </row>
    <row r="759" spans="1:5" x14ac:dyDescent="0.3">
      <c r="A759" s="2">
        <v>758</v>
      </c>
      <c r="B759" s="2" t="s">
        <v>639</v>
      </c>
      <c r="C759" s="2" t="s">
        <v>952</v>
      </c>
      <c r="D759" s="2" t="s">
        <v>953</v>
      </c>
      <c r="E759" s="4">
        <v>17000</v>
      </c>
    </row>
    <row r="760" spans="1:5" x14ac:dyDescent="0.3">
      <c r="A760" s="2">
        <v>759</v>
      </c>
      <c r="B760" s="2" t="s">
        <v>639</v>
      </c>
      <c r="C760" s="2" t="s">
        <v>954</v>
      </c>
      <c r="D760" s="2" t="s">
        <v>955</v>
      </c>
      <c r="E760" s="4">
        <v>11000</v>
      </c>
    </row>
    <row r="761" spans="1:5" x14ac:dyDescent="0.3">
      <c r="A761" s="2">
        <v>760</v>
      </c>
      <c r="B761" s="2" t="s">
        <v>639</v>
      </c>
      <c r="C761" s="2" t="s">
        <v>956</v>
      </c>
      <c r="D761" s="2" t="s">
        <v>1075</v>
      </c>
      <c r="E761" s="4">
        <v>6000</v>
      </c>
    </row>
    <row r="762" spans="1:5" x14ac:dyDescent="0.3">
      <c r="A762" s="2">
        <v>761</v>
      </c>
      <c r="B762" s="2" t="s">
        <v>639</v>
      </c>
      <c r="C762" s="2" t="s">
        <v>958</v>
      </c>
      <c r="D762" s="2" t="s">
        <v>959</v>
      </c>
      <c r="E762" s="4">
        <v>4500</v>
      </c>
    </row>
    <row r="763" spans="1:5" x14ac:dyDescent="0.3">
      <c r="A763" s="2">
        <v>762</v>
      </c>
      <c r="B763" s="2" t="s">
        <v>639</v>
      </c>
      <c r="C763" s="2" t="s">
        <v>960</v>
      </c>
      <c r="D763" s="2" t="s">
        <v>961</v>
      </c>
      <c r="E763" s="4">
        <v>8500</v>
      </c>
    </row>
    <row r="764" spans="1:5" x14ac:dyDescent="0.3">
      <c r="A764" s="2">
        <v>763</v>
      </c>
      <c r="B764" s="2" t="s">
        <v>639</v>
      </c>
      <c r="C764" s="2" t="s">
        <v>962</v>
      </c>
      <c r="D764" s="2" t="s">
        <v>963</v>
      </c>
      <c r="E764" s="4">
        <v>2000</v>
      </c>
    </row>
    <row r="765" spans="1:5" x14ac:dyDescent="0.3">
      <c r="A765" s="2">
        <v>764</v>
      </c>
      <c r="B765" s="2" t="s">
        <v>644</v>
      </c>
      <c r="C765" s="2" t="s">
        <v>1028</v>
      </c>
      <c r="D765" s="2" t="s">
        <v>1029</v>
      </c>
      <c r="E765" s="4">
        <v>4000</v>
      </c>
    </row>
    <row r="766" spans="1:5" x14ac:dyDescent="0.3">
      <c r="A766" s="2">
        <v>765</v>
      </c>
      <c r="B766" s="2" t="s">
        <v>644</v>
      </c>
      <c r="C766" s="2" t="s">
        <v>1030</v>
      </c>
      <c r="D766" s="2" t="s">
        <v>1031</v>
      </c>
      <c r="E766" s="4">
        <v>5000</v>
      </c>
    </row>
    <row r="767" spans="1:5" x14ac:dyDescent="0.3">
      <c r="A767" s="2">
        <v>766</v>
      </c>
      <c r="B767" s="2" t="s">
        <v>644</v>
      </c>
      <c r="C767" s="2" t="s">
        <v>1032</v>
      </c>
      <c r="D767" s="2" t="s">
        <v>1033</v>
      </c>
      <c r="E767" s="4">
        <v>5000</v>
      </c>
    </row>
    <row r="768" spans="1:5" x14ac:dyDescent="0.3">
      <c r="A768" s="2">
        <v>767</v>
      </c>
      <c r="B768" s="2" t="s">
        <v>644</v>
      </c>
      <c r="C768" s="2" t="s">
        <v>1034</v>
      </c>
      <c r="D768" s="2" t="s">
        <v>1035</v>
      </c>
      <c r="E768" s="4">
        <v>6000</v>
      </c>
    </row>
    <row r="769" spans="1:5" x14ac:dyDescent="0.3">
      <c r="A769" s="2">
        <v>768</v>
      </c>
      <c r="B769" s="2" t="s">
        <v>644</v>
      </c>
      <c r="C769" s="2" t="s">
        <v>1036</v>
      </c>
      <c r="D769" s="2" t="s">
        <v>1037</v>
      </c>
      <c r="E769" s="4">
        <v>5000</v>
      </c>
    </row>
    <row r="770" spans="1:5" x14ac:dyDescent="0.3">
      <c r="A770" s="2">
        <v>769</v>
      </c>
      <c r="B770" s="2" t="s">
        <v>644</v>
      </c>
      <c r="C770" s="2" t="s">
        <v>1038</v>
      </c>
      <c r="D770" s="2" t="s">
        <v>1039</v>
      </c>
      <c r="E770" s="4">
        <v>2000</v>
      </c>
    </row>
    <row r="771" spans="1:5" x14ac:dyDescent="0.3">
      <c r="A771" s="2">
        <v>770</v>
      </c>
      <c r="B771" s="2" t="s">
        <v>644</v>
      </c>
      <c r="C771" s="2" t="s">
        <v>1065</v>
      </c>
      <c r="D771" s="2" t="s">
        <v>1066</v>
      </c>
      <c r="E771" s="4">
        <v>4000</v>
      </c>
    </row>
    <row r="772" spans="1:5" x14ac:dyDescent="0.3">
      <c r="A772" s="2">
        <v>771</v>
      </c>
      <c r="B772" s="2" t="s">
        <v>644</v>
      </c>
      <c r="C772" s="2" t="s">
        <v>1067</v>
      </c>
      <c r="D772" s="2" t="s">
        <v>1068</v>
      </c>
      <c r="E772" s="4">
        <v>6500</v>
      </c>
    </row>
    <row r="773" spans="1:5" x14ac:dyDescent="0.3">
      <c r="A773" s="2">
        <v>772</v>
      </c>
      <c r="B773" s="2" t="s">
        <v>644</v>
      </c>
      <c r="C773" s="2" t="s">
        <v>1069</v>
      </c>
      <c r="D773" s="2" t="s">
        <v>1070</v>
      </c>
      <c r="E773" s="4">
        <v>8000</v>
      </c>
    </row>
    <row r="774" spans="1:5" x14ac:dyDescent="0.3">
      <c r="A774" s="2">
        <v>773</v>
      </c>
      <c r="B774" s="2" t="s">
        <v>649</v>
      </c>
      <c r="C774" s="2" t="s">
        <v>967</v>
      </c>
      <c r="D774" s="2" t="s">
        <v>968</v>
      </c>
      <c r="E774" s="4">
        <v>18000</v>
      </c>
    </row>
    <row r="775" spans="1:5" x14ac:dyDescent="0.3">
      <c r="A775" s="2">
        <v>774</v>
      </c>
      <c r="B775" s="2" t="s">
        <v>649</v>
      </c>
      <c r="C775" s="2" t="s">
        <v>969</v>
      </c>
      <c r="D775" s="2" t="s">
        <v>970</v>
      </c>
      <c r="E775" s="4">
        <v>4500</v>
      </c>
    </row>
    <row r="776" spans="1:5" x14ac:dyDescent="0.3">
      <c r="A776" s="2">
        <v>775</v>
      </c>
      <c r="B776" s="2" t="s">
        <v>649</v>
      </c>
      <c r="C776" s="2" t="s">
        <v>971</v>
      </c>
      <c r="D776" s="2" t="s">
        <v>972</v>
      </c>
      <c r="E776" s="4">
        <v>16000</v>
      </c>
    </row>
    <row r="777" spans="1:5" x14ac:dyDescent="0.3">
      <c r="A777" s="2">
        <v>776</v>
      </c>
      <c r="B777" s="2" t="s">
        <v>649</v>
      </c>
      <c r="C777" s="2" t="s">
        <v>973</v>
      </c>
      <c r="D777" s="2" t="s">
        <v>974</v>
      </c>
      <c r="E777" s="4">
        <v>9000</v>
      </c>
    </row>
    <row r="778" spans="1:5" x14ac:dyDescent="0.3">
      <c r="A778" s="2">
        <v>777</v>
      </c>
      <c r="B778" s="2" t="s">
        <v>649</v>
      </c>
      <c r="C778" s="2" t="s">
        <v>975</v>
      </c>
      <c r="D778" s="2" t="s">
        <v>976</v>
      </c>
      <c r="E778" s="4">
        <v>2500</v>
      </c>
    </row>
    <row r="779" spans="1:5" x14ac:dyDescent="0.3">
      <c r="A779" s="2">
        <v>778</v>
      </c>
      <c r="B779" s="2" t="s">
        <v>649</v>
      </c>
      <c r="C779" s="2" t="s">
        <v>977</v>
      </c>
      <c r="D779" s="2" t="s">
        <v>978</v>
      </c>
      <c r="E779" s="4">
        <v>5000</v>
      </c>
    </row>
    <row r="780" spans="1:5" x14ac:dyDescent="0.3">
      <c r="A780" s="2">
        <v>779</v>
      </c>
      <c r="B780" s="2" t="s">
        <v>649</v>
      </c>
      <c r="C780" s="2" t="s">
        <v>979</v>
      </c>
      <c r="D780" s="2" t="s">
        <v>980</v>
      </c>
      <c r="E780" s="4">
        <v>15000</v>
      </c>
    </row>
    <row r="781" spans="1:5" x14ac:dyDescent="0.3">
      <c r="A781" s="2">
        <v>780</v>
      </c>
      <c r="B781" s="2" t="s">
        <v>649</v>
      </c>
      <c r="C781" s="2" t="s">
        <v>981</v>
      </c>
      <c r="D781" s="2" t="s">
        <v>982</v>
      </c>
      <c r="E781" s="4">
        <v>9000</v>
      </c>
    </row>
    <row r="782" spans="1:5" x14ac:dyDescent="0.3">
      <c r="A782" s="2">
        <v>781</v>
      </c>
      <c r="B782" s="2" t="s">
        <v>649</v>
      </c>
      <c r="C782" s="2" t="s">
        <v>1050</v>
      </c>
      <c r="D782" s="2" t="s">
        <v>1051</v>
      </c>
      <c r="E782" s="4">
        <v>7000</v>
      </c>
    </row>
    <row r="783" spans="1:5" x14ac:dyDescent="0.3">
      <c r="A783" s="2">
        <v>782</v>
      </c>
      <c r="B783" s="2" t="s">
        <v>649</v>
      </c>
      <c r="C783" s="2" t="s">
        <v>1052</v>
      </c>
      <c r="D783" s="2" t="s">
        <v>1053</v>
      </c>
      <c r="E783" s="4">
        <v>12000</v>
      </c>
    </row>
    <row r="784" spans="1:5" x14ac:dyDescent="0.3">
      <c r="A784" s="2">
        <v>783</v>
      </c>
      <c r="B784" s="2" t="s">
        <v>654</v>
      </c>
      <c r="C784" s="2" t="s">
        <v>993</v>
      </c>
      <c r="D784" s="2" t="s">
        <v>994</v>
      </c>
      <c r="E784" s="4">
        <v>5000</v>
      </c>
    </row>
    <row r="785" spans="1:5" x14ac:dyDescent="0.3">
      <c r="A785" s="2">
        <v>784</v>
      </c>
      <c r="B785" s="2" t="s">
        <v>654</v>
      </c>
      <c r="C785" s="2" t="s">
        <v>995</v>
      </c>
      <c r="D785" s="2" t="s">
        <v>996</v>
      </c>
      <c r="E785" s="4">
        <v>6000</v>
      </c>
    </row>
    <row r="786" spans="1:5" x14ac:dyDescent="0.3">
      <c r="A786" s="2">
        <v>785</v>
      </c>
      <c r="B786" s="2" t="s">
        <v>654</v>
      </c>
      <c r="C786" s="2" t="s">
        <v>997</v>
      </c>
      <c r="D786" s="2" t="s">
        <v>998</v>
      </c>
      <c r="E786" s="4">
        <v>5500</v>
      </c>
    </row>
    <row r="787" spans="1:5" x14ac:dyDescent="0.3">
      <c r="A787" s="2">
        <v>786</v>
      </c>
      <c r="B787" s="2" t="s">
        <v>654</v>
      </c>
      <c r="C787" s="2" t="s">
        <v>999</v>
      </c>
      <c r="D787" s="2" t="s">
        <v>1000</v>
      </c>
      <c r="E787" s="4">
        <v>6000</v>
      </c>
    </row>
    <row r="788" spans="1:5" x14ac:dyDescent="0.3">
      <c r="A788" s="2">
        <v>787</v>
      </c>
      <c r="B788" s="2" t="s">
        <v>654</v>
      </c>
      <c r="C788" s="2" t="s">
        <v>1001</v>
      </c>
      <c r="D788" s="2" t="s">
        <v>1002</v>
      </c>
      <c r="E788" s="4">
        <v>4500</v>
      </c>
    </row>
    <row r="789" spans="1:5" x14ac:dyDescent="0.3">
      <c r="A789" s="2">
        <v>788</v>
      </c>
      <c r="B789" s="2" t="s">
        <v>654</v>
      </c>
      <c r="C789" s="2" t="s">
        <v>1003</v>
      </c>
      <c r="D789" s="2" t="s">
        <v>1004</v>
      </c>
      <c r="E789" s="4">
        <v>4000</v>
      </c>
    </row>
    <row r="790" spans="1:5" x14ac:dyDescent="0.3">
      <c r="A790" s="2">
        <v>789</v>
      </c>
      <c r="B790" s="2" t="s">
        <v>654</v>
      </c>
      <c r="C790" s="2" t="s">
        <v>1005</v>
      </c>
      <c r="D790" s="2" t="s">
        <v>1006</v>
      </c>
      <c r="E790" s="4">
        <v>3000</v>
      </c>
    </row>
    <row r="791" spans="1:5" x14ac:dyDescent="0.3">
      <c r="A791" s="2">
        <v>790</v>
      </c>
      <c r="B791" s="2" t="s">
        <v>654</v>
      </c>
      <c r="C791" s="2" t="s">
        <v>1007</v>
      </c>
      <c r="D791" s="2" t="s">
        <v>1008</v>
      </c>
      <c r="E791" s="4">
        <v>2500</v>
      </c>
    </row>
    <row r="792" spans="1:5" x14ac:dyDescent="0.3">
      <c r="A792" s="2">
        <v>791</v>
      </c>
      <c r="B792" s="2" t="s">
        <v>654</v>
      </c>
      <c r="C792" s="2" t="s">
        <v>1009</v>
      </c>
      <c r="D792" s="2" t="s">
        <v>1010</v>
      </c>
      <c r="E792" s="4">
        <v>8000</v>
      </c>
    </row>
    <row r="793" spans="1:5" x14ac:dyDescent="0.3">
      <c r="A793" s="2">
        <v>792</v>
      </c>
      <c r="B793" s="2" t="s">
        <v>654</v>
      </c>
      <c r="C793" s="2" t="s">
        <v>1057</v>
      </c>
      <c r="D793" s="2" t="s">
        <v>1058</v>
      </c>
      <c r="E793" s="4">
        <v>9000</v>
      </c>
    </row>
    <row r="794" spans="1:5" x14ac:dyDescent="0.3">
      <c r="A794" s="2">
        <v>793</v>
      </c>
      <c r="B794" s="2" t="s">
        <v>654</v>
      </c>
      <c r="C794" s="2" t="s">
        <v>1011</v>
      </c>
      <c r="D794" s="2" t="s">
        <v>1012</v>
      </c>
      <c r="E794" s="4">
        <v>8000</v>
      </c>
    </row>
    <row r="795" spans="1:5" x14ac:dyDescent="0.3">
      <c r="A795" s="2">
        <v>794</v>
      </c>
      <c r="B795" s="2" t="s">
        <v>654</v>
      </c>
      <c r="C795" s="2" t="s">
        <v>1013</v>
      </c>
      <c r="D795" s="2" t="s">
        <v>1014</v>
      </c>
      <c r="E795" s="4">
        <v>6000</v>
      </c>
    </row>
    <row r="796" spans="1:5" x14ac:dyDescent="0.3">
      <c r="A796" s="2">
        <v>795</v>
      </c>
      <c r="B796" s="2" t="s">
        <v>659</v>
      </c>
      <c r="C796" s="2" t="s">
        <v>1076</v>
      </c>
      <c r="D796" s="2" t="s">
        <v>1077</v>
      </c>
      <c r="E796" s="4">
        <v>10000</v>
      </c>
    </row>
    <row r="797" spans="1:5" x14ac:dyDescent="0.3">
      <c r="A797" s="2">
        <v>796</v>
      </c>
      <c r="B797" s="2" t="s">
        <v>659</v>
      </c>
      <c r="C797" s="2" t="s">
        <v>1078</v>
      </c>
      <c r="D797" s="2" t="s">
        <v>1079</v>
      </c>
      <c r="E797" s="4">
        <v>10500</v>
      </c>
    </row>
    <row r="798" spans="1:5" x14ac:dyDescent="0.3">
      <c r="A798" s="2">
        <v>797</v>
      </c>
      <c r="B798" s="2" t="s">
        <v>659</v>
      </c>
      <c r="C798" s="2" t="s">
        <v>1080</v>
      </c>
      <c r="D798" s="2" t="s">
        <v>1081</v>
      </c>
      <c r="E798" s="4">
        <v>11000</v>
      </c>
    </row>
    <row r="799" spans="1:5" x14ac:dyDescent="0.3">
      <c r="A799" s="2">
        <v>798</v>
      </c>
      <c r="B799" s="2" t="s">
        <v>659</v>
      </c>
      <c r="C799" s="2" t="s">
        <v>1082</v>
      </c>
      <c r="D799" s="2" t="s">
        <v>1083</v>
      </c>
      <c r="E799" s="4">
        <v>11000</v>
      </c>
    </row>
    <row r="800" spans="1:5" x14ac:dyDescent="0.3">
      <c r="A800" s="2">
        <v>799</v>
      </c>
      <c r="B800" s="2" t="s">
        <v>659</v>
      </c>
      <c r="C800" s="2" t="s">
        <v>1084</v>
      </c>
      <c r="D800" s="2" t="s">
        <v>1085</v>
      </c>
      <c r="E800" s="4">
        <v>12000</v>
      </c>
    </row>
    <row r="801" spans="1:5" x14ac:dyDescent="0.3">
      <c r="A801" s="2">
        <v>800</v>
      </c>
      <c r="B801" s="2" t="s">
        <v>659</v>
      </c>
      <c r="C801" s="2" t="s">
        <v>1086</v>
      </c>
      <c r="D801" s="2" t="s">
        <v>1087</v>
      </c>
      <c r="E801" s="4">
        <v>12000</v>
      </c>
    </row>
    <row r="802" spans="1:5" x14ac:dyDescent="0.3">
      <c r="A802" s="2">
        <v>801</v>
      </c>
      <c r="B802" s="2" t="s">
        <v>659</v>
      </c>
      <c r="C802" s="2" t="s">
        <v>1088</v>
      </c>
      <c r="D802" s="2" t="s">
        <v>1122</v>
      </c>
      <c r="E802" s="4">
        <v>11000</v>
      </c>
    </row>
    <row r="803" spans="1:5" x14ac:dyDescent="0.3">
      <c r="A803" s="2">
        <v>802</v>
      </c>
      <c r="B803" s="2" t="s">
        <v>664</v>
      </c>
      <c r="C803" s="2" t="s">
        <v>1028</v>
      </c>
      <c r="D803" s="2" t="s">
        <v>1029</v>
      </c>
      <c r="E803" s="4">
        <v>4000</v>
      </c>
    </row>
    <row r="804" spans="1:5" x14ac:dyDescent="0.3">
      <c r="A804" s="2">
        <v>803</v>
      </c>
      <c r="B804" s="2" t="s">
        <v>664</v>
      </c>
      <c r="C804" s="2" t="s">
        <v>1030</v>
      </c>
      <c r="D804" s="2" t="s">
        <v>1031</v>
      </c>
      <c r="E804" s="4">
        <v>5000</v>
      </c>
    </row>
    <row r="805" spans="1:5" x14ac:dyDescent="0.3">
      <c r="A805" s="2">
        <v>804</v>
      </c>
      <c r="B805" s="2" t="s">
        <v>664</v>
      </c>
      <c r="C805" s="2" t="s">
        <v>1032</v>
      </c>
      <c r="D805" s="2" t="s">
        <v>1033</v>
      </c>
      <c r="E805" s="4">
        <v>5000</v>
      </c>
    </row>
    <row r="806" spans="1:5" x14ac:dyDescent="0.3">
      <c r="A806" s="2">
        <v>805</v>
      </c>
      <c r="B806" s="2" t="s">
        <v>664</v>
      </c>
      <c r="C806" s="2" t="s">
        <v>1034</v>
      </c>
      <c r="D806" s="2" t="s">
        <v>1035</v>
      </c>
      <c r="E806" s="4">
        <v>6000</v>
      </c>
    </row>
    <row r="807" spans="1:5" x14ac:dyDescent="0.3">
      <c r="A807" s="2">
        <v>806</v>
      </c>
      <c r="B807" s="2" t="s">
        <v>664</v>
      </c>
      <c r="C807" s="2" t="s">
        <v>1036</v>
      </c>
      <c r="D807" s="2" t="s">
        <v>1037</v>
      </c>
      <c r="E807" s="4">
        <v>5000</v>
      </c>
    </row>
    <row r="808" spans="1:5" x14ac:dyDescent="0.3">
      <c r="A808" s="2">
        <v>807</v>
      </c>
      <c r="B808" s="2" t="s">
        <v>664</v>
      </c>
      <c r="C808" s="2" t="s">
        <v>1038</v>
      </c>
      <c r="D808" s="2" t="s">
        <v>1039</v>
      </c>
      <c r="E808" s="4">
        <v>2000</v>
      </c>
    </row>
    <row r="809" spans="1:5" x14ac:dyDescent="0.3">
      <c r="A809" s="2">
        <v>808</v>
      </c>
      <c r="B809" s="2" t="s">
        <v>664</v>
      </c>
      <c r="C809" s="2" t="s">
        <v>1065</v>
      </c>
      <c r="D809" s="2" t="s">
        <v>1066</v>
      </c>
      <c r="E809" s="4">
        <v>4000</v>
      </c>
    </row>
    <row r="810" spans="1:5" x14ac:dyDescent="0.3">
      <c r="A810" s="2">
        <v>809</v>
      </c>
      <c r="B810" s="2" t="s">
        <v>664</v>
      </c>
      <c r="C810" s="2" t="s">
        <v>1067</v>
      </c>
      <c r="D810" s="2" t="s">
        <v>1068</v>
      </c>
      <c r="E810" s="4">
        <v>6500</v>
      </c>
    </row>
    <row r="811" spans="1:5" x14ac:dyDescent="0.3">
      <c r="A811" s="2">
        <v>810</v>
      </c>
      <c r="B811" s="2" t="s">
        <v>664</v>
      </c>
      <c r="C811" s="2" t="s">
        <v>1069</v>
      </c>
      <c r="D811" s="2" t="s">
        <v>1070</v>
      </c>
      <c r="E811" s="4">
        <v>8000</v>
      </c>
    </row>
    <row r="812" spans="1:5" x14ac:dyDescent="0.3">
      <c r="A812" s="2">
        <v>811</v>
      </c>
      <c r="B812" s="2" t="s">
        <v>669</v>
      </c>
      <c r="C812" s="2" t="s">
        <v>946</v>
      </c>
      <c r="D812" s="2" t="s">
        <v>1098</v>
      </c>
      <c r="E812" s="4">
        <v>15000</v>
      </c>
    </row>
    <row r="813" spans="1:5" x14ac:dyDescent="0.3">
      <c r="A813" s="2">
        <v>812</v>
      </c>
      <c r="B813" s="2" t="s">
        <v>669</v>
      </c>
      <c r="C813" s="2" t="s">
        <v>948</v>
      </c>
      <c r="D813" s="2" t="s">
        <v>949</v>
      </c>
      <c r="E813" s="4">
        <v>5000</v>
      </c>
    </row>
    <row r="814" spans="1:5" x14ac:dyDescent="0.3">
      <c r="A814" s="2">
        <v>813</v>
      </c>
      <c r="B814" s="2" t="s">
        <v>669</v>
      </c>
      <c r="C814" s="2" t="s">
        <v>950</v>
      </c>
      <c r="D814" s="2" t="s">
        <v>1074</v>
      </c>
      <c r="E814" s="4">
        <v>4000</v>
      </c>
    </row>
    <row r="815" spans="1:5" x14ac:dyDescent="0.3">
      <c r="A815" s="2">
        <v>814</v>
      </c>
      <c r="B815" s="2" t="s">
        <v>669</v>
      </c>
      <c r="C815" s="2" t="s">
        <v>952</v>
      </c>
      <c r="D815" s="2" t="s">
        <v>953</v>
      </c>
      <c r="E815" s="4">
        <v>17000</v>
      </c>
    </row>
    <row r="816" spans="1:5" x14ac:dyDescent="0.3">
      <c r="A816" s="2">
        <v>815</v>
      </c>
      <c r="B816" s="2" t="s">
        <v>669</v>
      </c>
      <c r="C816" s="2" t="s">
        <v>954</v>
      </c>
      <c r="D816" s="2" t="s">
        <v>955</v>
      </c>
      <c r="E816" s="4">
        <v>11000</v>
      </c>
    </row>
    <row r="817" spans="1:5" x14ac:dyDescent="0.3">
      <c r="A817" s="2">
        <v>816</v>
      </c>
      <c r="B817" s="2" t="s">
        <v>669</v>
      </c>
      <c r="C817" s="2" t="s">
        <v>956</v>
      </c>
      <c r="D817" s="2" t="s">
        <v>1075</v>
      </c>
      <c r="E817" s="4">
        <v>6000</v>
      </c>
    </row>
    <row r="818" spans="1:5" x14ac:dyDescent="0.3">
      <c r="A818" s="2">
        <v>817</v>
      </c>
      <c r="B818" s="2" t="s">
        <v>669</v>
      </c>
      <c r="C818" s="2" t="s">
        <v>958</v>
      </c>
      <c r="D818" s="2" t="s">
        <v>959</v>
      </c>
      <c r="E818" s="4">
        <v>4500</v>
      </c>
    </row>
    <row r="819" spans="1:5" x14ac:dyDescent="0.3">
      <c r="A819" s="2">
        <v>818</v>
      </c>
      <c r="B819" s="2" t="s">
        <v>669</v>
      </c>
      <c r="C819" s="2" t="s">
        <v>960</v>
      </c>
      <c r="D819" s="2" t="s">
        <v>961</v>
      </c>
      <c r="E819" s="4">
        <v>8500</v>
      </c>
    </row>
    <row r="820" spans="1:5" x14ac:dyDescent="0.3">
      <c r="A820" s="2">
        <v>819</v>
      </c>
      <c r="B820" s="2" t="s">
        <v>669</v>
      </c>
      <c r="C820" s="2" t="s">
        <v>962</v>
      </c>
      <c r="D820" s="2" t="s">
        <v>963</v>
      </c>
      <c r="E820" s="4">
        <v>2000</v>
      </c>
    </row>
    <row r="821" spans="1:5" x14ac:dyDescent="0.3">
      <c r="A821" s="2">
        <v>820</v>
      </c>
      <c r="B821" s="2" t="s">
        <v>674</v>
      </c>
      <c r="C821" s="2" t="s">
        <v>967</v>
      </c>
      <c r="D821" s="2" t="s">
        <v>968</v>
      </c>
      <c r="E821" s="4">
        <v>18000</v>
      </c>
    </row>
    <row r="822" spans="1:5" x14ac:dyDescent="0.3">
      <c r="A822" s="2">
        <v>821</v>
      </c>
      <c r="B822" s="2" t="s">
        <v>674</v>
      </c>
      <c r="C822" s="2" t="s">
        <v>969</v>
      </c>
      <c r="D822" s="2" t="s">
        <v>970</v>
      </c>
      <c r="E822" s="4">
        <v>4500</v>
      </c>
    </row>
    <row r="823" spans="1:5" x14ac:dyDescent="0.3">
      <c r="A823" s="2">
        <v>822</v>
      </c>
      <c r="B823" s="2" t="s">
        <v>674</v>
      </c>
      <c r="C823" s="2" t="s">
        <v>971</v>
      </c>
      <c r="D823" s="2" t="s">
        <v>972</v>
      </c>
      <c r="E823" s="4">
        <v>16000</v>
      </c>
    </row>
    <row r="824" spans="1:5" x14ac:dyDescent="0.3">
      <c r="A824" s="2">
        <v>823</v>
      </c>
      <c r="B824" s="2" t="s">
        <v>674</v>
      </c>
      <c r="C824" s="2" t="s">
        <v>973</v>
      </c>
      <c r="D824" s="2" t="s">
        <v>974</v>
      </c>
      <c r="E824" s="4">
        <v>9000</v>
      </c>
    </row>
    <row r="825" spans="1:5" x14ac:dyDescent="0.3">
      <c r="A825" s="2">
        <v>824</v>
      </c>
      <c r="B825" s="2" t="s">
        <v>674</v>
      </c>
      <c r="C825" s="2" t="s">
        <v>975</v>
      </c>
      <c r="D825" s="2" t="s">
        <v>976</v>
      </c>
      <c r="E825" s="4">
        <v>2500</v>
      </c>
    </row>
    <row r="826" spans="1:5" x14ac:dyDescent="0.3">
      <c r="A826" s="2">
        <v>825</v>
      </c>
      <c r="B826" s="2" t="s">
        <v>674</v>
      </c>
      <c r="C826" s="2" t="s">
        <v>977</v>
      </c>
      <c r="D826" s="2" t="s">
        <v>978</v>
      </c>
      <c r="E826" s="4">
        <v>5000</v>
      </c>
    </row>
    <row r="827" spans="1:5" x14ac:dyDescent="0.3">
      <c r="A827" s="2">
        <v>826</v>
      </c>
      <c r="B827" s="2" t="s">
        <v>674</v>
      </c>
      <c r="C827" s="2" t="s">
        <v>979</v>
      </c>
      <c r="D827" s="2" t="s">
        <v>980</v>
      </c>
      <c r="E827" s="4">
        <v>15000</v>
      </c>
    </row>
    <row r="828" spans="1:5" x14ac:dyDescent="0.3">
      <c r="A828" s="2">
        <v>827</v>
      </c>
      <c r="B828" s="2" t="s">
        <v>674</v>
      </c>
      <c r="C828" s="2" t="s">
        <v>981</v>
      </c>
      <c r="D828" s="2" t="s">
        <v>982</v>
      </c>
      <c r="E828" s="4">
        <v>9000</v>
      </c>
    </row>
    <row r="829" spans="1:5" x14ac:dyDescent="0.3">
      <c r="A829" s="2">
        <v>828</v>
      </c>
      <c r="B829" s="2" t="s">
        <v>674</v>
      </c>
      <c r="C829" s="2" t="s">
        <v>1050</v>
      </c>
      <c r="D829" s="2" t="s">
        <v>1051</v>
      </c>
      <c r="E829" s="4">
        <v>7000</v>
      </c>
    </row>
    <row r="830" spans="1:5" x14ac:dyDescent="0.3">
      <c r="A830" s="2">
        <v>829</v>
      </c>
      <c r="B830" s="2" t="s">
        <v>674</v>
      </c>
      <c r="C830" s="2" t="s">
        <v>1052</v>
      </c>
      <c r="D830" s="2" t="s">
        <v>1053</v>
      </c>
      <c r="E830" s="4">
        <v>12000</v>
      </c>
    </row>
    <row r="831" spans="1:5" x14ac:dyDescent="0.3">
      <c r="A831" s="2">
        <v>830</v>
      </c>
      <c r="B831" s="2" t="s">
        <v>679</v>
      </c>
      <c r="C831" s="2" t="s">
        <v>1104</v>
      </c>
      <c r="D831" s="2" t="s">
        <v>1105</v>
      </c>
      <c r="E831" s="4">
        <v>1500</v>
      </c>
    </row>
    <row r="832" spans="1:5" x14ac:dyDescent="0.3">
      <c r="A832" s="2">
        <v>831</v>
      </c>
      <c r="B832" s="2" t="s">
        <v>679</v>
      </c>
      <c r="C832" s="2" t="s">
        <v>1106</v>
      </c>
      <c r="D832" s="2" t="s">
        <v>1107</v>
      </c>
      <c r="E832" s="4">
        <v>2000</v>
      </c>
    </row>
    <row r="833" spans="1:5" x14ac:dyDescent="0.3">
      <c r="A833" s="2">
        <v>832</v>
      </c>
      <c r="B833" s="2" t="s">
        <v>679</v>
      </c>
      <c r="C833" s="2" t="s">
        <v>1108</v>
      </c>
      <c r="D833" s="2" t="s">
        <v>1109</v>
      </c>
      <c r="E833" s="4">
        <v>1500</v>
      </c>
    </row>
    <row r="834" spans="1:5" x14ac:dyDescent="0.3">
      <c r="A834" s="2">
        <v>833</v>
      </c>
      <c r="B834" s="2" t="s">
        <v>679</v>
      </c>
      <c r="C834" s="2" t="s">
        <v>1110</v>
      </c>
      <c r="D834" s="2" t="s">
        <v>1111</v>
      </c>
      <c r="E834" s="4">
        <v>2000</v>
      </c>
    </row>
    <row r="835" spans="1:5" x14ac:dyDescent="0.3">
      <c r="A835" s="2">
        <v>834</v>
      </c>
      <c r="B835" s="2" t="s">
        <v>679</v>
      </c>
      <c r="C835" s="2" t="s">
        <v>1112</v>
      </c>
      <c r="D835" s="2" t="s">
        <v>1113</v>
      </c>
      <c r="E835" s="4">
        <v>2000</v>
      </c>
    </row>
    <row r="836" spans="1:5" x14ac:dyDescent="0.3">
      <c r="A836" s="2">
        <v>835</v>
      </c>
      <c r="B836" s="2" t="s">
        <v>679</v>
      </c>
      <c r="C836" s="2" t="s">
        <v>1114</v>
      </c>
      <c r="D836" s="2" t="s">
        <v>1115</v>
      </c>
      <c r="E836" s="4">
        <v>2500</v>
      </c>
    </row>
    <row r="837" spans="1:5" x14ac:dyDescent="0.3">
      <c r="A837" s="2">
        <v>836</v>
      </c>
      <c r="B837" s="2" t="s">
        <v>679</v>
      </c>
      <c r="C837" s="2" t="s">
        <v>1116</v>
      </c>
      <c r="D837" s="2" t="s">
        <v>1117</v>
      </c>
      <c r="E837" s="4">
        <v>2000</v>
      </c>
    </row>
    <row r="838" spans="1:5" x14ac:dyDescent="0.3">
      <c r="A838" s="2">
        <v>837</v>
      </c>
      <c r="B838" s="2" t="s">
        <v>679</v>
      </c>
      <c r="C838" s="2" t="s">
        <v>1118</v>
      </c>
      <c r="D838" s="2" t="s">
        <v>1119</v>
      </c>
      <c r="E838" s="4">
        <v>2500</v>
      </c>
    </row>
    <row r="839" spans="1:5" x14ac:dyDescent="0.3">
      <c r="A839" s="2">
        <v>838</v>
      </c>
      <c r="B839" s="2" t="s">
        <v>679</v>
      </c>
      <c r="C839" s="2" t="s">
        <v>1120</v>
      </c>
      <c r="D839" s="2" t="s">
        <v>1121</v>
      </c>
      <c r="E839" s="4">
        <v>3000</v>
      </c>
    </row>
    <row r="840" spans="1:5" x14ac:dyDescent="0.3">
      <c r="A840" s="2">
        <v>839</v>
      </c>
      <c r="B840" s="2" t="s">
        <v>684</v>
      </c>
      <c r="C840" s="2" t="s">
        <v>993</v>
      </c>
      <c r="D840" s="2" t="s">
        <v>994</v>
      </c>
      <c r="E840" s="4">
        <v>5000</v>
      </c>
    </row>
    <row r="841" spans="1:5" x14ac:dyDescent="0.3">
      <c r="A841" s="2">
        <v>840</v>
      </c>
      <c r="B841" s="2" t="s">
        <v>684</v>
      </c>
      <c r="C841" s="2" t="s">
        <v>995</v>
      </c>
      <c r="D841" s="2" t="s">
        <v>996</v>
      </c>
      <c r="E841" s="4">
        <v>6000</v>
      </c>
    </row>
    <row r="842" spans="1:5" x14ac:dyDescent="0.3">
      <c r="A842" s="2">
        <v>841</v>
      </c>
      <c r="B842" s="2" t="s">
        <v>684</v>
      </c>
      <c r="C842" s="2" t="s">
        <v>997</v>
      </c>
      <c r="D842" s="2" t="s">
        <v>998</v>
      </c>
      <c r="E842" s="4">
        <v>5500</v>
      </c>
    </row>
    <row r="843" spans="1:5" x14ac:dyDescent="0.3">
      <c r="A843" s="2">
        <v>842</v>
      </c>
      <c r="B843" s="2" t="s">
        <v>684</v>
      </c>
      <c r="C843" s="2" t="s">
        <v>999</v>
      </c>
      <c r="D843" s="2" t="s">
        <v>1000</v>
      </c>
      <c r="E843" s="4">
        <v>6000</v>
      </c>
    </row>
    <row r="844" spans="1:5" x14ac:dyDescent="0.3">
      <c r="A844" s="2">
        <v>843</v>
      </c>
      <c r="B844" s="2" t="s">
        <v>684</v>
      </c>
      <c r="C844" s="2" t="s">
        <v>1001</v>
      </c>
      <c r="D844" s="2" t="s">
        <v>1002</v>
      </c>
      <c r="E844" s="4">
        <v>4500</v>
      </c>
    </row>
    <row r="845" spans="1:5" x14ac:dyDescent="0.3">
      <c r="A845" s="2">
        <v>844</v>
      </c>
      <c r="B845" s="2" t="s">
        <v>684</v>
      </c>
      <c r="C845" s="2" t="s">
        <v>1003</v>
      </c>
      <c r="D845" s="2" t="s">
        <v>1004</v>
      </c>
      <c r="E845" s="4">
        <v>4000</v>
      </c>
    </row>
    <row r="846" spans="1:5" x14ac:dyDescent="0.3">
      <c r="A846" s="2">
        <v>845</v>
      </c>
      <c r="B846" s="2" t="s">
        <v>684</v>
      </c>
      <c r="C846" s="2" t="s">
        <v>1005</v>
      </c>
      <c r="D846" s="2" t="s">
        <v>1006</v>
      </c>
      <c r="E846" s="4">
        <v>3000</v>
      </c>
    </row>
    <row r="847" spans="1:5" x14ac:dyDescent="0.3">
      <c r="A847" s="2">
        <v>846</v>
      </c>
      <c r="B847" s="2" t="s">
        <v>684</v>
      </c>
      <c r="C847" s="2" t="s">
        <v>1007</v>
      </c>
      <c r="D847" s="2" t="s">
        <v>1008</v>
      </c>
      <c r="E847" s="4">
        <v>2500</v>
      </c>
    </row>
    <row r="848" spans="1:5" x14ac:dyDescent="0.3">
      <c r="A848" s="2">
        <v>847</v>
      </c>
      <c r="B848" s="2" t="s">
        <v>684</v>
      </c>
      <c r="C848" s="2" t="s">
        <v>1009</v>
      </c>
      <c r="D848" s="2" t="s">
        <v>1010</v>
      </c>
      <c r="E848" s="4">
        <v>8000</v>
      </c>
    </row>
    <row r="849" spans="1:5" x14ac:dyDescent="0.3">
      <c r="A849" s="2">
        <v>848</v>
      </c>
      <c r="B849" s="2" t="s">
        <v>684</v>
      </c>
      <c r="C849" s="2" t="s">
        <v>1057</v>
      </c>
      <c r="D849" s="2" t="s">
        <v>1058</v>
      </c>
      <c r="E849" s="4">
        <v>9000</v>
      </c>
    </row>
    <row r="850" spans="1:5" x14ac:dyDescent="0.3">
      <c r="A850" s="2">
        <v>849</v>
      </c>
      <c r="B850" s="2" t="s">
        <v>684</v>
      </c>
      <c r="C850" s="2" t="s">
        <v>1011</v>
      </c>
      <c r="D850" s="2" t="s">
        <v>1012</v>
      </c>
      <c r="E850" s="4">
        <v>8000</v>
      </c>
    </row>
    <row r="851" spans="1:5" x14ac:dyDescent="0.3">
      <c r="A851" s="2">
        <v>850</v>
      </c>
      <c r="B851" s="2" t="s">
        <v>684</v>
      </c>
      <c r="C851" s="2" t="s">
        <v>1013</v>
      </c>
      <c r="D851" s="2" t="s">
        <v>1014</v>
      </c>
      <c r="E851" s="4">
        <v>6000</v>
      </c>
    </row>
    <row r="852" spans="1:5" x14ac:dyDescent="0.3">
      <c r="A852" s="2">
        <v>851</v>
      </c>
      <c r="B852" s="2" t="s">
        <v>689</v>
      </c>
      <c r="C852" s="2" t="s">
        <v>993</v>
      </c>
      <c r="D852" s="2" t="s">
        <v>994</v>
      </c>
      <c r="E852" s="4">
        <v>5000</v>
      </c>
    </row>
    <row r="853" spans="1:5" x14ac:dyDescent="0.3">
      <c r="A853" s="2">
        <v>852</v>
      </c>
      <c r="B853" s="2" t="s">
        <v>689</v>
      </c>
      <c r="C853" s="2" t="s">
        <v>995</v>
      </c>
      <c r="D853" s="2" t="s">
        <v>996</v>
      </c>
      <c r="E853" s="4">
        <v>6000</v>
      </c>
    </row>
    <row r="854" spans="1:5" x14ac:dyDescent="0.3">
      <c r="A854" s="2">
        <v>853</v>
      </c>
      <c r="B854" s="2" t="s">
        <v>689</v>
      </c>
      <c r="C854" s="2" t="s">
        <v>997</v>
      </c>
      <c r="D854" s="2" t="s">
        <v>998</v>
      </c>
      <c r="E854" s="4">
        <v>5500</v>
      </c>
    </row>
    <row r="855" spans="1:5" x14ac:dyDescent="0.3">
      <c r="A855" s="2">
        <v>854</v>
      </c>
      <c r="B855" s="2" t="s">
        <v>689</v>
      </c>
      <c r="C855" s="2" t="s">
        <v>999</v>
      </c>
      <c r="D855" s="2" t="s">
        <v>1000</v>
      </c>
      <c r="E855" s="4">
        <v>6000</v>
      </c>
    </row>
    <row r="856" spans="1:5" x14ac:dyDescent="0.3">
      <c r="A856" s="2">
        <v>855</v>
      </c>
      <c r="B856" s="2" t="s">
        <v>689</v>
      </c>
      <c r="C856" s="2" t="s">
        <v>1001</v>
      </c>
      <c r="D856" s="2" t="s">
        <v>1002</v>
      </c>
      <c r="E856" s="4">
        <v>4500</v>
      </c>
    </row>
    <row r="857" spans="1:5" x14ac:dyDescent="0.3">
      <c r="A857" s="2">
        <v>856</v>
      </c>
      <c r="B857" s="2" t="s">
        <v>689</v>
      </c>
      <c r="C857" s="2" t="s">
        <v>1003</v>
      </c>
      <c r="D857" s="2" t="s">
        <v>1004</v>
      </c>
      <c r="E857" s="4">
        <v>4000</v>
      </c>
    </row>
    <row r="858" spans="1:5" x14ac:dyDescent="0.3">
      <c r="A858" s="2">
        <v>857</v>
      </c>
      <c r="B858" s="2" t="s">
        <v>689</v>
      </c>
      <c r="C858" s="2" t="s">
        <v>1005</v>
      </c>
      <c r="D858" s="2" t="s">
        <v>1006</v>
      </c>
      <c r="E858" s="4">
        <v>3000</v>
      </c>
    </row>
    <row r="859" spans="1:5" x14ac:dyDescent="0.3">
      <c r="A859" s="2">
        <v>858</v>
      </c>
      <c r="B859" s="2" t="s">
        <v>689</v>
      </c>
      <c r="C859" s="2" t="s">
        <v>1007</v>
      </c>
      <c r="D859" s="2" t="s">
        <v>1008</v>
      </c>
      <c r="E859" s="4">
        <v>2500</v>
      </c>
    </row>
    <row r="860" spans="1:5" x14ac:dyDescent="0.3">
      <c r="A860" s="2">
        <v>859</v>
      </c>
      <c r="B860" s="2" t="s">
        <v>689</v>
      </c>
      <c r="C860" s="2" t="s">
        <v>1009</v>
      </c>
      <c r="D860" s="2" t="s">
        <v>1010</v>
      </c>
      <c r="E860" s="4">
        <v>8000</v>
      </c>
    </row>
    <row r="861" spans="1:5" x14ac:dyDescent="0.3">
      <c r="A861" s="2">
        <v>860</v>
      </c>
      <c r="B861" s="2" t="s">
        <v>689</v>
      </c>
      <c r="C861" s="2" t="s">
        <v>1057</v>
      </c>
      <c r="D861" s="2" t="s">
        <v>1058</v>
      </c>
      <c r="E861" s="4">
        <v>9000</v>
      </c>
    </row>
    <row r="862" spans="1:5" x14ac:dyDescent="0.3">
      <c r="A862" s="2">
        <v>861</v>
      </c>
      <c r="B862" s="2" t="s">
        <v>689</v>
      </c>
      <c r="C862" s="2" t="s">
        <v>1011</v>
      </c>
      <c r="D862" s="2" t="s">
        <v>1012</v>
      </c>
      <c r="E862" s="4">
        <v>8000</v>
      </c>
    </row>
    <row r="863" spans="1:5" x14ac:dyDescent="0.3">
      <c r="A863" s="2">
        <v>862</v>
      </c>
      <c r="B863" s="2" t="s">
        <v>689</v>
      </c>
      <c r="C863" s="2" t="s">
        <v>1013</v>
      </c>
      <c r="D863" s="2" t="s">
        <v>1014</v>
      </c>
      <c r="E863" s="4">
        <v>6000</v>
      </c>
    </row>
    <row r="864" spans="1:5" x14ac:dyDescent="0.3">
      <c r="A864" s="2">
        <v>863</v>
      </c>
      <c r="B864" s="2" t="s">
        <v>694</v>
      </c>
      <c r="C864" s="2" t="s">
        <v>1028</v>
      </c>
      <c r="D864" s="2" t="s">
        <v>1029</v>
      </c>
      <c r="E864" s="4">
        <v>4000</v>
      </c>
    </row>
    <row r="865" spans="1:5" x14ac:dyDescent="0.3">
      <c r="A865" s="2">
        <v>864</v>
      </c>
      <c r="B865" s="2" t="s">
        <v>694</v>
      </c>
      <c r="C865" s="2" t="s">
        <v>1030</v>
      </c>
      <c r="D865" s="2" t="s">
        <v>1031</v>
      </c>
      <c r="E865" s="4">
        <v>5000</v>
      </c>
    </row>
    <row r="866" spans="1:5" x14ac:dyDescent="0.3">
      <c r="A866" s="2">
        <v>865</v>
      </c>
      <c r="B866" s="2" t="s">
        <v>694</v>
      </c>
      <c r="C866" s="2" t="s">
        <v>1032</v>
      </c>
      <c r="D866" s="2" t="s">
        <v>1033</v>
      </c>
      <c r="E866" s="4">
        <v>5000</v>
      </c>
    </row>
    <row r="867" spans="1:5" x14ac:dyDescent="0.3">
      <c r="A867" s="2">
        <v>866</v>
      </c>
      <c r="B867" s="2" t="s">
        <v>694</v>
      </c>
      <c r="C867" s="2" t="s">
        <v>1034</v>
      </c>
      <c r="D867" s="2" t="s">
        <v>1035</v>
      </c>
      <c r="E867" s="4">
        <v>6000</v>
      </c>
    </row>
    <row r="868" spans="1:5" x14ac:dyDescent="0.3">
      <c r="A868" s="2">
        <v>867</v>
      </c>
      <c r="B868" s="2" t="s">
        <v>694</v>
      </c>
      <c r="C868" s="2" t="s">
        <v>1036</v>
      </c>
      <c r="D868" s="2" t="s">
        <v>1037</v>
      </c>
      <c r="E868" s="4">
        <v>5000</v>
      </c>
    </row>
    <row r="869" spans="1:5" x14ac:dyDescent="0.3">
      <c r="A869" s="2">
        <v>868</v>
      </c>
      <c r="B869" s="2" t="s">
        <v>694</v>
      </c>
      <c r="C869" s="2" t="s">
        <v>1038</v>
      </c>
      <c r="D869" s="2" t="s">
        <v>1039</v>
      </c>
      <c r="E869" s="4">
        <v>2000</v>
      </c>
    </row>
    <row r="870" spans="1:5" x14ac:dyDescent="0.3">
      <c r="A870" s="2">
        <v>869</v>
      </c>
      <c r="B870" s="2" t="s">
        <v>694</v>
      </c>
      <c r="C870" s="2" t="s">
        <v>1065</v>
      </c>
      <c r="D870" s="2" t="s">
        <v>1066</v>
      </c>
      <c r="E870" s="4">
        <v>4000</v>
      </c>
    </row>
    <row r="871" spans="1:5" x14ac:dyDescent="0.3">
      <c r="A871" s="2">
        <v>870</v>
      </c>
      <c r="B871" s="2" t="s">
        <v>694</v>
      </c>
      <c r="C871" s="2" t="s">
        <v>1067</v>
      </c>
      <c r="D871" s="2" t="s">
        <v>1068</v>
      </c>
      <c r="E871" s="4">
        <v>6500</v>
      </c>
    </row>
    <row r="872" spans="1:5" x14ac:dyDescent="0.3">
      <c r="A872" s="2">
        <v>871</v>
      </c>
      <c r="B872" s="2" t="s">
        <v>694</v>
      </c>
      <c r="C872" s="2" t="s">
        <v>1069</v>
      </c>
      <c r="D872" s="2" t="s">
        <v>1070</v>
      </c>
      <c r="E872" s="4">
        <v>8000</v>
      </c>
    </row>
    <row r="873" spans="1:5" x14ac:dyDescent="0.3">
      <c r="A873" s="2">
        <v>872</v>
      </c>
      <c r="B873" s="2" t="s">
        <v>699</v>
      </c>
      <c r="C873" s="2" t="s">
        <v>1028</v>
      </c>
      <c r="D873" s="2" t="s">
        <v>1029</v>
      </c>
      <c r="E873" s="4">
        <v>4000</v>
      </c>
    </row>
    <row r="874" spans="1:5" x14ac:dyDescent="0.3">
      <c r="A874" s="2">
        <v>873</v>
      </c>
      <c r="B874" s="2" t="s">
        <v>699</v>
      </c>
      <c r="C874" s="2" t="s">
        <v>1030</v>
      </c>
      <c r="D874" s="2" t="s">
        <v>1031</v>
      </c>
      <c r="E874" s="4">
        <v>5000</v>
      </c>
    </row>
    <row r="875" spans="1:5" x14ac:dyDescent="0.3">
      <c r="A875" s="2">
        <v>874</v>
      </c>
      <c r="B875" s="2" t="s">
        <v>699</v>
      </c>
      <c r="C875" s="2" t="s">
        <v>1032</v>
      </c>
      <c r="D875" s="2" t="s">
        <v>1033</v>
      </c>
      <c r="E875" s="4">
        <v>5000</v>
      </c>
    </row>
    <row r="876" spans="1:5" x14ac:dyDescent="0.3">
      <c r="A876" s="2">
        <v>875</v>
      </c>
      <c r="B876" s="2" t="s">
        <v>699</v>
      </c>
      <c r="C876" s="2" t="s">
        <v>1034</v>
      </c>
      <c r="D876" s="2" t="s">
        <v>1035</v>
      </c>
      <c r="E876" s="4">
        <v>6000</v>
      </c>
    </row>
    <row r="877" spans="1:5" x14ac:dyDescent="0.3">
      <c r="A877" s="2">
        <v>876</v>
      </c>
      <c r="B877" s="2" t="s">
        <v>699</v>
      </c>
      <c r="C877" s="2" t="s">
        <v>1036</v>
      </c>
      <c r="D877" s="2" t="s">
        <v>1037</v>
      </c>
      <c r="E877" s="4">
        <v>5000</v>
      </c>
    </row>
    <row r="878" spans="1:5" x14ac:dyDescent="0.3">
      <c r="A878" s="2">
        <v>877</v>
      </c>
      <c r="B878" s="2" t="s">
        <v>699</v>
      </c>
      <c r="C878" s="2" t="s">
        <v>1038</v>
      </c>
      <c r="D878" s="2" t="s">
        <v>1039</v>
      </c>
      <c r="E878" s="4">
        <v>2000</v>
      </c>
    </row>
    <row r="879" spans="1:5" x14ac:dyDescent="0.3">
      <c r="A879" s="2">
        <v>878</v>
      </c>
      <c r="B879" s="2" t="s">
        <v>699</v>
      </c>
      <c r="C879" s="2" t="s">
        <v>1065</v>
      </c>
      <c r="D879" s="2" t="s">
        <v>1066</v>
      </c>
      <c r="E879" s="4">
        <v>4000</v>
      </c>
    </row>
    <row r="880" spans="1:5" x14ac:dyDescent="0.3">
      <c r="A880" s="2">
        <v>879</v>
      </c>
      <c r="B880" s="2" t="s">
        <v>699</v>
      </c>
      <c r="C880" s="2" t="s">
        <v>1067</v>
      </c>
      <c r="D880" s="2" t="s">
        <v>1068</v>
      </c>
      <c r="E880" s="4">
        <v>6500</v>
      </c>
    </row>
    <row r="881" spans="1:5" x14ac:dyDescent="0.3">
      <c r="A881" s="2">
        <v>880</v>
      </c>
      <c r="B881" s="2" t="s">
        <v>699</v>
      </c>
      <c r="C881" s="2" t="s">
        <v>1069</v>
      </c>
      <c r="D881" s="2" t="s">
        <v>1070</v>
      </c>
      <c r="E881" s="4">
        <v>8000</v>
      </c>
    </row>
    <row r="882" spans="1:5" x14ac:dyDescent="0.3">
      <c r="A882" s="2">
        <v>881</v>
      </c>
      <c r="B882" s="2" t="s">
        <v>704</v>
      </c>
      <c r="C882" s="2" t="s">
        <v>993</v>
      </c>
      <c r="D882" s="2" t="s">
        <v>994</v>
      </c>
      <c r="E882" s="4">
        <v>5000</v>
      </c>
    </row>
    <row r="883" spans="1:5" x14ac:dyDescent="0.3">
      <c r="A883" s="2">
        <v>882</v>
      </c>
      <c r="B883" s="2" t="s">
        <v>704</v>
      </c>
      <c r="C883" s="2" t="s">
        <v>995</v>
      </c>
      <c r="D883" s="2" t="s">
        <v>996</v>
      </c>
      <c r="E883" s="4">
        <v>6000</v>
      </c>
    </row>
    <row r="884" spans="1:5" x14ac:dyDescent="0.3">
      <c r="A884" s="2">
        <v>883</v>
      </c>
      <c r="B884" s="2" t="s">
        <v>704</v>
      </c>
      <c r="C884" s="2" t="s">
        <v>997</v>
      </c>
      <c r="D884" s="2" t="s">
        <v>998</v>
      </c>
      <c r="E884" s="4">
        <v>5500</v>
      </c>
    </row>
    <row r="885" spans="1:5" x14ac:dyDescent="0.3">
      <c r="A885" s="2">
        <v>884</v>
      </c>
      <c r="B885" s="2" t="s">
        <v>704</v>
      </c>
      <c r="C885" s="2" t="s">
        <v>999</v>
      </c>
      <c r="D885" s="2" t="s">
        <v>1000</v>
      </c>
      <c r="E885" s="4">
        <v>6000</v>
      </c>
    </row>
    <row r="886" spans="1:5" x14ac:dyDescent="0.3">
      <c r="A886" s="2">
        <v>885</v>
      </c>
      <c r="B886" s="2" t="s">
        <v>704</v>
      </c>
      <c r="C886" s="2" t="s">
        <v>1001</v>
      </c>
      <c r="D886" s="2" t="s">
        <v>1002</v>
      </c>
      <c r="E886" s="4">
        <v>4500</v>
      </c>
    </row>
    <row r="887" spans="1:5" x14ac:dyDescent="0.3">
      <c r="A887" s="2">
        <v>886</v>
      </c>
      <c r="B887" s="2" t="s">
        <v>704</v>
      </c>
      <c r="C887" s="2" t="s">
        <v>1003</v>
      </c>
      <c r="D887" s="2" t="s">
        <v>1004</v>
      </c>
      <c r="E887" s="4">
        <v>4000</v>
      </c>
    </row>
    <row r="888" spans="1:5" x14ac:dyDescent="0.3">
      <c r="A888" s="2">
        <v>887</v>
      </c>
      <c r="B888" s="2" t="s">
        <v>704</v>
      </c>
      <c r="C888" s="2" t="s">
        <v>1005</v>
      </c>
      <c r="D888" s="2" t="s">
        <v>1006</v>
      </c>
      <c r="E888" s="4">
        <v>3000</v>
      </c>
    </row>
    <row r="889" spans="1:5" x14ac:dyDescent="0.3">
      <c r="A889" s="2">
        <v>888</v>
      </c>
      <c r="B889" s="2" t="s">
        <v>704</v>
      </c>
      <c r="C889" s="2" t="s">
        <v>1007</v>
      </c>
      <c r="D889" s="2" t="s">
        <v>1008</v>
      </c>
      <c r="E889" s="4">
        <v>2500</v>
      </c>
    </row>
    <row r="890" spans="1:5" x14ac:dyDescent="0.3">
      <c r="A890" s="2">
        <v>889</v>
      </c>
      <c r="B890" s="2" t="s">
        <v>704</v>
      </c>
      <c r="C890" s="2" t="s">
        <v>1009</v>
      </c>
      <c r="D890" s="2" t="s">
        <v>1010</v>
      </c>
      <c r="E890" s="4">
        <v>8000</v>
      </c>
    </row>
    <row r="891" spans="1:5" x14ac:dyDescent="0.3">
      <c r="A891" s="2">
        <v>890</v>
      </c>
      <c r="B891" s="2" t="s">
        <v>704</v>
      </c>
      <c r="C891" s="2" t="s">
        <v>1057</v>
      </c>
      <c r="D891" s="2" t="s">
        <v>1058</v>
      </c>
      <c r="E891" s="4">
        <v>9000</v>
      </c>
    </row>
    <row r="892" spans="1:5" x14ac:dyDescent="0.3">
      <c r="A892" s="2">
        <v>891</v>
      </c>
      <c r="B892" s="2" t="s">
        <v>704</v>
      </c>
      <c r="C892" s="2" t="s">
        <v>1011</v>
      </c>
      <c r="D892" s="2" t="s">
        <v>1012</v>
      </c>
      <c r="E892" s="4">
        <v>8000</v>
      </c>
    </row>
    <row r="893" spans="1:5" x14ac:dyDescent="0.3">
      <c r="A893" s="2">
        <v>892</v>
      </c>
      <c r="B893" s="2" t="s">
        <v>704</v>
      </c>
      <c r="C893" s="2" t="s">
        <v>1013</v>
      </c>
      <c r="D893" s="2" t="s">
        <v>1014</v>
      </c>
      <c r="E893" s="4">
        <v>6000</v>
      </c>
    </row>
    <row r="894" spans="1:5" x14ac:dyDescent="0.3">
      <c r="A894" s="2">
        <v>893</v>
      </c>
      <c r="B894" s="2" t="s">
        <v>709</v>
      </c>
      <c r="C894" s="2" t="s">
        <v>946</v>
      </c>
      <c r="D894" s="2" t="s">
        <v>1098</v>
      </c>
      <c r="E894" s="4">
        <v>15000</v>
      </c>
    </row>
    <row r="895" spans="1:5" x14ac:dyDescent="0.3">
      <c r="A895" s="2">
        <v>894</v>
      </c>
      <c r="B895" s="2" t="s">
        <v>709</v>
      </c>
      <c r="C895" s="2" t="s">
        <v>948</v>
      </c>
      <c r="D895" s="2" t="s">
        <v>949</v>
      </c>
      <c r="E895" s="4">
        <v>5000</v>
      </c>
    </row>
    <row r="896" spans="1:5" x14ac:dyDescent="0.3">
      <c r="A896" s="2">
        <v>895</v>
      </c>
      <c r="B896" s="2" t="s">
        <v>709</v>
      </c>
      <c r="C896" s="2" t="s">
        <v>950</v>
      </c>
      <c r="D896" s="2" t="s">
        <v>1074</v>
      </c>
      <c r="E896" s="4">
        <v>4000</v>
      </c>
    </row>
    <row r="897" spans="1:5" x14ac:dyDescent="0.3">
      <c r="A897" s="2">
        <v>896</v>
      </c>
      <c r="B897" s="2" t="s">
        <v>709</v>
      </c>
      <c r="C897" s="2" t="s">
        <v>952</v>
      </c>
      <c r="D897" s="2" t="s">
        <v>953</v>
      </c>
      <c r="E897" s="4">
        <v>17000</v>
      </c>
    </row>
    <row r="898" spans="1:5" x14ac:dyDescent="0.3">
      <c r="A898" s="2">
        <v>897</v>
      </c>
      <c r="B898" s="2" t="s">
        <v>709</v>
      </c>
      <c r="C898" s="2" t="s">
        <v>954</v>
      </c>
      <c r="D898" s="2" t="s">
        <v>955</v>
      </c>
      <c r="E898" s="4">
        <v>11000</v>
      </c>
    </row>
    <row r="899" spans="1:5" x14ac:dyDescent="0.3">
      <c r="A899" s="2">
        <v>898</v>
      </c>
      <c r="B899" s="2" t="s">
        <v>709</v>
      </c>
      <c r="C899" s="2" t="s">
        <v>956</v>
      </c>
      <c r="D899" s="2" t="s">
        <v>1075</v>
      </c>
      <c r="E899" s="4">
        <v>6000</v>
      </c>
    </row>
    <row r="900" spans="1:5" x14ac:dyDescent="0.3">
      <c r="A900" s="2">
        <v>899</v>
      </c>
      <c r="B900" s="2" t="s">
        <v>709</v>
      </c>
      <c r="C900" s="2" t="s">
        <v>958</v>
      </c>
      <c r="D900" s="2" t="s">
        <v>959</v>
      </c>
      <c r="E900" s="4">
        <v>4500</v>
      </c>
    </row>
    <row r="901" spans="1:5" x14ac:dyDescent="0.3">
      <c r="A901" s="2">
        <v>900</v>
      </c>
      <c r="B901" s="2" t="s">
        <v>709</v>
      </c>
      <c r="C901" s="2" t="s">
        <v>960</v>
      </c>
      <c r="D901" s="2" t="s">
        <v>961</v>
      </c>
      <c r="E901" s="4">
        <v>8500</v>
      </c>
    </row>
    <row r="902" spans="1:5" x14ac:dyDescent="0.3">
      <c r="A902" s="2">
        <v>901</v>
      </c>
      <c r="B902" s="2" t="s">
        <v>709</v>
      </c>
      <c r="C902" s="2" t="s">
        <v>962</v>
      </c>
      <c r="D902" s="2" t="s">
        <v>963</v>
      </c>
      <c r="E902" s="4">
        <v>2000</v>
      </c>
    </row>
    <row r="903" spans="1:5" x14ac:dyDescent="0.3">
      <c r="A903" s="2">
        <v>902</v>
      </c>
      <c r="B903" s="2" t="s">
        <v>714</v>
      </c>
      <c r="C903" s="2" t="s">
        <v>1076</v>
      </c>
      <c r="D903" s="2" t="s">
        <v>1077</v>
      </c>
      <c r="E903" s="4">
        <v>10000</v>
      </c>
    </row>
    <row r="904" spans="1:5" x14ac:dyDescent="0.3">
      <c r="A904" s="2">
        <v>903</v>
      </c>
      <c r="B904" s="2" t="s">
        <v>714</v>
      </c>
      <c r="C904" s="2" t="s">
        <v>1078</v>
      </c>
      <c r="D904" s="2" t="s">
        <v>1079</v>
      </c>
      <c r="E904" s="4">
        <v>10500</v>
      </c>
    </row>
    <row r="905" spans="1:5" x14ac:dyDescent="0.3">
      <c r="A905" s="2">
        <v>904</v>
      </c>
      <c r="B905" s="2" t="s">
        <v>714</v>
      </c>
      <c r="C905" s="2" t="s">
        <v>1080</v>
      </c>
      <c r="D905" s="2" t="s">
        <v>1081</v>
      </c>
      <c r="E905" s="4">
        <v>11000</v>
      </c>
    </row>
    <row r="906" spans="1:5" x14ac:dyDescent="0.3">
      <c r="A906" s="2">
        <v>905</v>
      </c>
      <c r="B906" s="2" t="s">
        <v>714</v>
      </c>
      <c r="C906" s="2" t="s">
        <v>1082</v>
      </c>
      <c r="D906" s="2" t="s">
        <v>1083</v>
      </c>
      <c r="E906" s="4">
        <v>11000</v>
      </c>
    </row>
    <row r="907" spans="1:5" x14ac:dyDescent="0.3">
      <c r="A907" s="2">
        <v>906</v>
      </c>
      <c r="B907" s="2" t="s">
        <v>714</v>
      </c>
      <c r="C907" s="2" t="s">
        <v>1084</v>
      </c>
      <c r="D907" s="2" t="s">
        <v>1085</v>
      </c>
      <c r="E907" s="4">
        <v>12000</v>
      </c>
    </row>
    <row r="908" spans="1:5" x14ac:dyDescent="0.3">
      <c r="A908" s="2">
        <v>907</v>
      </c>
      <c r="B908" s="2" t="s">
        <v>714</v>
      </c>
      <c r="C908" s="2" t="s">
        <v>1086</v>
      </c>
      <c r="D908" s="2" t="s">
        <v>1087</v>
      </c>
      <c r="E908" s="4">
        <v>12000</v>
      </c>
    </row>
    <row r="909" spans="1:5" x14ac:dyDescent="0.3">
      <c r="A909" s="2">
        <v>908</v>
      </c>
      <c r="B909" s="2" t="s">
        <v>714</v>
      </c>
      <c r="C909" s="2" t="s">
        <v>1088</v>
      </c>
      <c r="D909" s="2" t="s">
        <v>1122</v>
      </c>
      <c r="E909" s="4">
        <v>11000</v>
      </c>
    </row>
    <row r="910" spans="1:5" x14ac:dyDescent="0.3">
      <c r="A910" s="2">
        <v>909</v>
      </c>
      <c r="B910" s="2" t="s">
        <v>719</v>
      </c>
      <c r="C910" s="2" t="s">
        <v>946</v>
      </c>
      <c r="D910" s="2" t="s">
        <v>1098</v>
      </c>
      <c r="E910" s="4">
        <v>15000</v>
      </c>
    </row>
    <row r="911" spans="1:5" x14ac:dyDescent="0.3">
      <c r="A911" s="2">
        <v>910</v>
      </c>
      <c r="B911" s="2" t="s">
        <v>719</v>
      </c>
      <c r="C911" s="2" t="s">
        <v>948</v>
      </c>
      <c r="D911" s="2" t="s">
        <v>949</v>
      </c>
      <c r="E911" s="4">
        <v>5000</v>
      </c>
    </row>
    <row r="912" spans="1:5" x14ac:dyDescent="0.3">
      <c r="A912" s="2">
        <v>911</v>
      </c>
      <c r="B912" s="2" t="s">
        <v>719</v>
      </c>
      <c r="C912" s="2" t="s">
        <v>950</v>
      </c>
      <c r="D912" s="2" t="s">
        <v>1074</v>
      </c>
      <c r="E912" s="4">
        <v>4000</v>
      </c>
    </row>
    <row r="913" spans="1:5" x14ac:dyDescent="0.3">
      <c r="A913" s="2">
        <v>912</v>
      </c>
      <c r="B913" s="2" t="s">
        <v>719</v>
      </c>
      <c r="C913" s="2" t="s">
        <v>952</v>
      </c>
      <c r="D913" s="2" t="s">
        <v>953</v>
      </c>
      <c r="E913" s="4">
        <v>17000</v>
      </c>
    </row>
    <row r="914" spans="1:5" x14ac:dyDescent="0.3">
      <c r="A914" s="2">
        <v>913</v>
      </c>
      <c r="B914" s="2" t="s">
        <v>719</v>
      </c>
      <c r="C914" s="2" t="s">
        <v>954</v>
      </c>
      <c r="D914" s="2" t="s">
        <v>955</v>
      </c>
      <c r="E914" s="4">
        <v>11000</v>
      </c>
    </row>
    <row r="915" spans="1:5" x14ac:dyDescent="0.3">
      <c r="A915" s="2">
        <v>914</v>
      </c>
      <c r="B915" s="2" t="s">
        <v>719</v>
      </c>
      <c r="C915" s="2" t="s">
        <v>956</v>
      </c>
      <c r="D915" s="2" t="s">
        <v>1075</v>
      </c>
      <c r="E915" s="4">
        <v>6000</v>
      </c>
    </row>
    <row r="916" spans="1:5" x14ac:dyDescent="0.3">
      <c r="A916" s="2">
        <v>915</v>
      </c>
      <c r="B916" s="2" t="s">
        <v>719</v>
      </c>
      <c r="C916" s="2" t="s">
        <v>958</v>
      </c>
      <c r="D916" s="2" t="s">
        <v>959</v>
      </c>
      <c r="E916" s="4">
        <v>4500</v>
      </c>
    </row>
    <row r="917" spans="1:5" x14ac:dyDescent="0.3">
      <c r="A917" s="2">
        <v>916</v>
      </c>
      <c r="B917" s="2" t="s">
        <v>719</v>
      </c>
      <c r="C917" s="2" t="s">
        <v>960</v>
      </c>
      <c r="D917" s="2" t="s">
        <v>961</v>
      </c>
      <c r="E917" s="4">
        <v>8500</v>
      </c>
    </row>
    <row r="918" spans="1:5" x14ac:dyDescent="0.3">
      <c r="A918" s="2">
        <v>917</v>
      </c>
      <c r="B918" s="2" t="s">
        <v>719</v>
      </c>
      <c r="C918" s="2" t="s">
        <v>962</v>
      </c>
      <c r="D918" s="2" t="s">
        <v>963</v>
      </c>
      <c r="E918" s="4">
        <v>2000</v>
      </c>
    </row>
    <row r="919" spans="1:5" x14ac:dyDescent="0.3">
      <c r="A919" s="2">
        <v>918</v>
      </c>
      <c r="B919" s="2" t="s">
        <v>724</v>
      </c>
      <c r="C919" s="2" t="s">
        <v>1028</v>
      </c>
      <c r="D919" s="2" t="s">
        <v>1029</v>
      </c>
      <c r="E919" s="4">
        <v>4000</v>
      </c>
    </row>
    <row r="920" spans="1:5" x14ac:dyDescent="0.3">
      <c r="A920" s="2">
        <v>919</v>
      </c>
      <c r="B920" s="2" t="s">
        <v>724</v>
      </c>
      <c r="C920" s="2" t="s">
        <v>1030</v>
      </c>
      <c r="D920" s="2" t="s">
        <v>1031</v>
      </c>
      <c r="E920" s="4">
        <v>5000</v>
      </c>
    </row>
    <row r="921" spans="1:5" x14ac:dyDescent="0.3">
      <c r="A921" s="2">
        <v>920</v>
      </c>
      <c r="B921" s="2" t="s">
        <v>724</v>
      </c>
      <c r="C921" s="2" t="s">
        <v>1032</v>
      </c>
      <c r="D921" s="2" t="s">
        <v>1033</v>
      </c>
      <c r="E921" s="4">
        <v>5000</v>
      </c>
    </row>
    <row r="922" spans="1:5" x14ac:dyDescent="0.3">
      <c r="A922" s="2">
        <v>921</v>
      </c>
      <c r="B922" s="2" t="s">
        <v>724</v>
      </c>
      <c r="C922" s="2" t="s">
        <v>1034</v>
      </c>
      <c r="D922" s="2" t="s">
        <v>1035</v>
      </c>
      <c r="E922" s="4">
        <v>6000</v>
      </c>
    </row>
    <row r="923" spans="1:5" x14ac:dyDescent="0.3">
      <c r="A923" s="2">
        <v>922</v>
      </c>
      <c r="B923" s="2" t="s">
        <v>724</v>
      </c>
      <c r="C923" s="2" t="s">
        <v>1036</v>
      </c>
      <c r="D923" s="2" t="s">
        <v>1037</v>
      </c>
      <c r="E923" s="4">
        <v>5000</v>
      </c>
    </row>
    <row r="924" spans="1:5" x14ac:dyDescent="0.3">
      <c r="A924" s="2">
        <v>923</v>
      </c>
      <c r="B924" s="2" t="s">
        <v>724</v>
      </c>
      <c r="C924" s="2" t="s">
        <v>1038</v>
      </c>
      <c r="D924" s="2" t="s">
        <v>1039</v>
      </c>
      <c r="E924" s="4">
        <v>2000</v>
      </c>
    </row>
    <row r="925" spans="1:5" x14ac:dyDescent="0.3">
      <c r="A925" s="2">
        <v>924</v>
      </c>
      <c r="B925" s="2" t="s">
        <v>724</v>
      </c>
      <c r="C925" s="2" t="s">
        <v>1065</v>
      </c>
      <c r="D925" s="2" t="s">
        <v>1066</v>
      </c>
      <c r="E925" s="4">
        <v>4000</v>
      </c>
    </row>
    <row r="926" spans="1:5" x14ac:dyDescent="0.3">
      <c r="A926" s="2">
        <v>925</v>
      </c>
      <c r="B926" s="2" t="s">
        <v>724</v>
      </c>
      <c r="C926" s="2" t="s">
        <v>1067</v>
      </c>
      <c r="D926" s="2" t="s">
        <v>1068</v>
      </c>
      <c r="E926" s="4">
        <v>6500</v>
      </c>
    </row>
    <row r="927" spans="1:5" x14ac:dyDescent="0.3">
      <c r="A927" s="2">
        <v>926</v>
      </c>
      <c r="B927" s="2" t="s">
        <v>724</v>
      </c>
      <c r="C927" s="2" t="s">
        <v>1069</v>
      </c>
      <c r="D927" s="2" t="s">
        <v>1070</v>
      </c>
      <c r="E927" s="4">
        <v>8000</v>
      </c>
    </row>
    <row r="928" spans="1:5" x14ac:dyDescent="0.3">
      <c r="A928" s="2">
        <v>927</v>
      </c>
      <c r="B928" s="2" t="s">
        <v>729</v>
      </c>
      <c r="C928" s="2" t="s">
        <v>946</v>
      </c>
      <c r="D928" s="2" t="s">
        <v>1098</v>
      </c>
      <c r="E928" s="4">
        <v>15000</v>
      </c>
    </row>
    <row r="929" spans="1:5" x14ac:dyDescent="0.3">
      <c r="A929" s="2">
        <v>928</v>
      </c>
      <c r="B929" s="2" t="s">
        <v>729</v>
      </c>
      <c r="C929" s="2" t="s">
        <v>948</v>
      </c>
      <c r="D929" s="2" t="s">
        <v>949</v>
      </c>
      <c r="E929" s="4">
        <v>5000</v>
      </c>
    </row>
    <row r="930" spans="1:5" x14ac:dyDescent="0.3">
      <c r="A930" s="2">
        <v>929</v>
      </c>
      <c r="B930" s="2" t="s">
        <v>729</v>
      </c>
      <c r="C930" s="2" t="s">
        <v>950</v>
      </c>
      <c r="D930" s="2" t="s">
        <v>1074</v>
      </c>
      <c r="E930" s="4">
        <v>4000</v>
      </c>
    </row>
    <row r="931" spans="1:5" x14ac:dyDescent="0.3">
      <c r="A931" s="2">
        <v>930</v>
      </c>
      <c r="B931" s="2" t="s">
        <v>729</v>
      </c>
      <c r="C931" s="2" t="s">
        <v>952</v>
      </c>
      <c r="D931" s="2" t="s">
        <v>953</v>
      </c>
      <c r="E931" s="4">
        <v>17000</v>
      </c>
    </row>
    <row r="932" spans="1:5" x14ac:dyDescent="0.3">
      <c r="A932" s="2">
        <v>931</v>
      </c>
      <c r="B932" s="2" t="s">
        <v>729</v>
      </c>
      <c r="C932" s="2" t="s">
        <v>954</v>
      </c>
      <c r="D932" s="2" t="s">
        <v>955</v>
      </c>
      <c r="E932" s="4">
        <v>11000</v>
      </c>
    </row>
    <row r="933" spans="1:5" x14ac:dyDescent="0.3">
      <c r="A933" s="2">
        <v>932</v>
      </c>
      <c r="B933" s="2" t="s">
        <v>729</v>
      </c>
      <c r="C933" s="2" t="s">
        <v>956</v>
      </c>
      <c r="D933" s="2" t="s">
        <v>1075</v>
      </c>
      <c r="E933" s="4">
        <v>6000</v>
      </c>
    </row>
    <row r="934" spans="1:5" x14ac:dyDescent="0.3">
      <c r="A934" s="2">
        <v>933</v>
      </c>
      <c r="B934" s="2" t="s">
        <v>729</v>
      </c>
      <c r="C934" s="2" t="s">
        <v>958</v>
      </c>
      <c r="D934" s="2" t="s">
        <v>959</v>
      </c>
      <c r="E934" s="4">
        <v>4500</v>
      </c>
    </row>
    <row r="935" spans="1:5" x14ac:dyDescent="0.3">
      <c r="A935" s="2">
        <v>934</v>
      </c>
      <c r="B935" s="2" t="s">
        <v>729</v>
      </c>
      <c r="C935" s="2" t="s">
        <v>960</v>
      </c>
      <c r="D935" s="2" t="s">
        <v>961</v>
      </c>
      <c r="E935" s="4">
        <v>8500</v>
      </c>
    </row>
    <row r="936" spans="1:5" x14ac:dyDescent="0.3">
      <c r="A936" s="2">
        <v>935</v>
      </c>
      <c r="B936" s="2" t="s">
        <v>729</v>
      </c>
      <c r="C936" s="2" t="s">
        <v>962</v>
      </c>
      <c r="D936" s="2" t="s">
        <v>963</v>
      </c>
      <c r="E936" s="4">
        <v>2000</v>
      </c>
    </row>
    <row r="937" spans="1:5" x14ac:dyDescent="0.3">
      <c r="A937" s="2">
        <v>936</v>
      </c>
      <c r="B937" s="2" t="s">
        <v>734</v>
      </c>
      <c r="C937" s="2" t="s">
        <v>1040</v>
      </c>
      <c r="D937" s="2" t="s">
        <v>1041</v>
      </c>
      <c r="E937" s="4">
        <v>4500</v>
      </c>
    </row>
    <row r="938" spans="1:5" x14ac:dyDescent="0.3">
      <c r="A938" s="2">
        <v>937</v>
      </c>
      <c r="B938" s="2" t="s">
        <v>734</v>
      </c>
      <c r="C938" s="2" t="s">
        <v>1042</v>
      </c>
      <c r="D938" s="2" t="s">
        <v>1043</v>
      </c>
      <c r="E938" s="4">
        <v>3000</v>
      </c>
    </row>
    <row r="939" spans="1:5" x14ac:dyDescent="0.3">
      <c r="A939" s="2">
        <v>938</v>
      </c>
      <c r="B939" s="2" t="s">
        <v>734</v>
      </c>
      <c r="C939" s="2" t="s">
        <v>1044</v>
      </c>
      <c r="D939" s="2" t="s">
        <v>1045</v>
      </c>
      <c r="E939" s="4">
        <v>2000</v>
      </c>
    </row>
    <row r="940" spans="1:5" x14ac:dyDescent="0.3">
      <c r="A940" s="2">
        <v>939</v>
      </c>
      <c r="B940" s="2" t="s">
        <v>734</v>
      </c>
      <c r="C940" s="2" t="s">
        <v>1059</v>
      </c>
      <c r="D940" s="2" t="s">
        <v>1060</v>
      </c>
      <c r="E940" s="2">
        <v>500</v>
      </c>
    </row>
    <row r="941" spans="1:5" x14ac:dyDescent="0.3">
      <c r="A941" s="2">
        <v>940</v>
      </c>
      <c r="B941" s="2" t="s">
        <v>734</v>
      </c>
      <c r="C941" s="2" t="s">
        <v>1046</v>
      </c>
      <c r="D941" s="2" t="s">
        <v>1047</v>
      </c>
      <c r="E941" s="2">
        <v>700</v>
      </c>
    </row>
    <row r="942" spans="1:5" x14ac:dyDescent="0.3">
      <c r="A942" s="2">
        <v>941</v>
      </c>
      <c r="B942" s="2" t="s">
        <v>734</v>
      </c>
      <c r="C942" s="2" t="s">
        <v>1048</v>
      </c>
      <c r="D942" s="2" t="s">
        <v>1049</v>
      </c>
      <c r="E942" s="2">
        <v>700</v>
      </c>
    </row>
    <row r="943" spans="1:5" x14ac:dyDescent="0.3">
      <c r="A943" s="2">
        <v>942</v>
      </c>
      <c r="B943" s="2" t="s">
        <v>734</v>
      </c>
      <c r="C943" s="2" t="s">
        <v>1061</v>
      </c>
      <c r="D943" s="2" t="s">
        <v>1062</v>
      </c>
      <c r="E943" s="4">
        <v>2500</v>
      </c>
    </row>
    <row r="944" spans="1:5" x14ac:dyDescent="0.3">
      <c r="A944" s="2">
        <v>943</v>
      </c>
      <c r="B944" s="2" t="s">
        <v>734</v>
      </c>
      <c r="C944" s="2" t="s">
        <v>1063</v>
      </c>
      <c r="D944" s="2" t="s">
        <v>1064</v>
      </c>
      <c r="E944" s="4">
        <v>3500</v>
      </c>
    </row>
    <row r="945" spans="1:5" x14ac:dyDescent="0.3">
      <c r="A945" s="2">
        <v>944</v>
      </c>
      <c r="B945" s="2" t="s">
        <v>739</v>
      </c>
      <c r="C945" s="2" t="s">
        <v>1028</v>
      </c>
      <c r="D945" s="2" t="s">
        <v>1029</v>
      </c>
      <c r="E945" s="4">
        <v>4000</v>
      </c>
    </row>
    <row r="946" spans="1:5" x14ac:dyDescent="0.3">
      <c r="A946" s="2">
        <v>945</v>
      </c>
      <c r="B946" s="2" t="s">
        <v>739</v>
      </c>
      <c r="C946" s="2" t="s">
        <v>1030</v>
      </c>
      <c r="D946" s="2" t="s">
        <v>1031</v>
      </c>
      <c r="E946" s="4">
        <v>5000</v>
      </c>
    </row>
    <row r="947" spans="1:5" x14ac:dyDescent="0.3">
      <c r="A947" s="2">
        <v>946</v>
      </c>
      <c r="B947" s="2" t="s">
        <v>739</v>
      </c>
      <c r="C947" s="2" t="s">
        <v>1032</v>
      </c>
      <c r="D947" s="2" t="s">
        <v>1033</v>
      </c>
      <c r="E947" s="4">
        <v>5000</v>
      </c>
    </row>
    <row r="948" spans="1:5" x14ac:dyDescent="0.3">
      <c r="A948" s="2">
        <v>947</v>
      </c>
      <c r="B948" s="2" t="s">
        <v>739</v>
      </c>
      <c r="C948" s="2" t="s">
        <v>1034</v>
      </c>
      <c r="D948" s="2" t="s">
        <v>1035</v>
      </c>
      <c r="E948" s="4">
        <v>6000</v>
      </c>
    </row>
    <row r="949" spans="1:5" x14ac:dyDescent="0.3">
      <c r="A949" s="2">
        <v>948</v>
      </c>
      <c r="B949" s="2" t="s">
        <v>739</v>
      </c>
      <c r="C949" s="2" t="s">
        <v>1036</v>
      </c>
      <c r="D949" s="2" t="s">
        <v>1037</v>
      </c>
      <c r="E949" s="4">
        <v>5000</v>
      </c>
    </row>
    <row r="950" spans="1:5" x14ac:dyDescent="0.3">
      <c r="A950" s="2">
        <v>949</v>
      </c>
      <c r="B950" s="2" t="s">
        <v>739</v>
      </c>
      <c r="C950" s="2" t="s">
        <v>1038</v>
      </c>
      <c r="D950" s="2" t="s">
        <v>1039</v>
      </c>
      <c r="E950" s="4">
        <v>2000</v>
      </c>
    </row>
    <row r="951" spans="1:5" x14ac:dyDescent="0.3">
      <c r="A951" s="2">
        <v>950</v>
      </c>
      <c r="B951" s="2" t="s">
        <v>739</v>
      </c>
      <c r="C951" s="2" t="s">
        <v>1065</v>
      </c>
      <c r="D951" s="2" t="s">
        <v>1066</v>
      </c>
      <c r="E951" s="4">
        <v>4000</v>
      </c>
    </row>
    <row r="952" spans="1:5" x14ac:dyDescent="0.3">
      <c r="A952" s="2">
        <v>951</v>
      </c>
      <c r="B952" s="2" t="s">
        <v>739</v>
      </c>
      <c r="C952" s="2" t="s">
        <v>1067</v>
      </c>
      <c r="D952" s="2" t="s">
        <v>1068</v>
      </c>
      <c r="E952" s="4">
        <v>6500</v>
      </c>
    </row>
    <row r="953" spans="1:5" x14ac:dyDescent="0.3">
      <c r="A953" s="2">
        <v>952</v>
      </c>
      <c r="B953" s="2" t="s">
        <v>739</v>
      </c>
      <c r="C953" s="2" t="s">
        <v>1069</v>
      </c>
      <c r="D953" s="2" t="s">
        <v>1070</v>
      </c>
      <c r="E953" s="4">
        <v>8000</v>
      </c>
    </row>
    <row r="954" spans="1:5" x14ac:dyDescent="0.3">
      <c r="A954" s="2">
        <v>953</v>
      </c>
      <c r="B954" s="2" t="s">
        <v>744</v>
      </c>
      <c r="C954" s="2" t="s">
        <v>1028</v>
      </c>
      <c r="D954" s="2" t="s">
        <v>1029</v>
      </c>
      <c r="E954" s="4">
        <v>4000</v>
      </c>
    </row>
    <row r="955" spans="1:5" x14ac:dyDescent="0.3">
      <c r="A955" s="2">
        <v>954</v>
      </c>
      <c r="B955" s="2" t="s">
        <v>744</v>
      </c>
      <c r="C955" s="2" t="s">
        <v>1030</v>
      </c>
      <c r="D955" s="2" t="s">
        <v>1031</v>
      </c>
      <c r="E955" s="4">
        <v>5000</v>
      </c>
    </row>
    <row r="956" spans="1:5" x14ac:dyDescent="0.3">
      <c r="A956" s="2">
        <v>955</v>
      </c>
      <c r="B956" s="2" t="s">
        <v>744</v>
      </c>
      <c r="C956" s="2" t="s">
        <v>1032</v>
      </c>
      <c r="D956" s="2" t="s">
        <v>1033</v>
      </c>
      <c r="E956" s="4">
        <v>5000</v>
      </c>
    </row>
    <row r="957" spans="1:5" x14ac:dyDescent="0.3">
      <c r="A957" s="2">
        <v>956</v>
      </c>
      <c r="B957" s="2" t="s">
        <v>744</v>
      </c>
      <c r="C957" s="2" t="s">
        <v>1034</v>
      </c>
      <c r="D957" s="2" t="s">
        <v>1035</v>
      </c>
      <c r="E957" s="4">
        <v>6000</v>
      </c>
    </row>
    <row r="958" spans="1:5" x14ac:dyDescent="0.3">
      <c r="A958" s="2">
        <v>957</v>
      </c>
      <c r="B958" s="2" t="s">
        <v>744</v>
      </c>
      <c r="C958" s="2" t="s">
        <v>1036</v>
      </c>
      <c r="D958" s="2" t="s">
        <v>1037</v>
      </c>
      <c r="E958" s="4">
        <v>5000</v>
      </c>
    </row>
    <row r="959" spans="1:5" x14ac:dyDescent="0.3">
      <c r="A959" s="2">
        <v>958</v>
      </c>
      <c r="B959" s="2" t="s">
        <v>744</v>
      </c>
      <c r="C959" s="2" t="s">
        <v>1038</v>
      </c>
      <c r="D959" s="2" t="s">
        <v>1039</v>
      </c>
      <c r="E959" s="4">
        <v>2000</v>
      </c>
    </row>
    <row r="960" spans="1:5" x14ac:dyDescent="0.3">
      <c r="A960" s="2">
        <v>959</v>
      </c>
      <c r="B960" s="2" t="s">
        <v>744</v>
      </c>
      <c r="C960" s="2" t="s">
        <v>1065</v>
      </c>
      <c r="D960" s="2" t="s">
        <v>1066</v>
      </c>
      <c r="E960" s="4">
        <v>4000</v>
      </c>
    </row>
    <row r="961" spans="1:5" x14ac:dyDescent="0.3">
      <c r="A961" s="2">
        <v>960</v>
      </c>
      <c r="B961" s="2" t="s">
        <v>744</v>
      </c>
      <c r="C961" s="2" t="s">
        <v>1067</v>
      </c>
      <c r="D961" s="2" t="s">
        <v>1068</v>
      </c>
      <c r="E961" s="4">
        <v>6500</v>
      </c>
    </row>
    <row r="962" spans="1:5" x14ac:dyDescent="0.3">
      <c r="A962" s="2">
        <v>961</v>
      </c>
      <c r="B962" s="2" t="s">
        <v>744</v>
      </c>
      <c r="C962" s="2" t="s">
        <v>1069</v>
      </c>
      <c r="D962" s="2" t="s">
        <v>1070</v>
      </c>
      <c r="E962" s="4">
        <v>8000</v>
      </c>
    </row>
    <row r="963" spans="1:5" x14ac:dyDescent="0.3">
      <c r="A963" s="2">
        <v>962</v>
      </c>
      <c r="B963" s="2" t="s">
        <v>749</v>
      </c>
      <c r="C963" s="2" t="s">
        <v>1028</v>
      </c>
      <c r="D963" s="2" t="s">
        <v>1029</v>
      </c>
      <c r="E963" s="4">
        <v>4000</v>
      </c>
    </row>
    <row r="964" spans="1:5" x14ac:dyDescent="0.3">
      <c r="A964" s="2">
        <v>963</v>
      </c>
      <c r="B964" s="2" t="s">
        <v>749</v>
      </c>
      <c r="C964" s="2" t="s">
        <v>1030</v>
      </c>
      <c r="D964" s="2" t="s">
        <v>1031</v>
      </c>
      <c r="E964" s="4">
        <v>5000</v>
      </c>
    </row>
    <row r="965" spans="1:5" x14ac:dyDescent="0.3">
      <c r="A965" s="2">
        <v>964</v>
      </c>
      <c r="B965" s="2" t="s">
        <v>749</v>
      </c>
      <c r="C965" s="2" t="s">
        <v>1032</v>
      </c>
      <c r="D965" s="2" t="s">
        <v>1033</v>
      </c>
      <c r="E965" s="4">
        <v>5000</v>
      </c>
    </row>
    <row r="966" spans="1:5" x14ac:dyDescent="0.3">
      <c r="A966" s="2">
        <v>965</v>
      </c>
      <c r="B966" s="2" t="s">
        <v>749</v>
      </c>
      <c r="C966" s="2" t="s">
        <v>1034</v>
      </c>
      <c r="D966" s="2" t="s">
        <v>1035</v>
      </c>
      <c r="E966" s="4">
        <v>6000</v>
      </c>
    </row>
    <row r="967" spans="1:5" x14ac:dyDescent="0.3">
      <c r="A967" s="2">
        <v>966</v>
      </c>
      <c r="B967" s="2" t="s">
        <v>749</v>
      </c>
      <c r="C967" s="2" t="s">
        <v>1036</v>
      </c>
      <c r="D967" s="2" t="s">
        <v>1037</v>
      </c>
      <c r="E967" s="4">
        <v>5000</v>
      </c>
    </row>
    <row r="968" spans="1:5" x14ac:dyDescent="0.3">
      <c r="A968" s="2">
        <v>967</v>
      </c>
      <c r="B968" s="2" t="s">
        <v>749</v>
      </c>
      <c r="C968" s="2" t="s">
        <v>1038</v>
      </c>
      <c r="D968" s="2" t="s">
        <v>1039</v>
      </c>
      <c r="E968" s="4">
        <v>2000</v>
      </c>
    </row>
    <row r="969" spans="1:5" x14ac:dyDescent="0.3">
      <c r="A969" s="2">
        <v>968</v>
      </c>
      <c r="B969" s="2" t="s">
        <v>749</v>
      </c>
      <c r="C969" s="2" t="s">
        <v>1065</v>
      </c>
      <c r="D969" s="2" t="s">
        <v>1066</v>
      </c>
      <c r="E969" s="4">
        <v>4000</v>
      </c>
    </row>
    <row r="970" spans="1:5" x14ac:dyDescent="0.3">
      <c r="A970" s="2">
        <v>969</v>
      </c>
      <c r="B970" s="2" t="s">
        <v>749</v>
      </c>
      <c r="C970" s="2" t="s">
        <v>1067</v>
      </c>
      <c r="D970" s="2" t="s">
        <v>1068</v>
      </c>
      <c r="E970" s="4">
        <v>6500</v>
      </c>
    </row>
    <row r="971" spans="1:5" x14ac:dyDescent="0.3">
      <c r="A971" s="2">
        <v>970</v>
      </c>
      <c r="B971" s="2" t="s">
        <v>749</v>
      </c>
      <c r="C971" s="2" t="s">
        <v>1069</v>
      </c>
      <c r="D971" s="2" t="s">
        <v>1070</v>
      </c>
      <c r="E971" s="4">
        <v>8000</v>
      </c>
    </row>
    <row r="972" spans="1:5" x14ac:dyDescent="0.3">
      <c r="A972" s="2">
        <v>971</v>
      </c>
      <c r="B972" s="2" t="s">
        <v>754</v>
      </c>
      <c r="C972" s="2" t="s">
        <v>1104</v>
      </c>
      <c r="D972" s="2" t="s">
        <v>1105</v>
      </c>
      <c r="E972" s="4">
        <v>1500</v>
      </c>
    </row>
    <row r="973" spans="1:5" x14ac:dyDescent="0.3">
      <c r="A973" s="2">
        <v>972</v>
      </c>
      <c r="B973" s="2" t="s">
        <v>754</v>
      </c>
      <c r="C973" s="2" t="s">
        <v>1106</v>
      </c>
      <c r="D973" s="2" t="s">
        <v>1107</v>
      </c>
      <c r="E973" s="4">
        <v>2000</v>
      </c>
    </row>
    <row r="974" spans="1:5" x14ac:dyDescent="0.3">
      <c r="A974" s="2">
        <v>973</v>
      </c>
      <c r="B974" s="2" t="s">
        <v>754</v>
      </c>
      <c r="C974" s="2" t="s">
        <v>1108</v>
      </c>
      <c r="D974" s="2" t="s">
        <v>1109</v>
      </c>
      <c r="E974" s="4">
        <v>1500</v>
      </c>
    </row>
    <row r="975" spans="1:5" x14ac:dyDescent="0.3">
      <c r="A975" s="2">
        <v>974</v>
      </c>
      <c r="B975" s="2" t="s">
        <v>754</v>
      </c>
      <c r="C975" s="2" t="s">
        <v>1110</v>
      </c>
      <c r="D975" s="2" t="s">
        <v>1111</v>
      </c>
      <c r="E975" s="4">
        <v>2000</v>
      </c>
    </row>
    <row r="976" spans="1:5" x14ac:dyDescent="0.3">
      <c r="A976" s="2">
        <v>975</v>
      </c>
      <c r="B976" s="2" t="s">
        <v>754</v>
      </c>
      <c r="C976" s="2" t="s">
        <v>1112</v>
      </c>
      <c r="D976" s="2" t="s">
        <v>1113</v>
      </c>
      <c r="E976" s="4">
        <v>2000</v>
      </c>
    </row>
    <row r="977" spans="1:5" x14ac:dyDescent="0.3">
      <c r="A977" s="2">
        <v>976</v>
      </c>
      <c r="B977" s="2" t="s">
        <v>754</v>
      </c>
      <c r="C977" s="2" t="s">
        <v>1114</v>
      </c>
      <c r="D977" s="2" t="s">
        <v>1115</v>
      </c>
      <c r="E977" s="4">
        <v>2500</v>
      </c>
    </row>
    <row r="978" spans="1:5" x14ac:dyDescent="0.3">
      <c r="A978" s="2">
        <v>977</v>
      </c>
      <c r="B978" s="2" t="s">
        <v>754</v>
      </c>
      <c r="C978" s="2" t="s">
        <v>1116</v>
      </c>
      <c r="D978" s="2" t="s">
        <v>1117</v>
      </c>
      <c r="E978" s="4">
        <v>2000</v>
      </c>
    </row>
    <row r="979" spans="1:5" x14ac:dyDescent="0.3">
      <c r="A979" s="2">
        <v>978</v>
      </c>
      <c r="B979" s="2" t="s">
        <v>754</v>
      </c>
      <c r="C979" s="2" t="s">
        <v>1118</v>
      </c>
      <c r="D979" s="2" t="s">
        <v>1119</v>
      </c>
      <c r="E979" s="4">
        <v>2500</v>
      </c>
    </row>
    <row r="980" spans="1:5" x14ac:dyDescent="0.3">
      <c r="A980" s="2">
        <v>979</v>
      </c>
      <c r="B980" s="2" t="s">
        <v>754</v>
      </c>
      <c r="C980" s="2" t="s">
        <v>1120</v>
      </c>
      <c r="D980" s="2" t="s">
        <v>1121</v>
      </c>
      <c r="E980" s="4">
        <v>3000</v>
      </c>
    </row>
    <row r="981" spans="1:5" x14ac:dyDescent="0.3">
      <c r="A981" s="2">
        <v>980</v>
      </c>
      <c r="B981" s="2" t="s">
        <v>759</v>
      </c>
      <c r="C981" s="2" t="s">
        <v>983</v>
      </c>
      <c r="D981" s="2" t="s">
        <v>984</v>
      </c>
      <c r="E981" s="4">
        <v>10000</v>
      </c>
    </row>
    <row r="982" spans="1:5" x14ac:dyDescent="0.3">
      <c r="A982" s="2">
        <v>981</v>
      </c>
      <c r="B982" s="2" t="s">
        <v>759</v>
      </c>
      <c r="C982" s="2" t="s">
        <v>1099</v>
      </c>
      <c r="D982" s="2" t="s">
        <v>1100</v>
      </c>
      <c r="E982" s="4">
        <v>11000</v>
      </c>
    </row>
    <row r="983" spans="1:5" x14ac:dyDescent="0.3">
      <c r="A983" s="2">
        <v>982</v>
      </c>
      <c r="B983" s="2" t="s">
        <v>759</v>
      </c>
      <c r="C983" s="2" t="s">
        <v>1101</v>
      </c>
      <c r="D983" s="2" t="s">
        <v>1102</v>
      </c>
      <c r="E983" s="4">
        <v>9000</v>
      </c>
    </row>
    <row r="984" spans="1:5" x14ac:dyDescent="0.3">
      <c r="A984" s="2">
        <v>983</v>
      </c>
      <c r="B984" s="2" t="s">
        <v>759</v>
      </c>
      <c r="C984" s="2" t="s">
        <v>985</v>
      </c>
      <c r="D984" s="2" t="s">
        <v>986</v>
      </c>
      <c r="E984" s="4">
        <v>6000</v>
      </c>
    </row>
    <row r="985" spans="1:5" x14ac:dyDescent="0.3">
      <c r="A985" s="2">
        <v>984</v>
      </c>
      <c r="B985" s="2" t="s">
        <v>759</v>
      </c>
      <c r="C985" s="2" t="s">
        <v>987</v>
      </c>
      <c r="D985" s="2" t="s">
        <v>988</v>
      </c>
      <c r="E985" s="4">
        <v>6500</v>
      </c>
    </row>
    <row r="986" spans="1:5" x14ac:dyDescent="0.3">
      <c r="A986" s="2">
        <v>985</v>
      </c>
      <c r="B986" s="2" t="s">
        <v>759</v>
      </c>
      <c r="C986" s="2" t="s">
        <v>989</v>
      </c>
      <c r="D986" s="2" t="s">
        <v>990</v>
      </c>
      <c r="E986" s="4">
        <v>13000</v>
      </c>
    </row>
    <row r="987" spans="1:5" x14ac:dyDescent="0.3">
      <c r="A987" s="2">
        <v>986</v>
      </c>
      <c r="B987" s="2" t="s">
        <v>759</v>
      </c>
      <c r="C987" s="2" t="s">
        <v>991</v>
      </c>
      <c r="D987" s="2" t="s">
        <v>992</v>
      </c>
      <c r="E987" s="4">
        <v>11000</v>
      </c>
    </row>
    <row r="988" spans="1:5" x14ac:dyDescent="0.3">
      <c r="A988" s="2">
        <v>987</v>
      </c>
      <c r="B988" s="2" t="s">
        <v>759</v>
      </c>
      <c r="C988" s="2" t="s">
        <v>964</v>
      </c>
      <c r="D988" s="2" t="s">
        <v>1027</v>
      </c>
      <c r="E988" s="4">
        <v>1500</v>
      </c>
    </row>
    <row r="989" spans="1:5" x14ac:dyDescent="0.3">
      <c r="A989" s="2">
        <v>988</v>
      </c>
      <c r="B989" s="2" t="s">
        <v>764</v>
      </c>
      <c r="C989" s="2" t="s">
        <v>1040</v>
      </c>
      <c r="D989" s="2" t="s">
        <v>1041</v>
      </c>
      <c r="E989" s="4">
        <v>4500</v>
      </c>
    </row>
    <row r="990" spans="1:5" x14ac:dyDescent="0.3">
      <c r="A990" s="2">
        <v>989</v>
      </c>
      <c r="B990" s="2" t="s">
        <v>764</v>
      </c>
      <c r="C990" s="2" t="s">
        <v>1042</v>
      </c>
      <c r="D990" s="2" t="s">
        <v>1043</v>
      </c>
      <c r="E990" s="4">
        <v>3000</v>
      </c>
    </row>
    <row r="991" spans="1:5" x14ac:dyDescent="0.3">
      <c r="A991" s="2">
        <v>990</v>
      </c>
      <c r="B991" s="2" t="s">
        <v>764</v>
      </c>
      <c r="C991" s="2" t="s">
        <v>1044</v>
      </c>
      <c r="D991" s="2" t="s">
        <v>1045</v>
      </c>
      <c r="E991" s="4">
        <v>2000</v>
      </c>
    </row>
    <row r="992" spans="1:5" x14ac:dyDescent="0.3">
      <c r="A992" s="2">
        <v>991</v>
      </c>
      <c r="B992" s="2" t="s">
        <v>764</v>
      </c>
      <c r="C992" s="2" t="s">
        <v>1059</v>
      </c>
      <c r="D992" s="2" t="s">
        <v>1060</v>
      </c>
      <c r="E992" s="2">
        <v>500</v>
      </c>
    </row>
    <row r="993" spans="1:5" x14ac:dyDescent="0.3">
      <c r="A993" s="2">
        <v>992</v>
      </c>
      <c r="B993" s="2" t="s">
        <v>764</v>
      </c>
      <c r="C993" s="2" t="s">
        <v>1046</v>
      </c>
      <c r="D993" s="2" t="s">
        <v>1047</v>
      </c>
      <c r="E993" s="2">
        <v>700</v>
      </c>
    </row>
    <row r="994" spans="1:5" x14ac:dyDescent="0.3">
      <c r="A994" s="2">
        <v>993</v>
      </c>
      <c r="B994" s="2" t="s">
        <v>764</v>
      </c>
      <c r="C994" s="2" t="s">
        <v>1048</v>
      </c>
      <c r="D994" s="2" t="s">
        <v>1049</v>
      </c>
      <c r="E994" s="2">
        <v>700</v>
      </c>
    </row>
    <row r="995" spans="1:5" x14ac:dyDescent="0.3">
      <c r="A995" s="2">
        <v>994</v>
      </c>
      <c r="B995" s="2" t="s">
        <v>764</v>
      </c>
      <c r="C995" s="2" t="s">
        <v>1061</v>
      </c>
      <c r="D995" s="2" t="s">
        <v>1062</v>
      </c>
      <c r="E995" s="4">
        <v>2500</v>
      </c>
    </row>
    <row r="996" spans="1:5" x14ac:dyDescent="0.3">
      <c r="A996" s="2">
        <v>995</v>
      </c>
      <c r="B996" s="2" t="s">
        <v>764</v>
      </c>
      <c r="C996" s="2" t="s">
        <v>1063</v>
      </c>
      <c r="D996" s="2" t="s">
        <v>1064</v>
      </c>
      <c r="E996" s="4">
        <v>3500</v>
      </c>
    </row>
    <row r="997" spans="1:5" x14ac:dyDescent="0.3">
      <c r="A997" s="2">
        <v>996</v>
      </c>
      <c r="B997" s="2" t="s">
        <v>769</v>
      </c>
      <c r="C997" s="2" t="s">
        <v>946</v>
      </c>
      <c r="D997" s="2" t="s">
        <v>1098</v>
      </c>
      <c r="E997" s="4">
        <v>15000</v>
      </c>
    </row>
    <row r="998" spans="1:5" x14ac:dyDescent="0.3">
      <c r="A998" s="2">
        <v>997</v>
      </c>
      <c r="B998" s="2" t="s">
        <v>769</v>
      </c>
      <c r="C998" s="2" t="s">
        <v>948</v>
      </c>
      <c r="D998" s="2" t="s">
        <v>949</v>
      </c>
      <c r="E998" s="4">
        <v>5000</v>
      </c>
    </row>
    <row r="999" spans="1:5" x14ac:dyDescent="0.3">
      <c r="A999" s="2">
        <v>998</v>
      </c>
      <c r="B999" s="2" t="s">
        <v>769</v>
      </c>
      <c r="C999" s="2" t="s">
        <v>950</v>
      </c>
      <c r="D999" s="2" t="s">
        <v>1074</v>
      </c>
      <c r="E999" s="4">
        <v>4000</v>
      </c>
    </row>
    <row r="1000" spans="1:5" x14ac:dyDescent="0.3">
      <c r="A1000" s="2">
        <v>999</v>
      </c>
      <c r="B1000" s="2" t="s">
        <v>769</v>
      </c>
      <c r="C1000" s="2" t="s">
        <v>952</v>
      </c>
      <c r="D1000" s="2" t="s">
        <v>953</v>
      </c>
      <c r="E1000" s="4">
        <v>17000</v>
      </c>
    </row>
    <row r="1001" spans="1:5" x14ac:dyDescent="0.3">
      <c r="A1001" s="2">
        <v>1000</v>
      </c>
      <c r="B1001" s="2" t="s">
        <v>769</v>
      </c>
      <c r="C1001" s="2" t="s">
        <v>954</v>
      </c>
      <c r="D1001" s="2" t="s">
        <v>955</v>
      </c>
      <c r="E1001" s="4">
        <v>11000</v>
      </c>
    </row>
    <row r="1002" spans="1:5" x14ac:dyDescent="0.3">
      <c r="A1002" s="2">
        <v>1001</v>
      </c>
      <c r="B1002" s="2" t="s">
        <v>769</v>
      </c>
      <c r="C1002" s="2" t="s">
        <v>956</v>
      </c>
      <c r="D1002" s="2" t="s">
        <v>1075</v>
      </c>
      <c r="E1002" s="4">
        <v>6000</v>
      </c>
    </row>
    <row r="1003" spans="1:5" x14ac:dyDescent="0.3">
      <c r="A1003" s="2">
        <v>1002</v>
      </c>
      <c r="B1003" s="2" t="s">
        <v>769</v>
      </c>
      <c r="C1003" s="2" t="s">
        <v>958</v>
      </c>
      <c r="D1003" s="2" t="s">
        <v>959</v>
      </c>
      <c r="E1003" s="4">
        <v>4500</v>
      </c>
    </row>
    <row r="1004" spans="1:5" x14ac:dyDescent="0.3">
      <c r="A1004" s="2">
        <v>1003</v>
      </c>
      <c r="B1004" s="2" t="s">
        <v>769</v>
      </c>
      <c r="C1004" s="2" t="s">
        <v>960</v>
      </c>
      <c r="D1004" s="2" t="s">
        <v>961</v>
      </c>
      <c r="E1004" s="4">
        <v>8500</v>
      </c>
    </row>
    <row r="1005" spans="1:5" x14ac:dyDescent="0.3">
      <c r="A1005" s="2">
        <v>1004</v>
      </c>
      <c r="B1005" s="2" t="s">
        <v>769</v>
      </c>
      <c r="C1005" s="2" t="s">
        <v>962</v>
      </c>
      <c r="D1005" s="2" t="s">
        <v>963</v>
      </c>
      <c r="E1005" s="4">
        <v>2000</v>
      </c>
    </row>
    <row r="1006" spans="1:5" x14ac:dyDescent="0.3">
      <c r="A1006" s="2">
        <v>1005</v>
      </c>
      <c r="B1006" s="2" t="s">
        <v>774</v>
      </c>
      <c r="C1006" s="2" t="s">
        <v>1028</v>
      </c>
      <c r="D1006" s="2" t="s">
        <v>1029</v>
      </c>
      <c r="E1006" s="4">
        <v>4000</v>
      </c>
    </row>
    <row r="1007" spans="1:5" x14ac:dyDescent="0.3">
      <c r="A1007" s="2">
        <v>1006</v>
      </c>
      <c r="B1007" s="2" t="s">
        <v>774</v>
      </c>
      <c r="C1007" s="2" t="s">
        <v>1030</v>
      </c>
      <c r="D1007" s="2" t="s">
        <v>1031</v>
      </c>
      <c r="E1007" s="4">
        <v>5000</v>
      </c>
    </row>
    <row r="1008" spans="1:5" x14ac:dyDescent="0.3">
      <c r="A1008" s="2">
        <v>1007</v>
      </c>
      <c r="B1008" s="2" t="s">
        <v>774</v>
      </c>
      <c r="C1008" s="2" t="s">
        <v>1032</v>
      </c>
      <c r="D1008" s="2" t="s">
        <v>1033</v>
      </c>
      <c r="E1008" s="4">
        <v>5000</v>
      </c>
    </row>
    <row r="1009" spans="1:5" x14ac:dyDescent="0.3">
      <c r="A1009" s="2">
        <v>1008</v>
      </c>
      <c r="B1009" s="2" t="s">
        <v>774</v>
      </c>
      <c r="C1009" s="2" t="s">
        <v>1034</v>
      </c>
      <c r="D1009" s="2" t="s">
        <v>1035</v>
      </c>
      <c r="E1009" s="4">
        <v>6000</v>
      </c>
    </row>
    <row r="1010" spans="1:5" x14ac:dyDescent="0.3">
      <c r="A1010" s="2">
        <v>1009</v>
      </c>
      <c r="B1010" s="2" t="s">
        <v>774</v>
      </c>
      <c r="C1010" s="2" t="s">
        <v>1036</v>
      </c>
      <c r="D1010" s="2" t="s">
        <v>1037</v>
      </c>
      <c r="E1010" s="4">
        <v>5000</v>
      </c>
    </row>
    <row r="1011" spans="1:5" x14ac:dyDescent="0.3">
      <c r="A1011" s="2">
        <v>1010</v>
      </c>
      <c r="B1011" s="2" t="s">
        <v>774</v>
      </c>
      <c r="C1011" s="2" t="s">
        <v>1038</v>
      </c>
      <c r="D1011" s="2" t="s">
        <v>1039</v>
      </c>
      <c r="E1011" s="4">
        <v>2000</v>
      </c>
    </row>
    <row r="1012" spans="1:5" x14ac:dyDescent="0.3">
      <c r="A1012" s="2">
        <v>1011</v>
      </c>
      <c r="B1012" s="2" t="s">
        <v>774</v>
      </c>
      <c r="C1012" s="2" t="s">
        <v>1065</v>
      </c>
      <c r="D1012" s="2" t="s">
        <v>1066</v>
      </c>
      <c r="E1012" s="4">
        <v>4000</v>
      </c>
    </row>
    <row r="1013" spans="1:5" x14ac:dyDescent="0.3">
      <c r="A1013" s="2">
        <v>1012</v>
      </c>
      <c r="B1013" s="2" t="s">
        <v>774</v>
      </c>
      <c r="C1013" s="2" t="s">
        <v>1067</v>
      </c>
      <c r="D1013" s="2" t="s">
        <v>1068</v>
      </c>
      <c r="E1013" s="4">
        <v>6500</v>
      </c>
    </row>
    <row r="1014" spans="1:5" x14ac:dyDescent="0.3">
      <c r="A1014" s="2">
        <v>1013</v>
      </c>
      <c r="B1014" s="2" t="s">
        <v>774</v>
      </c>
      <c r="C1014" s="2" t="s">
        <v>1069</v>
      </c>
      <c r="D1014" s="2" t="s">
        <v>1070</v>
      </c>
      <c r="E1014" s="4">
        <v>8000</v>
      </c>
    </row>
    <row r="1015" spans="1:5" x14ac:dyDescent="0.3">
      <c r="A1015" s="2">
        <v>1014</v>
      </c>
      <c r="B1015" s="2" t="s">
        <v>779</v>
      </c>
      <c r="C1015" s="2" t="s">
        <v>1028</v>
      </c>
      <c r="D1015" s="2" t="s">
        <v>1029</v>
      </c>
      <c r="E1015" s="4">
        <v>4000</v>
      </c>
    </row>
    <row r="1016" spans="1:5" x14ac:dyDescent="0.3">
      <c r="A1016" s="2">
        <v>1015</v>
      </c>
      <c r="B1016" s="2" t="s">
        <v>779</v>
      </c>
      <c r="C1016" s="2" t="s">
        <v>1030</v>
      </c>
      <c r="D1016" s="2" t="s">
        <v>1031</v>
      </c>
      <c r="E1016" s="4">
        <v>5000</v>
      </c>
    </row>
    <row r="1017" spans="1:5" x14ac:dyDescent="0.3">
      <c r="A1017" s="2">
        <v>1016</v>
      </c>
      <c r="B1017" s="2" t="s">
        <v>779</v>
      </c>
      <c r="C1017" s="2" t="s">
        <v>1032</v>
      </c>
      <c r="D1017" s="2" t="s">
        <v>1033</v>
      </c>
      <c r="E1017" s="4">
        <v>5000</v>
      </c>
    </row>
    <row r="1018" spans="1:5" x14ac:dyDescent="0.3">
      <c r="A1018" s="2">
        <v>1017</v>
      </c>
      <c r="B1018" s="2" t="s">
        <v>779</v>
      </c>
      <c r="C1018" s="2" t="s">
        <v>1034</v>
      </c>
      <c r="D1018" s="2" t="s">
        <v>1035</v>
      </c>
      <c r="E1018" s="4">
        <v>6000</v>
      </c>
    </row>
    <row r="1019" spans="1:5" x14ac:dyDescent="0.3">
      <c r="A1019" s="2">
        <v>1018</v>
      </c>
      <c r="B1019" s="2" t="s">
        <v>779</v>
      </c>
      <c r="C1019" s="2" t="s">
        <v>1036</v>
      </c>
      <c r="D1019" s="2" t="s">
        <v>1037</v>
      </c>
      <c r="E1019" s="4">
        <v>5000</v>
      </c>
    </row>
    <row r="1020" spans="1:5" x14ac:dyDescent="0.3">
      <c r="A1020" s="2">
        <v>1019</v>
      </c>
      <c r="B1020" s="2" t="s">
        <v>779</v>
      </c>
      <c r="C1020" s="2" t="s">
        <v>1038</v>
      </c>
      <c r="D1020" s="2" t="s">
        <v>1039</v>
      </c>
      <c r="E1020" s="4">
        <v>2000</v>
      </c>
    </row>
    <row r="1021" spans="1:5" x14ac:dyDescent="0.3">
      <c r="A1021" s="2">
        <v>1020</v>
      </c>
      <c r="B1021" s="2" t="s">
        <v>779</v>
      </c>
      <c r="C1021" s="2" t="s">
        <v>1065</v>
      </c>
      <c r="D1021" s="2" t="s">
        <v>1066</v>
      </c>
      <c r="E1021" s="4">
        <v>4000</v>
      </c>
    </row>
    <row r="1022" spans="1:5" x14ac:dyDescent="0.3">
      <c r="A1022" s="2">
        <v>1021</v>
      </c>
      <c r="B1022" s="2" t="s">
        <v>779</v>
      </c>
      <c r="C1022" s="2" t="s">
        <v>1067</v>
      </c>
      <c r="D1022" s="2" t="s">
        <v>1068</v>
      </c>
      <c r="E1022" s="4">
        <v>6500</v>
      </c>
    </row>
    <row r="1023" spans="1:5" x14ac:dyDescent="0.3">
      <c r="A1023" s="2">
        <v>1022</v>
      </c>
      <c r="B1023" s="2" t="s">
        <v>779</v>
      </c>
      <c r="C1023" s="2" t="s">
        <v>1069</v>
      </c>
      <c r="D1023" s="2" t="s">
        <v>1070</v>
      </c>
      <c r="E1023" s="4">
        <v>8000</v>
      </c>
    </row>
    <row r="1024" spans="1:5" x14ac:dyDescent="0.3">
      <c r="A1024" s="2">
        <v>1023</v>
      </c>
      <c r="B1024" s="2" t="s">
        <v>784</v>
      </c>
      <c r="C1024" s="2" t="s">
        <v>993</v>
      </c>
      <c r="D1024" s="2" t="s">
        <v>994</v>
      </c>
      <c r="E1024" s="4">
        <v>5000</v>
      </c>
    </row>
    <row r="1025" spans="1:5" x14ac:dyDescent="0.3">
      <c r="A1025" s="2">
        <v>1024</v>
      </c>
      <c r="B1025" s="2" t="s">
        <v>784</v>
      </c>
      <c r="C1025" s="2" t="s">
        <v>995</v>
      </c>
      <c r="D1025" s="2" t="s">
        <v>996</v>
      </c>
      <c r="E1025" s="4">
        <v>6000</v>
      </c>
    </row>
    <row r="1026" spans="1:5" x14ac:dyDescent="0.3">
      <c r="A1026" s="2">
        <v>1025</v>
      </c>
      <c r="B1026" s="2" t="s">
        <v>784</v>
      </c>
      <c r="C1026" s="2" t="s">
        <v>997</v>
      </c>
      <c r="D1026" s="2" t="s">
        <v>998</v>
      </c>
      <c r="E1026" s="4">
        <v>5500</v>
      </c>
    </row>
    <row r="1027" spans="1:5" x14ac:dyDescent="0.3">
      <c r="A1027" s="2">
        <v>1026</v>
      </c>
      <c r="B1027" s="2" t="s">
        <v>784</v>
      </c>
      <c r="C1027" s="2" t="s">
        <v>999</v>
      </c>
      <c r="D1027" s="2" t="s">
        <v>1000</v>
      </c>
      <c r="E1027" s="4">
        <v>6000</v>
      </c>
    </row>
    <row r="1028" spans="1:5" x14ac:dyDescent="0.3">
      <c r="A1028" s="2">
        <v>1027</v>
      </c>
      <c r="B1028" s="2" t="s">
        <v>784</v>
      </c>
      <c r="C1028" s="2" t="s">
        <v>1001</v>
      </c>
      <c r="D1028" s="2" t="s">
        <v>1002</v>
      </c>
      <c r="E1028" s="4">
        <v>4500</v>
      </c>
    </row>
    <row r="1029" spans="1:5" x14ac:dyDescent="0.3">
      <c r="A1029" s="2">
        <v>1028</v>
      </c>
      <c r="B1029" s="2" t="s">
        <v>784</v>
      </c>
      <c r="C1029" s="2" t="s">
        <v>1003</v>
      </c>
      <c r="D1029" s="2" t="s">
        <v>1004</v>
      </c>
      <c r="E1029" s="4">
        <v>4000</v>
      </c>
    </row>
    <row r="1030" spans="1:5" x14ac:dyDescent="0.3">
      <c r="A1030" s="2">
        <v>1029</v>
      </c>
      <c r="B1030" s="2" t="s">
        <v>784</v>
      </c>
      <c r="C1030" s="2" t="s">
        <v>1005</v>
      </c>
      <c r="D1030" s="2" t="s">
        <v>1006</v>
      </c>
      <c r="E1030" s="4">
        <v>3000</v>
      </c>
    </row>
    <row r="1031" spans="1:5" x14ac:dyDescent="0.3">
      <c r="A1031" s="2">
        <v>1030</v>
      </c>
      <c r="B1031" s="2" t="s">
        <v>784</v>
      </c>
      <c r="C1031" s="2" t="s">
        <v>1007</v>
      </c>
      <c r="D1031" s="2" t="s">
        <v>1008</v>
      </c>
      <c r="E1031" s="4">
        <v>2500</v>
      </c>
    </row>
    <row r="1032" spans="1:5" x14ac:dyDescent="0.3">
      <c r="A1032" s="2">
        <v>1031</v>
      </c>
      <c r="B1032" s="2" t="s">
        <v>784</v>
      </c>
      <c r="C1032" s="2" t="s">
        <v>1009</v>
      </c>
      <c r="D1032" s="2" t="s">
        <v>1010</v>
      </c>
      <c r="E1032" s="4">
        <v>8000</v>
      </c>
    </row>
    <row r="1033" spans="1:5" x14ac:dyDescent="0.3">
      <c r="A1033" s="2">
        <v>1032</v>
      </c>
      <c r="B1033" s="2" t="s">
        <v>784</v>
      </c>
      <c r="C1033" s="2" t="s">
        <v>1057</v>
      </c>
      <c r="D1033" s="2" t="s">
        <v>1058</v>
      </c>
      <c r="E1033" s="4">
        <v>9000</v>
      </c>
    </row>
    <row r="1034" spans="1:5" x14ac:dyDescent="0.3">
      <c r="A1034" s="2">
        <v>1033</v>
      </c>
      <c r="B1034" s="2" t="s">
        <v>784</v>
      </c>
      <c r="C1034" s="2" t="s">
        <v>1011</v>
      </c>
      <c r="D1034" s="2" t="s">
        <v>1012</v>
      </c>
      <c r="E1034" s="4">
        <v>8000</v>
      </c>
    </row>
    <row r="1035" spans="1:5" x14ac:dyDescent="0.3">
      <c r="A1035" s="2">
        <v>1034</v>
      </c>
      <c r="B1035" s="2" t="s">
        <v>784</v>
      </c>
      <c r="C1035" s="2" t="s">
        <v>1013</v>
      </c>
      <c r="D1035" s="2" t="s">
        <v>1014</v>
      </c>
      <c r="E1035" s="4">
        <v>6000</v>
      </c>
    </row>
    <row r="1036" spans="1:5" x14ac:dyDescent="0.3">
      <c r="A1036" s="2">
        <v>1035</v>
      </c>
      <c r="B1036" s="2" t="s">
        <v>789</v>
      </c>
      <c r="C1036" s="2" t="s">
        <v>946</v>
      </c>
      <c r="D1036" s="2" t="s">
        <v>1098</v>
      </c>
      <c r="E1036" s="4">
        <v>15000</v>
      </c>
    </row>
    <row r="1037" spans="1:5" x14ac:dyDescent="0.3">
      <c r="A1037" s="2">
        <v>1036</v>
      </c>
      <c r="B1037" s="2" t="s">
        <v>789</v>
      </c>
      <c r="C1037" s="2" t="s">
        <v>948</v>
      </c>
      <c r="D1037" s="2" t="s">
        <v>949</v>
      </c>
      <c r="E1037" s="4">
        <v>5000</v>
      </c>
    </row>
    <row r="1038" spans="1:5" x14ac:dyDescent="0.3">
      <c r="A1038" s="2">
        <v>1037</v>
      </c>
      <c r="B1038" s="2" t="s">
        <v>789</v>
      </c>
      <c r="C1038" s="2" t="s">
        <v>950</v>
      </c>
      <c r="D1038" s="2" t="s">
        <v>1074</v>
      </c>
      <c r="E1038" s="4">
        <v>4000</v>
      </c>
    </row>
    <row r="1039" spans="1:5" x14ac:dyDescent="0.3">
      <c r="A1039" s="2">
        <v>1038</v>
      </c>
      <c r="B1039" s="2" t="s">
        <v>789</v>
      </c>
      <c r="C1039" s="2" t="s">
        <v>952</v>
      </c>
      <c r="D1039" s="2" t="s">
        <v>953</v>
      </c>
      <c r="E1039" s="4">
        <v>17000</v>
      </c>
    </row>
    <row r="1040" spans="1:5" x14ac:dyDescent="0.3">
      <c r="A1040" s="2">
        <v>1039</v>
      </c>
      <c r="B1040" s="2" t="s">
        <v>789</v>
      </c>
      <c r="C1040" s="2" t="s">
        <v>954</v>
      </c>
      <c r="D1040" s="2" t="s">
        <v>955</v>
      </c>
      <c r="E1040" s="4">
        <v>11000</v>
      </c>
    </row>
    <row r="1041" spans="1:5" x14ac:dyDescent="0.3">
      <c r="A1041" s="2">
        <v>1040</v>
      </c>
      <c r="B1041" s="2" t="s">
        <v>789</v>
      </c>
      <c r="C1041" s="2" t="s">
        <v>956</v>
      </c>
      <c r="D1041" s="2" t="s">
        <v>1075</v>
      </c>
      <c r="E1041" s="4">
        <v>6000</v>
      </c>
    </row>
    <row r="1042" spans="1:5" x14ac:dyDescent="0.3">
      <c r="A1042" s="2">
        <v>1041</v>
      </c>
      <c r="B1042" s="2" t="s">
        <v>789</v>
      </c>
      <c r="C1042" s="2" t="s">
        <v>958</v>
      </c>
      <c r="D1042" s="2" t="s">
        <v>959</v>
      </c>
      <c r="E1042" s="4">
        <v>4500</v>
      </c>
    </row>
    <row r="1043" spans="1:5" x14ac:dyDescent="0.3">
      <c r="A1043" s="2">
        <v>1042</v>
      </c>
      <c r="B1043" s="2" t="s">
        <v>789</v>
      </c>
      <c r="C1043" s="2" t="s">
        <v>960</v>
      </c>
      <c r="D1043" s="2" t="s">
        <v>961</v>
      </c>
      <c r="E1043" s="4">
        <v>8500</v>
      </c>
    </row>
    <row r="1044" spans="1:5" x14ac:dyDescent="0.3">
      <c r="A1044" s="2">
        <v>1043</v>
      </c>
      <c r="B1044" s="2" t="s">
        <v>789</v>
      </c>
      <c r="C1044" s="2" t="s">
        <v>962</v>
      </c>
      <c r="D1044" s="2" t="s">
        <v>963</v>
      </c>
      <c r="E1044" s="4">
        <v>2000</v>
      </c>
    </row>
    <row r="1045" spans="1:5" x14ac:dyDescent="0.3">
      <c r="A1045" s="2">
        <v>1044</v>
      </c>
      <c r="B1045" s="2" t="s">
        <v>794</v>
      </c>
      <c r="C1045" s="2" t="s">
        <v>993</v>
      </c>
      <c r="D1045" s="2" t="s">
        <v>994</v>
      </c>
      <c r="E1045" s="4">
        <v>5000</v>
      </c>
    </row>
    <row r="1046" spans="1:5" x14ac:dyDescent="0.3">
      <c r="A1046" s="2">
        <v>1045</v>
      </c>
      <c r="B1046" s="2" t="s">
        <v>794</v>
      </c>
      <c r="C1046" s="2" t="s">
        <v>995</v>
      </c>
      <c r="D1046" s="2" t="s">
        <v>996</v>
      </c>
      <c r="E1046" s="4">
        <v>6000</v>
      </c>
    </row>
    <row r="1047" spans="1:5" x14ac:dyDescent="0.3">
      <c r="A1047" s="2">
        <v>1046</v>
      </c>
      <c r="B1047" s="2" t="s">
        <v>794</v>
      </c>
      <c r="C1047" s="2" t="s">
        <v>997</v>
      </c>
      <c r="D1047" s="2" t="s">
        <v>998</v>
      </c>
      <c r="E1047" s="4">
        <v>5500</v>
      </c>
    </row>
    <row r="1048" spans="1:5" x14ac:dyDescent="0.3">
      <c r="A1048" s="2">
        <v>1047</v>
      </c>
      <c r="B1048" s="2" t="s">
        <v>794</v>
      </c>
      <c r="C1048" s="2" t="s">
        <v>999</v>
      </c>
      <c r="D1048" s="2" t="s">
        <v>1000</v>
      </c>
      <c r="E1048" s="4">
        <v>6000</v>
      </c>
    </row>
    <row r="1049" spans="1:5" x14ac:dyDescent="0.3">
      <c r="A1049" s="2">
        <v>1048</v>
      </c>
      <c r="B1049" s="2" t="s">
        <v>794</v>
      </c>
      <c r="C1049" s="2" t="s">
        <v>1001</v>
      </c>
      <c r="D1049" s="2" t="s">
        <v>1002</v>
      </c>
      <c r="E1049" s="4">
        <v>4500</v>
      </c>
    </row>
    <row r="1050" spans="1:5" x14ac:dyDescent="0.3">
      <c r="A1050" s="2">
        <v>1049</v>
      </c>
      <c r="B1050" s="2" t="s">
        <v>794</v>
      </c>
      <c r="C1050" s="2" t="s">
        <v>1003</v>
      </c>
      <c r="D1050" s="2" t="s">
        <v>1004</v>
      </c>
      <c r="E1050" s="4">
        <v>4000</v>
      </c>
    </row>
    <row r="1051" spans="1:5" x14ac:dyDescent="0.3">
      <c r="A1051" s="2">
        <v>1050</v>
      </c>
      <c r="B1051" s="2" t="s">
        <v>794</v>
      </c>
      <c r="C1051" s="2" t="s">
        <v>1005</v>
      </c>
      <c r="D1051" s="2" t="s">
        <v>1006</v>
      </c>
      <c r="E1051" s="4">
        <v>3000</v>
      </c>
    </row>
    <row r="1052" spans="1:5" x14ac:dyDescent="0.3">
      <c r="A1052" s="2">
        <v>1051</v>
      </c>
      <c r="B1052" s="2" t="s">
        <v>794</v>
      </c>
      <c r="C1052" s="2" t="s">
        <v>1007</v>
      </c>
      <c r="D1052" s="2" t="s">
        <v>1008</v>
      </c>
      <c r="E1052" s="4">
        <v>2500</v>
      </c>
    </row>
    <row r="1053" spans="1:5" x14ac:dyDescent="0.3">
      <c r="A1053" s="2">
        <v>1052</v>
      </c>
      <c r="B1053" s="2" t="s">
        <v>794</v>
      </c>
      <c r="C1053" s="2" t="s">
        <v>1009</v>
      </c>
      <c r="D1053" s="2" t="s">
        <v>1010</v>
      </c>
      <c r="E1053" s="4">
        <v>8000</v>
      </c>
    </row>
    <row r="1054" spans="1:5" x14ac:dyDescent="0.3">
      <c r="A1054" s="2">
        <v>1053</v>
      </c>
      <c r="B1054" s="2" t="s">
        <v>794</v>
      </c>
      <c r="C1054" s="2" t="s">
        <v>1057</v>
      </c>
      <c r="D1054" s="2" t="s">
        <v>1058</v>
      </c>
      <c r="E1054" s="4">
        <v>9000</v>
      </c>
    </row>
    <row r="1055" spans="1:5" x14ac:dyDescent="0.3">
      <c r="A1055" s="2">
        <v>1054</v>
      </c>
      <c r="B1055" s="2" t="s">
        <v>794</v>
      </c>
      <c r="C1055" s="2" t="s">
        <v>1011</v>
      </c>
      <c r="D1055" s="2" t="s">
        <v>1012</v>
      </c>
      <c r="E1055" s="4">
        <v>8000</v>
      </c>
    </row>
    <row r="1056" spans="1:5" x14ac:dyDescent="0.3">
      <c r="A1056" s="2">
        <v>1055</v>
      </c>
      <c r="B1056" s="2" t="s">
        <v>794</v>
      </c>
      <c r="C1056" s="2" t="s">
        <v>1013</v>
      </c>
      <c r="D1056" s="2" t="s">
        <v>1014</v>
      </c>
      <c r="E1056" s="4">
        <v>6000</v>
      </c>
    </row>
    <row r="1057" spans="1:5" x14ac:dyDescent="0.3">
      <c r="A1057" s="2">
        <v>1056</v>
      </c>
      <c r="B1057" s="2" t="s">
        <v>799</v>
      </c>
      <c r="C1057" s="2" t="s">
        <v>1040</v>
      </c>
      <c r="D1057" s="2" t="s">
        <v>1041</v>
      </c>
      <c r="E1057" s="4">
        <v>4500</v>
      </c>
    </row>
    <row r="1058" spans="1:5" x14ac:dyDescent="0.3">
      <c r="A1058" s="2">
        <v>1057</v>
      </c>
      <c r="B1058" s="2" t="s">
        <v>799</v>
      </c>
      <c r="C1058" s="2" t="s">
        <v>1042</v>
      </c>
      <c r="D1058" s="2" t="s">
        <v>1043</v>
      </c>
      <c r="E1058" s="4">
        <v>3000</v>
      </c>
    </row>
    <row r="1059" spans="1:5" x14ac:dyDescent="0.3">
      <c r="A1059" s="2">
        <v>1058</v>
      </c>
      <c r="B1059" s="2" t="s">
        <v>799</v>
      </c>
      <c r="C1059" s="2" t="s">
        <v>1044</v>
      </c>
      <c r="D1059" s="2" t="s">
        <v>1045</v>
      </c>
      <c r="E1059" s="4">
        <v>2000</v>
      </c>
    </row>
    <row r="1060" spans="1:5" x14ac:dyDescent="0.3">
      <c r="A1060" s="2">
        <v>1059</v>
      </c>
      <c r="B1060" s="2" t="s">
        <v>799</v>
      </c>
      <c r="C1060" s="2" t="s">
        <v>1059</v>
      </c>
      <c r="D1060" s="2" t="s">
        <v>1060</v>
      </c>
      <c r="E1060" s="2">
        <v>500</v>
      </c>
    </row>
    <row r="1061" spans="1:5" x14ac:dyDescent="0.3">
      <c r="A1061" s="2">
        <v>1060</v>
      </c>
      <c r="B1061" s="2" t="s">
        <v>799</v>
      </c>
      <c r="C1061" s="2" t="s">
        <v>1046</v>
      </c>
      <c r="D1061" s="2" t="s">
        <v>1047</v>
      </c>
      <c r="E1061" s="2">
        <v>700</v>
      </c>
    </row>
    <row r="1062" spans="1:5" x14ac:dyDescent="0.3">
      <c r="A1062" s="2">
        <v>1061</v>
      </c>
      <c r="B1062" s="2" t="s">
        <v>799</v>
      </c>
      <c r="C1062" s="2" t="s">
        <v>1048</v>
      </c>
      <c r="D1062" s="2" t="s">
        <v>1049</v>
      </c>
      <c r="E1062" s="2">
        <v>700</v>
      </c>
    </row>
    <row r="1063" spans="1:5" x14ac:dyDescent="0.3">
      <c r="A1063" s="2">
        <v>1062</v>
      </c>
      <c r="B1063" s="2" t="s">
        <v>799</v>
      </c>
      <c r="C1063" s="2" t="s">
        <v>1061</v>
      </c>
      <c r="D1063" s="2" t="s">
        <v>1062</v>
      </c>
      <c r="E1063" s="4">
        <v>2500</v>
      </c>
    </row>
    <row r="1064" spans="1:5" x14ac:dyDescent="0.3">
      <c r="A1064" s="2">
        <v>1063</v>
      </c>
      <c r="B1064" s="2" t="s">
        <v>799</v>
      </c>
      <c r="C1064" s="2" t="s">
        <v>1063</v>
      </c>
      <c r="D1064" s="2" t="s">
        <v>1064</v>
      </c>
      <c r="E1064" s="4">
        <v>3500</v>
      </c>
    </row>
    <row r="1065" spans="1:5" x14ac:dyDescent="0.3">
      <c r="A1065" s="2">
        <v>1064</v>
      </c>
      <c r="B1065" s="2" t="s">
        <v>804</v>
      </c>
      <c r="C1065" s="2" t="s">
        <v>946</v>
      </c>
      <c r="D1065" s="2" t="s">
        <v>1098</v>
      </c>
      <c r="E1065" s="4">
        <v>15000</v>
      </c>
    </row>
    <row r="1066" spans="1:5" x14ac:dyDescent="0.3">
      <c r="A1066" s="2">
        <v>1065</v>
      </c>
      <c r="B1066" s="2" t="s">
        <v>804</v>
      </c>
      <c r="C1066" s="2" t="s">
        <v>948</v>
      </c>
      <c r="D1066" s="2" t="s">
        <v>949</v>
      </c>
      <c r="E1066" s="4">
        <v>5000</v>
      </c>
    </row>
    <row r="1067" spans="1:5" x14ac:dyDescent="0.3">
      <c r="A1067" s="2">
        <v>1066</v>
      </c>
      <c r="B1067" s="2" t="s">
        <v>804</v>
      </c>
      <c r="C1067" s="2" t="s">
        <v>950</v>
      </c>
      <c r="D1067" s="2" t="s">
        <v>1074</v>
      </c>
      <c r="E1067" s="4">
        <v>4000</v>
      </c>
    </row>
    <row r="1068" spans="1:5" x14ac:dyDescent="0.3">
      <c r="A1068" s="2">
        <v>1067</v>
      </c>
      <c r="B1068" s="2" t="s">
        <v>804</v>
      </c>
      <c r="C1068" s="2" t="s">
        <v>952</v>
      </c>
      <c r="D1068" s="2" t="s">
        <v>953</v>
      </c>
      <c r="E1068" s="4">
        <v>17000</v>
      </c>
    </row>
    <row r="1069" spans="1:5" x14ac:dyDescent="0.3">
      <c r="A1069" s="2">
        <v>1068</v>
      </c>
      <c r="B1069" s="2" t="s">
        <v>804</v>
      </c>
      <c r="C1069" s="2" t="s">
        <v>954</v>
      </c>
      <c r="D1069" s="2" t="s">
        <v>955</v>
      </c>
      <c r="E1069" s="4">
        <v>11000</v>
      </c>
    </row>
    <row r="1070" spans="1:5" x14ac:dyDescent="0.3">
      <c r="A1070" s="2">
        <v>1069</v>
      </c>
      <c r="B1070" s="2" t="s">
        <v>804</v>
      </c>
      <c r="C1070" s="2" t="s">
        <v>956</v>
      </c>
      <c r="D1070" s="2" t="s">
        <v>1075</v>
      </c>
      <c r="E1070" s="4">
        <v>6000</v>
      </c>
    </row>
    <row r="1071" spans="1:5" x14ac:dyDescent="0.3">
      <c r="A1071" s="2">
        <v>1070</v>
      </c>
      <c r="B1071" s="2" t="s">
        <v>804</v>
      </c>
      <c r="C1071" s="2" t="s">
        <v>958</v>
      </c>
      <c r="D1071" s="2" t="s">
        <v>959</v>
      </c>
      <c r="E1071" s="4">
        <v>4500</v>
      </c>
    </row>
    <row r="1072" spans="1:5" x14ac:dyDescent="0.3">
      <c r="A1072" s="2">
        <v>1071</v>
      </c>
      <c r="B1072" s="2" t="s">
        <v>804</v>
      </c>
      <c r="C1072" s="2" t="s">
        <v>960</v>
      </c>
      <c r="D1072" s="2" t="s">
        <v>961</v>
      </c>
      <c r="E1072" s="4">
        <v>8500</v>
      </c>
    </row>
    <row r="1073" spans="1:5" x14ac:dyDescent="0.3">
      <c r="A1073" s="2">
        <v>1072</v>
      </c>
      <c r="B1073" s="2" t="s">
        <v>804</v>
      </c>
      <c r="C1073" s="2" t="s">
        <v>962</v>
      </c>
      <c r="D1073" s="2" t="s">
        <v>963</v>
      </c>
      <c r="E1073" s="4">
        <v>2000</v>
      </c>
    </row>
    <row r="1074" spans="1:5" x14ac:dyDescent="0.3">
      <c r="A1074" s="2">
        <v>1073</v>
      </c>
      <c r="B1074" s="2" t="s">
        <v>809</v>
      </c>
      <c r="C1074" s="2" t="s">
        <v>1040</v>
      </c>
      <c r="D1074" s="2" t="s">
        <v>1041</v>
      </c>
      <c r="E1074" s="4">
        <v>4500</v>
      </c>
    </row>
    <row r="1075" spans="1:5" x14ac:dyDescent="0.3">
      <c r="A1075" s="2">
        <v>1074</v>
      </c>
      <c r="B1075" s="2" t="s">
        <v>809</v>
      </c>
      <c r="C1075" s="2" t="s">
        <v>1042</v>
      </c>
      <c r="D1075" s="2" t="s">
        <v>1043</v>
      </c>
      <c r="E1075" s="4">
        <v>3000</v>
      </c>
    </row>
    <row r="1076" spans="1:5" x14ac:dyDescent="0.3">
      <c r="A1076" s="2">
        <v>1075</v>
      </c>
      <c r="B1076" s="2" t="s">
        <v>809</v>
      </c>
      <c r="C1076" s="2" t="s">
        <v>1044</v>
      </c>
      <c r="D1076" s="2" t="s">
        <v>1045</v>
      </c>
      <c r="E1076" s="4">
        <v>2000</v>
      </c>
    </row>
    <row r="1077" spans="1:5" x14ac:dyDescent="0.3">
      <c r="A1077" s="2">
        <v>1076</v>
      </c>
      <c r="B1077" s="2" t="s">
        <v>809</v>
      </c>
      <c r="C1077" s="2" t="s">
        <v>1059</v>
      </c>
      <c r="D1077" s="2" t="s">
        <v>1060</v>
      </c>
      <c r="E1077" s="2">
        <v>500</v>
      </c>
    </row>
    <row r="1078" spans="1:5" x14ac:dyDescent="0.3">
      <c r="A1078" s="2">
        <v>1077</v>
      </c>
      <c r="B1078" s="2" t="s">
        <v>809</v>
      </c>
      <c r="C1078" s="2" t="s">
        <v>1046</v>
      </c>
      <c r="D1078" s="2" t="s">
        <v>1047</v>
      </c>
      <c r="E1078" s="2">
        <v>700</v>
      </c>
    </row>
    <row r="1079" spans="1:5" x14ac:dyDescent="0.3">
      <c r="A1079" s="2">
        <v>1078</v>
      </c>
      <c r="B1079" s="2" t="s">
        <v>809</v>
      </c>
      <c r="C1079" s="2" t="s">
        <v>1048</v>
      </c>
      <c r="D1079" s="2" t="s">
        <v>1049</v>
      </c>
      <c r="E1079" s="2">
        <v>700</v>
      </c>
    </row>
    <row r="1080" spans="1:5" x14ac:dyDescent="0.3">
      <c r="A1080" s="2">
        <v>1079</v>
      </c>
      <c r="B1080" s="2" t="s">
        <v>809</v>
      </c>
      <c r="C1080" s="2" t="s">
        <v>1061</v>
      </c>
      <c r="D1080" s="2" t="s">
        <v>1062</v>
      </c>
      <c r="E1080" s="4">
        <v>2500</v>
      </c>
    </row>
    <row r="1081" spans="1:5" x14ac:dyDescent="0.3">
      <c r="A1081" s="2">
        <v>1080</v>
      </c>
      <c r="B1081" s="2" t="s">
        <v>809</v>
      </c>
      <c r="C1081" s="2" t="s">
        <v>1063</v>
      </c>
      <c r="D1081" s="2" t="s">
        <v>1064</v>
      </c>
      <c r="E1081" s="4">
        <v>3500</v>
      </c>
    </row>
    <row r="1082" spans="1:5" x14ac:dyDescent="0.3">
      <c r="A1082" s="2">
        <v>1081</v>
      </c>
      <c r="B1082" s="2" t="s">
        <v>814</v>
      </c>
      <c r="C1082" s="2" t="s">
        <v>1040</v>
      </c>
      <c r="D1082" s="2" t="s">
        <v>1041</v>
      </c>
      <c r="E1082" s="4">
        <v>4500</v>
      </c>
    </row>
    <row r="1083" spans="1:5" x14ac:dyDescent="0.3">
      <c r="A1083" s="2">
        <v>1082</v>
      </c>
      <c r="B1083" s="2" t="s">
        <v>814</v>
      </c>
      <c r="C1083" s="2" t="s">
        <v>1042</v>
      </c>
      <c r="D1083" s="2" t="s">
        <v>1043</v>
      </c>
      <c r="E1083" s="4">
        <v>3000</v>
      </c>
    </row>
    <row r="1084" spans="1:5" x14ac:dyDescent="0.3">
      <c r="A1084" s="2">
        <v>1083</v>
      </c>
      <c r="B1084" s="2" t="s">
        <v>814</v>
      </c>
      <c r="C1084" s="2" t="s">
        <v>1044</v>
      </c>
      <c r="D1084" s="2" t="s">
        <v>1045</v>
      </c>
      <c r="E1084" s="4">
        <v>2000</v>
      </c>
    </row>
    <row r="1085" spans="1:5" x14ac:dyDescent="0.3">
      <c r="A1085" s="2">
        <v>1084</v>
      </c>
      <c r="B1085" s="2" t="s">
        <v>814</v>
      </c>
      <c r="C1085" s="2" t="s">
        <v>1059</v>
      </c>
      <c r="D1085" s="2" t="s">
        <v>1060</v>
      </c>
      <c r="E1085" s="2">
        <v>500</v>
      </c>
    </row>
    <row r="1086" spans="1:5" x14ac:dyDescent="0.3">
      <c r="A1086" s="2">
        <v>1085</v>
      </c>
      <c r="B1086" s="2" t="s">
        <v>814</v>
      </c>
      <c r="C1086" s="2" t="s">
        <v>1046</v>
      </c>
      <c r="D1086" s="2" t="s">
        <v>1047</v>
      </c>
      <c r="E1086" s="2">
        <v>700</v>
      </c>
    </row>
    <row r="1087" spans="1:5" x14ac:dyDescent="0.3">
      <c r="A1087" s="2">
        <v>1086</v>
      </c>
      <c r="B1087" s="2" t="s">
        <v>814</v>
      </c>
      <c r="C1087" s="2" t="s">
        <v>1048</v>
      </c>
      <c r="D1087" s="2" t="s">
        <v>1049</v>
      </c>
      <c r="E1087" s="2">
        <v>700</v>
      </c>
    </row>
    <row r="1088" spans="1:5" x14ac:dyDescent="0.3">
      <c r="A1088" s="2">
        <v>1087</v>
      </c>
      <c r="B1088" s="2" t="s">
        <v>814</v>
      </c>
      <c r="C1088" s="2" t="s">
        <v>1061</v>
      </c>
      <c r="D1088" s="2" t="s">
        <v>1062</v>
      </c>
      <c r="E1088" s="4">
        <v>2500</v>
      </c>
    </row>
    <row r="1089" spans="1:5" x14ac:dyDescent="0.3">
      <c r="A1089" s="2">
        <v>1088</v>
      </c>
      <c r="B1089" s="2" t="s">
        <v>814</v>
      </c>
      <c r="C1089" s="2" t="s">
        <v>1063</v>
      </c>
      <c r="D1089" s="2" t="s">
        <v>1064</v>
      </c>
      <c r="E1089" s="4">
        <v>3500</v>
      </c>
    </row>
    <row r="1090" spans="1:5" x14ac:dyDescent="0.3">
      <c r="A1090" s="2">
        <v>1089</v>
      </c>
      <c r="B1090" s="2" t="s">
        <v>819</v>
      </c>
      <c r="C1090" s="2" t="s">
        <v>946</v>
      </c>
      <c r="D1090" s="2" t="s">
        <v>1098</v>
      </c>
      <c r="E1090" s="4">
        <v>15000</v>
      </c>
    </row>
    <row r="1091" spans="1:5" x14ac:dyDescent="0.3">
      <c r="A1091" s="2">
        <v>1090</v>
      </c>
      <c r="B1091" s="2" t="s">
        <v>819</v>
      </c>
      <c r="C1091" s="2" t="s">
        <v>948</v>
      </c>
      <c r="D1091" s="2" t="s">
        <v>949</v>
      </c>
      <c r="E1091" s="4">
        <v>5000</v>
      </c>
    </row>
    <row r="1092" spans="1:5" x14ac:dyDescent="0.3">
      <c r="A1092" s="2">
        <v>1091</v>
      </c>
      <c r="B1092" s="2" t="s">
        <v>819</v>
      </c>
      <c r="C1092" s="2" t="s">
        <v>950</v>
      </c>
      <c r="D1092" s="2" t="s">
        <v>1074</v>
      </c>
      <c r="E1092" s="4">
        <v>4000</v>
      </c>
    </row>
    <row r="1093" spans="1:5" x14ac:dyDescent="0.3">
      <c r="A1093" s="2">
        <v>1092</v>
      </c>
      <c r="B1093" s="2" t="s">
        <v>819</v>
      </c>
      <c r="C1093" s="2" t="s">
        <v>952</v>
      </c>
      <c r="D1093" s="2" t="s">
        <v>953</v>
      </c>
      <c r="E1093" s="4">
        <v>17000</v>
      </c>
    </row>
    <row r="1094" spans="1:5" x14ac:dyDescent="0.3">
      <c r="A1094" s="2">
        <v>1093</v>
      </c>
      <c r="B1094" s="2" t="s">
        <v>819</v>
      </c>
      <c r="C1094" s="2" t="s">
        <v>954</v>
      </c>
      <c r="D1094" s="2" t="s">
        <v>955</v>
      </c>
      <c r="E1094" s="4">
        <v>11000</v>
      </c>
    </row>
    <row r="1095" spans="1:5" x14ac:dyDescent="0.3">
      <c r="A1095" s="2">
        <v>1094</v>
      </c>
      <c r="B1095" s="2" t="s">
        <v>819</v>
      </c>
      <c r="C1095" s="2" t="s">
        <v>956</v>
      </c>
      <c r="D1095" s="2" t="s">
        <v>1075</v>
      </c>
      <c r="E1095" s="4">
        <v>6000</v>
      </c>
    </row>
    <row r="1096" spans="1:5" x14ac:dyDescent="0.3">
      <c r="A1096" s="2">
        <v>1095</v>
      </c>
      <c r="B1096" s="2" t="s">
        <v>819</v>
      </c>
      <c r="C1096" s="2" t="s">
        <v>958</v>
      </c>
      <c r="D1096" s="2" t="s">
        <v>959</v>
      </c>
      <c r="E1096" s="4">
        <v>4500</v>
      </c>
    </row>
    <row r="1097" spans="1:5" x14ac:dyDescent="0.3">
      <c r="A1097" s="2">
        <v>1096</v>
      </c>
      <c r="B1097" s="2" t="s">
        <v>819</v>
      </c>
      <c r="C1097" s="2" t="s">
        <v>960</v>
      </c>
      <c r="D1097" s="2" t="s">
        <v>961</v>
      </c>
      <c r="E1097" s="4">
        <v>8500</v>
      </c>
    </row>
    <row r="1098" spans="1:5" x14ac:dyDescent="0.3">
      <c r="A1098" s="2">
        <v>1097</v>
      </c>
      <c r="B1098" s="2" t="s">
        <v>819</v>
      </c>
      <c r="C1098" s="2" t="s">
        <v>962</v>
      </c>
      <c r="D1098" s="2" t="s">
        <v>963</v>
      </c>
      <c r="E1098" s="4">
        <v>2000</v>
      </c>
    </row>
    <row r="1099" spans="1:5" x14ac:dyDescent="0.3">
      <c r="A1099" s="2">
        <v>1098</v>
      </c>
      <c r="B1099" s="2" t="s">
        <v>824</v>
      </c>
      <c r="C1099" s="2" t="s">
        <v>946</v>
      </c>
      <c r="D1099" s="2" t="s">
        <v>1098</v>
      </c>
      <c r="E1099" s="4">
        <v>15000</v>
      </c>
    </row>
    <row r="1100" spans="1:5" x14ac:dyDescent="0.3">
      <c r="A1100" s="2">
        <v>1099</v>
      </c>
      <c r="B1100" s="2" t="s">
        <v>824</v>
      </c>
      <c r="C1100" s="2" t="s">
        <v>948</v>
      </c>
      <c r="D1100" s="2" t="s">
        <v>949</v>
      </c>
      <c r="E1100" s="4">
        <v>5000</v>
      </c>
    </row>
    <row r="1101" spans="1:5" x14ac:dyDescent="0.3">
      <c r="A1101" s="2">
        <v>1100</v>
      </c>
      <c r="B1101" s="2" t="s">
        <v>824</v>
      </c>
      <c r="C1101" s="2" t="s">
        <v>950</v>
      </c>
      <c r="D1101" s="2" t="s">
        <v>1074</v>
      </c>
      <c r="E1101" s="4">
        <v>4000</v>
      </c>
    </row>
    <row r="1102" spans="1:5" x14ac:dyDescent="0.3">
      <c r="A1102" s="2">
        <v>1101</v>
      </c>
      <c r="B1102" s="2" t="s">
        <v>824</v>
      </c>
      <c r="C1102" s="2" t="s">
        <v>952</v>
      </c>
      <c r="D1102" s="2" t="s">
        <v>953</v>
      </c>
      <c r="E1102" s="4">
        <v>17000</v>
      </c>
    </row>
    <row r="1103" spans="1:5" x14ac:dyDescent="0.3">
      <c r="A1103" s="2">
        <v>1102</v>
      </c>
      <c r="B1103" s="2" t="s">
        <v>824</v>
      </c>
      <c r="C1103" s="2" t="s">
        <v>954</v>
      </c>
      <c r="D1103" s="2" t="s">
        <v>955</v>
      </c>
      <c r="E1103" s="4">
        <v>11000</v>
      </c>
    </row>
    <row r="1104" spans="1:5" x14ac:dyDescent="0.3">
      <c r="A1104" s="2">
        <v>1103</v>
      </c>
      <c r="B1104" s="2" t="s">
        <v>824</v>
      </c>
      <c r="C1104" s="2" t="s">
        <v>956</v>
      </c>
      <c r="D1104" s="2" t="s">
        <v>1075</v>
      </c>
      <c r="E1104" s="4">
        <v>6000</v>
      </c>
    </row>
    <row r="1105" spans="1:5" x14ac:dyDescent="0.3">
      <c r="A1105" s="2">
        <v>1104</v>
      </c>
      <c r="B1105" s="2" t="s">
        <v>824</v>
      </c>
      <c r="C1105" s="2" t="s">
        <v>958</v>
      </c>
      <c r="D1105" s="2" t="s">
        <v>959</v>
      </c>
      <c r="E1105" s="4">
        <v>4500</v>
      </c>
    </row>
    <row r="1106" spans="1:5" x14ac:dyDescent="0.3">
      <c r="A1106" s="2">
        <v>1105</v>
      </c>
      <c r="B1106" s="2" t="s">
        <v>824</v>
      </c>
      <c r="C1106" s="2" t="s">
        <v>960</v>
      </c>
      <c r="D1106" s="2" t="s">
        <v>961</v>
      </c>
      <c r="E1106" s="4">
        <v>8500</v>
      </c>
    </row>
    <row r="1107" spans="1:5" x14ac:dyDescent="0.3">
      <c r="A1107" s="2">
        <v>1106</v>
      </c>
      <c r="B1107" s="2" t="s">
        <v>824</v>
      </c>
      <c r="C1107" s="2" t="s">
        <v>962</v>
      </c>
      <c r="D1107" s="2" t="s">
        <v>963</v>
      </c>
      <c r="E1107" s="4">
        <v>2000</v>
      </c>
    </row>
    <row r="1108" spans="1:5" x14ac:dyDescent="0.3">
      <c r="A1108" s="2">
        <v>1107</v>
      </c>
      <c r="B1108" s="2" t="s">
        <v>829</v>
      </c>
      <c r="C1108" s="2" t="s">
        <v>993</v>
      </c>
      <c r="D1108" s="2" t="s">
        <v>994</v>
      </c>
      <c r="E1108" s="4">
        <v>5000</v>
      </c>
    </row>
    <row r="1109" spans="1:5" x14ac:dyDescent="0.3">
      <c r="A1109" s="2">
        <v>1108</v>
      </c>
      <c r="B1109" s="2" t="s">
        <v>829</v>
      </c>
      <c r="C1109" s="2" t="s">
        <v>995</v>
      </c>
      <c r="D1109" s="2" t="s">
        <v>996</v>
      </c>
      <c r="E1109" s="4">
        <v>6000</v>
      </c>
    </row>
    <row r="1110" spans="1:5" x14ac:dyDescent="0.3">
      <c r="A1110" s="2">
        <v>1109</v>
      </c>
      <c r="B1110" s="2" t="s">
        <v>829</v>
      </c>
      <c r="C1110" s="2" t="s">
        <v>997</v>
      </c>
      <c r="D1110" s="2" t="s">
        <v>998</v>
      </c>
      <c r="E1110" s="4">
        <v>5500</v>
      </c>
    </row>
    <row r="1111" spans="1:5" x14ac:dyDescent="0.3">
      <c r="A1111" s="2">
        <v>1110</v>
      </c>
      <c r="B1111" s="2" t="s">
        <v>829</v>
      </c>
      <c r="C1111" s="2" t="s">
        <v>999</v>
      </c>
      <c r="D1111" s="2" t="s">
        <v>1000</v>
      </c>
      <c r="E1111" s="4">
        <v>6000</v>
      </c>
    </row>
    <row r="1112" spans="1:5" x14ac:dyDescent="0.3">
      <c r="A1112" s="2">
        <v>1111</v>
      </c>
      <c r="B1112" s="2" t="s">
        <v>829</v>
      </c>
      <c r="C1112" s="2" t="s">
        <v>1001</v>
      </c>
      <c r="D1112" s="2" t="s">
        <v>1002</v>
      </c>
      <c r="E1112" s="4">
        <v>4500</v>
      </c>
    </row>
    <row r="1113" spans="1:5" x14ac:dyDescent="0.3">
      <c r="A1113" s="2">
        <v>1112</v>
      </c>
      <c r="B1113" s="2" t="s">
        <v>829</v>
      </c>
      <c r="C1113" s="2" t="s">
        <v>1003</v>
      </c>
      <c r="D1113" s="2" t="s">
        <v>1004</v>
      </c>
      <c r="E1113" s="4">
        <v>4000</v>
      </c>
    </row>
    <row r="1114" spans="1:5" x14ac:dyDescent="0.3">
      <c r="A1114" s="2">
        <v>1113</v>
      </c>
      <c r="B1114" s="2" t="s">
        <v>829</v>
      </c>
      <c r="C1114" s="2" t="s">
        <v>1005</v>
      </c>
      <c r="D1114" s="2" t="s">
        <v>1006</v>
      </c>
      <c r="E1114" s="4">
        <v>3000</v>
      </c>
    </row>
    <row r="1115" spans="1:5" x14ac:dyDescent="0.3">
      <c r="A1115" s="2">
        <v>1114</v>
      </c>
      <c r="B1115" s="2" t="s">
        <v>829</v>
      </c>
      <c r="C1115" s="2" t="s">
        <v>1007</v>
      </c>
      <c r="D1115" s="2" t="s">
        <v>1008</v>
      </c>
      <c r="E1115" s="4">
        <v>2500</v>
      </c>
    </row>
    <row r="1116" spans="1:5" x14ac:dyDescent="0.3">
      <c r="A1116" s="2">
        <v>1115</v>
      </c>
      <c r="B1116" s="2" t="s">
        <v>829</v>
      </c>
      <c r="C1116" s="2" t="s">
        <v>1009</v>
      </c>
      <c r="D1116" s="2" t="s">
        <v>1010</v>
      </c>
      <c r="E1116" s="4">
        <v>8000</v>
      </c>
    </row>
    <row r="1117" spans="1:5" x14ac:dyDescent="0.3">
      <c r="A1117" s="2">
        <v>1116</v>
      </c>
      <c r="B1117" s="2" t="s">
        <v>829</v>
      </c>
      <c r="C1117" s="2" t="s">
        <v>1057</v>
      </c>
      <c r="D1117" s="2" t="s">
        <v>1058</v>
      </c>
      <c r="E1117" s="4">
        <v>9000</v>
      </c>
    </row>
    <row r="1118" spans="1:5" x14ac:dyDescent="0.3">
      <c r="A1118" s="2">
        <v>1117</v>
      </c>
      <c r="B1118" s="2" t="s">
        <v>829</v>
      </c>
      <c r="C1118" s="2" t="s">
        <v>1011</v>
      </c>
      <c r="D1118" s="2" t="s">
        <v>1012</v>
      </c>
      <c r="E1118" s="4">
        <v>8000</v>
      </c>
    </row>
    <row r="1119" spans="1:5" x14ac:dyDescent="0.3">
      <c r="A1119" s="2">
        <v>1118</v>
      </c>
      <c r="B1119" s="2" t="s">
        <v>829</v>
      </c>
      <c r="C1119" s="2" t="s">
        <v>1013</v>
      </c>
      <c r="D1119" s="2" t="s">
        <v>1014</v>
      </c>
      <c r="E1119" s="4">
        <v>6000</v>
      </c>
    </row>
    <row r="1120" spans="1:5" x14ac:dyDescent="0.3">
      <c r="A1120" s="2">
        <v>1119</v>
      </c>
      <c r="B1120" s="2" t="s">
        <v>834</v>
      </c>
      <c r="C1120" s="2" t="s">
        <v>1028</v>
      </c>
      <c r="D1120" s="2" t="s">
        <v>1029</v>
      </c>
      <c r="E1120" s="4">
        <v>4000</v>
      </c>
    </row>
    <row r="1121" spans="1:5" x14ac:dyDescent="0.3">
      <c r="A1121" s="2">
        <v>1120</v>
      </c>
      <c r="B1121" s="2" t="s">
        <v>834</v>
      </c>
      <c r="C1121" s="2" t="s">
        <v>1030</v>
      </c>
      <c r="D1121" s="2" t="s">
        <v>1031</v>
      </c>
      <c r="E1121" s="4">
        <v>5000</v>
      </c>
    </row>
    <row r="1122" spans="1:5" x14ac:dyDescent="0.3">
      <c r="A1122" s="2">
        <v>1121</v>
      </c>
      <c r="B1122" s="2" t="s">
        <v>834</v>
      </c>
      <c r="C1122" s="2" t="s">
        <v>1032</v>
      </c>
      <c r="D1122" s="2" t="s">
        <v>1033</v>
      </c>
      <c r="E1122" s="4">
        <v>5000</v>
      </c>
    </row>
    <row r="1123" spans="1:5" x14ac:dyDescent="0.3">
      <c r="A1123" s="2">
        <v>1122</v>
      </c>
      <c r="B1123" s="2" t="s">
        <v>834</v>
      </c>
      <c r="C1123" s="2" t="s">
        <v>1034</v>
      </c>
      <c r="D1123" s="2" t="s">
        <v>1035</v>
      </c>
      <c r="E1123" s="4">
        <v>6000</v>
      </c>
    </row>
    <row r="1124" spans="1:5" x14ac:dyDescent="0.3">
      <c r="A1124" s="2">
        <v>1123</v>
      </c>
      <c r="B1124" s="2" t="s">
        <v>834</v>
      </c>
      <c r="C1124" s="2" t="s">
        <v>1036</v>
      </c>
      <c r="D1124" s="2" t="s">
        <v>1037</v>
      </c>
      <c r="E1124" s="4">
        <v>5000</v>
      </c>
    </row>
    <row r="1125" spans="1:5" x14ac:dyDescent="0.3">
      <c r="A1125" s="2">
        <v>1124</v>
      </c>
      <c r="B1125" s="2" t="s">
        <v>834</v>
      </c>
      <c r="C1125" s="2" t="s">
        <v>1038</v>
      </c>
      <c r="D1125" s="2" t="s">
        <v>1039</v>
      </c>
      <c r="E1125" s="4">
        <v>2000</v>
      </c>
    </row>
    <row r="1126" spans="1:5" x14ac:dyDescent="0.3">
      <c r="A1126" s="2">
        <v>1125</v>
      </c>
      <c r="B1126" s="2" t="s">
        <v>834</v>
      </c>
      <c r="C1126" s="2" t="s">
        <v>1065</v>
      </c>
      <c r="D1126" s="2" t="s">
        <v>1066</v>
      </c>
      <c r="E1126" s="4">
        <v>4000</v>
      </c>
    </row>
    <row r="1127" spans="1:5" x14ac:dyDescent="0.3">
      <c r="A1127" s="2">
        <v>1126</v>
      </c>
      <c r="B1127" s="2" t="s">
        <v>834</v>
      </c>
      <c r="C1127" s="2" t="s">
        <v>1067</v>
      </c>
      <c r="D1127" s="2" t="s">
        <v>1068</v>
      </c>
      <c r="E1127" s="4">
        <v>6500</v>
      </c>
    </row>
    <row r="1128" spans="1:5" x14ac:dyDescent="0.3">
      <c r="A1128" s="2">
        <v>1127</v>
      </c>
      <c r="B1128" s="2" t="s">
        <v>834</v>
      </c>
      <c r="C1128" s="2" t="s">
        <v>1069</v>
      </c>
      <c r="D1128" s="2" t="s">
        <v>1070</v>
      </c>
      <c r="E1128" s="4">
        <v>8000</v>
      </c>
    </row>
    <row r="1129" spans="1:5" x14ac:dyDescent="0.3">
      <c r="A1129" s="2">
        <v>1128</v>
      </c>
      <c r="B1129" s="2" t="s">
        <v>839</v>
      </c>
      <c r="C1129" s="2" t="s">
        <v>1104</v>
      </c>
      <c r="D1129" s="2" t="s">
        <v>1105</v>
      </c>
      <c r="E1129" s="4">
        <v>1500</v>
      </c>
    </row>
    <row r="1130" spans="1:5" x14ac:dyDescent="0.3">
      <c r="A1130" s="2">
        <v>1129</v>
      </c>
      <c r="B1130" s="2" t="s">
        <v>839</v>
      </c>
      <c r="C1130" s="2" t="s">
        <v>1106</v>
      </c>
      <c r="D1130" s="2" t="s">
        <v>1107</v>
      </c>
      <c r="E1130" s="4">
        <v>2000</v>
      </c>
    </row>
    <row r="1131" spans="1:5" x14ac:dyDescent="0.3">
      <c r="A1131" s="2">
        <v>1130</v>
      </c>
      <c r="B1131" s="2" t="s">
        <v>839</v>
      </c>
      <c r="C1131" s="2" t="s">
        <v>1108</v>
      </c>
      <c r="D1131" s="2" t="s">
        <v>1109</v>
      </c>
      <c r="E1131" s="4">
        <v>1500</v>
      </c>
    </row>
    <row r="1132" spans="1:5" x14ac:dyDescent="0.3">
      <c r="A1132" s="2">
        <v>1131</v>
      </c>
      <c r="B1132" s="2" t="s">
        <v>839</v>
      </c>
      <c r="C1132" s="2" t="s">
        <v>1110</v>
      </c>
      <c r="D1132" s="2" t="s">
        <v>1111</v>
      </c>
      <c r="E1132" s="4">
        <v>2000</v>
      </c>
    </row>
    <row r="1133" spans="1:5" x14ac:dyDescent="0.3">
      <c r="A1133" s="2">
        <v>1132</v>
      </c>
      <c r="B1133" s="2" t="s">
        <v>839</v>
      </c>
      <c r="C1133" s="2" t="s">
        <v>1112</v>
      </c>
      <c r="D1133" s="2" t="s">
        <v>1113</v>
      </c>
      <c r="E1133" s="4">
        <v>2000</v>
      </c>
    </row>
    <row r="1134" spans="1:5" x14ac:dyDescent="0.3">
      <c r="A1134" s="2">
        <v>1133</v>
      </c>
      <c r="B1134" s="2" t="s">
        <v>839</v>
      </c>
      <c r="C1134" s="2" t="s">
        <v>1114</v>
      </c>
      <c r="D1134" s="2" t="s">
        <v>1115</v>
      </c>
      <c r="E1134" s="4">
        <v>2500</v>
      </c>
    </row>
    <row r="1135" spans="1:5" x14ac:dyDescent="0.3">
      <c r="A1135" s="2">
        <v>1134</v>
      </c>
      <c r="B1135" s="2" t="s">
        <v>839</v>
      </c>
      <c r="C1135" s="2" t="s">
        <v>1116</v>
      </c>
      <c r="D1135" s="2" t="s">
        <v>1117</v>
      </c>
      <c r="E1135" s="4">
        <v>2000</v>
      </c>
    </row>
    <row r="1136" spans="1:5" x14ac:dyDescent="0.3">
      <c r="A1136" s="2">
        <v>1135</v>
      </c>
      <c r="B1136" s="2" t="s">
        <v>839</v>
      </c>
      <c r="C1136" s="2" t="s">
        <v>1118</v>
      </c>
      <c r="D1136" s="2" t="s">
        <v>1119</v>
      </c>
      <c r="E1136" s="4">
        <v>2500</v>
      </c>
    </row>
    <row r="1137" spans="1:5" x14ac:dyDescent="0.3">
      <c r="A1137" s="2">
        <v>1136</v>
      </c>
      <c r="B1137" s="2" t="s">
        <v>839</v>
      </c>
      <c r="C1137" s="2" t="s">
        <v>1120</v>
      </c>
      <c r="D1137" s="2" t="s">
        <v>1121</v>
      </c>
      <c r="E1137" s="4">
        <v>3000</v>
      </c>
    </row>
    <row r="1138" spans="1:5" x14ac:dyDescent="0.3">
      <c r="A1138" s="2">
        <v>1137</v>
      </c>
      <c r="B1138" s="2" t="s">
        <v>844</v>
      </c>
      <c r="C1138" s="2" t="s">
        <v>946</v>
      </c>
      <c r="D1138" s="2" t="s">
        <v>1098</v>
      </c>
      <c r="E1138" s="4">
        <v>15000</v>
      </c>
    </row>
    <row r="1139" spans="1:5" x14ac:dyDescent="0.3">
      <c r="A1139" s="2">
        <v>1138</v>
      </c>
      <c r="B1139" s="2" t="s">
        <v>844</v>
      </c>
      <c r="C1139" s="2" t="s">
        <v>948</v>
      </c>
      <c r="D1139" s="2" t="s">
        <v>949</v>
      </c>
      <c r="E1139" s="4">
        <v>5000</v>
      </c>
    </row>
    <row r="1140" spans="1:5" x14ac:dyDescent="0.3">
      <c r="A1140" s="2">
        <v>1139</v>
      </c>
      <c r="B1140" s="2" t="s">
        <v>844</v>
      </c>
      <c r="C1140" s="2" t="s">
        <v>950</v>
      </c>
      <c r="D1140" s="2" t="s">
        <v>1074</v>
      </c>
      <c r="E1140" s="4">
        <v>4000</v>
      </c>
    </row>
    <row r="1141" spans="1:5" x14ac:dyDescent="0.3">
      <c r="A1141" s="2">
        <v>1140</v>
      </c>
      <c r="B1141" s="2" t="s">
        <v>844</v>
      </c>
      <c r="C1141" s="2" t="s">
        <v>952</v>
      </c>
      <c r="D1141" s="2" t="s">
        <v>953</v>
      </c>
      <c r="E1141" s="4">
        <v>17000</v>
      </c>
    </row>
    <row r="1142" spans="1:5" x14ac:dyDescent="0.3">
      <c r="A1142" s="2">
        <v>1141</v>
      </c>
      <c r="B1142" s="2" t="s">
        <v>844</v>
      </c>
      <c r="C1142" s="2" t="s">
        <v>954</v>
      </c>
      <c r="D1142" s="2" t="s">
        <v>955</v>
      </c>
      <c r="E1142" s="4">
        <v>11000</v>
      </c>
    </row>
    <row r="1143" spans="1:5" x14ac:dyDescent="0.3">
      <c r="A1143" s="2">
        <v>1142</v>
      </c>
      <c r="B1143" s="2" t="s">
        <v>844</v>
      </c>
      <c r="C1143" s="2" t="s">
        <v>956</v>
      </c>
      <c r="D1143" s="2" t="s">
        <v>1075</v>
      </c>
      <c r="E1143" s="4">
        <v>6000</v>
      </c>
    </row>
    <row r="1144" spans="1:5" x14ac:dyDescent="0.3">
      <c r="A1144" s="2">
        <v>1143</v>
      </c>
      <c r="B1144" s="2" t="s">
        <v>844</v>
      </c>
      <c r="C1144" s="2" t="s">
        <v>958</v>
      </c>
      <c r="D1144" s="2" t="s">
        <v>959</v>
      </c>
      <c r="E1144" s="4">
        <v>4500</v>
      </c>
    </row>
    <row r="1145" spans="1:5" x14ac:dyDescent="0.3">
      <c r="A1145" s="2">
        <v>1144</v>
      </c>
      <c r="B1145" s="2" t="s">
        <v>844</v>
      </c>
      <c r="C1145" s="2" t="s">
        <v>960</v>
      </c>
      <c r="D1145" s="2" t="s">
        <v>961</v>
      </c>
      <c r="E1145" s="4">
        <v>8500</v>
      </c>
    </row>
    <row r="1146" spans="1:5" x14ac:dyDescent="0.3">
      <c r="A1146" s="2">
        <v>1145</v>
      </c>
      <c r="B1146" s="2" t="s">
        <v>844</v>
      </c>
      <c r="C1146" s="2" t="s">
        <v>962</v>
      </c>
      <c r="D1146" s="2" t="s">
        <v>963</v>
      </c>
      <c r="E1146" s="4">
        <v>2000</v>
      </c>
    </row>
    <row r="1147" spans="1:5" x14ac:dyDescent="0.3">
      <c r="A1147" s="2">
        <v>1146</v>
      </c>
      <c r="B1147" s="2" t="s">
        <v>849</v>
      </c>
      <c r="C1147" s="2" t="s">
        <v>1104</v>
      </c>
      <c r="D1147" s="2" t="s">
        <v>1105</v>
      </c>
      <c r="E1147" s="4">
        <v>1500</v>
      </c>
    </row>
    <row r="1148" spans="1:5" x14ac:dyDescent="0.3">
      <c r="A1148" s="2">
        <v>1147</v>
      </c>
      <c r="B1148" s="2" t="s">
        <v>849</v>
      </c>
      <c r="C1148" s="2" t="s">
        <v>1106</v>
      </c>
      <c r="D1148" s="2" t="s">
        <v>1107</v>
      </c>
      <c r="E1148" s="4">
        <v>2000</v>
      </c>
    </row>
    <row r="1149" spans="1:5" x14ac:dyDescent="0.3">
      <c r="A1149" s="2">
        <v>1148</v>
      </c>
      <c r="B1149" s="2" t="s">
        <v>849</v>
      </c>
      <c r="C1149" s="2" t="s">
        <v>1108</v>
      </c>
      <c r="D1149" s="2" t="s">
        <v>1109</v>
      </c>
      <c r="E1149" s="4">
        <v>1500</v>
      </c>
    </row>
    <row r="1150" spans="1:5" x14ac:dyDescent="0.3">
      <c r="A1150" s="2">
        <v>1149</v>
      </c>
      <c r="B1150" s="2" t="s">
        <v>849</v>
      </c>
      <c r="C1150" s="2" t="s">
        <v>1110</v>
      </c>
      <c r="D1150" s="2" t="s">
        <v>1111</v>
      </c>
      <c r="E1150" s="4">
        <v>2000</v>
      </c>
    </row>
    <row r="1151" spans="1:5" x14ac:dyDescent="0.3">
      <c r="A1151" s="2">
        <v>1150</v>
      </c>
      <c r="B1151" s="2" t="s">
        <v>849</v>
      </c>
      <c r="C1151" s="2" t="s">
        <v>1112</v>
      </c>
      <c r="D1151" s="2" t="s">
        <v>1113</v>
      </c>
      <c r="E1151" s="4">
        <v>2000</v>
      </c>
    </row>
    <row r="1152" spans="1:5" x14ac:dyDescent="0.3">
      <c r="A1152" s="2">
        <v>1151</v>
      </c>
      <c r="B1152" s="2" t="s">
        <v>849</v>
      </c>
      <c r="C1152" s="2" t="s">
        <v>1114</v>
      </c>
      <c r="D1152" s="2" t="s">
        <v>1115</v>
      </c>
      <c r="E1152" s="4">
        <v>2500</v>
      </c>
    </row>
    <row r="1153" spans="1:5" x14ac:dyDescent="0.3">
      <c r="A1153" s="2">
        <v>1152</v>
      </c>
      <c r="B1153" s="2" t="s">
        <v>849</v>
      </c>
      <c r="C1153" s="2" t="s">
        <v>1116</v>
      </c>
      <c r="D1153" s="2" t="s">
        <v>1117</v>
      </c>
      <c r="E1153" s="4">
        <v>2000</v>
      </c>
    </row>
    <row r="1154" spans="1:5" x14ac:dyDescent="0.3">
      <c r="A1154" s="2">
        <v>1153</v>
      </c>
      <c r="B1154" s="2" t="s">
        <v>849</v>
      </c>
      <c r="C1154" s="2" t="s">
        <v>1118</v>
      </c>
      <c r="D1154" s="2" t="s">
        <v>1119</v>
      </c>
      <c r="E1154" s="4">
        <v>2500</v>
      </c>
    </row>
    <row r="1155" spans="1:5" x14ac:dyDescent="0.3">
      <c r="A1155" s="2">
        <v>1154</v>
      </c>
      <c r="B1155" s="2" t="s">
        <v>849</v>
      </c>
      <c r="C1155" s="2" t="s">
        <v>1120</v>
      </c>
      <c r="D1155" s="2" t="s">
        <v>1121</v>
      </c>
      <c r="E1155" s="4">
        <v>3000</v>
      </c>
    </row>
    <row r="1156" spans="1:5" x14ac:dyDescent="0.3">
      <c r="A1156" s="2">
        <v>1155</v>
      </c>
      <c r="B1156" s="2" t="s">
        <v>854</v>
      </c>
      <c r="C1156" s="2" t="s">
        <v>1015</v>
      </c>
      <c r="D1156" s="2" t="s">
        <v>1016</v>
      </c>
      <c r="E1156" s="4">
        <v>4500</v>
      </c>
    </row>
    <row r="1157" spans="1:5" x14ac:dyDescent="0.3">
      <c r="A1157" s="2">
        <v>1156</v>
      </c>
      <c r="B1157" s="2" t="s">
        <v>854</v>
      </c>
      <c r="C1157" s="2" t="s">
        <v>1017</v>
      </c>
      <c r="D1157" s="2" t="s">
        <v>1018</v>
      </c>
      <c r="E1157" s="4">
        <v>6000</v>
      </c>
    </row>
    <row r="1158" spans="1:5" x14ac:dyDescent="0.3">
      <c r="A1158" s="2">
        <v>1157</v>
      </c>
      <c r="B1158" s="2" t="s">
        <v>854</v>
      </c>
      <c r="C1158" s="2" t="s">
        <v>1019</v>
      </c>
      <c r="D1158" s="2" t="s">
        <v>1020</v>
      </c>
      <c r="E1158" s="4">
        <v>7600</v>
      </c>
    </row>
    <row r="1159" spans="1:5" x14ac:dyDescent="0.3">
      <c r="A1159" s="2">
        <v>1158</v>
      </c>
      <c r="B1159" s="2" t="s">
        <v>854</v>
      </c>
      <c r="C1159" s="2" t="s">
        <v>1021</v>
      </c>
      <c r="D1159" s="2" t="s">
        <v>1022</v>
      </c>
      <c r="E1159" s="4">
        <v>5000</v>
      </c>
    </row>
    <row r="1160" spans="1:5" x14ac:dyDescent="0.3">
      <c r="A1160" s="2">
        <v>1159</v>
      </c>
      <c r="B1160" s="2" t="s">
        <v>854</v>
      </c>
      <c r="C1160" s="2" t="s">
        <v>1092</v>
      </c>
      <c r="D1160" s="2" t="s">
        <v>1093</v>
      </c>
      <c r="E1160" s="4">
        <v>6500</v>
      </c>
    </row>
    <row r="1161" spans="1:5" x14ac:dyDescent="0.3">
      <c r="A1161" s="2">
        <v>1160</v>
      </c>
      <c r="B1161" s="2" t="s">
        <v>854</v>
      </c>
      <c r="C1161" s="2" t="s">
        <v>1094</v>
      </c>
      <c r="D1161" s="2" t="s">
        <v>1095</v>
      </c>
      <c r="E1161" s="4">
        <v>9000</v>
      </c>
    </row>
    <row r="1162" spans="1:5" x14ac:dyDescent="0.3">
      <c r="A1162" s="2">
        <v>1161</v>
      </c>
      <c r="B1162" s="2" t="s">
        <v>854</v>
      </c>
      <c r="C1162" s="2" t="s">
        <v>1096</v>
      </c>
      <c r="D1162" s="2" t="s">
        <v>1097</v>
      </c>
      <c r="E1162" s="4">
        <v>2500</v>
      </c>
    </row>
    <row r="1163" spans="1:5" x14ac:dyDescent="0.3">
      <c r="A1163" s="2">
        <v>1162</v>
      </c>
      <c r="B1163" s="2" t="s">
        <v>854</v>
      </c>
      <c r="C1163" s="2" t="s">
        <v>1023</v>
      </c>
      <c r="D1163" s="2" t="s">
        <v>1024</v>
      </c>
      <c r="E1163" s="4">
        <v>6000</v>
      </c>
    </row>
    <row r="1164" spans="1:5" x14ac:dyDescent="0.3">
      <c r="A1164" s="2">
        <v>1163</v>
      </c>
      <c r="B1164" s="2" t="s">
        <v>854</v>
      </c>
      <c r="C1164" s="2" t="s">
        <v>1025</v>
      </c>
      <c r="D1164" s="2" t="s">
        <v>1026</v>
      </c>
      <c r="E1164" s="4">
        <v>5000</v>
      </c>
    </row>
    <row r="1165" spans="1:5" x14ac:dyDescent="0.3">
      <c r="A1165" s="2">
        <v>1164</v>
      </c>
      <c r="B1165" s="2" t="s">
        <v>859</v>
      </c>
      <c r="C1165" s="2" t="s">
        <v>1040</v>
      </c>
      <c r="D1165" s="2" t="s">
        <v>1041</v>
      </c>
      <c r="E1165" s="4">
        <v>4500</v>
      </c>
    </row>
    <row r="1166" spans="1:5" x14ac:dyDescent="0.3">
      <c r="A1166" s="2">
        <v>1165</v>
      </c>
      <c r="B1166" s="2" t="s">
        <v>859</v>
      </c>
      <c r="C1166" s="2" t="s">
        <v>1042</v>
      </c>
      <c r="D1166" s="2" t="s">
        <v>1043</v>
      </c>
      <c r="E1166" s="4">
        <v>3000</v>
      </c>
    </row>
    <row r="1167" spans="1:5" x14ac:dyDescent="0.3">
      <c r="A1167" s="2">
        <v>1166</v>
      </c>
      <c r="B1167" s="2" t="s">
        <v>859</v>
      </c>
      <c r="C1167" s="2" t="s">
        <v>1044</v>
      </c>
      <c r="D1167" s="2" t="s">
        <v>1045</v>
      </c>
      <c r="E1167" s="4">
        <v>2000</v>
      </c>
    </row>
    <row r="1168" spans="1:5" x14ac:dyDescent="0.3">
      <c r="A1168" s="2">
        <v>1167</v>
      </c>
      <c r="B1168" s="2" t="s">
        <v>859</v>
      </c>
      <c r="C1168" s="2" t="s">
        <v>1059</v>
      </c>
      <c r="D1168" s="2" t="s">
        <v>1060</v>
      </c>
      <c r="E1168" s="2">
        <v>500</v>
      </c>
    </row>
    <row r="1169" spans="1:5" x14ac:dyDescent="0.3">
      <c r="A1169" s="2">
        <v>1168</v>
      </c>
      <c r="B1169" s="2" t="s">
        <v>859</v>
      </c>
      <c r="C1169" s="2" t="s">
        <v>1046</v>
      </c>
      <c r="D1169" s="2" t="s">
        <v>1047</v>
      </c>
      <c r="E1169" s="2">
        <v>700</v>
      </c>
    </row>
    <row r="1170" spans="1:5" x14ac:dyDescent="0.3">
      <c r="A1170" s="2">
        <v>1169</v>
      </c>
      <c r="B1170" s="2" t="s">
        <v>859</v>
      </c>
      <c r="C1170" s="2" t="s">
        <v>1048</v>
      </c>
      <c r="D1170" s="2" t="s">
        <v>1049</v>
      </c>
      <c r="E1170" s="2">
        <v>700</v>
      </c>
    </row>
    <row r="1171" spans="1:5" x14ac:dyDescent="0.3">
      <c r="A1171" s="2">
        <v>1170</v>
      </c>
      <c r="B1171" s="2" t="s">
        <v>859</v>
      </c>
      <c r="C1171" s="2" t="s">
        <v>1061</v>
      </c>
      <c r="D1171" s="2" t="s">
        <v>1062</v>
      </c>
      <c r="E1171" s="4">
        <v>2500</v>
      </c>
    </row>
    <row r="1172" spans="1:5" x14ac:dyDescent="0.3">
      <c r="A1172" s="2">
        <v>1171</v>
      </c>
      <c r="B1172" s="2" t="s">
        <v>859</v>
      </c>
      <c r="C1172" s="2" t="s">
        <v>1063</v>
      </c>
      <c r="D1172" s="2" t="s">
        <v>1064</v>
      </c>
      <c r="E1172" s="4">
        <v>3500</v>
      </c>
    </row>
    <row r="1173" spans="1:5" x14ac:dyDescent="0.3">
      <c r="A1173" s="2">
        <v>1172</v>
      </c>
      <c r="B1173" s="2" t="s">
        <v>864</v>
      </c>
      <c r="C1173" s="2" t="s">
        <v>1015</v>
      </c>
      <c r="D1173" s="2" t="s">
        <v>1016</v>
      </c>
      <c r="E1173" s="4">
        <v>4500</v>
      </c>
    </row>
    <row r="1174" spans="1:5" x14ac:dyDescent="0.3">
      <c r="A1174" s="2">
        <v>1173</v>
      </c>
      <c r="B1174" s="2" t="s">
        <v>864</v>
      </c>
      <c r="C1174" s="2" t="s">
        <v>1017</v>
      </c>
      <c r="D1174" s="2" t="s">
        <v>1018</v>
      </c>
      <c r="E1174" s="4">
        <v>6000</v>
      </c>
    </row>
    <row r="1175" spans="1:5" x14ac:dyDescent="0.3">
      <c r="A1175" s="2">
        <v>1174</v>
      </c>
      <c r="B1175" s="2" t="s">
        <v>864</v>
      </c>
      <c r="C1175" s="2" t="s">
        <v>1019</v>
      </c>
      <c r="D1175" s="2" t="s">
        <v>1020</v>
      </c>
      <c r="E1175" s="4">
        <v>7600</v>
      </c>
    </row>
    <row r="1176" spans="1:5" x14ac:dyDescent="0.3">
      <c r="A1176" s="2">
        <v>1175</v>
      </c>
      <c r="B1176" s="2" t="s">
        <v>864</v>
      </c>
      <c r="C1176" s="2" t="s">
        <v>1021</v>
      </c>
      <c r="D1176" s="2" t="s">
        <v>1022</v>
      </c>
      <c r="E1176" s="4">
        <v>5000</v>
      </c>
    </row>
    <row r="1177" spans="1:5" x14ac:dyDescent="0.3">
      <c r="A1177" s="2">
        <v>1176</v>
      </c>
      <c r="B1177" s="2" t="s">
        <v>864</v>
      </c>
      <c r="C1177" s="2" t="s">
        <v>1092</v>
      </c>
      <c r="D1177" s="2" t="s">
        <v>1093</v>
      </c>
      <c r="E1177" s="4">
        <v>6500</v>
      </c>
    </row>
    <row r="1178" spans="1:5" x14ac:dyDescent="0.3">
      <c r="A1178" s="2">
        <v>1177</v>
      </c>
      <c r="B1178" s="2" t="s">
        <v>864</v>
      </c>
      <c r="C1178" s="2" t="s">
        <v>1094</v>
      </c>
      <c r="D1178" s="2" t="s">
        <v>1095</v>
      </c>
      <c r="E1178" s="4">
        <v>9000</v>
      </c>
    </row>
    <row r="1179" spans="1:5" x14ac:dyDescent="0.3">
      <c r="A1179" s="2">
        <v>1178</v>
      </c>
      <c r="B1179" s="2" t="s">
        <v>864</v>
      </c>
      <c r="C1179" s="2" t="s">
        <v>1096</v>
      </c>
      <c r="D1179" s="2" t="s">
        <v>1097</v>
      </c>
      <c r="E1179" s="4">
        <v>2500</v>
      </c>
    </row>
    <row r="1180" spans="1:5" x14ac:dyDescent="0.3">
      <c r="A1180" s="2">
        <v>1179</v>
      </c>
      <c r="B1180" s="2" t="s">
        <v>864</v>
      </c>
      <c r="C1180" s="2" t="s">
        <v>1023</v>
      </c>
      <c r="D1180" s="2" t="s">
        <v>1024</v>
      </c>
      <c r="E1180" s="4">
        <v>6000</v>
      </c>
    </row>
    <row r="1181" spans="1:5" x14ac:dyDescent="0.3">
      <c r="A1181" s="2">
        <v>1180</v>
      </c>
      <c r="B1181" s="2" t="s">
        <v>864</v>
      </c>
      <c r="C1181" s="2" t="s">
        <v>1025</v>
      </c>
      <c r="D1181" s="2" t="s">
        <v>1026</v>
      </c>
      <c r="E1181" s="4">
        <v>5000</v>
      </c>
    </row>
    <row r="1182" spans="1:5" x14ac:dyDescent="0.3">
      <c r="A1182" s="2">
        <v>1181</v>
      </c>
      <c r="B1182" s="2" t="s">
        <v>869</v>
      </c>
      <c r="C1182" s="2" t="s">
        <v>993</v>
      </c>
      <c r="D1182" s="2" t="s">
        <v>994</v>
      </c>
      <c r="E1182" s="4">
        <v>5000</v>
      </c>
    </row>
    <row r="1183" spans="1:5" x14ac:dyDescent="0.3">
      <c r="A1183" s="2">
        <v>1182</v>
      </c>
      <c r="B1183" s="2" t="s">
        <v>869</v>
      </c>
      <c r="C1183" s="2" t="s">
        <v>995</v>
      </c>
      <c r="D1183" s="2" t="s">
        <v>996</v>
      </c>
      <c r="E1183" s="4">
        <v>6000</v>
      </c>
    </row>
    <row r="1184" spans="1:5" x14ac:dyDescent="0.3">
      <c r="A1184" s="2">
        <v>1183</v>
      </c>
      <c r="B1184" s="2" t="s">
        <v>869</v>
      </c>
      <c r="C1184" s="2" t="s">
        <v>997</v>
      </c>
      <c r="D1184" s="2" t="s">
        <v>998</v>
      </c>
      <c r="E1184" s="4">
        <v>5500</v>
      </c>
    </row>
    <row r="1185" spans="1:5" x14ac:dyDescent="0.3">
      <c r="A1185" s="2">
        <v>1184</v>
      </c>
      <c r="B1185" s="2" t="s">
        <v>869</v>
      </c>
      <c r="C1185" s="2" t="s">
        <v>999</v>
      </c>
      <c r="D1185" s="2" t="s">
        <v>1000</v>
      </c>
      <c r="E1185" s="4">
        <v>6000</v>
      </c>
    </row>
    <row r="1186" spans="1:5" x14ac:dyDescent="0.3">
      <c r="A1186" s="2">
        <v>1185</v>
      </c>
      <c r="B1186" s="2" t="s">
        <v>869</v>
      </c>
      <c r="C1186" s="2" t="s">
        <v>1001</v>
      </c>
      <c r="D1186" s="2" t="s">
        <v>1002</v>
      </c>
      <c r="E1186" s="4">
        <v>4500</v>
      </c>
    </row>
    <row r="1187" spans="1:5" x14ac:dyDescent="0.3">
      <c r="A1187" s="2">
        <v>1186</v>
      </c>
      <c r="B1187" s="2" t="s">
        <v>869</v>
      </c>
      <c r="C1187" s="2" t="s">
        <v>1003</v>
      </c>
      <c r="D1187" s="2" t="s">
        <v>1004</v>
      </c>
      <c r="E1187" s="4">
        <v>4000</v>
      </c>
    </row>
    <row r="1188" spans="1:5" x14ac:dyDescent="0.3">
      <c r="A1188" s="2">
        <v>1187</v>
      </c>
      <c r="B1188" s="2" t="s">
        <v>869</v>
      </c>
      <c r="C1188" s="2" t="s">
        <v>1005</v>
      </c>
      <c r="D1188" s="2" t="s">
        <v>1006</v>
      </c>
      <c r="E1188" s="4">
        <v>3000</v>
      </c>
    </row>
    <row r="1189" spans="1:5" x14ac:dyDescent="0.3">
      <c r="A1189" s="2">
        <v>1188</v>
      </c>
      <c r="B1189" s="2" t="s">
        <v>869</v>
      </c>
      <c r="C1189" s="2" t="s">
        <v>1007</v>
      </c>
      <c r="D1189" s="2" t="s">
        <v>1008</v>
      </c>
      <c r="E1189" s="4">
        <v>2500</v>
      </c>
    </row>
    <row r="1190" spans="1:5" x14ac:dyDescent="0.3">
      <c r="A1190" s="2">
        <v>1189</v>
      </c>
      <c r="B1190" s="2" t="s">
        <v>869</v>
      </c>
      <c r="C1190" s="2" t="s">
        <v>1009</v>
      </c>
      <c r="D1190" s="2" t="s">
        <v>1010</v>
      </c>
      <c r="E1190" s="4">
        <v>8000</v>
      </c>
    </row>
    <row r="1191" spans="1:5" x14ac:dyDescent="0.3">
      <c r="A1191" s="2">
        <v>1190</v>
      </c>
      <c r="B1191" s="2" t="s">
        <v>869</v>
      </c>
      <c r="C1191" s="2" t="s">
        <v>1057</v>
      </c>
      <c r="D1191" s="2" t="s">
        <v>1058</v>
      </c>
      <c r="E1191" s="4">
        <v>9000</v>
      </c>
    </row>
    <row r="1192" spans="1:5" x14ac:dyDescent="0.3">
      <c r="A1192" s="2">
        <v>1191</v>
      </c>
      <c r="B1192" s="2" t="s">
        <v>869</v>
      </c>
      <c r="C1192" s="2" t="s">
        <v>1011</v>
      </c>
      <c r="D1192" s="2" t="s">
        <v>1012</v>
      </c>
      <c r="E1192" s="4">
        <v>8000</v>
      </c>
    </row>
    <row r="1193" spans="1:5" x14ac:dyDescent="0.3">
      <c r="A1193" s="2">
        <v>1192</v>
      </c>
      <c r="B1193" s="2" t="s">
        <v>869</v>
      </c>
      <c r="C1193" s="2" t="s">
        <v>1013</v>
      </c>
      <c r="D1193" s="2" t="s">
        <v>1014</v>
      </c>
      <c r="E1193" s="4">
        <v>6000</v>
      </c>
    </row>
    <row r="1194" spans="1:5" x14ac:dyDescent="0.3">
      <c r="A1194" s="2">
        <v>1193</v>
      </c>
      <c r="B1194" s="2" t="s">
        <v>874</v>
      </c>
      <c r="C1194" s="2" t="s">
        <v>967</v>
      </c>
      <c r="D1194" s="2" t="s">
        <v>968</v>
      </c>
      <c r="E1194" s="4">
        <v>18000</v>
      </c>
    </row>
    <row r="1195" spans="1:5" x14ac:dyDescent="0.3">
      <c r="A1195" s="2">
        <v>1194</v>
      </c>
      <c r="B1195" s="2" t="s">
        <v>874</v>
      </c>
      <c r="C1195" s="2" t="s">
        <v>969</v>
      </c>
      <c r="D1195" s="2" t="s">
        <v>970</v>
      </c>
      <c r="E1195" s="4">
        <v>4500</v>
      </c>
    </row>
    <row r="1196" spans="1:5" x14ac:dyDescent="0.3">
      <c r="A1196" s="2">
        <v>1195</v>
      </c>
      <c r="B1196" s="2" t="s">
        <v>874</v>
      </c>
      <c r="C1196" s="2" t="s">
        <v>971</v>
      </c>
      <c r="D1196" s="2" t="s">
        <v>972</v>
      </c>
      <c r="E1196" s="4">
        <v>16000</v>
      </c>
    </row>
    <row r="1197" spans="1:5" x14ac:dyDescent="0.3">
      <c r="A1197" s="2">
        <v>1196</v>
      </c>
      <c r="B1197" s="2" t="s">
        <v>874</v>
      </c>
      <c r="C1197" s="2" t="s">
        <v>973</v>
      </c>
      <c r="D1197" s="2" t="s">
        <v>974</v>
      </c>
      <c r="E1197" s="4">
        <v>9000</v>
      </c>
    </row>
    <row r="1198" spans="1:5" x14ac:dyDescent="0.3">
      <c r="A1198" s="2">
        <v>1197</v>
      </c>
      <c r="B1198" s="2" t="s">
        <v>874</v>
      </c>
      <c r="C1198" s="2" t="s">
        <v>975</v>
      </c>
      <c r="D1198" s="2" t="s">
        <v>976</v>
      </c>
      <c r="E1198" s="4">
        <v>2500</v>
      </c>
    </row>
    <row r="1199" spans="1:5" x14ac:dyDescent="0.3">
      <c r="A1199" s="2">
        <v>1198</v>
      </c>
      <c r="B1199" s="2" t="s">
        <v>874</v>
      </c>
      <c r="C1199" s="2" t="s">
        <v>977</v>
      </c>
      <c r="D1199" s="2" t="s">
        <v>978</v>
      </c>
      <c r="E1199" s="4">
        <v>5000</v>
      </c>
    </row>
    <row r="1200" spans="1:5" x14ac:dyDescent="0.3">
      <c r="A1200" s="2">
        <v>1199</v>
      </c>
      <c r="B1200" s="2" t="s">
        <v>874</v>
      </c>
      <c r="C1200" s="2" t="s">
        <v>979</v>
      </c>
      <c r="D1200" s="2" t="s">
        <v>980</v>
      </c>
      <c r="E1200" s="4">
        <v>15000</v>
      </c>
    </row>
    <row r="1201" spans="1:5" x14ac:dyDescent="0.3">
      <c r="A1201" s="2">
        <v>1200</v>
      </c>
      <c r="B1201" s="2" t="s">
        <v>874</v>
      </c>
      <c r="C1201" s="2" t="s">
        <v>981</v>
      </c>
      <c r="D1201" s="2" t="s">
        <v>982</v>
      </c>
      <c r="E1201" s="4">
        <v>9000</v>
      </c>
    </row>
    <row r="1202" spans="1:5" x14ac:dyDescent="0.3">
      <c r="A1202" s="2">
        <v>1201</v>
      </c>
      <c r="B1202" s="2" t="s">
        <v>874</v>
      </c>
      <c r="C1202" s="2" t="s">
        <v>1050</v>
      </c>
      <c r="D1202" s="2" t="s">
        <v>1051</v>
      </c>
      <c r="E1202" s="4">
        <v>7000</v>
      </c>
    </row>
    <row r="1203" spans="1:5" x14ac:dyDescent="0.3">
      <c r="A1203" s="2">
        <v>1202</v>
      </c>
      <c r="B1203" s="2" t="s">
        <v>874</v>
      </c>
      <c r="C1203" s="2" t="s">
        <v>1052</v>
      </c>
      <c r="D1203" s="2" t="s">
        <v>1053</v>
      </c>
      <c r="E1203" s="4">
        <v>12000</v>
      </c>
    </row>
    <row r="1204" spans="1:5" x14ac:dyDescent="0.3">
      <c r="A1204" s="2">
        <v>1203</v>
      </c>
      <c r="B1204" s="2" t="s">
        <v>879</v>
      </c>
      <c r="C1204" s="2" t="s">
        <v>1015</v>
      </c>
      <c r="D1204" s="2" t="s">
        <v>1016</v>
      </c>
      <c r="E1204" s="4">
        <v>4500</v>
      </c>
    </row>
    <row r="1205" spans="1:5" x14ac:dyDescent="0.3">
      <c r="A1205" s="2">
        <v>1204</v>
      </c>
      <c r="B1205" s="2" t="s">
        <v>879</v>
      </c>
      <c r="C1205" s="2" t="s">
        <v>1017</v>
      </c>
      <c r="D1205" s="2" t="s">
        <v>1018</v>
      </c>
      <c r="E1205" s="4">
        <v>6000</v>
      </c>
    </row>
    <row r="1206" spans="1:5" x14ac:dyDescent="0.3">
      <c r="A1206" s="2">
        <v>1205</v>
      </c>
      <c r="B1206" s="2" t="s">
        <v>879</v>
      </c>
      <c r="C1206" s="2" t="s">
        <v>1019</v>
      </c>
      <c r="D1206" s="2" t="s">
        <v>1020</v>
      </c>
      <c r="E1206" s="4">
        <v>7600</v>
      </c>
    </row>
    <row r="1207" spans="1:5" x14ac:dyDescent="0.3">
      <c r="A1207" s="2">
        <v>1206</v>
      </c>
      <c r="B1207" s="2" t="s">
        <v>879</v>
      </c>
      <c r="C1207" s="2" t="s">
        <v>1021</v>
      </c>
      <c r="D1207" s="2" t="s">
        <v>1022</v>
      </c>
      <c r="E1207" s="4">
        <v>5000</v>
      </c>
    </row>
    <row r="1208" spans="1:5" x14ac:dyDescent="0.3">
      <c r="A1208" s="2">
        <v>1207</v>
      </c>
      <c r="B1208" s="2" t="s">
        <v>879</v>
      </c>
      <c r="C1208" s="2" t="s">
        <v>1092</v>
      </c>
      <c r="D1208" s="2" t="s">
        <v>1093</v>
      </c>
      <c r="E1208" s="4">
        <v>6500</v>
      </c>
    </row>
    <row r="1209" spans="1:5" x14ac:dyDescent="0.3">
      <c r="A1209" s="2">
        <v>1208</v>
      </c>
      <c r="B1209" s="2" t="s">
        <v>879</v>
      </c>
      <c r="C1209" s="2" t="s">
        <v>1094</v>
      </c>
      <c r="D1209" s="2" t="s">
        <v>1095</v>
      </c>
      <c r="E1209" s="4">
        <v>9000</v>
      </c>
    </row>
    <row r="1210" spans="1:5" x14ac:dyDescent="0.3">
      <c r="A1210" s="2">
        <v>1209</v>
      </c>
      <c r="B1210" s="2" t="s">
        <v>879</v>
      </c>
      <c r="C1210" s="2" t="s">
        <v>1096</v>
      </c>
      <c r="D1210" s="2" t="s">
        <v>1097</v>
      </c>
      <c r="E1210" s="4">
        <v>2500</v>
      </c>
    </row>
    <row r="1211" spans="1:5" x14ac:dyDescent="0.3">
      <c r="A1211" s="2">
        <v>1210</v>
      </c>
      <c r="B1211" s="2" t="s">
        <v>879</v>
      </c>
      <c r="C1211" s="2" t="s">
        <v>1023</v>
      </c>
      <c r="D1211" s="2" t="s">
        <v>1024</v>
      </c>
      <c r="E1211" s="4">
        <v>6000</v>
      </c>
    </row>
    <row r="1212" spans="1:5" x14ac:dyDescent="0.3">
      <c r="A1212" s="2">
        <v>1211</v>
      </c>
      <c r="B1212" s="2" t="s">
        <v>879</v>
      </c>
      <c r="C1212" s="2" t="s">
        <v>1025</v>
      </c>
      <c r="D1212" s="2" t="s">
        <v>1026</v>
      </c>
      <c r="E1212" s="4">
        <v>5000</v>
      </c>
    </row>
    <row r="1213" spans="1:5" x14ac:dyDescent="0.3">
      <c r="A1213" s="2">
        <v>1212</v>
      </c>
      <c r="B1213" s="2" t="s">
        <v>884</v>
      </c>
      <c r="C1213" s="2" t="s">
        <v>993</v>
      </c>
      <c r="D1213" s="2" t="s">
        <v>994</v>
      </c>
      <c r="E1213" s="4">
        <v>5000</v>
      </c>
    </row>
    <row r="1214" spans="1:5" x14ac:dyDescent="0.3">
      <c r="A1214" s="2">
        <v>1213</v>
      </c>
      <c r="B1214" s="2" t="s">
        <v>884</v>
      </c>
      <c r="C1214" s="2" t="s">
        <v>995</v>
      </c>
      <c r="D1214" s="2" t="s">
        <v>996</v>
      </c>
      <c r="E1214" s="4">
        <v>6000</v>
      </c>
    </row>
    <row r="1215" spans="1:5" x14ac:dyDescent="0.3">
      <c r="A1215" s="2">
        <v>1214</v>
      </c>
      <c r="B1215" s="2" t="s">
        <v>884</v>
      </c>
      <c r="C1215" s="2" t="s">
        <v>997</v>
      </c>
      <c r="D1215" s="2" t="s">
        <v>998</v>
      </c>
      <c r="E1215" s="4">
        <v>5500</v>
      </c>
    </row>
    <row r="1216" spans="1:5" x14ac:dyDescent="0.3">
      <c r="A1216" s="2">
        <v>1215</v>
      </c>
      <c r="B1216" s="2" t="s">
        <v>884</v>
      </c>
      <c r="C1216" s="2" t="s">
        <v>999</v>
      </c>
      <c r="D1216" s="2" t="s">
        <v>1000</v>
      </c>
      <c r="E1216" s="4">
        <v>6000</v>
      </c>
    </row>
    <row r="1217" spans="1:5" x14ac:dyDescent="0.3">
      <c r="A1217" s="2">
        <v>1216</v>
      </c>
      <c r="B1217" s="2" t="s">
        <v>884</v>
      </c>
      <c r="C1217" s="2" t="s">
        <v>1001</v>
      </c>
      <c r="D1217" s="2" t="s">
        <v>1002</v>
      </c>
      <c r="E1217" s="4">
        <v>4500</v>
      </c>
    </row>
    <row r="1218" spans="1:5" x14ac:dyDescent="0.3">
      <c r="A1218" s="2">
        <v>1217</v>
      </c>
      <c r="B1218" s="2" t="s">
        <v>884</v>
      </c>
      <c r="C1218" s="2" t="s">
        <v>1003</v>
      </c>
      <c r="D1218" s="2" t="s">
        <v>1004</v>
      </c>
      <c r="E1218" s="4">
        <v>4000</v>
      </c>
    </row>
    <row r="1219" spans="1:5" x14ac:dyDescent="0.3">
      <c r="A1219" s="2">
        <v>1218</v>
      </c>
      <c r="B1219" s="2" t="s">
        <v>884</v>
      </c>
      <c r="C1219" s="2" t="s">
        <v>1005</v>
      </c>
      <c r="D1219" s="2" t="s">
        <v>1006</v>
      </c>
      <c r="E1219" s="4">
        <v>3000</v>
      </c>
    </row>
    <row r="1220" spans="1:5" x14ac:dyDescent="0.3">
      <c r="A1220" s="2">
        <v>1219</v>
      </c>
      <c r="B1220" s="2" t="s">
        <v>884</v>
      </c>
      <c r="C1220" s="2" t="s">
        <v>1007</v>
      </c>
      <c r="D1220" s="2" t="s">
        <v>1008</v>
      </c>
      <c r="E1220" s="4">
        <v>2500</v>
      </c>
    </row>
    <row r="1221" spans="1:5" x14ac:dyDescent="0.3">
      <c r="A1221" s="2">
        <v>1220</v>
      </c>
      <c r="B1221" s="2" t="s">
        <v>884</v>
      </c>
      <c r="C1221" s="2" t="s">
        <v>1009</v>
      </c>
      <c r="D1221" s="2" t="s">
        <v>1010</v>
      </c>
      <c r="E1221" s="4">
        <v>8000</v>
      </c>
    </row>
    <row r="1222" spans="1:5" x14ac:dyDescent="0.3">
      <c r="A1222" s="2">
        <v>1221</v>
      </c>
      <c r="B1222" s="2" t="s">
        <v>884</v>
      </c>
      <c r="C1222" s="2" t="s">
        <v>1057</v>
      </c>
      <c r="D1222" s="2" t="s">
        <v>1058</v>
      </c>
      <c r="E1222" s="4">
        <v>9000</v>
      </c>
    </row>
    <row r="1223" spans="1:5" x14ac:dyDescent="0.3">
      <c r="A1223" s="2">
        <v>1222</v>
      </c>
      <c r="B1223" s="2" t="s">
        <v>884</v>
      </c>
      <c r="C1223" s="2" t="s">
        <v>1011</v>
      </c>
      <c r="D1223" s="2" t="s">
        <v>1012</v>
      </c>
      <c r="E1223" s="4">
        <v>8000</v>
      </c>
    </row>
    <row r="1224" spans="1:5" x14ac:dyDescent="0.3">
      <c r="A1224" s="2">
        <v>1223</v>
      </c>
      <c r="B1224" s="2" t="s">
        <v>884</v>
      </c>
      <c r="C1224" s="2" t="s">
        <v>1013</v>
      </c>
      <c r="D1224" s="2" t="s">
        <v>1014</v>
      </c>
      <c r="E1224" s="4">
        <v>6000</v>
      </c>
    </row>
    <row r="1225" spans="1:5" x14ac:dyDescent="0.3">
      <c r="A1225" s="2">
        <v>1224</v>
      </c>
      <c r="B1225" s="2" t="s">
        <v>889</v>
      </c>
      <c r="C1225" s="2" t="s">
        <v>993</v>
      </c>
      <c r="D1225" s="2" t="s">
        <v>994</v>
      </c>
      <c r="E1225" s="4">
        <v>5000</v>
      </c>
    </row>
    <row r="1226" spans="1:5" x14ac:dyDescent="0.3">
      <c r="A1226" s="2">
        <v>1225</v>
      </c>
      <c r="B1226" s="2" t="s">
        <v>889</v>
      </c>
      <c r="C1226" s="2" t="s">
        <v>995</v>
      </c>
      <c r="D1226" s="2" t="s">
        <v>996</v>
      </c>
      <c r="E1226" s="4">
        <v>6000</v>
      </c>
    </row>
    <row r="1227" spans="1:5" x14ac:dyDescent="0.3">
      <c r="A1227" s="2">
        <v>1226</v>
      </c>
      <c r="B1227" s="2" t="s">
        <v>889</v>
      </c>
      <c r="C1227" s="2" t="s">
        <v>997</v>
      </c>
      <c r="D1227" s="2" t="s">
        <v>998</v>
      </c>
      <c r="E1227" s="4">
        <v>5500</v>
      </c>
    </row>
    <row r="1228" spans="1:5" x14ac:dyDescent="0.3">
      <c r="A1228" s="2">
        <v>1227</v>
      </c>
      <c r="B1228" s="2" t="s">
        <v>889</v>
      </c>
      <c r="C1228" s="2" t="s">
        <v>999</v>
      </c>
      <c r="D1228" s="2" t="s">
        <v>1000</v>
      </c>
      <c r="E1228" s="4">
        <v>6000</v>
      </c>
    </row>
    <row r="1229" spans="1:5" x14ac:dyDescent="0.3">
      <c r="A1229" s="2">
        <v>1228</v>
      </c>
      <c r="B1229" s="2" t="s">
        <v>889</v>
      </c>
      <c r="C1229" s="2" t="s">
        <v>1001</v>
      </c>
      <c r="D1229" s="2" t="s">
        <v>1002</v>
      </c>
      <c r="E1229" s="4">
        <v>4500</v>
      </c>
    </row>
    <row r="1230" spans="1:5" x14ac:dyDescent="0.3">
      <c r="A1230" s="2">
        <v>1229</v>
      </c>
      <c r="B1230" s="2" t="s">
        <v>889</v>
      </c>
      <c r="C1230" s="2" t="s">
        <v>1003</v>
      </c>
      <c r="D1230" s="2" t="s">
        <v>1004</v>
      </c>
      <c r="E1230" s="4">
        <v>4000</v>
      </c>
    </row>
    <row r="1231" spans="1:5" x14ac:dyDescent="0.3">
      <c r="A1231" s="2">
        <v>1230</v>
      </c>
      <c r="B1231" s="2" t="s">
        <v>889</v>
      </c>
      <c r="C1231" s="2" t="s">
        <v>1005</v>
      </c>
      <c r="D1231" s="2" t="s">
        <v>1006</v>
      </c>
      <c r="E1231" s="4">
        <v>3000</v>
      </c>
    </row>
    <row r="1232" spans="1:5" x14ac:dyDescent="0.3">
      <c r="A1232" s="2">
        <v>1231</v>
      </c>
      <c r="B1232" s="2" t="s">
        <v>889</v>
      </c>
      <c r="C1232" s="2" t="s">
        <v>1007</v>
      </c>
      <c r="D1232" s="2" t="s">
        <v>1008</v>
      </c>
      <c r="E1232" s="4">
        <v>2500</v>
      </c>
    </row>
    <row r="1233" spans="1:5" x14ac:dyDescent="0.3">
      <c r="A1233" s="2">
        <v>1232</v>
      </c>
      <c r="B1233" s="2" t="s">
        <v>889</v>
      </c>
      <c r="C1233" s="2" t="s">
        <v>1009</v>
      </c>
      <c r="D1233" s="2" t="s">
        <v>1010</v>
      </c>
      <c r="E1233" s="4">
        <v>8000</v>
      </c>
    </row>
    <row r="1234" spans="1:5" x14ac:dyDescent="0.3">
      <c r="A1234" s="2">
        <v>1233</v>
      </c>
      <c r="B1234" s="2" t="s">
        <v>889</v>
      </c>
      <c r="C1234" s="2" t="s">
        <v>1057</v>
      </c>
      <c r="D1234" s="2" t="s">
        <v>1058</v>
      </c>
      <c r="E1234" s="4">
        <v>9000</v>
      </c>
    </row>
    <row r="1235" spans="1:5" x14ac:dyDescent="0.3">
      <c r="A1235" s="2">
        <v>1234</v>
      </c>
      <c r="B1235" s="2" t="s">
        <v>889</v>
      </c>
      <c r="C1235" s="2" t="s">
        <v>1011</v>
      </c>
      <c r="D1235" s="2" t="s">
        <v>1012</v>
      </c>
      <c r="E1235" s="4">
        <v>8000</v>
      </c>
    </row>
    <row r="1236" spans="1:5" x14ac:dyDescent="0.3">
      <c r="A1236" s="2">
        <v>1235</v>
      </c>
      <c r="B1236" s="2" t="s">
        <v>889</v>
      </c>
      <c r="C1236" s="2" t="s">
        <v>1013</v>
      </c>
      <c r="D1236" s="2" t="s">
        <v>1014</v>
      </c>
      <c r="E1236" s="4">
        <v>6000</v>
      </c>
    </row>
    <row r="1237" spans="1:5" x14ac:dyDescent="0.3">
      <c r="A1237" s="2">
        <v>1236</v>
      </c>
      <c r="B1237" s="2" t="s">
        <v>894</v>
      </c>
      <c r="C1237" s="2" t="s">
        <v>993</v>
      </c>
      <c r="D1237" s="2" t="s">
        <v>994</v>
      </c>
      <c r="E1237" s="4">
        <v>5000</v>
      </c>
    </row>
    <row r="1238" spans="1:5" x14ac:dyDescent="0.3">
      <c r="A1238" s="2">
        <v>1237</v>
      </c>
      <c r="B1238" s="2" t="s">
        <v>894</v>
      </c>
      <c r="C1238" s="2" t="s">
        <v>995</v>
      </c>
      <c r="D1238" s="2" t="s">
        <v>996</v>
      </c>
      <c r="E1238" s="4">
        <v>6000</v>
      </c>
    </row>
    <row r="1239" spans="1:5" x14ac:dyDescent="0.3">
      <c r="A1239" s="2">
        <v>1238</v>
      </c>
      <c r="B1239" s="2" t="s">
        <v>894</v>
      </c>
      <c r="C1239" s="2" t="s">
        <v>997</v>
      </c>
      <c r="D1239" s="2" t="s">
        <v>998</v>
      </c>
      <c r="E1239" s="4">
        <v>5500</v>
      </c>
    </row>
    <row r="1240" spans="1:5" x14ac:dyDescent="0.3">
      <c r="A1240" s="2">
        <v>1239</v>
      </c>
      <c r="B1240" s="2" t="s">
        <v>894</v>
      </c>
      <c r="C1240" s="2" t="s">
        <v>999</v>
      </c>
      <c r="D1240" s="2" t="s">
        <v>1000</v>
      </c>
      <c r="E1240" s="4">
        <v>6000</v>
      </c>
    </row>
    <row r="1241" spans="1:5" x14ac:dyDescent="0.3">
      <c r="A1241" s="2">
        <v>1240</v>
      </c>
      <c r="B1241" s="2" t="s">
        <v>894</v>
      </c>
      <c r="C1241" s="2" t="s">
        <v>1001</v>
      </c>
      <c r="D1241" s="2" t="s">
        <v>1002</v>
      </c>
      <c r="E1241" s="4">
        <v>4500</v>
      </c>
    </row>
    <row r="1242" spans="1:5" x14ac:dyDescent="0.3">
      <c r="A1242" s="2">
        <v>1241</v>
      </c>
      <c r="B1242" s="2" t="s">
        <v>894</v>
      </c>
      <c r="C1242" s="2" t="s">
        <v>1003</v>
      </c>
      <c r="D1242" s="2" t="s">
        <v>1004</v>
      </c>
      <c r="E1242" s="4">
        <v>4000</v>
      </c>
    </row>
    <row r="1243" spans="1:5" x14ac:dyDescent="0.3">
      <c r="A1243" s="2">
        <v>1242</v>
      </c>
      <c r="B1243" s="2" t="s">
        <v>894</v>
      </c>
      <c r="C1243" s="2" t="s">
        <v>1005</v>
      </c>
      <c r="D1243" s="2" t="s">
        <v>1006</v>
      </c>
      <c r="E1243" s="4">
        <v>3000</v>
      </c>
    </row>
    <row r="1244" spans="1:5" x14ac:dyDescent="0.3">
      <c r="A1244" s="2">
        <v>1243</v>
      </c>
      <c r="B1244" s="2" t="s">
        <v>894</v>
      </c>
      <c r="C1244" s="2" t="s">
        <v>1007</v>
      </c>
      <c r="D1244" s="2" t="s">
        <v>1008</v>
      </c>
      <c r="E1244" s="4">
        <v>2500</v>
      </c>
    </row>
    <row r="1245" spans="1:5" x14ac:dyDescent="0.3">
      <c r="A1245" s="2">
        <v>1244</v>
      </c>
      <c r="B1245" s="2" t="s">
        <v>894</v>
      </c>
      <c r="C1245" s="2" t="s">
        <v>1009</v>
      </c>
      <c r="D1245" s="2" t="s">
        <v>1010</v>
      </c>
      <c r="E1245" s="4">
        <v>8000</v>
      </c>
    </row>
    <row r="1246" spans="1:5" x14ac:dyDescent="0.3">
      <c r="A1246" s="2">
        <v>1245</v>
      </c>
      <c r="B1246" s="2" t="s">
        <v>894</v>
      </c>
      <c r="C1246" s="2" t="s">
        <v>1057</v>
      </c>
      <c r="D1246" s="2" t="s">
        <v>1058</v>
      </c>
      <c r="E1246" s="4">
        <v>9000</v>
      </c>
    </row>
    <row r="1247" spans="1:5" x14ac:dyDescent="0.3">
      <c r="A1247" s="2">
        <v>1246</v>
      </c>
      <c r="B1247" s="2" t="s">
        <v>894</v>
      </c>
      <c r="C1247" s="2" t="s">
        <v>1011</v>
      </c>
      <c r="D1247" s="2" t="s">
        <v>1012</v>
      </c>
      <c r="E1247" s="4">
        <v>8000</v>
      </c>
    </row>
    <row r="1248" spans="1:5" x14ac:dyDescent="0.3">
      <c r="A1248" s="2">
        <v>1247</v>
      </c>
      <c r="B1248" s="2" t="s">
        <v>894</v>
      </c>
      <c r="C1248" s="2" t="s">
        <v>1013</v>
      </c>
      <c r="D1248" s="2" t="s">
        <v>1014</v>
      </c>
      <c r="E1248" s="4">
        <v>6000</v>
      </c>
    </row>
    <row r="1249" spans="1:5" x14ac:dyDescent="0.3">
      <c r="A1249" s="2">
        <v>1248</v>
      </c>
      <c r="B1249" s="2" t="s">
        <v>899</v>
      </c>
      <c r="C1249" s="2" t="s">
        <v>993</v>
      </c>
      <c r="D1249" s="2" t="s">
        <v>994</v>
      </c>
      <c r="E1249" s="4">
        <v>5000</v>
      </c>
    </row>
    <row r="1250" spans="1:5" x14ac:dyDescent="0.3">
      <c r="A1250" s="2">
        <v>1249</v>
      </c>
      <c r="B1250" s="2" t="s">
        <v>899</v>
      </c>
      <c r="C1250" s="2" t="s">
        <v>995</v>
      </c>
      <c r="D1250" s="2" t="s">
        <v>996</v>
      </c>
      <c r="E1250" s="4">
        <v>6000</v>
      </c>
    </row>
    <row r="1251" spans="1:5" x14ac:dyDescent="0.3">
      <c r="A1251" s="2">
        <v>1250</v>
      </c>
      <c r="B1251" s="2" t="s">
        <v>899</v>
      </c>
      <c r="C1251" s="2" t="s">
        <v>997</v>
      </c>
      <c r="D1251" s="2" t="s">
        <v>998</v>
      </c>
      <c r="E1251" s="4">
        <v>5500</v>
      </c>
    </row>
    <row r="1252" spans="1:5" x14ac:dyDescent="0.3">
      <c r="A1252" s="2">
        <v>1251</v>
      </c>
      <c r="B1252" s="2" t="s">
        <v>899</v>
      </c>
      <c r="C1252" s="2" t="s">
        <v>999</v>
      </c>
      <c r="D1252" s="2" t="s">
        <v>1000</v>
      </c>
      <c r="E1252" s="4">
        <v>6000</v>
      </c>
    </row>
    <row r="1253" spans="1:5" x14ac:dyDescent="0.3">
      <c r="A1253" s="2">
        <v>1252</v>
      </c>
      <c r="B1253" s="2" t="s">
        <v>899</v>
      </c>
      <c r="C1253" s="2" t="s">
        <v>1001</v>
      </c>
      <c r="D1253" s="2" t="s">
        <v>1002</v>
      </c>
      <c r="E1253" s="4">
        <v>4500</v>
      </c>
    </row>
    <row r="1254" spans="1:5" x14ac:dyDescent="0.3">
      <c r="A1254" s="2">
        <v>1253</v>
      </c>
      <c r="B1254" s="2" t="s">
        <v>899</v>
      </c>
      <c r="C1254" s="2" t="s">
        <v>1003</v>
      </c>
      <c r="D1254" s="2" t="s">
        <v>1004</v>
      </c>
      <c r="E1254" s="4">
        <v>4000</v>
      </c>
    </row>
    <row r="1255" spans="1:5" x14ac:dyDescent="0.3">
      <c r="A1255" s="2">
        <v>1254</v>
      </c>
      <c r="B1255" s="2" t="s">
        <v>899</v>
      </c>
      <c r="C1255" s="2" t="s">
        <v>1005</v>
      </c>
      <c r="D1255" s="2" t="s">
        <v>1006</v>
      </c>
      <c r="E1255" s="4">
        <v>3000</v>
      </c>
    </row>
    <row r="1256" spans="1:5" x14ac:dyDescent="0.3">
      <c r="A1256" s="2">
        <v>1255</v>
      </c>
      <c r="B1256" s="2" t="s">
        <v>899</v>
      </c>
      <c r="C1256" s="2" t="s">
        <v>1007</v>
      </c>
      <c r="D1256" s="2" t="s">
        <v>1008</v>
      </c>
      <c r="E1256" s="4">
        <v>2500</v>
      </c>
    </row>
    <row r="1257" spans="1:5" x14ac:dyDescent="0.3">
      <c r="A1257" s="2">
        <v>1256</v>
      </c>
      <c r="B1257" s="2" t="s">
        <v>899</v>
      </c>
      <c r="C1257" s="2" t="s">
        <v>1009</v>
      </c>
      <c r="D1257" s="2" t="s">
        <v>1010</v>
      </c>
      <c r="E1257" s="4">
        <v>8000</v>
      </c>
    </row>
    <row r="1258" spans="1:5" x14ac:dyDescent="0.3">
      <c r="A1258" s="2">
        <v>1257</v>
      </c>
      <c r="B1258" s="2" t="s">
        <v>899</v>
      </c>
      <c r="C1258" s="2" t="s">
        <v>1057</v>
      </c>
      <c r="D1258" s="2" t="s">
        <v>1058</v>
      </c>
      <c r="E1258" s="4">
        <v>9000</v>
      </c>
    </row>
    <row r="1259" spans="1:5" x14ac:dyDescent="0.3">
      <c r="A1259" s="2">
        <v>1258</v>
      </c>
      <c r="B1259" s="2" t="s">
        <v>899</v>
      </c>
      <c r="C1259" s="2" t="s">
        <v>1011</v>
      </c>
      <c r="D1259" s="2" t="s">
        <v>1012</v>
      </c>
      <c r="E1259" s="4">
        <v>8000</v>
      </c>
    </row>
    <row r="1260" spans="1:5" x14ac:dyDescent="0.3">
      <c r="A1260" s="2">
        <v>1259</v>
      </c>
      <c r="B1260" s="2" t="s">
        <v>899</v>
      </c>
      <c r="C1260" s="2" t="s">
        <v>1013</v>
      </c>
      <c r="D1260" s="2" t="s">
        <v>1014</v>
      </c>
      <c r="E1260" s="4">
        <v>6000</v>
      </c>
    </row>
    <row r="1261" spans="1:5" x14ac:dyDescent="0.3">
      <c r="A1261" s="2">
        <v>1260</v>
      </c>
      <c r="B1261" s="2" t="s">
        <v>904</v>
      </c>
      <c r="C1261" s="2" t="s">
        <v>993</v>
      </c>
      <c r="D1261" s="2" t="s">
        <v>994</v>
      </c>
      <c r="E1261" s="4">
        <v>5000</v>
      </c>
    </row>
    <row r="1262" spans="1:5" x14ac:dyDescent="0.3">
      <c r="A1262" s="2">
        <v>1261</v>
      </c>
      <c r="B1262" s="2" t="s">
        <v>904</v>
      </c>
      <c r="C1262" s="2" t="s">
        <v>995</v>
      </c>
      <c r="D1262" s="2" t="s">
        <v>996</v>
      </c>
      <c r="E1262" s="4">
        <v>6000</v>
      </c>
    </row>
    <row r="1263" spans="1:5" x14ac:dyDescent="0.3">
      <c r="A1263" s="2">
        <v>1262</v>
      </c>
      <c r="B1263" s="2" t="s">
        <v>904</v>
      </c>
      <c r="C1263" s="2" t="s">
        <v>997</v>
      </c>
      <c r="D1263" s="2" t="s">
        <v>998</v>
      </c>
      <c r="E1263" s="4">
        <v>5500</v>
      </c>
    </row>
    <row r="1264" spans="1:5" x14ac:dyDescent="0.3">
      <c r="A1264" s="2">
        <v>1263</v>
      </c>
      <c r="B1264" s="2" t="s">
        <v>904</v>
      </c>
      <c r="C1264" s="2" t="s">
        <v>999</v>
      </c>
      <c r="D1264" s="2" t="s">
        <v>1000</v>
      </c>
      <c r="E1264" s="4">
        <v>6000</v>
      </c>
    </row>
    <row r="1265" spans="1:5" x14ac:dyDescent="0.3">
      <c r="A1265" s="2">
        <v>1264</v>
      </c>
      <c r="B1265" s="2" t="s">
        <v>904</v>
      </c>
      <c r="C1265" s="2" t="s">
        <v>1001</v>
      </c>
      <c r="D1265" s="2" t="s">
        <v>1002</v>
      </c>
      <c r="E1265" s="4">
        <v>4500</v>
      </c>
    </row>
    <row r="1266" spans="1:5" x14ac:dyDescent="0.3">
      <c r="A1266" s="2">
        <v>1265</v>
      </c>
      <c r="B1266" s="2" t="s">
        <v>904</v>
      </c>
      <c r="C1266" s="2" t="s">
        <v>1003</v>
      </c>
      <c r="D1266" s="2" t="s">
        <v>1004</v>
      </c>
      <c r="E1266" s="4">
        <v>4000</v>
      </c>
    </row>
    <row r="1267" spans="1:5" x14ac:dyDescent="0.3">
      <c r="A1267" s="2">
        <v>1266</v>
      </c>
      <c r="B1267" s="2" t="s">
        <v>904</v>
      </c>
      <c r="C1267" s="2" t="s">
        <v>1005</v>
      </c>
      <c r="D1267" s="2" t="s">
        <v>1006</v>
      </c>
      <c r="E1267" s="4">
        <v>3000</v>
      </c>
    </row>
    <row r="1268" spans="1:5" x14ac:dyDescent="0.3">
      <c r="A1268" s="2">
        <v>1267</v>
      </c>
      <c r="B1268" s="2" t="s">
        <v>904</v>
      </c>
      <c r="C1268" s="2" t="s">
        <v>1007</v>
      </c>
      <c r="D1268" s="2" t="s">
        <v>1008</v>
      </c>
      <c r="E1268" s="4">
        <v>2500</v>
      </c>
    </row>
    <row r="1269" spans="1:5" x14ac:dyDescent="0.3">
      <c r="A1269" s="2">
        <v>1268</v>
      </c>
      <c r="B1269" s="2" t="s">
        <v>904</v>
      </c>
      <c r="C1269" s="2" t="s">
        <v>1009</v>
      </c>
      <c r="D1269" s="2" t="s">
        <v>1010</v>
      </c>
      <c r="E1269" s="4">
        <v>8000</v>
      </c>
    </row>
    <row r="1270" spans="1:5" x14ac:dyDescent="0.3">
      <c r="A1270" s="2">
        <v>1269</v>
      </c>
      <c r="B1270" s="2" t="s">
        <v>904</v>
      </c>
      <c r="C1270" s="2" t="s">
        <v>1057</v>
      </c>
      <c r="D1270" s="2" t="s">
        <v>1058</v>
      </c>
      <c r="E1270" s="4">
        <v>9000</v>
      </c>
    </row>
    <row r="1271" spans="1:5" x14ac:dyDescent="0.3">
      <c r="A1271" s="2">
        <v>1270</v>
      </c>
      <c r="B1271" s="2" t="s">
        <v>904</v>
      </c>
      <c r="C1271" s="2" t="s">
        <v>1011</v>
      </c>
      <c r="D1271" s="2" t="s">
        <v>1012</v>
      </c>
      <c r="E1271" s="4">
        <v>8000</v>
      </c>
    </row>
    <row r="1272" spans="1:5" x14ac:dyDescent="0.3">
      <c r="A1272" s="2">
        <v>1271</v>
      </c>
      <c r="B1272" s="2" t="s">
        <v>904</v>
      </c>
      <c r="C1272" s="2" t="s">
        <v>1013</v>
      </c>
      <c r="D1272" s="2" t="s">
        <v>1014</v>
      </c>
      <c r="E1272" s="4">
        <v>6000</v>
      </c>
    </row>
    <row r="1273" spans="1:5" x14ac:dyDescent="0.3">
      <c r="A1273" s="2">
        <v>1272</v>
      </c>
      <c r="B1273" s="2" t="s">
        <v>909</v>
      </c>
      <c r="C1273" s="2" t="s">
        <v>993</v>
      </c>
      <c r="D1273" s="2" t="s">
        <v>994</v>
      </c>
      <c r="E1273" s="4">
        <v>5000</v>
      </c>
    </row>
    <row r="1274" spans="1:5" x14ac:dyDescent="0.3">
      <c r="A1274" s="2">
        <v>1273</v>
      </c>
      <c r="B1274" s="2" t="s">
        <v>909</v>
      </c>
      <c r="C1274" s="2" t="s">
        <v>995</v>
      </c>
      <c r="D1274" s="2" t="s">
        <v>996</v>
      </c>
      <c r="E1274" s="4">
        <v>6000</v>
      </c>
    </row>
    <row r="1275" spans="1:5" x14ac:dyDescent="0.3">
      <c r="A1275" s="2">
        <v>1274</v>
      </c>
      <c r="B1275" s="2" t="s">
        <v>909</v>
      </c>
      <c r="C1275" s="2" t="s">
        <v>997</v>
      </c>
      <c r="D1275" s="2" t="s">
        <v>998</v>
      </c>
      <c r="E1275" s="4">
        <v>5500</v>
      </c>
    </row>
    <row r="1276" spans="1:5" x14ac:dyDescent="0.3">
      <c r="A1276" s="2">
        <v>1275</v>
      </c>
      <c r="B1276" s="2" t="s">
        <v>909</v>
      </c>
      <c r="C1276" s="2" t="s">
        <v>999</v>
      </c>
      <c r="D1276" s="2" t="s">
        <v>1000</v>
      </c>
      <c r="E1276" s="4">
        <v>6000</v>
      </c>
    </row>
    <row r="1277" spans="1:5" x14ac:dyDescent="0.3">
      <c r="A1277" s="2">
        <v>1276</v>
      </c>
      <c r="B1277" s="2" t="s">
        <v>909</v>
      </c>
      <c r="C1277" s="2" t="s">
        <v>1001</v>
      </c>
      <c r="D1277" s="2" t="s">
        <v>1002</v>
      </c>
      <c r="E1277" s="4">
        <v>4500</v>
      </c>
    </row>
    <row r="1278" spans="1:5" x14ac:dyDescent="0.3">
      <c r="A1278" s="2">
        <v>1277</v>
      </c>
      <c r="B1278" s="2" t="s">
        <v>909</v>
      </c>
      <c r="C1278" s="2" t="s">
        <v>1003</v>
      </c>
      <c r="D1278" s="2" t="s">
        <v>1004</v>
      </c>
      <c r="E1278" s="4">
        <v>4000</v>
      </c>
    </row>
    <row r="1279" spans="1:5" x14ac:dyDescent="0.3">
      <c r="A1279" s="2">
        <v>1278</v>
      </c>
      <c r="B1279" s="2" t="s">
        <v>909</v>
      </c>
      <c r="C1279" s="2" t="s">
        <v>1005</v>
      </c>
      <c r="D1279" s="2" t="s">
        <v>1006</v>
      </c>
      <c r="E1279" s="4">
        <v>3000</v>
      </c>
    </row>
    <row r="1280" spans="1:5" x14ac:dyDescent="0.3">
      <c r="A1280" s="2">
        <v>1279</v>
      </c>
      <c r="B1280" s="2" t="s">
        <v>909</v>
      </c>
      <c r="C1280" s="2" t="s">
        <v>1007</v>
      </c>
      <c r="D1280" s="2" t="s">
        <v>1008</v>
      </c>
      <c r="E1280" s="4">
        <v>2500</v>
      </c>
    </row>
    <row r="1281" spans="1:5" x14ac:dyDescent="0.3">
      <c r="A1281" s="2">
        <v>1280</v>
      </c>
      <c r="B1281" s="2" t="s">
        <v>909</v>
      </c>
      <c r="C1281" s="2" t="s">
        <v>1009</v>
      </c>
      <c r="D1281" s="2" t="s">
        <v>1010</v>
      </c>
      <c r="E1281" s="4">
        <v>8000</v>
      </c>
    </row>
    <row r="1282" spans="1:5" x14ac:dyDescent="0.3">
      <c r="A1282" s="2">
        <v>1281</v>
      </c>
      <c r="B1282" s="2" t="s">
        <v>909</v>
      </c>
      <c r="C1282" s="2" t="s">
        <v>1057</v>
      </c>
      <c r="D1282" s="2" t="s">
        <v>1058</v>
      </c>
      <c r="E1282" s="4">
        <v>9000</v>
      </c>
    </row>
    <row r="1283" spans="1:5" x14ac:dyDescent="0.3">
      <c r="A1283" s="2">
        <v>1282</v>
      </c>
      <c r="B1283" s="2" t="s">
        <v>909</v>
      </c>
      <c r="C1283" s="2" t="s">
        <v>1011</v>
      </c>
      <c r="D1283" s="2" t="s">
        <v>1012</v>
      </c>
      <c r="E1283" s="4">
        <v>8000</v>
      </c>
    </row>
    <row r="1284" spans="1:5" x14ac:dyDescent="0.3">
      <c r="A1284" s="2">
        <v>1283</v>
      </c>
      <c r="B1284" s="2" t="s">
        <v>909</v>
      </c>
      <c r="C1284" s="2" t="s">
        <v>1013</v>
      </c>
      <c r="D1284" s="2" t="s">
        <v>1014</v>
      </c>
      <c r="E1284" s="4">
        <v>6000</v>
      </c>
    </row>
    <row r="1285" spans="1:5" x14ac:dyDescent="0.3">
      <c r="A1285" s="2">
        <v>1284</v>
      </c>
      <c r="B1285" s="2" t="s">
        <v>914</v>
      </c>
      <c r="C1285" s="2" t="s">
        <v>946</v>
      </c>
      <c r="D1285" s="2" t="s">
        <v>1098</v>
      </c>
      <c r="E1285" s="4">
        <v>15000</v>
      </c>
    </row>
    <row r="1286" spans="1:5" x14ac:dyDescent="0.3">
      <c r="A1286" s="2">
        <v>1285</v>
      </c>
      <c r="B1286" s="2" t="s">
        <v>914</v>
      </c>
      <c r="C1286" s="2" t="s">
        <v>948</v>
      </c>
      <c r="D1286" s="2" t="s">
        <v>949</v>
      </c>
      <c r="E1286" s="4">
        <v>5000</v>
      </c>
    </row>
    <row r="1287" spans="1:5" x14ac:dyDescent="0.3">
      <c r="A1287" s="2">
        <v>1286</v>
      </c>
      <c r="B1287" s="2" t="s">
        <v>914</v>
      </c>
      <c r="C1287" s="2" t="s">
        <v>950</v>
      </c>
      <c r="D1287" s="2" t="s">
        <v>1074</v>
      </c>
      <c r="E1287" s="4">
        <v>4000</v>
      </c>
    </row>
    <row r="1288" spans="1:5" x14ac:dyDescent="0.3">
      <c r="A1288" s="2">
        <v>1287</v>
      </c>
      <c r="B1288" s="2" t="s">
        <v>914</v>
      </c>
      <c r="C1288" s="2" t="s">
        <v>952</v>
      </c>
      <c r="D1288" s="2" t="s">
        <v>953</v>
      </c>
      <c r="E1288" s="4">
        <v>17000</v>
      </c>
    </row>
    <row r="1289" spans="1:5" x14ac:dyDescent="0.3">
      <c r="A1289" s="2">
        <v>1288</v>
      </c>
      <c r="B1289" s="2" t="s">
        <v>914</v>
      </c>
      <c r="C1289" s="2" t="s">
        <v>954</v>
      </c>
      <c r="D1289" s="2" t="s">
        <v>955</v>
      </c>
      <c r="E1289" s="4">
        <v>11000</v>
      </c>
    </row>
    <row r="1290" spans="1:5" x14ac:dyDescent="0.3">
      <c r="A1290" s="2">
        <v>1289</v>
      </c>
      <c r="B1290" s="2" t="s">
        <v>914</v>
      </c>
      <c r="C1290" s="2" t="s">
        <v>956</v>
      </c>
      <c r="D1290" s="2" t="s">
        <v>1075</v>
      </c>
      <c r="E1290" s="4">
        <v>6000</v>
      </c>
    </row>
    <row r="1291" spans="1:5" x14ac:dyDescent="0.3">
      <c r="A1291" s="2">
        <v>1290</v>
      </c>
      <c r="B1291" s="2" t="s">
        <v>914</v>
      </c>
      <c r="C1291" s="2" t="s">
        <v>958</v>
      </c>
      <c r="D1291" s="2" t="s">
        <v>959</v>
      </c>
      <c r="E1291" s="4">
        <v>4500</v>
      </c>
    </row>
    <row r="1292" spans="1:5" x14ac:dyDescent="0.3">
      <c r="A1292" s="2">
        <v>1291</v>
      </c>
      <c r="B1292" s="2" t="s">
        <v>914</v>
      </c>
      <c r="C1292" s="2" t="s">
        <v>960</v>
      </c>
      <c r="D1292" s="2" t="s">
        <v>961</v>
      </c>
      <c r="E1292" s="4">
        <v>8500</v>
      </c>
    </row>
    <row r="1293" spans="1:5" x14ac:dyDescent="0.3">
      <c r="A1293" s="2">
        <v>1292</v>
      </c>
      <c r="B1293" s="2" t="s">
        <v>914</v>
      </c>
      <c r="C1293" s="2" t="s">
        <v>962</v>
      </c>
      <c r="D1293" s="2" t="s">
        <v>963</v>
      </c>
      <c r="E1293" s="4">
        <v>2000</v>
      </c>
    </row>
    <row r="1294" spans="1:5" x14ac:dyDescent="0.3">
      <c r="A1294" s="2">
        <v>1293</v>
      </c>
      <c r="B1294" s="2" t="s">
        <v>919</v>
      </c>
      <c r="C1294" s="2" t="s">
        <v>1028</v>
      </c>
      <c r="D1294" s="2" t="s">
        <v>1029</v>
      </c>
      <c r="E1294" s="4">
        <v>4000</v>
      </c>
    </row>
    <row r="1295" spans="1:5" x14ac:dyDescent="0.3">
      <c r="A1295" s="2">
        <v>1294</v>
      </c>
      <c r="B1295" s="2" t="s">
        <v>919</v>
      </c>
      <c r="C1295" s="2" t="s">
        <v>1030</v>
      </c>
      <c r="D1295" s="2" t="s">
        <v>1031</v>
      </c>
      <c r="E1295" s="4">
        <v>5000</v>
      </c>
    </row>
    <row r="1296" spans="1:5" x14ac:dyDescent="0.3">
      <c r="A1296" s="2">
        <v>1295</v>
      </c>
      <c r="B1296" s="2" t="s">
        <v>919</v>
      </c>
      <c r="C1296" s="2" t="s">
        <v>1032</v>
      </c>
      <c r="D1296" s="2" t="s">
        <v>1033</v>
      </c>
      <c r="E1296" s="4">
        <v>5000</v>
      </c>
    </row>
    <row r="1297" spans="1:5" x14ac:dyDescent="0.3">
      <c r="A1297" s="2">
        <v>1296</v>
      </c>
      <c r="B1297" s="2" t="s">
        <v>919</v>
      </c>
      <c r="C1297" s="2" t="s">
        <v>1034</v>
      </c>
      <c r="D1297" s="2" t="s">
        <v>1035</v>
      </c>
      <c r="E1297" s="4">
        <v>6000</v>
      </c>
    </row>
    <row r="1298" spans="1:5" x14ac:dyDescent="0.3">
      <c r="A1298" s="2">
        <v>1297</v>
      </c>
      <c r="B1298" s="2" t="s">
        <v>919</v>
      </c>
      <c r="C1298" s="2" t="s">
        <v>1036</v>
      </c>
      <c r="D1298" s="2" t="s">
        <v>1037</v>
      </c>
      <c r="E1298" s="4">
        <v>5000</v>
      </c>
    </row>
    <row r="1299" spans="1:5" x14ac:dyDescent="0.3">
      <c r="A1299" s="2">
        <v>1298</v>
      </c>
      <c r="B1299" s="2" t="s">
        <v>919</v>
      </c>
      <c r="C1299" s="2" t="s">
        <v>1038</v>
      </c>
      <c r="D1299" s="2" t="s">
        <v>1039</v>
      </c>
      <c r="E1299" s="4">
        <v>2000</v>
      </c>
    </row>
    <row r="1300" spans="1:5" x14ac:dyDescent="0.3">
      <c r="A1300" s="2">
        <v>1299</v>
      </c>
      <c r="B1300" s="2" t="s">
        <v>919</v>
      </c>
      <c r="C1300" s="2" t="s">
        <v>1065</v>
      </c>
      <c r="D1300" s="2" t="s">
        <v>1066</v>
      </c>
      <c r="E1300" s="4">
        <v>4000</v>
      </c>
    </row>
    <row r="1301" spans="1:5" x14ac:dyDescent="0.3">
      <c r="A1301" s="2">
        <v>1300</v>
      </c>
      <c r="B1301" s="2" t="s">
        <v>919</v>
      </c>
      <c r="C1301" s="2" t="s">
        <v>1067</v>
      </c>
      <c r="D1301" s="2" t="s">
        <v>1068</v>
      </c>
      <c r="E1301" s="4">
        <v>6500</v>
      </c>
    </row>
    <row r="1302" spans="1:5" x14ac:dyDescent="0.3">
      <c r="A1302" s="2">
        <v>1301</v>
      </c>
      <c r="B1302" s="2" t="s">
        <v>919</v>
      </c>
      <c r="C1302" s="2" t="s">
        <v>1069</v>
      </c>
      <c r="D1302" s="2" t="s">
        <v>1070</v>
      </c>
      <c r="E1302" s="4">
        <v>8000</v>
      </c>
    </row>
    <row r="1303" spans="1:5" x14ac:dyDescent="0.3">
      <c r="A1303" s="2">
        <v>1302</v>
      </c>
      <c r="B1303" s="2" t="s">
        <v>924</v>
      </c>
      <c r="C1303" s="2" t="s">
        <v>1028</v>
      </c>
      <c r="D1303" s="2" t="s">
        <v>1029</v>
      </c>
      <c r="E1303" s="4">
        <v>4000</v>
      </c>
    </row>
    <row r="1304" spans="1:5" x14ac:dyDescent="0.3">
      <c r="A1304" s="2">
        <v>1303</v>
      </c>
      <c r="B1304" s="2" t="s">
        <v>924</v>
      </c>
      <c r="C1304" s="2" t="s">
        <v>1030</v>
      </c>
      <c r="D1304" s="2" t="s">
        <v>1031</v>
      </c>
      <c r="E1304" s="4">
        <v>5000</v>
      </c>
    </row>
    <row r="1305" spans="1:5" x14ac:dyDescent="0.3">
      <c r="A1305" s="2">
        <v>1304</v>
      </c>
      <c r="B1305" s="2" t="s">
        <v>924</v>
      </c>
      <c r="C1305" s="2" t="s">
        <v>1032</v>
      </c>
      <c r="D1305" s="2" t="s">
        <v>1033</v>
      </c>
      <c r="E1305" s="4">
        <v>5000</v>
      </c>
    </row>
    <row r="1306" spans="1:5" x14ac:dyDescent="0.3">
      <c r="A1306" s="2">
        <v>1305</v>
      </c>
      <c r="B1306" s="2" t="s">
        <v>924</v>
      </c>
      <c r="C1306" s="2" t="s">
        <v>1034</v>
      </c>
      <c r="D1306" s="2" t="s">
        <v>1035</v>
      </c>
      <c r="E1306" s="4">
        <v>6000</v>
      </c>
    </row>
    <row r="1307" spans="1:5" x14ac:dyDescent="0.3">
      <c r="A1307" s="2">
        <v>1306</v>
      </c>
      <c r="B1307" s="2" t="s">
        <v>924</v>
      </c>
      <c r="C1307" s="2" t="s">
        <v>1036</v>
      </c>
      <c r="D1307" s="2" t="s">
        <v>1037</v>
      </c>
      <c r="E1307" s="4">
        <v>5000</v>
      </c>
    </row>
    <row r="1308" spans="1:5" x14ac:dyDescent="0.3">
      <c r="A1308" s="2">
        <v>1307</v>
      </c>
      <c r="B1308" s="2" t="s">
        <v>924</v>
      </c>
      <c r="C1308" s="2" t="s">
        <v>1038</v>
      </c>
      <c r="D1308" s="2" t="s">
        <v>1039</v>
      </c>
      <c r="E1308" s="4">
        <v>2000</v>
      </c>
    </row>
    <row r="1309" spans="1:5" x14ac:dyDescent="0.3">
      <c r="A1309" s="2">
        <v>1308</v>
      </c>
      <c r="B1309" s="2" t="s">
        <v>924</v>
      </c>
      <c r="C1309" s="2" t="s">
        <v>1065</v>
      </c>
      <c r="D1309" s="2" t="s">
        <v>1066</v>
      </c>
      <c r="E1309" s="4">
        <v>4000</v>
      </c>
    </row>
    <row r="1310" spans="1:5" x14ac:dyDescent="0.3">
      <c r="A1310" s="2">
        <v>1309</v>
      </c>
      <c r="B1310" s="2" t="s">
        <v>924</v>
      </c>
      <c r="C1310" s="2" t="s">
        <v>1067</v>
      </c>
      <c r="D1310" s="2" t="s">
        <v>1068</v>
      </c>
      <c r="E1310" s="4">
        <v>6500</v>
      </c>
    </row>
    <row r="1311" spans="1:5" x14ac:dyDescent="0.3">
      <c r="A1311" s="2">
        <v>1310</v>
      </c>
      <c r="B1311" s="2" t="s">
        <v>924</v>
      </c>
      <c r="C1311" s="2" t="s">
        <v>1069</v>
      </c>
      <c r="D1311" s="2" t="s">
        <v>1070</v>
      </c>
      <c r="E1311" s="4">
        <v>8000</v>
      </c>
    </row>
  </sheetData>
  <phoneticPr fontId="1" type="noConversion"/>
  <conditionalFormatting sqref="A1:E1048576">
    <cfRule type="expression" dxfId="8" priority="2">
      <formula>$A1&lt;&gt;""</formula>
    </cfRule>
  </conditionalFormatting>
  <conditionalFormatting sqref="L1:P1">
    <cfRule type="expression" dxfId="7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autoLine="0" r:id="rId4">
            <anchor moveWithCells="1">
              <from>
                <xdr:col>5</xdr:col>
                <xdr:colOff>219075</xdr:colOff>
                <xdr:row>0</xdr:row>
                <xdr:rowOff>161925</xdr:rowOff>
              </from>
              <to>
                <xdr:col>7</xdr:col>
                <xdr:colOff>619125</xdr:colOff>
                <xdr:row>3</xdr:row>
                <xdr:rowOff>66675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001"/>
  <sheetViews>
    <sheetView topLeftCell="A979" workbookViewId="0">
      <selection activeCell="A988" sqref="A988"/>
    </sheetView>
  </sheetViews>
  <sheetFormatPr defaultRowHeight="16.5" x14ac:dyDescent="0.3"/>
  <cols>
    <col min="1" max="2" width="9" style="2"/>
  </cols>
  <sheetData>
    <row r="1" spans="1:2" x14ac:dyDescent="0.3">
      <c r="A1" s="3" t="s">
        <v>0</v>
      </c>
      <c r="B1" s="3" t="s">
        <v>2</v>
      </c>
    </row>
    <row r="2" spans="1:2" x14ac:dyDescent="0.3">
      <c r="A2" s="2" t="s">
        <v>1123</v>
      </c>
      <c r="B2" s="2" t="s">
        <v>1124</v>
      </c>
    </row>
    <row r="3" spans="1:2" x14ac:dyDescent="0.3">
      <c r="A3" s="2" t="s">
        <v>1125</v>
      </c>
      <c r="B3" s="2" t="s">
        <v>1126</v>
      </c>
    </row>
    <row r="4" spans="1:2" x14ac:dyDescent="0.3">
      <c r="A4" s="2" t="s">
        <v>1127</v>
      </c>
      <c r="B4" s="2" t="s">
        <v>1128</v>
      </c>
    </row>
    <row r="5" spans="1:2" x14ac:dyDescent="0.3">
      <c r="A5" s="2" t="s">
        <v>1129</v>
      </c>
      <c r="B5" s="2" t="s">
        <v>1130</v>
      </c>
    </row>
    <row r="6" spans="1:2" x14ac:dyDescent="0.3">
      <c r="A6" s="2" t="s">
        <v>1131</v>
      </c>
      <c r="B6" s="2" t="s">
        <v>1132</v>
      </c>
    </row>
    <row r="7" spans="1:2" x14ac:dyDescent="0.3">
      <c r="A7" s="2" t="s">
        <v>1133</v>
      </c>
      <c r="B7" s="2" t="s">
        <v>1134</v>
      </c>
    </row>
    <row r="8" spans="1:2" x14ac:dyDescent="0.3">
      <c r="A8" s="2" t="s">
        <v>1135</v>
      </c>
      <c r="B8" s="2" t="s">
        <v>1136</v>
      </c>
    </row>
    <row r="9" spans="1:2" x14ac:dyDescent="0.3">
      <c r="A9" s="2" t="s">
        <v>1137</v>
      </c>
      <c r="B9" s="2" t="s">
        <v>1138</v>
      </c>
    </row>
    <row r="10" spans="1:2" x14ac:dyDescent="0.3">
      <c r="A10" s="2" t="s">
        <v>1139</v>
      </c>
      <c r="B10" s="2" t="s">
        <v>1140</v>
      </c>
    </row>
    <row r="11" spans="1:2" x14ac:dyDescent="0.3">
      <c r="A11" s="2" t="s">
        <v>1141</v>
      </c>
      <c r="B11" s="2" t="s">
        <v>1142</v>
      </c>
    </row>
    <row r="12" spans="1:2" x14ac:dyDescent="0.3">
      <c r="A12" s="2" t="s">
        <v>1143</v>
      </c>
      <c r="B12" s="2" t="s">
        <v>1144</v>
      </c>
    </row>
    <row r="13" spans="1:2" x14ac:dyDescent="0.3">
      <c r="A13" s="2" t="s">
        <v>1145</v>
      </c>
      <c r="B13" s="2" t="s">
        <v>1146</v>
      </c>
    </row>
    <row r="14" spans="1:2" x14ac:dyDescent="0.3">
      <c r="A14" s="2" t="s">
        <v>1147</v>
      </c>
      <c r="B14" s="2" t="s">
        <v>1148</v>
      </c>
    </row>
    <row r="15" spans="1:2" x14ac:dyDescent="0.3">
      <c r="A15" s="2" t="s">
        <v>1149</v>
      </c>
      <c r="B15" s="2" t="s">
        <v>1150</v>
      </c>
    </row>
    <row r="16" spans="1:2" x14ac:dyDescent="0.3">
      <c r="A16" s="2" t="s">
        <v>1151</v>
      </c>
      <c r="B16" s="2" t="s">
        <v>1152</v>
      </c>
    </row>
    <row r="17" spans="1:2" x14ac:dyDescent="0.3">
      <c r="A17" s="2" t="s">
        <v>1153</v>
      </c>
      <c r="B17" s="2" t="s">
        <v>1154</v>
      </c>
    </row>
    <row r="18" spans="1:2" x14ac:dyDescent="0.3">
      <c r="A18" s="2" t="s">
        <v>1155</v>
      </c>
      <c r="B18" s="2" t="s">
        <v>1156</v>
      </c>
    </row>
    <row r="19" spans="1:2" x14ac:dyDescent="0.3">
      <c r="A19" s="2" t="s">
        <v>1157</v>
      </c>
      <c r="B19" s="2" t="s">
        <v>1158</v>
      </c>
    </row>
    <row r="20" spans="1:2" x14ac:dyDescent="0.3">
      <c r="A20" s="2" t="s">
        <v>1159</v>
      </c>
      <c r="B20" s="2" t="s">
        <v>1160</v>
      </c>
    </row>
    <row r="21" spans="1:2" x14ac:dyDescent="0.3">
      <c r="A21" s="2" t="s">
        <v>1161</v>
      </c>
      <c r="B21" s="2" t="s">
        <v>1162</v>
      </c>
    </row>
    <row r="22" spans="1:2" x14ac:dyDescent="0.3">
      <c r="A22" s="2" t="s">
        <v>1163</v>
      </c>
      <c r="B22" s="2" t="s">
        <v>1164</v>
      </c>
    </row>
    <row r="23" spans="1:2" x14ac:dyDescent="0.3">
      <c r="A23" s="2" t="s">
        <v>1165</v>
      </c>
      <c r="B23" s="2" t="s">
        <v>1166</v>
      </c>
    </row>
    <row r="24" spans="1:2" x14ac:dyDescent="0.3">
      <c r="A24" s="2" t="s">
        <v>1167</v>
      </c>
      <c r="B24" s="2" t="s">
        <v>1168</v>
      </c>
    </row>
    <row r="25" spans="1:2" x14ac:dyDescent="0.3">
      <c r="A25" s="2" t="s">
        <v>1169</v>
      </c>
      <c r="B25" s="2" t="s">
        <v>1170</v>
      </c>
    </row>
    <row r="26" spans="1:2" x14ac:dyDescent="0.3">
      <c r="A26" s="2" t="s">
        <v>1171</v>
      </c>
      <c r="B26" s="2" t="s">
        <v>1172</v>
      </c>
    </row>
    <row r="27" spans="1:2" x14ac:dyDescent="0.3">
      <c r="A27" s="2" t="s">
        <v>1173</v>
      </c>
      <c r="B27" s="2" t="s">
        <v>1174</v>
      </c>
    </row>
    <row r="28" spans="1:2" x14ac:dyDescent="0.3">
      <c r="A28" s="2" t="s">
        <v>1175</v>
      </c>
      <c r="B28" s="2" t="s">
        <v>1176</v>
      </c>
    </row>
    <row r="29" spans="1:2" x14ac:dyDescent="0.3">
      <c r="A29" s="2" t="s">
        <v>1177</v>
      </c>
      <c r="B29" s="2" t="s">
        <v>1178</v>
      </c>
    </row>
    <row r="30" spans="1:2" x14ac:dyDescent="0.3">
      <c r="A30" s="2" t="s">
        <v>1179</v>
      </c>
      <c r="B30" s="2" t="s">
        <v>1180</v>
      </c>
    </row>
    <row r="31" spans="1:2" x14ac:dyDescent="0.3">
      <c r="A31" s="2" t="s">
        <v>1181</v>
      </c>
      <c r="B31" s="2" t="s">
        <v>1182</v>
      </c>
    </row>
    <row r="32" spans="1:2" x14ac:dyDescent="0.3">
      <c r="A32" s="2" t="s">
        <v>1183</v>
      </c>
      <c r="B32" s="2" t="s">
        <v>1184</v>
      </c>
    </row>
    <row r="33" spans="1:2" x14ac:dyDescent="0.3">
      <c r="A33" s="2" t="s">
        <v>1185</v>
      </c>
      <c r="B33" s="2" t="s">
        <v>1186</v>
      </c>
    </row>
    <row r="34" spans="1:2" x14ac:dyDescent="0.3">
      <c r="A34" s="2" t="s">
        <v>1187</v>
      </c>
      <c r="B34" s="2" t="s">
        <v>1188</v>
      </c>
    </row>
    <row r="35" spans="1:2" x14ac:dyDescent="0.3">
      <c r="A35" s="2" t="s">
        <v>1189</v>
      </c>
      <c r="B35" s="2" t="s">
        <v>1190</v>
      </c>
    </row>
    <row r="36" spans="1:2" x14ac:dyDescent="0.3">
      <c r="A36" s="2" t="s">
        <v>1191</v>
      </c>
      <c r="B36" s="2" t="s">
        <v>1192</v>
      </c>
    </row>
    <row r="37" spans="1:2" x14ac:dyDescent="0.3">
      <c r="A37" s="2" t="s">
        <v>1193</v>
      </c>
      <c r="B37" s="2" t="s">
        <v>1194</v>
      </c>
    </row>
    <row r="38" spans="1:2" x14ac:dyDescent="0.3">
      <c r="A38" s="2" t="s">
        <v>1195</v>
      </c>
      <c r="B38" s="2" t="s">
        <v>1196</v>
      </c>
    </row>
    <row r="39" spans="1:2" x14ac:dyDescent="0.3">
      <c r="A39" s="2" t="s">
        <v>1197</v>
      </c>
      <c r="B39" s="2" t="s">
        <v>1198</v>
      </c>
    </row>
    <row r="40" spans="1:2" x14ac:dyDescent="0.3">
      <c r="A40" s="2" t="s">
        <v>1199</v>
      </c>
      <c r="B40" s="2" t="s">
        <v>1200</v>
      </c>
    </row>
    <row r="41" spans="1:2" x14ac:dyDescent="0.3">
      <c r="A41" s="2" t="s">
        <v>1201</v>
      </c>
      <c r="B41" s="2" t="s">
        <v>1202</v>
      </c>
    </row>
    <row r="42" spans="1:2" x14ac:dyDescent="0.3">
      <c r="A42" s="2" t="s">
        <v>1203</v>
      </c>
      <c r="B42" s="2" t="s">
        <v>1204</v>
      </c>
    </row>
    <row r="43" spans="1:2" x14ac:dyDescent="0.3">
      <c r="A43" s="2" t="s">
        <v>1205</v>
      </c>
      <c r="B43" s="2" t="s">
        <v>1206</v>
      </c>
    </row>
    <row r="44" spans="1:2" x14ac:dyDescent="0.3">
      <c r="A44" s="2" t="s">
        <v>1207</v>
      </c>
      <c r="B44" s="2" t="s">
        <v>1208</v>
      </c>
    </row>
    <row r="45" spans="1:2" x14ac:dyDescent="0.3">
      <c r="A45" s="2" t="s">
        <v>1209</v>
      </c>
      <c r="B45" s="2" t="s">
        <v>1210</v>
      </c>
    </row>
    <row r="46" spans="1:2" x14ac:dyDescent="0.3">
      <c r="A46" s="2" t="s">
        <v>1211</v>
      </c>
      <c r="B46" s="2" t="s">
        <v>1212</v>
      </c>
    </row>
    <row r="47" spans="1:2" x14ac:dyDescent="0.3">
      <c r="A47" s="2" t="s">
        <v>1213</v>
      </c>
      <c r="B47" s="2" t="s">
        <v>1214</v>
      </c>
    </row>
    <row r="48" spans="1:2" x14ac:dyDescent="0.3">
      <c r="A48" s="2" t="s">
        <v>1215</v>
      </c>
      <c r="B48" s="2" t="s">
        <v>1216</v>
      </c>
    </row>
    <row r="49" spans="1:2" x14ac:dyDescent="0.3">
      <c r="A49" s="2" t="s">
        <v>1217</v>
      </c>
      <c r="B49" s="2" t="s">
        <v>1218</v>
      </c>
    </row>
    <row r="50" spans="1:2" x14ac:dyDescent="0.3">
      <c r="A50" s="2" t="s">
        <v>1219</v>
      </c>
      <c r="B50" s="2" t="s">
        <v>1220</v>
      </c>
    </row>
    <row r="51" spans="1:2" x14ac:dyDescent="0.3">
      <c r="A51" s="2" t="s">
        <v>1221</v>
      </c>
      <c r="B51" s="2" t="s">
        <v>1222</v>
      </c>
    </row>
    <row r="52" spans="1:2" x14ac:dyDescent="0.3">
      <c r="A52" s="2" t="s">
        <v>1223</v>
      </c>
      <c r="B52" s="2" t="s">
        <v>1224</v>
      </c>
    </row>
    <row r="53" spans="1:2" x14ac:dyDescent="0.3">
      <c r="A53" s="2" t="s">
        <v>1225</v>
      </c>
      <c r="B53" s="2" t="s">
        <v>1226</v>
      </c>
    </row>
    <row r="54" spans="1:2" x14ac:dyDescent="0.3">
      <c r="A54" s="2" t="s">
        <v>1227</v>
      </c>
      <c r="B54" s="2" t="s">
        <v>1228</v>
      </c>
    </row>
    <row r="55" spans="1:2" x14ac:dyDescent="0.3">
      <c r="A55" s="2" t="s">
        <v>1229</v>
      </c>
      <c r="B55" s="2" t="s">
        <v>1230</v>
      </c>
    </row>
    <row r="56" spans="1:2" x14ac:dyDescent="0.3">
      <c r="A56" s="2" t="s">
        <v>1231</v>
      </c>
      <c r="B56" s="2" t="s">
        <v>1232</v>
      </c>
    </row>
    <row r="57" spans="1:2" x14ac:dyDescent="0.3">
      <c r="A57" s="2" t="s">
        <v>1233</v>
      </c>
      <c r="B57" s="2" t="s">
        <v>1234</v>
      </c>
    </row>
    <row r="58" spans="1:2" x14ac:dyDescent="0.3">
      <c r="A58" s="2" t="s">
        <v>1235</v>
      </c>
      <c r="B58" s="2" t="s">
        <v>1236</v>
      </c>
    </row>
    <row r="59" spans="1:2" x14ac:dyDescent="0.3">
      <c r="A59" s="2" t="s">
        <v>1237</v>
      </c>
      <c r="B59" s="2" t="s">
        <v>1238</v>
      </c>
    </row>
    <row r="60" spans="1:2" x14ac:dyDescent="0.3">
      <c r="A60" s="2" t="s">
        <v>1239</v>
      </c>
      <c r="B60" s="2" t="s">
        <v>1240</v>
      </c>
    </row>
    <row r="61" spans="1:2" x14ac:dyDescent="0.3">
      <c r="A61" s="2" t="s">
        <v>1241</v>
      </c>
      <c r="B61" s="2" t="s">
        <v>1242</v>
      </c>
    </row>
    <row r="62" spans="1:2" x14ac:dyDescent="0.3">
      <c r="A62" s="2" t="s">
        <v>1243</v>
      </c>
      <c r="B62" s="2" t="s">
        <v>1244</v>
      </c>
    </row>
    <row r="63" spans="1:2" x14ac:dyDescent="0.3">
      <c r="A63" s="2" t="s">
        <v>1245</v>
      </c>
      <c r="B63" s="2" t="s">
        <v>1246</v>
      </c>
    </row>
    <row r="64" spans="1:2" x14ac:dyDescent="0.3">
      <c r="A64" s="2" t="s">
        <v>1247</v>
      </c>
      <c r="B64" s="2" t="s">
        <v>1248</v>
      </c>
    </row>
    <row r="65" spans="1:2" x14ac:dyDescent="0.3">
      <c r="A65" s="2" t="s">
        <v>1249</v>
      </c>
      <c r="B65" s="2" t="s">
        <v>1250</v>
      </c>
    </row>
    <row r="66" spans="1:2" x14ac:dyDescent="0.3">
      <c r="A66" s="2" t="s">
        <v>1251</v>
      </c>
      <c r="B66" s="2" t="s">
        <v>1252</v>
      </c>
    </row>
    <row r="67" spans="1:2" x14ac:dyDescent="0.3">
      <c r="A67" s="2" t="s">
        <v>1253</v>
      </c>
      <c r="B67" s="2" t="s">
        <v>1254</v>
      </c>
    </row>
    <row r="68" spans="1:2" x14ac:dyDescent="0.3">
      <c r="A68" s="2" t="s">
        <v>1255</v>
      </c>
      <c r="B68" s="2" t="s">
        <v>1256</v>
      </c>
    </row>
    <row r="69" spans="1:2" x14ac:dyDescent="0.3">
      <c r="A69" s="2" t="s">
        <v>1257</v>
      </c>
      <c r="B69" s="2" t="s">
        <v>1258</v>
      </c>
    </row>
    <row r="70" spans="1:2" x14ac:dyDescent="0.3">
      <c r="A70" s="2" t="s">
        <v>1259</v>
      </c>
      <c r="B70" s="2" t="s">
        <v>1260</v>
      </c>
    </row>
    <row r="71" spans="1:2" x14ac:dyDescent="0.3">
      <c r="A71" s="2" t="s">
        <v>1261</v>
      </c>
      <c r="B71" s="2" t="s">
        <v>1262</v>
      </c>
    </row>
    <row r="72" spans="1:2" x14ac:dyDescent="0.3">
      <c r="A72" s="2" t="s">
        <v>1263</v>
      </c>
      <c r="B72" s="2" t="s">
        <v>1264</v>
      </c>
    </row>
    <row r="73" spans="1:2" x14ac:dyDescent="0.3">
      <c r="A73" s="2" t="s">
        <v>1265</v>
      </c>
      <c r="B73" s="2" t="s">
        <v>1266</v>
      </c>
    </row>
    <row r="74" spans="1:2" x14ac:dyDescent="0.3">
      <c r="A74" s="2" t="s">
        <v>1267</v>
      </c>
      <c r="B74" s="2" t="s">
        <v>1268</v>
      </c>
    </row>
    <row r="75" spans="1:2" x14ac:dyDescent="0.3">
      <c r="A75" s="2" t="s">
        <v>1269</v>
      </c>
      <c r="B75" s="2" t="s">
        <v>1270</v>
      </c>
    </row>
    <row r="76" spans="1:2" x14ac:dyDescent="0.3">
      <c r="A76" s="2" t="s">
        <v>1271</v>
      </c>
      <c r="B76" s="2" t="s">
        <v>1272</v>
      </c>
    </row>
    <row r="77" spans="1:2" x14ac:dyDescent="0.3">
      <c r="A77" s="2" t="s">
        <v>1273</v>
      </c>
      <c r="B77" s="2" t="s">
        <v>1274</v>
      </c>
    </row>
    <row r="78" spans="1:2" x14ac:dyDescent="0.3">
      <c r="A78" s="2" t="s">
        <v>1275</v>
      </c>
      <c r="B78" s="2" t="s">
        <v>1276</v>
      </c>
    </row>
    <row r="79" spans="1:2" x14ac:dyDescent="0.3">
      <c r="A79" s="2" t="s">
        <v>1277</v>
      </c>
      <c r="B79" s="2" t="s">
        <v>1278</v>
      </c>
    </row>
    <row r="80" spans="1:2" x14ac:dyDescent="0.3">
      <c r="A80" s="2" t="s">
        <v>1279</v>
      </c>
      <c r="B80" s="2" t="s">
        <v>1280</v>
      </c>
    </row>
    <row r="81" spans="1:2" x14ac:dyDescent="0.3">
      <c r="A81" s="2" t="s">
        <v>1281</v>
      </c>
      <c r="B81" s="2" t="s">
        <v>1282</v>
      </c>
    </row>
    <row r="82" spans="1:2" x14ac:dyDescent="0.3">
      <c r="A82" s="2" t="s">
        <v>1283</v>
      </c>
      <c r="B82" s="2" t="s">
        <v>1284</v>
      </c>
    </row>
    <row r="83" spans="1:2" x14ac:dyDescent="0.3">
      <c r="A83" s="2" t="s">
        <v>1285</v>
      </c>
      <c r="B83" s="2" t="s">
        <v>1286</v>
      </c>
    </row>
    <row r="84" spans="1:2" x14ac:dyDescent="0.3">
      <c r="A84" s="2" t="s">
        <v>1287</v>
      </c>
      <c r="B84" s="2" t="s">
        <v>1288</v>
      </c>
    </row>
    <row r="85" spans="1:2" x14ac:dyDescent="0.3">
      <c r="A85" s="2" t="s">
        <v>1289</v>
      </c>
      <c r="B85" s="2" t="s">
        <v>1290</v>
      </c>
    </row>
    <row r="86" spans="1:2" x14ac:dyDescent="0.3">
      <c r="A86" s="2" t="s">
        <v>1291</v>
      </c>
      <c r="B86" s="2" t="s">
        <v>1292</v>
      </c>
    </row>
    <row r="87" spans="1:2" x14ac:dyDescent="0.3">
      <c r="A87" s="2" t="s">
        <v>1293</v>
      </c>
      <c r="B87" s="2" t="s">
        <v>1294</v>
      </c>
    </row>
    <row r="88" spans="1:2" x14ac:dyDescent="0.3">
      <c r="A88" s="2" t="s">
        <v>1295</v>
      </c>
      <c r="B88" s="2" t="s">
        <v>1296</v>
      </c>
    </row>
    <row r="89" spans="1:2" x14ac:dyDescent="0.3">
      <c r="A89" s="2" t="s">
        <v>1297</v>
      </c>
      <c r="B89" s="2" t="s">
        <v>1298</v>
      </c>
    </row>
    <row r="90" spans="1:2" x14ac:dyDescent="0.3">
      <c r="A90" s="2" t="s">
        <v>1299</v>
      </c>
      <c r="B90" s="2" t="s">
        <v>1300</v>
      </c>
    </row>
    <row r="91" spans="1:2" x14ac:dyDescent="0.3">
      <c r="A91" s="2" t="s">
        <v>1301</v>
      </c>
      <c r="B91" s="2" t="s">
        <v>1302</v>
      </c>
    </row>
    <row r="92" spans="1:2" x14ac:dyDescent="0.3">
      <c r="A92" s="2" t="s">
        <v>1303</v>
      </c>
      <c r="B92" s="2" t="s">
        <v>1304</v>
      </c>
    </row>
    <row r="93" spans="1:2" x14ac:dyDescent="0.3">
      <c r="A93" s="2" t="s">
        <v>1305</v>
      </c>
      <c r="B93" s="2" t="s">
        <v>1306</v>
      </c>
    </row>
    <row r="94" spans="1:2" x14ac:dyDescent="0.3">
      <c r="A94" s="2" t="s">
        <v>1307</v>
      </c>
      <c r="B94" s="2" t="s">
        <v>1308</v>
      </c>
    </row>
    <row r="95" spans="1:2" x14ac:dyDescent="0.3">
      <c r="A95" s="2" t="s">
        <v>1309</v>
      </c>
      <c r="B95" s="2" t="s">
        <v>1310</v>
      </c>
    </row>
    <row r="96" spans="1:2" x14ac:dyDescent="0.3">
      <c r="A96" s="2" t="s">
        <v>1311</v>
      </c>
      <c r="B96" s="2" t="s">
        <v>1312</v>
      </c>
    </row>
    <row r="97" spans="1:2" x14ac:dyDescent="0.3">
      <c r="A97" s="2" t="s">
        <v>1313</v>
      </c>
      <c r="B97" s="2" t="s">
        <v>1314</v>
      </c>
    </row>
    <row r="98" spans="1:2" x14ac:dyDescent="0.3">
      <c r="A98" s="2" t="s">
        <v>1315</v>
      </c>
      <c r="B98" s="2" t="s">
        <v>1316</v>
      </c>
    </row>
    <row r="99" spans="1:2" x14ac:dyDescent="0.3">
      <c r="A99" s="2" t="s">
        <v>1317</v>
      </c>
      <c r="B99" s="2" t="s">
        <v>1318</v>
      </c>
    </row>
    <row r="100" spans="1:2" x14ac:dyDescent="0.3">
      <c r="A100" s="2" t="s">
        <v>1319</v>
      </c>
      <c r="B100" s="2" t="s">
        <v>1320</v>
      </c>
    </row>
    <row r="101" spans="1:2" x14ac:dyDescent="0.3">
      <c r="A101" s="2" t="s">
        <v>1321</v>
      </c>
      <c r="B101" s="2" t="s">
        <v>1322</v>
      </c>
    </row>
    <row r="102" spans="1:2" x14ac:dyDescent="0.3">
      <c r="A102" s="2" t="s">
        <v>1323</v>
      </c>
      <c r="B102" s="2" t="s">
        <v>1324</v>
      </c>
    </row>
    <row r="103" spans="1:2" x14ac:dyDescent="0.3">
      <c r="A103" s="2" t="s">
        <v>1325</v>
      </c>
      <c r="B103" s="2" t="s">
        <v>1326</v>
      </c>
    </row>
    <row r="104" spans="1:2" x14ac:dyDescent="0.3">
      <c r="A104" s="2" t="s">
        <v>1327</v>
      </c>
      <c r="B104" s="2" t="s">
        <v>1328</v>
      </c>
    </row>
    <row r="105" spans="1:2" x14ac:dyDescent="0.3">
      <c r="A105" s="2" t="s">
        <v>1329</v>
      </c>
      <c r="B105" s="2" t="s">
        <v>1330</v>
      </c>
    </row>
    <row r="106" spans="1:2" x14ac:dyDescent="0.3">
      <c r="A106" s="2" t="s">
        <v>1331</v>
      </c>
      <c r="B106" s="2" t="s">
        <v>1332</v>
      </c>
    </row>
    <row r="107" spans="1:2" x14ac:dyDescent="0.3">
      <c r="A107" s="2" t="s">
        <v>1333</v>
      </c>
      <c r="B107" s="2" t="s">
        <v>1334</v>
      </c>
    </row>
    <row r="108" spans="1:2" x14ac:dyDescent="0.3">
      <c r="A108" s="2" t="s">
        <v>1335</v>
      </c>
      <c r="B108" s="2" t="s">
        <v>1336</v>
      </c>
    </row>
    <row r="109" spans="1:2" x14ac:dyDescent="0.3">
      <c r="A109" s="2" t="s">
        <v>1337</v>
      </c>
      <c r="B109" s="2" t="s">
        <v>1338</v>
      </c>
    </row>
    <row r="110" spans="1:2" x14ac:dyDescent="0.3">
      <c r="A110" s="2" t="s">
        <v>1339</v>
      </c>
      <c r="B110" s="2" t="s">
        <v>1340</v>
      </c>
    </row>
    <row r="111" spans="1:2" x14ac:dyDescent="0.3">
      <c r="A111" s="2" t="s">
        <v>1341</v>
      </c>
      <c r="B111" s="2" t="s">
        <v>1342</v>
      </c>
    </row>
    <row r="112" spans="1:2" x14ac:dyDescent="0.3">
      <c r="A112" s="2" t="s">
        <v>1343</v>
      </c>
      <c r="B112" s="2" t="s">
        <v>1344</v>
      </c>
    </row>
    <row r="113" spans="1:2" x14ac:dyDescent="0.3">
      <c r="A113" s="2" t="s">
        <v>1345</v>
      </c>
      <c r="B113" s="2" t="s">
        <v>1346</v>
      </c>
    </row>
    <row r="114" spans="1:2" x14ac:dyDescent="0.3">
      <c r="A114" s="2" t="s">
        <v>1347</v>
      </c>
      <c r="B114" s="2" t="s">
        <v>1348</v>
      </c>
    </row>
    <row r="115" spans="1:2" x14ac:dyDescent="0.3">
      <c r="A115" s="2" t="s">
        <v>1349</v>
      </c>
      <c r="B115" s="2" t="s">
        <v>1350</v>
      </c>
    </row>
    <row r="116" spans="1:2" x14ac:dyDescent="0.3">
      <c r="A116" s="2" t="s">
        <v>1351</v>
      </c>
      <c r="B116" s="2" t="s">
        <v>1352</v>
      </c>
    </row>
    <row r="117" spans="1:2" x14ac:dyDescent="0.3">
      <c r="A117" s="2" t="s">
        <v>1353</v>
      </c>
      <c r="B117" s="2" t="s">
        <v>1354</v>
      </c>
    </row>
    <row r="118" spans="1:2" x14ac:dyDescent="0.3">
      <c r="A118" s="2" t="s">
        <v>1355</v>
      </c>
      <c r="B118" s="2" t="s">
        <v>1356</v>
      </c>
    </row>
    <row r="119" spans="1:2" x14ac:dyDescent="0.3">
      <c r="A119" s="2" t="s">
        <v>1357</v>
      </c>
      <c r="B119" s="2" t="s">
        <v>1358</v>
      </c>
    </row>
    <row r="120" spans="1:2" x14ac:dyDescent="0.3">
      <c r="A120" s="2" t="s">
        <v>1359</v>
      </c>
      <c r="B120" s="2" t="s">
        <v>1360</v>
      </c>
    </row>
    <row r="121" spans="1:2" x14ac:dyDescent="0.3">
      <c r="A121" s="2" t="s">
        <v>1361</v>
      </c>
      <c r="B121" s="2" t="s">
        <v>1362</v>
      </c>
    </row>
    <row r="122" spans="1:2" x14ac:dyDescent="0.3">
      <c r="A122" s="2" t="s">
        <v>1363</v>
      </c>
      <c r="B122" s="2" t="s">
        <v>1364</v>
      </c>
    </row>
    <row r="123" spans="1:2" x14ac:dyDescent="0.3">
      <c r="A123" s="2" t="s">
        <v>1365</v>
      </c>
      <c r="B123" s="2" t="s">
        <v>1366</v>
      </c>
    </row>
    <row r="124" spans="1:2" x14ac:dyDescent="0.3">
      <c r="A124" s="2" t="s">
        <v>1367</v>
      </c>
      <c r="B124" s="2" t="s">
        <v>1368</v>
      </c>
    </row>
    <row r="125" spans="1:2" x14ac:dyDescent="0.3">
      <c r="A125" s="2" t="s">
        <v>1369</v>
      </c>
      <c r="B125" s="2" t="s">
        <v>1370</v>
      </c>
    </row>
    <row r="126" spans="1:2" x14ac:dyDescent="0.3">
      <c r="A126" s="2" t="s">
        <v>1371</v>
      </c>
      <c r="B126" s="2" t="s">
        <v>1372</v>
      </c>
    </row>
    <row r="127" spans="1:2" x14ac:dyDescent="0.3">
      <c r="A127" s="2" t="s">
        <v>1373</v>
      </c>
      <c r="B127" s="2" t="s">
        <v>1374</v>
      </c>
    </row>
    <row r="128" spans="1:2" x14ac:dyDescent="0.3">
      <c r="A128" s="2" t="s">
        <v>1375</v>
      </c>
      <c r="B128" s="2" t="s">
        <v>1376</v>
      </c>
    </row>
    <row r="129" spans="1:2" x14ac:dyDescent="0.3">
      <c r="A129" s="2" t="s">
        <v>1377</v>
      </c>
      <c r="B129" s="2" t="s">
        <v>1378</v>
      </c>
    </row>
    <row r="130" spans="1:2" x14ac:dyDescent="0.3">
      <c r="A130" s="2" t="s">
        <v>1379</v>
      </c>
      <c r="B130" s="2" t="s">
        <v>1380</v>
      </c>
    </row>
    <row r="131" spans="1:2" x14ac:dyDescent="0.3">
      <c r="A131" s="2" t="s">
        <v>1381</v>
      </c>
      <c r="B131" s="2" t="s">
        <v>1382</v>
      </c>
    </row>
    <row r="132" spans="1:2" x14ac:dyDescent="0.3">
      <c r="A132" s="2" t="s">
        <v>1383</v>
      </c>
      <c r="B132" s="2" t="s">
        <v>1384</v>
      </c>
    </row>
    <row r="133" spans="1:2" x14ac:dyDescent="0.3">
      <c r="A133" s="2" t="s">
        <v>1385</v>
      </c>
      <c r="B133" s="2" t="s">
        <v>1386</v>
      </c>
    </row>
    <row r="134" spans="1:2" x14ac:dyDescent="0.3">
      <c r="A134" s="2" t="s">
        <v>1387</v>
      </c>
      <c r="B134" s="2" t="s">
        <v>1388</v>
      </c>
    </row>
    <row r="135" spans="1:2" x14ac:dyDescent="0.3">
      <c r="A135" s="2" t="s">
        <v>1389</v>
      </c>
      <c r="B135" s="2" t="s">
        <v>1390</v>
      </c>
    </row>
    <row r="136" spans="1:2" x14ac:dyDescent="0.3">
      <c r="A136" s="2" t="s">
        <v>1391</v>
      </c>
      <c r="B136" s="2" t="s">
        <v>1392</v>
      </c>
    </row>
    <row r="137" spans="1:2" x14ac:dyDescent="0.3">
      <c r="A137" s="2" t="s">
        <v>1393</v>
      </c>
      <c r="B137" s="2" t="s">
        <v>1394</v>
      </c>
    </row>
    <row r="138" spans="1:2" x14ac:dyDescent="0.3">
      <c r="A138" s="2" t="s">
        <v>1395</v>
      </c>
      <c r="B138" s="2" t="s">
        <v>1396</v>
      </c>
    </row>
    <row r="139" spans="1:2" x14ac:dyDescent="0.3">
      <c r="A139" s="2" t="s">
        <v>1397</v>
      </c>
      <c r="B139" s="2" t="s">
        <v>1398</v>
      </c>
    </row>
    <row r="140" spans="1:2" x14ac:dyDescent="0.3">
      <c r="A140" s="2" t="s">
        <v>1399</v>
      </c>
      <c r="B140" s="2" t="s">
        <v>1400</v>
      </c>
    </row>
    <row r="141" spans="1:2" x14ac:dyDescent="0.3">
      <c r="A141" s="2" t="s">
        <v>1401</v>
      </c>
      <c r="B141" s="2" t="s">
        <v>1402</v>
      </c>
    </row>
    <row r="142" spans="1:2" x14ac:dyDescent="0.3">
      <c r="A142" s="2" t="s">
        <v>1403</v>
      </c>
      <c r="B142" s="2" t="s">
        <v>1404</v>
      </c>
    </row>
    <row r="143" spans="1:2" x14ac:dyDescent="0.3">
      <c r="A143" s="2" t="s">
        <v>1405</v>
      </c>
      <c r="B143" s="2" t="s">
        <v>1406</v>
      </c>
    </row>
    <row r="144" spans="1:2" x14ac:dyDescent="0.3">
      <c r="A144" s="2" t="s">
        <v>1407</v>
      </c>
      <c r="B144" s="2" t="s">
        <v>1408</v>
      </c>
    </row>
    <row r="145" spans="1:2" x14ac:dyDescent="0.3">
      <c r="A145" s="2" t="s">
        <v>1409</v>
      </c>
      <c r="B145" s="2" t="s">
        <v>1410</v>
      </c>
    </row>
    <row r="146" spans="1:2" x14ac:dyDescent="0.3">
      <c r="A146" s="2" t="s">
        <v>1411</v>
      </c>
      <c r="B146" s="2" t="s">
        <v>1412</v>
      </c>
    </row>
    <row r="147" spans="1:2" x14ac:dyDescent="0.3">
      <c r="A147" s="2" t="s">
        <v>1413</v>
      </c>
      <c r="B147" s="2" t="s">
        <v>1414</v>
      </c>
    </row>
    <row r="148" spans="1:2" x14ac:dyDescent="0.3">
      <c r="A148" s="2" t="s">
        <v>1415</v>
      </c>
      <c r="B148" s="2" t="s">
        <v>1416</v>
      </c>
    </row>
    <row r="149" spans="1:2" x14ac:dyDescent="0.3">
      <c r="A149" s="2" t="s">
        <v>1417</v>
      </c>
      <c r="B149" s="2" t="s">
        <v>1418</v>
      </c>
    </row>
    <row r="150" spans="1:2" x14ac:dyDescent="0.3">
      <c r="A150" s="2" t="s">
        <v>1419</v>
      </c>
      <c r="B150" s="2" t="s">
        <v>1420</v>
      </c>
    </row>
    <row r="151" spans="1:2" x14ac:dyDescent="0.3">
      <c r="A151" s="2" t="s">
        <v>1421</v>
      </c>
      <c r="B151" s="2" t="s">
        <v>1422</v>
      </c>
    </row>
    <row r="152" spans="1:2" x14ac:dyDescent="0.3">
      <c r="A152" s="2" t="s">
        <v>1423</v>
      </c>
      <c r="B152" s="2" t="s">
        <v>1424</v>
      </c>
    </row>
    <row r="153" spans="1:2" x14ac:dyDescent="0.3">
      <c r="A153" s="2" t="s">
        <v>1425</v>
      </c>
      <c r="B153" s="2" t="s">
        <v>1426</v>
      </c>
    </row>
    <row r="154" spans="1:2" x14ac:dyDescent="0.3">
      <c r="A154" s="2" t="s">
        <v>1427</v>
      </c>
      <c r="B154" s="2" t="s">
        <v>1428</v>
      </c>
    </row>
    <row r="155" spans="1:2" x14ac:dyDescent="0.3">
      <c r="A155" s="2" t="s">
        <v>1429</v>
      </c>
      <c r="B155" s="2" t="s">
        <v>1430</v>
      </c>
    </row>
    <row r="156" spans="1:2" x14ac:dyDescent="0.3">
      <c r="A156" s="2" t="s">
        <v>1431</v>
      </c>
      <c r="B156" s="2" t="s">
        <v>1432</v>
      </c>
    </row>
    <row r="157" spans="1:2" x14ac:dyDescent="0.3">
      <c r="A157" s="2" t="s">
        <v>1433</v>
      </c>
      <c r="B157" s="2" t="s">
        <v>1434</v>
      </c>
    </row>
    <row r="158" spans="1:2" x14ac:dyDescent="0.3">
      <c r="A158" s="2" t="s">
        <v>1435</v>
      </c>
      <c r="B158" s="2" t="s">
        <v>1436</v>
      </c>
    </row>
    <row r="159" spans="1:2" x14ac:dyDescent="0.3">
      <c r="A159" s="2" t="s">
        <v>1437</v>
      </c>
      <c r="B159" s="2" t="s">
        <v>1438</v>
      </c>
    </row>
    <row r="160" spans="1:2" x14ac:dyDescent="0.3">
      <c r="A160" s="2" t="s">
        <v>1439</v>
      </c>
      <c r="B160" s="2" t="s">
        <v>1440</v>
      </c>
    </row>
    <row r="161" spans="1:2" x14ac:dyDescent="0.3">
      <c r="A161" s="2" t="s">
        <v>1441</v>
      </c>
      <c r="B161" s="2" t="s">
        <v>1442</v>
      </c>
    </row>
    <row r="162" spans="1:2" x14ac:dyDescent="0.3">
      <c r="A162" s="2" t="s">
        <v>1443</v>
      </c>
      <c r="B162" s="2" t="s">
        <v>1444</v>
      </c>
    </row>
    <row r="163" spans="1:2" x14ac:dyDescent="0.3">
      <c r="A163" s="2" t="s">
        <v>1445</v>
      </c>
      <c r="B163" s="2" t="s">
        <v>1446</v>
      </c>
    </row>
    <row r="164" spans="1:2" x14ac:dyDescent="0.3">
      <c r="A164" s="2" t="s">
        <v>1447</v>
      </c>
      <c r="B164" s="2" t="s">
        <v>1448</v>
      </c>
    </row>
    <row r="165" spans="1:2" x14ac:dyDescent="0.3">
      <c r="A165" s="2" t="s">
        <v>1449</v>
      </c>
      <c r="B165" s="2" t="s">
        <v>1450</v>
      </c>
    </row>
    <row r="166" spans="1:2" x14ac:dyDescent="0.3">
      <c r="A166" s="2" t="s">
        <v>1451</v>
      </c>
      <c r="B166" s="2" t="s">
        <v>1452</v>
      </c>
    </row>
    <row r="167" spans="1:2" x14ac:dyDescent="0.3">
      <c r="A167" s="2" t="s">
        <v>1453</v>
      </c>
      <c r="B167" s="2" t="s">
        <v>1454</v>
      </c>
    </row>
    <row r="168" spans="1:2" x14ac:dyDescent="0.3">
      <c r="A168" s="2" t="s">
        <v>1455</v>
      </c>
      <c r="B168" s="2" t="s">
        <v>1456</v>
      </c>
    </row>
    <row r="169" spans="1:2" x14ac:dyDescent="0.3">
      <c r="A169" s="2" t="s">
        <v>1457</v>
      </c>
      <c r="B169" s="2" t="s">
        <v>1458</v>
      </c>
    </row>
    <row r="170" spans="1:2" x14ac:dyDescent="0.3">
      <c r="A170" s="2" t="s">
        <v>1459</v>
      </c>
      <c r="B170" s="2" t="s">
        <v>1460</v>
      </c>
    </row>
    <row r="171" spans="1:2" x14ac:dyDescent="0.3">
      <c r="A171" s="2" t="s">
        <v>1461</v>
      </c>
      <c r="B171" s="2" t="s">
        <v>1462</v>
      </c>
    </row>
    <row r="172" spans="1:2" x14ac:dyDescent="0.3">
      <c r="A172" s="2" t="s">
        <v>1463</v>
      </c>
      <c r="B172" s="2" t="s">
        <v>1464</v>
      </c>
    </row>
    <row r="173" spans="1:2" x14ac:dyDescent="0.3">
      <c r="A173" s="2" t="s">
        <v>1465</v>
      </c>
      <c r="B173" s="2" t="s">
        <v>1466</v>
      </c>
    </row>
    <row r="174" spans="1:2" x14ac:dyDescent="0.3">
      <c r="A174" s="2" t="s">
        <v>1467</v>
      </c>
      <c r="B174" s="2" t="s">
        <v>1468</v>
      </c>
    </row>
    <row r="175" spans="1:2" x14ac:dyDescent="0.3">
      <c r="A175" s="2" t="s">
        <v>1469</v>
      </c>
      <c r="B175" s="2" t="s">
        <v>1470</v>
      </c>
    </row>
    <row r="176" spans="1:2" x14ac:dyDescent="0.3">
      <c r="A176" s="2" t="s">
        <v>1471</v>
      </c>
      <c r="B176" s="2" t="s">
        <v>1472</v>
      </c>
    </row>
    <row r="177" spans="1:2" x14ac:dyDescent="0.3">
      <c r="A177" s="2" t="s">
        <v>1473</v>
      </c>
      <c r="B177" s="2" t="s">
        <v>1474</v>
      </c>
    </row>
    <row r="178" spans="1:2" x14ac:dyDescent="0.3">
      <c r="A178" s="2" t="s">
        <v>1475</v>
      </c>
      <c r="B178" s="2" t="s">
        <v>1476</v>
      </c>
    </row>
    <row r="179" spans="1:2" x14ac:dyDescent="0.3">
      <c r="A179" s="2" t="s">
        <v>1477</v>
      </c>
      <c r="B179" s="2" t="s">
        <v>1478</v>
      </c>
    </row>
    <row r="180" spans="1:2" x14ac:dyDescent="0.3">
      <c r="A180" s="2" t="s">
        <v>1479</v>
      </c>
      <c r="B180" s="2" t="s">
        <v>1480</v>
      </c>
    </row>
    <row r="181" spans="1:2" x14ac:dyDescent="0.3">
      <c r="A181" s="2" t="s">
        <v>1481</v>
      </c>
      <c r="B181" s="2" t="s">
        <v>1482</v>
      </c>
    </row>
    <row r="182" spans="1:2" x14ac:dyDescent="0.3">
      <c r="A182" s="2" t="s">
        <v>1483</v>
      </c>
      <c r="B182" s="2" t="s">
        <v>1484</v>
      </c>
    </row>
    <row r="183" spans="1:2" x14ac:dyDescent="0.3">
      <c r="A183" s="2" t="s">
        <v>1485</v>
      </c>
      <c r="B183" s="2" t="s">
        <v>1486</v>
      </c>
    </row>
    <row r="184" spans="1:2" x14ac:dyDescent="0.3">
      <c r="A184" s="2" t="s">
        <v>1487</v>
      </c>
      <c r="B184" s="2" t="s">
        <v>1488</v>
      </c>
    </row>
    <row r="185" spans="1:2" x14ac:dyDescent="0.3">
      <c r="A185" s="2" t="s">
        <v>1489</v>
      </c>
      <c r="B185" s="2" t="s">
        <v>1490</v>
      </c>
    </row>
    <row r="186" spans="1:2" x14ac:dyDescent="0.3">
      <c r="A186" s="2" t="s">
        <v>1491</v>
      </c>
      <c r="B186" s="2" t="s">
        <v>1492</v>
      </c>
    </row>
    <row r="187" spans="1:2" x14ac:dyDescent="0.3">
      <c r="A187" s="2" t="s">
        <v>1493</v>
      </c>
      <c r="B187" s="2" t="s">
        <v>1494</v>
      </c>
    </row>
    <row r="188" spans="1:2" x14ac:dyDescent="0.3">
      <c r="A188" s="2" t="s">
        <v>1495</v>
      </c>
      <c r="B188" s="2" t="s">
        <v>1496</v>
      </c>
    </row>
    <row r="189" spans="1:2" x14ac:dyDescent="0.3">
      <c r="A189" s="2" t="s">
        <v>1497</v>
      </c>
      <c r="B189" s="2" t="s">
        <v>1498</v>
      </c>
    </row>
    <row r="190" spans="1:2" x14ac:dyDescent="0.3">
      <c r="A190" s="2" t="s">
        <v>1499</v>
      </c>
      <c r="B190" s="2" t="s">
        <v>1500</v>
      </c>
    </row>
    <row r="191" spans="1:2" x14ac:dyDescent="0.3">
      <c r="A191" s="2" t="s">
        <v>1501</v>
      </c>
      <c r="B191" s="2" t="s">
        <v>1502</v>
      </c>
    </row>
    <row r="192" spans="1:2" x14ac:dyDescent="0.3">
      <c r="A192" s="2" t="s">
        <v>1503</v>
      </c>
      <c r="B192" s="2" t="s">
        <v>1504</v>
      </c>
    </row>
    <row r="193" spans="1:2" x14ac:dyDescent="0.3">
      <c r="A193" s="2" t="s">
        <v>1505</v>
      </c>
      <c r="B193" s="2" t="s">
        <v>1506</v>
      </c>
    </row>
    <row r="194" spans="1:2" x14ac:dyDescent="0.3">
      <c r="A194" s="2" t="s">
        <v>1507</v>
      </c>
      <c r="B194" s="2" t="s">
        <v>1508</v>
      </c>
    </row>
    <row r="195" spans="1:2" x14ac:dyDescent="0.3">
      <c r="A195" s="2" t="s">
        <v>1509</v>
      </c>
      <c r="B195" s="2" t="s">
        <v>1510</v>
      </c>
    </row>
    <row r="196" spans="1:2" x14ac:dyDescent="0.3">
      <c r="A196" s="2" t="s">
        <v>1511</v>
      </c>
      <c r="B196" s="2" t="s">
        <v>1512</v>
      </c>
    </row>
    <row r="197" spans="1:2" x14ac:dyDescent="0.3">
      <c r="A197" s="2" t="s">
        <v>1513</v>
      </c>
      <c r="B197" s="2" t="s">
        <v>1514</v>
      </c>
    </row>
    <row r="198" spans="1:2" x14ac:dyDescent="0.3">
      <c r="A198" s="2" t="s">
        <v>1515</v>
      </c>
      <c r="B198" s="2" t="s">
        <v>1516</v>
      </c>
    </row>
    <row r="199" spans="1:2" x14ac:dyDescent="0.3">
      <c r="A199" s="2" t="s">
        <v>1517</v>
      </c>
      <c r="B199" s="2" t="s">
        <v>1518</v>
      </c>
    </row>
    <row r="200" spans="1:2" x14ac:dyDescent="0.3">
      <c r="A200" s="2" t="s">
        <v>1519</v>
      </c>
      <c r="B200" s="2" t="s">
        <v>1520</v>
      </c>
    </row>
    <row r="201" spans="1:2" x14ac:dyDescent="0.3">
      <c r="A201" s="2" t="s">
        <v>1521</v>
      </c>
      <c r="B201" s="2" t="s">
        <v>1522</v>
      </c>
    </row>
    <row r="202" spans="1:2" x14ac:dyDescent="0.3">
      <c r="A202" s="2" t="s">
        <v>1523</v>
      </c>
      <c r="B202" s="2" t="s">
        <v>1524</v>
      </c>
    </row>
    <row r="203" spans="1:2" x14ac:dyDescent="0.3">
      <c r="A203" s="2" t="s">
        <v>1525</v>
      </c>
      <c r="B203" s="2" t="s">
        <v>1526</v>
      </c>
    </row>
    <row r="204" spans="1:2" x14ac:dyDescent="0.3">
      <c r="A204" s="2" t="s">
        <v>1527</v>
      </c>
      <c r="B204" s="2" t="s">
        <v>1528</v>
      </c>
    </row>
    <row r="205" spans="1:2" x14ac:dyDescent="0.3">
      <c r="A205" s="2" t="s">
        <v>1529</v>
      </c>
      <c r="B205" s="2" t="s">
        <v>1530</v>
      </c>
    </row>
    <row r="206" spans="1:2" x14ac:dyDescent="0.3">
      <c r="A206" s="2" t="s">
        <v>1531</v>
      </c>
      <c r="B206" s="2" t="s">
        <v>1532</v>
      </c>
    </row>
    <row r="207" spans="1:2" x14ac:dyDescent="0.3">
      <c r="A207" s="2" t="s">
        <v>1533</v>
      </c>
      <c r="B207" s="2" t="s">
        <v>1534</v>
      </c>
    </row>
    <row r="208" spans="1:2" x14ac:dyDescent="0.3">
      <c r="A208" s="2" t="s">
        <v>1535</v>
      </c>
      <c r="B208" s="2" t="s">
        <v>1536</v>
      </c>
    </row>
    <row r="209" spans="1:2" x14ac:dyDescent="0.3">
      <c r="A209" s="2" t="s">
        <v>1537</v>
      </c>
      <c r="B209" s="2" t="s">
        <v>1538</v>
      </c>
    </row>
    <row r="210" spans="1:2" x14ac:dyDescent="0.3">
      <c r="A210" s="2" t="s">
        <v>1539</v>
      </c>
      <c r="B210" s="2" t="s">
        <v>1540</v>
      </c>
    </row>
    <row r="211" spans="1:2" x14ac:dyDescent="0.3">
      <c r="A211" s="2" t="s">
        <v>1541</v>
      </c>
      <c r="B211" s="2" t="s">
        <v>1542</v>
      </c>
    </row>
    <row r="212" spans="1:2" x14ac:dyDescent="0.3">
      <c r="A212" s="2" t="s">
        <v>1543</v>
      </c>
      <c r="B212" s="2" t="s">
        <v>1544</v>
      </c>
    </row>
    <row r="213" spans="1:2" x14ac:dyDescent="0.3">
      <c r="A213" s="2" t="s">
        <v>1545</v>
      </c>
      <c r="B213" s="2" t="s">
        <v>1546</v>
      </c>
    </row>
    <row r="214" spans="1:2" x14ac:dyDescent="0.3">
      <c r="A214" s="2" t="s">
        <v>1547</v>
      </c>
      <c r="B214" s="2" t="s">
        <v>1548</v>
      </c>
    </row>
    <row r="215" spans="1:2" x14ac:dyDescent="0.3">
      <c r="A215" s="2" t="s">
        <v>1549</v>
      </c>
      <c r="B215" s="2" t="s">
        <v>1550</v>
      </c>
    </row>
    <row r="216" spans="1:2" x14ac:dyDescent="0.3">
      <c r="A216" s="2" t="s">
        <v>1551</v>
      </c>
      <c r="B216" s="2" t="s">
        <v>1552</v>
      </c>
    </row>
    <row r="217" spans="1:2" x14ac:dyDescent="0.3">
      <c r="A217" s="2" t="s">
        <v>1553</v>
      </c>
      <c r="B217" s="2" t="s">
        <v>1554</v>
      </c>
    </row>
    <row r="218" spans="1:2" x14ac:dyDescent="0.3">
      <c r="A218" s="2" t="s">
        <v>1555</v>
      </c>
      <c r="B218" s="2" t="s">
        <v>1556</v>
      </c>
    </row>
    <row r="219" spans="1:2" x14ac:dyDescent="0.3">
      <c r="A219" s="2" t="s">
        <v>1557</v>
      </c>
      <c r="B219" s="2" t="s">
        <v>1558</v>
      </c>
    </row>
    <row r="220" spans="1:2" x14ac:dyDescent="0.3">
      <c r="A220" s="2" t="s">
        <v>1559</v>
      </c>
      <c r="B220" s="2" t="s">
        <v>1560</v>
      </c>
    </row>
    <row r="221" spans="1:2" x14ac:dyDescent="0.3">
      <c r="A221" s="2" t="s">
        <v>1561</v>
      </c>
      <c r="B221" s="2" t="s">
        <v>1562</v>
      </c>
    </row>
    <row r="222" spans="1:2" x14ac:dyDescent="0.3">
      <c r="A222" s="2" t="s">
        <v>1563</v>
      </c>
      <c r="B222" s="2" t="s">
        <v>1564</v>
      </c>
    </row>
    <row r="223" spans="1:2" x14ac:dyDescent="0.3">
      <c r="A223" s="2" t="s">
        <v>1565</v>
      </c>
      <c r="B223" s="2" t="s">
        <v>1566</v>
      </c>
    </row>
    <row r="224" spans="1:2" x14ac:dyDescent="0.3">
      <c r="A224" s="2" t="s">
        <v>1567</v>
      </c>
      <c r="B224" s="2" t="s">
        <v>1568</v>
      </c>
    </row>
    <row r="225" spans="1:2" x14ac:dyDescent="0.3">
      <c r="A225" s="2" t="s">
        <v>1569</v>
      </c>
      <c r="B225" s="2" t="s">
        <v>1570</v>
      </c>
    </row>
    <row r="226" spans="1:2" x14ac:dyDescent="0.3">
      <c r="A226" s="2" t="s">
        <v>1571</v>
      </c>
      <c r="B226" s="2" t="s">
        <v>1572</v>
      </c>
    </row>
    <row r="227" spans="1:2" x14ac:dyDescent="0.3">
      <c r="A227" s="2" t="s">
        <v>1573</v>
      </c>
      <c r="B227" s="2" t="s">
        <v>1574</v>
      </c>
    </row>
    <row r="228" spans="1:2" x14ac:dyDescent="0.3">
      <c r="A228" s="2" t="s">
        <v>1575</v>
      </c>
      <c r="B228" s="2" t="s">
        <v>1576</v>
      </c>
    </row>
    <row r="229" spans="1:2" x14ac:dyDescent="0.3">
      <c r="A229" s="2" t="s">
        <v>1577</v>
      </c>
      <c r="B229" s="2" t="s">
        <v>1578</v>
      </c>
    </row>
    <row r="230" spans="1:2" x14ac:dyDescent="0.3">
      <c r="A230" s="2" t="s">
        <v>1579</v>
      </c>
      <c r="B230" s="2" t="s">
        <v>1580</v>
      </c>
    </row>
    <row r="231" spans="1:2" x14ac:dyDescent="0.3">
      <c r="A231" s="2" t="s">
        <v>1581</v>
      </c>
      <c r="B231" s="2" t="s">
        <v>1582</v>
      </c>
    </row>
    <row r="232" spans="1:2" x14ac:dyDescent="0.3">
      <c r="A232" s="2" t="s">
        <v>1583</v>
      </c>
      <c r="B232" s="2" t="s">
        <v>1584</v>
      </c>
    </row>
    <row r="233" spans="1:2" x14ac:dyDescent="0.3">
      <c r="A233" s="2" t="s">
        <v>1585</v>
      </c>
      <c r="B233" s="2" t="s">
        <v>1586</v>
      </c>
    </row>
    <row r="234" spans="1:2" x14ac:dyDescent="0.3">
      <c r="A234" s="2" t="s">
        <v>1587</v>
      </c>
      <c r="B234" s="2" t="s">
        <v>1588</v>
      </c>
    </row>
    <row r="235" spans="1:2" x14ac:dyDescent="0.3">
      <c r="A235" s="2" t="s">
        <v>1589</v>
      </c>
      <c r="B235" s="2" t="s">
        <v>1590</v>
      </c>
    </row>
    <row r="236" spans="1:2" x14ac:dyDescent="0.3">
      <c r="A236" s="2" t="s">
        <v>1591</v>
      </c>
      <c r="B236" s="2" t="s">
        <v>1592</v>
      </c>
    </row>
    <row r="237" spans="1:2" x14ac:dyDescent="0.3">
      <c r="A237" s="2" t="s">
        <v>1593</v>
      </c>
      <c r="B237" s="2" t="s">
        <v>1594</v>
      </c>
    </row>
    <row r="238" spans="1:2" x14ac:dyDescent="0.3">
      <c r="A238" s="2" t="s">
        <v>1595</v>
      </c>
      <c r="B238" s="2" t="s">
        <v>1596</v>
      </c>
    </row>
    <row r="239" spans="1:2" x14ac:dyDescent="0.3">
      <c r="A239" s="2" t="s">
        <v>1597</v>
      </c>
      <c r="B239" s="2" t="s">
        <v>1598</v>
      </c>
    </row>
    <row r="240" spans="1:2" x14ac:dyDescent="0.3">
      <c r="A240" s="2" t="s">
        <v>1599</v>
      </c>
      <c r="B240" s="2" t="s">
        <v>1600</v>
      </c>
    </row>
    <row r="241" spans="1:2" x14ac:dyDescent="0.3">
      <c r="A241" s="2" t="s">
        <v>1601</v>
      </c>
      <c r="B241" s="2" t="s">
        <v>1602</v>
      </c>
    </row>
    <row r="242" spans="1:2" x14ac:dyDescent="0.3">
      <c r="A242" s="2" t="s">
        <v>1603</v>
      </c>
      <c r="B242" s="2" t="s">
        <v>1604</v>
      </c>
    </row>
    <row r="243" spans="1:2" x14ac:dyDescent="0.3">
      <c r="A243" s="2" t="s">
        <v>1605</v>
      </c>
      <c r="B243" s="2" t="s">
        <v>1606</v>
      </c>
    </row>
    <row r="244" spans="1:2" x14ac:dyDescent="0.3">
      <c r="A244" s="2" t="s">
        <v>1607</v>
      </c>
      <c r="B244" s="2" t="s">
        <v>1608</v>
      </c>
    </row>
    <row r="245" spans="1:2" x14ac:dyDescent="0.3">
      <c r="A245" s="2" t="s">
        <v>1609</v>
      </c>
      <c r="B245" s="2" t="s">
        <v>1610</v>
      </c>
    </row>
    <row r="246" spans="1:2" x14ac:dyDescent="0.3">
      <c r="A246" s="2" t="s">
        <v>1611</v>
      </c>
      <c r="B246" s="2" t="s">
        <v>1612</v>
      </c>
    </row>
    <row r="247" spans="1:2" x14ac:dyDescent="0.3">
      <c r="A247" s="2" t="s">
        <v>1613</v>
      </c>
      <c r="B247" s="2" t="s">
        <v>1614</v>
      </c>
    </row>
    <row r="248" spans="1:2" x14ac:dyDescent="0.3">
      <c r="A248" s="2" t="s">
        <v>1615</v>
      </c>
      <c r="B248" s="2" t="s">
        <v>1616</v>
      </c>
    </row>
    <row r="249" spans="1:2" x14ac:dyDescent="0.3">
      <c r="A249" s="2" t="s">
        <v>1617</v>
      </c>
      <c r="B249" s="2" t="s">
        <v>1618</v>
      </c>
    </row>
    <row r="250" spans="1:2" x14ac:dyDescent="0.3">
      <c r="A250" s="2" t="s">
        <v>1619</v>
      </c>
      <c r="B250" s="2" t="s">
        <v>1620</v>
      </c>
    </row>
    <row r="251" spans="1:2" x14ac:dyDescent="0.3">
      <c r="A251" s="2" t="s">
        <v>1621</v>
      </c>
      <c r="B251" s="2" t="s">
        <v>1622</v>
      </c>
    </row>
    <row r="252" spans="1:2" x14ac:dyDescent="0.3">
      <c r="A252" s="2" t="s">
        <v>1623</v>
      </c>
      <c r="B252" s="2" t="s">
        <v>1624</v>
      </c>
    </row>
    <row r="253" spans="1:2" x14ac:dyDescent="0.3">
      <c r="A253" s="2" t="s">
        <v>1625</v>
      </c>
      <c r="B253" s="2" t="s">
        <v>1626</v>
      </c>
    </row>
    <row r="254" spans="1:2" x14ac:dyDescent="0.3">
      <c r="A254" s="2" t="s">
        <v>1627</v>
      </c>
      <c r="B254" s="2" t="s">
        <v>1628</v>
      </c>
    </row>
    <row r="255" spans="1:2" x14ac:dyDescent="0.3">
      <c r="A255" s="2" t="s">
        <v>1629</v>
      </c>
      <c r="B255" s="2" t="s">
        <v>1630</v>
      </c>
    </row>
    <row r="256" spans="1:2" x14ac:dyDescent="0.3">
      <c r="A256" s="2" t="s">
        <v>1631</v>
      </c>
      <c r="B256" s="2" t="s">
        <v>1632</v>
      </c>
    </row>
    <row r="257" spans="1:2" x14ac:dyDescent="0.3">
      <c r="A257" s="2" t="s">
        <v>1633</v>
      </c>
      <c r="B257" s="2" t="s">
        <v>1634</v>
      </c>
    </row>
    <row r="258" spans="1:2" x14ac:dyDescent="0.3">
      <c r="A258" s="2" t="s">
        <v>1635</v>
      </c>
      <c r="B258" s="2" t="s">
        <v>1636</v>
      </c>
    </row>
    <row r="259" spans="1:2" x14ac:dyDescent="0.3">
      <c r="A259" s="2" t="s">
        <v>1637</v>
      </c>
      <c r="B259" s="2" t="s">
        <v>1638</v>
      </c>
    </row>
    <row r="260" spans="1:2" x14ac:dyDescent="0.3">
      <c r="A260" s="2" t="s">
        <v>1639</v>
      </c>
      <c r="B260" s="2" t="s">
        <v>1640</v>
      </c>
    </row>
    <row r="261" spans="1:2" x14ac:dyDescent="0.3">
      <c r="A261" s="2" t="s">
        <v>1641</v>
      </c>
      <c r="B261" s="2" t="s">
        <v>1642</v>
      </c>
    </row>
    <row r="262" spans="1:2" x14ac:dyDescent="0.3">
      <c r="A262" s="2" t="s">
        <v>1643</v>
      </c>
      <c r="B262" s="2" t="s">
        <v>1644</v>
      </c>
    </row>
    <row r="263" spans="1:2" x14ac:dyDescent="0.3">
      <c r="A263" s="2" t="s">
        <v>1645</v>
      </c>
      <c r="B263" s="2" t="s">
        <v>1646</v>
      </c>
    </row>
    <row r="264" spans="1:2" x14ac:dyDescent="0.3">
      <c r="A264" s="2" t="s">
        <v>1647</v>
      </c>
      <c r="B264" s="2" t="s">
        <v>1648</v>
      </c>
    </row>
    <row r="265" spans="1:2" x14ac:dyDescent="0.3">
      <c r="A265" s="2" t="s">
        <v>1649</v>
      </c>
      <c r="B265" s="2" t="s">
        <v>1650</v>
      </c>
    </row>
    <row r="266" spans="1:2" x14ac:dyDescent="0.3">
      <c r="A266" s="2" t="s">
        <v>1651</v>
      </c>
      <c r="B266" s="2" t="s">
        <v>1652</v>
      </c>
    </row>
    <row r="267" spans="1:2" x14ac:dyDescent="0.3">
      <c r="A267" s="2" t="s">
        <v>1653</v>
      </c>
      <c r="B267" s="2" t="s">
        <v>1654</v>
      </c>
    </row>
    <row r="268" spans="1:2" x14ac:dyDescent="0.3">
      <c r="A268" s="2" t="s">
        <v>1655</v>
      </c>
      <c r="B268" s="2" t="s">
        <v>1656</v>
      </c>
    </row>
    <row r="269" spans="1:2" x14ac:dyDescent="0.3">
      <c r="A269" s="2" t="s">
        <v>1657</v>
      </c>
      <c r="B269" s="2" t="s">
        <v>1658</v>
      </c>
    </row>
    <row r="270" spans="1:2" x14ac:dyDescent="0.3">
      <c r="A270" s="2" t="s">
        <v>1659</v>
      </c>
      <c r="B270" s="2" t="s">
        <v>1660</v>
      </c>
    </row>
    <row r="271" spans="1:2" x14ac:dyDescent="0.3">
      <c r="A271" s="2" t="s">
        <v>1661</v>
      </c>
      <c r="B271" s="2" t="s">
        <v>1662</v>
      </c>
    </row>
    <row r="272" spans="1:2" x14ac:dyDescent="0.3">
      <c r="A272" s="2" t="s">
        <v>1663</v>
      </c>
      <c r="B272" s="2" t="s">
        <v>1664</v>
      </c>
    </row>
    <row r="273" spans="1:2" x14ac:dyDescent="0.3">
      <c r="A273" s="2" t="s">
        <v>1665</v>
      </c>
      <c r="B273" s="2" t="s">
        <v>1666</v>
      </c>
    </row>
    <row r="274" spans="1:2" x14ac:dyDescent="0.3">
      <c r="A274" s="2" t="s">
        <v>1667</v>
      </c>
      <c r="B274" s="2" t="s">
        <v>1668</v>
      </c>
    </row>
    <row r="275" spans="1:2" x14ac:dyDescent="0.3">
      <c r="A275" s="2" t="s">
        <v>1669</v>
      </c>
      <c r="B275" s="2" t="s">
        <v>1670</v>
      </c>
    </row>
    <row r="276" spans="1:2" x14ac:dyDescent="0.3">
      <c r="A276" s="2" t="s">
        <v>1671</v>
      </c>
      <c r="B276" s="2" t="s">
        <v>1672</v>
      </c>
    </row>
    <row r="277" spans="1:2" x14ac:dyDescent="0.3">
      <c r="A277" s="2" t="s">
        <v>1673</v>
      </c>
      <c r="B277" s="2" t="s">
        <v>1674</v>
      </c>
    </row>
    <row r="278" spans="1:2" x14ac:dyDescent="0.3">
      <c r="A278" s="2" t="s">
        <v>1675</v>
      </c>
      <c r="B278" s="2" t="s">
        <v>1676</v>
      </c>
    </row>
    <row r="279" spans="1:2" x14ac:dyDescent="0.3">
      <c r="A279" s="2" t="s">
        <v>1677</v>
      </c>
      <c r="B279" s="2" t="s">
        <v>1678</v>
      </c>
    </row>
    <row r="280" spans="1:2" x14ac:dyDescent="0.3">
      <c r="A280" s="2" t="s">
        <v>1679</v>
      </c>
      <c r="B280" s="2" t="s">
        <v>1680</v>
      </c>
    </row>
    <row r="281" spans="1:2" x14ac:dyDescent="0.3">
      <c r="A281" s="2" t="s">
        <v>1681</v>
      </c>
      <c r="B281" s="2" t="s">
        <v>1682</v>
      </c>
    </row>
    <row r="282" spans="1:2" x14ac:dyDescent="0.3">
      <c r="A282" s="2" t="s">
        <v>1683</v>
      </c>
      <c r="B282" s="2" t="s">
        <v>1684</v>
      </c>
    </row>
    <row r="283" spans="1:2" x14ac:dyDescent="0.3">
      <c r="A283" s="2" t="s">
        <v>1685</v>
      </c>
      <c r="B283" s="2" t="s">
        <v>1686</v>
      </c>
    </row>
    <row r="284" spans="1:2" x14ac:dyDescent="0.3">
      <c r="A284" s="2" t="s">
        <v>1687</v>
      </c>
      <c r="B284" s="2" t="s">
        <v>1688</v>
      </c>
    </row>
    <row r="285" spans="1:2" x14ac:dyDescent="0.3">
      <c r="A285" s="2" t="s">
        <v>1689</v>
      </c>
      <c r="B285" s="2" t="s">
        <v>1690</v>
      </c>
    </row>
    <row r="286" spans="1:2" x14ac:dyDescent="0.3">
      <c r="A286" s="2" t="s">
        <v>1691</v>
      </c>
      <c r="B286" s="2" t="s">
        <v>1692</v>
      </c>
    </row>
    <row r="287" spans="1:2" x14ac:dyDescent="0.3">
      <c r="A287" s="2" t="s">
        <v>1693</v>
      </c>
      <c r="B287" s="2" t="s">
        <v>1694</v>
      </c>
    </row>
    <row r="288" spans="1:2" x14ac:dyDescent="0.3">
      <c r="A288" s="2" t="s">
        <v>1695</v>
      </c>
      <c r="B288" s="2" t="s">
        <v>1696</v>
      </c>
    </row>
    <row r="289" spans="1:2" x14ac:dyDescent="0.3">
      <c r="A289" s="2" t="s">
        <v>1697</v>
      </c>
      <c r="B289" s="2" t="s">
        <v>1698</v>
      </c>
    </row>
    <row r="290" spans="1:2" x14ac:dyDescent="0.3">
      <c r="A290" s="2" t="s">
        <v>1699</v>
      </c>
      <c r="B290" s="2" t="s">
        <v>1700</v>
      </c>
    </row>
    <row r="291" spans="1:2" x14ac:dyDescent="0.3">
      <c r="A291" s="2" t="s">
        <v>1701</v>
      </c>
      <c r="B291" s="2" t="s">
        <v>1702</v>
      </c>
    </row>
    <row r="292" spans="1:2" x14ac:dyDescent="0.3">
      <c r="A292" s="2" t="s">
        <v>1703</v>
      </c>
      <c r="B292" s="2" t="s">
        <v>1704</v>
      </c>
    </row>
    <row r="293" spans="1:2" x14ac:dyDescent="0.3">
      <c r="A293" s="2" t="s">
        <v>1705</v>
      </c>
      <c r="B293" s="2" t="s">
        <v>1706</v>
      </c>
    </row>
    <row r="294" spans="1:2" x14ac:dyDescent="0.3">
      <c r="A294" s="2" t="s">
        <v>1707</v>
      </c>
      <c r="B294" s="2" t="s">
        <v>1708</v>
      </c>
    </row>
    <row r="295" spans="1:2" x14ac:dyDescent="0.3">
      <c r="A295" s="2" t="s">
        <v>1709</v>
      </c>
      <c r="B295" s="2" t="s">
        <v>1710</v>
      </c>
    </row>
    <row r="296" spans="1:2" x14ac:dyDescent="0.3">
      <c r="A296" s="2" t="s">
        <v>1711</v>
      </c>
      <c r="B296" s="2" t="s">
        <v>1712</v>
      </c>
    </row>
    <row r="297" spans="1:2" x14ac:dyDescent="0.3">
      <c r="A297" s="2" t="s">
        <v>1713</v>
      </c>
      <c r="B297" s="2" t="s">
        <v>1714</v>
      </c>
    </row>
    <row r="298" spans="1:2" x14ac:dyDescent="0.3">
      <c r="A298" s="2" t="s">
        <v>1715</v>
      </c>
      <c r="B298" s="2" t="s">
        <v>1716</v>
      </c>
    </row>
    <row r="299" spans="1:2" x14ac:dyDescent="0.3">
      <c r="A299" s="2" t="s">
        <v>1717</v>
      </c>
      <c r="B299" s="2" t="s">
        <v>1718</v>
      </c>
    </row>
    <row r="300" spans="1:2" x14ac:dyDescent="0.3">
      <c r="A300" s="2" t="s">
        <v>1719</v>
      </c>
      <c r="B300" s="2" t="s">
        <v>1720</v>
      </c>
    </row>
    <row r="301" spans="1:2" x14ac:dyDescent="0.3">
      <c r="A301" s="2" t="s">
        <v>1721</v>
      </c>
      <c r="B301" s="2" t="s">
        <v>1722</v>
      </c>
    </row>
    <row r="302" spans="1:2" x14ac:dyDescent="0.3">
      <c r="A302" s="2" t="s">
        <v>1723</v>
      </c>
      <c r="B302" s="2" t="s">
        <v>1724</v>
      </c>
    </row>
    <row r="303" spans="1:2" x14ac:dyDescent="0.3">
      <c r="A303" s="2" t="s">
        <v>1725</v>
      </c>
      <c r="B303" s="2" t="s">
        <v>1726</v>
      </c>
    </row>
    <row r="304" spans="1:2" x14ac:dyDescent="0.3">
      <c r="A304" s="2" t="s">
        <v>1727</v>
      </c>
      <c r="B304" s="2" t="s">
        <v>1728</v>
      </c>
    </row>
    <row r="305" spans="1:2" x14ac:dyDescent="0.3">
      <c r="A305" s="2" t="s">
        <v>1729</v>
      </c>
      <c r="B305" s="2" t="s">
        <v>1730</v>
      </c>
    </row>
    <row r="306" spans="1:2" x14ac:dyDescent="0.3">
      <c r="A306" s="2" t="s">
        <v>1731</v>
      </c>
      <c r="B306" s="2" t="s">
        <v>1732</v>
      </c>
    </row>
    <row r="307" spans="1:2" x14ac:dyDescent="0.3">
      <c r="A307" s="2" t="s">
        <v>1733</v>
      </c>
      <c r="B307" s="2" t="s">
        <v>1734</v>
      </c>
    </row>
    <row r="308" spans="1:2" x14ac:dyDescent="0.3">
      <c r="A308" s="2" t="s">
        <v>1735</v>
      </c>
      <c r="B308" s="2" t="s">
        <v>1736</v>
      </c>
    </row>
    <row r="309" spans="1:2" x14ac:dyDescent="0.3">
      <c r="A309" s="2" t="s">
        <v>1737</v>
      </c>
      <c r="B309" s="2" t="s">
        <v>1738</v>
      </c>
    </row>
    <row r="310" spans="1:2" x14ac:dyDescent="0.3">
      <c r="A310" s="2" t="s">
        <v>1739</v>
      </c>
      <c r="B310" s="2" t="s">
        <v>1740</v>
      </c>
    </row>
    <row r="311" spans="1:2" x14ac:dyDescent="0.3">
      <c r="A311" s="2" t="s">
        <v>1741</v>
      </c>
      <c r="B311" s="2" t="s">
        <v>1742</v>
      </c>
    </row>
    <row r="312" spans="1:2" x14ac:dyDescent="0.3">
      <c r="A312" s="2" t="s">
        <v>1743</v>
      </c>
      <c r="B312" s="2" t="s">
        <v>1744</v>
      </c>
    </row>
    <row r="313" spans="1:2" x14ac:dyDescent="0.3">
      <c r="A313" s="2" t="s">
        <v>1745</v>
      </c>
      <c r="B313" s="2" t="s">
        <v>1746</v>
      </c>
    </row>
    <row r="314" spans="1:2" x14ac:dyDescent="0.3">
      <c r="A314" s="2" t="s">
        <v>1747</v>
      </c>
      <c r="B314" s="2" t="s">
        <v>1748</v>
      </c>
    </row>
    <row r="315" spans="1:2" x14ac:dyDescent="0.3">
      <c r="A315" s="2" t="s">
        <v>1749</v>
      </c>
      <c r="B315" s="2" t="s">
        <v>1750</v>
      </c>
    </row>
    <row r="316" spans="1:2" x14ac:dyDescent="0.3">
      <c r="A316" s="2" t="s">
        <v>1751</v>
      </c>
      <c r="B316" s="2" t="s">
        <v>1752</v>
      </c>
    </row>
    <row r="317" spans="1:2" x14ac:dyDescent="0.3">
      <c r="A317" s="2" t="s">
        <v>1753</v>
      </c>
      <c r="B317" s="2" t="s">
        <v>1754</v>
      </c>
    </row>
    <row r="318" spans="1:2" x14ac:dyDescent="0.3">
      <c r="A318" s="2" t="s">
        <v>1755</v>
      </c>
      <c r="B318" s="2" t="s">
        <v>1756</v>
      </c>
    </row>
    <row r="319" spans="1:2" x14ac:dyDescent="0.3">
      <c r="A319" s="2" t="s">
        <v>1757</v>
      </c>
      <c r="B319" s="2" t="s">
        <v>1758</v>
      </c>
    </row>
    <row r="320" spans="1:2" x14ac:dyDescent="0.3">
      <c r="A320" s="2" t="s">
        <v>1759</v>
      </c>
      <c r="B320" s="2" t="s">
        <v>1760</v>
      </c>
    </row>
    <row r="321" spans="1:2" x14ac:dyDescent="0.3">
      <c r="A321" s="2" t="s">
        <v>1761</v>
      </c>
      <c r="B321" s="2" t="s">
        <v>1762</v>
      </c>
    </row>
    <row r="322" spans="1:2" x14ac:dyDescent="0.3">
      <c r="A322" s="2" t="s">
        <v>1763</v>
      </c>
      <c r="B322" s="2" t="s">
        <v>1764</v>
      </c>
    </row>
    <row r="323" spans="1:2" x14ac:dyDescent="0.3">
      <c r="A323" s="2" t="s">
        <v>1765</v>
      </c>
      <c r="B323" s="2" t="s">
        <v>1766</v>
      </c>
    </row>
    <row r="324" spans="1:2" x14ac:dyDescent="0.3">
      <c r="A324" s="2" t="s">
        <v>1767</v>
      </c>
      <c r="B324" s="2" t="s">
        <v>1768</v>
      </c>
    </row>
    <row r="325" spans="1:2" x14ac:dyDescent="0.3">
      <c r="A325" s="2" t="s">
        <v>1769</v>
      </c>
      <c r="B325" s="2" t="s">
        <v>1770</v>
      </c>
    </row>
    <row r="326" spans="1:2" x14ac:dyDescent="0.3">
      <c r="A326" s="2" t="s">
        <v>1771</v>
      </c>
      <c r="B326" s="2" t="s">
        <v>1772</v>
      </c>
    </row>
    <row r="327" spans="1:2" x14ac:dyDescent="0.3">
      <c r="A327" s="2" t="s">
        <v>1773</v>
      </c>
      <c r="B327" s="2" t="s">
        <v>1774</v>
      </c>
    </row>
    <row r="328" spans="1:2" x14ac:dyDescent="0.3">
      <c r="A328" s="2" t="s">
        <v>1775</v>
      </c>
      <c r="B328" s="2" t="s">
        <v>1776</v>
      </c>
    </row>
    <row r="329" spans="1:2" x14ac:dyDescent="0.3">
      <c r="A329" s="2" t="s">
        <v>1777</v>
      </c>
      <c r="B329" s="2" t="s">
        <v>1778</v>
      </c>
    </row>
    <row r="330" spans="1:2" x14ac:dyDescent="0.3">
      <c r="A330" s="2" t="s">
        <v>1779</v>
      </c>
      <c r="B330" s="2" t="s">
        <v>1780</v>
      </c>
    </row>
    <row r="331" spans="1:2" x14ac:dyDescent="0.3">
      <c r="A331" s="2" t="s">
        <v>1781</v>
      </c>
      <c r="B331" s="2" t="s">
        <v>1782</v>
      </c>
    </row>
    <row r="332" spans="1:2" x14ac:dyDescent="0.3">
      <c r="A332" s="2" t="s">
        <v>1783</v>
      </c>
      <c r="B332" s="2" t="s">
        <v>1784</v>
      </c>
    </row>
    <row r="333" spans="1:2" x14ac:dyDescent="0.3">
      <c r="A333" s="2" t="s">
        <v>1785</v>
      </c>
      <c r="B333" s="2" t="s">
        <v>1786</v>
      </c>
    </row>
    <row r="334" spans="1:2" x14ac:dyDescent="0.3">
      <c r="A334" s="2" t="s">
        <v>1787</v>
      </c>
      <c r="B334" s="2" t="s">
        <v>1788</v>
      </c>
    </row>
    <row r="335" spans="1:2" x14ac:dyDescent="0.3">
      <c r="A335" s="2" t="s">
        <v>1789</v>
      </c>
      <c r="B335" s="2" t="s">
        <v>1790</v>
      </c>
    </row>
    <row r="336" spans="1:2" x14ac:dyDescent="0.3">
      <c r="A336" s="2" t="s">
        <v>1791</v>
      </c>
      <c r="B336" s="2" t="s">
        <v>1792</v>
      </c>
    </row>
    <row r="337" spans="1:2" x14ac:dyDescent="0.3">
      <c r="A337" s="2" t="s">
        <v>1793</v>
      </c>
      <c r="B337" s="2" t="s">
        <v>1794</v>
      </c>
    </row>
    <row r="338" spans="1:2" x14ac:dyDescent="0.3">
      <c r="A338" s="2" t="s">
        <v>1795</v>
      </c>
      <c r="B338" s="2" t="s">
        <v>1796</v>
      </c>
    </row>
    <row r="339" spans="1:2" x14ac:dyDescent="0.3">
      <c r="A339" s="2" t="s">
        <v>1797</v>
      </c>
      <c r="B339" s="2" t="s">
        <v>1798</v>
      </c>
    </row>
    <row r="340" spans="1:2" x14ac:dyDescent="0.3">
      <c r="A340" s="2" t="s">
        <v>1799</v>
      </c>
      <c r="B340" s="2" t="s">
        <v>1800</v>
      </c>
    </row>
    <row r="341" spans="1:2" x14ac:dyDescent="0.3">
      <c r="A341" s="2" t="s">
        <v>1801</v>
      </c>
      <c r="B341" s="2" t="s">
        <v>1802</v>
      </c>
    </row>
    <row r="342" spans="1:2" x14ac:dyDescent="0.3">
      <c r="A342" s="2" t="s">
        <v>1803</v>
      </c>
      <c r="B342" s="2" t="s">
        <v>1804</v>
      </c>
    </row>
    <row r="343" spans="1:2" x14ac:dyDescent="0.3">
      <c r="A343" s="2" t="s">
        <v>1805</v>
      </c>
      <c r="B343" s="2" t="s">
        <v>1806</v>
      </c>
    </row>
    <row r="344" spans="1:2" x14ac:dyDescent="0.3">
      <c r="A344" s="2" t="s">
        <v>1807</v>
      </c>
      <c r="B344" s="2" t="s">
        <v>1808</v>
      </c>
    </row>
    <row r="345" spans="1:2" x14ac:dyDescent="0.3">
      <c r="A345" s="2" t="s">
        <v>1809</v>
      </c>
      <c r="B345" s="2" t="s">
        <v>1810</v>
      </c>
    </row>
    <row r="346" spans="1:2" x14ac:dyDescent="0.3">
      <c r="A346" s="2" t="s">
        <v>1811</v>
      </c>
      <c r="B346" s="2" t="s">
        <v>1812</v>
      </c>
    </row>
    <row r="347" spans="1:2" x14ac:dyDescent="0.3">
      <c r="A347" s="2" t="s">
        <v>1813</v>
      </c>
      <c r="B347" s="2" t="s">
        <v>1814</v>
      </c>
    </row>
    <row r="348" spans="1:2" x14ac:dyDescent="0.3">
      <c r="A348" s="2" t="s">
        <v>1815</v>
      </c>
      <c r="B348" s="2" t="s">
        <v>1816</v>
      </c>
    </row>
    <row r="349" spans="1:2" x14ac:dyDescent="0.3">
      <c r="A349" s="2" t="s">
        <v>1817</v>
      </c>
      <c r="B349" s="2" t="s">
        <v>1818</v>
      </c>
    </row>
    <row r="350" spans="1:2" x14ac:dyDescent="0.3">
      <c r="A350" s="2" t="s">
        <v>1819</v>
      </c>
      <c r="B350" s="2" t="s">
        <v>1820</v>
      </c>
    </row>
    <row r="351" spans="1:2" x14ac:dyDescent="0.3">
      <c r="A351" s="2" t="s">
        <v>1821</v>
      </c>
      <c r="B351" s="2" t="s">
        <v>1822</v>
      </c>
    </row>
    <row r="352" spans="1:2" x14ac:dyDescent="0.3">
      <c r="A352" s="2" t="s">
        <v>1823</v>
      </c>
      <c r="B352" s="2" t="s">
        <v>1824</v>
      </c>
    </row>
    <row r="353" spans="1:2" x14ac:dyDescent="0.3">
      <c r="A353" s="2" t="s">
        <v>1825</v>
      </c>
      <c r="B353" s="2" t="s">
        <v>1826</v>
      </c>
    </row>
    <row r="354" spans="1:2" x14ac:dyDescent="0.3">
      <c r="A354" s="2" t="s">
        <v>1827</v>
      </c>
      <c r="B354" s="2" t="s">
        <v>1828</v>
      </c>
    </row>
    <row r="355" spans="1:2" x14ac:dyDescent="0.3">
      <c r="A355" s="2" t="s">
        <v>1829</v>
      </c>
      <c r="B355" s="2" t="s">
        <v>1830</v>
      </c>
    </row>
    <row r="356" spans="1:2" x14ac:dyDescent="0.3">
      <c r="A356" s="2" t="s">
        <v>1831</v>
      </c>
      <c r="B356" s="2" t="s">
        <v>1832</v>
      </c>
    </row>
    <row r="357" spans="1:2" x14ac:dyDescent="0.3">
      <c r="A357" s="2" t="s">
        <v>1833</v>
      </c>
      <c r="B357" s="2" t="s">
        <v>1834</v>
      </c>
    </row>
    <row r="358" spans="1:2" x14ac:dyDescent="0.3">
      <c r="A358" s="2" t="s">
        <v>1835</v>
      </c>
      <c r="B358" s="2" t="s">
        <v>1836</v>
      </c>
    </row>
    <row r="359" spans="1:2" x14ac:dyDescent="0.3">
      <c r="A359" s="2" t="s">
        <v>1837</v>
      </c>
      <c r="B359" s="2" t="s">
        <v>1838</v>
      </c>
    </row>
    <row r="360" spans="1:2" x14ac:dyDescent="0.3">
      <c r="A360" s="2" t="s">
        <v>1839</v>
      </c>
      <c r="B360" s="2" t="s">
        <v>1840</v>
      </c>
    </row>
    <row r="361" spans="1:2" x14ac:dyDescent="0.3">
      <c r="A361" s="2" t="s">
        <v>1841</v>
      </c>
      <c r="B361" s="2" t="s">
        <v>1842</v>
      </c>
    </row>
    <row r="362" spans="1:2" x14ac:dyDescent="0.3">
      <c r="A362" s="2" t="s">
        <v>1843</v>
      </c>
      <c r="B362" s="2" t="s">
        <v>1844</v>
      </c>
    </row>
    <row r="363" spans="1:2" x14ac:dyDescent="0.3">
      <c r="A363" s="2" t="s">
        <v>1845</v>
      </c>
      <c r="B363" s="2" t="s">
        <v>1846</v>
      </c>
    </row>
    <row r="364" spans="1:2" x14ac:dyDescent="0.3">
      <c r="A364" s="2" t="s">
        <v>1847</v>
      </c>
      <c r="B364" s="2" t="s">
        <v>1848</v>
      </c>
    </row>
    <row r="365" spans="1:2" x14ac:dyDescent="0.3">
      <c r="A365" s="2" t="s">
        <v>1849</v>
      </c>
      <c r="B365" s="2" t="s">
        <v>1850</v>
      </c>
    </row>
    <row r="366" spans="1:2" x14ac:dyDescent="0.3">
      <c r="A366" s="2" t="s">
        <v>1851</v>
      </c>
      <c r="B366" s="2" t="s">
        <v>1852</v>
      </c>
    </row>
    <row r="367" spans="1:2" x14ac:dyDescent="0.3">
      <c r="A367" s="2" t="s">
        <v>1853</v>
      </c>
      <c r="B367" s="2" t="s">
        <v>1854</v>
      </c>
    </row>
    <row r="368" spans="1:2" x14ac:dyDescent="0.3">
      <c r="A368" s="2" t="s">
        <v>1855</v>
      </c>
      <c r="B368" s="2" t="s">
        <v>1856</v>
      </c>
    </row>
    <row r="369" spans="1:2" x14ac:dyDescent="0.3">
      <c r="A369" s="2" t="s">
        <v>1857</v>
      </c>
      <c r="B369" s="2" t="s">
        <v>1858</v>
      </c>
    </row>
    <row r="370" spans="1:2" x14ac:dyDescent="0.3">
      <c r="A370" s="2" t="s">
        <v>1859</v>
      </c>
      <c r="B370" s="2" t="s">
        <v>1860</v>
      </c>
    </row>
    <row r="371" spans="1:2" x14ac:dyDescent="0.3">
      <c r="A371" s="2" t="s">
        <v>1861</v>
      </c>
      <c r="B371" s="2" t="s">
        <v>1862</v>
      </c>
    </row>
    <row r="372" spans="1:2" x14ac:dyDescent="0.3">
      <c r="A372" s="2" t="s">
        <v>1863</v>
      </c>
      <c r="B372" s="2" t="s">
        <v>1864</v>
      </c>
    </row>
    <row r="373" spans="1:2" x14ac:dyDescent="0.3">
      <c r="A373" s="2" t="s">
        <v>1865</v>
      </c>
      <c r="B373" s="2" t="s">
        <v>1866</v>
      </c>
    </row>
    <row r="374" spans="1:2" x14ac:dyDescent="0.3">
      <c r="A374" s="2" t="s">
        <v>1867</v>
      </c>
      <c r="B374" s="2" t="s">
        <v>1868</v>
      </c>
    </row>
    <row r="375" spans="1:2" x14ac:dyDescent="0.3">
      <c r="A375" s="2" t="s">
        <v>1869</v>
      </c>
      <c r="B375" s="2" t="s">
        <v>1870</v>
      </c>
    </row>
    <row r="376" spans="1:2" x14ac:dyDescent="0.3">
      <c r="A376" s="2" t="s">
        <v>1871</v>
      </c>
      <c r="B376" s="2" t="s">
        <v>1872</v>
      </c>
    </row>
    <row r="377" spans="1:2" x14ac:dyDescent="0.3">
      <c r="A377" s="2" t="s">
        <v>1873</v>
      </c>
      <c r="B377" s="2" t="s">
        <v>1874</v>
      </c>
    </row>
    <row r="378" spans="1:2" x14ac:dyDescent="0.3">
      <c r="A378" s="2" t="s">
        <v>1875</v>
      </c>
      <c r="B378" s="2" t="s">
        <v>1876</v>
      </c>
    </row>
    <row r="379" spans="1:2" x14ac:dyDescent="0.3">
      <c r="A379" s="2" t="s">
        <v>1877</v>
      </c>
      <c r="B379" s="2" t="s">
        <v>1878</v>
      </c>
    </row>
    <row r="380" spans="1:2" x14ac:dyDescent="0.3">
      <c r="A380" s="2" t="s">
        <v>1879</v>
      </c>
      <c r="B380" s="2" t="s">
        <v>1880</v>
      </c>
    </row>
    <row r="381" spans="1:2" x14ac:dyDescent="0.3">
      <c r="A381" s="2" t="s">
        <v>1881</v>
      </c>
      <c r="B381" s="2" t="s">
        <v>1882</v>
      </c>
    </row>
    <row r="382" spans="1:2" x14ac:dyDescent="0.3">
      <c r="A382" s="2" t="s">
        <v>1883</v>
      </c>
      <c r="B382" s="2" t="s">
        <v>1884</v>
      </c>
    </row>
    <row r="383" spans="1:2" x14ac:dyDescent="0.3">
      <c r="A383" s="2" t="s">
        <v>1885</v>
      </c>
      <c r="B383" s="2" t="s">
        <v>1886</v>
      </c>
    </row>
    <row r="384" spans="1:2" x14ac:dyDescent="0.3">
      <c r="A384" s="2" t="s">
        <v>1887</v>
      </c>
      <c r="B384" s="2" t="s">
        <v>1888</v>
      </c>
    </row>
    <row r="385" spans="1:2" x14ac:dyDescent="0.3">
      <c r="A385" s="2" t="s">
        <v>1889</v>
      </c>
      <c r="B385" s="2" t="s">
        <v>1890</v>
      </c>
    </row>
    <row r="386" spans="1:2" x14ac:dyDescent="0.3">
      <c r="A386" s="2" t="s">
        <v>1891</v>
      </c>
      <c r="B386" s="2" t="s">
        <v>1892</v>
      </c>
    </row>
    <row r="387" spans="1:2" x14ac:dyDescent="0.3">
      <c r="A387" s="2" t="s">
        <v>1893</v>
      </c>
      <c r="B387" s="2" t="s">
        <v>1894</v>
      </c>
    </row>
    <row r="388" spans="1:2" x14ac:dyDescent="0.3">
      <c r="A388" s="2" t="s">
        <v>1895</v>
      </c>
      <c r="B388" s="2" t="s">
        <v>1896</v>
      </c>
    </row>
    <row r="389" spans="1:2" x14ac:dyDescent="0.3">
      <c r="A389" s="2" t="s">
        <v>1897</v>
      </c>
      <c r="B389" s="2" t="s">
        <v>1898</v>
      </c>
    </row>
    <row r="390" spans="1:2" x14ac:dyDescent="0.3">
      <c r="A390" s="2" t="s">
        <v>1899</v>
      </c>
      <c r="B390" s="2" t="s">
        <v>1900</v>
      </c>
    </row>
    <row r="391" spans="1:2" x14ac:dyDescent="0.3">
      <c r="A391" s="2" t="s">
        <v>1901</v>
      </c>
      <c r="B391" s="2" t="s">
        <v>1902</v>
      </c>
    </row>
    <row r="392" spans="1:2" x14ac:dyDescent="0.3">
      <c r="A392" s="2" t="s">
        <v>1903</v>
      </c>
      <c r="B392" s="2" t="s">
        <v>1904</v>
      </c>
    </row>
    <row r="393" spans="1:2" x14ac:dyDescent="0.3">
      <c r="A393" s="2" t="s">
        <v>1905</v>
      </c>
      <c r="B393" s="2" t="s">
        <v>1906</v>
      </c>
    </row>
    <row r="394" spans="1:2" x14ac:dyDescent="0.3">
      <c r="A394" s="2" t="s">
        <v>1907</v>
      </c>
      <c r="B394" s="2" t="s">
        <v>1908</v>
      </c>
    </row>
    <row r="395" spans="1:2" x14ac:dyDescent="0.3">
      <c r="A395" s="2" t="s">
        <v>1909</v>
      </c>
      <c r="B395" s="2" t="s">
        <v>1910</v>
      </c>
    </row>
    <row r="396" spans="1:2" x14ac:dyDescent="0.3">
      <c r="A396" s="2" t="s">
        <v>1911</v>
      </c>
      <c r="B396" s="2" t="s">
        <v>1912</v>
      </c>
    </row>
    <row r="397" spans="1:2" x14ac:dyDescent="0.3">
      <c r="A397" s="2" t="s">
        <v>1913</v>
      </c>
      <c r="B397" s="2" t="s">
        <v>1914</v>
      </c>
    </row>
    <row r="398" spans="1:2" x14ac:dyDescent="0.3">
      <c r="A398" s="2" t="s">
        <v>1915</v>
      </c>
      <c r="B398" s="2" t="s">
        <v>1916</v>
      </c>
    </row>
    <row r="399" spans="1:2" x14ac:dyDescent="0.3">
      <c r="A399" s="2" t="s">
        <v>1917</v>
      </c>
      <c r="B399" s="2" t="s">
        <v>1918</v>
      </c>
    </row>
    <row r="400" spans="1:2" x14ac:dyDescent="0.3">
      <c r="A400" s="2" t="s">
        <v>1919</v>
      </c>
      <c r="B400" s="2" t="s">
        <v>1920</v>
      </c>
    </row>
    <row r="401" spans="1:2" x14ac:dyDescent="0.3">
      <c r="A401" s="2" t="s">
        <v>1921</v>
      </c>
      <c r="B401" s="2" t="s">
        <v>1922</v>
      </c>
    </row>
    <row r="402" spans="1:2" x14ac:dyDescent="0.3">
      <c r="A402" s="2" t="s">
        <v>1923</v>
      </c>
      <c r="B402" s="2" t="s">
        <v>1924</v>
      </c>
    </row>
    <row r="403" spans="1:2" x14ac:dyDescent="0.3">
      <c r="A403" s="2" t="s">
        <v>1925</v>
      </c>
      <c r="B403" s="2" t="s">
        <v>1926</v>
      </c>
    </row>
    <row r="404" spans="1:2" x14ac:dyDescent="0.3">
      <c r="A404" s="2" t="s">
        <v>1927</v>
      </c>
      <c r="B404" s="2" t="s">
        <v>1928</v>
      </c>
    </row>
    <row r="405" spans="1:2" x14ac:dyDescent="0.3">
      <c r="A405" s="2" t="s">
        <v>1929</v>
      </c>
      <c r="B405" s="2" t="s">
        <v>1930</v>
      </c>
    </row>
    <row r="406" spans="1:2" x14ac:dyDescent="0.3">
      <c r="A406" s="2" t="s">
        <v>1931</v>
      </c>
      <c r="B406" s="2" t="s">
        <v>1932</v>
      </c>
    </row>
    <row r="407" spans="1:2" x14ac:dyDescent="0.3">
      <c r="A407" s="2" t="s">
        <v>1933</v>
      </c>
      <c r="B407" s="2" t="s">
        <v>1934</v>
      </c>
    </row>
    <row r="408" spans="1:2" x14ac:dyDescent="0.3">
      <c r="A408" s="2" t="s">
        <v>1935</v>
      </c>
      <c r="B408" s="2" t="s">
        <v>1936</v>
      </c>
    </row>
    <row r="409" spans="1:2" x14ac:dyDescent="0.3">
      <c r="A409" s="2" t="s">
        <v>1937</v>
      </c>
      <c r="B409" s="2" t="s">
        <v>1938</v>
      </c>
    </row>
    <row r="410" spans="1:2" x14ac:dyDescent="0.3">
      <c r="A410" s="2" t="s">
        <v>1939</v>
      </c>
      <c r="B410" s="2" t="s">
        <v>1940</v>
      </c>
    </row>
    <row r="411" spans="1:2" x14ac:dyDescent="0.3">
      <c r="A411" s="2" t="s">
        <v>1941</v>
      </c>
      <c r="B411" s="2" t="s">
        <v>1942</v>
      </c>
    </row>
    <row r="412" spans="1:2" x14ac:dyDescent="0.3">
      <c r="A412" s="2" t="s">
        <v>1943</v>
      </c>
      <c r="B412" s="2" t="s">
        <v>1944</v>
      </c>
    </row>
    <row r="413" spans="1:2" x14ac:dyDescent="0.3">
      <c r="A413" s="2" t="s">
        <v>1945</v>
      </c>
      <c r="B413" s="2" t="s">
        <v>1946</v>
      </c>
    </row>
    <row r="414" spans="1:2" x14ac:dyDescent="0.3">
      <c r="A414" s="2" t="s">
        <v>1947</v>
      </c>
      <c r="B414" s="2" t="s">
        <v>1948</v>
      </c>
    </row>
    <row r="415" spans="1:2" x14ac:dyDescent="0.3">
      <c r="A415" s="2" t="s">
        <v>1949</v>
      </c>
      <c r="B415" s="2" t="s">
        <v>1950</v>
      </c>
    </row>
    <row r="416" spans="1:2" x14ac:dyDescent="0.3">
      <c r="A416" s="2" t="s">
        <v>1951</v>
      </c>
      <c r="B416" s="2" t="s">
        <v>1952</v>
      </c>
    </row>
    <row r="417" spans="1:2" x14ac:dyDescent="0.3">
      <c r="A417" s="2" t="s">
        <v>1953</v>
      </c>
      <c r="B417" s="2" t="s">
        <v>1954</v>
      </c>
    </row>
    <row r="418" spans="1:2" x14ac:dyDescent="0.3">
      <c r="A418" s="2" t="s">
        <v>1955</v>
      </c>
      <c r="B418" s="2" t="s">
        <v>1956</v>
      </c>
    </row>
    <row r="419" spans="1:2" x14ac:dyDescent="0.3">
      <c r="A419" s="2" t="s">
        <v>1957</v>
      </c>
      <c r="B419" s="2" t="s">
        <v>1958</v>
      </c>
    </row>
    <row r="420" spans="1:2" x14ac:dyDescent="0.3">
      <c r="A420" s="2" t="s">
        <v>1959</v>
      </c>
      <c r="B420" s="2" t="s">
        <v>1960</v>
      </c>
    </row>
    <row r="421" spans="1:2" x14ac:dyDescent="0.3">
      <c r="A421" s="2" t="s">
        <v>1961</v>
      </c>
      <c r="B421" s="2" t="s">
        <v>1962</v>
      </c>
    </row>
    <row r="422" spans="1:2" x14ac:dyDescent="0.3">
      <c r="A422" s="2" t="s">
        <v>1963</v>
      </c>
      <c r="B422" s="2" t="s">
        <v>1964</v>
      </c>
    </row>
    <row r="423" spans="1:2" x14ac:dyDescent="0.3">
      <c r="A423" s="2" t="s">
        <v>1965</v>
      </c>
      <c r="B423" s="2" t="s">
        <v>1966</v>
      </c>
    </row>
    <row r="424" spans="1:2" x14ac:dyDescent="0.3">
      <c r="A424" s="2" t="s">
        <v>1967</v>
      </c>
      <c r="B424" s="2" t="s">
        <v>1968</v>
      </c>
    </row>
    <row r="425" spans="1:2" x14ac:dyDescent="0.3">
      <c r="A425" s="2" t="s">
        <v>1969</v>
      </c>
      <c r="B425" s="2" t="s">
        <v>1970</v>
      </c>
    </row>
    <row r="426" spans="1:2" x14ac:dyDescent="0.3">
      <c r="A426" s="2" t="s">
        <v>1971</v>
      </c>
      <c r="B426" s="2" t="s">
        <v>1972</v>
      </c>
    </row>
    <row r="427" spans="1:2" x14ac:dyDescent="0.3">
      <c r="A427" s="2" t="s">
        <v>1973</v>
      </c>
      <c r="B427" s="2" t="s">
        <v>1974</v>
      </c>
    </row>
    <row r="428" spans="1:2" x14ac:dyDescent="0.3">
      <c r="A428" s="2" t="s">
        <v>1975</v>
      </c>
      <c r="B428" s="2" t="s">
        <v>1976</v>
      </c>
    </row>
    <row r="429" spans="1:2" x14ac:dyDescent="0.3">
      <c r="A429" s="2" t="s">
        <v>1977</v>
      </c>
      <c r="B429" s="2" t="s">
        <v>1978</v>
      </c>
    </row>
    <row r="430" spans="1:2" x14ac:dyDescent="0.3">
      <c r="A430" s="2" t="s">
        <v>1979</v>
      </c>
      <c r="B430" s="2" t="s">
        <v>1980</v>
      </c>
    </row>
    <row r="431" spans="1:2" x14ac:dyDescent="0.3">
      <c r="A431" s="2" t="s">
        <v>1981</v>
      </c>
      <c r="B431" s="2" t="s">
        <v>1982</v>
      </c>
    </row>
    <row r="432" spans="1:2" x14ac:dyDescent="0.3">
      <c r="A432" s="2" t="s">
        <v>1983</v>
      </c>
      <c r="B432" s="2" t="s">
        <v>1984</v>
      </c>
    </row>
    <row r="433" spans="1:2" x14ac:dyDescent="0.3">
      <c r="A433" s="2" t="s">
        <v>1985</v>
      </c>
      <c r="B433" s="2" t="s">
        <v>1986</v>
      </c>
    </row>
    <row r="434" spans="1:2" x14ac:dyDescent="0.3">
      <c r="A434" s="2" t="s">
        <v>1987</v>
      </c>
      <c r="B434" s="2" t="s">
        <v>1988</v>
      </c>
    </row>
    <row r="435" spans="1:2" x14ac:dyDescent="0.3">
      <c r="A435" s="2" t="s">
        <v>1989</v>
      </c>
      <c r="B435" s="2" t="s">
        <v>1990</v>
      </c>
    </row>
    <row r="436" spans="1:2" x14ac:dyDescent="0.3">
      <c r="A436" s="2" t="s">
        <v>1991</v>
      </c>
      <c r="B436" s="2" t="s">
        <v>1992</v>
      </c>
    </row>
    <row r="437" spans="1:2" x14ac:dyDescent="0.3">
      <c r="A437" s="2" t="s">
        <v>1993</v>
      </c>
      <c r="B437" s="2" t="s">
        <v>1994</v>
      </c>
    </row>
    <row r="438" spans="1:2" x14ac:dyDescent="0.3">
      <c r="A438" s="2" t="s">
        <v>1995</v>
      </c>
      <c r="B438" s="2" t="s">
        <v>1996</v>
      </c>
    </row>
    <row r="439" spans="1:2" x14ac:dyDescent="0.3">
      <c r="A439" s="2" t="s">
        <v>1997</v>
      </c>
      <c r="B439" s="2" t="s">
        <v>1998</v>
      </c>
    </row>
    <row r="440" spans="1:2" x14ac:dyDescent="0.3">
      <c r="A440" s="2" t="s">
        <v>1999</v>
      </c>
      <c r="B440" s="2" t="s">
        <v>2000</v>
      </c>
    </row>
    <row r="441" spans="1:2" x14ac:dyDescent="0.3">
      <c r="A441" s="2" t="s">
        <v>2001</v>
      </c>
      <c r="B441" s="2" t="s">
        <v>2002</v>
      </c>
    </row>
    <row r="442" spans="1:2" x14ac:dyDescent="0.3">
      <c r="A442" s="2" t="s">
        <v>2003</v>
      </c>
      <c r="B442" s="2" t="s">
        <v>2004</v>
      </c>
    </row>
    <row r="443" spans="1:2" x14ac:dyDescent="0.3">
      <c r="A443" s="2" t="s">
        <v>2005</v>
      </c>
      <c r="B443" s="2" t="s">
        <v>2006</v>
      </c>
    </row>
    <row r="444" spans="1:2" x14ac:dyDescent="0.3">
      <c r="A444" s="2" t="s">
        <v>2007</v>
      </c>
      <c r="B444" s="2" t="s">
        <v>2008</v>
      </c>
    </row>
    <row r="445" spans="1:2" x14ac:dyDescent="0.3">
      <c r="A445" s="2" t="s">
        <v>2009</v>
      </c>
      <c r="B445" s="2" t="s">
        <v>2010</v>
      </c>
    </row>
    <row r="446" spans="1:2" x14ac:dyDescent="0.3">
      <c r="A446" s="2" t="s">
        <v>2011</v>
      </c>
      <c r="B446" s="2" t="s">
        <v>2012</v>
      </c>
    </row>
    <row r="447" spans="1:2" x14ac:dyDescent="0.3">
      <c r="A447" s="2" t="s">
        <v>2013</v>
      </c>
      <c r="B447" s="2" t="s">
        <v>2014</v>
      </c>
    </row>
    <row r="448" spans="1:2" x14ac:dyDescent="0.3">
      <c r="A448" s="2" t="s">
        <v>2015</v>
      </c>
      <c r="B448" s="2" t="s">
        <v>2016</v>
      </c>
    </row>
    <row r="449" spans="1:2" x14ac:dyDescent="0.3">
      <c r="A449" s="2" t="s">
        <v>2017</v>
      </c>
      <c r="B449" s="2" t="s">
        <v>2018</v>
      </c>
    </row>
    <row r="450" spans="1:2" x14ac:dyDescent="0.3">
      <c r="A450" s="2" t="s">
        <v>2019</v>
      </c>
      <c r="B450" s="2" t="s">
        <v>2020</v>
      </c>
    </row>
    <row r="451" spans="1:2" x14ac:dyDescent="0.3">
      <c r="A451" s="2" t="s">
        <v>2021</v>
      </c>
      <c r="B451" s="2" t="s">
        <v>2022</v>
      </c>
    </row>
    <row r="452" spans="1:2" x14ac:dyDescent="0.3">
      <c r="A452" s="2" t="s">
        <v>2023</v>
      </c>
      <c r="B452" s="2" t="s">
        <v>2024</v>
      </c>
    </row>
    <row r="453" spans="1:2" x14ac:dyDescent="0.3">
      <c r="A453" s="2" t="s">
        <v>2025</v>
      </c>
      <c r="B453" s="2" t="s">
        <v>2026</v>
      </c>
    </row>
    <row r="454" spans="1:2" x14ac:dyDescent="0.3">
      <c r="A454" s="2" t="s">
        <v>2027</v>
      </c>
      <c r="B454" s="2" t="s">
        <v>2028</v>
      </c>
    </row>
    <row r="455" spans="1:2" x14ac:dyDescent="0.3">
      <c r="A455" s="2" t="s">
        <v>2029</v>
      </c>
      <c r="B455" s="2" t="s">
        <v>2030</v>
      </c>
    </row>
    <row r="456" spans="1:2" x14ac:dyDescent="0.3">
      <c r="A456" s="2" t="s">
        <v>2031</v>
      </c>
      <c r="B456" s="2" t="s">
        <v>2032</v>
      </c>
    </row>
    <row r="457" spans="1:2" x14ac:dyDescent="0.3">
      <c r="A457" s="2" t="s">
        <v>2033</v>
      </c>
      <c r="B457" s="2" t="s">
        <v>2034</v>
      </c>
    </row>
    <row r="458" spans="1:2" x14ac:dyDescent="0.3">
      <c r="A458" s="2" t="s">
        <v>2035</v>
      </c>
      <c r="B458" s="2" t="s">
        <v>2036</v>
      </c>
    </row>
    <row r="459" spans="1:2" x14ac:dyDescent="0.3">
      <c r="A459" s="2" t="s">
        <v>2037</v>
      </c>
      <c r="B459" s="2" t="s">
        <v>2038</v>
      </c>
    </row>
    <row r="460" spans="1:2" x14ac:dyDescent="0.3">
      <c r="A460" s="2" t="s">
        <v>2039</v>
      </c>
      <c r="B460" s="2" t="s">
        <v>2040</v>
      </c>
    </row>
    <row r="461" spans="1:2" x14ac:dyDescent="0.3">
      <c r="A461" s="2" t="s">
        <v>2041</v>
      </c>
      <c r="B461" s="2" t="s">
        <v>2042</v>
      </c>
    </row>
    <row r="462" spans="1:2" x14ac:dyDescent="0.3">
      <c r="A462" s="2" t="s">
        <v>2043</v>
      </c>
      <c r="B462" s="2" t="s">
        <v>2044</v>
      </c>
    </row>
    <row r="463" spans="1:2" x14ac:dyDescent="0.3">
      <c r="A463" s="2" t="s">
        <v>2045</v>
      </c>
      <c r="B463" s="2" t="s">
        <v>2046</v>
      </c>
    </row>
    <row r="464" spans="1:2" x14ac:dyDescent="0.3">
      <c r="A464" s="2" t="s">
        <v>2047</v>
      </c>
      <c r="B464" s="2" t="s">
        <v>2048</v>
      </c>
    </row>
    <row r="465" spans="1:2" x14ac:dyDescent="0.3">
      <c r="A465" s="2" t="s">
        <v>2049</v>
      </c>
      <c r="B465" s="2" t="s">
        <v>2050</v>
      </c>
    </row>
    <row r="466" spans="1:2" x14ac:dyDescent="0.3">
      <c r="A466" s="2" t="s">
        <v>2051</v>
      </c>
      <c r="B466" s="2" t="s">
        <v>2052</v>
      </c>
    </row>
    <row r="467" spans="1:2" x14ac:dyDescent="0.3">
      <c r="A467" s="2" t="s">
        <v>2053</v>
      </c>
      <c r="B467" s="2" t="s">
        <v>2054</v>
      </c>
    </row>
    <row r="468" spans="1:2" x14ac:dyDescent="0.3">
      <c r="A468" s="2" t="s">
        <v>2055</v>
      </c>
      <c r="B468" s="2" t="s">
        <v>2056</v>
      </c>
    </row>
    <row r="469" spans="1:2" x14ac:dyDescent="0.3">
      <c r="A469" s="2" t="s">
        <v>2057</v>
      </c>
      <c r="B469" s="2" t="s">
        <v>2058</v>
      </c>
    </row>
    <row r="470" spans="1:2" x14ac:dyDescent="0.3">
      <c r="A470" s="2" t="s">
        <v>2059</v>
      </c>
      <c r="B470" s="2" t="s">
        <v>2060</v>
      </c>
    </row>
    <row r="471" spans="1:2" x14ac:dyDescent="0.3">
      <c r="A471" s="2" t="s">
        <v>2061</v>
      </c>
      <c r="B471" s="2" t="s">
        <v>2062</v>
      </c>
    </row>
    <row r="472" spans="1:2" x14ac:dyDescent="0.3">
      <c r="A472" s="2" t="s">
        <v>2063</v>
      </c>
      <c r="B472" s="2" t="s">
        <v>2064</v>
      </c>
    </row>
    <row r="473" spans="1:2" x14ac:dyDescent="0.3">
      <c r="A473" s="2" t="s">
        <v>2065</v>
      </c>
      <c r="B473" s="2" t="s">
        <v>2066</v>
      </c>
    </row>
    <row r="474" spans="1:2" x14ac:dyDescent="0.3">
      <c r="A474" s="2" t="s">
        <v>2067</v>
      </c>
      <c r="B474" s="2" t="s">
        <v>2068</v>
      </c>
    </row>
    <row r="475" spans="1:2" x14ac:dyDescent="0.3">
      <c r="A475" s="2" t="s">
        <v>2069</v>
      </c>
      <c r="B475" s="2" t="s">
        <v>2070</v>
      </c>
    </row>
    <row r="476" spans="1:2" x14ac:dyDescent="0.3">
      <c r="A476" s="2" t="s">
        <v>2071</v>
      </c>
      <c r="B476" s="2" t="s">
        <v>2072</v>
      </c>
    </row>
    <row r="477" spans="1:2" x14ac:dyDescent="0.3">
      <c r="A477" s="2" t="s">
        <v>2073</v>
      </c>
      <c r="B477" s="2" t="s">
        <v>2074</v>
      </c>
    </row>
    <row r="478" spans="1:2" x14ac:dyDescent="0.3">
      <c r="A478" s="2" t="s">
        <v>2075</v>
      </c>
      <c r="B478" s="2" t="s">
        <v>2076</v>
      </c>
    </row>
    <row r="479" spans="1:2" x14ac:dyDescent="0.3">
      <c r="A479" s="2" t="s">
        <v>2077</v>
      </c>
      <c r="B479" s="2" t="s">
        <v>2078</v>
      </c>
    </row>
    <row r="480" spans="1:2" x14ac:dyDescent="0.3">
      <c r="A480" s="2" t="s">
        <v>2079</v>
      </c>
      <c r="B480" s="2" t="s">
        <v>2080</v>
      </c>
    </row>
    <row r="481" spans="1:2" x14ac:dyDescent="0.3">
      <c r="A481" s="2" t="s">
        <v>2081</v>
      </c>
      <c r="B481" s="2" t="s">
        <v>2082</v>
      </c>
    </row>
    <row r="482" spans="1:2" x14ac:dyDescent="0.3">
      <c r="A482" s="2" t="s">
        <v>2083</v>
      </c>
      <c r="B482" s="2" t="s">
        <v>2084</v>
      </c>
    </row>
    <row r="483" spans="1:2" x14ac:dyDescent="0.3">
      <c r="A483" s="2" t="s">
        <v>2085</v>
      </c>
      <c r="B483" s="2" t="s">
        <v>2086</v>
      </c>
    </row>
    <row r="484" spans="1:2" x14ac:dyDescent="0.3">
      <c r="A484" s="2" t="s">
        <v>2087</v>
      </c>
      <c r="B484" s="2" t="s">
        <v>2088</v>
      </c>
    </row>
    <row r="485" spans="1:2" x14ac:dyDescent="0.3">
      <c r="A485" s="2" t="s">
        <v>2089</v>
      </c>
      <c r="B485" s="2" t="s">
        <v>2090</v>
      </c>
    </row>
    <row r="486" spans="1:2" x14ac:dyDescent="0.3">
      <c r="A486" s="2" t="s">
        <v>2091</v>
      </c>
      <c r="B486" s="2" t="s">
        <v>2092</v>
      </c>
    </row>
    <row r="487" spans="1:2" x14ac:dyDescent="0.3">
      <c r="A487" s="2" t="s">
        <v>2093</v>
      </c>
      <c r="B487" s="2" t="s">
        <v>2094</v>
      </c>
    </row>
    <row r="488" spans="1:2" x14ac:dyDescent="0.3">
      <c r="A488" s="2" t="s">
        <v>2095</v>
      </c>
      <c r="B488" s="2" t="s">
        <v>2096</v>
      </c>
    </row>
    <row r="489" spans="1:2" x14ac:dyDescent="0.3">
      <c r="A489" s="2" t="s">
        <v>2097</v>
      </c>
      <c r="B489" s="2" t="s">
        <v>2098</v>
      </c>
    </row>
    <row r="490" spans="1:2" x14ac:dyDescent="0.3">
      <c r="A490" s="2" t="s">
        <v>2099</v>
      </c>
      <c r="B490" s="2" t="s">
        <v>2100</v>
      </c>
    </row>
    <row r="491" spans="1:2" x14ac:dyDescent="0.3">
      <c r="A491" s="2" t="s">
        <v>2101</v>
      </c>
      <c r="B491" s="2" t="s">
        <v>2102</v>
      </c>
    </row>
    <row r="492" spans="1:2" x14ac:dyDescent="0.3">
      <c r="A492" s="2" t="s">
        <v>2103</v>
      </c>
      <c r="B492" s="2" t="s">
        <v>2104</v>
      </c>
    </row>
    <row r="493" spans="1:2" x14ac:dyDescent="0.3">
      <c r="A493" s="2" t="s">
        <v>2105</v>
      </c>
      <c r="B493" s="2" t="s">
        <v>2106</v>
      </c>
    </row>
    <row r="494" spans="1:2" x14ac:dyDescent="0.3">
      <c r="A494" s="2" t="s">
        <v>2107</v>
      </c>
      <c r="B494" s="2" t="s">
        <v>2108</v>
      </c>
    </row>
    <row r="495" spans="1:2" x14ac:dyDescent="0.3">
      <c r="A495" s="2" t="s">
        <v>2109</v>
      </c>
      <c r="B495" s="2" t="s">
        <v>2110</v>
      </c>
    </row>
    <row r="496" spans="1:2" x14ac:dyDescent="0.3">
      <c r="A496" s="2" t="s">
        <v>2111</v>
      </c>
      <c r="B496" s="2" t="s">
        <v>2112</v>
      </c>
    </row>
    <row r="497" spans="1:2" x14ac:dyDescent="0.3">
      <c r="A497" s="2" t="s">
        <v>2113</v>
      </c>
      <c r="B497" s="2" t="s">
        <v>2114</v>
      </c>
    </row>
    <row r="498" spans="1:2" x14ac:dyDescent="0.3">
      <c r="A498" s="2" t="s">
        <v>2115</v>
      </c>
      <c r="B498" s="2" t="s">
        <v>2116</v>
      </c>
    </row>
    <row r="499" spans="1:2" x14ac:dyDescent="0.3">
      <c r="A499" s="2" t="s">
        <v>2117</v>
      </c>
      <c r="B499" s="2" t="s">
        <v>2118</v>
      </c>
    </row>
    <row r="500" spans="1:2" x14ac:dyDescent="0.3">
      <c r="A500" s="2" t="s">
        <v>2119</v>
      </c>
      <c r="B500" s="2" t="s">
        <v>2120</v>
      </c>
    </row>
    <row r="501" spans="1:2" x14ac:dyDescent="0.3">
      <c r="A501" s="2" t="s">
        <v>2121</v>
      </c>
      <c r="B501" s="2" t="s">
        <v>2122</v>
      </c>
    </row>
    <row r="502" spans="1:2" x14ac:dyDescent="0.3">
      <c r="A502" s="2" t="s">
        <v>2123</v>
      </c>
      <c r="B502" s="2" t="s">
        <v>2124</v>
      </c>
    </row>
    <row r="503" spans="1:2" x14ac:dyDescent="0.3">
      <c r="A503" s="2" t="s">
        <v>2125</v>
      </c>
      <c r="B503" s="2" t="s">
        <v>2126</v>
      </c>
    </row>
    <row r="504" spans="1:2" x14ac:dyDescent="0.3">
      <c r="A504" s="2" t="s">
        <v>2127</v>
      </c>
      <c r="B504" s="2" t="s">
        <v>2128</v>
      </c>
    </row>
    <row r="505" spans="1:2" x14ac:dyDescent="0.3">
      <c r="A505" s="2" t="s">
        <v>2129</v>
      </c>
      <c r="B505" s="2" t="s">
        <v>2130</v>
      </c>
    </row>
    <row r="506" spans="1:2" x14ac:dyDescent="0.3">
      <c r="A506" s="2" t="s">
        <v>2131</v>
      </c>
      <c r="B506" s="2" t="s">
        <v>2132</v>
      </c>
    </row>
    <row r="507" spans="1:2" x14ac:dyDescent="0.3">
      <c r="A507" s="2" t="s">
        <v>2133</v>
      </c>
      <c r="B507" s="2" t="s">
        <v>2134</v>
      </c>
    </row>
    <row r="508" spans="1:2" x14ac:dyDescent="0.3">
      <c r="A508" s="2" t="s">
        <v>2135</v>
      </c>
      <c r="B508" s="2" t="s">
        <v>2136</v>
      </c>
    </row>
    <row r="509" spans="1:2" x14ac:dyDescent="0.3">
      <c r="A509" s="2" t="s">
        <v>2137</v>
      </c>
      <c r="B509" s="2" t="s">
        <v>2138</v>
      </c>
    </row>
    <row r="510" spans="1:2" x14ac:dyDescent="0.3">
      <c r="A510" s="2" t="s">
        <v>2139</v>
      </c>
      <c r="B510" s="2" t="s">
        <v>2140</v>
      </c>
    </row>
    <row r="511" spans="1:2" x14ac:dyDescent="0.3">
      <c r="A511" s="2" t="s">
        <v>2141</v>
      </c>
      <c r="B511" s="2" t="s">
        <v>2142</v>
      </c>
    </row>
    <row r="512" spans="1:2" x14ac:dyDescent="0.3">
      <c r="A512" s="2" t="s">
        <v>2143</v>
      </c>
      <c r="B512" s="2" t="s">
        <v>2144</v>
      </c>
    </row>
    <row r="513" spans="1:2" x14ac:dyDescent="0.3">
      <c r="A513" s="2" t="s">
        <v>2145</v>
      </c>
      <c r="B513" s="2" t="s">
        <v>2146</v>
      </c>
    </row>
    <row r="514" spans="1:2" x14ac:dyDescent="0.3">
      <c r="A514" s="2" t="s">
        <v>2147</v>
      </c>
      <c r="B514" s="2" t="s">
        <v>2148</v>
      </c>
    </row>
    <row r="515" spans="1:2" x14ac:dyDescent="0.3">
      <c r="A515" s="2" t="s">
        <v>2149</v>
      </c>
      <c r="B515" s="2" t="s">
        <v>2150</v>
      </c>
    </row>
    <row r="516" spans="1:2" x14ac:dyDescent="0.3">
      <c r="A516" s="2" t="s">
        <v>2151</v>
      </c>
      <c r="B516" s="2" t="s">
        <v>2152</v>
      </c>
    </row>
    <row r="517" spans="1:2" x14ac:dyDescent="0.3">
      <c r="A517" s="2" t="s">
        <v>2153</v>
      </c>
      <c r="B517" s="2" t="s">
        <v>2154</v>
      </c>
    </row>
    <row r="518" spans="1:2" x14ac:dyDescent="0.3">
      <c r="A518" s="2" t="s">
        <v>2155</v>
      </c>
      <c r="B518" s="2" t="s">
        <v>2156</v>
      </c>
    </row>
    <row r="519" spans="1:2" x14ac:dyDescent="0.3">
      <c r="A519" s="2" t="s">
        <v>2157</v>
      </c>
      <c r="B519" s="2" t="s">
        <v>2158</v>
      </c>
    </row>
    <row r="520" spans="1:2" x14ac:dyDescent="0.3">
      <c r="A520" s="2" t="s">
        <v>2159</v>
      </c>
      <c r="B520" s="2" t="s">
        <v>2160</v>
      </c>
    </row>
    <row r="521" spans="1:2" x14ac:dyDescent="0.3">
      <c r="A521" s="2" t="s">
        <v>2161</v>
      </c>
      <c r="B521" s="2" t="s">
        <v>2162</v>
      </c>
    </row>
    <row r="522" spans="1:2" x14ac:dyDescent="0.3">
      <c r="A522" s="2" t="s">
        <v>2163</v>
      </c>
      <c r="B522" s="2" t="s">
        <v>2164</v>
      </c>
    </row>
    <row r="523" spans="1:2" x14ac:dyDescent="0.3">
      <c r="A523" s="2" t="s">
        <v>2165</v>
      </c>
      <c r="B523" s="2" t="s">
        <v>2166</v>
      </c>
    </row>
    <row r="524" spans="1:2" x14ac:dyDescent="0.3">
      <c r="A524" s="2" t="s">
        <v>2167</v>
      </c>
      <c r="B524" s="2" t="s">
        <v>2168</v>
      </c>
    </row>
    <row r="525" spans="1:2" x14ac:dyDescent="0.3">
      <c r="A525" s="2" t="s">
        <v>2169</v>
      </c>
      <c r="B525" s="2" t="s">
        <v>2170</v>
      </c>
    </row>
    <row r="526" spans="1:2" x14ac:dyDescent="0.3">
      <c r="A526" s="2" t="s">
        <v>2171</v>
      </c>
      <c r="B526" s="2" t="s">
        <v>2172</v>
      </c>
    </row>
    <row r="527" spans="1:2" x14ac:dyDescent="0.3">
      <c r="A527" s="2" t="s">
        <v>2173</v>
      </c>
      <c r="B527" s="2" t="s">
        <v>2174</v>
      </c>
    </row>
    <row r="528" spans="1:2" x14ac:dyDescent="0.3">
      <c r="A528" s="2" t="s">
        <v>2175</v>
      </c>
      <c r="B528" s="2" t="s">
        <v>2176</v>
      </c>
    </row>
    <row r="529" spans="1:2" x14ac:dyDescent="0.3">
      <c r="A529" s="2" t="s">
        <v>2177</v>
      </c>
      <c r="B529" s="2" t="s">
        <v>2178</v>
      </c>
    </row>
    <row r="530" spans="1:2" x14ac:dyDescent="0.3">
      <c r="A530" s="2" t="s">
        <v>2179</v>
      </c>
      <c r="B530" s="2" t="s">
        <v>2180</v>
      </c>
    </row>
    <row r="531" spans="1:2" x14ac:dyDescent="0.3">
      <c r="A531" s="2" t="s">
        <v>2181</v>
      </c>
      <c r="B531" s="2" t="s">
        <v>2182</v>
      </c>
    </row>
    <row r="532" spans="1:2" x14ac:dyDescent="0.3">
      <c r="A532" s="2" t="s">
        <v>2183</v>
      </c>
      <c r="B532" s="2" t="s">
        <v>2184</v>
      </c>
    </row>
    <row r="533" spans="1:2" x14ac:dyDescent="0.3">
      <c r="A533" s="2" t="s">
        <v>2185</v>
      </c>
      <c r="B533" s="2" t="s">
        <v>2186</v>
      </c>
    </row>
    <row r="534" spans="1:2" x14ac:dyDescent="0.3">
      <c r="A534" s="2" t="s">
        <v>2187</v>
      </c>
      <c r="B534" s="2" t="s">
        <v>2188</v>
      </c>
    </row>
    <row r="535" spans="1:2" x14ac:dyDescent="0.3">
      <c r="A535" s="2" t="s">
        <v>2189</v>
      </c>
      <c r="B535" s="2" t="s">
        <v>2190</v>
      </c>
    </row>
    <row r="536" spans="1:2" x14ac:dyDescent="0.3">
      <c r="A536" s="2" t="s">
        <v>2191</v>
      </c>
      <c r="B536" s="2" t="s">
        <v>2192</v>
      </c>
    </row>
    <row r="537" spans="1:2" x14ac:dyDescent="0.3">
      <c r="A537" s="2" t="s">
        <v>2193</v>
      </c>
      <c r="B537" s="2" t="s">
        <v>2194</v>
      </c>
    </row>
    <row r="538" spans="1:2" x14ac:dyDescent="0.3">
      <c r="A538" s="2" t="s">
        <v>2195</v>
      </c>
      <c r="B538" s="2" t="s">
        <v>2196</v>
      </c>
    </row>
    <row r="539" spans="1:2" x14ac:dyDescent="0.3">
      <c r="A539" s="2" t="s">
        <v>2197</v>
      </c>
      <c r="B539" s="2" t="s">
        <v>2198</v>
      </c>
    </row>
    <row r="540" spans="1:2" x14ac:dyDescent="0.3">
      <c r="A540" s="2" t="s">
        <v>2199</v>
      </c>
      <c r="B540" s="2" t="s">
        <v>2200</v>
      </c>
    </row>
    <row r="541" spans="1:2" x14ac:dyDescent="0.3">
      <c r="A541" s="2" t="s">
        <v>2201</v>
      </c>
      <c r="B541" s="2" t="s">
        <v>2202</v>
      </c>
    </row>
    <row r="542" spans="1:2" x14ac:dyDescent="0.3">
      <c r="A542" s="2" t="s">
        <v>2203</v>
      </c>
      <c r="B542" s="2" t="s">
        <v>2204</v>
      </c>
    </row>
    <row r="543" spans="1:2" x14ac:dyDescent="0.3">
      <c r="A543" s="2" t="s">
        <v>2205</v>
      </c>
      <c r="B543" s="2" t="s">
        <v>2206</v>
      </c>
    </row>
    <row r="544" spans="1:2" x14ac:dyDescent="0.3">
      <c r="A544" s="2" t="s">
        <v>2207</v>
      </c>
      <c r="B544" s="2" t="s">
        <v>2208</v>
      </c>
    </row>
    <row r="545" spans="1:2" x14ac:dyDescent="0.3">
      <c r="A545" s="2" t="s">
        <v>2209</v>
      </c>
      <c r="B545" s="2" t="s">
        <v>2210</v>
      </c>
    </row>
    <row r="546" spans="1:2" x14ac:dyDescent="0.3">
      <c r="A546" s="2" t="s">
        <v>2211</v>
      </c>
      <c r="B546" s="2" t="s">
        <v>2212</v>
      </c>
    </row>
    <row r="547" spans="1:2" x14ac:dyDescent="0.3">
      <c r="A547" s="2" t="s">
        <v>2213</v>
      </c>
      <c r="B547" s="2" t="s">
        <v>2214</v>
      </c>
    </row>
    <row r="548" spans="1:2" x14ac:dyDescent="0.3">
      <c r="A548" s="2" t="s">
        <v>2215</v>
      </c>
      <c r="B548" s="2" t="s">
        <v>2216</v>
      </c>
    </row>
    <row r="549" spans="1:2" x14ac:dyDescent="0.3">
      <c r="A549" s="2" t="s">
        <v>2217</v>
      </c>
      <c r="B549" s="2" t="s">
        <v>2218</v>
      </c>
    </row>
    <row r="550" spans="1:2" x14ac:dyDescent="0.3">
      <c r="A550" s="2" t="s">
        <v>2219</v>
      </c>
      <c r="B550" s="2" t="s">
        <v>2220</v>
      </c>
    </row>
    <row r="551" spans="1:2" x14ac:dyDescent="0.3">
      <c r="A551" s="2" t="s">
        <v>2221</v>
      </c>
      <c r="B551" s="2" t="s">
        <v>2222</v>
      </c>
    </row>
    <row r="552" spans="1:2" x14ac:dyDescent="0.3">
      <c r="A552" s="2" t="s">
        <v>2223</v>
      </c>
      <c r="B552" s="2" t="s">
        <v>2224</v>
      </c>
    </row>
    <row r="553" spans="1:2" x14ac:dyDescent="0.3">
      <c r="A553" s="2" t="s">
        <v>2225</v>
      </c>
      <c r="B553" s="2" t="s">
        <v>2226</v>
      </c>
    </row>
    <row r="554" spans="1:2" x14ac:dyDescent="0.3">
      <c r="A554" s="2" t="s">
        <v>2227</v>
      </c>
      <c r="B554" s="2" t="s">
        <v>2228</v>
      </c>
    </row>
    <row r="555" spans="1:2" x14ac:dyDescent="0.3">
      <c r="A555" s="2" t="s">
        <v>2229</v>
      </c>
      <c r="B555" s="2" t="s">
        <v>2230</v>
      </c>
    </row>
    <row r="556" spans="1:2" x14ac:dyDescent="0.3">
      <c r="A556" s="2" t="s">
        <v>2231</v>
      </c>
      <c r="B556" s="2" t="s">
        <v>2232</v>
      </c>
    </row>
    <row r="557" spans="1:2" x14ac:dyDescent="0.3">
      <c r="A557" s="2" t="s">
        <v>2233</v>
      </c>
      <c r="B557" s="2" t="s">
        <v>2234</v>
      </c>
    </row>
    <row r="558" spans="1:2" x14ac:dyDescent="0.3">
      <c r="A558" s="2" t="s">
        <v>2235</v>
      </c>
      <c r="B558" s="2" t="s">
        <v>2236</v>
      </c>
    </row>
    <row r="559" spans="1:2" x14ac:dyDescent="0.3">
      <c r="A559" s="2" t="s">
        <v>2237</v>
      </c>
      <c r="B559" s="2" t="s">
        <v>2238</v>
      </c>
    </row>
    <row r="560" spans="1:2" x14ac:dyDescent="0.3">
      <c r="A560" s="2" t="s">
        <v>2239</v>
      </c>
      <c r="B560" s="2" t="s">
        <v>2240</v>
      </c>
    </row>
    <row r="561" spans="1:2" x14ac:dyDescent="0.3">
      <c r="A561" s="2" t="s">
        <v>2241</v>
      </c>
      <c r="B561" s="2" t="s">
        <v>2242</v>
      </c>
    </row>
    <row r="562" spans="1:2" x14ac:dyDescent="0.3">
      <c r="A562" s="2" t="s">
        <v>2243</v>
      </c>
      <c r="B562" s="2" t="s">
        <v>2244</v>
      </c>
    </row>
    <row r="563" spans="1:2" x14ac:dyDescent="0.3">
      <c r="A563" s="2" t="s">
        <v>2245</v>
      </c>
      <c r="B563" s="2" t="s">
        <v>2246</v>
      </c>
    </row>
    <row r="564" spans="1:2" x14ac:dyDescent="0.3">
      <c r="A564" s="2" t="s">
        <v>2247</v>
      </c>
      <c r="B564" s="2" t="s">
        <v>2248</v>
      </c>
    </row>
    <row r="565" spans="1:2" x14ac:dyDescent="0.3">
      <c r="A565" s="2" t="s">
        <v>2249</v>
      </c>
      <c r="B565" s="2" t="s">
        <v>2250</v>
      </c>
    </row>
    <row r="566" spans="1:2" x14ac:dyDescent="0.3">
      <c r="A566" s="2" t="s">
        <v>2251</v>
      </c>
      <c r="B566" s="2" t="s">
        <v>2252</v>
      </c>
    </row>
    <row r="567" spans="1:2" x14ac:dyDescent="0.3">
      <c r="A567" s="2" t="s">
        <v>2253</v>
      </c>
      <c r="B567" s="2" t="s">
        <v>2254</v>
      </c>
    </row>
    <row r="568" spans="1:2" x14ac:dyDescent="0.3">
      <c r="A568" s="2" t="s">
        <v>2255</v>
      </c>
      <c r="B568" s="2" t="s">
        <v>2256</v>
      </c>
    </row>
    <row r="569" spans="1:2" x14ac:dyDescent="0.3">
      <c r="A569" s="2" t="s">
        <v>2257</v>
      </c>
      <c r="B569" s="2" t="s">
        <v>2258</v>
      </c>
    </row>
    <row r="570" spans="1:2" x14ac:dyDescent="0.3">
      <c r="A570" s="2" t="s">
        <v>2259</v>
      </c>
      <c r="B570" s="2" t="s">
        <v>2260</v>
      </c>
    </row>
    <row r="571" spans="1:2" x14ac:dyDescent="0.3">
      <c r="A571" s="2" t="s">
        <v>2261</v>
      </c>
      <c r="B571" s="2" t="s">
        <v>2262</v>
      </c>
    </row>
    <row r="572" spans="1:2" x14ac:dyDescent="0.3">
      <c r="A572" s="2" t="s">
        <v>2263</v>
      </c>
      <c r="B572" s="2" t="s">
        <v>2264</v>
      </c>
    </row>
    <row r="573" spans="1:2" x14ac:dyDescent="0.3">
      <c r="A573" s="2" t="s">
        <v>2265</v>
      </c>
      <c r="B573" s="2" t="s">
        <v>2266</v>
      </c>
    </row>
    <row r="574" spans="1:2" x14ac:dyDescent="0.3">
      <c r="A574" s="2" t="s">
        <v>2267</v>
      </c>
      <c r="B574" s="2" t="s">
        <v>2268</v>
      </c>
    </row>
    <row r="575" spans="1:2" x14ac:dyDescent="0.3">
      <c r="A575" s="2" t="s">
        <v>2269</v>
      </c>
      <c r="B575" s="2" t="s">
        <v>2270</v>
      </c>
    </row>
    <row r="576" spans="1:2" x14ac:dyDescent="0.3">
      <c r="A576" s="2" t="s">
        <v>2271</v>
      </c>
      <c r="B576" s="2" t="s">
        <v>2272</v>
      </c>
    </row>
    <row r="577" spans="1:2" x14ac:dyDescent="0.3">
      <c r="A577" s="2" t="s">
        <v>2273</v>
      </c>
      <c r="B577" s="2" t="s">
        <v>2274</v>
      </c>
    </row>
    <row r="578" spans="1:2" x14ac:dyDescent="0.3">
      <c r="A578" s="2" t="s">
        <v>2275</v>
      </c>
      <c r="B578" s="2" t="s">
        <v>2276</v>
      </c>
    </row>
    <row r="579" spans="1:2" x14ac:dyDescent="0.3">
      <c r="A579" s="2" t="s">
        <v>2277</v>
      </c>
      <c r="B579" s="2" t="s">
        <v>2278</v>
      </c>
    </row>
    <row r="580" spans="1:2" x14ac:dyDescent="0.3">
      <c r="A580" s="2" t="s">
        <v>2279</v>
      </c>
      <c r="B580" s="2" t="s">
        <v>2280</v>
      </c>
    </row>
    <row r="581" spans="1:2" x14ac:dyDescent="0.3">
      <c r="A581" s="2" t="s">
        <v>2281</v>
      </c>
      <c r="B581" s="2" t="s">
        <v>2282</v>
      </c>
    </row>
    <row r="582" spans="1:2" x14ac:dyDescent="0.3">
      <c r="A582" s="2" t="s">
        <v>2283</v>
      </c>
      <c r="B582" s="2" t="s">
        <v>2284</v>
      </c>
    </row>
    <row r="583" spans="1:2" x14ac:dyDescent="0.3">
      <c r="A583" s="2" t="s">
        <v>2285</v>
      </c>
      <c r="B583" s="2" t="s">
        <v>2286</v>
      </c>
    </row>
    <row r="584" spans="1:2" x14ac:dyDescent="0.3">
      <c r="A584" s="2" t="s">
        <v>2287</v>
      </c>
      <c r="B584" s="2" t="s">
        <v>2288</v>
      </c>
    </row>
    <row r="585" spans="1:2" x14ac:dyDescent="0.3">
      <c r="A585" s="2" t="s">
        <v>2289</v>
      </c>
      <c r="B585" s="2" t="s">
        <v>2290</v>
      </c>
    </row>
    <row r="586" spans="1:2" x14ac:dyDescent="0.3">
      <c r="A586" s="2" t="s">
        <v>2291</v>
      </c>
      <c r="B586" s="2" t="s">
        <v>2292</v>
      </c>
    </row>
    <row r="587" spans="1:2" x14ac:dyDescent="0.3">
      <c r="A587" s="2" t="s">
        <v>2293</v>
      </c>
      <c r="B587" s="2" t="s">
        <v>2294</v>
      </c>
    </row>
    <row r="588" spans="1:2" x14ac:dyDescent="0.3">
      <c r="A588" s="2" t="s">
        <v>2295</v>
      </c>
      <c r="B588" s="2" t="s">
        <v>2296</v>
      </c>
    </row>
    <row r="589" spans="1:2" x14ac:dyDescent="0.3">
      <c r="A589" s="2" t="s">
        <v>2297</v>
      </c>
      <c r="B589" s="2" t="s">
        <v>2298</v>
      </c>
    </row>
    <row r="590" spans="1:2" x14ac:dyDescent="0.3">
      <c r="A590" s="2" t="s">
        <v>2299</v>
      </c>
      <c r="B590" s="2" t="s">
        <v>2300</v>
      </c>
    </row>
    <row r="591" spans="1:2" x14ac:dyDescent="0.3">
      <c r="A591" s="2" t="s">
        <v>2301</v>
      </c>
      <c r="B591" s="2" t="s">
        <v>2302</v>
      </c>
    </row>
    <row r="592" spans="1:2" x14ac:dyDescent="0.3">
      <c r="A592" s="2" t="s">
        <v>2303</v>
      </c>
      <c r="B592" s="2" t="s">
        <v>2304</v>
      </c>
    </row>
    <row r="593" spans="1:2" x14ac:dyDescent="0.3">
      <c r="A593" s="2" t="s">
        <v>2305</v>
      </c>
      <c r="B593" s="2" t="s">
        <v>2306</v>
      </c>
    </row>
    <row r="594" spans="1:2" x14ac:dyDescent="0.3">
      <c r="A594" s="2" t="s">
        <v>2307</v>
      </c>
      <c r="B594" s="2" t="s">
        <v>2308</v>
      </c>
    </row>
    <row r="595" spans="1:2" x14ac:dyDescent="0.3">
      <c r="A595" s="2" t="s">
        <v>2309</v>
      </c>
      <c r="B595" s="2" t="s">
        <v>2310</v>
      </c>
    </row>
    <row r="596" spans="1:2" x14ac:dyDescent="0.3">
      <c r="A596" s="2" t="s">
        <v>2311</v>
      </c>
      <c r="B596" s="2" t="s">
        <v>2312</v>
      </c>
    </row>
    <row r="597" spans="1:2" x14ac:dyDescent="0.3">
      <c r="A597" s="2" t="s">
        <v>2313</v>
      </c>
      <c r="B597" s="2" t="s">
        <v>2314</v>
      </c>
    </row>
    <row r="598" spans="1:2" x14ac:dyDescent="0.3">
      <c r="A598" s="2" t="s">
        <v>2315</v>
      </c>
      <c r="B598" s="2" t="s">
        <v>2316</v>
      </c>
    </row>
    <row r="599" spans="1:2" x14ac:dyDescent="0.3">
      <c r="A599" s="2" t="s">
        <v>2317</v>
      </c>
      <c r="B599" s="2" t="s">
        <v>2318</v>
      </c>
    </row>
    <row r="600" spans="1:2" x14ac:dyDescent="0.3">
      <c r="A600" s="2" t="s">
        <v>2319</v>
      </c>
      <c r="B600" s="2" t="s">
        <v>2320</v>
      </c>
    </row>
    <row r="601" spans="1:2" x14ac:dyDescent="0.3">
      <c r="A601" s="2" t="s">
        <v>2321</v>
      </c>
      <c r="B601" s="2" t="s">
        <v>2322</v>
      </c>
    </row>
    <row r="602" spans="1:2" x14ac:dyDescent="0.3">
      <c r="A602" s="2" t="s">
        <v>2323</v>
      </c>
      <c r="B602" s="2" t="s">
        <v>2324</v>
      </c>
    </row>
    <row r="603" spans="1:2" x14ac:dyDescent="0.3">
      <c r="A603" s="2" t="s">
        <v>2325</v>
      </c>
      <c r="B603" s="2" t="s">
        <v>2326</v>
      </c>
    </row>
    <row r="604" spans="1:2" x14ac:dyDescent="0.3">
      <c r="A604" s="2" t="s">
        <v>2327</v>
      </c>
      <c r="B604" s="2" t="s">
        <v>2328</v>
      </c>
    </row>
    <row r="605" spans="1:2" x14ac:dyDescent="0.3">
      <c r="A605" s="2" t="s">
        <v>2329</v>
      </c>
      <c r="B605" s="2" t="s">
        <v>2330</v>
      </c>
    </row>
    <row r="606" spans="1:2" x14ac:dyDescent="0.3">
      <c r="A606" s="2" t="s">
        <v>2331</v>
      </c>
      <c r="B606" s="2" t="s">
        <v>2332</v>
      </c>
    </row>
    <row r="607" spans="1:2" x14ac:dyDescent="0.3">
      <c r="A607" s="2" t="s">
        <v>2333</v>
      </c>
      <c r="B607" s="2" t="s">
        <v>2334</v>
      </c>
    </row>
    <row r="608" spans="1:2" x14ac:dyDescent="0.3">
      <c r="A608" s="2" t="s">
        <v>2335</v>
      </c>
      <c r="B608" s="2" t="s">
        <v>2336</v>
      </c>
    </row>
    <row r="609" spans="1:2" x14ac:dyDescent="0.3">
      <c r="A609" s="2" t="s">
        <v>2337</v>
      </c>
      <c r="B609" s="2" t="s">
        <v>2338</v>
      </c>
    </row>
    <row r="610" spans="1:2" x14ac:dyDescent="0.3">
      <c r="A610" s="2" t="s">
        <v>2339</v>
      </c>
      <c r="B610" s="2" t="s">
        <v>2340</v>
      </c>
    </row>
    <row r="611" spans="1:2" x14ac:dyDescent="0.3">
      <c r="A611" s="2" t="s">
        <v>2341</v>
      </c>
      <c r="B611" s="2" t="s">
        <v>2342</v>
      </c>
    </row>
    <row r="612" spans="1:2" x14ac:dyDescent="0.3">
      <c r="A612" s="2" t="s">
        <v>2343</v>
      </c>
      <c r="B612" s="2" t="s">
        <v>2344</v>
      </c>
    </row>
    <row r="613" spans="1:2" x14ac:dyDescent="0.3">
      <c r="A613" s="2" t="s">
        <v>2345</v>
      </c>
      <c r="B613" s="2" t="s">
        <v>2346</v>
      </c>
    </row>
    <row r="614" spans="1:2" x14ac:dyDescent="0.3">
      <c r="A614" s="2" t="s">
        <v>2347</v>
      </c>
      <c r="B614" s="2" t="s">
        <v>2348</v>
      </c>
    </row>
    <row r="615" spans="1:2" x14ac:dyDescent="0.3">
      <c r="A615" s="2" t="s">
        <v>2349</v>
      </c>
      <c r="B615" s="2" t="s">
        <v>2350</v>
      </c>
    </row>
    <row r="616" spans="1:2" x14ac:dyDescent="0.3">
      <c r="A616" s="2" t="s">
        <v>2351</v>
      </c>
      <c r="B616" s="2" t="s">
        <v>2352</v>
      </c>
    </row>
    <row r="617" spans="1:2" x14ac:dyDescent="0.3">
      <c r="A617" s="2" t="s">
        <v>2353</v>
      </c>
      <c r="B617" s="2" t="s">
        <v>2354</v>
      </c>
    </row>
    <row r="618" spans="1:2" x14ac:dyDescent="0.3">
      <c r="A618" s="2" t="s">
        <v>2355</v>
      </c>
      <c r="B618" s="2" t="s">
        <v>2356</v>
      </c>
    </row>
    <row r="619" spans="1:2" x14ac:dyDescent="0.3">
      <c r="A619" s="2" t="s">
        <v>2357</v>
      </c>
      <c r="B619" s="2" t="s">
        <v>2358</v>
      </c>
    </row>
    <row r="620" spans="1:2" x14ac:dyDescent="0.3">
      <c r="A620" s="2" t="s">
        <v>2359</v>
      </c>
      <c r="B620" s="2" t="s">
        <v>2360</v>
      </c>
    </row>
    <row r="621" spans="1:2" x14ac:dyDescent="0.3">
      <c r="A621" s="2" t="s">
        <v>2361</v>
      </c>
      <c r="B621" s="2" t="s">
        <v>2362</v>
      </c>
    </row>
    <row r="622" spans="1:2" x14ac:dyDescent="0.3">
      <c r="A622" s="2" t="s">
        <v>2363</v>
      </c>
      <c r="B622" s="2" t="s">
        <v>2364</v>
      </c>
    </row>
    <row r="623" spans="1:2" x14ac:dyDescent="0.3">
      <c r="A623" s="2" t="s">
        <v>2365</v>
      </c>
      <c r="B623" s="2" t="s">
        <v>2366</v>
      </c>
    </row>
    <row r="624" spans="1:2" x14ac:dyDescent="0.3">
      <c r="A624" s="2" t="s">
        <v>2367</v>
      </c>
      <c r="B624" s="2" t="s">
        <v>2368</v>
      </c>
    </row>
    <row r="625" spans="1:2" x14ac:dyDescent="0.3">
      <c r="A625" s="2" t="s">
        <v>2369</v>
      </c>
      <c r="B625" s="2" t="s">
        <v>2370</v>
      </c>
    </row>
    <row r="626" spans="1:2" x14ac:dyDescent="0.3">
      <c r="A626" s="2" t="s">
        <v>2371</v>
      </c>
      <c r="B626" s="2" t="s">
        <v>2372</v>
      </c>
    </row>
    <row r="627" spans="1:2" x14ac:dyDescent="0.3">
      <c r="A627" s="2" t="s">
        <v>2373</v>
      </c>
      <c r="B627" s="2" t="s">
        <v>2374</v>
      </c>
    </row>
    <row r="628" spans="1:2" x14ac:dyDescent="0.3">
      <c r="A628" s="2" t="s">
        <v>2375</v>
      </c>
      <c r="B628" s="2" t="s">
        <v>2376</v>
      </c>
    </row>
    <row r="629" spans="1:2" x14ac:dyDescent="0.3">
      <c r="A629" s="2" t="s">
        <v>2377</v>
      </c>
      <c r="B629" s="2" t="s">
        <v>2378</v>
      </c>
    </row>
    <row r="630" spans="1:2" x14ac:dyDescent="0.3">
      <c r="A630" s="2" t="s">
        <v>2379</v>
      </c>
      <c r="B630" s="2" t="s">
        <v>2380</v>
      </c>
    </row>
    <row r="631" spans="1:2" x14ac:dyDescent="0.3">
      <c r="A631" s="2" t="s">
        <v>2381</v>
      </c>
      <c r="B631" s="2" t="s">
        <v>2382</v>
      </c>
    </row>
    <row r="632" spans="1:2" x14ac:dyDescent="0.3">
      <c r="A632" s="2" t="s">
        <v>2383</v>
      </c>
      <c r="B632" s="2" t="s">
        <v>2384</v>
      </c>
    </row>
    <row r="633" spans="1:2" x14ac:dyDescent="0.3">
      <c r="A633" s="2" t="s">
        <v>2385</v>
      </c>
      <c r="B633" s="2" t="s">
        <v>2386</v>
      </c>
    </row>
    <row r="634" spans="1:2" x14ac:dyDescent="0.3">
      <c r="A634" s="2" t="s">
        <v>2387</v>
      </c>
      <c r="B634" s="2" t="s">
        <v>2388</v>
      </c>
    </row>
    <row r="635" spans="1:2" x14ac:dyDescent="0.3">
      <c r="A635" s="2" t="s">
        <v>2389</v>
      </c>
      <c r="B635" s="2" t="s">
        <v>2390</v>
      </c>
    </row>
    <row r="636" spans="1:2" x14ac:dyDescent="0.3">
      <c r="A636" s="2" t="s">
        <v>2391</v>
      </c>
      <c r="B636" s="2" t="s">
        <v>2392</v>
      </c>
    </row>
    <row r="637" spans="1:2" x14ac:dyDescent="0.3">
      <c r="A637" s="2" t="s">
        <v>2393</v>
      </c>
      <c r="B637" s="2" t="s">
        <v>2394</v>
      </c>
    </row>
    <row r="638" spans="1:2" x14ac:dyDescent="0.3">
      <c r="A638" s="2" t="s">
        <v>2395</v>
      </c>
      <c r="B638" s="2" t="s">
        <v>2396</v>
      </c>
    </row>
    <row r="639" spans="1:2" x14ac:dyDescent="0.3">
      <c r="A639" s="2" t="s">
        <v>2397</v>
      </c>
      <c r="B639" s="2" t="s">
        <v>2398</v>
      </c>
    </row>
    <row r="640" spans="1:2" x14ac:dyDescent="0.3">
      <c r="A640" s="2" t="s">
        <v>2399</v>
      </c>
      <c r="B640" s="2" t="s">
        <v>2400</v>
      </c>
    </row>
    <row r="641" spans="1:2" x14ac:dyDescent="0.3">
      <c r="A641" s="2" t="s">
        <v>2401</v>
      </c>
      <c r="B641" s="2" t="s">
        <v>2402</v>
      </c>
    </row>
    <row r="642" spans="1:2" x14ac:dyDescent="0.3">
      <c r="A642" s="2" t="s">
        <v>2403</v>
      </c>
      <c r="B642" s="2" t="s">
        <v>2404</v>
      </c>
    </row>
    <row r="643" spans="1:2" x14ac:dyDescent="0.3">
      <c r="A643" s="2" t="s">
        <v>2405</v>
      </c>
      <c r="B643" s="2" t="s">
        <v>2406</v>
      </c>
    </row>
    <row r="644" spans="1:2" x14ac:dyDescent="0.3">
      <c r="A644" s="2" t="s">
        <v>2407</v>
      </c>
      <c r="B644" s="2" t="s">
        <v>2408</v>
      </c>
    </row>
    <row r="645" spans="1:2" x14ac:dyDescent="0.3">
      <c r="A645" s="2" t="s">
        <v>2409</v>
      </c>
      <c r="B645" s="2" t="s">
        <v>2410</v>
      </c>
    </row>
    <row r="646" spans="1:2" x14ac:dyDescent="0.3">
      <c r="A646" s="2" t="s">
        <v>2411</v>
      </c>
      <c r="B646" s="2" t="s">
        <v>2412</v>
      </c>
    </row>
    <row r="647" spans="1:2" x14ac:dyDescent="0.3">
      <c r="A647" s="2" t="s">
        <v>2413</v>
      </c>
      <c r="B647" s="2" t="s">
        <v>2414</v>
      </c>
    </row>
    <row r="648" spans="1:2" x14ac:dyDescent="0.3">
      <c r="A648" s="2" t="s">
        <v>2415</v>
      </c>
      <c r="B648" s="2" t="s">
        <v>2416</v>
      </c>
    </row>
    <row r="649" spans="1:2" x14ac:dyDescent="0.3">
      <c r="A649" s="2" t="s">
        <v>2417</v>
      </c>
      <c r="B649" s="2" t="s">
        <v>2418</v>
      </c>
    </row>
    <row r="650" spans="1:2" x14ac:dyDescent="0.3">
      <c r="A650" s="2" t="s">
        <v>2419</v>
      </c>
      <c r="B650" s="2" t="s">
        <v>2420</v>
      </c>
    </row>
    <row r="651" spans="1:2" x14ac:dyDescent="0.3">
      <c r="A651" s="2" t="s">
        <v>2421</v>
      </c>
      <c r="B651" s="2" t="s">
        <v>2422</v>
      </c>
    </row>
    <row r="652" spans="1:2" x14ac:dyDescent="0.3">
      <c r="A652" s="2" t="s">
        <v>2423</v>
      </c>
      <c r="B652" s="2" t="s">
        <v>2424</v>
      </c>
    </row>
    <row r="653" spans="1:2" x14ac:dyDescent="0.3">
      <c r="A653" s="2" t="s">
        <v>2425</v>
      </c>
      <c r="B653" s="2" t="s">
        <v>2426</v>
      </c>
    </row>
    <row r="654" spans="1:2" x14ac:dyDescent="0.3">
      <c r="A654" s="2" t="s">
        <v>2427</v>
      </c>
      <c r="B654" s="2" t="s">
        <v>2428</v>
      </c>
    </row>
    <row r="655" spans="1:2" x14ac:dyDescent="0.3">
      <c r="A655" s="2" t="s">
        <v>2429</v>
      </c>
      <c r="B655" s="2" t="s">
        <v>2430</v>
      </c>
    </row>
    <row r="656" spans="1:2" x14ac:dyDescent="0.3">
      <c r="A656" s="2" t="s">
        <v>2431</v>
      </c>
      <c r="B656" s="2" t="s">
        <v>2432</v>
      </c>
    </row>
    <row r="657" spans="1:2" x14ac:dyDescent="0.3">
      <c r="A657" s="2" t="s">
        <v>2433</v>
      </c>
      <c r="B657" s="2" t="s">
        <v>2434</v>
      </c>
    </row>
    <row r="658" spans="1:2" x14ac:dyDescent="0.3">
      <c r="A658" s="2" t="s">
        <v>2435</v>
      </c>
      <c r="B658" s="2" t="s">
        <v>2436</v>
      </c>
    </row>
    <row r="659" spans="1:2" x14ac:dyDescent="0.3">
      <c r="A659" s="2" t="s">
        <v>2437</v>
      </c>
      <c r="B659" s="2" t="s">
        <v>2438</v>
      </c>
    </row>
    <row r="660" spans="1:2" x14ac:dyDescent="0.3">
      <c r="A660" s="2" t="s">
        <v>2439</v>
      </c>
      <c r="B660" s="2" t="s">
        <v>2440</v>
      </c>
    </row>
    <row r="661" spans="1:2" x14ac:dyDescent="0.3">
      <c r="A661" s="2" t="s">
        <v>2441</v>
      </c>
      <c r="B661" s="2" t="s">
        <v>2442</v>
      </c>
    </row>
    <row r="662" spans="1:2" x14ac:dyDescent="0.3">
      <c r="A662" s="2" t="s">
        <v>2443</v>
      </c>
      <c r="B662" s="2" t="s">
        <v>2444</v>
      </c>
    </row>
    <row r="663" spans="1:2" x14ac:dyDescent="0.3">
      <c r="A663" s="2" t="s">
        <v>2445</v>
      </c>
      <c r="B663" s="2" t="s">
        <v>2446</v>
      </c>
    </row>
    <row r="664" spans="1:2" x14ac:dyDescent="0.3">
      <c r="A664" s="2" t="s">
        <v>2447</v>
      </c>
      <c r="B664" s="2" t="s">
        <v>2448</v>
      </c>
    </row>
    <row r="665" spans="1:2" x14ac:dyDescent="0.3">
      <c r="A665" s="2" t="s">
        <v>2449</v>
      </c>
      <c r="B665" s="2" t="s">
        <v>2450</v>
      </c>
    </row>
    <row r="666" spans="1:2" x14ac:dyDescent="0.3">
      <c r="A666" s="2" t="s">
        <v>2451</v>
      </c>
      <c r="B666" s="2" t="s">
        <v>2452</v>
      </c>
    </row>
    <row r="667" spans="1:2" x14ac:dyDescent="0.3">
      <c r="A667" s="2" t="s">
        <v>2453</v>
      </c>
      <c r="B667" s="2" t="s">
        <v>2454</v>
      </c>
    </row>
    <row r="668" spans="1:2" x14ac:dyDescent="0.3">
      <c r="A668" s="2" t="s">
        <v>2455</v>
      </c>
      <c r="B668" s="2" t="s">
        <v>2456</v>
      </c>
    </row>
    <row r="669" spans="1:2" x14ac:dyDescent="0.3">
      <c r="A669" s="2" t="s">
        <v>2457</v>
      </c>
      <c r="B669" s="2" t="s">
        <v>2458</v>
      </c>
    </row>
    <row r="670" spans="1:2" x14ac:dyDescent="0.3">
      <c r="A670" s="2" t="s">
        <v>2459</v>
      </c>
      <c r="B670" s="2" t="s">
        <v>2460</v>
      </c>
    </row>
    <row r="671" spans="1:2" x14ac:dyDescent="0.3">
      <c r="A671" s="2" t="s">
        <v>2461</v>
      </c>
      <c r="B671" s="2" t="s">
        <v>2462</v>
      </c>
    </row>
    <row r="672" spans="1:2" x14ac:dyDescent="0.3">
      <c r="A672" s="2" t="s">
        <v>2463</v>
      </c>
      <c r="B672" s="2" t="s">
        <v>2464</v>
      </c>
    </row>
    <row r="673" spans="1:2" x14ac:dyDescent="0.3">
      <c r="A673" s="2" t="s">
        <v>2465</v>
      </c>
      <c r="B673" s="2" t="s">
        <v>2466</v>
      </c>
    </row>
    <row r="674" spans="1:2" x14ac:dyDescent="0.3">
      <c r="A674" s="2" t="s">
        <v>2467</v>
      </c>
      <c r="B674" s="2" t="s">
        <v>2468</v>
      </c>
    </row>
    <row r="675" spans="1:2" x14ac:dyDescent="0.3">
      <c r="A675" s="2" t="s">
        <v>2469</v>
      </c>
      <c r="B675" s="2" t="s">
        <v>2470</v>
      </c>
    </row>
    <row r="676" spans="1:2" x14ac:dyDescent="0.3">
      <c r="A676" s="2" t="s">
        <v>2471</v>
      </c>
      <c r="B676" s="2" t="s">
        <v>2472</v>
      </c>
    </row>
    <row r="677" spans="1:2" x14ac:dyDescent="0.3">
      <c r="A677" s="2" t="s">
        <v>2473</v>
      </c>
      <c r="B677" s="2" t="s">
        <v>2474</v>
      </c>
    </row>
    <row r="678" spans="1:2" x14ac:dyDescent="0.3">
      <c r="A678" s="2" t="s">
        <v>2475</v>
      </c>
      <c r="B678" s="2" t="s">
        <v>2476</v>
      </c>
    </row>
    <row r="679" spans="1:2" x14ac:dyDescent="0.3">
      <c r="A679" s="2" t="s">
        <v>2477</v>
      </c>
      <c r="B679" s="2" t="s">
        <v>2478</v>
      </c>
    </row>
    <row r="680" spans="1:2" x14ac:dyDescent="0.3">
      <c r="A680" s="2" t="s">
        <v>2479</v>
      </c>
      <c r="B680" s="2" t="s">
        <v>2480</v>
      </c>
    </row>
    <row r="681" spans="1:2" x14ac:dyDescent="0.3">
      <c r="A681" s="2" t="s">
        <v>2481</v>
      </c>
      <c r="B681" s="2" t="s">
        <v>2482</v>
      </c>
    </row>
    <row r="682" spans="1:2" x14ac:dyDescent="0.3">
      <c r="A682" s="2" t="s">
        <v>2483</v>
      </c>
      <c r="B682" s="2" t="s">
        <v>2484</v>
      </c>
    </row>
    <row r="683" spans="1:2" x14ac:dyDescent="0.3">
      <c r="A683" s="2" t="s">
        <v>2485</v>
      </c>
      <c r="B683" s="2" t="s">
        <v>2486</v>
      </c>
    </row>
    <row r="684" spans="1:2" x14ac:dyDescent="0.3">
      <c r="A684" s="2" t="s">
        <v>2487</v>
      </c>
      <c r="B684" s="2" t="s">
        <v>2488</v>
      </c>
    </row>
    <row r="685" spans="1:2" x14ac:dyDescent="0.3">
      <c r="A685" s="2" t="s">
        <v>2489</v>
      </c>
      <c r="B685" s="2" t="s">
        <v>2490</v>
      </c>
    </row>
    <row r="686" spans="1:2" x14ac:dyDescent="0.3">
      <c r="A686" s="2" t="s">
        <v>2491</v>
      </c>
      <c r="B686" s="2" t="s">
        <v>2492</v>
      </c>
    </row>
    <row r="687" spans="1:2" x14ac:dyDescent="0.3">
      <c r="A687" s="2" t="s">
        <v>2493</v>
      </c>
      <c r="B687" s="2" t="s">
        <v>2494</v>
      </c>
    </row>
    <row r="688" spans="1:2" x14ac:dyDescent="0.3">
      <c r="A688" s="2" t="s">
        <v>2495</v>
      </c>
      <c r="B688" s="2" t="s">
        <v>2496</v>
      </c>
    </row>
    <row r="689" spans="1:2" x14ac:dyDescent="0.3">
      <c r="A689" s="2" t="s">
        <v>2497</v>
      </c>
      <c r="B689" s="2" t="s">
        <v>2498</v>
      </c>
    </row>
    <row r="690" spans="1:2" x14ac:dyDescent="0.3">
      <c r="A690" s="2" t="s">
        <v>2499</v>
      </c>
      <c r="B690" s="2" t="s">
        <v>2500</v>
      </c>
    </row>
    <row r="691" spans="1:2" x14ac:dyDescent="0.3">
      <c r="A691" s="2" t="s">
        <v>2501</v>
      </c>
      <c r="B691" s="2" t="s">
        <v>2502</v>
      </c>
    </row>
    <row r="692" spans="1:2" x14ac:dyDescent="0.3">
      <c r="A692" s="2" t="s">
        <v>2503</v>
      </c>
      <c r="B692" s="2" t="s">
        <v>2504</v>
      </c>
    </row>
    <row r="693" spans="1:2" x14ac:dyDescent="0.3">
      <c r="A693" s="2" t="s">
        <v>2505</v>
      </c>
      <c r="B693" s="2" t="s">
        <v>2506</v>
      </c>
    </row>
    <row r="694" spans="1:2" x14ac:dyDescent="0.3">
      <c r="A694" s="2" t="s">
        <v>2507</v>
      </c>
      <c r="B694" s="2" t="s">
        <v>2508</v>
      </c>
    </row>
    <row r="695" spans="1:2" x14ac:dyDescent="0.3">
      <c r="A695" s="2" t="s">
        <v>2509</v>
      </c>
      <c r="B695" s="2" t="s">
        <v>2510</v>
      </c>
    </row>
    <row r="696" spans="1:2" x14ac:dyDescent="0.3">
      <c r="A696" s="2" t="s">
        <v>2511</v>
      </c>
      <c r="B696" s="2" t="s">
        <v>2512</v>
      </c>
    </row>
    <row r="697" spans="1:2" x14ac:dyDescent="0.3">
      <c r="A697" s="2" t="s">
        <v>2513</v>
      </c>
      <c r="B697" s="2" t="s">
        <v>2514</v>
      </c>
    </row>
    <row r="698" spans="1:2" x14ac:dyDescent="0.3">
      <c r="A698" s="2" t="s">
        <v>2515</v>
      </c>
      <c r="B698" s="2" t="s">
        <v>2516</v>
      </c>
    </row>
    <row r="699" spans="1:2" x14ac:dyDescent="0.3">
      <c r="A699" s="2" t="s">
        <v>2517</v>
      </c>
      <c r="B699" s="2" t="s">
        <v>2518</v>
      </c>
    </row>
    <row r="700" spans="1:2" x14ac:dyDescent="0.3">
      <c r="A700" s="2" t="s">
        <v>2519</v>
      </c>
      <c r="B700" s="2" t="s">
        <v>2520</v>
      </c>
    </row>
    <row r="701" spans="1:2" x14ac:dyDescent="0.3">
      <c r="A701" s="2" t="s">
        <v>2521</v>
      </c>
      <c r="B701" s="2" t="s">
        <v>2522</v>
      </c>
    </row>
    <row r="702" spans="1:2" x14ac:dyDescent="0.3">
      <c r="A702" s="2" t="s">
        <v>2523</v>
      </c>
      <c r="B702" s="2" t="s">
        <v>2524</v>
      </c>
    </row>
    <row r="703" spans="1:2" x14ac:dyDescent="0.3">
      <c r="A703" s="2" t="s">
        <v>2525</v>
      </c>
      <c r="B703" s="2" t="s">
        <v>2526</v>
      </c>
    </row>
    <row r="704" spans="1:2" x14ac:dyDescent="0.3">
      <c r="A704" s="2" t="s">
        <v>2527</v>
      </c>
      <c r="B704" s="2" t="s">
        <v>2528</v>
      </c>
    </row>
    <row r="705" spans="1:2" x14ac:dyDescent="0.3">
      <c r="A705" s="2" t="s">
        <v>2529</v>
      </c>
      <c r="B705" s="2" t="s">
        <v>2530</v>
      </c>
    </row>
    <row r="706" spans="1:2" x14ac:dyDescent="0.3">
      <c r="A706" s="2" t="s">
        <v>2531</v>
      </c>
      <c r="B706" s="2" t="s">
        <v>2532</v>
      </c>
    </row>
    <row r="707" spans="1:2" x14ac:dyDescent="0.3">
      <c r="A707" s="2" t="s">
        <v>2533</v>
      </c>
      <c r="B707" s="2" t="s">
        <v>2534</v>
      </c>
    </row>
    <row r="708" spans="1:2" x14ac:dyDescent="0.3">
      <c r="A708" s="2" t="s">
        <v>2535</v>
      </c>
      <c r="B708" s="2" t="s">
        <v>2536</v>
      </c>
    </row>
    <row r="709" spans="1:2" x14ac:dyDescent="0.3">
      <c r="A709" s="2" t="s">
        <v>2537</v>
      </c>
      <c r="B709" s="2" t="s">
        <v>2538</v>
      </c>
    </row>
    <row r="710" spans="1:2" x14ac:dyDescent="0.3">
      <c r="A710" s="2" t="s">
        <v>2539</v>
      </c>
      <c r="B710" s="2" t="s">
        <v>2540</v>
      </c>
    </row>
    <row r="711" spans="1:2" x14ac:dyDescent="0.3">
      <c r="A711" s="2" t="s">
        <v>2541</v>
      </c>
      <c r="B711" s="2" t="s">
        <v>2542</v>
      </c>
    </row>
    <row r="712" spans="1:2" x14ac:dyDescent="0.3">
      <c r="A712" s="2" t="s">
        <v>2543</v>
      </c>
      <c r="B712" s="2" t="s">
        <v>2544</v>
      </c>
    </row>
    <row r="713" spans="1:2" x14ac:dyDescent="0.3">
      <c r="A713" s="2" t="s">
        <v>2545</v>
      </c>
      <c r="B713" s="2" t="s">
        <v>2546</v>
      </c>
    </row>
    <row r="714" spans="1:2" x14ac:dyDescent="0.3">
      <c r="A714" s="2" t="s">
        <v>2547</v>
      </c>
      <c r="B714" s="2" t="s">
        <v>2548</v>
      </c>
    </row>
    <row r="715" spans="1:2" x14ac:dyDescent="0.3">
      <c r="A715" s="2" t="s">
        <v>2549</v>
      </c>
      <c r="B715" s="2" t="s">
        <v>2550</v>
      </c>
    </row>
    <row r="716" spans="1:2" x14ac:dyDescent="0.3">
      <c r="A716" s="2" t="s">
        <v>2551</v>
      </c>
      <c r="B716" s="2" t="s">
        <v>2552</v>
      </c>
    </row>
    <row r="717" spans="1:2" x14ac:dyDescent="0.3">
      <c r="A717" s="2" t="s">
        <v>2553</v>
      </c>
      <c r="B717" s="2" t="s">
        <v>2554</v>
      </c>
    </row>
    <row r="718" spans="1:2" x14ac:dyDescent="0.3">
      <c r="A718" s="2" t="s">
        <v>2555</v>
      </c>
      <c r="B718" s="2" t="s">
        <v>2556</v>
      </c>
    </row>
    <row r="719" spans="1:2" x14ac:dyDescent="0.3">
      <c r="A719" s="2" t="s">
        <v>2557</v>
      </c>
      <c r="B719" s="2" t="s">
        <v>2558</v>
      </c>
    </row>
    <row r="720" spans="1:2" x14ac:dyDescent="0.3">
      <c r="A720" s="2" t="s">
        <v>2559</v>
      </c>
      <c r="B720" s="2" t="s">
        <v>2560</v>
      </c>
    </row>
    <row r="721" spans="1:2" x14ac:dyDescent="0.3">
      <c r="A721" s="2" t="s">
        <v>2561</v>
      </c>
      <c r="B721" s="2" t="s">
        <v>2562</v>
      </c>
    </row>
    <row r="722" spans="1:2" x14ac:dyDescent="0.3">
      <c r="A722" s="2" t="s">
        <v>2563</v>
      </c>
      <c r="B722" s="2" t="s">
        <v>2564</v>
      </c>
    </row>
    <row r="723" spans="1:2" x14ac:dyDescent="0.3">
      <c r="A723" s="2" t="s">
        <v>2565</v>
      </c>
      <c r="B723" s="2" t="s">
        <v>2566</v>
      </c>
    </row>
    <row r="724" spans="1:2" x14ac:dyDescent="0.3">
      <c r="A724" s="2" t="s">
        <v>2567</v>
      </c>
      <c r="B724" s="2" t="s">
        <v>2568</v>
      </c>
    </row>
    <row r="725" spans="1:2" x14ac:dyDescent="0.3">
      <c r="A725" s="2" t="s">
        <v>2569</v>
      </c>
      <c r="B725" s="2" t="s">
        <v>2570</v>
      </c>
    </row>
    <row r="726" spans="1:2" x14ac:dyDescent="0.3">
      <c r="A726" s="2" t="s">
        <v>2571</v>
      </c>
      <c r="B726" s="2" t="s">
        <v>2572</v>
      </c>
    </row>
    <row r="727" spans="1:2" x14ac:dyDescent="0.3">
      <c r="A727" s="2" t="s">
        <v>2573</v>
      </c>
      <c r="B727" s="2" t="s">
        <v>2574</v>
      </c>
    </row>
    <row r="728" spans="1:2" x14ac:dyDescent="0.3">
      <c r="A728" s="2" t="s">
        <v>2575</v>
      </c>
      <c r="B728" s="2" t="s">
        <v>2576</v>
      </c>
    </row>
    <row r="729" spans="1:2" x14ac:dyDescent="0.3">
      <c r="A729" s="2" t="s">
        <v>2577</v>
      </c>
      <c r="B729" s="2" t="s">
        <v>2578</v>
      </c>
    </row>
    <row r="730" spans="1:2" x14ac:dyDescent="0.3">
      <c r="A730" s="2" t="s">
        <v>2579</v>
      </c>
      <c r="B730" s="2" t="s">
        <v>2580</v>
      </c>
    </row>
    <row r="731" spans="1:2" x14ac:dyDescent="0.3">
      <c r="A731" s="2" t="s">
        <v>2581</v>
      </c>
      <c r="B731" s="2" t="s">
        <v>2582</v>
      </c>
    </row>
    <row r="732" spans="1:2" x14ac:dyDescent="0.3">
      <c r="A732" s="2" t="s">
        <v>2583</v>
      </c>
      <c r="B732" s="2" t="s">
        <v>2584</v>
      </c>
    </row>
    <row r="733" spans="1:2" x14ac:dyDescent="0.3">
      <c r="A733" s="2" t="s">
        <v>2585</v>
      </c>
      <c r="B733" s="2" t="s">
        <v>2586</v>
      </c>
    </row>
    <row r="734" spans="1:2" x14ac:dyDescent="0.3">
      <c r="A734" s="2" t="s">
        <v>2587</v>
      </c>
      <c r="B734" s="2" t="s">
        <v>2588</v>
      </c>
    </row>
    <row r="735" spans="1:2" x14ac:dyDescent="0.3">
      <c r="A735" s="2" t="s">
        <v>2589</v>
      </c>
      <c r="B735" s="2" t="s">
        <v>2590</v>
      </c>
    </row>
    <row r="736" spans="1:2" x14ac:dyDescent="0.3">
      <c r="A736" s="2" t="s">
        <v>2591</v>
      </c>
      <c r="B736" s="2" t="s">
        <v>2592</v>
      </c>
    </row>
    <row r="737" spans="1:2" x14ac:dyDescent="0.3">
      <c r="A737" s="2" t="s">
        <v>2593</v>
      </c>
      <c r="B737" s="2" t="s">
        <v>2594</v>
      </c>
    </row>
    <row r="738" spans="1:2" x14ac:dyDescent="0.3">
      <c r="A738" s="2" t="s">
        <v>2595</v>
      </c>
      <c r="B738" s="2" t="s">
        <v>2596</v>
      </c>
    </row>
    <row r="739" spans="1:2" x14ac:dyDescent="0.3">
      <c r="A739" s="2" t="s">
        <v>2597</v>
      </c>
      <c r="B739" s="2" t="s">
        <v>2598</v>
      </c>
    </row>
    <row r="740" spans="1:2" x14ac:dyDescent="0.3">
      <c r="A740" s="2" t="s">
        <v>2599</v>
      </c>
      <c r="B740" s="2" t="s">
        <v>2600</v>
      </c>
    </row>
    <row r="741" spans="1:2" x14ac:dyDescent="0.3">
      <c r="A741" s="2" t="s">
        <v>2601</v>
      </c>
      <c r="B741" s="2" t="s">
        <v>2602</v>
      </c>
    </row>
    <row r="742" spans="1:2" x14ac:dyDescent="0.3">
      <c r="A742" s="2" t="s">
        <v>2603</v>
      </c>
      <c r="B742" s="2" t="s">
        <v>2604</v>
      </c>
    </row>
    <row r="743" spans="1:2" x14ac:dyDescent="0.3">
      <c r="A743" s="2" t="s">
        <v>2605</v>
      </c>
      <c r="B743" s="2" t="s">
        <v>2606</v>
      </c>
    </row>
    <row r="744" spans="1:2" x14ac:dyDescent="0.3">
      <c r="A744" s="2" t="s">
        <v>2607</v>
      </c>
      <c r="B744" s="2" t="s">
        <v>2608</v>
      </c>
    </row>
    <row r="745" spans="1:2" x14ac:dyDescent="0.3">
      <c r="A745" s="2" t="s">
        <v>2609</v>
      </c>
      <c r="B745" s="2" t="s">
        <v>2610</v>
      </c>
    </row>
    <row r="746" spans="1:2" x14ac:dyDescent="0.3">
      <c r="A746" s="2" t="s">
        <v>2611</v>
      </c>
      <c r="B746" s="2" t="s">
        <v>2612</v>
      </c>
    </row>
    <row r="747" spans="1:2" x14ac:dyDescent="0.3">
      <c r="A747" s="2" t="s">
        <v>2613</v>
      </c>
      <c r="B747" s="2" t="s">
        <v>2614</v>
      </c>
    </row>
    <row r="748" spans="1:2" x14ac:dyDescent="0.3">
      <c r="A748" s="2" t="s">
        <v>2615</v>
      </c>
      <c r="B748" s="2" t="s">
        <v>2616</v>
      </c>
    </row>
    <row r="749" spans="1:2" x14ac:dyDescent="0.3">
      <c r="A749" s="2" t="s">
        <v>2617</v>
      </c>
      <c r="B749" s="2" t="s">
        <v>2618</v>
      </c>
    </row>
    <row r="750" spans="1:2" x14ac:dyDescent="0.3">
      <c r="A750" s="2" t="s">
        <v>2619</v>
      </c>
      <c r="B750" s="2" t="s">
        <v>2620</v>
      </c>
    </row>
    <row r="751" spans="1:2" x14ac:dyDescent="0.3">
      <c r="A751" s="2" t="s">
        <v>2621</v>
      </c>
      <c r="B751" s="2" t="s">
        <v>2622</v>
      </c>
    </row>
    <row r="752" spans="1:2" x14ac:dyDescent="0.3">
      <c r="A752" s="2" t="s">
        <v>2623</v>
      </c>
      <c r="B752" s="2" t="s">
        <v>2624</v>
      </c>
    </row>
    <row r="753" spans="1:2" x14ac:dyDescent="0.3">
      <c r="A753" s="2" t="s">
        <v>2625</v>
      </c>
      <c r="B753" s="2" t="s">
        <v>2626</v>
      </c>
    </row>
    <row r="754" spans="1:2" x14ac:dyDescent="0.3">
      <c r="A754" s="2" t="s">
        <v>2627</v>
      </c>
      <c r="B754" s="2" t="s">
        <v>2628</v>
      </c>
    </row>
    <row r="755" spans="1:2" x14ac:dyDescent="0.3">
      <c r="A755" s="2" t="s">
        <v>2629</v>
      </c>
      <c r="B755" s="2" t="s">
        <v>2630</v>
      </c>
    </row>
    <row r="756" spans="1:2" x14ac:dyDescent="0.3">
      <c r="A756" s="2" t="s">
        <v>2631</v>
      </c>
      <c r="B756" s="2" t="s">
        <v>2632</v>
      </c>
    </row>
    <row r="757" spans="1:2" x14ac:dyDescent="0.3">
      <c r="A757" s="2" t="s">
        <v>2633</v>
      </c>
      <c r="B757" s="2" t="s">
        <v>2634</v>
      </c>
    </row>
    <row r="758" spans="1:2" x14ac:dyDescent="0.3">
      <c r="A758" s="2" t="s">
        <v>2635</v>
      </c>
      <c r="B758" s="2" t="s">
        <v>2636</v>
      </c>
    </row>
    <row r="759" spans="1:2" x14ac:dyDescent="0.3">
      <c r="A759" s="2" t="s">
        <v>2637</v>
      </c>
      <c r="B759" s="2" t="s">
        <v>2638</v>
      </c>
    </row>
    <row r="760" spans="1:2" x14ac:dyDescent="0.3">
      <c r="A760" s="2" t="s">
        <v>2639</v>
      </c>
      <c r="B760" s="2" t="s">
        <v>2640</v>
      </c>
    </row>
    <row r="761" spans="1:2" x14ac:dyDescent="0.3">
      <c r="A761" s="2" t="s">
        <v>2641</v>
      </c>
      <c r="B761" s="2" t="s">
        <v>2642</v>
      </c>
    </row>
    <row r="762" spans="1:2" x14ac:dyDescent="0.3">
      <c r="A762" s="2" t="s">
        <v>2643</v>
      </c>
      <c r="B762" s="2" t="s">
        <v>2644</v>
      </c>
    </row>
    <row r="763" spans="1:2" x14ac:dyDescent="0.3">
      <c r="A763" s="2" t="s">
        <v>2645</v>
      </c>
      <c r="B763" s="2" t="s">
        <v>2646</v>
      </c>
    </row>
    <row r="764" spans="1:2" x14ac:dyDescent="0.3">
      <c r="A764" s="2" t="s">
        <v>2647</v>
      </c>
      <c r="B764" s="2" t="s">
        <v>2648</v>
      </c>
    </row>
    <row r="765" spans="1:2" x14ac:dyDescent="0.3">
      <c r="A765" s="2" t="s">
        <v>2649</v>
      </c>
      <c r="B765" s="2" t="s">
        <v>2650</v>
      </c>
    </row>
    <row r="766" spans="1:2" x14ac:dyDescent="0.3">
      <c r="A766" s="2" t="s">
        <v>2651</v>
      </c>
      <c r="B766" s="2" t="s">
        <v>2652</v>
      </c>
    </row>
    <row r="767" spans="1:2" x14ac:dyDescent="0.3">
      <c r="A767" s="2" t="s">
        <v>2653</v>
      </c>
      <c r="B767" s="2" t="s">
        <v>2654</v>
      </c>
    </row>
    <row r="768" spans="1:2" x14ac:dyDescent="0.3">
      <c r="A768" s="2" t="s">
        <v>2655</v>
      </c>
      <c r="B768" s="2" t="s">
        <v>2656</v>
      </c>
    </row>
    <row r="769" spans="1:2" x14ac:dyDescent="0.3">
      <c r="A769" s="2" t="s">
        <v>2657</v>
      </c>
      <c r="B769" s="2" t="s">
        <v>2658</v>
      </c>
    </row>
    <row r="770" spans="1:2" x14ac:dyDescent="0.3">
      <c r="A770" s="2" t="s">
        <v>2659</v>
      </c>
      <c r="B770" s="2" t="s">
        <v>2660</v>
      </c>
    </row>
    <row r="771" spans="1:2" x14ac:dyDescent="0.3">
      <c r="A771" s="2" t="s">
        <v>2661</v>
      </c>
      <c r="B771" s="2" t="s">
        <v>2662</v>
      </c>
    </row>
    <row r="772" spans="1:2" x14ac:dyDescent="0.3">
      <c r="A772" s="2" t="s">
        <v>2663</v>
      </c>
      <c r="B772" s="2" t="s">
        <v>2664</v>
      </c>
    </row>
    <row r="773" spans="1:2" x14ac:dyDescent="0.3">
      <c r="A773" s="2" t="s">
        <v>2665</v>
      </c>
      <c r="B773" s="2" t="s">
        <v>2666</v>
      </c>
    </row>
    <row r="774" spans="1:2" x14ac:dyDescent="0.3">
      <c r="A774" s="2" t="s">
        <v>2667</v>
      </c>
      <c r="B774" s="2" t="s">
        <v>2668</v>
      </c>
    </row>
    <row r="775" spans="1:2" x14ac:dyDescent="0.3">
      <c r="A775" s="2" t="s">
        <v>2669</v>
      </c>
      <c r="B775" s="2" t="s">
        <v>2670</v>
      </c>
    </row>
    <row r="776" spans="1:2" x14ac:dyDescent="0.3">
      <c r="A776" s="2" t="s">
        <v>2671</v>
      </c>
      <c r="B776" s="2" t="s">
        <v>2672</v>
      </c>
    </row>
    <row r="777" spans="1:2" x14ac:dyDescent="0.3">
      <c r="A777" s="2" t="s">
        <v>2673</v>
      </c>
      <c r="B777" s="2" t="s">
        <v>2674</v>
      </c>
    </row>
    <row r="778" spans="1:2" x14ac:dyDescent="0.3">
      <c r="A778" s="2" t="s">
        <v>2675</v>
      </c>
      <c r="B778" s="2" t="s">
        <v>2676</v>
      </c>
    </row>
    <row r="779" spans="1:2" x14ac:dyDescent="0.3">
      <c r="A779" s="2" t="s">
        <v>2677</v>
      </c>
      <c r="B779" s="2" t="s">
        <v>2678</v>
      </c>
    </row>
    <row r="780" spans="1:2" x14ac:dyDescent="0.3">
      <c r="A780" s="2" t="s">
        <v>2679</v>
      </c>
      <c r="B780" s="2" t="s">
        <v>2680</v>
      </c>
    </row>
    <row r="781" spans="1:2" x14ac:dyDescent="0.3">
      <c r="A781" s="2" t="s">
        <v>2681</v>
      </c>
      <c r="B781" s="2" t="s">
        <v>2682</v>
      </c>
    </row>
    <row r="782" spans="1:2" x14ac:dyDescent="0.3">
      <c r="A782" s="2" t="s">
        <v>2683</v>
      </c>
      <c r="B782" s="2" t="s">
        <v>2684</v>
      </c>
    </row>
    <row r="783" spans="1:2" x14ac:dyDescent="0.3">
      <c r="A783" s="2" t="s">
        <v>2685</v>
      </c>
      <c r="B783" s="2" t="s">
        <v>2686</v>
      </c>
    </row>
    <row r="784" spans="1:2" x14ac:dyDescent="0.3">
      <c r="A784" s="2" t="s">
        <v>2687</v>
      </c>
      <c r="B784" s="2" t="s">
        <v>2688</v>
      </c>
    </row>
    <row r="785" spans="1:2" x14ac:dyDescent="0.3">
      <c r="A785" s="2" t="s">
        <v>2689</v>
      </c>
      <c r="B785" s="2" t="s">
        <v>2690</v>
      </c>
    </row>
    <row r="786" spans="1:2" x14ac:dyDescent="0.3">
      <c r="A786" s="2" t="s">
        <v>2691</v>
      </c>
      <c r="B786" s="2" t="s">
        <v>2692</v>
      </c>
    </row>
    <row r="787" spans="1:2" x14ac:dyDescent="0.3">
      <c r="A787" s="2" t="s">
        <v>2693</v>
      </c>
      <c r="B787" s="2" t="s">
        <v>2694</v>
      </c>
    </row>
    <row r="788" spans="1:2" x14ac:dyDescent="0.3">
      <c r="A788" s="2" t="s">
        <v>2695</v>
      </c>
      <c r="B788" s="2" t="s">
        <v>2696</v>
      </c>
    </row>
    <row r="789" spans="1:2" x14ac:dyDescent="0.3">
      <c r="A789" s="2" t="s">
        <v>2697</v>
      </c>
      <c r="B789" s="2" t="s">
        <v>2698</v>
      </c>
    </row>
    <row r="790" spans="1:2" x14ac:dyDescent="0.3">
      <c r="A790" s="2" t="s">
        <v>2699</v>
      </c>
      <c r="B790" s="2" t="s">
        <v>2700</v>
      </c>
    </row>
    <row r="791" spans="1:2" x14ac:dyDescent="0.3">
      <c r="A791" s="2" t="s">
        <v>2701</v>
      </c>
      <c r="B791" s="2" t="s">
        <v>2702</v>
      </c>
    </row>
    <row r="792" spans="1:2" x14ac:dyDescent="0.3">
      <c r="A792" s="2" t="s">
        <v>2703</v>
      </c>
      <c r="B792" s="2" t="s">
        <v>2704</v>
      </c>
    </row>
    <row r="793" spans="1:2" x14ac:dyDescent="0.3">
      <c r="A793" s="2" t="s">
        <v>2705</v>
      </c>
      <c r="B793" s="2" t="s">
        <v>2706</v>
      </c>
    </row>
    <row r="794" spans="1:2" x14ac:dyDescent="0.3">
      <c r="A794" s="2" t="s">
        <v>2707</v>
      </c>
      <c r="B794" s="2" t="s">
        <v>2708</v>
      </c>
    </row>
    <row r="795" spans="1:2" x14ac:dyDescent="0.3">
      <c r="A795" s="2" t="s">
        <v>2709</v>
      </c>
      <c r="B795" s="2" t="s">
        <v>2710</v>
      </c>
    </row>
    <row r="796" spans="1:2" x14ac:dyDescent="0.3">
      <c r="A796" s="2" t="s">
        <v>2711</v>
      </c>
      <c r="B796" s="2" t="s">
        <v>2712</v>
      </c>
    </row>
    <row r="797" spans="1:2" x14ac:dyDescent="0.3">
      <c r="A797" s="2" t="s">
        <v>2713</v>
      </c>
      <c r="B797" s="2" t="s">
        <v>2714</v>
      </c>
    </row>
    <row r="798" spans="1:2" x14ac:dyDescent="0.3">
      <c r="A798" s="2" t="s">
        <v>2715</v>
      </c>
      <c r="B798" s="2" t="s">
        <v>2716</v>
      </c>
    </row>
    <row r="799" spans="1:2" x14ac:dyDescent="0.3">
      <c r="A799" s="2" t="s">
        <v>2717</v>
      </c>
      <c r="B799" s="2" t="s">
        <v>2718</v>
      </c>
    </row>
    <row r="800" spans="1:2" x14ac:dyDescent="0.3">
      <c r="A800" s="2" t="s">
        <v>2719</v>
      </c>
      <c r="B800" s="2" t="s">
        <v>2720</v>
      </c>
    </row>
    <row r="801" spans="1:2" x14ac:dyDescent="0.3">
      <c r="A801" s="2" t="s">
        <v>2721</v>
      </c>
      <c r="B801" s="2" t="s">
        <v>2722</v>
      </c>
    </row>
    <row r="802" spans="1:2" x14ac:dyDescent="0.3">
      <c r="A802" s="2" t="s">
        <v>2723</v>
      </c>
      <c r="B802" s="2" t="s">
        <v>2724</v>
      </c>
    </row>
    <row r="803" spans="1:2" x14ac:dyDescent="0.3">
      <c r="A803" s="2" t="s">
        <v>2725</v>
      </c>
      <c r="B803" s="2" t="s">
        <v>2726</v>
      </c>
    </row>
    <row r="804" spans="1:2" x14ac:dyDescent="0.3">
      <c r="A804" s="2" t="s">
        <v>2727</v>
      </c>
      <c r="B804" s="2" t="s">
        <v>2728</v>
      </c>
    </row>
    <row r="805" spans="1:2" x14ac:dyDescent="0.3">
      <c r="A805" s="2" t="s">
        <v>2729</v>
      </c>
      <c r="B805" s="2" t="s">
        <v>2730</v>
      </c>
    </row>
    <row r="806" spans="1:2" x14ac:dyDescent="0.3">
      <c r="A806" s="2" t="s">
        <v>2731</v>
      </c>
      <c r="B806" s="2" t="s">
        <v>2732</v>
      </c>
    </row>
    <row r="807" spans="1:2" x14ac:dyDescent="0.3">
      <c r="A807" s="2" t="s">
        <v>2733</v>
      </c>
      <c r="B807" s="2" t="s">
        <v>2734</v>
      </c>
    </row>
    <row r="808" spans="1:2" x14ac:dyDescent="0.3">
      <c r="A808" s="2" t="s">
        <v>2735</v>
      </c>
      <c r="B808" s="2" t="s">
        <v>2736</v>
      </c>
    </row>
    <row r="809" spans="1:2" x14ac:dyDescent="0.3">
      <c r="A809" s="2" t="s">
        <v>2737</v>
      </c>
      <c r="B809" s="2" t="s">
        <v>2738</v>
      </c>
    </row>
    <row r="810" spans="1:2" x14ac:dyDescent="0.3">
      <c r="A810" s="2" t="s">
        <v>2739</v>
      </c>
      <c r="B810" s="2" t="s">
        <v>2740</v>
      </c>
    </row>
    <row r="811" spans="1:2" x14ac:dyDescent="0.3">
      <c r="A811" s="2" t="s">
        <v>2741</v>
      </c>
      <c r="B811" s="2" t="s">
        <v>2742</v>
      </c>
    </row>
    <row r="812" spans="1:2" x14ac:dyDescent="0.3">
      <c r="A812" s="2" t="s">
        <v>2743</v>
      </c>
      <c r="B812" s="2" t="s">
        <v>2744</v>
      </c>
    </row>
    <row r="813" spans="1:2" x14ac:dyDescent="0.3">
      <c r="A813" s="2" t="s">
        <v>2745</v>
      </c>
      <c r="B813" s="2" t="s">
        <v>2746</v>
      </c>
    </row>
    <row r="814" spans="1:2" x14ac:dyDescent="0.3">
      <c r="A814" s="2" t="s">
        <v>2747</v>
      </c>
      <c r="B814" s="2" t="s">
        <v>2748</v>
      </c>
    </row>
    <row r="815" spans="1:2" x14ac:dyDescent="0.3">
      <c r="A815" s="2" t="s">
        <v>2749</v>
      </c>
      <c r="B815" s="2" t="s">
        <v>2750</v>
      </c>
    </row>
    <row r="816" spans="1:2" x14ac:dyDescent="0.3">
      <c r="A816" s="2" t="s">
        <v>2751</v>
      </c>
      <c r="B816" s="2" t="s">
        <v>2752</v>
      </c>
    </row>
    <row r="817" spans="1:2" x14ac:dyDescent="0.3">
      <c r="A817" s="2" t="s">
        <v>2753</v>
      </c>
      <c r="B817" s="2" t="s">
        <v>2754</v>
      </c>
    </row>
    <row r="818" spans="1:2" x14ac:dyDescent="0.3">
      <c r="A818" s="2" t="s">
        <v>2755</v>
      </c>
      <c r="B818" s="2" t="s">
        <v>2756</v>
      </c>
    </row>
    <row r="819" spans="1:2" x14ac:dyDescent="0.3">
      <c r="A819" s="2" t="s">
        <v>2757</v>
      </c>
      <c r="B819" s="2" t="s">
        <v>2758</v>
      </c>
    </row>
    <row r="820" spans="1:2" x14ac:dyDescent="0.3">
      <c r="A820" s="2" t="s">
        <v>2759</v>
      </c>
      <c r="B820" s="2" t="s">
        <v>2760</v>
      </c>
    </row>
    <row r="821" spans="1:2" x14ac:dyDescent="0.3">
      <c r="A821" s="2" t="s">
        <v>2761</v>
      </c>
      <c r="B821" s="2" t="s">
        <v>2762</v>
      </c>
    </row>
    <row r="822" spans="1:2" x14ac:dyDescent="0.3">
      <c r="A822" s="2" t="s">
        <v>2763</v>
      </c>
      <c r="B822" s="2" t="s">
        <v>2764</v>
      </c>
    </row>
    <row r="823" spans="1:2" x14ac:dyDescent="0.3">
      <c r="A823" s="2" t="s">
        <v>2765</v>
      </c>
      <c r="B823" s="2" t="s">
        <v>2766</v>
      </c>
    </row>
    <row r="824" spans="1:2" x14ac:dyDescent="0.3">
      <c r="A824" s="2" t="s">
        <v>2767</v>
      </c>
      <c r="B824" s="2" t="s">
        <v>2768</v>
      </c>
    </row>
    <row r="825" spans="1:2" x14ac:dyDescent="0.3">
      <c r="A825" s="2" t="s">
        <v>2769</v>
      </c>
      <c r="B825" s="2" t="s">
        <v>2770</v>
      </c>
    </row>
    <row r="826" spans="1:2" x14ac:dyDescent="0.3">
      <c r="A826" s="2" t="s">
        <v>2771</v>
      </c>
      <c r="B826" s="2" t="s">
        <v>2772</v>
      </c>
    </row>
    <row r="827" spans="1:2" x14ac:dyDescent="0.3">
      <c r="A827" s="2" t="s">
        <v>2773</v>
      </c>
      <c r="B827" s="2" t="s">
        <v>2774</v>
      </c>
    </row>
    <row r="828" spans="1:2" x14ac:dyDescent="0.3">
      <c r="A828" s="2" t="s">
        <v>2775</v>
      </c>
      <c r="B828" s="2" t="s">
        <v>2776</v>
      </c>
    </row>
    <row r="829" spans="1:2" x14ac:dyDescent="0.3">
      <c r="A829" s="2" t="s">
        <v>2777</v>
      </c>
      <c r="B829" s="2" t="s">
        <v>2778</v>
      </c>
    </row>
    <row r="830" spans="1:2" x14ac:dyDescent="0.3">
      <c r="A830" s="2" t="s">
        <v>2779</v>
      </c>
      <c r="B830" s="2" t="s">
        <v>2780</v>
      </c>
    </row>
    <row r="831" spans="1:2" x14ac:dyDescent="0.3">
      <c r="A831" s="2" t="s">
        <v>2781</v>
      </c>
      <c r="B831" s="2" t="s">
        <v>2782</v>
      </c>
    </row>
    <row r="832" spans="1:2" x14ac:dyDescent="0.3">
      <c r="A832" s="2" t="s">
        <v>2783</v>
      </c>
      <c r="B832" s="2" t="s">
        <v>2784</v>
      </c>
    </row>
    <row r="833" spans="1:2" x14ac:dyDescent="0.3">
      <c r="A833" s="2" t="s">
        <v>2785</v>
      </c>
      <c r="B833" s="2" t="s">
        <v>2786</v>
      </c>
    </row>
    <row r="834" spans="1:2" x14ac:dyDescent="0.3">
      <c r="A834" s="2" t="s">
        <v>2787</v>
      </c>
      <c r="B834" s="2" t="s">
        <v>2788</v>
      </c>
    </row>
    <row r="835" spans="1:2" x14ac:dyDescent="0.3">
      <c r="A835" s="2" t="s">
        <v>2789</v>
      </c>
      <c r="B835" s="2" t="s">
        <v>2790</v>
      </c>
    </row>
    <row r="836" spans="1:2" x14ac:dyDescent="0.3">
      <c r="A836" s="2" t="s">
        <v>2791</v>
      </c>
      <c r="B836" s="2" t="s">
        <v>2792</v>
      </c>
    </row>
    <row r="837" spans="1:2" x14ac:dyDescent="0.3">
      <c r="A837" s="2" t="s">
        <v>2793</v>
      </c>
      <c r="B837" s="2" t="s">
        <v>2794</v>
      </c>
    </row>
    <row r="838" spans="1:2" x14ac:dyDescent="0.3">
      <c r="A838" s="2" t="s">
        <v>2795</v>
      </c>
      <c r="B838" s="2" t="s">
        <v>2796</v>
      </c>
    </row>
    <row r="839" spans="1:2" x14ac:dyDescent="0.3">
      <c r="A839" s="2" t="s">
        <v>2797</v>
      </c>
      <c r="B839" s="2" t="s">
        <v>2798</v>
      </c>
    </row>
    <row r="840" spans="1:2" x14ac:dyDescent="0.3">
      <c r="A840" s="2" t="s">
        <v>2799</v>
      </c>
      <c r="B840" s="2" t="s">
        <v>2800</v>
      </c>
    </row>
    <row r="841" spans="1:2" x14ac:dyDescent="0.3">
      <c r="A841" s="2" t="s">
        <v>2801</v>
      </c>
      <c r="B841" s="2" t="s">
        <v>2802</v>
      </c>
    </row>
    <row r="842" spans="1:2" x14ac:dyDescent="0.3">
      <c r="A842" s="2" t="s">
        <v>2803</v>
      </c>
      <c r="B842" s="2" t="s">
        <v>2804</v>
      </c>
    </row>
    <row r="843" spans="1:2" x14ac:dyDescent="0.3">
      <c r="A843" s="2" t="s">
        <v>2805</v>
      </c>
      <c r="B843" s="2" t="s">
        <v>2806</v>
      </c>
    </row>
    <row r="844" spans="1:2" x14ac:dyDescent="0.3">
      <c r="A844" s="2" t="s">
        <v>2807</v>
      </c>
      <c r="B844" s="2" t="s">
        <v>2808</v>
      </c>
    </row>
    <row r="845" spans="1:2" x14ac:dyDescent="0.3">
      <c r="A845" s="2" t="s">
        <v>2809</v>
      </c>
      <c r="B845" s="2" t="s">
        <v>2810</v>
      </c>
    </row>
    <row r="846" spans="1:2" x14ac:dyDescent="0.3">
      <c r="A846" s="2" t="s">
        <v>2811</v>
      </c>
      <c r="B846" s="2" t="s">
        <v>2812</v>
      </c>
    </row>
    <row r="847" spans="1:2" x14ac:dyDescent="0.3">
      <c r="A847" s="2" t="s">
        <v>2813</v>
      </c>
      <c r="B847" s="2" t="s">
        <v>2814</v>
      </c>
    </row>
    <row r="848" spans="1:2" x14ac:dyDescent="0.3">
      <c r="A848" s="2" t="s">
        <v>2815</v>
      </c>
      <c r="B848" s="2" t="s">
        <v>2816</v>
      </c>
    </row>
    <row r="849" spans="1:2" x14ac:dyDescent="0.3">
      <c r="A849" s="2" t="s">
        <v>2817</v>
      </c>
      <c r="B849" s="2" t="s">
        <v>2818</v>
      </c>
    </row>
    <row r="850" spans="1:2" x14ac:dyDescent="0.3">
      <c r="A850" s="2" t="s">
        <v>2819</v>
      </c>
      <c r="B850" s="2" t="s">
        <v>2820</v>
      </c>
    </row>
    <row r="851" spans="1:2" x14ac:dyDescent="0.3">
      <c r="A851" s="2" t="s">
        <v>2821</v>
      </c>
      <c r="B851" s="2" t="s">
        <v>2822</v>
      </c>
    </row>
    <row r="852" spans="1:2" x14ac:dyDescent="0.3">
      <c r="A852" s="2" t="s">
        <v>2823</v>
      </c>
      <c r="B852" s="2" t="s">
        <v>2824</v>
      </c>
    </row>
    <row r="853" spans="1:2" x14ac:dyDescent="0.3">
      <c r="A853" s="2" t="s">
        <v>2825</v>
      </c>
      <c r="B853" s="2" t="s">
        <v>2826</v>
      </c>
    </row>
    <row r="854" spans="1:2" x14ac:dyDescent="0.3">
      <c r="A854" s="2" t="s">
        <v>2827</v>
      </c>
      <c r="B854" s="2" t="s">
        <v>2828</v>
      </c>
    </row>
    <row r="855" spans="1:2" x14ac:dyDescent="0.3">
      <c r="A855" s="2" t="s">
        <v>2829</v>
      </c>
      <c r="B855" s="2" t="s">
        <v>2830</v>
      </c>
    </row>
    <row r="856" spans="1:2" x14ac:dyDescent="0.3">
      <c r="A856" s="2" t="s">
        <v>2831</v>
      </c>
      <c r="B856" s="2" t="s">
        <v>2832</v>
      </c>
    </row>
    <row r="857" spans="1:2" x14ac:dyDescent="0.3">
      <c r="A857" s="2" t="s">
        <v>2833</v>
      </c>
      <c r="B857" s="2" t="s">
        <v>2834</v>
      </c>
    </row>
    <row r="858" spans="1:2" x14ac:dyDescent="0.3">
      <c r="A858" s="2" t="s">
        <v>2835</v>
      </c>
      <c r="B858" s="2" t="s">
        <v>2836</v>
      </c>
    </row>
    <row r="859" spans="1:2" x14ac:dyDescent="0.3">
      <c r="A859" s="2" t="s">
        <v>2837</v>
      </c>
      <c r="B859" s="2" t="s">
        <v>2838</v>
      </c>
    </row>
    <row r="860" spans="1:2" x14ac:dyDescent="0.3">
      <c r="A860" s="2" t="s">
        <v>2839</v>
      </c>
      <c r="B860" s="2" t="s">
        <v>2840</v>
      </c>
    </row>
    <row r="861" spans="1:2" x14ac:dyDescent="0.3">
      <c r="A861" s="2" t="s">
        <v>2841</v>
      </c>
      <c r="B861" s="2" t="s">
        <v>2842</v>
      </c>
    </row>
    <row r="862" spans="1:2" x14ac:dyDescent="0.3">
      <c r="A862" s="2" t="s">
        <v>2843</v>
      </c>
      <c r="B862" s="2" t="s">
        <v>2844</v>
      </c>
    </row>
    <row r="863" spans="1:2" x14ac:dyDescent="0.3">
      <c r="A863" s="2" t="s">
        <v>2845</v>
      </c>
      <c r="B863" s="2" t="s">
        <v>2846</v>
      </c>
    </row>
    <row r="864" spans="1:2" x14ac:dyDescent="0.3">
      <c r="A864" s="2" t="s">
        <v>2847</v>
      </c>
      <c r="B864" s="2" t="s">
        <v>2848</v>
      </c>
    </row>
    <row r="865" spans="1:2" x14ac:dyDescent="0.3">
      <c r="A865" s="2" t="s">
        <v>2849</v>
      </c>
      <c r="B865" s="2" t="s">
        <v>2850</v>
      </c>
    </row>
    <row r="866" spans="1:2" x14ac:dyDescent="0.3">
      <c r="A866" s="2" t="s">
        <v>2851</v>
      </c>
      <c r="B866" s="2" t="s">
        <v>2852</v>
      </c>
    </row>
    <row r="867" spans="1:2" x14ac:dyDescent="0.3">
      <c r="A867" s="2" t="s">
        <v>2853</v>
      </c>
      <c r="B867" s="2" t="s">
        <v>2854</v>
      </c>
    </row>
    <row r="868" spans="1:2" x14ac:dyDescent="0.3">
      <c r="A868" s="2" t="s">
        <v>2855</v>
      </c>
      <c r="B868" s="2" t="s">
        <v>2856</v>
      </c>
    </row>
    <row r="869" spans="1:2" x14ac:dyDescent="0.3">
      <c r="A869" s="2" t="s">
        <v>2857</v>
      </c>
      <c r="B869" s="2" t="s">
        <v>2858</v>
      </c>
    </row>
    <row r="870" spans="1:2" x14ac:dyDescent="0.3">
      <c r="A870" s="2" t="s">
        <v>2859</v>
      </c>
      <c r="B870" s="2" t="s">
        <v>2860</v>
      </c>
    </row>
    <row r="871" spans="1:2" x14ac:dyDescent="0.3">
      <c r="A871" s="2" t="s">
        <v>2861</v>
      </c>
      <c r="B871" s="2" t="s">
        <v>2862</v>
      </c>
    </row>
    <row r="872" spans="1:2" x14ac:dyDescent="0.3">
      <c r="A872" s="2" t="s">
        <v>2863</v>
      </c>
      <c r="B872" s="2" t="s">
        <v>2864</v>
      </c>
    </row>
    <row r="873" spans="1:2" x14ac:dyDescent="0.3">
      <c r="A873" s="2" t="s">
        <v>2865</v>
      </c>
      <c r="B873" s="2" t="s">
        <v>2866</v>
      </c>
    </row>
    <row r="874" spans="1:2" x14ac:dyDescent="0.3">
      <c r="A874" s="2" t="s">
        <v>2867</v>
      </c>
      <c r="B874" s="2" t="s">
        <v>2868</v>
      </c>
    </row>
    <row r="875" spans="1:2" x14ac:dyDescent="0.3">
      <c r="A875" s="2" t="s">
        <v>2869</v>
      </c>
      <c r="B875" s="2" t="s">
        <v>2870</v>
      </c>
    </row>
    <row r="876" spans="1:2" x14ac:dyDescent="0.3">
      <c r="A876" s="2" t="s">
        <v>2871</v>
      </c>
      <c r="B876" s="2" t="s">
        <v>2872</v>
      </c>
    </row>
    <row r="877" spans="1:2" x14ac:dyDescent="0.3">
      <c r="A877" s="2" t="s">
        <v>2873</v>
      </c>
      <c r="B877" s="2" t="s">
        <v>2874</v>
      </c>
    </row>
    <row r="878" spans="1:2" x14ac:dyDescent="0.3">
      <c r="A878" s="2" t="s">
        <v>2875</v>
      </c>
      <c r="B878" s="2" t="s">
        <v>2876</v>
      </c>
    </row>
    <row r="879" spans="1:2" x14ac:dyDescent="0.3">
      <c r="A879" s="2" t="s">
        <v>2877</v>
      </c>
      <c r="B879" s="2" t="s">
        <v>2878</v>
      </c>
    </row>
    <row r="880" spans="1:2" x14ac:dyDescent="0.3">
      <c r="A880" s="2" t="s">
        <v>2879</v>
      </c>
      <c r="B880" s="2" t="s">
        <v>2880</v>
      </c>
    </row>
    <row r="881" spans="1:2" x14ac:dyDescent="0.3">
      <c r="A881" s="2" t="s">
        <v>2881</v>
      </c>
      <c r="B881" s="2" t="s">
        <v>2882</v>
      </c>
    </row>
    <row r="882" spans="1:2" x14ac:dyDescent="0.3">
      <c r="A882" s="2" t="s">
        <v>2883</v>
      </c>
      <c r="B882" s="2" t="s">
        <v>2884</v>
      </c>
    </row>
    <row r="883" spans="1:2" x14ac:dyDescent="0.3">
      <c r="A883" s="2" t="s">
        <v>2885</v>
      </c>
      <c r="B883" s="2" t="s">
        <v>2886</v>
      </c>
    </row>
    <row r="884" spans="1:2" x14ac:dyDescent="0.3">
      <c r="A884" s="2" t="s">
        <v>2887</v>
      </c>
      <c r="B884" s="2" t="s">
        <v>2888</v>
      </c>
    </row>
    <row r="885" spans="1:2" x14ac:dyDescent="0.3">
      <c r="A885" s="2" t="s">
        <v>2889</v>
      </c>
      <c r="B885" s="2" t="s">
        <v>2890</v>
      </c>
    </row>
    <row r="886" spans="1:2" x14ac:dyDescent="0.3">
      <c r="A886" s="2" t="s">
        <v>2891</v>
      </c>
      <c r="B886" s="2" t="s">
        <v>2892</v>
      </c>
    </row>
    <row r="887" spans="1:2" x14ac:dyDescent="0.3">
      <c r="A887" s="2" t="s">
        <v>2893</v>
      </c>
      <c r="B887" s="2" t="s">
        <v>2894</v>
      </c>
    </row>
    <row r="888" spans="1:2" x14ac:dyDescent="0.3">
      <c r="A888" s="2" t="s">
        <v>2895</v>
      </c>
      <c r="B888" s="2" t="s">
        <v>2896</v>
      </c>
    </row>
    <row r="889" spans="1:2" x14ac:dyDescent="0.3">
      <c r="A889" s="2" t="s">
        <v>2897</v>
      </c>
      <c r="B889" s="2" t="s">
        <v>2898</v>
      </c>
    </row>
    <row r="890" spans="1:2" x14ac:dyDescent="0.3">
      <c r="A890" s="2" t="s">
        <v>2899</v>
      </c>
      <c r="B890" s="2" t="s">
        <v>2900</v>
      </c>
    </row>
    <row r="891" spans="1:2" x14ac:dyDescent="0.3">
      <c r="A891" s="2" t="s">
        <v>2901</v>
      </c>
      <c r="B891" s="2" t="s">
        <v>2902</v>
      </c>
    </row>
    <row r="892" spans="1:2" x14ac:dyDescent="0.3">
      <c r="A892" s="2" t="s">
        <v>2903</v>
      </c>
      <c r="B892" s="2" t="s">
        <v>2904</v>
      </c>
    </row>
    <row r="893" spans="1:2" x14ac:dyDescent="0.3">
      <c r="A893" s="2" t="s">
        <v>2905</v>
      </c>
      <c r="B893" s="2" t="s">
        <v>2906</v>
      </c>
    </row>
    <row r="894" spans="1:2" x14ac:dyDescent="0.3">
      <c r="A894" s="2" t="s">
        <v>2907</v>
      </c>
      <c r="B894" s="2" t="s">
        <v>2908</v>
      </c>
    </row>
    <row r="895" spans="1:2" x14ac:dyDescent="0.3">
      <c r="A895" s="2" t="s">
        <v>2909</v>
      </c>
      <c r="B895" s="2" t="s">
        <v>2910</v>
      </c>
    </row>
    <row r="896" spans="1:2" x14ac:dyDescent="0.3">
      <c r="A896" s="2" t="s">
        <v>2911</v>
      </c>
      <c r="B896" s="2" t="s">
        <v>2912</v>
      </c>
    </row>
    <row r="897" spans="1:2" x14ac:dyDescent="0.3">
      <c r="A897" s="2" t="s">
        <v>2913</v>
      </c>
      <c r="B897" s="2" t="s">
        <v>2914</v>
      </c>
    </row>
    <row r="898" spans="1:2" x14ac:dyDescent="0.3">
      <c r="A898" s="2" t="s">
        <v>2915</v>
      </c>
      <c r="B898" s="2" t="s">
        <v>2916</v>
      </c>
    </row>
    <row r="899" spans="1:2" x14ac:dyDescent="0.3">
      <c r="A899" s="2" t="s">
        <v>2917</v>
      </c>
      <c r="B899" s="2" t="s">
        <v>2918</v>
      </c>
    </row>
    <row r="900" spans="1:2" x14ac:dyDescent="0.3">
      <c r="A900" s="2" t="s">
        <v>2919</v>
      </c>
      <c r="B900" s="2" t="s">
        <v>2920</v>
      </c>
    </row>
    <row r="901" spans="1:2" x14ac:dyDescent="0.3">
      <c r="A901" s="2" t="s">
        <v>2921</v>
      </c>
      <c r="B901" s="2" t="s">
        <v>2922</v>
      </c>
    </row>
    <row r="902" spans="1:2" x14ac:dyDescent="0.3">
      <c r="A902" s="2" t="s">
        <v>2923</v>
      </c>
      <c r="B902" s="2" t="s">
        <v>2924</v>
      </c>
    </row>
    <row r="903" spans="1:2" x14ac:dyDescent="0.3">
      <c r="A903" s="2" t="s">
        <v>2925</v>
      </c>
      <c r="B903" s="2" t="s">
        <v>2926</v>
      </c>
    </row>
    <row r="904" spans="1:2" x14ac:dyDescent="0.3">
      <c r="A904" s="2" t="s">
        <v>2927</v>
      </c>
      <c r="B904" s="2" t="s">
        <v>2928</v>
      </c>
    </row>
    <row r="905" spans="1:2" x14ac:dyDescent="0.3">
      <c r="A905" s="2" t="s">
        <v>2929</v>
      </c>
      <c r="B905" s="2" t="s">
        <v>2930</v>
      </c>
    </row>
    <row r="906" spans="1:2" x14ac:dyDescent="0.3">
      <c r="A906" s="2" t="s">
        <v>2931</v>
      </c>
      <c r="B906" s="2" t="s">
        <v>2932</v>
      </c>
    </row>
    <row r="907" spans="1:2" x14ac:dyDescent="0.3">
      <c r="A907" s="2" t="s">
        <v>2933</v>
      </c>
      <c r="B907" s="2" t="s">
        <v>2934</v>
      </c>
    </row>
    <row r="908" spans="1:2" x14ac:dyDescent="0.3">
      <c r="A908" s="2" t="s">
        <v>2935</v>
      </c>
      <c r="B908" s="2" t="s">
        <v>2936</v>
      </c>
    </row>
    <row r="909" spans="1:2" x14ac:dyDescent="0.3">
      <c r="A909" s="2" t="s">
        <v>2937</v>
      </c>
      <c r="B909" s="2" t="s">
        <v>2938</v>
      </c>
    </row>
    <row r="910" spans="1:2" x14ac:dyDescent="0.3">
      <c r="A910" s="2" t="s">
        <v>2939</v>
      </c>
      <c r="B910" s="2" t="s">
        <v>2940</v>
      </c>
    </row>
    <row r="911" spans="1:2" x14ac:dyDescent="0.3">
      <c r="A911" s="2" t="s">
        <v>2941</v>
      </c>
      <c r="B911" s="2" t="s">
        <v>2942</v>
      </c>
    </row>
    <row r="912" spans="1:2" x14ac:dyDescent="0.3">
      <c r="A912" s="2" t="s">
        <v>2943</v>
      </c>
      <c r="B912" s="2" t="s">
        <v>2944</v>
      </c>
    </row>
    <row r="913" spans="1:2" x14ac:dyDescent="0.3">
      <c r="A913" s="2" t="s">
        <v>2945</v>
      </c>
      <c r="B913" s="2" t="s">
        <v>2946</v>
      </c>
    </row>
    <row r="914" spans="1:2" x14ac:dyDescent="0.3">
      <c r="A914" s="2" t="s">
        <v>2947</v>
      </c>
      <c r="B914" s="2" t="s">
        <v>2948</v>
      </c>
    </row>
    <row r="915" spans="1:2" x14ac:dyDescent="0.3">
      <c r="A915" s="2" t="s">
        <v>2949</v>
      </c>
      <c r="B915" s="2" t="s">
        <v>2950</v>
      </c>
    </row>
    <row r="916" spans="1:2" x14ac:dyDescent="0.3">
      <c r="A916" s="2" t="s">
        <v>2951</v>
      </c>
      <c r="B916" s="2" t="s">
        <v>2952</v>
      </c>
    </row>
    <row r="917" spans="1:2" x14ac:dyDescent="0.3">
      <c r="A917" s="2" t="s">
        <v>2953</v>
      </c>
      <c r="B917" s="2" t="s">
        <v>2954</v>
      </c>
    </row>
    <row r="918" spans="1:2" x14ac:dyDescent="0.3">
      <c r="A918" s="2" t="s">
        <v>2955</v>
      </c>
      <c r="B918" s="2" t="s">
        <v>2956</v>
      </c>
    </row>
    <row r="919" spans="1:2" x14ac:dyDescent="0.3">
      <c r="A919" s="2" t="s">
        <v>2957</v>
      </c>
      <c r="B919" s="2" t="s">
        <v>2958</v>
      </c>
    </row>
    <row r="920" spans="1:2" x14ac:dyDescent="0.3">
      <c r="A920" s="2" t="s">
        <v>2959</v>
      </c>
      <c r="B920" s="2" t="s">
        <v>2960</v>
      </c>
    </row>
    <row r="921" spans="1:2" x14ac:dyDescent="0.3">
      <c r="A921" s="2" t="s">
        <v>2961</v>
      </c>
      <c r="B921" s="2" t="s">
        <v>2962</v>
      </c>
    </row>
    <row r="922" spans="1:2" x14ac:dyDescent="0.3">
      <c r="A922" s="2" t="s">
        <v>2963</v>
      </c>
      <c r="B922" s="2" t="s">
        <v>2964</v>
      </c>
    </row>
    <row r="923" spans="1:2" x14ac:dyDescent="0.3">
      <c r="A923" s="2" t="s">
        <v>2965</v>
      </c>
      <c r="B923" s="2" t="s">
        <v>2966</v>
      </c>
    </row>
    <row r="924" spans="1:2" x14ac:dyDescent="0.3">
      <c r="A924" s="2" t="s">
        <v>2967</v>
      </c>
      <c r="B924" s="2" t="s">
        <v>2968</v>
      </c>
    </row>
    <row r="925" spans="1:2" x14ac:dyDescent="0.3">
      <c r="A925" s="2" t="s">
        <v>2969</v>
      </c>
      <c r="B925" s="2" t="s">
        <v>2970</v>
      </c>
    </row>
    <row r="926" spans="1:2" x14ac:dyDescent="0.3">
      <c r="A926" s="2" t="s">
        <v>2971</v>
      </c>
      <c r="B926" s="2" t="s">
        <v>2972</v>
      </c>
    </row>
    <row r="927" spans="1:2" x14ac:dyDescent="0.3">
      <c r="A927" s="2" t="s">
        <v>2973</v>
      </c>
      <c r="B927" s="2" t="s">
        <v>2974</v>
      </c>
    </row>
    <row r="928" spans="1:2" x14ac:dyDescent="0.3">
      <c r="A928" s="2" t="s">
        <v>2975</v>
      </c>
      <c r="B928" s="2" t="s">
        <v>2976</v>
      </c>
    </row>
    <row r="929" spans="1:2" x14ac:dyDescent="0.3">
      <c r="A929" s="2" t="s">
        <v>2977</v>
      </c>
      <c r="B929" s="2" t="s">
        <v>2978</v>
      </c>
    </row>
    <row r="930" spans="1:2" x14ac:dyDescent="0.3">
      <c r="A930" s="2" t="s">
        <v>2979</v>
      </c>
      <c r="B930" s="2" t="s">
        <v>2980</v>
      </c>
    </row>
    <row r="931" spans="1:2" x14ac:dyDescent="0.3">
      <c r="A931" s="2" t="s">
        <v>2981</v>
      </c>
      <c r="B931" s="2" t="s">
        <v>2982</v>
      </c>
    </row>
    <row r="932" spans="1:2" x14ac:dyDescent="0.3">
      <c r="A932" s="2" t="s">
        <v>2983</v>
      </c>
      <c r="B932" s="2" t="s">
        <v>2984</v>
      </c>
    </row>
    <row r="933" spans="1:2" x14ac:dyDescent="0.3">
      <c r="A933" s="2" t="s">
        <v>2985</v>
      </c>
      <c r="B933" s="2" t="s">
        <v>2986</v>
      </c>
    </row>
    <row r="934" spans="1:2" x14ac:dyDescent="0.3">
      <c r="A934" s="2" t="s">
        <v>2987</v>
      </c>
      <c r="B934" s="2" t="s">
        <v>2988</v>
      </c>
    </row>
    <row r="935" spans="1:2" x14ac:dyDescent="0.3">
      <c r="A935" s="2" t="s">
        <v>2989</v>
      </c>
      <c r="B935" s="2" t="s">
        <v>2990</v>
      </c>
    </row>
    <row r="936" spans="1:2" x14ac:dyDescent="0.3">
      <c r="A936" s="2" t="s">
        <v>2991</v>
      </c>
      <c r="B936" s="2" t="s">
        <v>2992</v>
      </c>
    </row>
    <row r="937" spans="1:2" x14ac:dyDescent="0.3">
      <c r="A937" s="2" t="s">
        <v>2993</v>
      </c>
      <c r="B937" s="2" t="s">
        <v>2994</v>
      </c>
    </row>
    <row r="938" spans="1:2" x14ac:dyDescent="0.3">
      <c r="A938" s="2" t="s">
        <v>2995</v>
      </c>
      <c r="B938" s="2" t="s">
        <v>2996</v>
      </c>
    </row>
    <row r="939" spans="1:2" x14ac:dyDescent="0.3">
      <c r="A939" s="2" t="s">
        <v>2997</v>
      </c>
      <c r="B939" s="2" t="s">
        <v>2998</v>
      </c>
    </row>
    <row r="940" spans="1:2" x14ac:dyDescent="0.3">
      <c r="A940" s="2" t="s">
        <v>2999</v>
      </c>
      <c r="B940" s="2" t="s">
        <v>3000</v>
      </c>
    </row>
    <row r="941" spans="1:2" x14ac:dyDescent="0.3">
      <c r="A941" s="2" t="s">
        <v>3001</v>
      </c>
      <c r="B941" s="2" t="s">
        <v>3002</v>
      </c>
    </row>
    <row r="942" spans="1:2" x14ac:dyDescent="0.3">
      <c r="A942" s="2" t="s">
        <v>3003</v>
      </c>
      <c r="B942" s="2" t="s">
        <v>3004</v>
      </c>
    </row>
    <row r="943" spans="1:2" x14ac:dyDescent="0.3">
      <c r="A943" s="2" t="s">
        <v>3005</v>
      </c>
      <c r="B943" s="2" t="s">
        <v>3006</v>
      </c>
    </row>
    <row r="944" spans="1:2" x14ac:dyDescent="0.3">
      <c r="A944" s="2" t="s">
        <v>3007</v>
      </c>
      <c r="B944" s="2" t="s">
        <v>3008</v>
      </c>
    </row>
    <row r="945" spans="1:2" x14ac:dyDescent="0.3">
      <c r="A945" s="2" t="s">
        <v>3009</v>
      </c>
      <c r="B945" s="2" t="s">
        <v>3010</v>
      </c>
    </row>
    <row r="946" spans="1:2" x14ac:dyDescent="0.3">
      <c r="A946" s="2" t="s">
        <v>3011</v>
      </c>
      <c r="B946" s="2" t="s">
        <v>3012</v>
      </c>
    </row>
    <row r="947" spans="1:2" x14ac:dyDescent="0.3">
      <c r="A947" s="2" t="s">
        <v>3013</v>
      </c>
      <c r="B947" s="2" t="s">
        <v>3014</v>
      </c>
    </row>
    <row r="948" spans="1:2" x14ac:dyDescent="0.3">
      <c r="A948" s="2" t="s">
        <v>3015</v>
      </c>
      <c r="B948" s="2" t="s">
        <v>3016</v>
      </c>
    </row>
    <row r="949" spans="1:2" x14ac:dyDescent="0.3">
      <c r="A949" s="2" t="s">
        <v>3017</v>
      </c>
      <c r="B949" s="2" t="s">
        <v>3018</v>
      </c>
    </row>
    <row r="950" spans="1:2" x14ac:dyDescent="0.3">
      <c r="A950" s="2" t="s">
        <v>3019</v>
      </c>
      <c r="B950" s="2" t="s">
        <v>3020</v>
      </c>
    </row>
    <row r="951" spans="1:2" x14ac:dyDescent="0.3">
      <c r="A951" s="2" t="s">
        <v>3021</v>
      </c>
      <c r="B951" s="2" t="s">
        <v>3022</v>
      </c>
    </row>
    <row r="952" spans="1:2" x14ac:dyDescent="0.3">
      <c r="A952" s="2" t="s">
        <v>3023</v>
      </c>
      <c r="B952" s="2" t="s">
        <v>3024</v>
      </c>
    </row>
    <row r="953" spans="1:2" x14ac:dyDescent="0.3">
      <c r="A953" s="2" t="s">
        <v>3025</v>
      </c>
      <c r="B953" s="2" t="s">
        <v>3026</v>
      </c>
    </row>
    <row r="954" spans="1:2" x14ac:dyDescent="0.3">
      <c r="A954" s="2" t="s">
        <v>3027</v>
      </c>
      <c r="B954" s="2" t="s">
        <v>3028</v>
      </c>
    </row>
    <row r="955" spans="1:2" x14ac:dyDescent="0.3">
      <c r="A955" s="2" t="s">
        <v>3029</v>
      </c>
      <c r="B955" s="2" t="s">
        <v>3030</v>
      </c>
    </row>
    <row r="956" spans="1:2" x14ac:dyDescent="0.3">
      <c r="A956" s="2" t="s">
        <v>3031</v>
      </c>
      <c r="B956" s="2" t="s">
        <v>3032</v>
      </c>
    </row>
    <row r="957" spans="1:2" x14ac:dyDescent="0.3">
      <c r="A957" s="2" t="s">
        <v>3033</v>
      </c>
      <c r="B957" s="2" t="s">
        <v>3034</v>
      </c>
    </row>
    <row r="958" spans="1:2" x14ac:dyDescent="0.3">
      <c r="A958" s="2" t="s">
        <v>3035</v>
      </c>
      <c r="B958" s="2" t="s">
        <v>3036</v>
      </c>
    </row>
    <row r="959" spans="1:2" x14ac:dyDescent="0.3">
      <c r="A959" s="2" t="s">
        <v>3037</v>
      </c>
      <c r="B959" s="2" t="s">
        <v>3038</v>
      </c>
    </row>
    <row r="960" spans="1:2" x14ac:dyDescent="0.3">
      <c r="A960" s="2" t="s">
        <v>3039</v>
      </c>
      <c r="B960" s="2" t="s">
        <v>3040</v>
      </c>
    </row>
    <row r="961" spans="1:2" x14ac:dyDescent="0.3">
      <c r="A961" s="2" t="s">
        <v>3041</v>
      </c>
      <c r="B961" s="2" t="s">
        <v>3042</v>
      </c>
    </row>
    <row r="962" spans="1:2" x14ac:dyDescent="0.3">
      <c r="A962" s="2" t="s">
        <v>3043</v>
      </c>
      <c r="B962" s="2" t="s">
        <v>3044</v>
      </c>
    </row>
    <row r="963" spans="1:2" x14ac:dyDescent="0.3">
      <c r="A963" s="2" t="s">
        <v>3045</v>
      </c>
      <c r="B963" s="2" t="s">
        <v>3046</v>
      </c>
    </row>
    <row r="964" spans="1:2" x14ac:dyDescent="0.3">
      <c r="A964" s="2" t="s">
        <v>3047</v>
      </c>
      <c r="B964" s="2" t="s">
        <v>3048</v>
      </c>
    </row>
    <row r="965" spans="1:2" x14ac:dyDescent="0.3">
      <c r="A965" s="2" t="s">
        <v>3049</v>
      </c>
      <c r="B965" s="2" t="s">
        <v>3050</v>
      </c>
    </row>
    <row r="966" spans="1:2" x14ac:dyDescent="0.3">
      <c r="A966" s="2" t="s">
        <v>3051</v>
      </c>
      <c r="B966" s="2" t="s">
        <v>3052</v>
      </c>
    </row>
    <row r="967" spans="1:2" x14ac:dyDescent="0.3">
      <c r="A967" s="2" t="s">
        <v>3053</v>
      </c>
      <c r="B967" s="2" t="s">
        <v>3054</v>
      </c>
    </row>
    <row r="968" spans="1:2" x14ac:dyDescent="0.3">
      <c r="A968" s="2" t="s">
        <v>3055</v>
      </c>
      <c r="B968" s="2" t="s">
        <v>3056</v>
      </c>
    </row>
    <row r="969" spans="1:2" x14ac:dyDescent="0.3">
      <c r="A969" s="2" t="s">
        <v>3057</v>
      </c>
      <c r="B969" s="2" t="s">
        <v>3058</v>
      </c>
    </row>
    <row r="970" spans="1:2" x14ac:dyDescent="0.3">
      <c r="A970" s="2" t="s">
        <v>3059</v>
      </c>
      <c r="B970" s="2" t="s">
        <v>3060</v>
      </c>
    </row>
    <row r="971" spans="1:2" x14ac:dyDescent="0.3">
      <c r="A971" s="2" t="s">
        <v>3061</v>
      </c>
      <c r="B971" s="2" t="s">
        <v>3062</v>
      </c>
    </row>
    <row r="972" spans="1:2" x14ac:dyDescent="0.3">
      <c r="A972" s="2" t="s">
        <v>3063</v>
      </c>
      <c r="B972" s="2" t="s">
        <v>3064</v>
      </c>
    </row>
    <row r="973" spans="1:2" x14ac:dyDescent="0.3">
      <c r="A973" s="2" t="s">
        <v>3065</v>
      </c>
      <c r="B973" s="2" t="s">
        <v>3066</v>
      </c>
    </row>
    <row r="974" spans="1:2" x14ac:dyDescent="0.3">
      <c r="A974" s="2" t="s">
        <v>3067</v>
      </c>
      <c r="B974" s="2" t="s">
        <v>3068</v>
      </c>
    </row>
    <row r="975" spans="1:2" x14ac:dyDescent="0.3">
      <c r="A975" s="2" t="s">
        <v>3069</v>
      </c>
      <c r="B975" s="2" t="s">
        <v>3070</v>
      </c>
    </row>
    <row r="976" spans="1:2" x14ac:dyDescent="0.3">
      <c r="A976" s="2" t="s">
        <v>3071</v>
      </c>
      <c r="B976" s="2" t="s">
        <v>3072</v>
      </c>
    </row>
    <row r="977" spans="1:2" x14ac:dyDescent="0.3">
      <c r="A977" s="2" t="s">
        <v>3073</v>
      </c>
      <c r="B977" s="2" t="s">
        <v>3074</v>
      </c>
    </row>
    <row r="978" spans="1:2" x14ac:dyDescent="0.3">
      <c r="A978" s="2" t="s">
        <v>3075</v>
      </c>
      <c r="B978" s="2" t="s">
        <v>3076</v>
      </c>
    </row>
    <row r="979" spans="1:2" x14ac:dyDescent="0.3">
      <c r="A979" s="2" t="s">
        <v>3077</v>
      </c>
      <c r="B979" s="2" t="s">
        <v>3078</v>
      </c>
    </row>
    <row r="980" spans="1:2" x14ac:dyDescent="0.3">
      <c r="A980" s="2" t="s">
        <v>3079</v>
      </c>
      <c r="B980" s="2" t="s">
        <v>3080</v>
      </c>
    </row>
    <row r="981" spans="1:2" x14ac:dyDescent="0.3">
      <c r="A981" s="2" t="s">
        <v>3081</v>
      </c>
      <c r="B981" s="2" t="s">
        <v>3082</v>
      </c>
    </row>
    <row r="982" spans="1:2" x14ac:dyDescent="0.3">
      <c r="A982" s="2" t="s">
        <v>3083</v>
      </c>
      <c r="B982" s="2" t="s">
        <v>3084</v>
      </c>
    </row>
    <row r="983" spans="1:2" x14ac:dyDescent="0.3">
      <c r="A983" s="2" t="s">
        <v>3085</v>
      </c>
      <c r="B983" s="2" t="s">
        <v>3086</v>
      </c>
    </row>
    <row r="984" spans="1:2" x14ac:dyDescent="0.3">
      <c r="A984" s="2" t="s">
        <v>3087</v>
      </c>
      <c r="B984" s="2" t="s">
        <v>3088</v>
      </c>
    </row>
    <row r="985" spans="1:2" x14ac:dyDescent="0.3">
      <c r="A985" s="2" t="s">
        <v>3089</v>
      </c>
      <c r="B985" s="2" t="s">
        <v>3090</v>
      </c>
    </row>
    <row r="986" spans="1:2" x14ac:dyDescent="0.3">
      <c r="A986" s="2" t="s">
        <v>3091</v>
      </c>
      <c r="B986" s="2" t="s">
        <v>3092</v>
      </c>
    </row>
    <row r="987" spans="1:2" x14ac:dyDescent="0.3">
      <c r="A987" s="2" t="s">
        <v>3093</v>
      </c>
      <c r="B987" s="2" t="s">
        <v>3094</v>
      </c>
    </row>
    <row r="988" spans="1:2" x14ac:dyDescent="0.3">
      <c r="A988" s="2" t="s">
        <v>3095</v>
      </c>
      <c r="B988" s="2" t="s">
        <v>3096</v>
      </c>
    </row>
    <row r="989" spans="1:2" x14ac:dyDescent="0.3">
      <c r="A989" s="2" t="s">
        <v>3097</v>
      </c>
      <c r="B989" s="2" t="s">
        <v>3098</v>
      </c>
    </row>
    <row r="990" spans="1:2" x14ac:dyDescent="0.3">
      <c r="A990" s="2" t="s">
        <v>3099</v>
      </c>
      <c r="B990" s="2" t="s">
        <v>3100</v>
      </c>
    </row>
    <row r="991" spans="1:2" x14ac:dyDescent="0.3">
      <c r="A991" s="2" t="s">
        <v>3101</v>
      </c>
      <c r="B991" s="2" t="s">
        <v>3102</v>
      </c>
    </row>
    <row r="992" spans="1:2" x14ac:dyDescent="0.3">
      <c r="A992" s="2" t="s">
        <v>3103</v>
      </c>
      <c r="B992" s="2" t="s">
        <v>3104</v>
      </c>
    </row>
    <row r="993" spans="1:2" x14ac:dyDescent="0.3">
      <c r="A993" s="2" t="s">
        <v>3105</v>
      </c>
      <c r="B993" s="2" t="s">
        <v>3106</v>
      </c>
    </row>
    <row r="994" spans="1:2" x14ac:dyDescent="0.3">
      <c r="A994" s="2" t="s">
        <v>3107</v>
      </c>
      <c r="B994" s="2" t="s">
        <v>3108</v>
      </c>
    </row>
    <row r="995" spans="1:2" x14ac:dyDescent="0.3">
      <c r="A995" s="2" t="s">
        <v>3109</v>
      </c>
      <c r="B995" s="2" t="s">
        <v>3110</v>
      </c>
    </row>
    <row r="996" spans="1:2" x14ac:dyDescent="0.3">
      <c r="A996" s="2" t="s">
        <v>3111</v>
      </c>
      <c r="B996" s="2" t="s">
        <v>3112</v>
      </c>
    </row>
    <row r="997" spans="1:2" x14ac:dyDescent="0.3">
      <c r="A997" s="2" t="s">
        <v>3113</v>
      </c>
      <c r="B997" s="2" t="s">
        <v>3114</v>
      </c>
    </row>
    <row r="998" spans="1:2" x14ac:dyDescent="0.3">
      <c r="A998" s="2" t="s">
        <v>3115</v>
      </c>
      <c r="B998" s="2" t="s">
        <v>3116</v>
      </c>
    </row>
    <row r="999" spans="1:2" x14ac:dyDescent="0.3">
      <c r="A999" s="2" t="s">
        <v>3117</v>
      </c>
      <c r="B999" s="2" t="s">
        <v>3118</v>
      </c>
    </row>
    <row r="1000" spans="1:2" x14ac:dyDescent="0.3">
      <c r="A1000" s="2" t="s">
        <v>3119</v>
      </c>
      <c r="B1000" s="2" t="s">
        <v>3120</v>
      </c>
    </row>
    <row r="1001" spans="1:2" x14ac:dyDescent="0.3">
      <c r="A1001" s="2" t="s">
        <v>3121</v>
      </c>
      <c r="B1001" s="2" t="s">
        <v>3122</v>
      </c>
    </row>
  </sheetData>
  <phoneticPr fontId="1" type="noConversion"/>
  <conditionalFormatting sqref="A1:B1048576">
    <cfRule type="expression" dxfId="6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autoLine="0" r:id="rId4">
            <anchor moveWithCells="1">
              <from>
                <xdr:col>2</xdr:col>
                <xdr:colOff>323850</xdr:colOff>
                <xdr:row>0</xdr:row>
                <xdr:rowOff>161925</xdr:rowOff>
              </from>
              <to>
                <xdr:col>5</xdr:col>
                <xdr:colOff>38100</xdr:colOff>
                <xdr:row>3</xdr:row>
                <xdr:rowOff>66675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299"/>
  <sheetViews>
    <sheetView zoomScale="55" zoomScaleNormal="55" workbookViewId="0">
      <selection activeCell="J44" sqref="J44"/>
    </sheetView>
  </sheetViews>
  <sheetFormatPr defaultRowHeight="16.5" x14ac:dyDescent="0.3"/>
  <cols>
    <col min="1" max="1" width="9" style="2"/>
    <col min="2" max="2" width="10.25" style="2" customWidth="1"/>
    <col min="3" max="3" width="22" style="2" bestFit="1" customWidth="1"/>
    <col min="4" max="4" width="78.125" style="2" bestFit="1" customWidth="1"/>
    <col min="5" max="5" width="9" style="2"/>
    <col min="6" max="6" width="11.125" style="2" bestFit="1" customWidth="1"/>
    <col min="7" max="7" width="9" style="4"/>
    <col min="8" max="8" width="12.125" style="4" customWidth="1"/>
    <col min="13" max="13" width="12.25" bestFit="1" customWidth="1"/>
  </cols>
  <sheetData>
    <row r="1" spans="1:19" x14ac:dyDescent="0.3">
      <c r="A1" s="3" t="s">
        <v>0</v>
      </c>
      <c r="B1" s="3" t="s">
        <v>3123</v>
      </c>
      <c r="C1" s="3" t="s">
        <v>3124</v>
      </c>
      <c r="D1" s="3" t="s">
        <v>3125</v>
      </c>
      <c r="E1" s="3" t="s">
        <v>3126</v>
      </c>
      <c r="F1" s="3" t="s">
        <v>3127</v>
      </c>
      <c r="G1" s="14" t="s">
        <v>3128</v>
      </c>
      <c r="H1" s="14" t="s">
        <v>3129</v>
      </c>
      <c r="M1" s="3" t="s">
        <v>3127</v>
      </c>
      <c r="N1" s="3" t="s">
        <v>3124</v>
      </c>
      <c r="O1" s="3" t="s">
        <v>3123</v>
      </c>
      <c r="Q1" t="s">
        <v>3636</v>
      </c>
      <c r="R1" s="3" t="s">
        <v>3635</v>
      </c>
      <c r="S1" s="3" t="s">
        <v>3638</v>
      </c>
    </row>
    <row r="2" spans="1:19" x14ac:dyDescent="0.3">
      <c r="A2" s="2">
        <v>1</v>
      </c>
      <c r="B2" s="2" t="s">
        <v>6</v>
      </c>
      <c r="C2" s="2" t="s">
        <v>240</v>
      </c>
      <c r="D2" s="2" t="s">
        <v>946</v>
      </c>
      <c r="E2" s="2">
        <v>1</v>
      </c>
      <c r="F2" s="6">
        <v>44409</v>
      </c>
      <c r="G2" s="4">
        <v>0</v>
      </c>
      <c r="H2" s="4">
        <v>14000</v>
      </c>
      <c r="M2" s="5">
        <f ca="1">TODAY()</f>
        <v>44445</v>
      </c>
      <c r="N2" t="s">
        <v>3634</v>
      </c>
      <c r="O2">
        <f>번호</f>
        <v>0</v>
      </c>
      <c r="Q2" s="2" t="s">
        <v>3637</v>
      </c>
      <c r="R2" s="2">
        <v>1</v>
      </c>
      <c r="S2" s="2">
        <v>296</v>
      </c>
    </row>
    <row r="3" spans="1:19" x14ac:dyDescent="0.3">
      <c r="A3" s="2">
        <v>2</v>
      </c>
      <c r="B3" s="2" t="s">
        <v>15</v>
      </c>
      <c r="C3" s="2" t="s">
        <v>240</v>
      </c>
      <c r="D3" s="2" t="s">
        <v>3130</v>
      </c>
      <c r="E3" s="2" t="s">
        <v>3131</v>
      </c>
      <c r="F3" s="6">
        <v>44409</v>
      </c>
      <c r="G3" s="4">
        <v>0</v>
      </c>
      <c r="H3" s="4">
        <v>68000</v>
      </c>
      <c r="Q3" t="s">
        <v>956</v>
      </c>
      <c r="R3">
        <v>3</v>
      </c>
    </row>
    <row r="4" spans="1:19" x14ac:dyDescent="0.3">
      <c r="A4" s="2">
        <v>3</v>
      </c>
      <c r="B4" s="2" t="s">
        <v>55</v>
      </c>
      <c r="C4" s="2" t="s">
        <v>330</v>
      </c>
      <c r="D4" s="2" t="s">
        <v>3132</v>
      </c>
      <c r="E4" s="2" t="s">
        <v>3133</v>
      </c>
      <c r="F4" s="6">
        <v>44410</v>
      </c>
      <c r="G4" s="4">
        <v>3000</v>
      </c>
      <c r="H4" s="4">
        <v>46000</v>
      </c>
      <c r="Q4" t="s">
        <v>950</v>
      </c>
      <c r="R4">
        <v>2</v>
      </c>
    </row>
    <row r="5" spans="1:19" x14ac:dyDescent="0.3">
      <c r="A5" s="2">
        <v>4</v>
      </c>
      <c r="B5" s="2" t="s">
        <v>55</v>
      </c>
      <c r="C5" s="2" t="s">
        <v>440</v>
      </c>
      <c r="D5" s="2" t="s">
        <v>3134</v>
      </c>
      <c r="E5" s="2" t="s">
        <v>3135</v>
      </c>
      <c r="F5" s="6">
        <v>44412</v>
      </c>
      <c r="G5" s="4">
        <v>3000</v>
      </c>
      <c r="H5" s="4">
        <v>48700</v>
      </c>
    </row>
    <row r="6" spans="1:19" x14ac:dyDescent="0.3">
      <c r="A6" s="2">
        <v>5</v>
      </c>
      <c r="B6" s="2" t="s">
        <v>6</v>
      </c>
      <c r="C6" s="2" t="s">
        <v>880</v>
      </c>
      <c r="D6" s="2" t="s">
        <v>3136</v>
      </c>
      <c r="E6" s="2" t="s">
        <v>3137</v>
      </c>
      <c r="F6" s="6">
        <v>44413</v>
      </c>
      <c r="G6" s="4">
        <v>0</v>
      </c>
      <c r="H6" s="4">
        <v>30500</v>
      </c>
    </row>
    <row r="7" spans="1:19" x14ac:dyDescent="0.3">
      <c r="A7" s="2">
        <v>6</v>
      </c>
      <c r="B7" s="2" t="s">
        <v>80</v>
      </c>
      <c r="C7" s="2" t="s">
        <v>415</v>
      </c>
      <c r="D7" s="2" t="s">
        <v>950</v>
      </c>
      <c r="E7" s="2">
        <v>2</v>
      </c>
      <c r="F7" s="6">
        <v>44413</v>
      </c>
      <c r="G7" s="4">
        <v>3000</v>
      </c>
      <c r="H7" s="4">
        <v>8000</v>
      </c>
    </row>
    <row r="8" spans="1:19" x14ac:dyDescent="0.3">
      <c r="A8" s="2">
        <v>7</v>
      </c>
      <c r="B8" s="2" t="s">
        <v>190</v>
      </c>
      <c r="C8" s="2" t="s">
        <v>690</v>
      </c>
      <c r="D8" s="2" t="s">
        <v>3138</v>
      </c>
      <c r="E8" s="2" t="s">
        <v>3139</v>
      </c>
      <c r="F8" s="6">
        <v>44413</v>
      </c>
      <c r="G8" s="4">
        <v>3000</v>
      </c>
      <c r="H8" s="4">
        <v>41500</v>
      </c>
    </row>
    <row r="9" spans="1:19" x14ac:dyDescent="0.3">
      <c r="A9" s="2">
        <v>8</v>
      </c>
      <c r="B9" s="2" t="s">
        <v>190</v>
      </c>
      <c r="C9" s="2" t="s">
        <v>525</v>
      </c>
      <c r="D9" s="2" t="s">
        <v>3140</v>
      </c>
      <c r="E9" s="2" t="s">
        <v>3141</v>
      </c>
      <c r="F9" s="6">
        <v>44414</v>
      </c>
      <c r="G9" s="4">
        <v>3000</v>
      </c>
      <c r="H9" s="4">
        <v>45500</v>
      </c>
    </row>
    <row r="10" spans="1:19" x14ac:dyDescent="0.3">
      <c r="A10" s="2">
        <v>9</v>
      </c>
      <c r="B10" s="2" t="s">
        <v>215</v>
      </c>
      <c r="C10" s="2" t="s">
        <v>730</v>
      </c>
      <c r="D10" s="2" t="s">
        <v>960</v>
      </c>
      <c r="E10" s="2">
        <v>3</v>
      </c>
      <c r="F10" s="6">
        <v>44417</v>
      </c>
      <c r="G10" s="4">
        <v>3000</v>
      </c>
      <c r="H10" s="4">
        <v>25500</v>
      </c>
    </row>
    <row r="11" spans="1:19" x14ac:dyDescent="0.3">
      <c r="A11" s="2">
        <v>10</v>
      </c>
      <c r="B11" s="2" t="s">
        <v>25</v>
      </c>
      <c r="C11" s="2" t="s">
        <v>790</v>
      </c>
      <c r="D11" s="2" t="s">
        <v>3142</v>
      </c>
      <c r="E11" s="2" t="s">
        <v>3143</v>
      </c>
      <c r="F11" s="6">
        <v>44417</v>
      </c>
      <c r="G11" s="4">
        <v>3000</v>
      </c>
      <c r="H11" s="4">
        <v>29500</v>
      </c>
    </row>
    <row r="12" spans="1:19" x14ac:dyDescent="0.3">
      <c r="A12" s="2">
        <v>11</v>
      </c>
      <c r="B12" s="2" t="s">
        <v>140</v>
      </c>
      <c r="C12" s="2" t="s">
        <v>720</v>
      </c>
      <c r="D12" s="2" t="s">
        <v>3144</v>
      </c>
      <c r="E12" s="2" t="s">
        <v>1390</v>
      </c>
      <c r="F12" s="6">
        <v>44417</v>
      </c>
      <c r="G12" s="4">
        <v>3000</v>
      </c>
      <c r="H12" s="4">
        <v>13000</v>
      </c>
    </row>
    <row r="13" spans="1:19" x14ac:dyDescent="0.3">
      <c r="A13" s="2">
        <v>12</v>
      </c>
      <c r="B13" s="2" t="s">
        <v>11</v>
      </c>
      <c r="C13" s="2" t="s">
        <v>540</v>
      </c>
      <c r="D13" s="2" t="s">
        <v>999</v>
      </c>
      <c r="E13" s="2">
        <v>2</v>
      </c>
      <c r="F13" s="6">
        <v>44418</v>
      </c>
      <c r="G13" s="4">
        <v>3000</v>
      </c>
      <c r="H13" s="4">
        <v>12000</v>
      </c>
    </row>
    <row r="14" spans="1:19" x14ac:dyDescent="0.3">
      <c r="A14" s="2">
        <v>13</v>
      </c>
      <c r="B14" s="2" t="s">
        <v>11</v>
      </c>
      <c r="C14" s="2" t="s">
        <v>560</v>
      </c>
      <c r="D14" s="2" t="s">
        <v>3145</v>
      </c>
      <c r="E14" s="2" t="s">
        <v>3143</v>
      </c>
      <c r="F14" s="6">
        <v>44420</v>
      </c>
      <c r="G14" s="4">
        <v>3000</v>
      </c>
      <c r="H14" s="4">
        <v>28500</v>
      </c>
    </row>
    <row r="15" spans="1:19" x14ac:dyDescent="0.3">
      <c r="A15" s="2">
        <v>14</v>
      </c>
      <c r="B15" s="2" t="s">
        <v>225</v>
      </c>
      <c r="C15" s="2" t="s">
        <v>270</v>
      </c>
      <c r="D15" s="2" t="s">
        <v>3146</v>
      </c>
      <c r="E15" s="2" t="s">
        <v>3147</v>
      </c>
      <c r="F15" s="6">
        <v>44420</v>
      </c>
      <c r="G15" s="4">
        <v>3000</v>
      </c>
      <c r="H15" s="4">
        <v>51000</v>
      </c>
    </row>
    <row r="16" spans="1:19" x14ac:dyDescent="0.3">
      <c r="A16" s="2">
        <v>15</v>
      </c>
      <c r="B16" s="2" t="s">
        <v>180</v>
      </c>
      <c r="C16" s="2" t="s">
        <v>890</v>
      </c>
      <c r="D16" s="2" t="s">
        <v>3148</v>
      </c>
      <c r="E16" s="2" t="s">
        <v>3149</v>
      </c>
      <c r="F16" s="6">
        <v>44421</v>
      </c>
      <c r="G16" s="4">
        <v>3000</v>
      </c>
      <c r="H16" s="4">
        <v>15000</v>
      </c>
    </row>
    <row r="17" spans="1:8" x14ac:dyDescent="0.3">
      <c r="A17" s="2">
        <v>16</v>
      </c>
      <c r="B17" s="2" t="s">
        <v>60</v>
      </c>
      <c r="C17" s="2" t="s">
        <v>310</v>
      </c>
      <c r="D17" s="2" t="s">
        <v>3150</v>
      </c>
      <c r="E17" s="2" t="s">
        <v>3151</v>
      </c>
      <c r="F17" s="6">
        <v>44421</v>
      </c>
      <c r="G17" s="4">
        <v>3000</v>
      </c>
      <c r="H17" s="4">
        <v>110000</v>
      </c>
    </row>
    <row r="18" spans="1:8" x14ac:dyDescent="0.3">
      <c r="A18" s="2">
        <v>17</v>
      </c>
      <c r="B18" s="2" t="s">
        <v>195</v>
      </c>
      <c r="C18" s="2" t="s">
        <v>710</v>
      </c>
      <c r="D18" s="2" t="s">
        <v>3152</v>
      </c>
      <c r="E18" s="2" t="s">
        <v>3153</v>
      </c>
      <c r="F18" s="6">
        <v>44421</v>
      </c>
      <c r="G18" s="4">
        <v>3000</v>
      </c>
      <c r="H18" s="4">
        <v>36000</v>
      </c>
    </row>
    <row r="19" spans="1:8" x14ac:dyDescent="0.3">
      <c r="A19" s="2">
        <v>18</v>
      </c>
      <c r="B19" s="2" t="s">
        <v>175</v>
      </c>
      <c r="C19" s="2" t="s">
        <v>620</v>
      </c>
      <c r="D19" s="2" t="s">
        <v>3154</v>
      </c>
      <c r="E19" s="2" t="s">
        <v>3155</v>
      </c>
      <c r="F19" s="6">
        <v>44422</v>
      </c>
      <c r="G19" s="4">
        <v>3000</v>
      </c>
      <c r="H19" s="4">
        <v>48000</v>
      </c>
    </row>
    <row r="20" spans="1:8" x14ac:dyDescent="0.3">
      <c r="A20" s="2">
        <v>19</v>
      </c>
      <c r="B20" s="2" t="s">
        <v>15</v>
      </c>
      <c r="C20" s="2" t="s">
        <v>290</v>
      </c>
      <c r="D20" s="2" t="s">
        <v>1011</v>
      </c>
      <c r="E20" s="2">
        <v>3</v>
      </c>
      <c r="F20" s="6">
        <v>44422</v>
      </c>
      <c r="G20" s="4">
        <v>0</v>
      </c>
      <c r="H20" s="4">
        <v>24000</v>
      </c>
    </row>
    <row r="21" spans="1:8" x14ac:dyDescent="0.3">
      <c r="A21" s="2">
        <v>20</v>
      </c>
      <c r="B21" s="2" t="s">
        <v>100</v>
      </c>
      <c r="C21" s="2" t="s">
        <v>910</v>
      </c>
      <c r="D21" s="2" t="s">
        <v>3156</v>
      </c>
      <c r="E21" s="2" t="s">
        <v>3157</v>
      </c>
      <c r="F21" s="6">
        <v>44423</v>
      </c>
      <c r="G21" s="4">
        <v>3000</v>
      </c>
      <c r="H21" s="4">
        <v>41000</v>
      </c>
    </row>
    <row r="22" spans="1:8" x14ac:dyDescent="0.3">
      <c r="A22" s="2">
        <v>21</v>
      </c>
      <c r="B22" s="2" t="s">
        <v>75</v>
      </c>
      <c r="C22" s="2" t="s">
        <v>575</v>
      </c>
      <c r="D22" s="2" t="s">
        <v>3158</v>
      </c>
      <c r="E22" s="2" t="s">
        <v>3159</v>
      </c>
      <c r="F22" s="6">
        <v>44424</v>
      </c>
      <c r="G22" s="4">
        <v>3000</v>
      </c>
      <c r="H22" s="4">
        <v>59500</v>
      </c>
    </row>
    <row r="23" spans="1:8" x14ac:dyDescent="0.3">
      <c r="A23" s="2">
        <v>22</v>
      </c>
      <c r="B23" s="2" t="s">
        <v>135</v>
      </c>
      <c r="C23" s="2" t="s">
        <v>530</v>
      </c>
      <c r="D23" s="2" t="s">
        <v>1114</v>
      </c>
      <c r="E23" s="2">
        <v>2</v>
      </c>
      <c r="F23" s="6">
        <v>44424</v>
      </c>
      <c r="G23" s="4">
        <v>3000</v>
      </c>
      <c r="H23" s="4">
        <v>5000</v>
      </c>
    </row>
    <row r="24" spans="1:8" x14ac:dyDescent="0.3">
      <c r="A24" s="2">
        <v>23</v>
      </c>
      <c r="B24" s="2" t="s">
        <v>25</v>
      </c>
      <c r="C24" s="2" t="s">
        <v>545</v>
      </c>
      <c r="D24" s="2" t="s">
        <v>3160</v>
      </c>
      <c r="E24" s="2" t="s">
        <v>3161</v>
      </c>
      <c r="F24" s="6">
        <v>44425</v>
      </c>
      <c r="G24" s="4">
        <v>3000</v>
      </c>
      <c r="H24" s="4">
        <v>63000</v>
      </c>
    </row>
    <row r="25" spans="1:8" x14ac:dyDescent="0.3">
      <c r="A25" s="2">
        <v>24</v>
      </c>
      <c r="B25" s="2" t="s">
        <v>15</v>
      </c>
      <c r="C25" s="2" t="s">
        <v>735</v>
      </c>
      <c r="D25" s="2" t="s">
        <v>3162</v>
      </c>
      <c r="E25" s="2" t="s">
        <v>3163</v>
      </c>
      <c r="F25" s="6">
        <v>44425</v>
      </c>
      <c r="G25" s="4">
        <v>0</v>
      </c>
      <c r="H25" s="4">
        <v>15600</v>
      </c>
    </row>
    <row r="26" spans="1:8" x14ac:dyDescent="0.3">
      <c r="A26" s="2">
        <v>25</v>
      </c>
      <c r="B26" s="2" t="s">
        <v>215</v>
      </c>
      <c r="C26" s="2" t="s">
        <v>815</v>
      </c>
      <c r="D26" s="2" t="s">
        <v>1063</v>
      </c>
      <c r="E26" s="2">
        <v>3</v>
      </c>
      <c r="F26" s="6">
        <v>44426</v>
      </c>
      <c r="G26" s="4">
        <v>3000</v>
      </c>
      <c r="H26" s="4">
        <v>10500</v>
      </c>
    </row>
    <row r="27" spans="1:8" x14ac:dyDescent="0.3">
      <c r="A27" s="2">
        <v>26</v>
      </c>
      <c r="B27" s="2" t="s">
        <v>70</v>
      </c>
      <c r="C27" s="2" t="s">
        <v>590</v>
      </c>
      <c r="D27" s="2" t="s">
        <v>3164</v>
      </c>
      <c r="E27" s="2" t="s">
        <v>3165</v>
      </c>
      <c r="F27" s="6">
        <v>44427</v>
      </c>
      <c r="G27" s="4">
        <v>3000</v>
      </c>
      <c r="H27" s="4">
        <v>33000</v>
      </c>
    </row>
    <row r="28" spans="1:8" x14ac:dyDescent="0.3">
      <c r="A28" s="2">
        <v>27</v>
      </c>
      <c r="B28" s="2" t="s">
        <v>15</v>
      </c>
      <c r="C28" s="2" t="s">
        <v>240</v>
      </c>
      <c r="D28" s="2" t="s">
        <v>946</v>
      </c>
      <c r="E28" s="2">
        <v>2</v>
      </c>
      <c r="F28" s="6">
        <v>44443</v>
      </c>
      <c r="G28" s="4">
        <v>0</v>
      </c>
      <c r="H28" s="4">
        <v>15000</v>
      </c>
    </row>
    <row r="29" spans="1:8" x14ac:dyDescent="0.3">
      <c r="A29" s="2">
        <v>28</v>
      </c>
      <c r="B29" s="2" t="s">
        <v>195</v>
      </c>
      <c r="C29" s="2" t="s">
        <v>690</v>
      </c>
      <c r="D29" s="2" t="s">
        <v>3166</v>
      </c>
      <c r="E29" s="2" t="s">
        <v>3167</v>
      </c>
      <c r="F29" s="6">
        <v>44427</v>
      </c>
      <c r="G29" s="4">
        <v>3000</v>
      </c>
      <c r="H29" s="4">
        <v>52000</v>
      </c>
    </row>
    <row r="30" spans="1:8" x14ac:dyDescent="0.3">
      <c r="A30" s="2">
        <v>29</v>
      </c>
      <c r="B30" s="2" t="s">
        <v>160</v>
      </c>
      <c r="C30" s="2" t="s">
        <v>735</v>
      </c>
      <c r="D30" s="2" t="s">
        <v>1040</v>
      </c>
      <c r="E30" s="2">
        <v>2</v>
      </c>
      <c r="F30" s="6">
        <v>44425</v>
      </c>
      <c r="G30" s="4">
        <v>3000</v>
      </c>
      <c r="H30" s="4">
        <v>9000</v>
      </c>
    </row>
    <row r="31" spans="1:8" x14ac:dyDescent="0.3">
      <c r="A31" s="2">
        <v>30</v>
      </c>
      <c r="B31" s="2" t="s">
        <v>165</v>
      </c>
      <c r="C31" s="2" t="s">
        <v>595</v>
      </c>
      <c r="D31" s="2" t="s">
        <v>1067</v>
      </c>
      <c r="E31" s="2">
        <v>3</v>
      </c>
      <c r="F31" s="6">
        <v>44428</v>
      </c>
      <c r="G31" s="4">
        <v>3000</v>
      </c>
      <c r="H31" s="4">
        <v>19500</v>
      </c>
    </row>
    <row r="32" spans="1:8" x14ac:dyDescent="0.3">
      <c r="A32" s="2">
        <v>31</v>
      </c>
      <c r="B32" s="2" t="s">
        <v>15</v>
      </c>
      <c r="C32" s="2" t="s">
        <v>645</v>
      </c>
      <c r="D32" s="2" t="s">
        <v>3168</v>
      </c>
      <c r="E32" s="2" t="s">
        <v>3169</v>
      </c>
      <c r="F32" s="6">
        <v>44428</v>
      </c>
      <c r="G32" s="4">
        <v>0</v>
      </c>
      <c r="H32" s="4">
        <v>18500</v>
      </c>
    </row>
    <row r="33" spans="1:8" x14ac:dyDescent="0.3">
      <c r="A33" s="2">
        <v>32</v>
      </c>
      <c r="B33" s="2" t="s">
        <v>135</v>
      </c>
      <c r="C33" s="2" t="s">
        <v>375</v>
      </c>
      <c r="D33" s="2" t="s">
        <v>954</v>
      </c>
      <c r="E33" s="2">
        <v>2</v>
      </c>
      <c r="F33" s="6">
        <v>44428</v>
      </c>
      <c r="G33" s="4">
        <v>3000</v>
      </c>
      <c r="H33" s="4">
        <v>22000</v>
      </c>
    </row>
    <row r="34" spans="1:8" x14ac:dyDescent="0.3">
      <c r="A34" s="2">
        <v>33</v>
      </c>
      <c r="B34" s="2" t="s">
        <v>210</v>
      </c>
      <c r="C34" s="2" t="s">
        <v>765</v>
      </c>
      <c r="D34" s="2" t="s">
        <v>3170</v>
      </c>
      <c r="E34" s="2" t="s">
        <v>3171</v>
      </c>
      <c r="F34" s="6">
        <v>44429</v>
      </c>
      <c r="G34" s="4">
        <v>3000</v>
      </c>
      <c r="H34" s="4">
        <v>17000</v>
      </c>
    </row>
    <row r="35" spans="1:8" x14ac:dyDescent="0.3">
      <c r="A35" s="2">
        <v>34</v>
      </c>
      <c r="B35" s="2" t="s">
        <v>6</v>
      </c>
      <c r="C35" s="2" t="s">
        <v>255</v>
      </c>
      <c r="D35" s="2" t="s">
        <v>3172</v>
      </c>
      <c r="E35" s="2" t="s">
        <v>3173</v>
      </c>
      <c r="F35" s="6">
        <v>44429</v>
      </c>
      <c r="G35" s="4">
        <v>0</v>
      </c>
      <c r="H35" s="4">
        <v>136000</v>
      </c>
    </row>
    <row r="36" spans="1:8" x14ac:dyDescent="0.3">
      <c r="A36" s="2">
        <v>35</v>
      </c>
      <c r="B36" s="2" t="s">
        <v>145</v>
      </c>
      <c r="C36" s="2" t="s">
        <v>555</v>
      </c>
      <c r="D36" s="2" t="s">
        <v>1048</v>
      </c>
      <c r="E36" s="2">
        <v>3</v>
      </c>
      <c r="F36" s="6">
        <v>44430</v>
      </c>
      <c r="G36" s="4">
        <v>3000</v>
      </c>
      <c r="H36" s="4">
        <v>2100</v>
      </c>
    </row>
    <row r="37" spans="1:8" x14ac:dyDescent="0.3">
      <c r="A37" s="2">
        <v>36</v>
      </c>
      <c r="B37" s="2" t="s">
        <v>11</v>
      </c>
      <c r="C37" s="2" t="s">
        <v>920</v>
      </c>
      <c r="D37" s="2" t="s">
        <v>3174</v>
      </c>
      <c r="E37" s="2" t="s">
        <v>3175</v>
      </c>
      <c r="F37" s="6">
        <v>44430</v>
      </c>
      <c r="G37" s="4">
        <v>3000</v>
      </c>
      <c r="H37" s="4">
        <v>68000</v>
      </c>
    </row>
    <row r="38" spans="1:8" x14ac:dyDescent="0.3">
      <c r="A38" s="2">
        <v>37</v>
      </c>
      <c r="B38" s="2" t="s">
        <v>70</v>
      </c>
      <c r="C38" s="2" t="s">
        <v>300</v>
      </c>
      <c r="D38" s="2" t="s">
        <v>3176</v>
      </c>
      <c r="E38" s="2" t="s">
        <v>3177</v>
      </c>
      <c r="F38" s="6">
        <v>44430</v>
      </c>
      <c r="G38" s="4">
        <v>3000</v>
      </c>
      <c r="H38" s="4">
        <v>37000</v>
      </c>
    </row>
    <row r="39" spans="1:8" x14ac:dyDescent="0.3">
      <c r="A39" s="2">
        <v>38</v>
      </c>
      <c r="B39" s="2" t="s">
        <v>45</v>
      </c>
      <c r="C39" s="2" t="s">
        <v>500</v>
      </c>
      <c r="D39" s="2" t="s">
        <v>3178</v>
      </c>
      <c r="E39" s="2" t="s">
        <v>3131</v>
      </c>
      <c r="F39" s="6">
        <v>44431</v>
      </c>
      <c r="G39" s="4">
        <v>0</v>
      </c>
      <c r="H39" s="4">
        <v>52000</v>
      </c>
    </row>
    <row r="40" spans="1:8" x14ac:dyDescent="0.3">
      <c r="A40" s="2">
        <v>39</v>
      </c>
      <c r="B40" s="2" t="s">
        <v>230</v>
      </c>
      <c r="C40" s="2" t="s">
        <v>535</v>
      </c>
      <c r="D40" s="2" t="s">
        <v>3179</v>
      </c>
      <c r="E40" s="2" t="s">
        <v>3180</v>
      </c>
      <c r="F40" s="6">
        <v>44432</v>
      </c>
      <c r="G40" s="4">
        <v>3000</v>
      </c>
      <c r="H40" s="4">
        <v>67000</v>
      </c>
    </row>
    <row r="41" spans="1:8" x14ac:dyDescent="0.3">
      <c r="A41" s="2">
        <v>40</v>
      </c>
      <c r="B41" s="2" t="s">
        <v>225</v>
      </c>
      <c r="C41" s="2" t="s">
        <v>465</v>
      </c>
      <c r="D41" s="2" t="s">
        <v>3142</v>
      </c>
      <c r="E41" s="2" t="s">
        <v>3143</v>
      </c>
      <c r="F41" s="6">
        <v>44432</v>
      </c>
      <c r="G41" s="4">
        <v>3000</v>
      </c>
      <c r="H41" s="4">
        <v>29500</v>
      </c>
    </row>
    <row r="42" spans="1:8" x14ac:dyDescent="0.3">
      <c r="A42" s="2">
        <v>41</v>
      </c>
      <c r="B42" s="2" t="s">
        <v>150</v>
      </c>
      <c r="C42" s="2" t="s">
        <v>460</v>
      </c>
      <c r="D42" s="2" t="s">
        <v>3181</v>
      </c>
      <c r="E42" s="2" t="s">
        <v>3182</v>
      </c>
      <c r="F42" s="6">
        <v>44432</v>
      </c>
      <c r="G42" s="4">
        <v>3000</v>
      </c>
      <c r="H42" s="4">
        <v>22500</v>
      </c>
    </row>
    <row r="43" spans="1:8" x14ac:dyDescent="0.3">
      <c r="A43" s="2">
        <v>42</v>
      </c>
      <c r="B43" s="2" t="s">
        <v>6</v>
      </c>
      <c r="C43" s="2" t="s">
        <v>650</v>
      </c>
      <c r="D43" s="2" t="s">
        <v>3183</v>
      </c>
      <c r="E43" s="2" t="s">
        <v>3184</v>
      </c>
      <c r="F43" s="6">
        <v>44433</v>
      </c>
      <c r="G43" s="4">
        <v>3000</v>
      </c>
      <c r="H43" s="4">
        <v>122000</v>
      </c>
    </row>
    <row r="44" spans="1:8" x14ac:dyDescent="0.3">
      <c r="A44" s="2">
        <v>43</v>
      </c>
      <c r="B44" s="2" t="s">
        <v>225</v>
      </c>
      <c r="C44" s="2" t="s">
        <v>670</v>
      </c>
      <c r="D44" s="2" t="s">
        <v>3185</v>
      </c>
      <c r="E44" s="2" t="s">
        <v>3186</v>
      </c>
      <c r="F44" s="6">
        <v>44433</v>
      </c>
      <c r="G44" s="4">
        <v>3000</v>
      </c>
      <c r="H44" s="4">
        <v>91000</v>
      </c>
    </row>
    <row r="45" spans="1:8" x14ac:dyDescent="0.3">
      <c r="A45" s="2">
        <v>44</v>
      </c>
      <c r="B45" s="2" t="s">
        <v>55</v>
      </c>
      <c r="C45" s="2" t="s">
        <v>585</v>
      </c>
      <c r="D45" s="2" t="s">
        <v>3187</v>
      </c>
      <c r="E45" s="2" t="s">
        <v>3188</v>
      </c>
      <c r="F45" s="6">
        <v>44435</v>
      </c>
      <c r="G45" s="4">
        <v>3000</v>
      </c>
      <c r="H45" s="4">
        <v>73500</v>
      </c>
    </row>
    <row r="46" spans="1:8" x14ac:dyDescent="0.3">
      <c r="A46" s="2">
        <v>45</v>
      </c>
      <c r="B46" s="2" t="s">
        <v>70</v>
      </c>
      <c r="C46" s="2" t="s">
        <v>520</v>
      </c>
      <c r="D46" s="2" t="s">
        <v>3189</v>
      </c>
      <c r="E46" s="2" t="s">
        <v>3182</v>
      </c>
      <c r="F46" s="6">
        <v>44464</v>
      </c>
      <c r="G46" s="4">
        <v>3000</v>
      </c>
      <c r="H46" s="4">
        <v>31500</v>
      </c>
    </row>
    <row r="47" spans="1:8" x14ac:dyDescent="0.3">
      <c r="A47" s="2">
        <v>46</v>
      </c>
      <c r="B47" s="2" t="s">
        <v>180</v>
      </c>
      <c r="C47" s="2" t="s">
        <v>455</v>
      </c>
      <c r="D47" s="2" t="s">
        <v>3190</v>
      </c>
      <c r="E47" s="2" t="s">
        <v>1390</v>
      </c>
      <c r="F47" s="6">
        <v>44436</v>
      </c>
      <c r="G47" s="4">
        <v>3000</v>
      </c>
      <c r="H47" s="4">
        <v>5000</v>
      </c>
    </row>
    <row r="48" spans="1:8" x14ac:dyDescent="0.3">
      <c r="A48" s="2">
        <v>47</v>
      </c>
      <c r="B48" s="2" t="s">
        <v>205</v>
      </c>
      <c r="C48" s="2" t="s">
        <v>855</v>
      </c>
      <c r="D48" s="2" t="s">
        <v>3191</v>
      </c>
      <c r="E48" s="2" t="s">
        <v>3192</v>
      </c>
      <c r="F48" s="6">
        <v>44437</v>
      </c>
      <c r="G48" s="4">
        <v>3000</v>
      </c>
      <c r="H48" s="4">
        <v>31000</v>
      </c>
    </row>
    <row r="49" spans="1:8" x14ac:dyDescent="0.3">
      <c r="A49" s="2">
        <v>48</v>
      </c>
      <c r="B49" s="2" t="s">
        <v>220</v>
      </c>
      <c r="C49" s="2" t="s">
        <v>590</v>
      </c>
      <c r="D49" s="2" t="s">
        <v>3193</v>
      </c>
      <c r="E49" s="2" t="s">
        <v>3194</v>
      </c>
      <c r="F49" s="6">
        <v>44437</v>
      </c>
      <c r="G49" s="4">
        <v>3000</v>
      </c>
      <c r="H49" s="4">
        <v>69000</v>
      </c>
    </row>
    <row r="50" spans="1:8" x14ac:dyDescent="0.3">
      <c r="A50" s="2">
        <v>49</v>
      </c>
      <c r="B50" s="2" t="s">
        <v>145</v>
      </c>
      <c r="C50" s="2" t="s">
        <v>570</v>
      </c>
      <c r="D50" s="2" t="s">
        <v>3195</v>
      </c>
      <c r="E50" s="2" t="s">
        <v>3196</v>
      </c>
      <c r="F50" s="6">
        <v>44438</v>
      </c>
      <c r="G50" s="4">
        <v>3000</v>
      </c>
      <c r="H50" s="4">
        <v>53500</v>
      </c>
    </row>
    <row r="51" spans="1:8" x14ac:dyDescent="0.3">
      <c r="A51" s="2">
        <v>50</v>
      </c>
      <c r="B51" s="2" t="s">
        <v>20</v>
      </c>
      <c r="C51" s="2" t="s">
        <v>435</v>
      </c>
      <c r="D51" s="2" t="s">
        <v>3197</v>
      </c>
      <c r="E51" s="2" t="s">
        <v>3198</v>
      </c>
      <c r="F51" s="6">
        <v>44438</v>
      </c>
      <c r="G51" s="4">
        <v>3000</v>
      </c>
      <c r="H51" s="4">
        <v>54000</v>
      </c>
    </row>
    <row r="52" spans="1:8" x14ac:dyDescent="0.3">
      <c r="A52" s="2">
        <v>51</v>
      </c>
      <c r="B52" s="2" t="s">
        <v>145</v>
      </c>
      <c r="C52" s="2" t="s">
        <v>655</v>
      </c>
      <c r="D52" s="2" t="s">
        <v>1057</v>
      </c>
      <c r="E52" s="2">
        <v>2</v>
      </c>
      <c r="F52" s="6">
        <v>44439</v>
      </c>
      <c r="G52" s="4">
        <v>3000</v>
      </c>
      <c r="H52" s="4">
        <v>18000</v>
      </c>
    </row>
    <row r="53" spans="1:8" x14ac:dyDescent="0.3">
      <c r="A53" s="2">
        <v>52</v>
      </c>
      <c r="B53" s="2" t="s">
        <v>25</v>
      </c>
      <c r="C53" s="2" t="s">
        <v>670</v>
      </c>
      <c r="D53" s="2" t="s">
        <v>3199</v>
      </c>
      <c r="E53" s="2" t="s">
        <v>3153</v>
      </c>
      <c r="F53" s="6">
        <v>44440</v>
      </c>
      <c r="G53" s="4">
        <v>3000</v>
      </c>
      <c r="H53" s="4">
        <v>39500</v>
      </c>
    </row>
    <row r="54" spans="1:8" x14ac:dyDescent="0.3">
      <c r="A54" s="2">
        <v>53</v>
      </c>
      <c r="B54" s="2" t="s">
        <v>215</v>
      </c>
      <c r="C54" s="2" t="s">
        <v>600</v>
      </c>
      <c r="D54" s="2" t="s">
        <v>3200</v>
      </c>
      <c r="E54" s="2" t="s">
        <v>3201</v>
      </c>
      <c r="F54" s="6">
        <v>44441</v>
      </c>
      <c r="G54" s="4">
        <v>3000</v>
      </c>
      <c r="H54" s="4">
        <v>55500</v>
      </c>
    </row>
    <row r="55" spans="1:8" x14ac:dyDescent="0.3">
      <c r="A55" s="2">
        <v>54</v>
      </c>
      <c r="B55" s="2" t="s">
        <v>100</v>
      </c>
      <c r="C55" s="2" t="s">
        <v>610</v>
      </c>
      <c r="D55" s="2" t="s">
        <v>3202</v>
      </c>
      <c r="E55" s="2" t="s">
        <v>3203</v>
      </c>
      <c r="F55" s="6">
        <v>44441</v>
      </c>
      <c r="G55" s="4">
        <v>3000</v>
      </c>
      <c r="H55" s="4">
        <v>13000</v>
      </c>
    </row>
    <row r="56" spans="1:8" x14ac:dyDescent="0.3">
      <c r="A56" s="2">
        <v>55</v>
      </c>
      <c r="B56" s="2" t="s">
        <v>50</v>
      </c>
      <c r="C56" s="2" t="s">
        <v>405</v>
      </c>
      <c r="D56" s="2" t="s">
        <v>3204</v>
      </c>
      <c r="E56" s="2" t="s">
        <v>3205</v>
      </c>
      <c r="F56" s="6">
        <v>44441</v>
      </c>
      <c r="G56" s="4">
        <v>3000</v>
      </c>
      <c r="H56" s="4">
        <v>21500</v>
      </c>
    </row>
    <row r="57" spans="1:8" x14ac:dyDescent="0.3">
      <c r="A57" s="2">
        <v>56</v>
      </c>
      <c r="B57" s="2" t="s">
        <v>115</v>
      </c>
      <c r="C57" s="2" t="s">
        <v>430</v>
      </c>
      <c r="D57" s="2" t="s">
        <v>3206</v>
      </c>
      <c r="E57" s="2" t="s">
        <v>3207</v>
      </c>
      <c r="F57" s="6">
        <v>44441</v>
      </c>
      <c r="G57" s="4">
        <v>3000</v>
      </c>
      <c r="H57" s="4">
        <v>51000</v>
      </c>
    </row>
    <row r="58" spans="1:8" x14ac:dyDescent="0.3">
      <c r="A58" s="2">
        <v>57</v>
      </c>
      <c r="B58" s="2" t="s">
        <v>200</v>
      </c>
      <c r="C58" s="2" t="s">
        <v>715</v>
      </c>
      <c r="D58" s="2" t="s">
        <v>3208</v>
      </c>
      <c r="E58" s="2" t="s">
        <v>3209</v>
      </c>
      <c r="F58" s="6">
        <v>44441</v>
      </c>
      <c r="G58" s="4">
        <v>3000</v>
      </c>
      <c r="H58" s="4">
        <v>45000</v>
      </c>
    </row>
    <row r="59" spans="1:8" x14ac:dyDescent="0.3">
      <c r="A59" s="2">
        <v>58</v>
      </c>
      <c r="B59" s="2" t="s">
        <v>11</v>
      </c>
      <c r="C59" s="2" t="s">
        <v>455</v>
      </c>
      <c r="D59" s="2" t="s">
        <v>3210</v>
      </c>
      <c r="E59" s="2" t="s">
        <v>3211</v>
      </c>
      <c r="F59" s="6">
        <v>44442</v>
      </c>
      <c r="G59" s="4">
        <v>3000</v>
      </c>
      <c r="H59" s="4">
        <v>23000</v>
      </c>
    </row>
    <row r="60" spans="1:8" x14ac:dyDescent="0.3">
      <c r="A60" s="2">
        <v>59</v>
      </c>
      <c r="B60" s="2" t="s">
        <v>100</v>
      </c>
      <c r="C60" s="2" t="s">
        <v>300</v>
      </c>
      <c r="D60" s="2" t="s">
        <v>3212</v>
      </c>
      <c r="E60" s="2" t="s">
        <v>3213</v>
      </c>
      <c r="F60" s="6">
        <v>44442</v>
      </c>
      <c r="G60" s="4">
        <v>3000</v>
      </c>
      <c r="H60" s="4">
        <v>26000</v>
      </c>
    </row>
    <row r="61" spans="1:8" x14ac:dyDescent="0.3">
      <c r="A61" s="2">
        <v>60</v>
      </c>
      <c r="B61" s="2" t="s">
        <v>55</v>
      </c>
      <c r="C61" s="2" t="s">
        <v>345</v>
      </c>
      <c r="D61" s="2" t="s">
        <v>3214</v>
      </c>
      <c r="E61" s="2" t="s">
        <v>3215</v>
      </c>
      <c r="F61" s="6">
        <v>44442</v>
      </c>
      <c r="G61" s="4">
        <v>3000</v>
      </c>
      <c r="H61" s="4">
        <v>25000</v>
      </c>
    </row>
    <row r="62" spans="1:8" x14ac:dyDescent="0.3">
      <c r="A62" s="2">
        <v>61</v>
      </c>
      <c r="B62" s="2" t="s">
        <v>20</v>
      </c>
      <c r="C62" s="2" t="s">
        <v>440</v>
      </c>
      <c r="D62" s="2" t="s">
        <v>3216</v>
      </c>
      <c r="E62" s="2" t="s">
        <v>3141</v>
      </c>
      <c r="F62" s="6">
        <v>44442</v>
      </c>
      <c r="G62" s="4">
        <v>3000</v>
      </c>
      <c r="H62" s="4">
        <v>16500</v>
      </c>
    </row>
    <row r="63" spans="1:8" x14ac:dyDescent="0.3">
      <c r="A63" s="2">
        <v>62</v>
      </c>
      <c r="B63" s="2" t="s">
        <v>30</v>
      </c>
      <c r="C63" s="2" t="s">
        <v>450</v>
      </c>
      <c r="D63" s="2" t="s">
        <v>3217</v>
      </c>
      <c r="E63" s="2" t="s">
        <v>3218</v>
      </c>
      <c r="F63" s="6">
        <v>44442</v>
      </c>
      <c r="G63" s="4">
        <v>3000</v>
      </c>
      <c r="H63" s="4">
        <v>25000</v>
      </c>
    </row>
    <row r="64" spans="1:8" x14ac:dyDescent="0.3">
      <c r="A64" s="2">
        <v>63</v>
      </c>
      <c r="B64" s="2" t="s">
        <v>20</v>
      </c>
      <c r="C64" s="2" t="s">
        <v>240</v>
      </c>
      <c r="D64" s="2" t="s">
        <v>952</v>
      </c>
      <c r="E64" s="2">
        <v>3</v>
      </c>
      <c r="F64" s="6">
        <v>44443</v>
      </c>
      <c r="G64" s="4">
        <v>3000</v>
      </c>
      <c r="H64" s="4">
        <v>24000</v>
      </c>
    </row>
    <row r="65" spans="1:8" x14ac:dyDescent="0.3">
      <c r="A65" s="2">
        <v>64</v>
      </c>
      <c r="B65" s="2" t="s">
        <v>135</v>
      </c>
      <c r="C65" s="2" t="s">
        <v>710</v>
      </c>
      <c r="D65" s="2" t="s">
        <v>3219</v>
      </c>
      <c r="E65" s="2" t="s">
        <v>3220</v>
      </c>
      <c r="F65" s="6">
        <v>44444</v>
      </c>
      <c r="G65" s="4">
        <v>3000</v>
      </c>
      <c r="H65" s="4">
        <v>63500</v>
      </c>
    </row>
    <row r="66" spans="1:8" x14ac:dyDescent="0.3">
      <c r="A66" s="2">
        <v>65</v>
      </c>
      <c r="B66" s="2" t="s">
        <v>210</v>
      </c>
      <c r="C66" s="2" t="s">
        <v>245</v>
      </c>
      <c r="D66" s="2" t="s">
        <v>3221</v>
      </c>
      <c r="E66" s="2" t="s">
        <v>3222</v>
      </c>
      <c r="F66" s="6">
        <v>44445</v>
      </c>
      <c r="G66" s="4">
        <v>3000</v>
      </c>
      <c r="H66" s="4">
        <v>51000</v>
      </c>
    </row>
    <row r="67" spans="1:8" x14ac:dyDescent="0.3">
      <c r="A67" s="2">
        <v>66</v>
      </c>
      <c r="B67" s="2" t="s">
        <v>6</v>
      </c>
      <c r="C67" s="2" t="s">
        <v>805</v>
      </c>
      <c r="D67" s="2" t="s">
        <v>3223</v>
      </c>
      <c r="E67" s="2" t="s">
        <v>3224</v>
      </c>
      <c r="F67" s="6">
        <v>44445</v>
      </c>
      <c r="G67" s="4">
        <v>0</v>
      </c>
      <c r="H67" s="4">
        <v>95000</v>
      </c>
    </row>
    <row r="68" spans="1:8" x14ac:dyDescent="0.3">
      <c r="A68" s="2">
        <v>67</v>
      </c>
      <c r="B68" s="2" t="s">
        <v>11</v>
      </c>
      <c r="C68" s="2" t="s">
        <v>575</v>
      </c>
      <c r="D68" s="2" t="s">
        <v>3225</v>
      </c>
      <c r="E68" s="2" t="s">
        <v>3226</v>
      </c>
      <c r="F68" s="6">
        <v>44445</v>
      </c>
      <c r="G68" s="4">
        <v>3000</v>
      </c>
      <c r="H68" s="4">
        <v>64000</v>
      </c>
    </row>
    <row r="69" spans="1:8" x14ac:dyDescent="0.3">
      <c r="A69" s="2">
        <v>68</v>
      </c>
      <c r="B69" s="2" t="s">
        <v>30</v>
      </c>
      <c r="C69" s="2" t="s">
        <v>650</v>
      </c>
      <c r="D69" s="2" t="s">
        <v>3227</v>
      </c>
      <c r="E69" s="2" t="s">
        <v>3228</v>
      </c>
      <c r="F69" s="6">
        <v>44446</v>
      </c>
      <c r="G69" s="4">
        <v>3000</v>
      </c>
      <c r="H69" s="4">
        <v>55500</v>
      </c>
    </row>
    <row r="70" spans="1:8" x14ac:dyDescent="0.3">
      <c r="A70" s="2">
        <v>69</v>
      </c>
      <c r="B70" s="2" t="s">
        <v>6</v>
      </c>
      <c r="C70" s="2" t="s">
        <v>740</v>
      </c>
      <c r="D70" s="2" t="s">
        <v>3229</v>
      </c>
      <c r="E70" s="2" t="s">
        <v>3230</v>
      </c>
      <c r="F70" s="6">
        <v>44446</v>
      </c>
      <c r="G70" s="4">
        <v>0</v>
      </c>
      <c r="H70" s="4">
        <v>47000</v>
      </c>
    </row>
    <row r="71" spans="1:8" x14ac:dyDescent="0.3">
      <c r="A71" s="2">
        <v>70</v>
      </c>
      <c r="B71" s="2" t="s">
        <v>150</v>
      </c>
      <c r="C71" s="2" t="s">
        <v>590</v>
      </c>
      <c r="D71" s="2" t="s">
        <v>3231</v>
      </c>
      <c r="E71" s="2" t="s">
        <v>3232</v>
      </c>
      <c r="F71" s="6">
        <v>44446</v>
      </c>
      <c r="G71" s="4">
        <v>3000</v>
      </c>
      <c r="H71" s="4">
        <v>52000</v>
      </c>
    </row>
    <row r="72" spans="1:8" x14ac:dyDescent="0.3">
      <c r="A72" s="2">
        <v>71</v>
      </c>
      <c r="B72" s="2" t="s">
        <v>95</v>
      </c>
      <c r="C72" s="2" t="s">
        <v>240</v>
      </c>
      <c r="D72" s="2" t="s">
        <v>946</v>
      </c>
      <c r="E72" s="2">
        <v>3</v>
      </c>
      <c r="F72" s="6">
        <v>44446</v>
      </c>
      <c r="G72" s="4">
        <v>3000</v>
      </c>
      <c r="H72" s="4">
        <v>42000</v>
      </c>
    </row>
    <row r="73" spans="1:8" x14ac:dyDescent="0.3">
      <c r="A73" s="2">
        <v>72</v>
      </c>
      <c r="B73" s="2" t="s">
        <v>215</v>
      </c>
      <c r="C73" s="2" t="s">
        <v>510</v>
      </c>
      <c r="D73" s="2" t="s">
        <v>1013</v>
      </c>
      <c r="E73" s="2">
        <v>3</v>
      </c>
      <c r="F73" s="6">
        <v>44446</v>
      </c>
      <c r="G73" s="4">
        <v>3000</v>
      </c>
      <c r="H73" s="4">
        <v>18000</v>
      </c>
    </row>
    <row r="74" spans="1:8" x14ac:dyDescent="0.3">
      <c r="A74" s="2">
        <v>73</v>
      </c>
      <c r="B74" s="2" t="s">
        <v>70</v>
      </c>
      <c r="C74" s="2" t="s">
        <v>585</v>
      </c>
      <c r="D74" s="2" t="s">
        <v>3233</v>
      </c>
      <c r="E74" s="2" t="s">
        <v>3234</v>
      </c>
      <c r="F74" s="6">
        <v>44447</v>
      </c>
      <c r="G74" s="4">
        <v>3000</v>
      </c>
      <c r="H74" s="4">
        <v>30500</v>
      </c>
    </row>
    <row r="75" spans="1:8" x14ac:dyDescent="0.3">
      <c r="A75" s="2">
        <v>74</v>
      </c>
      <c r="B75" s="2" t="s">
        <v>195</v>
      </c>
      <c r="C75" s="2" t="s">
        <v>780</v>
      </c>
      <c r="D75" s="2" t="s">
        <v>3235</v>
      </c>
      <c r="E75" s="2" t="s">
        <v>3236</v>
      </c>
      <c r="F75" s="6">
        <v>44447</v>
      </c>
      <c r="G75" s="4">
        <v>3000</v>
      </c>
      <c r="H75" s="4">
        <v>39000</v>
      </c>
    </row>
    <row r="76" spans="1:8" x14ac:dyDescent="0.3">
      <c r="A76" s="2">
        <v>75</v>
      </c>
      <c r="B76" s="2" t="s">
        <v>175</v>
      </c>
      <c r="C76" s="2" t="s">
        <v>455</v>
      </c>
      <c r="D76" s="2" t="s">
        <v>3237</v>
      </c>
      <c r="E76" s="2" t="s">
        <v>3238</v>
      </c>
      <c r="F76" s="6">
        <v>44449</v>
      </c>
      <c r="G76" s="4">
        <v>3000</v>
      </c>
      <c r="H76" s="4">
        <v>14000</v>
      </c>
    </row>
    <row r="77" spans="1:8" x14ac:dyDescent="0.3">
      <c r="A77" s="2">
        <v>76</v>
      </c>
      <c r="B77" s="2" t="s">
        <v>45</v>
      </c>
      <c r="C77" s="2" t="s">
        <v>890</v>
      </c>
      <c r="D77" s="2" t="s">
        <v>3239</v>
      </c>
      <c r="E77" s="2" t="s">
        <v>3240</v>
      </c>
      <c r="F77" s="6">
        <v>44449</v>
      </c>
      <c r="G77" s="4">
        <v>0</v>
      </c>
      <c r="H77" s="4">
        <v>43000</v>
      </c>
    </row>
    <row r="78" spans="1:8" x14ac:dyDescent="0.3">
      <c r="A78" s="2">
        <v>77</v>
      </c>
      <c r="B78" s="2" t="s">
        <v>45</v>
      </c>
      <c r="C78" s="2" t="s">
        <v>660</v>
      </c>
      <c r="D78" s="2" t="s">
        <v>3241</v>
      </c>
      <c r="E78" s="2" t="s">
        <v>3169</v>
      </c>
      <c r="F78" s="6">
        <v>44449</v>
      </c>
      <c r="G78" s="4">
        <v>0</v>
      </c>
      <c r="H78" s="4">
        <v>58500</v>
      </c>
    </row>
    <row r="79" spans="1:8" x14ac:dyDescent="0.3">
      <c r="A79" s="2">
        <v>78</v>
      </c>
      <c r="B79" s="2" t="s">
        <v>110</v>
      </c>
      <c r="C79" s="2" t="s">
        <v>470</v>
      </c>
      <c r="D79" s="2" t="s">
        <v>3242</v>
      </c>
      <c r="E79" s="2" t="s">
        <v>3169</v>
      </c>
      <c r="F79" s="6">
        <v>44449</v>
      </c>
      <c r="G79" s="4">
        <v>3000</v>
      </c>
      <c r="H79" s="4">
        <v>33500</v>
      </c>
    </row>
    <row r="80" spans="1:8" x14ac:dyDescent="0.3">
      <c r="A80" s="2">
        <v>79</v>
      </c>
      <c r="B80" s="2" t="s">
        <v>180</v>
      </c>
      <c r="C80" s="2" t="s">
        <v>725</v>
      </c>
      <c r="D80" s="2" t="s">
        <v>3243</v>
      </c>
      <c r="E80" s="2" t="s">
        <v>3244</v>
      </c>
      <c r="F80" s="6">
        <v>44449</v>
      </c>
      <c r="G80" s="4">
        <v>3000</v>
      </c>
      <c r="H80" s="4">
        <v>28000</v>
      </c>
    </row>
    <row r="81" spans="1:8" x14ac:dyDescent="0.3">
      <c r="A81" s="2">
        <v>80</v>
      </c>
      <c r="B81" s="2" t="s">
        <v>50</v>
      </c>
      <c r="C81" s="2" t="s">
        <v>720</v>
      </c>
      <c r="D81" s="2" t="s">
        <v>3245</v>
      </c>
      <c r="E81" s="2" t="s">
        <v>3141</v>
      </c>
      <c r="F81" s="6">
        <v>44450</v>
      </c>
      <c r="G81" s="4">
        <v>3000</v>
      </c>
      <c r="H81" s="4">
        <v>67000</v>
      </c>
    </row>
    <row r="82" spans="1:8" x14ac:dyDescent="0.3">
      <c r="A82" s="2">
        <v>81</v>
      </c>
      <c r="B82" s="2" t="s">
        <v>15</v>
      </c>
      <c r="C82" s="2" t="s">
        <v>570</v>
      </c>
      <c r="D82" s="2" t="s">
        <v>3246</v>
      </c>
      <c r="E82" s="2" t="s">
        <v>3220</v>
      </c>
      <c r="F82" s="6">
        <v>44450</v>
      </c>
      <c r="G82" s="4">
        <v>0</v>
      </c>
      <c r="H82" s="4">
        <v>26500</v>
      </c>
    </row>
    <row r="83" spans="1:8" x14ac:dyDescent="0.3">
      <c r="A83" s="2">
        <v>82</v>
      </c>
      <c r="B83" s="2" t="s">
        <v>25</v>
      </c>
      <c r="C83" s="2" t="s">
        <v>545</v>
      </c>
      <c r="D83" s="2" t="s">
        <v>3247</v>
      </c>
      <c r="E83" s="2" t="s">
        <v>3248</v>
      </c>
      <c r="F83" s="6">
        <v>44450</v>
      </c>
      <c r="G83" s="4">
        <v>3000</v>
      </c>
      <c r="H83" s="4">
        <v>31000</v>
      </c>
    </row>
    <row r="84" spans="1:8" x14ac:dyDescent="0.3">
      <c r="A84" s="2">
        <v>83</v>
      </c>
      <c r="B84" s="2" t="s">
        <v>233</v>
      </c>
      <c r="C84" s="2" t="s">
        <v>550</v>
      </c>
      <c r="D84" s="2" t="s">
        <v>3249</v>
      </c>
      <c r="E84" s="2" t="s">
        <v>3230</v>
      </c>
      <c r="F84" s="6">
        <v>44451</v>
      </c>
      <c r="G84" s="4">
        <v>3000</v>
      </c>
      <c r="H84" s="4">
        <v>41500</v>
      </c>
    </row>
    <row r="85" spans="1:8" x14ac:dyDescent="0.3">
      <c r="A85" s="2">
        <v>84</v>
      </c>
      <c r="B85" s="2" t="s">
        <v>25</v>
      </c>
      <c r="C85" s="2" t="s">
        <v>825</v>
      </c>
      <c r="D85" s="2" t="s">
        <v>958</v>
      </c>
      <c r="E85" s="2">
        <v>1</v>
      </c>
      <c r="F85" s="6">
        <v>44451</v>
      </c>
      <c r="G85" s="4">
        <v>3000</v>
      </c>
      <c r="H85" s="4">
        <v>4500</v>
      </c>
    </row>
    <row r="86" spans="1:8" x14ac:dyDescent="0.3">
      <c r="A86" s="2">
        <v>85</v>
      </c>
      <c r="B86" s="2" t="s">
        <v>90</v>
      </c>
      <c r="C86" s="2" t="s">
        <v>515</v>
      </c>
      <c r="D86" s="2" t="s">
        <v>3250</v>
      </c>
      <c r="E86" s="2" t="s">
        <v>3251</v>
      </c>
      <c r="F86" s="6">
        <v>44451</v>
      </c>
      <c r="G86" s="4">
        <v>3000</v>
      </c>
      <c r="H86" s="4">
        <v>49000</v>
      </c>
    </row>
    <row r="87" spans="1:8" x14ac:dyDescent="0.3">
      <c r="A87" s="2">
        <v>86</v>
      </c>
      <c r="B87" s="2" t="s">
        <v>11</v>
      </c>
      <c r="C87" s="2" t="s">
        <v>540</v>
      </c>
      <c r="D87" s="2" t="s">
        <v>3252</v>
      </c>
      <c r="E87" s="2" t="s">
        <v>3253</v>
      </c>
      <c r="F87" s="6">
        <v>44452</v>
      </c>
      <c r="G87" s="4">
        <v>3000</v>
      </c>
      <c r="H87" s="4">
        <v>33500</v>
      </c>
    </row>
    <row r="88" spans="1:8" x14ac:dyDescent="0.3">
      <c r="A88" s="2">
        <v>87</v>
      </c>
      <c r="B88" s="2" t="s">
        <v>25</v>
      </c>
      <c r="C88" s="2" t="s">
        <v>240</v>
      </c>
      <c r="D88" s="2" t="s">
        <v>3254</v>
      </c>
      <c r="E88" s="2" t="s">
        <v>3255</v>
      </c>
      <c r="F88" s="6">
        <v>44446</v>
      </c>
      <c r="G88" s="4">
        <v>3000</v>
      </c>
      <c r="H88" s="4">
        <v>61000</v>
      </c>
    </row>
    <row r="89" spans="1:8" x14ac:dyDescent="0.3">
      <c r="A89" s="2">
        <v>88</v>
      </c>
      <c r="B89" s="2" t="s">
        <v>50</v>
      </c>
      <c r="C89" s="2" t="s">
        <v>405</v>
      </c>
      <c r="D89" s="2" t="s">
        <v>3256</v>
      </c>
      <c r="E89" s="2" t="s">
        <v>3257</v>
      </c>
      <c r="F89" s="6">
        <v>44452</v>
      </c>
      <c r="G89" s="4">
        <v>3000</v>
      </c>
      <c r="H89" s="4">
        <v>24000</v>
      </c>
    </row>
    <row r="90" spans="1:8" x14ac:dyDescent="0.3">
      <c r="A90" s="2">
        <v>89</v>
      </c>
      <c r="B90" s="2" t="s">
        <v>60</v>
      </c>
      <c r="C90" s="2" t="s">
        <v>310</v>
      </c>
      <c r="D90" s="2" t="s">
        <v>3258</v>
      </c>
      <c r="E90" s="2" t="s">
        <v>3259</v>
      </c>
      <c r="F90" s="6">
        <v>44454</v>
      </c>
      <c r="G90" s="4">
        <v>3000</v>
      </c>
      <c r="H90" s="4">
        <v>74500</v>
      </c>
    </row>
    <row r="91" spans="1:8" x14ac:dyDescent="0.3">
      <c r="A91" s="2">
        <v>90</v>
      </c>
      <c r="B91" s="2" t="s">
        <v>20</v>
      </c>
      <c r="C91" s="2" t="s">
        <v>335</v>
      </c>
      <c r="D91" s="2" t="s">
        <v>3260</v>
      </c>
      <c r="E91" s="2" t="s">
        <v>3261</v>
      </c>
      <c r="F91" s="6">
        <v>44454</v>
      </c>
      <c r="G91" s="4">
        <v>3000</v>
      </c>
      <c r="H91" s="4">
        <v>29000</v>
      </c>
    </row>
    <row r="92" spans="1:8" x14ac:dyDescent="0.3">
      <c r="A92" s="2">
        <v>91</v>
      </c>
      <c r="B92" s="2" t="s">
        <v>6</v>
      </c>
      <c r="C92" s="2" t="s">
        <v>365</v>
      </c>
      <c r="D92" s="2" t="s">
        <v>1001</v>
      </c>
      <c r="E92" s="2">
        <v>2</v>
      </c>
      <c r="F92" s="6">
        <v>44455</v>
      </c>
      <c r="G92" s="4">
        <v>0</v>
      </c>
      <c r="H92" s="4">
        <v>9000</v>
      </c>
    </row>
    <row r="93" spans="1:8" x14ac:dyDescent="0.3">
      <c r="A93" s="2">
        <v>92</v>
      </c>
      <c r="B93" s="2" t="s">
        <v>230</v>
      </c>
      <c r="C93" s="2" t="s">
        <v>400</v>
      </c>
      <c r="D93" s="2" t="s">
        <v>3262</v>
      </c>
      <c r="E93" s="2" t="s">
        <v>3137</v>
      </c>
      <c r="F93" s="6">
        <v>44455</v>
      </c>
      <c r="G93" s="4">
        <v>3000</v>
      </c>
      <c r="H93" s="4">
        <v>44500</v>
      </c>
    </row>
    <row r="94" spans="1:8" x14ac:dyDescent="0.3">
      <c r="A94" s="2">
        <v>93</v>
      </c>
      <c r="B94" s="2" t="s">
        <v>165</v>
      </c>
      <c r="C94" s="2" t="s">
        <v>280</v>
      </c>
      <c r="D94" s="2" t="s">
        <v>3263</v>
      </c>
      <c r="E94" s="2" t="s">
        <v>3264</v>
      </c>
      <c r="F94" s="6">
        <v>44456</v>
      </c>
      <c r="G94" s="4">
        <v>3000</v>
      </c>
      <c r="H94" s="4">
        <v>98000</v>
      </c>
    </row>
    <row r="95" spans="1:8" x14ac:dyDescent="0.3">
      <c r="A95" s="2">
        <v>94</v>
      </c>
      <c r="B95" s="2" t="s">
        <v>30</v>
      </c>
      <c r="C95" s="2" t="s">
        <v>645</v>
      </c>
      <c r="D95" s="2" t="s">
        <v>3265</v>
      </c>
      <c r="E95" s="2" t="s">
        <v>3266</v>
      </c>
      <c r="F95" s="6">
        <v>44456</v>
      </c>
      <c r="G95" s="4">
        <v>3000</v>
      </c>
      <c r="H95" s="4">
        <v>60500</v>
      </c>
    </row>
    <row r="96" spans="1:8" x14ac:dyDescent="0.3">
      <c r="A96" s="2">
        <v>95</v>
      </c>
      <c r="B96" s="2" t="s">
        <v>15</v>
      </c>
      <c r="C96" s="2" t="s">
        <v>650</v>
      </c>
      <c r="D96" s="2" t="s">
        <v>3267</v>
      </c>
      <c r="E96" s="2" t="s">
        <v>3131</v>
      </c>
      <c r="F96" s="6">
        <v>44456</v>
      </c>
      <c r="G96" s="4">
        <v>0</v>
      </c>
      <c r="H96" s="4">
        <v>72000</v>
      </c>
    </row>
    <row r="97" spans="1:8" x14ac:dyDescent="0.3">
      <c r="A97" s="2">
        <v>96</v>
      </c>
      <c r="B97" s="2" t="s">
        <v>95</v>
      </c>
      <c r="C97" s="2" t="s">
        <v>715</v>
      </c>
      <c r="D97" s="2" t="s">
        <v>3268</v>
      </c>
      <c r="E97" s="2" t="s">
        <v>1388</v>
      </c>
      <c r="F97" s="6">
        <v>44456</v>
      </c>
      <c r="G97" s="4">
        <v>3000</v>
      </c>
      <c r="H97" s="4">
        <v>22000</v>
      </c>
    </row>
    <row r="98" spans="1:8" x14ac:dyDescent="0.3">
      <c r="A98" s="2">
        <v>97</v>
      </c>
      <c r="B98" s="2" t="s">
        <v>200</v>
      </c>
      <c r="C98" s="2" t="s">
        <v>305</v>
      </c>
      <c r="D98" s="2" t="s">
        <v>3269</v>
      </c>
      <c r="E98" s="2" t="s">
        <v>3270</v>
      </c>
      <c r="F98" s="6">
        <v>44457</v>
      </c>
      <c r="G98" s="4">
        <v>3000</v>
      </c>
      <c r="H98" s="4">
        <v>16500</v>
      </c>
    </row>
    <row r="99" spans="1:8" x14ac:dyDescent="0.3">
      <c r="A99" s="2">
        <v>98</v>
      </c>
      <c r="B99" s="2" t="s">
        <v>120</v>
      </c>
      <c r="C99" s="2" t="s">
        <v>470</v>
      </c>
      <c r="D99" s="2" t="s">
        <v>3271</v>
      </c>
      <c r="E99" s="2" t="s">
        <v>3272</v>
      </c>
      <c r="F99" s="6">
        <v>44458</v>
      </c>
      <c r="G99" s="4">
        <v>3000</v>
      </c>
      <c r="H99" s="4">
        <v>72500</v>
      </c>
    </row>
    <row r="100" spans="1:8" x14ac:dyDescent="0.3">
      <c r="A100" s="2">
        <v>99</v>
      </c>
      <c r="B100" s="2" t="s">
        <v>110</v>
      </c>
      <c r="C100" s="2" t="s">
        <v>540</v>
      </c>
      <c r="D100" s="2" t="s">
        <v>3273</v>
      </c>
      <c r="E100" s="2" t="s">
        <v>3274</v>
      </c>
      <c r="F100" s="6">
        <v>44458</v>
      </c>
      <c r="G100" s="4">
        <v>3000</v>
      </c>
      <c r="H100" s="4">
        <v>68500</v>
      </c>
    </row>
    <row r="101" spans="1:8" x14ac:dyDescent="0.3">
      <c r="A101" s="2">
        <v>100</v>
      </c>
      <c r="B101" s="2" t="s">
        <v>200</v>
      </c>
      <c r="C101" s="2" t="s">
        <v>485</v>
      </c>
      <c r="D101" s="2" t="s">
        <v>3275</v>
      </c>
      <c r="E101" s="2" t="s">
        <v>3276</v>
      </c>
      <c r="F101" s="6">
        <v>44459</v>
      </c>
      <c r="G101" s="4">
        <v>3000</v>
      </c>
      <c r="H101" s="4">
        <v>49000</v>
      </c>
    </row>
    <row r="102" spans="1:8" x14ac:dyDescent="0.3">
      <c r="A102" s="2">
        <v>101</v>
      </c>
      <c r="B102" s="2" t="s">
        <v>40</v>
      </c>
      <c r="C102" s="2" t="s">
        <v>735</v>
      </c>
      <c r="D102" s="2" t="s">
        <v>3277</v>
      </c>
      <c r="E102" s="2" t="s">
        <v>3253</v>
      </c>
      <c r="F102" s="6">
        <v>44459</v>
      </c>
      <c r="G102" s="4">
        <v>3000</v>
      </c>
      <c r="H102" s="4">
        <v>16200</v>
      </c>
    </row>
    <row r="103" spans="1:8" x14ac:dyDescent="0.3">
      <c r="A103" s="2">
        <v>102</v>
      </c>
      <c r="B103" s="2" t="s">
        <v>30</v>
      </c>
      <c r="C103" s="2" t="s">
        <v>620</v>
      </c>
      <c r="D103" s="2" t="s">
        <v>946</v>
      </c>
      <c r="E103" s="2">
        <v>1</v>
      </c>
      <c r="F103" s="6">
        <v>44459</v>
      </c>
      <c r="G103" s="4">
        <v>3000</v>
      </c>
      <c r="H103" s="4">
        <v>15000</v>
      </c>
    </row>
    <row r="104" spans="1:8" x14ac:dyDescent="0.3">
      <c r="A104" s="2">
        <v>103</v>
      </c>
      <c r="B104" s="2" t="s">
        <v>15</v>
      </c>
      <c r="C104" s="2" t="s">
        <v>880</v>
      </c>
      <c r="D104" s="2" t="s">
        <v>3278</v>
      </c>
      <c r="E104" s="2" t="s">
        <v>3279</v>
      </c>
      <c r="F104" s="6">
        <v>44413</v>
      </c>
      <c r="G104" s="4">
        <v>0</v>
      </c>
      <c r="H104" s="4">
        <v>62500</v>
      </c>
    </row>
    <row r="105" spans="1:8" x14ac:dyDescent="0.3">
      <c r="A105" s="2">
        <v>104</v>
      </c>
      <c r="B105" s="2" t="s">
        <v>6</v>
      </c>
      <c r="C105" s="2" t="s">
        <v>905</v>
      </c>
      <c r="D105" s="2" t="s">
        <v>3280</v>
      </c>
      <c r="E105" s="2" t="s">
        <v>3281</v>
      </c>
      <c r="F105" s="6">
        <v>44460</v>
      </c>
      <c r="G105" s="4">
        <v>0</v>
      </c>
      <c r="H105" s="4">
        <v>70000</v>
      </c>
    </row>
    <row r="106" spans="1:8" x14ac:dyDescent="0.3">
      <c r="A106" s="2">
        <v>105</v>
      </c>
      <c r="B106" s="2" t="s">
        <v>236</v>
      </c>
      <c r="C106" s="2" t="s">
        <v>655</v>
      </c>
      <c r="D106" s="2" t="s">
        <v>3282</v>
      </c>
      <c r="E106" s="2" t="s">
        <v>3283</v>
      </c>
      <c r="F106" s="6">
        <v>44460</v>
      </c>
      <c r="G106" s="4">
        <v>3000</v>
      </c>
      <c r="H106" s="4">
        <v>47000</v>
      </c>
    </row>
    <row r="107" spans="1:8" x14ac:dyDescent="0.3">
      <c r="A107" s="2">
        <v>106</v>
      </c>
      <c r="B107" s="2" t="s">
        <v>225</v>
      </c>
      <c r="C107" s="2" t="s">
        <v>480</v>
      </c>
      <c r="D107" s="2" t="s">
        <v>3284</v>
      </c>
      <c r="E107" s="2" t="s">
        <v>3259</v>
      </c>
      <c r="F107" s="6">
        <v>44460</v>
      </c>
      <c r="G107" s="4">
        <v>3000</v>
      </c>
      <c r="H107" s="4">
        <v>47500</v>
      </c>
    </row>
    <row r="108" spans="1:8" x14ac:dyDescent="0.3">
      <c r="A108" s="2">
        <v>107</v>
      </c>
      <c r="B108" s="2" t="s">
        <v>25</v>
      </c>
      <c r="C108" s="2" t="s">
        <v>240</v>
      </c>
      <c r="D108" s="2" t="s">
        <v>3285</v>
      </c>
      <c r="E108" s="2" t="s">
        <v>3171</v>
      </c>
      <c r="F108" s="6">
        <v>44409</v>
      </c>
      <c r="G108" s="4">
        <v>3000</v>
      </c>
      <c r="H108" s="4">
        <v>47000</v>
      </c>
    </row>
    <row r="109" spans="1:8" x14ac:dyDescent="0.3">
      <c r="A109" s="2">
        <v>108</v>
      </c>
      <c r="B109" s="2" t="s">
        <v>45</v>
      </c>
      <c r="C109" s="2" t="s">
        <v>500</v>
      </c>
      <c r="D109" s="2" t="s">
        <v>3286</v>
      </c>
      <c r="E109" s="2" t="s">
        <v>3287</v>
      </c>
      <c r="F109" s="6">
        <v>44461</v>
      </c>
      <c r="G109" s="4">
        <v>0</v>
      </c>
      <c r="H109" s="4">
        <v>63000</v>
      </c>
    </row>
    <row r="110" spans="1:8" x14ac:dyDescent="0.3">
      <c r="A110" s="2">
        <v>109</v>
      </c>
      <c r="B110" s="2" t="s">
        <v>6</v>
      </c>
      <c r="C110" s="2" t="s">
        <v>650</v>
      </c>
      <c r="D110" s="2" t="s">
        <v>3288</v>
      </c>
      <c r="E110" s="2" t="s">
        <v>3289</v>
      </c>
      <c r="F110" s="6">
        <v>44461</v>
      </c>
      <c r="G110" s="4">
        <v>0</v>
      </c>
      <c r="H110" s="4">
        <v>71000</v>
      </c>
    </row>
    <row r="111" spans="1:8" x14ac:dyDescent="0.3">
      <c r="A111" s="2">
        <v>110</v>
      </c>
      <c r="B111" s="2" t="s">
        <v>6</v>
      </c>
      <c r="C111" s="2" t="s">
        <v>440</v>
      </c>
      <c r="D111" s="2" t="s">
        <v>1096</v>
      </c>
      <c r="E111" s="2">
        <v>3</v>
      </c>
      <c r="F111" s="6">
        <v>44412</v>
      </c>
      <c r="G111" s="4">
        <v>0</v>
      </c>
      <c r="H111" s="4">
        <v>7500</v>
      </c>
    </row>
    <row r="112" spans="1:8" x14ac:dyDescent="0.3">
      <c r="A112" s="2">
        <v>111</v>
      </c>
      <c r="B112" s="2" t="s">
        <v>175</v>
      </c>
      <c r="C112" s="2" t="s">
        <v>405</v>
      </c>
      <c r="D112" s="2" t="s">
        <v>3290</v>
      </c>
      <c r="E112" s="2" t="s">
        <v>3291</v>
      </c>
      <c r="F112" s="6">
        <v>44441</v>
      </c>
      <c r="G112" s="4">
        <v>3000</v>
      </c>
      <c r="H112" s="4">
        <v>16500</v>
      </c>
    </row>
    <row r="113" spans="1:8" x14ac:dyDescent="0.3">
      <c r="A113" s="2">
        <v>112</v>
      </c>
      <c r="B113" s="2" t="s">
        <v>45</v>
      </c>
      <c r="C113" s="2" t="s">
        <v>410</v>
      </c>
      <c r="D113" s="2" t="s">
        <v>3292</v>
      </c>
      <c r="E113" s="2" t="s">
        <v>3293</v>
      </c>
      <c r="F113" s="6">
        <v>44463</v>
      </c>
      <c r="G113" s="4">
        <v>0</v>
      </c>
      <c r="H113" s="4">
        <v>11500</v>
      </c>
    </row>
    <row r="114" spans="1:8" x14ac:dyDescent="0.3">
      <c r="A114" s="2">
        <v>113</v>
      </c>
      <c r="B114" s="2" t="s">
        <v>35</v>
      </c>
      <c r="C114" s="2" t="s">
        <v>615</v>
      </c>
      <c r="D114" s="2" t="s">
        <v>3294</v>
      </c>
      <c r="E114" s="2" t="s">
        <v>3295</v>
      </c>
      <c r="F114" s="6">
        <v>44463</v>
      </c>
      <c r="G114" s="4">
        <v>3000</v>
      </c>
      <c r="H114" s="4">
        <v>22500</v>
      </c>
    </row>
    <row r="115" spans="1:8" x14ac:dyDescent="0.3">
      <c r="A115" s="2">
        <v>114</v>
      </c>
      <c r="B115" s="2" t="s">
        <v>45</v>
      </c>
      <c r="C115" s="2" t="s">
        <v>660</v>
      </c>
      <c r="D115" s="2" t="s">
        <v>3296</v>
      </c>
      <c r="E115" s="2" t="s">
        <v>3297</v>
      </c>
      <c r="F115" s="6">
        <v>44464</v>
      </c>
      <c r="G115" s="4">
        <v>0</v>
      </c>
      <c r="H115" s="4">
        <v>108000</v>
      </c>
    </row>
    <row r="116" spans="1:8" x14ac:dyDescent="0.3">
      <c r="A116" s="2">
        <v>115</v>
      </c>
      <c r="B116" s="2" t="s">
        <v>110</v>
      </c>
      <c r="C116" s="2" t="s">
        <v>710</v>
      </c>
      <c r="D116" s="2" t="s">
        <v>3298</v>
      </c>
      <c r="E116" s="2" t="s">
        <v>3169</v>
      </c>
      <c r="F116" s="6">
        <v>44464</v>
      </c>
      <c r="G116" s="4">
        <v>3000</v>
      </c>
      <c r="H116" s="4">
        <v>25500</v>
      </c>
    </row>
    <row r="117" spans="1:8" x14ac:dyDescent="0.3">
      <c r="A117" s="2">
        <v>116</v>
      </c>
      <c r="B117" s="2" t="s">
        <v>120</v>
      </c>
      <c r="C117" s="2" t="s">
        <v>520</v>
      </c>
      <c r="D117" s="2" t="s">
        <v>3299</v>
      </c>
      <c r="E117" s="2" t="s">
        <v>3300</v>
      </c>
      <c r="F117" s="6">
        <v>44464</v>
      </c>
      <c r="G117" s="4">
        <v>3000</v>
      </c>
      <c r="H117" s="4">
        <v>72500</v>
      </c>
    </row>
    <row r="118" spans="1:8" x14ac:dyDescent="0.3">
      <c r="A118" s="2">
        <v>117</v>
      </c>
      <c r="B118" s="2" t="s">
        <v>11</v>
      </c>
      <c r="C118" s="2" t="s">
        <v>440</v>
      </c>
      <c r="D118" s="2" t="s">
        <v>3301</v>
      </c>
      <c r="E118" s="2" t="s">
        <v>3213</v>
      </c>
      <c r="F118" s="6">
        <v>44464</v>
      </c>
      <c r="G118" s="4">
        <v>3000</v>
      </c>
      <c r="H118" s="4">
        <v>36200</v>
      </c>
    </row>
    <row r="119" spans="1:8" x14ac:dyDescent="0.3">
      <c r="A119" s="2">
        <v>118</v>
      </c>
      <c r="B119" s="2" t="s">
        <v>150</v>
      </c>
      <c r="C119" s="2" t="s">
        <v>275</v>
      </c>
      <c r="D119" s="2" t="s">
        <v>3302</v>
      </c>
      <c r="E119" s="2" t="s">
        <v>3303</v>
      </c>
      <c r="F119" s="6">
        <v>44465</v>
      </c>
      <c r="G119" s="4">
        <v>3000</v>
      </c>
      <c r="H119" s="4">
        <v>42000</v>
      </c>
    </row>
    <row r="120" spans="1:8" x14ac:dyDescent="0.3">
      <c r="A120" s="2">
        <v>119</v>
      </c>
      <c r="B120" s="2" t="s">
        <v>195</v>
      </c>
      <c r="C120" s="2" t="s">
        <v>470</v>
      </c>
      <c r="D120" s="2" t="s">
        <v>3304</v>
      </c>
      <c r="E120" s="2" t="s">
        <v>3305</v>
      </c>
      <c r="F120" s="6">
        <v>44465</v>
      </c>
      <c r="G120" s="4">
        <v>3000</v>
      </c>
      <c r="H120" s="4">
        <v>44500</v>
      </c>
    </row>
    <row r="121" spans="1:8" x14ac:dyDescent="0.3">
      <c r="A121" s="2">
        <v>120</v>
      </c>
      <c r="B121" s="2" t="s">
        <v>6</v>
      </c>
      <c r="C121" s="2" t="s">
        <v>780</v>
      </c>
      <c r="D121" s="2" t="s">
        <v>1032</v>
      </c>
      <c r="E121" s="2">
        <v>2</v>
      </c>
      <c r="F121" s="6">
        <v>44465</v>
      </c>
      <c r="G121" s="4">
        <v>0</v>
      </c>
      <c r="H121" s="4">
        <v>10000</v>
      </c>
    </row>
    <row r="122" spans="1:8" x14ac:dyDescent="0.3">
      <c r="A122" s="2">
        <v>121</v>
      </c>
      <c r="B122" s="2" t="s">
        <v>45</v>
      </c>
      <c r="C122" s="2" t="s">
        <v>635</v>
      </c>
      <c r="D122" s="2" t="s">
        <v>3306</v>
      </c>
      <c r="E122" s="2" t="s">
        <v>3149</v>
      </c>
      <c r="F122" s="6">
        <v>44466</v>
      </c>
      <c r="G122" s="4">
        <v>0</v>
      </c>
      <c r="H122" s="4">
        <v>14500</v>
      </c>
    </row>
    <row r="123" spans="1:8" x14ac:dyDescent="0.3">
      <c r="A123" s="2">
        <v>122</v>
      </c>
      <c r="B123" s="2" t="s">
        <v>180</v>
      </c>
      <c r="C123" s="2" t="s">
        <v>460</v>
      </c>
      <c r="D123" s="2" t="s">
        <v>3307</v>
      </c>
      <c r="E123" s="2" t="s">
        <v>3308</v>
      </c>
      <c r="F123" s="6">
        <v>44467</v>
      </c>
      <c r="G123" s="4">
        <v>3000</v>
      </c>
      <c r="H123" s="4">
        <v>58500</v>
      </c>
    </row>
    <row r="124" spans="1:8" x14ac:dyDescent="0.3">
      <c r="A124" s="2">
        <v>123</v>
      </c>
      <c r="B124" s="2" t="s">
        <v>11</v>
      </c>
      <c r="C124" s="2" t="s">
        <v>415</v>
      </c>
      <c r="D124" s="2" t="s">
        <v>3309</v>
      </c>
      <c r="E124" s="2" t="s">
        <v>3295</v>
      </c>
      <c r="F124" s="6">
        <v>44467</v>
      </c>
      <c r="G124" s="4">
        <v>3000</v>
      </c>
      <c r="H124" s="4">
        <v>19000</v>
      </c>
    </row>
    <row r="125" spans="1:8" x14ac:dyDescent="0.3">
      <c r="A125" s="2">
        <v>124</v>
      </c>
      <c r="B125" s="2" t="s">
        <v>6</v>
      </c>
      <c r="C125" s="2" t="s">
        <v>365</v>
      </c>
      <c r="D125" s="2" t="s">
        <v>3310</v>
      </c>
      <c r="E125" s="2" t="s">
        <v>3311</v>
      </c>
      <c r="F125" s="6">
        <v>44468</v>
      </c>
      <c r="G125" s="4">
        <v>0</v>
      </c>
      <c r="H125" s="4">
        <v>76000</v>
      </c>
    </row>
    <row r="126" spans="1:8" x14ac:dyDescent="0.3">
      <c r="A126" s="2">
        <v>125</v>
      </c>
      <c r="B126" s="2" t="s">
        <v>100</v>
      </c>
      <c r="C126" s="2" t="s">
        <v>365</v>
      </c>
      <c r="D126" s="2" t="s">
        <v>1013</v>
      </c>
      <c r="E126" s="2">
        <v>3</v>
      </c>
      <c r="F126" s="6">
        <v>44468</v>
      </c>
      <c r="G126" s="4">
        <v>3000</v>
      </c>
      <c r="H126" s="4">
        <v>18000</v>
      </c>
    </row>
    <row r="127" spans="1:8" x14ac:dyDescent="0.3">
      <c r="A127" s="2">
        <v>126</v>
      </c>
      <c r="B127" s="2" t="s">
        <v>95</v>
      </c>
      <c r="C127" s="2" t="s">
        <v>295</v>
      </c>
      <c r="D127" s="2" t="s">
        <v>964</v>
      </c>
      <c r="E127" s="2">
        <v>3</v>
      </c>
      <c r="F127" s="6">
        <v>44469</v>
      </c>
      <c r="G127" s="4">
        <v>3000</v>
      </c>
      <c r="H127" s="4">
        <v>4500</v>
      </c>
    </row>
    <row r="128" spans="1:8" x14ac:dyDescent="0.3">
      <c r="A128" s="2">
        <v>127</v>
      </c>
      <c r="B128" s="2" t="s">
        <v>215</v>
      </c>
      <c r="C128" s="2" t="s">
        <v>675</v>
      </c>
      <c r="D128" s="2" t="s">
        <v>3312</v>
      </c>
      <c r="E128" s="2" t="s">
        <v>3313</v>
      </c>
      <c r="F128" s="6">
        <v>44469</v>
      </c>
      <c r="G128" s="4">
        <v>3000</v>
      </c>
      <c r="H128" s="4">
        <v>81500</v>
      </c>
    </row>
    <row r="129" spans="1:8" x14ac:dyDescent="0.3">
      <c r="A129" s="2">
        <v>128</v>
      </c>
      <c r="B129" s="2" t="s">
        <v>25</v>
      </c>
      <c r="C129" s="2" t="s">
        <v>580</v>
      </c>
      <c r="D129" s="2" t="s">
        <v>966</v>
      </c>
      <c r="E129" s="2">
        <v>3</v>
      </c>
      <c r="F129" s="6">
        <v>44470</v>
      </c>
      <c r="G129" s="4">
        <v>3000</v>
      </c>
      <c r="H129" s="4">
        <v>4500</v>
      </c>
    </row>
    <row r="130" spans="1:8" x14ac:dyDescent="0.3">
      <c r="A130" s="2">
        <v>129</v>
      </c>
      <c r="B130" s="2" t="s">
        <v>225</v>
      </c>
      <c r="C130" s="2" t="s">
        <v>625</v>
      </c>
      <c r="D130" s="2" t="s">
        <v>3314</v>
      </c>
      <c r="E130" s="2" t="s">
        <v>3315</v>
      </c>
      <c r="F130" s="6">
        <v>44470</v>
      </c>
      <c r="G130" s="4">
        <v>3000</v>
      </c>
      <c r="H130" s="4">
        <v>18000</v>
      </c>
    </row>
    <row r="131" spans="1:8" x14ac:dyDescent="0.3">
      <c r="A131" s="2">
        <v>130</v>
      </c>
      <c r="B131" s="2" t="s">
        <v>120</v>
      </c>
      <c r="C131" s="2" t="s">
        <v>600</v>
      </c>
      <c r="D131" s="2" t="s">
        <v>3316</v>
      </c>
      <c r="E131" s="2" t="s">
        <v>3283</v>
      </c>
      <c r="F131" s="6">
        <v>44470</v>
      </c>
      <c r="G131" s="4">
        <v>3000</v>
      </c>
      <c r="H131" s="4">
        <v>78500</v>
      </c>
    </row>
    <row r="132" spans="1:8" x14ac:dyDescent="0.3">
      <c r="A132" s="2">
        <v>131</v>
      </c>
      <c r="B132" s="2" t="s">
        <v>180</v>
      </c>
      <c r="C132" s="2" t="s">
        <v>890</v>
      </c>
      <c r="D132" s="2" t="s">
        <v>3317</v>
      </c>
      <c r="E132" s="2" t="s">
        <v>3209</v>
      </c>
      <c r="F132" s="6">
        <v>44470</v>
      </c>
      <c r="G132" s="4">
        <v>3000</v>
      </c>
      <c r="H132" s="4">
        <v>27000</v>
      </c>
    </row>
    <row r="133" spans="1:8" x14ac:dyDescent="0.3">
      <c r="A133" s="2">
        <v>132</v>
      </c>
      <c r="B133" s="2" t="s">
        <v>15</v>
      </c>
      <c r="C133" s="2" t="s">
        <v>445</v>
      </c>
      <c r="D133" s="2" t="s">
        <v>3318</v>
      </c>
      <c r="E133" s="2" t="s">
        <v>3319</v>
      </c>
      <c r="F133" s="6">
        <v>44471</v>
      </c>
      <c r="G133" s="4">
        <v>0</v>
      </c>
      <c r="H133" s="4">
        <v>37000</v>
      </c>
    </row>
    <row r="134" spans="1:8" x14ac:dyDescent="0.3">
      <c r="A134" s="2">
        <v>133</v>
      </c>
      <c r="B134" s="2" t="s">
        <v>205</v>
      </c>
      <c r="C134" s="2" t="s">
        <v>600</v>
      </c>
      <c r="D134" s="2" t="s">
        <v>3320</v>
      </c>
      <c r="E134" s="2" t="s">
        <v>3192</v>
      </c>
      <c r="F134" s="6">
        <v>44441</v>
      </c>
      <c r="G134" s="4">
        <v>3000</v>
      </c>
      <c r="H134" s="4">
        <v>28000</v>
      </c>
    </row>
    <row r="135" spans="1:8" x14ac:dyDescent="0.3">
      <c r="A135" s="2">
        <v>134</v>
      </c>
      <c r="B135" s="2" t="s">
        <v>175</v>
      </c>
      <c r="C135" s="2" t="s">
        <v>680</v>
      </c>
      <c r="D135" s="2" t="s">
        <v>1110</v>
      </c>
      <c r="E135" s="2">
        <v>2</v>
      </c>
      <c r="F135" s="6">
        <v>44472</v>
      </c>
      <c r="G135" s="4">
        <v>3000</v>
      </c>
      <c r="H135" s="4">
        <v>4000</v>
      </c>
    </row>
    <row r="136" spans="1:8" x14ac:dyDescent="0.3">
      <c r="A136" s="2">
        <v>135</v>
      </c>
      <c r="B136" s="2" t="s">
        <v>185</v>
      </c>
      <c r="C136" s="2" t="s">
        <v>865</v>
      </c>
      <c r="D136" s="2" t="s">
        <v>3321</v>
      </c>
      <c r="E136" s="2" t="s">
        <v>3141</v>
      </c>
      <c r="F136" s="6">
        <v>44472</v>
      </c>
      <c r="G136" s="4">
        <v>3000</v>
      </c>
      <c r="H136" s="4">
        <v>20000</v>
      </c>
    </row>
    <row r="137" spans="1:8" x14ac:dyDescent="0.3">
      <c r="A137" s="2">
        <v>136</v>
      </c>
      <c r="B137" s="2" t="s">
        <v>175</v>
      </c>
      <c r="C137" s="2" t="s">
        <v>590</v>
      </c>
      <c r="D137" s="2" t="s">
        <v>3322</v>
      </c>
      <c r="E137" s="2" t="s">
        <v>3323</v>
      </c>
      <c r="F137" s="6">
        <v>44472</v>
      </c>
      <c r="G137" s="4">
        <v>3000</v>
      </c>
      <c r="H137" s="4">
        <v>38000</v>
      </c>
    </row>
    <row r="138" spans="1:8" x14ac:dyDescent="0.3">
      <c r="A138" s="2">
        <v>137</v>
      </c>
      <c r="B138" s="2" t="s">
        <v>80</v>
      </c>
      <c r="C138" s="2" t="s">
        <v>560</v>
      </c>
      <c r="D138" s="2" t="s">
        <v>3324</v>
      </c>
      <c r="E138" s="2" t="s">
        <v>3308</v>
      </c>
      <c r="F138" s="6">
        <v>44420</v>
      </c>
      <c r="G138" s="4">
        <v>3000</v>
      </c>
      <c r="H138" s="4">
        <v>34500</v>
      </c>
    </row>
    <row r="139" spans="1:8" x14ac:dyDescent="0.3">
      <c r="A139" s="2">
        <v>138</v>
      </c>
      <c r="B139" s="2" t="s">
        <v>110</v>
      </c>
      <c r="C139" s="2" t="s">
        <v>755</v>
      </c>
      <c r="D139" s="2" t="s">
        <v>3325</v>
      </c>
      <c r="E139" s="2" t="s">
        <v>3326</v>
      </c>
      <c r="F139" s="6">
        <v>44473</v>
      </c>
      <c r="G139" s="4">
        <v>3000</v>
      </c>
      <c r="H139" s="4">
        <v>19000</v>
      </c>
    </row>
    <row r="140" spans="1:8" x14ac:dyDescent="0.3">
      <c r="A140" s="2">
        <v>139</v>
      </c>
      <c r="B140" s="2" t="s">
        <v>145</v>
      </c>
      <c r="C140" s="2" t="s">
        <v>325</v>
      </c>
      <c r="D140" s="2" t="s">
        <v>3327</v>
      </c>
      <c r="E140" s="2" t="s">
        <v>3328</v>
      </c>
      <c r="F140" s="6">
        <v>44474</v>
      </c>
      <c r="G140" s="4">
        <v>3000</v>
      </c>
      <c r="H140" s="4">
        <v>46000</v>
      </c>
    </row>
    <row r="141" spans="1:8" x14ac:dyDescent="0.3">
      <c r="A141" s="2">
        <v>140</v>
      </c>
      <c r="B141" s="2" t="s">
        <v>225</v>
      </c>
      <c r="C141" s="2" t="s">
        <v>690</v>
      </c>
      <c r="D141" s="2" t="s">
        <v>3329</v>
      </c>
      <c r="E141" s="2" t="s">
        <v>3330</v>
      </c>
      <c r="F141" s="6">
        <v>44413</v>
      </c>
      <c r="G141" s="4">
        <v>3000</v>
      </c>
      <c r="H141" s="4">
        <v>54000</v>
      </c>
    </row>
    <row r="142" spans="1:8" x14ac:dyDescent="0.3">
      <c r="A142" s="2">
        <v>141</v>
      </c>
      <c r="B142" s="2" t="s">
        <v>60</v>
      </c>
      <c r="C142" s="2" t="s">
        <v>550</v>
      </c>
      <c r="D142" s="2" t="s">
        <v>3331</v>
      </c>
      <c r="E142" s="2" t="s">
        <v>3332</v>
      </c>
      <c r="F142" s="6">
        <v>44475</v>
      </c>
      <c r="G142" s="4">
        <v>3000</v>
      </c>
      <c r="H142" s="4">
        <v>49000</v>
      </c>
    </row>
    <row r="143" spans="1:8" x14ac:dyDescent="0.3">
      <c r="A143" s="2">
        <v>142</v>
      </c>
      <c r="B143" s="2" t="s">
        <v>135</v>
      </c>
      <c r="C143" s="2" t="s">
        <v>715</v>
      </c>
      <c r="D143" s="2" t="s">
        <v>3333</v>
      </c>
      <c r="E143" s="2" t="s">
        <v>3137</v>
      </c>
      <c r="F143" s="6">
        <v>44475</v>
      </c>
      <c r="G143" s="4">
        <v>3000</v>
      </c>
      <c r="H143" s="4">
        <v>46000</v>
      </c>
    </row>
    <row r="144" spans="1:8" x14ac:dyDescent="0.3">
      <c r="A144" s="2">
        <v>143</v>
      </c>
      <c r="B144" s="2" t="s">
        <v>35</v>
      </c>
      <c r="C144" s="2" t="s">
        <v>240</v>
      </c>
      <c r="D144" s="2" t="s">
        <v>3334</v>
      </c>
      <c r="E144" s="2" t="s">
        <v>3335</v>
      </c>
      <c r="F144" s="6">
        <v>44461</v>
      </c>
      <c r="G144" s="4">
        <v>3000</v>
      </c>
      <c r="H144" s="4">
        <v>40500</v>
      </c>
    </row>
    <row r="145" spans="1:8" x14ac:dyDescent="0.3">
      <c r="A145" s="2">
        <v>144</v>
      </c>
      <c r="B145" s="2" t="s">
        <v>11</v>
      </c>
      <c r="C145" s="2" t="s">
        <v>275</v>
      </c>
      <c r="D145" s="2" t="s">
        <v>3336</v>
      </c>
      <c r="E145" s="2" t="s">
        <v>3209</v>
      </c>
      <c r="F145" s="6">
        <v>44477</v>
      </c>
      <c r="G145" s="4">
        <v>3000</v>
      </c>
      <c r="H145" s="4">
        <v>16000</v>
      </c>
    </row>
    <row r="146" spans="1:8" x14ac:dyDescent="0.3">
      <c r="A146" s="2">
        <v>145</v>
      </c>
      <c r="B146" s="2" t="s">
        <v>135</v>
      </c>
      <c r="C146" s="2" t="s">
        <v>420</v>
      </c>
      <c r="D146" s="2" t="s">
        <v>3337</v>
      </c>
      <c r="E146" s="2" t="s">
        <v>3228</v>
      </c>
      <c r="F146" s="6">
        <v>44478</v>
      </c>
      <c r="G146" s="4">
        <v>3000</v>
      </c>
      <c r="H146" s="4">
        <v>13000</v>
      </c>
    </row>
    <row r="147" spans="1:8" x14ac:dyDescent="0.3">
      <c r="A147" s="2">
        <v>146</v>
      </c>
      <c r="B147" s="2" t="s">
        <v>15</v>
      </c>
      <c r="C147" s="2" t="s">
        <v>455</v>
      </c>
      <c r="D147" s="2" t="s">
        <v>3338</v>
      </c>
      <c r="E147" s="2" t="s">
        <v>3339</v>
      </c>
      <c r="F147" s="6">
        <v>44478</v>
      </c>
      <c r="G147" s="4">
        <v>0</v>
      </c>
      <c r="H147" s="4">
        <v>14000</v>
      </c>
    </row>
    <row r="148" spans="1:8" x14ac:dyDescent="0.3">
      <c r="A148" s="2">
        <v>147</v>
      </c>
      <c r="B148" s="2" t="s">
        <v>11</v>
      </c>
      <c r="C148" s="2" t="s">
        <v>675</v>
      </c>
      <c r="D148" s="2" t="s">
        <v>975</v>
      </c>
      <c r="E148" s="2">
        <v>1</v>
      </c>
      <c r="F148" s="6">
        <v>44478</v>
      </c>
      <c r="G148" s="4">
        <v>3000</v>
      </c>
      <c r="H148" s="4">
        <v>2500</v>
      </c>
    </row>
    <row r="149" spans="1:8" x14ac:dyDescent="0.3">
      <c r="A149" s="2">
        <v>148</v>
      </c>
      <c r="B149" s="2" t="s">
        <v>95</v>
      </c>
      <c r="C149" s="2" t="s">
        <v>620</v>
      </c>
      <c r="D149" s="2" t="s">
        <v>3340</v>
      </c>
      <c r="E149" s="2" t="s">
        <v>3341</v>
      </c>
      <c r="F149" s="6">
        <v>44479</v>
      </c>
      <c r="G149" s="4">
        <v>3000</v>
      </c>
      <c r="H149" s="4">
        <v>110000</v>
      </c>
    </row>
    <row r="150" spans="1:8" x14ac:dyDescent="0.3">
      <c r="A150" s="2">
        <v>149</v>
      </c>
      <c r="B150" s="2" t="s">
        <v>230</v>
      </c>
      <c r="C150" s="2" t="s">
        <v>655</v>
      </c>
      <c r="D150" s="2" t="s">
        <v>3342</v>
      </c>
      <c r="E150" s="2" t="s">
        <v>3343</v>
      </c>
      <c r="F150" s="6">
        <v>44479</v>
      </c>
      <c r="G150" s="4">
        <v>3000</v>
      </c>
      <c r="H150" s="4">
        <v>35500</v>
      </c>
    </row>
    <row r="151" spans="1:8" x14ac:dyDescent="0.3">
      <c r="A151" s="2">
        <v>150</v>
      </c>
      <c r="B151" s="2" t="s">
        <v>95</v>
      </c>
      <c r="C151" s="2" t="s">
        <v>375</v>
      </c>
      <c r="D151" s="2" t="s">
        <v>3344</v>
      </c>
      <c r="E151" s="2" t="s">
        <v>3345</v>
      </c>
      <c r="F151" s="6">
        <v>44479</v>
      </c>
      <c r="G151" s="4">
        <v>3000</v>
      </c>
      <c r="H151" s="4">
        <v>34500</v>
      </c>
    </row>
    <row r="152" spans="1:8" x14ac:dyDescent="0.3">
      <c r="A152" s="2">
        <v>151</v>
      </c>
      <c r="B152" s="2" t="s">
        <v>95</v>
      </c>
      <c r="C152" s="2" t="s">
        <v>615</v>
      </c>
      <c r="D152" s="2" t="s">
        <v>3346</v>
      </c>
      <c r="E152" s="2" t="s">
        <v>3169</v>
      </c>
      <c r="F152" s="6">
        <v>44480</v>
      </c>
      <c r="G152" s="4">
        <v>3000</v>
      </c>
      <c r="H152" s="4">
        <v>35500</v>
      </c>
    </row>
    <row r="153" spans="1:8" x14ac:dyDescent="0.3">
      <c r="A153" s="2">
        <v>152</v>
      </c>
      <c r="B153" s="2" t="s">
        <v>225</v>
      </c>
      <c r="C153" s="2" t="s">
        <v>285</v>
      </c>
      <c r="D153" s="2" t="s">
        <v>1030</v>
      </c>
      <c r="E153" s="2">
        <v>1</v>
      </c>
      <c r="F153" s="6">
        <v>44480</v>
      </c>
      <c r="G153" s="4">
        <v>3000</v>
      </c>
      <c r="H153" s="4">
        <v>8000</v>
      </c>
    </row>
    <row r="154" spans="1:8" x14ac:dyDescent="0.3">
      <c r="A154" s="2">
        <v>153</v>
      </c>
      <c r="B154" s="2" t="s">
        <v>40</v>
      </c>
      <c r="C154" s="2" t="s">
        <v>245</v>
      </c>
      <c r="D154" s="2" t="s">
        <v>3347</v>
      </c>
      <c r="E154" s="2" t="s">
        <v>3348</v>
      </c>
      <c r="F154" s="6">
        <v>44481</v>
      </c>
      <c r="G154" s="4">
        <v>3000</v>
      </c>
      <c r="H154" s="4">
        <v>52000</v>
      </c>
    </row>
    <row r="155" spans="1:8" x14ac:dyDescent="0.3">
      <c r="A155" s="2">
        <v>154</v>
      </c>
      <c r="B155" s="2" t="s">
        <v>160</v>
      </c>
      <c r="C155" s="2" t="s">
        <v>485</v>
      </c>
      <c r="D155" s="2" t="s">
        <v>3349</v>
      </c>
      <c r="E155" s="2" t="s">
        <v>3350</v>
      </c>
      <c r="F155" s="6">
        <v>44481</v>
      </c>
      <c r="G155" s="4">
        <v>3000</v>
      </c>
      <c r="H155" s="4">
        <v>69000</v>
      </c>
    </row>
    <row r="156" spans="1:8" x14ac:dyDescent="0.3">
      <c r="A156" s="2">
        <v>155</v>
      </c>
      <c r="B156" s="2" t="s">
        <v>15</v>
      </c>
      <c r="C156" s="2" t="s">
        <v>580</v>
      </c>
      <c r="D156" s="2" t="s">
        <v>3351</v>
      </c>
      <c r="E156" s="2" t="s">
        <v>3143</v>
      </c>
      <c r="F156" s="6">
        <v>44481</v>
      </c>
      <c r="G156" s="4">
        <v>0</v>
      </c>
      <c r="H156" s="4">
        <v>28000</v>
      </c>
    </row>
    <row r="157" spans="1:8" x14ac:dyDescent="0.3">
      <c r="A157" s="2">
        <v>156</v>
      </c>
      <c r="B157" s="2" t="s">
        <v>210</v>
      </c>
      <c r="C157" s="2" t="s">
        <v>520</v>
      </c>
      <c r="D157" s="2" t="s">
        <v>3352</v>
      </c>
      <c r="E157" s="2" t="s">
        <v>3353</v>
      </c>
      <c r="F157" s="6">
        <v>44481</v>
      </c>
      <c r="G157" s="4">
        <v>3000</v>
      </c>
      <c r="H157" s="4">
        <v>56500</v>
      </c>
    </row>
    <row r="158" spans="1:8" x14ac:dyDescent="0.3">
      <c r="A158" s="2">
        <v>157</v>
      </c>
      <c r="B158" s="2" t="s">
        <v>70</v>
      </c>
      <c r="C158" s="2" t="s">
        <v>540</v>
      </c>
      <c r="D158" s="2" t="s">
        <v>3354</v>
      </c>
      <c r="E158" s="2" t="s">
        <v>3355</v>
      </c>
      <c r="F158" s="6">
        <v>44482</v>
      </c>
      <c r="G158" s="4">
        <v>3000</v>
      </c>
      <c r="H158" s="4">
        <v>69500</v>
      </c>
    </row>
    <row r="159" spans="1:8" x14ac:dyDescent="0.3">
      <c r="A159" s="2">
        <v>158</v>
      </c>
      <c r="B159" s="2" t="s">
        <v>65</v>
      </c>
      <c r="C159" s="2" t="s">
        <v>765</v>
      </c>
      <c r="D159" s="2" t="s">
        <v>3356</v>
      </c>
      <c r="E159" s="2" t="s">
        <v>3357</v>
      </c>
      <c r="F159" s="6">
        <v>44482</v>
      </c>
      <c r="G159" s="4">
        <v>3000</v>
      </c>
      <c r="H159" s="4">
        <v>6000</v>
      </c>
    </row>
    <row r="160" spans="1:8" x14ac:dyDescent="0.3">
      <c r="A160" s="2">
        <v>159</v>
      </c>
      <c r="B160" s="2" t="s">
        <v>95</v>
      </c>
      <c r="C160" s="2" t="s">
        <v>370</v>
      </c>
      <c r="D160" s="2" t="s">
        <v>3358</v>
      </c>
      <c r="E160" s="2" t="s">
        <v>3209</v>
      </c>
      <c r="F160" s="6">
        <v>44483</v>
      </c>
      <c r="G160" s="4">
        <v>3000</v>
      </c>
      <c r="H160" s="4">
        <v>32000</v>
      </c>
    </row>
    <row r="161" spans="1:8" x14ac:dyDescent="0.3">
      <c r="A161" s="2">
        <v>160</v>
      </c>
      <c r="B161" s="2" t="s">
        <v>130</v>
      </c>
      <c r="C161" s="2" t="s">
        <v>640</v>
      </c>
      <c r="D161" s="2" t="s">
        <v>3359</v>
      </c>
      <c r="E161" s="2" t="s">
        <v>3360</v>
      </c>
      <c r="F161" s="6">
        <v>44483</v>
      </c>
      <c r="G161" s="4">
        <v>3000</v>
      </c>
      <c r="H161" s="4">
        <v>100500</v>
      </c>
    </row>
    <row r="162" spans="1:8" x14ac:dyDescent="0.3">
      <c r="A162" s="2">
        <v>161</v>
      </c>
      <c r="B162" s="2" t="s">
        <v>145</v>
      </c>
      <c r="C162" s="2" t="s">
        <v>485</v>
      </c>
      <c r="D162" s="2" t="s">
        <v>948</v>
      </c>
      <c r="E162" s="2">
        <v>1</v>
      </c>
      <c r="F162" s="6">
        <v>44483</v>
      </c>
      <c r="G162" s="4">
        <v>3000</v>
      </c>
      <c r="H162" s="4">
        <v>5000</v>
      </c>
    </row>
    <row r="163" spans="1:8" x14ac:dyDescent="0.3">
      <c r="A163" s="2">
        <v>162</v>
      </c>
      <c r="B163" s="2" t="s">
        <v>205</v>
      </c>
      <c r="C163" s="2" t="s">
        <v>535</v>
      </c>
      <c r="D163" s="2" t="s">
        <v>3361</v>
      </c>
      <c r="E163" s="2" t="s">
        <v>3362</v>
      </c>
      <c r="F163" s="6">
        <v>44483</v>
      </c>
      <c r="G163" s="4">
        <v>3000</v>
      </c>
      <c r="H163" s="4">
        <v>46500</v>
      </c>
    </row>
    <row r="164" spans="1:8" x14ac:dyDescent="0.3">
      <c r="A164" s="2">
        <v>163</v>
      </c>
      <c r="B164" s="2" t="s">
        <v>20</v>
      </c>
      <c r="C164" s="2" t="s">
        <v>300</v>
      </c>
      <c r="D164" s="2" t="s">
        <v>3363</v>
      </c>
      <c r="E164" s="2" t="s">
        <v>3253</v>
      </c>
      <c r="F164" s="6">
        <v>44484</v>
      </c>
      <c r="G164" s="4">
        <v>3000</v>
      </c>
      <c r="H164" s="4">
        <v>39000</v>
      </c>
    </row>
    <row r="165" spans="1:8" x14ac:dyDescent="0.3">
      <c r="A165" s="2">
        <v>164</v>
      </c>
      <c r="B165" s="2" t="s">
        <v>15</v>
      </c>
      <c r="C165" s="2" t="s">
        <v>805</v>
      </c>
      <c r="D165" s="2" t="s">
        <v>3364</v>
      </c>
      <c r="E165" s="2" t="s">
        <v>3365</v>
      </c>
      <c r="F165" s="6">
        <v>44484</v>
      </c>
      <c r="G165" s="4">
        <v>0</v>
      </c>
      <c r="H165" s="4">
        <v>127500</v>
      </c>
    </row>
    <row r="166" spans="1:8" x14ac:dyDescent="0.3">
      <c r="A166" s="2">
        <v>165</v>
      </c>
      <c r="B166" s="2" t="s">
        <v>11</v>
      </c>
      <c r="C166" s="2" t="s">
        <v>845</v>
      </c>
      <c r="D166" s="2" t="s">
        <v>956</v>
      </c>
      <c r="E166" s="2">
        <v>3</v>
      </c>
      <c r="F166" s="6">
        <v>44484</v>
      </c>
      <c r="G166" s="4">
        <v>3000</v>
      </c>
      <c r="H166" s="4">
        <v>18000</v>
      </c>
    </row>
    <row r="167" spans="1:8" x14ac:dyDescent="0.3">
      <c r="A167" s="2">
        <v>166</v>
      </c>
      <c r="B167" s="2" t="s">
        <v>145</v>
      </c>
      <c r="C167" s="2" t="s">
        <v>540</v>
      </c>
      <c r="D167" s="2" t="s">
        <v>3366</v>
      </c>
      <c r="E167" s="2" t="s">
        <v>3367</v>
      </c>
      <c r="F167" s="6">
        <v>44485</v>
      </c>
      <c r="G167" s="4">
        <v>3000</v>
      </c>
      <c r="H167" s="4">
        <v>49000</v>
      </c>
    </row>
    <row r="168" spans="1:8" x14ac:dyDescent="0.3">
      <c r="A168" s="2">
        <v>167</v>
      </c>
      <c r="B168" s="2" t="s">
        <v>65</v>
      </c>
      <c r="C168" s="2" t="s">
        <v>470</v>
      </c>
      <c r="D168" s="2" t="s">
        <v>946</v>
      </c>
      <c r="E168" s="2">
        <v>1</v>
      </c>
      <c r="F168" s="6">
        <v>44485</v>
      </c>
      <c r="G168" s="4">
        <v>3000</v>
      </c>
      <c r="H168" s="4">
        <v>15000</v>
      </c>
    </row>
    <row r="169" spans="1:8" x14ac:dyDescent="0.3">
      <c r="A169" s="2">
        <v>168</v>
      </c>
      <c r="B169" s="2" t="s">
        <v>85</v>
      </c>
      <c r="C169" s="2" t="s">
        <v>625</v>
      </c>
      <c r="D169" s="2" t="s">
        <v>3368</v>
      </c>
      <c r="E169" s="2" t="s">
        <v>3367</v>
      </c>
      <c r="F169" s="6">
        <v>44486</v>
      </c>
      <c r="G169" s="4">
        <v>3000</v>
      </c>
      <c r="H169" s="4">
        <v>76000</v>
      </c>
    </row>
    <row r="170" spans="1:8" x14ac:dyDescent="0.3">
      <c r="A170" s="2">
        <v>169</v>
      </c>
      <c r="B170" s="2" t="s">
        <v>11</v>
      </c>
      <c r="C170" s="2" t="s">
        <v>350</v>
      </c>
      <c r="D170" s="2" t="s">
        <v>960</v>
      </c>
      <c r="E170" s="2">
        <v>2</v>
      </c>
      <c r="F170" s="6">
        <v>44487</v>
      </c>
      <c r="G170" s="4">
        <v>3000</v>
      </c>
      <c r="H170" s="4">
        <v>17000</v>
      </c>
    </row>
    <row r="171" spans="1:8" x14ac:dyDescent="0.3">
      <c r="A171" s="2">
        <v>170</v>
      </c>
      <c r="B171" s="2" t="s">
        <v>150</v>
      </c>
      <c r="C171" s="2" t="s">
        <v>400</v>
      </c>
      <c r="D171" s="2" t="s">
        <v>3369</v>
      </c>
      <c r="E171" s="2" t="s">
        <v>3315</v>
      </c>
      <c r="F171" s="6">
        <v>44487</v>
      </c>
      <c r="G171" s="4">
        <v>3000</v>
      </c>
      <c r="H171" s="4">
        <v>64500</v>
      </c>
    </row>
    <row r="172" spans="1:8" x14ac:dyDescent="0.3">
      <c r="A172" s="2">
        <v>171</v>
      </c>
      <c r="B172" s="2" t="s">
        <v>6</v>
      </c>
      <c r="C172" s="2" t="s">
        <v>915</v>
      </c>
      <c r="D172" s="2" t="s">
        <v>3370</v>
      </c>
      <c r="E172" s="2" t="s">
        <v>3151</v>
      </c>
      <c r="F172" s="6">
        <v>44488</v>
      </c>
      <c r="G172" s="4">
        <v>0</v>
      </c>
      <c r="H172" s="4">
        <v>69500</v>
      </c>
    </row>
    <row r="173" spans="1:8" x14ac:dyDescent="0.3">
      <c r="A173" s="2">
        <v>172</v>
      </c>
      <c r="B173" s="2" t="s">
        <v>190</v>
      </c>
      <c r="C173" s="2" t="s">
        <v>545</v>
      </c>
      <c r="D173" s="2" t="s">
        <v>3371</v>
      </c>
      <c r="E173" s="2" t="s">
        <v>1390</v>
      </c>
      <c r="F173" s="6">
        <v>44425</v>
      </c>
      <c r="G173" s="4">
        <v>3000</v>
      </c>
      <c r="H173" s="4">
        <v>12000</v>
      </c>
    </row>
    <row r="174" spans="1:8" x14ac:dyDescent="0.3">
      <c r="A174" s="2">
        <v>173</v>
      </c>
      <c r="B174" s="2" t="s">
        <v>175</v>
      </c>
      <c r="C174" s="2" t="s">
        <v>455</v>
      </c>
      <c r="D174" s="2" t="s">
        <v>1112</v>
      </c>
      <c r="E174" s="2">
        <v>1</v>
      </c>
      <c r="F174" s="6">
        <v>44491</v>
      </c>
      <c r="G174" s="4">
        <v>3000</v>
      </c>
      <c r="H174" s="4">
        <v>2000</v>
      </c>
    </row>
    <row r="175" spans="1:8" x14ac:dyDescent="0.3">
      <c r="A175" s="2">
        <v>174</v>
      </c>
      <c r="B175" s="2" t="s">
        <v>155</v>
      </c>
      <c r="C175" s="2" t="s">
        <v>420</v>
      </c>
      <c r="D175" s="2" t="s">
        <v>3372</v>
      </c>
      <c r="E175" s="2" t="s">
        <v>3373</v>
      </c>
      <c r="F175" s="6">
        <v>44491</v>
      </c>
      <c r="G175" s="4">
        <v>3000</v>
      </c>
      <c r="H175" s="4">
        <v>59500</v>
      </c>
    </row>
    <row r="176" spans="1:8" x14ac:dyDescent="0.3">
      <c r="A176" s="2">
        <v>175</v>
      </c>
      <c r="B176" s="2" t="s">
        <v>20</v>
      </c>
      <c r="C176" s="2" t="s">
        <v>400</v>
      </c>
      <c r="D176" s="2" t="s">
        <v>1076</v>
      </c>
      <c r="E176" s="2">
        <v>1</v>
      </c>
      <c r="F176" s="6">
        <v>44494</v>
      </c>
      <c r="G176" s="4">
        <v>3000</v>
      </c>
      <c r="H176" s="4">
        <v>10000</v>
      </c>
    </row>
    <row r="177" spans="1:8" x14ac:dyDescent="0.3">
      <c r="A177" s="2">
        <v>176</v>
      </c>
      <c r="B177" s="2" t="s">
        <v>115</v>
      </c>
      <c r="C177" s="2" t="s">
        <v>460</v>
      </c>
      <c r="D177" s="2" t="s">
        <v>3374</v>
      </c>
      <c r="E177" s="2" t="s">
        <v>3375</v>
      </c>
      <c r="F177" s="6">
        <v>44494</v>
      </c>
      <c r="G177" s="4">
        <v>3000</v>
      </c>
      <c r="H177" s="4">
        <v>59000</v>
      </c>
    </row>
    <row r="178" spans="1:8" x14ac:dyDescent="0.3">
      <c r="A178" s="2">
        <v>177</v>
      </c>
      <c r="B178" s="2" t="s">
        <v>20</v>
      </c>
      <c r="C178" s="2" t="s">
        <v>260</v>
      </c>
      <c r="D178" s="2" t="s">
        <v>3376</v>
      </c>
      <c r="E178" s="2" t="s">
        <v>3377</v>
      </c>
      <c r="F178" s="6">
        <v>44494</v>
      </c>
      <c r="G178" s="4">
        <v>3000</v>
      </c>
      <c r="H178" s="4">
        <v>79000</v>
      </c>
    </row>
    <row r="179" spans="1:8" x14ac:dyDescent="0.3">
      <c r="A179" s="2">
        <v>178</v>
      </c>
      <c r="B179" s="2" t="s">
        <v>190</v>
      </c>
      <c r="C179" s="2" t="s">
        <v>780</v>
      </c>
      <c r="D179" s="2" t="s">
        <v>3378</v>
      </c>
      <c r="E179" s="2" t="s">
        <v>3131</v>
      </c>
      <c r="F179" s="6">
        <v>44494</v>
      </c>
      <c r="G179" s="4">
        <v>3000</v>
      </c>
      <c r="H179" s="4">
        <v>42500</v>
      </c>
    </row>
    <row r="180" spans="1:8" x14ac:dyDescent="0.3">
      <c r="A180" s="2">
        <v>179</v>
      </c>
      <c r="B180" s="2" t="s">
        <v>6</v>
      </c>
      <c r="C180" s="2" t="s">
        <v>860</v>
      </c>
      <c r="D180" s="2" t="s">
        <v>3379</v>
      </c>
      <c r="E180" s="2" t="s">
        <v>3272</v>
      </c>
      <c r="F180" s="6">
        <v>44494</v>
      </c>
      <c r="G180" s="4">
        <v>0</v>
      </c>
      <c r="H180" s="4">
        <v>21400</v>
      </c>
    </row>
    <row r="181" spans="1:8" x14ac:dyDescent="0.3">
      <c r="A181" s="2">
        <v>180</v>
      </c>
      <c r="B181" s="2" t="s">
        <v>25</v>
      </c>
      <c r="C181" s="2" t="s">
        <v>660</v>
      </c>
      <c r="D181" s="2" t="s">
        <v>1082</v>
      </c>
      <c r="E181" s="2">
        <v>2</v>
      </c>
      <c r="F181" s="6">
        <v>44495</v>
      </c>
      <c r="G181" s="4">
        <v>3000</v>
      </c>
      <c r="H181" s="4">
        <v>22000</v>
      </c>
    </row>
    <row r="182" spans="1:8" x14ac:dyDescent="0.3">
      <c r="A182" s="2">
        <v>181</v>
      </c>
      <c r="B182" s="2" t="s">
        <v>175</v>
      </c>
      <c r="C182" s="2" t="s">
        <v>565</v>
      </c>
      <c r="D182" s="2" t="s">
        <v>3380</v>
      </c>
      <c r="E182" s="2" t="s">
        <v>3381</v>
      </c>
      <c r="F182" s="6">
        <v>44496</v>
      </c>
      <c r="G182" s="4">
        <v>3000</v>
      </c>
      <c r="H182" s="4">
        <v>56500</v>
      </c>
    </row>
    <row r="183" spans="1:8" x14ac:dyDescent="0.3">
      <c r="A183" s="2">
        <v>182</v>
      </c>
      <c r="B183" s="2" t="s">
        <v>25</v>
      </c>
      <c r="C183" s="2" t="s">
        <v>855</v>
      </c>
      <c r="D183" s="2" t="s">
        <v>3382</v>
      </c>
      <c r="E183" s="2" t="s">
        <v>3345</v>
      </c>
      <c r="F183" s="6">
        <v>44497</v>
      </c>
      <c r="G183" s="4">
        <v>3000</v>
      </c>
      <c r="H183" s="4">
        <v>20000</v>
      </c>
    </row>
    <row r="184" spans="1:8" x14ac:dyDescent="0.3">
      <c r="A184" s="2">
        <v>183</v>
      </c>
      <c r="B184" s="2" t="s">
        <v>75</v>
      </c>
      <c r="C184" s="2" t="s">
        <v>445</v>
      </c>
      <c r="D184" s="2" t="s">
        <v>1069</v>
      </c>
      <c r="E184" s="2">
        <v>2</v>
      </c>
      <c r="F184" s="6">
        <v>44497</v>
      </c>
      <c r="G184" s="4">
        <v>3000</v>
      </c>
      <c r="H184" s="4">
        <v>16000</v>
      </c>
    </row>
    <row r="185" spans="1:8" x14ac:dyDescent="0.3">
      <c r="A185" s="2">
        <v>184</v>
      </c>
      <c r="B185" s="2" t="s">
        <v>233</v>
      </c>
      <c r="C185" s="2" t="s">
        <v>575</v>
      </c>
      <c r="D185" s="2" t="s">
        <v>3383</v>
      </c>
      <c r="E185" s="2" t="s">
        <v>3384</v>
      </c>
      <c r="F185" s="6">
        <v>44497</v>
      </c>
      <c r="G185" s="4">
        <v>3000</v>
      </c>
      <c r="H185" s="4">
        <v>47500</v>
      </c>
    </row>
    <row r="186" spans="1:8" x14ac:dyDescent="0.3">
      <c r="A186" s="2">
        <v>185</v>
      </c>
      <c r="B186" s="2" t="s">
        <v>40</v>
      </c>
      <c r="C186" s="2" t="s">
        <v>240</v>
      </c>
      <c r="D186" s="2" t="s">
        <v>958</v>
      </c>
      <c r="E186" s="2">
        <v>2</v>
      </c>
      <c r="F186" s="6">
        <v>44476</v>
      </c>
      <c r="G186" s="4">
        <v>3000</v>
      </c>
      <c r="H186" s="4">
        <v>6000</v>
      </c>
    </row>
    <row r="187" spans="1:8" x14ac:dyDescent="0.3">
      <c r="A187" s="2">
        <v>186</v>
      </c>
      <c r="B187" s="2" t="s">
        <v>65</v>
      </c>
      <c r="C187" s="2" t="s">
        <v>535</v>
      </c>
      <c r="D187" s="2" t="s">
        <v>3385</v>
      </c>
      <c r="E187" s="2" t="s">
        <v>3207</v>
      </c>
      <c r="F187" s="6">
        <v>44499</v>
      </c>
      <c r="G187" s="4">
        <v>3000</v>
      </c>
      <c r="H187" s="4">
        <v>109500</v>
      </c>
    </row>
    <row r="188" spans="1:8" x14ac:dyDescent="0.3">
      <c r="A188" s="2">
        <v>187</v>
      </c>
      <c r="B188" s="2" t="s">
        <v>6</v>
      </c>
      <c r="C188" s="2" t="s">
        <v>315</v>
      </c>
      <c r="D188" s="2" t="s">
        <v>3386</v>
      </c>
      <c r="E188" s="2" t="s">
        <v>3387</v>
      </c>
      <c r="F188" s="6">
        <v>44499</v>
      </c>
      <c r="G188" s="4">
        <v>0</v>
      </c>
      <c r="H188" s="4">
        <v>94500</v>
      </c>
    </row>
    <row r="189" spans="1:8" x14ac:dyDescent="0.3">
      <c r="A189" s="2">
        <v>188</v>
      </c>
      <c r="B189" s="2" t="s">
        <v>125</v>
      </c>
      <c r="C189" s="2" t="s">
        <v>310</v>
      </c>
      <c r="D189" s="2" t="s">
        <v>3388</v>
      </c>
      <c r="E189" s="2" t="s">
        <v>3389</v>
      </c>
      <c r="F189" s="6">
        <v>44500</v>
      </c>
      <c r="G189" s="4">
        <v>3000</v>
      </c>
      <c r="H189" s="4">
        <v>80000</v>
      </c>
    </row>
    <row r="190" spans="1:8" x14ac:dyDescent="0.3">
      <c r="A190" s="2">
        <v>189</v>
      </c>
      <c r="B190" s="2" t="s">
        <v>185</v>
      </c>
      <c r="C190" s="2" t="s">
        <v>660</v>
      </c>
      <c r="D190" s="2" t="s">
        <v>3390</v>
      </c>
      <c r="E190" s="2" t="s">
        <v>3391</v>
      </c>
      <c r="F190" s="6">
        <v>44500</v>
      </c>
      <c r="G190" s="4">
        <v>3000</v>
      </c>
      <c r="H190" s="4">
        <v>99500</v>
      </c>
    </row>
    <row r="191" spans="1:8" x14ac:dyDescent="0.3">
      <c r="A191" s="2">
        <v>190</v>
      </c>
      <c r="B191" s="2" t="s">
        <v>20</v>
      </c>
      <c r="C191" s="2" t="s">
        <v>525</v>
      </c>
      <c r="D191" s="2" t="s">
        <v>977</v>
      </c>
      <c r="E191" s="2">
        <v>3</v>
      </c>
      <c r="F191" s="6">
        <v>44500</v>
      </c>
      <c r="G191" s="4">
        <v>3000</v>
      </c>
      <c r="H191" s="4">
        <v>15000</v>
      </c>
    </row>
    <row r="192" spans="1:8" x14ac:dyDescent="0.3">
      <c r="A192" s="2">
        <v>191</v>
      </c>
      <c r="B192" s="2" t="s">
        <v>40</v>
      </c>
      <c r="C192" s="2" t="s">
        <v>715</v>
      </c>
      <c r="D192" s="2" t="s">
        <v>3392</v>
      </c>
      <c r="E192" s="2" t="s">
        <v>3365</v>
      </c>
      <c r="F192" s="6">
        <v>44501</v>
      </c>
      <c r="G192" s="4">
        <v>3000</v>
      </c>
      <c r="H192" s="4">
        <v>130500</v>
      </c>
    </row>
    <row r="193" spans="1:8" x14ac:dyDescent="0.3">
      <c r="A193" s="2">
        <v>192</v>
      </c>
      <c r="B193" s="2" t="s">
        <v>170</v>
      </c>
      <c r="C193" s="2" t="s">
        <v>755</v>
      </c>
      <c r="D193" s="2" t="s">
        <v>1116</v>
      </c>
      <c r="E193" s="2">
        <v>2</v>
      </c>
      <c r="F193" s="6">
        <v>44502</v>
      </c>
      <c r="G193" s="4">
        <v>3000</v>
      </c>
      <c r="H193" s="4">
        <v>4000</v>
      </c>
    </row>
    <row r="194" spans="1:8" x14ac:dyDescent="0.3">
      <c r="A194" s="2">
        <v>193</v>
      </c>
      <c r="B194" s="2" t="s">
        <v>150</v>
      </c>
      <c r="C194" s="2" t="s">
        <v>240</v>
      </c>
      <c r="D194" s="2" t="s">
        <v>958</v>
      </c>
      <c r="E194" s="2">
        <v>2</v>
      </c>
      <c r="F194" s="6">
        <v>44464</v>
      </c>
      <c r="G194" s="4">
        <v>3000</v>
      </c>
      <c r="H194" s="4">
        <v>6000</v>
      </c>
    </row>
    <row r="195" spans="1:8" x14ac:dyDescent="0.3">
      <c r="A195" s="2">
        <v>194</v>
      </c>
      <c r="B195" s="2" t="s">
        <v>6</v>
      </c>
      <c r="C195" s="2" t="s">
        <v>660</v>
      </c>
      <c r="D195" s="2" t="s">
        <v>3393</v>
      </c>
      <c r="E195" s="2" t="s">
        <v>3394</v>
      </c>
      <c r="F195" s="6">
        <v>44503</v>
      </c>
      <c r="G195" s="4">
        <v>0</v>
      </c>
      <c r="H195" s="4">
        <v>114000</v>
      </c>
    </row>
    <row r="196" spans="1:8" x14ac:dyDescent="0.3">
      <c r="A196" s="2">
        <v>195</v>
      </c>
      <c r="B196" s="2" t="s">
        <v>25</v>
      </c>
      <c r="C196" s="2" t="s">
        <v>550</v>
      </c>
      <c r="D196" s="2" t="s">
        <v>995</v>
      </c>
      <c r="E196" s="2">
        <v>3</v>
      </c>
      <c r="F196" s="6">
        <v>44503</v>
      </c>
      <c r="G196" s="4">
        <v>3000</v>
      </c>
      <c r="H196" s="4">
        <v>18000</v>
      </c>
    </row>
    <row r="197" spans="1:8" x14ac:dyDescent="0.3">
      <c r="A197" s="2">
        <v>196</v>
      </c>
      <c r="B197" s="2" t="s">
        <v>130</v>
      </c>
      <c r="C197" s="2" t="s">
        <v>710</v>
      </c>
      <c r="D197" s="2" t="s">
        <v>3395</v>
      </c>
      <c r="E197" s="2" t="s">
        <v>3153</v>
      </c>
      <c r="F197" s="6">
        <v>44503</v>
      </c>
      <c r="G197" s="4">
        <v>3000</v>
      </c>
      <c r="H197" s="4">
        <v>26500</v>
      </c>
    </row>
    <row r="198" spans="1:8" x14ac:dyDescent="0.3">
      <c r="A198" s="2">
        <v>197</v>
      </c>
      <c r="B198" s="2" t="s">
        <v>85</v>
      </c>
      <c r="C198" s="2" t="s">
        <v>680</v>
      </c>
      <c r="D198" s="2" t="s">
        <v>1110</v>
      </c>
      <c r="E198" s="2">
        <v>1</v>
      </c>
      <c r="F198" s="6">
        <v>44504</v>
      </c>
      <c r="G198" s="4">
        <v>3000</v>
      </c>
      <c r="H198" s="4">
        <v>2000</v>
      </c>
    </row>
    <row r="199" spans="1:8" x14ac:dyDescent="0.3">
      <c r="A199" s="2">
        <v>198</v>
      </c>
      <c r="B199" s="2" t="s">
        <v>80</v>
      </c>
      <c r="C199" s="2" t="s">
        <v>720</v>
      </c>
      <c r="D199" s="2" t="s">
        <v>3396</v>
      </c>
      <c r="E199" s="2" t="s">
        <v>3143</v>
      </c>
      <c r="F199" s="6">
        <v>44505</v>
      </c>
      <c r="G199" s="4">
        <v>3000</v>
      </c>
      <c r="H199" s="4">
        <v>16500</v>
      </c>
    </row>
    <row r="200" spans="1:8" x14ac:dyDescent="0.3">
      <c r="A200" s="2">
        <v>199</v>
      </c>
      <c r="B200" s="2" t="s">
        <v>230</v>
      </c>
      <c r="C200" s="2" t="s">
        <v>615</v>
      </c>
      <c r="D200" s="2" t="s">
        <v>3397</v>
      </c>
      <c r="E200" s="2" t="s">
        <v>3232</v>
      </c>
      <c r="F200" s="6">
        <v>44505</v>
      </c>
      <c r="G200" s="4">
        <v>3000</v>
      </c>
      <c r="H200" s="4">
        <v>68000</v>
      </c>
    </row>
    <row r="201" spans="1:8" x14ac:dyDescent="0.3">
      <c r="A201" s="2">
        <v>200</v>
      </c>
      <c r="B201" s="2" t="s">
        <v>75</v>
      </c>
      <c r="C201" s="2" t="s">
        <v>240</v>
      </c>
      <c r="D201" s="2" t="s">
        <v>3398</v>
      </c>
      <c r="E201" s="2" t="s">
        <v>3259</v>
      </c>
      <c r="F201" s="6">
        <v>44505</v>
      </c>
      <c r="G201" s="4">
        <v>3000</v>
      </c>
      <c r="H201" s="4">
        <v>56000</v>
      </c>
    </row>
    <row r="202" spans="1:8" x14ac:dyDescent="0.3">
      <c r="A202" s="2">
        <v>201</v>
      </c>
      <c r="B202" s="2" t="s">
        <v>175</v>
      </c>
      <c r="C202" s="2" t="s">
        <v>575</v>
      </c>
      <c r="D202" s="2" t="s">
        <v>3399</v>
      </c>
      <c r="E202" s="2" t="s">
        <v>3153</v>
      </c>
      <c r="F202" s="6">
        <v>44505</v>
      </c>
      <c r="G202" s="4">
        <v>3000</v>
      </c>
      <c r="H202" s="4">
        <v>25000</v>
      </c>
    </row>
    <row r="203" spans="1:8" x14ac:dyDescent="0.3">
      <c r="A203" s="2">
        <v>202</v>
      </c>
      <c r="B203" s="2" t="s">
        <v>25</v>
      </c>
      <c r="C203" s="2" t="s">
        <v>250</v>
      </c>
      <c r="D203" s="2" t="s">
        <v>3400</v>
      </c>
      <c r="E203" s="2" t="s">
        <v>3315</v>
      </c>
      <c r="F203" s="6">
        <v>44489</v>
      </c>
      <c r="G203" s="4">
        <v>3000</v>
      </c>
      <c r="H203" s="4">
        <v>180000</v>
      </c>
    </row>
    <row r="204" spans="1:8" x14ac:dyDescent="0.3">
      <c r="A204" s="2">
        <v>203</v>
      </c>
      <c r="B204" s="2" t="s">
        <v>30</v>
      </c>
      <c r="C204" s="2" t="s">
        <v>255</v>
      </c>
      <c r="D204" s="2" t="s">
        <v>3401</v>
      </c>
      <c r="E204" s="2" t="s">
        <v>1390</v>
      </c>
      <c r="F204" s="6">
        <v>44470</v>
      </c>
      <c r="G204" s="4">
        <v>3000</v>
      </c>
      <c r="H204" s="4">
        <v>29000</v>
      </c>
    </row>
    <row r="205" spans="1:8" x14ac:dyDescent="0.3">
      <c r="A205" s="2">
        <v>204</v>
      </c>
      <c r="B205" s="2" t="s">
        <v>35</v>
      </c>
      <c r="C205" s="2" t="s">
        <v>255</v>
      </c>
      <c r="D205" s="2" t="s">
        <v>3402</v>
      </c>
      <c r="E205" s="2" t="s">
        <v>3300</v>
      </c>
      <c r="F205" s="6">
        <v>44497</v>
      </c>
      <c r="G205" s="4">
        <v>3000</v>
      </c>
      <c r="H205" s="4">
        <v>138000</v>
      </c>
    </row>
    <row r="206" spans="1:8" x14ac:dyDescent="0.3">
      <c r="A206" s="2">
        <v>205</v>
      </c>
      <c r="B206" s="2" t="s">
        <v>40</v>
      </c>
      <c r="C206" s="2" t="s">
        <v>250</v>
      </c>
      <c r="D206" s="2" t="s">
        <v>3403</v>
      </c>
      <c r="E206" s="2" t="s">
        <v>1390</v>
      </c>
      <c r="F206" s="6">
        <v>44470</v>
      </c>
      <c r="G206" s="4">
        <v>3000</v>
      </c>
      <c r="H206" s="4">
        <v>18000</v>
      </c>
    </row>
    <row r="207" spans="1:8" x14ac:dyDescent="0.3">
      <c r="A207" s="2">
        <v>206</v>
      </c>
      <c r="B207" s="2" t="s">
        <v>45</v>
      </c>
      <c r="C207" s="2" t="s">
        <v>250</v>
      </c>
      <c r="D207" s="2" t="s">
        <v>3404</v>
      </c>
      <c r="E207" s="2" t="s">
        <v>3377</v>
      </c>
      <c r="F207" s="6">
        <v>44494</v>
      </c>
      <c r="G207" s="4">
        <v>0</v>
      </c>
      <c r="H207" s="4">
        <v>97000</v>
      </c>
    </row>
    <row r="208" spans="1:8" x14ac:dyDescent="0.3">
      <c r="A208" s="2">
        <v>207</v>
      </c>
      <c r="B208" s="2" t="s">
        <v>50</v>
      </c>
      <c r="C208" s="2" t="s">
        <v>260</v>
      </c>
      <c r="D208" s="2" t="s">
        <v>3405</v>
      </c>
      <c r="E208" s="2" t="s">
        <v>3387</v>
      </c>
      <c r="F208" s="6">
        <v>44491</v>
      </c>
      <c r="G208" s="4">
        <v>3000</v>
      </c>
      <c r="H208" s="4">
        <v>108000</v>
      </c>
    </row>
    <row r="209" spans="1:8" x14ac:dyDescent="0.3">
      <c r="A209" s="2">
        <v>208</v>
      </c>
      <c r="B209" s="2" t="s">
        <v>55</v>
      </c>
      <c r="C209" s="2" t="s">
        <v>265</v>
      </c>
      <c r="D209" s="2" t="s">
        <v>989</v>
      </c>
      <c r="E209" s="2">
        <v>2</v>
      </c>
      <c r="F209" s="6">
        <v>44487</v>
      </c>
      <c r="G209" s="4">
        <v>3000</v>
      </c>
      <c r="H209" s="4">
        <v>30000</v>
      </c>
    </row>
    <row r="210" spans="1:8" x14ac:dyDescent="0.3">
      <c r="A210" s="2">
        <v>209</v>
      </c>
      <c r="B210" s="2" t="s">
        <v>60</v>
      </c>
      <c r="C210" s="2" t="s">
        <v>255</v>
      </c>
      <c r="D210" s="2" t="s">
        <v>3406</v>
      </c>
      <c r="E210" s="2" t="s">
        <v>3326</v>
      </c>
      <c r="F210" s="6">
        <v>44481</v>
      </c>
      <c r="G210" s="4">
        <v>3000</v>
      </c>
      <c r="H210" s="4">
        <v>85000</v>
      </c>
    </row>
    <row r="211" spans="1:8" x14ac:dyDescent="0.3">
      <c r="A211" s="2">
        <v>210</v>
      </c>
      <c r="B211" s="2" t="s">
        <v>65</v>
      </c>
      <c r="C211" s="2" t="s">
        <v>250</v>
      </c>
      <c r="D211" s="2" t="s">
        <v>3407</v>
      </c>
      <c r="E211" s="2" t="s">
        <v>3375</v>
      </c>
      <c r="F211" s="6">
        <v>44478</v>
      </c>
      <c r="G211" s="4">
        <v>3000</v>
      </c>
      <c r="H211" s="4">
        <v>100000</v>
      </c>
    </row>
    <row r="212" spans="1:8" x14ac:dyDescent="0.3">
      <c r="A212" s="2">
        <v>211</v>
      </c>
      <c r="B212" s="2" t="s">
        <v>70</v>
      </c>
      <c r="C212" s="2" t="s">
        <v>260</v>
      </c>
      <c r="D212" s="2" t="s">
        <v>3408</v>
      </c>
      <c r="E212" s="2" t="s">
        <v>3270</v>
      </c>
      <c r="F212" s="6">
        <v>44483</v>
      </c>
      <c r="G212" s="4">
        <v>3000</v>
      </c>
      <c r="H212" s="4">
        <v>123000</v>
      </c>
    </row>
    <row r="213" spans="1:8" x14ac:dyDescent="0.3">
      <c r="A213" s="2">
        <v>212</v>
      </c>
      <c r="B213" s="2" t="s">
        <v>75</v>
      </c>
      <c r="C213" s="2" t="s">
        <v>250</v>
      </c>
      <c r="D213" s="2" t="s">
        <v>3409</v>
      </c>
      <c r="E213" s="2" t="s">
        <v>1388</v>
      </c>
      <c r="F213" s="6">
        <v>44490</v>
      </c>
      <c r="G213" s="4">
        <v>3000</v>
      </c>
      <c r="H213" s="4">
        <v>15000</v>
      </c>
    </row>
    <row r="214" spans="1:8" x14ac:dyDescent="0.3">
      <c r="A214" s="2">
        <v>213</v>
      </c>
      <c r="B214" s="2" t="s">
        <v>80</v>
      </c>
      <c r="C214" s="2" t="s">
        <v>265</v>
      </c>
      <c r="D214" s="2" t="s">
        <v>3410</v>
      </c>
      <c r="E214" s="2" t="s">
        <v>3411</v>
      </c>
      <c r="F214" s="6">
        <v>44494</v>
      </c>
      <c r="G214" s="4">
        <v>3000</v>
      </c>
      <c r="H214" s="4">
        <v>71000</v>
      </c>
    </row>
    <row r="215" spans="1:8" x14ac:dyDescent="0.3">
      <c r="A215" s="2">
        <v>214</v>
      </c>
      <c r="B215" s="2" t="s">
        <v>85</v>
      </c>
      <c r="C215" s="2" t="s">
        <v>265</v>
      </c>
      <c r="D215" s="2" t="s">
        <v>3412</v>
      </c>
      <c r="E215" s="2" t="s">
        <v>3328</v>
      </c>
      <c r="F215" s="6">
        <v>44486</v>
      </c>
      <c r="G215" s="4">
        <v>3000</v>
      </c>
      <c r="H215" s="4">
        <v>44000</v>
      </c>
    </row>
    <row r="216" spans="1:8" x14ac:dyDescent="0.3">
      <c r="A216" s="2">
        <v>215</v>
      </c>
      <c r="B216" s="2" t="s">
        <v>90</v>
      </c>
      <c r="C216" s="2" t="s">
        <v>280</v>
      </c>
      <c r="D216" s="2" t="s">
        <v>3413</v>
      </c>
      <c r="E216" s="2" t="s">
        <v>3266</v>
      </c>
      <c r="F216" s="6">
        <v>44474</v>
      </c>
      <c r="G216" s="4">
        <v>3000</v>
      </c>
      <c r="H216" s="4">
        <v>79000</v>
      </c>
    </row>
    <row r="217" spans="1:8" x14ac:dyDescent="0.3">
      <c r="A217" s="2">
        <v>216</v>
      </c>
      <c r="B217" s="2" t="s">
        <v>95</v>
      </c>
      <c r="C217" s="2" t="s">
        <v>280</v>
      </c>
      <c r="D217" s="2" t="s">
        <v>3414</v>
      </c>
      <c r="E217" s="2" t="s">
        <v>3203</v>
      </c>
      <c r="F217" s="6">
        <v>44486</v>
      </c>
      <c r="G217" s="4">
        <v>3000</v>
      </c>
      <c r="H217" s="4">
        <v>68000</v>
      </c>
    </row>
    <row r="218" spans="1:8" x14ac:dyDescent="0.3">
      <c r="A218" s="2">
        <v>217</v>
      </c>
      <c r="B218" s="2" t="s">
        <v>100</v>
      </c>
      <c r="C218" s="2" t="s">
        <v>270</v>
      </c>
      <c r="D218" s="2" t="s">
        <v>3415</v>
      </c>
      <c r="E218" s="2" t="s">
        <v>3157</v>
      </c>
      <c r="F218" s="6">
        <v>44488</v>
      </c>
      <c r="G218" s="4">
        <v>3000</v>
      </c>
      <c r="H218" s="4">
        <v>40000</v>
      </c>
    </row>
    <row r="219" spans="1:8" x14ac:dyDescent="0.3">
      <c r="A219" s="2">
        <v>218</v>
      </c>
      <c r="B219" s="2" t="s">
        <v>105</v>
      </c>
      <c r="C219" s="2" t="s">
        <v>270</v>
      </c>
      <c r="D219" s="2" t="s">
        <v>966</v>
      </c>
      <c r="E219" s="2">
        <v>1</v>
      </c>
      <c r="F219" s="6">
        <v>44489</v>
      </c>
      <c r="G219" s="4">
        <v>3000</v>
      </c>
      <c r="H219" s="4">
        <v>2000</v>
      </c>
    </row>
    <row r="220" spans="1:8" x14ac:dyDescent="0.3">
      <c r="A220" s="2">
        <v>219</v>
      </c>
      <c r="B220" s="2" t="s">
        <v>110</v>
      </c>
      <c r="C220" s="2" t="s">
        <v>270</v>
      </c>
      <c r="D220" s="2" t="s">
        <v>3416</v>
      </c>
      <c r="E220" s="2" t="s">
        <v>3315</v>
      </c>
      <c r="F220" s="6">
        <v>44474</v>
      </c>
      <c r="G220" s="4">
        <v>3000</v>
      </c>
      <c r="H220" s="4">
        <v>60000</v>
      </c>
    </row>
    <row r="221" spans="1:8" x14ac:dyDescent="0.3">
      <c r="A221" s="2">
        <v>220</v>
      </c>
      <c r="B221" s="2" t="s">
        <v>115</v>
      </c>
      <c r="C221" s="2" t="s">
        <v>280</v>
      </c>
      <c r="D221" s="2" t="s">
        <v>3417</v>
      </c>
      <c r="E221" s="2" t="s">
        <v>3141</v>
      </c>
      <c r="F221" s="6">
        <v>44474</v>
      </c>
      <c r="G221" s="4">
        <v>3000</v>
      </c>
      <c r="H221" s="4">
        <v>96000</v>
      </c>
    </row>
    <row r="222" spans="1:8" x14ac:dyDescent="0.3">
      <c r="A222" s="2">
        <v>221</v>
      </c>
      <c r="B222" s="2" t="s">
        <v>120</v>
      </c>
      <c r="C222" s="2" t="s">
        <v>285</v>
      </c>
      <c r="D222" s="2" t="s">
        <v>3418</v>
      </c>
      <c r="E222" s="2" t="s">
        <v>1388</v>
      </c>
      <c r="F222" s="6">
        <v>44477</v>
      </c>
      <c r="G222" s="4">
        <v>3000</v>
      </c>
      <c r="H222" s="4">
        <v>14000</v>
      </c>
    </row>
    <row r="223" spans="1:8" x14ac:dyDescent="0.3">
      <c r="A223" s="2">
        <v>222</v>
      </c>
      <c r="B223" s="2" t="s">
        <v>155</v>
      </c>
      <c r="C223" s="2" t="s">
        <v>290</v>
      </c>
      <c r="D223" s="2" t="s">
        <v>997</v>
      </c>
      <c r="E223" s="2">
        <v>2</v>
      </c>
      <c r="F223" s="6">
        <v>44470</v>
      </c>
      <c r="G223" s="4">
        <v>3000</v>
      </c>
      <c r="H223" s="4">
        <v>11000</v>
      </c>
    </row>
    <row r="224" spans="1:8" x14ac:dyDescent="0.3">
      <c r="A224" s="2">
        <v>223</v>
      </c>
      <c r="B224" s="2" t="s">
        <v>20</v>
      </c>
      <c r="C224" s="2" t="s">
        <v>305</v>
      </c>
      <c r="D224" s="2" t="s">
        <v>3419</v>
      </c>
      <c r="E224" s="2" t="s">
        <v>3420</v>
      </c>
      <c r="F224" s="6">
        <v>44494</v>
      </c>
      <c r="G224" s="4">
        <v>3000</v>
      </c>
      <c r="H224" s="4">
        <v>7600</v>
      </c>
    </row>
    <row r="225" spans="1:8" x14ac:dyDescent="0.3">
      <c r="A225" s="2">
        <v>224</v>
      </c>
      <c r="B225" s="2" t="s">
        <v>155</v>
      </c>
      <c r="C225" s="2" t="s">
        <v>315</v>
      </c>
      <c r="D225" s="2" t="s">
        <v>1080</v>
      </c>
      <c r="E225" s="2">
        <v>3</v>
      </c>
      <c r="F225" s="6">
        <v>44439</v>
      </c>
      <c r="G225" s="4">
        <v>3000</v>
      </c>
      <c r="H225" s="4">
        <v>33000</v>
      </c>
    </row>
    <row r="226" spans="1:8" x14ac:dyDescent="0.3">
      <c r="A226" s="2">
        <v>225</v>
      </c>
      <c r="B226" s="2" t="s">
        <v>105</v>
      </c>
      <c r="C226" s="2" t="s">
        <v>320</v>
      </c>
      <c r="D226" s="2" t="s">
        <v>3421</v>
      </c>
      <c r="E226" s="2" t="s">
        <v>3422</v>
      </c>
      <c r="F226" s="6">
        <v>44490</v>
      </c>
      <c r="G226" s="4">
        <v>3000</v>
      </c>
      <c r="H226" s="4">
        <v>54000</v>
      </c>
    </row>
    <row r="227" spans="1:8" x14ac:dyDescent="0.3">
      <c r="A227" s="2">
        <v>226</v>
      </c>
      <c r="B227" s="2" t="s">
        <v>85</v>
      </c>
      <c r="C227" s="2" t="s">
        <v>325</v>
      </c>
      <c r="D227" s="2" t="s">
        <v>3423</v>
      </c>
      <c r="E227" s="2" t="s">
        <v>3165</v>
      </c>
      <c r="F227" s="6">
        <v>44502</v>
      </c>
      <c r="G227" s="4">
        <v>3000</v>
      </c>
      <c r="H227" s="4">
        <v>34000</v>
      </c>
    </row>
    <row r="228" spans="1:8" x14ac:dyDescent="0.3">
      <c r="A228" s="2">
        <v>227</v>
      </c>
      <c r="B228" s="2" t="s">
        <v>85</v>
      </c>
      <c r="C228" s="2" t="s">
        <v>330</v>
      </c>
      <c r="D228" s="2" t="s">
        <v>3424</v>
      </c>
      <c r="E228" s="2" t="s">
        <v>3425</v>
      </c>
      <c r="F228" s="6">
        <v>44475</v>
      </c>
      <c r="G228" s="4">
        <v>3000</v>
      </c>
      <c r="H228" s="4">
        <v>42000</v>
      </c>
    </row>
    <row r="229" spans="1:8" x14ac:dyDescent="0.3">
      <c r="A229" s="2">
        <v>228</v>
      </c>
      <c r="B229" s="2" t="s">
        <v>180</v>
      </c>
      <c r="C229" s="2" t="s">
        <v>340</v>
      </c>
      <c r="D229" s="2" t="s">
        <v>3426</v>
      </c>
      <c r="E229" s="2" t="s">
        <v>3427</v>
      </c>
      <c r="F229" s="6">
        <v>44436</v>
      </c>
      <c r="G229" s="4">
        <v>3000</v>
      </c>
      <c r="H229" s="4">
        <v>65000</v>
      </c>
    </row>
    <row r="230" spans="1:8" x14ac:dyDescent="0.3">
      <c r="A230" s="2">
        <v>229</v>
      </c>
      <c r="B230" s="2" t="s">
        <v>145</v>
      </c>
      <c r="C230" s="2" t="s">
        <v>350</v>
      </c>
      <c r="D230" s="2" t="s">
        <v>3428</v>
      </c>
      <c r="E230" s="2" t="s">
        <v>3153</v>
      </c>
      <c r="F230" s="6">
        <v>44455</v>
      </c>
      <c r="G230" s="4">
        <v>3000</v>
      </c>
      <c r="H230" s="4">
        <v>17000</v>
      </c>
    </row>
    <row r="231" spans="1:8" x14ac:dyDescent="0.3">
      <c r="A231" s="2">
        <v>230</v>
      </c>
      <c r="B231" s="2" t="s">
        <v>100</v>
      </c>
      <c r="C231" s="2" t="s">
        <v>355</v>
      </c>
      <c r="D231" s="2" t="s">
        <v>948</v>
      </c>
      <c r="E231" s="2">
        <v>2</v>
      </c>
      <c r="F231" s="6">
        <v>44468</v>
      </c>
      <c r="G231" s="4">
        <v>3000</v>
      </c>
      <c r="H231" s="4">
        <v>10000</v>
      </c>
    </row>
    <row r="232" spans="1:8" x14ac:dyDescent="0.3">
      <c r="A232" s="2">
        <v>231</v>
      </c>
      <c r="B232" s="2" t="s">
        <v>150</v>
      </c>
      <c r="C232" s="2" t="s">
        <v>360</v>
      </c>
      <c r="D232" s="2" t="s">
        <v>3429</v>
      </c>
      <c r="E232" s="2" t="s">
        <v>3430</v>
      </c>
      <c r="F232" s="6">
        <v>44444</v>
      </c>
      <c r="G232" s="4">
        <v>3000</v>
      </c>
      <c r="H232" s="4">
        <v>152000</v>
      </c>
    </row>
    <row r="233" spans="1:8" x14ac:dyDescent="0.3">
      <c r="A233" s="2">
        <v>232</v>
      </c>
      <c r="B233" s="2" t="s">
        <v>115</v>
      </c>
      <c r="C233" s="2" t="s">
        <v>370</v>
      </c>
      <c r="D233" s="2" t="s">
        <v>1023</v>
      </c>
      <c r="E233" s="2">
        <v>2</v>
      </c>
      <c r="F233" s="6">
        <v>44477</v>
      </c>
      <c r="G233" s="4">
        <v>3000</v>
      </c>
      <c r="H233" s="4">
        <v>12000</v>
      </c>
    </row>
    <row r="234" spans="1:8" x14ac:dyDescent="0.3">
      <c r="A234" s="2">
        <v>233</v>
      </c>
      <c r="B234" s="2" t="s">
        <v>130</v>
      </c>
      <c r="C234" s="2" t="s">
        <v>375</v>
      </c>
      <c r="D234" s="2" t="s">
        <v>3431</v>
      </c>
      <c r="E234" s="2" t="s">
        <v>3209</v>
      </c>
      <c r="F234" s="6">
        <v>44488</v>
      </c>
      <c r="G234" s="4">
        <v>3000</v>
      </c>
      <c r="H234" s="4">
        <v>55000</v>
      </c>
    </row>
    <row r="235" spans="1:8" x14ac:dyDescent="0.3">
      <c r="A235" s="2">
        <v>234</v>
      </c>
      <c r="B235" s="2" t="s">
        <v>170</v>
      </c>
      <c r="C235" s="2" t="s">
        <v>380</v>
      </c>
      <c r="D235" s="2" t="s">
        <v>3432</v>
      </c>
      <c r="E235" s="2" t="s">
        <v>3345</v>
      </c>
      <c r="F235" s="6">
        <v>44423</v>
      </c>
      <c r="G235" s="4">
        <v>3000</v>
      </c>
      <c r="H235" s="4">
        <v>36000</v>
      </c>
    </row>
    <row r="236" spans="1:8" x14ac:dyDescent="0.3">
      <c r="A236" s="2">
        <v>235</v>
      </c>
      <c r="B236" s="2" t="s">
        <v>20</v>
      </c>
      <c r="C236" s="2" t="s">
        <v>385</v>
      </c>
      <c r="D236" s="2" t="s">
        <v>948</v>
      </c>
      <c r="E236" s="2">
        <v>2</v>
      </c>
      <c r="F236" s="6">
        <v>44432</v>
      </c>
      <c r="G236" s="4">
        <v>3000</v>
      </c>
      <c r="H236" s="4">
        <v>10000</v>
      </c>
    </row>
    <row r="237" spans="1:8" x14ac:dyDescent="0.3">
      <c r="A237" s="2">
        <v>236</v>
      </c>
      <c r="B237" s="2" t="s">
        <v>45</v>
      </c>
      <c r="C237" s="2" t="s">
        <v>390</v>
      </c>
      <c r="D237" s="2" t="s">
        <v>3433</v>
      </c>
      <c r="E237" s="2" t="s">
        <v>3355</v>
      </c>
      <c r="F237" s="6">
        <v>44464</v>
      </c>
      <c r="G237" s="4">
        <v>0</v>
      </c>
      <c r="H237" s="4">
        <v>91000</v>
      </c>
    </row>
    <row r="238" spans="1:8" x14ac:dyDescent="0.3">
      <c r="A238" s="2">
        <v>237</v>
      </c>
      <c r="B238" s="2" t="s">
        <v>195</v>
      </c>
      <c r="C238" s="2" t="s">
        <v>395</v>
      </c>
      <c r="D238" s="2" t="s">
        <v>3434</v>
      </c>
      <c r="E238" s="2" t="s">
        <v>3345</v>
      </c>
      <c r="F238" s="6">
        <v>44422</v>
      </c>
      <c r="G238" s="4">
        <v>3000</v>
      </c>
      <c r="H238" s="4">
        <v>10500</v>
      </c>
    </row>
    <row r="239" spans="1:8" x14ac:dyDescent="0.3">
      <c r="A239" s="2">
        <v>238</v>
      </c>
      <c r="B239" s="2" t="s">
        <v>145</v>
      </c>
      <c r="C239" s="2" t="s">
        <v>400</v>
      </c>
      <c r="D239" s="2" t="s">
        <v>3435</v>
      </c>
      <c r="E239" s="2" t="s">
        <v>3341</v>
      </c>
      <c r="F239" s="6">
        <v>44464</v>
      </c>
      <c r="G239" s="4">
        <v>3000</v>
      </c>
      <c r="H239" s="4">
        <v>143500</v>
      </c>
    </row>
    <row r="240" spans="1:8" x14ac:dyDescent="0.3">
      <c r="A240" s="2">
        <v>239</v>
      </c>
      <c r="B240" s="2" t="s">
        <v>95</v>
      </c>
      <c r="C240" s="2" t="s">
        <v>420</v>
      </c>
      <c r="D240" s="2" t="s">
        <v>3436</v>
      </c>
      <c r="E240" s="2" t="s">
        <v>3437</v>
      </c>
      <c r="F240" s="6">
        <v>44494</v>
      </c>
      <c r="G240" s="4">
        <v>3000</v>
      </c>
      <c r="H240" s="4">
        <v>31000</v>
      </c>
    </row>
    <row r="241" spans="1:8" x14ac:dyDescent="0.3">
      <c r="A241" s="2">
        <v>240</v>
      </c>
      <c r="B241" s="2" t="s">
        <v>100</v>
      </c>
      <c r="C241" s="2" t="s">
        <v>425</v>
      </c>
      <c r="D241" s="2" t="s">
        <v>3438</v>
      </c>
      <c r="E241" s="2" t="s">
        <v>3357</v>
      </c>
      <c r="F241" s="6">
        <v>44431</v>
      </c>
      <c r="G241" s="4">
        <v>3000</v>
      </c>
      <c r="H241" s="4">
        <v>40500</v>
      </c>
    </row>
    <row r="242" spans="1:8" x14ac:dyDescent="0.3">
      <c r="A242" s="2">
        <v>241</v>
      </c>
      <c r="B242" s="2" t="s">
        <v>150</v>
      </c>
      <c r="C242" s="2" t="s">
        <v>435</v>
      </c>
      <c r="D242" s="2" t="s">
        <v>3439</v>
      </c>
      <c r="E242" s="2" t="s">
        <v>3440</v>
      </c>
      <c r="F242" s="6">
        <v>44421</v>
      </c>
      <c r="G242" s="4">
        <v>3000</v>
      </c>
      <c r="H242" s="4">
        <v>55500</v>
      </c>
    </row>
    <row r="243" spans="1:8" x14ac:dyDescent="0.3">
      <c r="A243" s="2">
        <v>242</v>
      </c>
      <c r="B243" s="2" t="s">
        <v>55</v>
      </c>
      <c r="C243" s="2" t="s">
        <v>465</v>
      </c>
      <c r="D243" s="2" t="s">
        <v>3441</v>
      </c>
      <c r="E243" s="2" t="s">
        <v>3141</v>
      </c>
      <c r="F243" s="6">
        <v>44490</v>
      </c>
      <c r="G243" s="4">
        <v>3000</v>
      </c>
      <c r="H243" s="4">
        <v>26000</v>
      </c>
    </row>
    <row r="244" spans="1:8" x14ac:dyDescent="0.3">
      <c r="A244" s="2">
        <v>243</v>
      </c>
      <c r="B244" s="2" t="s">
        <v>20</v>
      </c>
      <c r="C244" s="2" t="s">
        <v>475</v>
      </c>
      <c r="D244" s="2" t="s">
        <v>3442</v>
      </c>
      <c r="E244" s="2" t="s">
        <v>3443</v>
      </c>
      <c r="F244" s="6">
        <v>44465</v>
      </c>
      <c r="G244" s="4">
        <v>3000</v>
      </c>
      <c r="H244" s="4">
        <v>29500</v>
      </c>
    </row>
    <row r="245" spans="1:8" x14ac:dyDescent="0.3">
      <c r="A245" s="2">
        <v>244</v>
      </c>
      <c r="B245" s="2" t="s">
        <v>175</v>
      </c>
      <c r="C245" s="2" t="s">
        <v>485</v>
      </c>
      <c r="D245" s="2" t="s">
        <v>3444</v>
      </c>
      <c r="E245" s="2" t="s">
        <v>3261</v>
      </c>
      <c r="F245" s="6">
        <v>44432</v>
      </c>
      <c r="G245" s="4">
        <v>3000</v>
      </c>
      <c r="H245" s="4">
        <v>32500</v>
      </c>
    </row>
    <row r="246" spans="1:8" x14ac:dyDescent="0.3">
      <c r="A246" s="2">
        <v>245</v>
      </c>
      <c r="B246" s="2" t="s">
        <v>55</v>
      </c>
      <c r="C246" s="2" t="s">
        <v>490</v>
      </c>
      <c r="D246" s="2" t="s">
        <v>3445</v>
      </c>
      <c r="E246" s="2" t="s">
        <v>3446</v>
      </c>
      <c r="F246" s="6">
        <v>44460</v>
      </c>
      <c r="G246" s="4">
        <v>3000</v>
      </c>
      <c r="H246" s="4">
        <v>36000</v>
      </c>
    </row>
    <row r="247" spans="1:8" x14ac:dyDescent="0.3">
      <c r="A247" s="2">
        <v>246</v>
      </c>
      <c r="B247" s="2" t="s">
        <v>40</v>
      </c>
      <c r="C247" s="2" t="s">
        <v>495</v>
      </c>
      <c r="D247" s="2" t="s">
        <v>1007</v>
      </c>
      <c r="E247" s="2">
        <v>3</v>
      </c>
      <c r="F247" s="6">
        <v>44505</v>
      </c>
      <c r="G247" s="4">
        <v>3000</v>
      </c>
      <c r="H247" s="4">
        <v>7500</v>
      </c>
    </row>
    <row r="248" spans="1:8" x14ac:dyDescent="0.3">
      <c r="A248" s="2">
        <v>247</v>
      </c>
      <c r="B248" s="2" t="s">
        <v>55</v>
      </c>
      <c r="C248" s="2" t="s">
        <v>505</v>
      </c>
      <c r="D248" s="2" t="s">
        <v>1118</v>
      </c>
      <c r="E248" s="2">
        <v>1</v>
      </c>
      <c r="F248" s="6">
        <v>44446</v>
      </c>
      <c r="G248" s="4">
        <v>3000</v>
      </c>
      <c r="H248" s="4">
        <v>2500</v>
      </c>
    </row>
    <row r="249" spans="1:8" x14ac:dyDescent="0.3">
      <c r="A249" s="2">
        <v>248</v>
      </c>
      <c r="B249" s="2" t="s">
        <v>55</v>
      </c>
      <c r="C249" s="2" t="s">
        <v>510</v>
      </c>
      <c r="D249" s="2" t="s">
        <v>3447</v>
      </c>
      <c r="E249" s="2" t="s">
        <v>3165</v>
      </c>
      <c r="F249" s="6">
        <v>44503</v>
      </c>
      <c r="G249" s="4">
        <v>3000</v>
      </c>
      <c r="H249" s="4">
        <v>28000</v>
      </c>
    </row>
    <row r="250" spans="1:8" x14ac:dyDescent="0.3">
      <c r="A250" s="2">
        <v>249</v>
      </c>
      <c r="B250" s="2" t="s">
        <v>110</v>
      </c>
      <c r="C250" s="2" t="s">
        <v>515</v>
      </c>
      <c r="D250" s="2" t="s">
        <v>3448</v>
      </c>
      <c r="E250" s="2" t="s">
        <v>1388</v>
      </c>
      <c r="F250" s="6">
        <v>44433</v>
      </c>
      <c r="G250" s="4">
        <v>3000</v>
      </c>
      <c r="H250" s="4">
        <v>10000</v>
      </c>
    </row>
    <row r="251" spans="1:8" x14ac:dyDescent="0.3">
      <c r="A251" s="2">
        <v>250</v>
      </c>
      <c r="B251" s="2" t="s">
        <v>185</v>
      </c>
      <c r="C251" s="2" t="s">
        <v>525</v>
      </c>
      <c r="D251" s="2" t="s">
        <v>3449</v>
      </c>
      <c r="E251" s="2" t="s">
        <v>3293</v>
      </c>
      <c r="F251" s="6">
        <v>44453</v>
      </c>
      <c r="G251" s="4">
        <v>3000</v>
      </c>
      <c r="H251" s="4">
        <v>43500</v>
      </c>
    </row>
    <row r="252" spans="1:8" x14ac:dyDescent="0.3">
      <c r="A252" s="2">
        <v>251</v>
      </c>
      <c r="B252" s="2" t="s">
        <v>85</v>
      </c>
      <c r="C252" s="2" t="s">
        <v>550</v>
      </c>
      <c r="D252" s="2" t="s">
        <v>993</v>
      </c>
      <c r="E252" s="2">
        <v>2</v>
      </c>
      <c r="F252" s="6">
        <v>44452</v>
      </c>
      <c r="G252" s="4">
        <v>3000</v>
      </c>
      <c r="H252" s="4">
        <v>10000</v>
      </c>
    </row>
    <row r="253" spans="1:8" x14ac:dyDescent="0.3">
      <c r="A253" s="2">
        <v>252</v>
      </c>
      <c r="B253" s="2" t="s">
        <v>40</v>
      </c>
      <c r="C253" s="2" t="s">
        <v>565</v>
      </c>
      <c r="D253" s="2" t="s">
        <v>3450</v>
      </c>
      <c r="E253" s="2" t="s">
        <v>3451</v>
      </c>
      <c r="F253" s="6">
        <v>44461</v>
      </c>
      <c r="G253" s="4">
        <v>3000</v>
      </c>
      <c r="H253" s="4">
        <v>40500</v>
      </c>
    </row>
    <row r="254" spans="1:8" x14ac:dyDescent="0.3">
      <c r="A254" s="2">
        <v>253</v>
      </c>
      <c r="B254" s="2" t="s">
        <v>95</v>
      </c>
      <c r="C254" s="2" t="s">
        <v>585</v>
      </c>
      <c r="D254" s="2" t="s">
        <v>962</v>
      </c>
      <c r="E254" s="2">
        <v>3</v>
      </c>
      <c r="F254" s="6">
        <v>44460</v>
      </c>
      <c r="G254" s="4">
        <v>3000</v>
      </c>
      <c r="H254" s="4">
        <v>6000</v>
      </c>
    </row>
    <row r="255" spans="1:8" x14ac:dyDescent="0.3">
      <c r="A255" s="2">
        <v>254</v>
      </c>
      <c r="B255" s="2" t="s">
        <v>130</v>
      </c>
      <c r="C255" s="2" t="s">
        <v>605</v>
      </c>
      <c r="D255" s="2" t="s">
        <v>3452</v>
      </c>
      <c r="E255" s="2" t="s">
        <v>3453</v>
      </c>
      <c r="F255" s="6">
        <v>44456</v>
      </c>
      <c r="G255" s="4">
        <v>3000</v>
      </c>
      <c r="H255" s="4">
        <v>26500</v>
      </c>
    </row>
    <row r="256" spans="1:8" x14ac:dyDescent="0.3">
      <c r="A256" s="2">
        <v>255</v>
      </c>
      <c r="B256" s="2" t="s">
        <v>30</v>
      </c>
      <c r="C256" s="2" t="s">
        <v>630</v>
      </c>
      <c r="D256" s="2" t="s">
        <v>3454</v>
      </c>
      <c r="E256" s="2" t="s">
        <v>3455</v>
      </c>
      <c r="F256" s="6">
        <v>44462</v>
      </c>
      <c r="G256" s="4">
        <v>3000</v>
      </c>
      <c r="H256" s="4">
        <v>84500</v>
      </c>
    </row>
    <row r="257" spans="1:8" x14ac:dyDescent="0.3">
      <c r="A257" s="2">
        <v>256</v>
      </c>
      <c r="B257" s="2" t="s">
        <v>195</v>
      </c>
      <c r="C257" s="2" t="s">
        <v>640</v>
      </c>
      <c r="D257" s="2" t="s">
        <v>3456</v>
      </c>
      <c r="E257" s="2" t="s">
        <v>3457</v>
      </c>
      <c r="F257" s="6">
        <v>44433</v>
      </c>
      <c r="G257" s="4">
        <v>3000</v>
      </c>
      <c r="H257" s="4">
        <v>46500</v>
      </c>
    </row>
    <row r="258" spans="1:8" x14ac:dyDescent="0.3">
      <c r="A258" s="2">
        <v>257</v>
      </c>
      <c r="B258" s="2" t="s">
        <v>200</v>
      </c>
      <c r="C258" s="2" t="s">
        <v>645</v>
      </c>
      <c r="D258" s="2" t="s">
        <v>1038</v>
      </c>
      <c r="E258" s="2">
        <v>2</v>
      </c>
      <c r="F258" s="6">
        <v>44490</v>
      </c>
      <c r="G258" s="4">
        <v>3000</v>
      </c>
      <c r="H258" s="4">
        <v>4000</v>
      </c>
    </row>
    <row r="259" spans="1:8" x14ac:dyDescent="0.3">
      <c r="A259" s="2">
        <v>258</v>
      </c>
      <c r="B259" s="2" t="s">
        <v>90</v>
      </c>
      <c r="C259" s="2" t="s">
        <v>665</v>
      </c>
      <c r="D259" s="2" t="s">
        <v>3458</v>
      </c>
      <c r="E259" s="2" t="s">
        <v>3141</v>
      </c>
      <c r="F259" s="6">
        <v>44448</v>
      </c>
      <c r="G259" s="4">
        <v>3000</v>
      </c>
      <c r="H259" s="4">
        <v>16000</v>
      </c>
    </row>
    <row r="260" spans="1:8" x14ac:dyDescent="0.3">
      <c r="A260" s="2">
        <v>259</v>
      </c>
      <c r="B260" s="2" t="s">
        <v>85</v>
      </c>
      <c r="C260" s="2" t="s">
        <v>685</v>
      </c>
      <c r="D260" s="2" t="s">
        <v>3459</v>
      </c>
      <c r="E260" s="2" t="s">
        <v>3460</v>
      </c>
      <c r="F260" s="6">
        <v>44472</v>
      </c>
      <c r="G260" s="4">
        <v>3000</v>
      </c>
      <c r="H260" s="4">
        <v>76000</v>
      </c>
    </row>
    <row r="261" spans="1:8" x14ac:dyDescent="0.3">
      <c r="A261" s="2">
        <v>260</v>
      </c>
      <c r="B261" s="2" t="s">
        <v>80</v>
      </c>
      <c r="C261" s="2" t="s">
        <v>695</v>
      </c>
      <c r="D261" s="2" t="s">
        <v>3461</v>
      </c>
      <c r="E261" s="2" t="s">
        <v>3462</v>
      </c>
      <c r="F261" s="6">
        <v>44444</v>
      </c>
      <c r="G261" s="4">
        <v>3000</v>
      </c>
      <c r="H261" s="4">
        <v>34000</v>
      </c>
    </row>
    <row r="262" spans="1:8" x14ac:dyDescent="0.3">
      <c r="A262" s="2">
        <v>261</v>
      </c>
      <c r="B262" s="2" t="s">
        <v>75</v>
      </c>
      <c r="C262" s="2" t="s">
        <v>700</v>
      </c>
      <c r="D262" s="2" t="s">
        <v>3463</v>
      </c>
      <c r="E262" s="2" t="s">
        <v>3345</v>
      </c>
      <c r="F262" s="6">
        <v>44443</v>
      </c>
      <c r="G262" s="4">
        <v>3000</v>
      </c>
      <c r="H262" s="4">
        <v>22000</v>
      </c>
    </row>
    <row r="263" spans="1:8" x14ac:dyDescent="0.3">
      <c r="A263" s="2">
        <v>262</v>
      </c>
      <c r="B263" s="2" t="s">
        <v>110</v>
      </c>
      <c r="C263" s="2" t="s">
        <v>705</v>
      </c>
      <c r="D263" s="2" t="s">
        <v>3464</v>
      </c>
      <c r="E263" s="2" t="s">
        <v>3465</v>
      </c>
      <c r="F263" s="6">
        <v>44484</v>
      </c>
      <c r="G263" s="4">
        <v>3000</v>
      </c>
      <c r="H263" s="4">
        <v>52000</v>
      </c>
    </row>
    <row r="264" spans="1:8" x14ac:dyDescent="0.3">
      <c r="A264" s="2">
        <v>263</v>
      </c>
      <c r="B264" s="2" t="s">
        <v>110</v>
      </c>
      <c r="C264" s="2" t="s">
        <v>715</v>
      </c>
      <c r="D264" s="2" t="s">
        <v>3466</v>
      </c>
      <c r="E264" s="2" t="s">
        <v>3248</v>
      </c>
      <c r="F264" s="6">
        <v>44446</v>
      </c>
      <c r="G264" s="4">
        <v>3000</v>
      </c>
      <c r="H264" s="4">
        <v>89500</v>
      </c>
    </row>
    <row r="265" spans="1:8" x14ac:dyDescent="0.3">
      <c r="A265" s="2">
        <v>264</v>
      </c>
      <c r="B265" s="2" t="s">
        <v>115</v>
      </c>
      <c r="C265" s="2" t="s">
        <v>720</v>
      </c>
      <c r="D265" s="2" t="s">
        <v>3467</v>
      </c>
      <c r="E265" s="2" t="s">
        <v>3289</v>
      </c>
      <c r="F265" s="6">
        <v>44420</v>
      </c>
      <c r="G265" s="4">
        <v>3000</v>
      </c>
      <c r="H265" s="4">
        <v>75000</v>
      </c>
    </row>
    <row r="266" spans="1:8" x14ac:dyDescent="0.3">
      <c r="A266" s="2">
        <v>265</v>
      </c>
      <c r="B266" s="2" t="s">
        <v>20</v>
      </c>
      <c r="C266" s="2" t="s">
        <v>725</v>
      </c>
      <c r="D266" s="2" t="s">
        <v>1028</v>
      </c>
      <c r="E266" s="2">
        <v>1</v>
      </c>
      <c r="F266" s="6">
        <v>44503</v>
      </c>
      <c r="G266" s="4">
        <v>3000</v>
      </c>
      <c r="H266" s="4">
        <v>4000</v>
      </c>
    </row>
    <row r="267" spans="1:8" x14ac:dyDescent="0.3">
      <c r="A267" s="2">
        <v>266</v>
      </c>
      <c r="B267" s="2" t="s">
        <v>30</v>
      </c>
      <c r="C267" s="2" t="s">
        <v>730</v>
      </c>
      <c r="D267" s="2" t="s">
        <v>3468</v>
      </c>
      <c r="E267" s="2" t="s">
        <v>3469</v>
      </c>
      <c r="F267" s="6">
        <v>44458</v>
      </c>
      <c r="G267" s="4">
        <v>3000</v>
      </c>
      <c r="H267" s="4">
        <v>85000</v>
      </c>
    </row>
    <row r="268" spans="1:8" x14ac:dyDescent="0.3">
      <c r="A268" s="2">
        <v>267</v>
      </c>
      <c r="B268" s="2" t="s">
        <v>35</v>
      </c>
      <c r="C268" s="2" t="s">
        <v>740</v>
      </c>
      <c r="D268" s="2" t="s">
        <v>3470</v>
      </c>
      <c r="E268" s="2" t="s">
        <v>3360</v>
      </c>
      <c r="F268" s="6">
        <v>44426</v>
      </c>
      <c r="G268" s="4">
        <v>3000</v>
      </c>
      <c r="H268" s="4">
        <v>59500</v>
      </c>
    </row>
    <row r="269" spans="1:8" x14ac:dyDescent="0.3">
      <c r="A269" s="2">
        <v>268</v>
      </c>
      <c r="B269" s="2" t="s">
        <v>85</v>
      </c>
      <c r="C269" s="2" t="s">
        <v>745</v>
      </c>
      <c r="D269" s="2" t="s">
        <v>3471</v>
      </c>
      <c r="E269" s="2" t="s">
        <v>3143</v>
      </c>
      <c r="F269" s="6">
        <v>44447</v>
      </c>
      <c r="G269" s="4">
        <v>3000</v>
      </c>
      <c r="H269" s="4">
        <v>17000</v>
      </c>
    </row>
    <row r="270" spans="1:8" x14ac:dyDescent="0.3">
      <c r="A270" s="2">
        <v>269</v>
      </c>
      <c r="B270" s="2" t="s">
        <v>110</v>
      </c>
      <c r="C270" s="2" t="s">
        <v>750</v>
      </c>
      <c r="D270" s="2" t="s">
        <v>3472</v>
      </c>
      <c r="E270" s="2" t="s">
        <v>1390</v>
      </c>
      <c r="F270" s="6">
        <v>44502</v>
      </c>
      <c r="G270" s="4">
        <v>3000</v>
      </c>
      <c r="H270" s="4">
        <v>17000</v>
      </c>
    </row>
    <row r="271" spans="1:8" x14ac:dyDescent="0.3">
      <c r="A271" s="2">
        <v>270</v>
      </c>
      <c r="B271" s="2" t="s">
        <v>70</v>
      </c>
      <c r="C271" s="2" t="s">
        <v>760</v>
      </c>
      <c r="D271" s="2" t="s">
        <v>991</v>
      </c>
      <c r="E271" s="2">
        <v>2</v>
      </c>
      <c r="F271" s="6">
        <v>44438</v>
      </c>
      <c r="G271" s="4">
        <v>3000</v>
      </c>
      <c r="H271" s="4">
        <v>22000</v>
      </c>
    </row>
    <row r="272" spans="1:8" x14ac:dyDescent="0.3">
      <c r="A272" s="2">
        <v>271</v>
      </c>
      <c r="B272" s="2" t="s">
        <v>145</v>
      </c>
      <c r="C272" s="2" t="s">
        <v>765</v>
      </c>
      <c r="D272" s="2" t="s">
        <v>3473</v>
      </c>
      <c r="E272" s="2" t="s">
        <v>3137</v>
      </c>
      <c r="F272" s="6">
        <v>44434</v>
      </c>
      <c r="G272" s="4">
        <v>3000</v>
      </c>
      <c r="H272" s="4">
        <v>7900</v>
      </c>
    </row>
    <row r="273" spans="1:8" x14ac:dyDescent="0.3">
      <c r="A273" s="2">
        <v>272</v>
      </c>
      <c r="B273" s="2" t="s">
        <v>75</v>
      </c>
      <c r="C273" s="2" t="s">
        <v>770</v>
      </c>
      <c r="D273" s="2" t="s">
        <v>3474</v>
      </c>
      <c r="E273" s="2" t="s">
        <v>3475</v>
      </c>
      <c r="F273" s="6">
        <v>44484</v>
      </c>
      <c r="G273" s="4">
        <v>3000</v>
      </c>
      <c r="H273" s="4">
        <v>88000</v>
      </c>
    </row>
    <row r="274" spans="1:8" x14ac:dyDescent="0.3">
      <c r="A274" s="2">
        <v>273</v>
      </c>
      <c r="B274" s="2" t="s">
        <v>25</v>
      </c>
      <c r="C274" s="2" t="s">
        <v>775</v>
      </c>
      <c r="D274" s="2" t="s">
        <v>3476</v>
      </c>
      <c r="E274" s="2" t="s">
        <v>3141</v>
      </c>
      <c r="F274" s="6">
        <v>44481</v>
      </c>
      <c r="G274" s="4">
        <v>3000</v>
      </c>
      <c r="H274" s="4">
        <v>25000</v>
      </c>
    </row>
    <row r="275" spans="1:8" x14ac:dyDescent="0.3">
      <c r="A275" s="2">
        <v>274</v>
      </c>
      <c r="B275" s="2" t="s">
        <v>85</v>
      </c>
      <c r="C275" s="2" t="s">
        <v>785</v>
      </c>
      <c r="D275" s="2" t="s">
        <v>3477</v>
      </c>
      <c r="E275" s="2" t="s">
        <v>3149</v>
      </c>
      <c r="F275" s="6">
        <v>44469</v>
      </c>
      <c r="G275" s="4">
        <v>3000</v>
      </c>
      <c r="H275" s="4">
        <v>10000</v>
      </c>
    </row>
    <row r="276" spans="1:8" x14ac:dyDescent="0.3">
      <c r="A276" s="2">
        <v>275</v>
      </c>
      <c r="B276" s="2" t="s">
        <v>30</v>
      </c>
      <c r="C276" s="2" t="s">
        <v>240</v>
      </c>
      <c r="D276" s="2" t="s">
        <v>950</v>
      </c>
      <c r="E276" s="2">
        <v>1</v>
      </c>
      <c r="F276" s="6">
        <v>44452</v>
      </c>
      <c r="G276" s="4">
        <v>3000</v>
      </c>
      <c r="H276" s="4">
        <v>25000</v>
      </c>
    </row>
    <row r="277" spans="1:8" x14ac:dyDescent="0.3">
      <c r="A277" s="2">
        <v>276</v>
      </c>
      <c r="B277" s="2" t="s">
        <v>165</v>
      </c>
      <c r="C277" s="2" t="s">
        <v>790</v>
      </c>
      <c r="D277" s="2" t="s">
        <v>3478</v>
      </c>
      <c r="E277" s="2" t="s">
        <v>3203</v>
      </c>
      <c r="F277" s="6">
        <v>44475</v>
      </c>
      <c r="G277" s="4">
        <v>3000</v>
      </c>
      <c r="H277" s="4">
        <v>65000</v>
      </c>
    </row>
    <row r="278" spans="1:8" x14ac:dyDescent="0.3">
      <c r="A278" s="2">
        <v>277</v>
      </c>
      <c r="B278" s="2" t="s">
        <v>95</v>
      </c>
      <c r="C278" s="2" t="s">
        <v>795</v>
      </c>
      <c r="D278" s="2" t="s">
        <v>1001</v>
      </c>
      <c r="E278" s="2">
        <v>1</v>
      </c>
      <c r="F278" s="6">
        <v>44454</v>
      </c>
      <c r="G278" s="4">
        <v>3000</v>
      </c>
      <c r="H278" s="4">
        <v>4500</v>
      </c>
    </row>
    <row r="279" spans="1:8" x14ac:dyDescent="0.3">
      <c r="A279" s="2">
        <v>278</v>
      </c>
      <c r="B279" s="2" t="s">
        <v>45</v>
      </c>
      <c r="C279" s="2" t="s">
        <v>800</v>
      </c>
      <c r="D279" s="2" t="s">
        <v>3479</v>
      </c>
      <c r="E279" s="2" t="s">
        <v>3387</v>
      </c>
      <c r="F279" s="6">
        <v>44479</v>
      </c>
      <c r="G279" s="4">
        <v>0</v>
      </c>
      <c r="H279" s="4">
        <v>23100</v>
      </c>
    </row>
    <row r="280" spans="1:8" x14ac:dyDescent="0.3">
      <c r="A280" s="2">
        <v>279</v>
      </c>
      <c r="B280" s="2" t="s">
        <v>100</v>
      </c>
      <c r="C280" s="2" t="s">
        <v>810</v>
      </c>
      <c r="D280" s="2" t="s">
        <v>3480</v>
      </c>
      <c r="E280" s="2" t="s">
        <v>3213</v>
      </c>
      <c r="F280" s="6">
        <v>44440</v>
      </c>
      <c r="G280" s="4">
        <v>3000</v>
      </c>
      <c r="H280" s="4">
        <v>12400</v>
      </c>
    </row>
    <row r="281" spans="1:8" x14ac:dyDescent="0.3">
      <c r="A281" s="2">
        <v>280</v>
      </c>
      <c r="B281" s="2" t="s">
        <v>195</v>
      </c>
      <c r="C281" s="2" t="s">
        <v>820</v>
      </c>
      <c r="D281" s="2" t="s">
        <v>3481</v>
      </c>
      <c r="E281" s="2" t="s">
        <v>3209</v>
      </c>
      <c r="F281" s="6">
        <v>44450</v>
      </c>
      <c r="G281" s="4">
        <v>3000</v>
      </c>
      <c r="H281" s="4">
        <v>20000</v>
      </c>
    </row>
    <row r="282" spans="1:8" x14ac:dyDescent="0.3">
      <c r="A282" s="2">
        <v>281</v>
      </c>
      <c r="B282" s="2" t="s">
        <v>110</v>
      </c>
      <c r="C282" s="2" t="s">
        <v>830</v>
      </c>
      <c r="D282" s="2" t="s">
        <v>3482</v>
      </c>
      <c r="E282" s="2" t="s">
        <v>1388</v>
      </c>
      <c r="F282" s="6">
        <v>44482</v>
      </c>
      <c r="G282" s="4">
        <v>3000</v>
      </c>
      <c r="H282" s="4">
        <v>12000</v>
      </c>
    </row>
    <row r="283" spans="1:8" x14ac:dyDescent="0.3">
      <c r="A283" s="2">
        <v>282</v>
      </c>
      <c r="B283" s="2" t="s">
        <v>165</v>
      </c>
      <c r="C283" s="2" t="s">
        <v>835</v>
      </c>
      <c r="D283" s="2" t="s">
        <v>3483</v>
      </c>
      <c r="E283" s="2" t="s">
        <v>3203</v>
      </c>
      <c r="F283" s="6">
        <v>44498</v>
      </c>
      <c r="G283" s="4">
        <v>3000</v>
      </c>
      <c r="H283" s="4">
        <v>28000</v>
      </c>
    </row>
    <row r="284" spans="1:8" x14ac:dyDescent="0.3">
      <c r="A284" s="2">
        <v>283</v>
      </c>
      <c r="B284" s="2" t="s">
        <v>130</v>
      </c>
      <c r="C284" s="2" t="s">
        <v>840</v>
      </c>
      <c r="D284" s="2" t="s">
        <v>1108</v>
      </c>
      <c r="E284" s="2">
        <v>1</v>
      </c>
      <c r="F284" s="6">
        <v>44503</v>
      </c>
      <c r="G284" s="4">
        <v>3000</v>
      </c>
      <c r="H284" s="4">
        <v>1500</v>
      </c>
    </row>
    <row r="285" spans="1:8" x14ac:dyDescent="0.3">
      <c r="A285" s="2">
        <v>284</v>
      </c>
      <c r="B285" s="2" t="s">
        <v>180</v>
      </c>
      <c r="C285" s="2" t="s">
        <v>845</v>
      </c>
      <c r="D285" s="2" t="s">
        <v>3484</v>
      </c>
      <c r="E285" s="2" t="s">
        <v>3362</v>
      </c>
      <c r="F285" s="6">
        <v>44429</v>
      </c>
      <c r="G285" s="4">
        <v>3000</v>
      </c>
      <c r="H285" s="4">
        <v>78000</v>
      </c>
    </row>
    <row r="286" spans="1:8" x14ac:dyDescent="0.3">
      <c r="A286" s="2">
        <v>285</v>
      </c>
      <c r="B286" s="2" t="s">
        <v>160</v>
      </c>
      <c r="C286" s="2" t="s">
        <v>850</v>
      </c>
      <c r="D286" s="2" t="s">
        <v>3485</v>
      </c>
      <c r="E286" s="2" t="s">
        <v>3143</v>
      </c>
      <c r="F286" s="6">
        <v>44414</v>
      </c>
      <c r="G286" s="4">
        <v>3000</v>
      </c>
      <c r="H286" s="4">
        <v>6500</v>
      </c>
    </row>
    <row r="287" spans="1:8" x14ac:dyDescent="0.3">
      <c r="A287" s="2">
        <v>286</v>
      </c>
      <c r="B287" s="2" t="s">
        <v>75</v>
      </c>
      <c r="C287" s="2" t="s">
        <v>855</v>
      </c>
      <c r="D287" s="2" t="s">
        <v>3486</v>
      </c>
      <c r="E287" s="2" t="s">
        <v>3192</v>
      </c>
      <c r="F287" s="6">
        <v>44437</v>
      </c>
      <c r="G287" s="4">
        <v>3000</v>
      </c>
      <c r="H287" s="4">
        <v>21500</v>
      </c>
    </row>
    <row r="288" spans="1:8" x14ac:dyDescent="0.3">
      <c r="A288" s="2">
        <v>287</v>
      </c>
      <c r="B288" s="2" t="s">
        <v>115</v>
      </c>
      <c r="C288" s="2" t="s">
        <v>860</v>
      </c>
      <c r="D288" s="2" t="s">
        <v>3487</v>
      </c>
      <c r="E288" s="2" t="s">
        <v>3488</v>
      </c>
      <c r="F288" s="6">
        <v>44467</v>
      </c>
      <c r="G288" s="4">
        <v>3000</v>
      </c>
      <c r="H288" s="4">
        <v>35600</v>
      </c>
    </row>
    <row r="289" spans="1:8" x14ac:dyDescent="0.3">
      <c r="A289" s="2">
        <v>288</v>
      </c>
      <c r="B289" s="2" t="s">
        <v>190</v>
      </c>
      <c r="C289" s="2" t="s">
        <v>870</v>
      </c>
      <c r="D289" s="2" t="s">
        <v>1009</v>
      </c>
      <c r="E289" s="2">
        <v>2</v>
      </c>
      <c r="F289" s="6">
        <v>44490</v>
      </c>
      <c r="G289" s="4">
        <v>3000</v>
      </c>
      <c r="H289" s="4">
        <v>16000</v>
      </c>
    </row>
    <row r="290" spans="1:8" x14ac:dyDescent="0.3">
      <c r="A290" s="2">
        <v>289</v>
      </c>
      <c r="B290" s="2" t="s">
        <v>160</v>
      </c>
      <c r="C290" s="2" t="s">
        <v>875</v>
      </c>
      <c r="D290" s="2" t="s">
        <v>3489</v>
      </c>
      <c r="E290" s="2" t="s">
        <v>3490</v>
      </c>
      <c r="F290" s="6">
        <v>44468</v>
      </c>
      <c r="G290" s="4">
        <v>3000</v>
      </c>
      <c r="H290" s="4">
        <v>76500</v>
      </c>
    </row>
    <row r="291" spans="1:8" x14ac:dyDescent="0.3">
      <c r="A291" s="2">
        <v>290</v>
      </c>
      <c r="B291" s="2" t="s">
        <v>140</v>
      </c>
      <c r="C291" s="2" t="s">
        <v>885</v>
      </c>
      <c r="D291" s="2" t="s">
        <v>1003</v>
      </c>
      <c r="E291" s="2">
        <v>2</v>
      </c>
      <c r="F291" s="6">
        <v>44427</v>
      </c>
      <c r="G291" s="4">
        <v>3000</v>
      </c>
      <c r="H291" s="4">
        <v>8000</v>
      </c>
    </row>
    <row r="292" spans="1:8" x14ac:dyDescent="0.3">
      <c r="A292" s="2">
        <v>291</v>
      </c>
      <c r="B292" s="2" t="s">
        <v>40</v>
      </c>
      <c r="C292" s="2" t="s">
        <v>895</v>
      </c>
      <c r="D292" s="2" t="s">
        <v>3491</v>
      </c>
      <c r="E292" s="2" t="s">
        <v>3218</v>
      </c>
      <c r="F292" s="6">
        <v>44489</v>
      </c>
      <c r="G292" s="4">
        <v>3000</v>
      </c>
      <c r="H292" s="4">
        <v>32000</v>
      </c>
    </row>
    <row r="293" spans="1:8" x14ac:dyDescent="0.3">
      <c r="A293" s="2">
        <v>292</v>
      </c>
      <c r="B293" s="2" t="s">
        <v>35</v>
      </c>
      <c r="C293" s="2" t="s">
        <v>900</v>
      </c>
      <c r="D293" s="2" t="s">
        <v>999</v>
      </c>
      <c r="E293" s="2">
        <v>1</v>
      </c>
      <c r="F293" s="6">
        <v>44479</v>
      </c>
      <c r="G293" s="4">
        <v>3000</v>
      </c>
      <c r="H293" s="4">
        <v>6000</v>
      </c>
    </row>
    <row r="294" spans="1:8" x14ac:dyDescent="0.3">
      <c r="A294" s="2">
        <v>293</v>
      </c>
      <c r="B294" s="2" t="s">
        <v>140</v>
      </c>
      <c r="C294" s="2" t="s">
        <v>910</v>
      </c>
      <c r="D294" s="2" t="s">
        <v>3492</v>
      </c>
      <c r="E294" s="2" t="s">
        <v>3425</v>
      </c>
      <c r="F294" s="6">
        <v>44481</v>
      </c>
      <c r="G294" s="4">
        <v>3000</v>
      </c>
      <c r="H294" s="4">
        <v>41500</v>
      </c>
    </row>
    <row r="295" spans="1:8" x14ac:dyDescent="0.3">
      <c r="A295" s="2">
        <v>294</v>
      </c>
      <c r="B295" s="2" t="s">
        <v>65</v>
      </c>
      <c r="C295" s="2" t="s">
        <v>915</v>
      </c>
      <c r="D295" s="2" t="s">
        <v>3493</v>
      </c>
      <c r="E295" s="2" t="s">
        <v>3293</v>
      </c>
      <c r="F295" s="6">
        <v>44499</v>
      </c>
      <c r="G295" s="4">
        <v>3000</v>
      </c>
      <c r="H295" s="4">
        <v>58000</v>
      </c>
    </row>
    <row r="296" spans="1:8" x14ac:dyDescent="0.3">
      <c r="A296" s="2">
        <v>295</v>
      </c>
      <c r="B296" s="2" t="s">
        <v>175</v>
      </c>
      <c r="C296" s="2" t="s">
        <v>240</v>
      </c>
      <c r="D296" s="2" t="s">
        <v>946</v>
      </c>
      <c r="E296" s="2">
        <v>1</v>
      </c>
      <c r="F296" s="6">
        <v>44498</v>
      </c>
      <c r="G296" s="4">
        <v>3000</v>
      </c>
      <c r="H296" s="4">
        <v>15000</v>
      </c>
    </row>
    <row r="297" spans="1:8" x14ac:dyDescent="0.3">
      <c r="A297" s="2">
        <v>296</v>
      </c>
      <c r="B297" s="2" t="s">
        <v>6</v>
      </c>
      <c r="C297" s="2" t="s">
        <v>240</v>
      </c>
      <c r="D297" s="2" t="s">
        <v>3631</v>
      </c>
      <c r="E297" s="2" t="s">
        <v>3203</v>
      </c>
      <c r="F297" s="6">
        <v>44445</v>
      </c>
      <c r="G297" s="4">
        <v>0</v>
      </c>
      <c r="H297" s="4">
        <v>84000</v>
      </c>
    </row>
    <row r="298" spans="1:8" x14ac:dyDescent="0.3">
      <c r="A298" s="2">
        <v>297</v>
      </c>
      <c r="B298" s="2" t="s">
        <v>6</v>
      </c>
      <c r="C298" s="2" t="s">
        <v>775</v>
      </c>
      <c r="D298" s="2" t="s">
        <v>1030</v>
      </c>
      <c r="E298" s="2">
        <v>1</v>
      </c>
      <c r="F298" s="6">
        <v>44445</v>
      </c>
      <c r="G298" s="4">
        <v>0</v>
      </c>
      <c r="H298" s="4">
        <v>5000</v>
      </c>
    </row>
    <row r="299" spans="1:8" x14ac:dyDescent="0.3">
      <c r="A299" s="2">
        <v>298</v>
      </c>
      <c r="B299" s="2" t="s">
        <v>6</v>
      </c>
      <c r="C299" s="2" t="s">
        <v>775</v>
      </c>
      <c r="D299" s="2" t="s">
        <v>1030</v>
      </c>
      <c r="E299" s="2">
        <v>1</v>
      </c>
      <c r="F299" s="6">
        <v>44445</v>
      </c>
      <c r="G299" s="4">
        <v>0</v>
      </c>
      <c r="H299" s="4">
        <v>5000</v>
      </c>
    </row>
  </sheetData>
  <phoneticPr fontId="1" type="noConversion"/>
  <conditionalFormatting sqref="A1:H1048576">
    <cfRule type="expression" dxfId="5" priority="5">
      <formula>$A1&lt;&gt;""</formula>
    </cfRule>
  </conditionalFormatting>
  <conditionalFormatting sqref="R1:S1">
    <cfRule type="expression" dxfId="4" priority="4">
      <formula>$A1&lt;&gt;""</formula>
    </cfRule>
  </conditionalFormatting>
  <conditionalFormatting sqref="M1">
    <cfRule type="expression" dxfId="3" priority="3">
      <formula>$A1&lt;&gt;""</formula>
    </cfRule>
  </conditionalFormatting>
  <conditionalFormatting sqref="N1">
    <cfRule type="expression" dxfId="2" priority="2">
      <formula>$A1&lt;&gt;""</formula>
    </cfRule>
  </conditionalFormatting>
  <conditionalFormatting sqref="O1">
    <cfRule type="expression" dxfId="1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autoLine="0" r:id="rId4">
            <anchor moveWithCells="1">
              <from>
                <xdr:col>8</xdr:col>
                <xdr:colOff>333375</xdr:colOff>
                <xdr:row>0</xdr:row>
                <xdr:rowOff>142875</xdr:rowOff>
              </from>
              <to>
                <xdr:col>11</xdr:col>
                <xdr:colOff>47625</xdr:colOff>
                <xdr:row>3</xdr:row>
                <xdr:rowOff>47625</xdr:rowOff>
              </to>
            </anchor>
          </controlPr>
        </control>
      </mc:Choice>
      <mc:Fallback>
        <control shapeId="7169" r:id="rId3" name="CommandButton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C276"/>
  <sheetViews>
    <sheetView zoomScale="25" zoomScaleNormal="25" workbookViewId="0">
      <selection activeCell="EB114" sqref="EB114"/>
    </sheetView>
  </sheetViews>
  <sheetFormatPr defaultRowHeight="16.5" x14ac:dyDescent="0.3"/>
  <cols>
    <col min="3" max="34" width="7.375" customWidth="1"/>
    <col min="35" max="104" width="7.375" hidden="1" customWidth="1"/>
    <col min="105" max="218" width="7.375" customWidth="1"/>
  </cols>
  <sheetData>
    <row r="1" spans="1:107" ht="39.950000000000003" customHeight="1" x14ac:dyDescent="0.3"/>
    <row r="2" spans="1:107" ht="39.950000000000003" customHeight="1" x14ac:dyDescent="0.3">
      <c r="A2">
        <v>5</v>
      </c>
      <c r="B2">
        <v>8</v>
      </c>
      <c r="K2">
        <v>20</v>
      </c>
      <c r="N2" t="s">
        <v>3629</v>
      </c>
      <c r="P2">
        <v>216</v>
      </c>
      <c r="Q2">
        <v>78</v>
      </c>
    </row>
    <row r="3" spans="1:107" ht="39.950000000000003" customHeight="1" x14ac:dyDescent="0.3">
      <c r="M3" t="s">
        <v>3630</v>
      </c>
      <c r="N3">
        <v>84</v>
      </c>
      <c r="O3">
        <v>90</v>
      </c>
      <c r="P3">
        <v>18</v>
      </c>
    </row>
    <row r="4" spans="1:107" ht="39.950000000000003" customHeight="1" x14ac:dyDescent="0.3"/>
    <row r="5" spans="1:107" ht="39.950000000000003" customHeight="1" x14ac:dyDescent="0.3">
      <c r="I5" s="7"/>
    </row>
    <row r="6" spans="1:107" ht="39.950000000000003" customHeight="1" x14ac:dyDescent="0.3">
      <c r="CZ6">
        <f>COLUMN()</f>
        <v>104</v>
      </c>
      <c r="DB6" s="15"/>
      <c r="DC6" s="15"/>
    </row>
    <row r="7" spans="1:107" ht="39.950000000000003" customHeight="1" x14ac:dyDescent="0.3"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</row>
    <row r="8" spans="1:107" ht="39.950000000000003" customHeight="1" x14ac:dyDescent="0.3">
      <c r="D8">
        <v>1</v>
      </c>
      <c r="E8" s="9" t="s">
        <v>6</v>
      </c>
      <c r="F8" s="12" t="s">
        <v>1383</v>
      </c>
      <c r="G8" s="12" t="s">
        <v>1385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10" t="s">
        <v>304</v>
      </c>
      <c r="AA8" s="8"/>
      <c r="AB8" s="8"/>
      <c r="AC8" s="8"/>
      <c r="AD8" s="9" t="s">
        <v>190</v>
      </c>
      <c r="AE8" s="8"/>
      <c r="AF8" s="8"/>
      <c r="AG8" s="8"/>
      <c r="AH8" s="8"/>
      <c r="AI8" s="8"/>
      <c r="AJ8" s="8"/>
      <c r="AK8" s="8"/>
      <c r="AL8" s="8"/>
      <c r="AM8" s="8"/>
      <c r="AN8" s="8"/>
      <c r="AO8" s="9" t="s">
        <v>165</v>
      </c>
      <c r="AP8" s="8"/>
      <c r="AQ8" s="8"/>
      <c r="AR8" s="8"/>
      <c r="AS8" s="8"/>
      <c r="AT8" s="8"/>
      <c r="AU8" s="8"/>
      <c r="AV8" s="8"/>
      <c r="AW8" s="8"/>
      <c r="AX8" s="8"/>
      <c r="AY8" s="10" t="s">
        <v>504</v>
      </c>
      <c r="AZ8" s="8"/>
      <c r="BA8" s="10" t="s">
        <v>734</v>
      </c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9" t="s">
        <v>11</v>
      </c>
      <c r="CV8" s="8"/>
      <c r="CW8" s="8"/>
      <c r="CX8" s="8"/>
      <c r="CY8" s="8"/>
      <c r="CZ8" s="10" t="s">
        <v>349</v>
      </c>
      <c r="DA8">
        <v>1</v>
      </c>
    </row>
    <row r="9" spans="1:107" ht="39.950000000000003" customHeight="1" x14ac:dyDescent="0.3">
      <c r="D9">
        <v>1</v>
      </c>
      <c r="E9" s="8"/>
      <c r="F9" s="12" t="s">
        <v>1387</v>
      </c>
      <c r="G9" s="12" t="s">
        <v>1389</v>
      </c>
      <c r="H9" s="8"/>
      <c r="I9" s="9" t="s">
        <v>3624</v>
      </c>
      <c r="J9" s="8"/>
      <c r="K9" s="8"/>
      <c r="L9" s="8"/>
      <c r="M9" s="8"/>
      <c r="N9" s="8"/>
      <c r="O9" s="8"/>
      <c r="P9" s="8"/>
      <c r="Q9" s="8"/>
      <c r="R9" s="10" t="s">
        <v>814</v>
      </c>
      <c r="S9" s="8"/>
      <c r="T9" s="12" t="s">
        <v>1371</v>
      </c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12" t="s">
        <v>3049</v>
      </c>
      <c r="AH9" s="12" t="s">
        <v>1355</v>
      </c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10" t="s">
        <v>884</v>
      </c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10" t="s">
        <v>699</v>
      </c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10" t="s">
        <v>394</v>
      </c>
      <c r="CD9" s="8"/>
      <c r="CE9" s="8"/>
      <c r="CF9" s="8"/>
      <c r="CG9" s="8"/>
      <c r="CH9" s="8"/>
      <c r="CI9" s="8"/>
      <c r="CJ9" s="8"/>
      <c r="CK9" s="8"/>
      <c r="CL9" s="8"/>
      <c r="CM9" s="10" t="s">
        <v>739</v>
      </c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>
        <v>1</v>
      </c>
    </row>
    <row r="10" spans="1:107" ht="39.950000000000003" customHeight="1" x14ac:dyDescent="0.3">
      <c r="D10">
        <v>1</v>
      </c>
      <c r="E10" s="8"/>
      <c r="F10" s="8"/>
      <c r="G10" s="8"/>
      <c r="H10" s="8"/>
      <c r="I10" s="8"/>
      <c r="J10" s="12" t="s">
        <v>1377</v>
      </c>
      <c r="K10" s="12" t="s">
        <v>1379</v>
      </c>
      <c r="L10" s="12" t="s">
        <v>1381</v>
      </c>
      <c r="M10" s="10" t="s">
        <v>359</v>
      </c>
      <c r="N10" s="8"/>
      <c r="O10" s="8"/>
      <c r="P10" s="8"/>
      <c r="Q10" s="8"/>
      <c r="R10" s="8"/>
      <c r="S10" s="8"/>
      <c r="T10" s="12" t="s">
        <v>1373</v>
      </c>
      <c r="U10" s="8"/>
      <c r="V10" s="8"/>
      <c r="W10" s="8"/>
      <c r="X10" s="8"/>
      <c r="Y10" s="8"/>
      <c r="Z10" s="8"/>
      <c r="AA10" s="8"/>
      <c r="AB10" s="8"/>
      <c r="AC10" s="10" t="s">
        <v>319</v>
      </c>
      <c r="AD10" s="8"/>
      <c r="AE10" s="8"/>
      <c r="AF10" s="8"/>
      <c r="AG10" s="12" t="s">
        <v>3051</v>
      </c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12" t="s">
        <v>1873</v>
      </c>
      <c r="CT10" s="12" t="s">
        <v>1875</v>
      </c>
      <c r="CU10" s="12" t="s">
        <v>1877</v>
      </c>
      <c r="CV10" s="8"/>
      <c r="CW10" s="8"/>
      <c r="CX10" s="8"/>
      <c r="CY10" s="8"/>
      <c r="CZ10" s="8"/>
      <c r="DA10">
        <v>1</v>
      </c>
    </row>
    <row r="11" spans="1:107" ht="39.950000000000003" customHeight="1" x14ac:dyDescent="0.3">
      <c r="D11">
        <v>1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12" t="s">
        <v>1375</v>
      </c>
      <c r="U11" s="12" t="s">
        <v>3037</v>
      </c>
      <c r="V11" s="12" t="s">
        <v>1359</v>
      </c>
      <c r="W11" s="12" t="s">
        <v>1361</v>
      </c>
      <c r="X11" s="12" t="s">
        <v>1363</v>
      </c>
      <c r="Y11" s="12" t="s">
        <v>1365</v>
      </c>
      <c r="Z11" s="10" t="s">
        <v>464</v>
      </c>
      <c r="AA11" s="8"/>
      <c r="AB11" s="8"/>
      <c r="AC11" s="8"/>
      <c r="AD11" s="8"/>
      <c r="AE11" s="8"/>
      <c r="AF11" s="8"/>
      <c r="AG11" s="12" t="s">
        <v>3053</v>
      </c>
      <c r="AH11" s="12" t="s">
        <v>3057</v>
      </c>
      <c r="AI11" s="12" t="s">
        <v>3059</v>
      </c>
      <c r="AJ11" s="12" t="s">
        <v>3061</v>
      </c>
      <c r="AK11" s="12" t="s">
        <v>1357</v>
      </c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10" t="s">
        <v>554</v>
      </c>
      <c r="CL11" s="8"/>
      <c r="CM11" s="8"/>
      <c r="CN11" s="8"/>
      <c r="CO11" s="8"/>
      <c r="CP11" s="8"/>
      <c r="CQ11" s="8"/>
      <c r="CR11" s="8"/>
      <c r="CS11" s="12" t="s">
        <v>1879</v>
      </c>
      <c r="CT11" s="12" t="s">
        <v>1881</v>
      </c>
      <c r="CU11" s="12" t="s">
        <v>1883</v>
      </c>
      <c r="CV11" s="8"/>
      <c r="CW11" s="8"/>
      <c r="CX11" s="8"/>
      <c r="CY11" s="8"/>
      <c r="CZ11" s="8"/>
      <c r="DA11">
        <v>1</v>
      </c>
    </row>
    <row r="12" spans="1:107" ht="39.950000000000003" customHeight="1" x14ac:dyDescent="0.3">
      <c r="D12">
        <v>1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9" t="s">
        <v>180</v>
      </c>
      <c r="Q12" s="8"/>
      <c r="R12" s="8"/>
      <c r="S12" s="8"/>
      <c r="T12" s="8"/>
      <c r="U12" s="8"/>
      <c r="V12" s="8"/>
      <c r="W12" s="8"/>
      <c r="X12" s="8"/>
      <c r="Y12" s="12" t="s">
        <v>3033</v>
      </c>
      <c r="Z12" s="8"/>
      <c r="AA12" s="8"/>
      <c r="AB12" s="8"/>
      <c r="AC12" s="8"/>
      <c r="AD12" s="8"/>
      <c r="AE12" s="8"/>
      <c r="AF12" s="8"/>
      <c r="AG12" s="12" t="s">
        <v>3055</v>
      </c>
      <c r="AH12" s="8"/>
      <c r="AI12" s="8"/>
      <c r="AJ12" s="8"/>
      <c r="AK12" s="12" t="s">
        <v>3063</v>
      </c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10" t="s">
        <v>499</v>
      </c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>
        <v>1</v>
      </c>
    </row>
    <row r="13" spans="1:107" ht="39.950000000000003" customHeight="1" x14ac:dyDescent="0.3">
      <c r="D13">
        <v>1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10" t="s">
        <v>244</v>
      </c>
      <c r="Y13" s="12" t="s">
        <v>3035</v>
      </c>
      <c r="Z13" s="8"/>
      <c r="AA13" s="8"/>
      <c r="AB13" s="8"/>
      <c r="AC13" s="8"/>
      <c r="AD13" s="8"/>
      <c r="AE13" s="8"/>
      <c r="AF13" s="8"/>
      <c r="AG13" s="12" t="s">
        <v>1345</v>
      </c>
      <c r="AH13" s="8"/>
      <c r="AI13" s="10" t="s">
        <v>409</v>
      </c>
      <c r="AJ13" s="8"/>
      <c r="AK13" s="12" t="s">
        <v>1347</v>
      </c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12" t="s">
        <v>3109</v>
      </c>
      <c r="AY13" s="12" t="s">
        <v>3073</v>
      </c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12" t="s">
        <v>1807</v>
      </c>
      <c r="CF13" s="12" t="s">
        <v>1809</v>
      </c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>
        <v>1</v>
      </c>
    </row>
    <row r="14" spans="1:107" ht="39.950000000000003" customHeight="1" x14ac:dyDescent="0.3">
      <c r="D14">
        <v>1</v>
      </c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12" t="s">
        <v>3027</v>
      </c>
      <c r="Z14" s="12" t="s">
        <v>3029</v>
      </c>
      <c r="AA14" s="12" t="s">
        <v>3031</v>
      </c>
      <c r="AB14" s="12" t="s">
        <v>1367</v>
      </c>
      <c r="AC14" s="12" t="s">
        <v>3039</v>
      </c>
      <c r="AD14" s="12" t="s">
        <v>3041</v>
      </c>
      <c r="AE14" s="12" t="s">
        <v>3043</v>
      </c>
      <c r="AF14" s="12" t="s">
        <v>3045</v>
      </c>
      <c r="AG14" s="12" t="s">
        <v>3047</v>
      </c>
      <c r="AH14" s="8"/>
      <c r="AI14" s="8"/>
      <c r="AJ14" s="8"/>
      <c r="AK14" s="12" t="s">
        <v>1349</v>
      </c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10" t="s">
        <v>784</v>
      </c>
      <c r="AX14" s="8"/>
      <c r="AY14" s="12" t="s">
        <v>3075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12" t="s">
        <v>1831</v>
      </c>
      <c r="BQ14" s="12" t="s">
        <v>1833</v>
      </c>
      <c r="BR14" s="12" t="s">
        <v>1835</v>
      </c>
      <c r="BS14" s="12" t="s">
        <v>1837</v>
      </c>
      <c r="BT14" s="8"/>
      <c r="BU14" s="8"/>
      <c r="BV14" s="8"/>
      <c r="BW14" s="8"/>
      <c r="BX14" s="12" t="s">
        <v>1815</v>
      </c>
      <c r="BY14" s="12" t="s">
        <v>1817</v>
      </c>
      <c r="BZ14" s="8"/>
      <c r="CA14" s="8"/>
      <c r="CB14" s="8"/>
      <c r="CC14" s="8"/>
      <c r="CD14" s="8"/>
      <c r="CE14" s="12" t="s">
        <v>1811</v>
      </c>
      <c r="CF14" s="12" t="s">
        <v>1813</v>
      </c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10" t="s">
        <v>709</v>
      </c>
      <c r="DA14">
        <v>1</v>
      </c>
    </row>
    <row r="15" spans="1:107" ht="39.950000000000003" customHeight="1" x14ac:dyDescent="0.3">
      <c r="D15">
        <v>1</v>
      </c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12" t="s">
        <v>1369</v>
      </c>
      <c r="AC15" s="8"/>
      <c r="AD15" s="8"/>
      <c r="AE15" s="8"/>
      <c r="AF15" s="8"/>
      <c r="AG15" s="8"/>
      <c r="AH15" s="8"/>
      <c r="AI15" s="8"/>
      <c r="AJ15" s="8"/>
      <c r="AK15" s="12" t="s">
        <v>1351</v>
      </c>
      <c r="AL15" s="12" t="s">
        <v>3069</v>
      </c>
      <c r="AM15" s="9" t="s">
        <v>95</v>
      </c>
      <c r="AN15" s="12" t="s">
        <v>3071</v>
      </c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12" t="s">
        <v>3077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12" t="s">
        <v>1839</v>
      </c>
      <c r="BQ15" s="12" t="s">
        <v>1841</v>
      </c>
      <c r="BR15" s="12" t="s">
        <v>1843</v>
      </c>
      <c r="BS15" s="12" t="s">
        <v>1845</v>
      </c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>
        <v>1</v>
      </c>
    </row>
    <row r="16" spans="1:107" ht="39.950000000000003" customHeight="1" x14ac:dyDescent="0.3">
      <c r="D16">
        <v>1</v>
      </c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2" t="s">
        <v>3021</v>
      </c>
      <c r="AC16" s="8"/>
      <c r="AD16" s="8"/>
      <c r="AE16" s="8"/>
      <c r="AF16" s="10" t="s">
        <v>774</v>
      </c>
      <c r="AG16" s="8"/>
      <c r="AH16" s="8"/>
      <c r="AI16" s="8"/>
      <c r="AJ16" s="8"/>
      <c r="AK16" s="12" t="s">
        <v>1353</v>
      </c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12" t="s">
        <v>3079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10" t="s">
        <v>894</v>
      </c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10" t="s">
        <v>579</v>
      </c>
      <c r="CQ16" s="8"/>
      <c r="CR16" s="8"/>
      <c r="CS16" s="8"/>
      <c r="CT16" s="8"/>
      <c r="CU16" s="8"/>
      <c r="CV16" s="8"/>
      <c r="CW16" s="8"/>
      <c r="CX16" s="8"/>
      <c r="CY16" s="8"/>
      <c r="CZ16" s="8"/>
      <c r="DA16">
        <v>1</v>
      </c>
    </row>
    <row r="17" spans="4:105" ht="39.950000000000003" customHeight="1" x14ac:dyDescent="0.3">
      <c r="D17">
        <v>1</v>
      </c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12" t="s">
        <v>3023</v>
      </c>
      <c r="AC17" s="8"/>
      <c r="AD17" s="8"/>
      <c r="AE17" s="8"/>
      <c r="AF17" s="8"/>
      <c r="AG17" s="8"/>
      <c r="AH17" s="8"/>
      <c r="AI17" s="8"/>
      <c r="AJ17" s="8"/>
      <c r="AK17" s="12" t="s">
        <v>3065</v>
      </c>
      <c r="AL17" s="12" t="s">
        <v>3067</v>
      </c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12" t="s">
        <v>3081</v>
      </c>
      <c r="AZ17" s="8"/>
      <c r="BA17" s="8"/>
      <c r="BB17" s="8"/>
      <c r="BC17" s="12" t="s">
        <v>3119</v>
      </c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10" t="s">
        <v>534</v>
      </c>
      <c r="CW17" s="8"/>
      <c r="CX17" s="8"/>
      <c r="CY17" s="8"/>
      <c r="CZ17" s="8"/>
      <c r="DA17">
        <v>1</v>
      </c>
    </row>
    <row r="18" spans="4:105" ht="39.950000000000003" customHeight="1" x14ac:dyDescent="0.3">
      <c r="D18">
        <v>1</v>
      </c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10" t="s">
        <v>584</v>
      </c>
      <c r="U18" s="8"/>
      <c r="V18" s="8"/>
      <c r="W18" s="8"/>
      <c r="X18" s="8"/>
      <c r="Y18" s="8"/>
      <c r="Z18" s="8"/>
      <c r="AA18" s="8"/>
      <c r="AB18" s="12" t="s">
        <v>3025</v>
      </c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12" t="s">
        <v>1847</v>
      </c>
      <c r="AT18" s="12" t="s">
        <v>3099</v>
      </c>
      <c r="AU18" s="12" t="s">
        <v>3101</v>
      </c>
      <c r="AV18" s="12" t="s">
        <v>3103</v>
      </c>
      <c r="AW18" s="12" t="s">
        <v>3105</v>
      </c>
      <c r="AX18" s="12" t="s">
        <v>3107</v>
      </c>
      <c r="AY18" s="12" t="s">
        <v>3083</v>
      </c>
      <c r="AZ18" s="8"/>
      <c r="BA18" s="8"/>
      <c r="BB18" s="8"/>
      <c r="BC18" s="12" t="s">
        <v>3121</v>
      </c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12" t="s">
        <v>1819</v>
      </c>
      <c r="BW18" s="12" t="s">
        <v>1821</v>
      </c>
      <c r="BX18" s="12" t="s">
        <v>1823</v>
      </c>
      <c r="BY18" s="10" t="s">
        <v>704</v>
      </c>
      <c r="BZ18" s="8"/>
      <c r="CA18" s="8"/>
      <c r="CB18" s="8"/>
      <c r="CC18" s="8"/>
      <c r="CD18" s="12" t="s">
        <v>1801</v>
      </c>
      <c r="CE18" s="12" t="s">
        <v>1803</v>
      </c>
      <c r="CF18" s="12" t="s">
        <v>1805</v>
      </c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>
        <v>1</v>
      </c>
    </row>
    <row r="19" spans="4:105" ht="39.950000000000003" customHeight="1" x14ac:dyDescent="0.3">
      <c r="D19">
        <v>1</v>
      </c>
      <c r="E19" s="8"/>
      <c r="F19" s="8"/>
      <c r="G19" s="12" t="s">
        <v>1391</v>
      </c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12" t="s">
        <v>1325</v>
      </c>
      <c r="Y19" s="12" t="s">
        <v>1327</v>
      </c>
      <c r="Z19" s="12" t="s">
        <v>3015</v>
      </c>
      <c r="AA19" s="12" t="s">
        <v>3017</v>
      </c>
      <c r="AB19" s="12" t="s">
        <v>3019</v>
      </c>
      <c r="AC19" s="12" t="s">
        <v>3009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12" t="s">
        <v>3085</v>
      </c>
      <c r="AZ19" s="12" t="s">
        <v>3111</v>
      </c>
      <c r="BA19" s="12" t="s">
        <v>3113</v>
      </c>
      <c r="BB19" s="12" t="s">
        <v>3115</v>
      </c>
      <c r="BC19" s="12" t="s">
        <v>3117</v>
      </c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12" t="s">
        <v>1825</v>
      </c>
      <c r="BW19" s="12" t="s">
        <v>1827</v>
      </c>
      <c r="BX19" s="12" t="s">
        <v>1829</v>
      </c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>
        <v>1</v>
      </c>
    </row>
    <row r="20" spans="4:105" ht="39.950000000000003" customHeight="1" x14ac:dyDescent="0.3">
      <c r="D20">
        <v>1</v>
      </c>
      <c r="E20" s="8"/>
      <c r="F20" s="8"/>
      <c r="G20" s="12" t="s">
        <v>1393</v>
      </c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12" t="s">
        <v>3011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12" t="s">
        <v>3087</v>
      </c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10" t="s">
        <v>844</v>
      </c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>
        <v>1</v>
      </c>
    </row>
    <row r="21" spans="4:105" ht="39.950000000000003" customHeight="1" x14ac:dyDescent="0.3">
      <c r="D21">
        <v>1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12" t="s">
        <v>3013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12" t="s">
        <v>3089</v>
      </c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9" t="s">
        <v>35</v>
      </c>
      <c r="DA21">
        <v>1</v>
      </c>
    </row>
    <row r="22" spans="4:105" ht="39.950000000000003" customHeight="1" x14ac:dyDescent="0.3">
      <c r="D22">
        <v>1</v>
      </c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12" t="s">
        <v>1341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12" t="s">
        <v>3091</v>
      </c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10" t="s">
        <v>289</v>
      </c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>
        <v>1</v>
      </c>
    </row>
    <row r="23" spans="4:105" ht="39.950000000000003" customHeight="1" x14ac:dyDescent="0.3">
      <c r="D23">
        <v>1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12" t="s">
        <v>1335</v>
      </c>
      <c r="T23" s="10" t="s">
        <v>259</v>
      </c>
      <c r="U23" s="8"/>
      <c r="V23" s="8"/>
      <c r="W23" s="8"/>
      <c r="X23" s="8"/>
      <c r="Y23" s="12" t="s">
        <v>1339</v>
      </c>
      <c r="Z23" s="8"/>
      <c r="AA23" s="8"/>
      <c r="AB23" s="10" t="s">
        <v>779</v>
      </c>
      <c r="AC23" s="12" t="s">
        <v>1343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12" t="s">
        <v>3093</v>
      </c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10" t="s">
        <v>819</v>
      </c>
      <c r="BT23" s="10" t="s">
        <v>519</v>
      </c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>
        <v>1</v>
      </c>
    </row>
    <row r="24" spans="4:105" ht="39.950000000000003" customHeight="1" x14ac:dyDescent="0.3">
      <c r="D24">
        <v>1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10" t="s">
        <v>624</v>
      </c>
      <c r="Q24" s="8"/>
      <c r="R24" s="8"/>
      <c r="S24" s="12" t="s">
        <v>1337</v>
      </c>
      <c r="T24" s="8"/>
      <c r="U24" s="8"/>
      <c r="V24" s="8"/>
      <c r="W24" s="8"/>
      <c r="X24" s="8"/>
      <c r="Y24" s="12" t="s">
        <v>2999</v>
      </c>
      <c r="Z24" s="8"/>
      <c r="AA24" s="8"/>
      <c r="AB24" s="8"/>
      <c r="AC24" s="12" t="s">
        <v>2979</v>
      </c>
      <c r="AD24" s="8"/>
      <c r="AE24" s="8"/>
      <c r="AF24" s="8"/>
      <c r="AG24" s="8"/>
      <c r="AH24" s="8"/>
      <c r="AI24" s="10" t="s">
        <v>834</v>
      </c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12" t="s">
        <v>3095</v>
      </c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12" t="s">
        <v>2757</v>
      </c>
      <c r="BQ24" s="8"/>
      <c r="BR24" s="8"/>
      <c r="BS24" s="10" t="s">
        <v>764</v>
      </c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10" t="s">
        <v>429</v>
      </c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12" t="s">
        <v>1775</v>
      </c>
      <c r="CT24" s="12" t="s">
        <v>1777</v>
      </c>
      <c r="CU24" s="8"/>
      <c r="CV24" s="8"/>
      <c r="CW24" s="8"/>
      <c r="CX24" s="8"/>
      <c r="CY24" s="8"/>
      <c r="CZ24" s="8"/>
      <c r="DA24">
        <v>1</v>
      </c>
    </row>
    <row r="25" spans="4:105" ht="39.950000000000003" customHeight="1" x14ac:dyDescent="0.3">
      <c r="D25">
        <v>1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12" t="s">
        <v>3001</v>
      </c>
      <c r="T25" s="12" t="s">
        <v>3003</v>
      </c>
      <c r="U25" s="12" t="s">
        <v>3005</v>
      </c>
      <c r="V25" s="12" t="s">
        <v>3007</v>
      </c>
      <c r="W25" s="12" t="s">
        <v>1329</v>
      </c>
      <c r="X25" s="12" t="s">
        <v>1331</v>
      </c>
      <c r="Y25" s="12" t="s">
        <v>1333</v>
      </c>
      <c r="Z25" s="12" t="s">
        <v>2993</v>
      </c>
      <c r="AA25" s="12" t="s">
        <v>2995</v>
      </c>
      <c r="AB25" s="12" t="s">
        <v>2997</v>
      </c>
      <c r="AC25" s="12" t="s">
        <v>2981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12" t="s">
        <v>3097</v>
      </c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12" t="s">
        <v>2759</v>
      </c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10" t="s">
        <v>364</v>
      </c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12" t="s">
        <v>1779</v>
      </c>
      <c r="CT25" s="12" t="s">
        <v>1781</v>
      </c>
      <c r="CU25" s="8"/>
      <c r="CV25" s="8"/>
      <c r="CW25" s="8"/>
      <c r="CX25" s="8"/>
      <c r="CY25" s="8"/>
      <c r="CZ25" s="8"/>
      <c r="DA25">
        <v>1</v>
      </c>
    </row>
    <row r="26" spans="4:105" ht="39.950000000000003" customHeight="1" x14ac:dyDescent="0.3">
      <c r="D26">
        <v>1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12" t="s">
        <v>2983</v>
      </c>
      <c r="AD26" s="8"/>
      <c r="AE26" s="8"/>
      <c r="AF26" s="8"/>
      <c r="AG26" s="8"/>
      <c r="AH26" s="8"/>
      <c r="AI26" s="8"/>
      <c r="AJ26" s="8"/>
      <c r="AK26" s="10" t="s">
        <v>549</v>
      </c>
      <c r="AL26" s="8"/>
      <c r="AM26" s="8"/>
      <c r="AN26" s="8"/>
      <c r="AO26" s="8"/>
      <c r="AP26" s="8"/>
      <c r="AQ26" s="8"/>
      <c r="AR26" s="9" t="s">
        <v>145</v>
      </c>
      <c r="AS26" s="8"/>
      <c r="AT26" s="8"/>
      <c r="AU26" s="8"/>
      <c r="AV26" s="8"/>
      <c r="AW26" s="8"/>
      <c r="AX26" s="8"/>
      <c r="AY26" s="12" t="s">
        <v>2799</v>
      </c>
      <c r="AZ26" s="12" t="s">
        <v>2805</v>
      </c>
      <c r="BA26" s="12" t="s">
        <v>1859</v>
      </c>
      <c r="BB26" s="12" t="s">
        <v>1861</v>
      </c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12" t="s">
        <v>2761</v>
      </c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12" t="s">
        <v>1783</v>
      </c>
      <c r="CT26" s="12" t="s">
        <v>1785</v>
      </c>
      <c r="CU26" s="8"/>
      <c r="CV26" s="8"/>
      <c r="CW26" s="8"/>
      <c r="CX26" s="8"/>
      <c r="CY26" s="8"/>
      <c r="CZ26" s="8"/>
      <c r="DA26">
        <v>1</v>
      </c>
    </row>
    <row r="27" spans="4:105" ht="39.950000000000003" customHeight="1" x14ac:dyDescent="0.3">
      <c r="D27">
        <v>1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12" t="s">
        <v>2985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12" t="s">
        <v>2801</v>
      </c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12" t="s">
        <v>2763</v>
      </c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10" t="s">
        <v>654</v>
      </c>
      <c r="CU27" s="8"/>
      <c r="CV27" s="8"/>
      <c r="CW27" s="8"/>
      <c r="CX27" s="8"/>
      <c r="CY27" s="8"/>
      <c r="CZ27" s="8"/>
      <c r="DA27">
        <v>1</v>
      </c>
    </row>
    <row r="28" spans="4:105" ht="39.950000000000003" customHeight="1" x14ac:dyDescent="0.3">
      <c r="D28">
        <v>1</v>
      </c>
      <c r="E28" s="10" t="s">
        <v>264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12" t="s">
        <v>2987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12" t="s">
        <v>2825</v>
      </c>
      <c r="AP28" s="8"/>
      <c r="AQ28" s="8"/>
      <c r="AR28" s="8"/>
      <c r="AS28" s="8"/>
      <c r="AT28" s="8"/>
      <c r="AU28" s="8"/>
      <c r="AV28" s="8"/>
      <c r="AW28" s="8"/>
      <c r="AX28" s="8"/>
      <c r="AY28" s="12" t="s">
        <v>2803</v>
      </c>
      <c r="AZ28" s="8"/>
      <c r="BA28" s="8"/>
      <c r="BB28" s="8"/>
      <c r="BC28" s="8"/>
      <c r="BD28" s="8"/>
      <c r="BE28" s="8"/>
      <c r="BF28" s="8"/>
      <c r="BG28" s="8"/>
      <c r="BH28" s="8"/>
      <c r="BI28" s="12" t="s">
        <v>2781</v>
      </c>
      <c r="BJ28" s="12" t="s">
        <v>2769</v>
      </c>
      <c r="BK28" s="12" t="s">
        <v>2771</v>
      </c>
      <c r="BL28" s="12" t="s">
        <v>2773</v>
      </c>
      <c r="BM28" s="12" t="s">
        <v>2775</v>
      </c>
      <c r="BN28" s="12" t="s">
        <v>2777</v>
      </c>
      <c r="BO28" s="12" t="s">
        <v>2779</v>
      </c>
      <c r="BP28" s="12" t="s">
        <v>2765</v>
      </c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10" t="s">
        <v>249</v>
      </c>
      <c r="CT28" s="8"/>
      <c r="CU28" s="8"/>
      <c r="CV28" s="8"/>
      <c r="CW28" s="8"/>
      <c r="CX28" s="8"/>
      <c r="CY28" s="8"/>
      <c r="CZ28" s="8"/>
      <c r="DA28">
        <v>1</v>
      </c>
    </row>
    <row r="29" spans="4:105" ht="39.950000000000003" customHeight="1" x14ac:dyDescent="0.3">
      <c r="D29">
        <v>1</v>
      </c>
      <c r="E29" s="8"/>
      <c r="F29" s="8"/>
      <c r="G29" s="8"/>
      <c r="H29" s="8"/>
      <c r="I29" s="8"/>
      <c r="J29" s="8"/>
      <c r="K29" s="8"/>
      <c r="L29" s="8"/>
      <c r="M29" s="10" t="s">
        <v>599</v>
      </c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12" t="s">
        <v>2989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12" t="s">
        <v>2827</v>
      </c>
      <c r="AO29" s="12" t="s">
        <v>2817</v>
      </c>
      <c r="AP29" s="12" t="s">
        <v>2819</v>
      </c>
      <c r="AQ29" s="12" t="s">
        <v>2821</v>
      </c>
      <c r="AR29" s="12" t="s">
        <v>2823</v>
      </c>
      <c r="AS29" s="12" t="s">
        <v>1849</v>
      </c>
      <c r="AT29" s="12" t="s">
        <v>2807</v>
      </c>
      <c r="AU29" s="12" t="s">
        <v>2809</v>
      </c>
      <c r="AV29" s="12" t="s">
        <v>2811</v>
      </c>
      <c r="AW29" s="12" t="s">
        <v>2813</v>
      </c>
      <c r="AX29" s="12" t="s">
        <v>2815</v>
      </c>
      <c r="AY29" s="12" t="s">
        <v>1851</v>
      </c>
      <c r="AZ29" s="12" t="s">
        <v>1853</v>
      </c>
      <c r="BA29" s="12" t="s">
        <v>1855</v>
      </c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12" t="s">
        <v>2767</v>
      </c>
      <c r="BQ29" s="8"/>
      <c r="BR29" s="8"/>
      <c r="BS29" s="8"/>
      <c r="BT29" s="8"/>
      <c r="BU29" s="8"/>
      <c r="BV29" s="8"/>
      <c r="BW29" s="10" t="s">
        <v>569</v>
      </c>
      <c r="BX29" s="8"/>
      <c r="BY29" s="8"/>
      <c r="BZ29" s="8"/>
      <c r="CA29" s="8"/>
      <c r="CB29" s="8"/>
      <c r="CC29" s="9" t="s">
        <v>25</v>
      </c>
      <c r="CD29" s="8"/>
      <c r="CE29" s="8"/>
      <c r="CF29" s="9" t="s">
        <v>150</v>
      </c>
      <c r="CG29" s="8"/>
      <c r="CH29" s="8"/>
      <c r="CI29" s="8"/>
      <c r="CJ29" s="8"/>
      <c r="CK29" s="8"/>
      <c r="CL29" s="8"/>
      <c r="CM29" s="12" t="s">
        <v>1765</v>
      </c>
      <c r="CN29" s="12" t="s">
        <v>1767</v>
      </c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>
        <v>1</v>
      </c>
    </row>
    <row r="30" spans="4:105" ht="39.950000000000003" customHeight="1" x14ac:dyDescent="0.3">
      <c r="D30">
        <v>1</v>
      </c>
      <c r="E30" s="8"/>
      <c r="F30" s="8"/>
      <c r="G30" s="8"/>
      <c r="H30" s="12" t="s">
        <v>2973</v>
      </c>
      <c r="I30" s="12" t="s">
        <v>1395</v>
      </c>
      <c r="J30" s="12" t="s">
        <v>2975</v>
      </c>
      <c r="K30" s="12" t="s">
        <v>2977</v>
      </c>
      <c r="L30" s="12" t="s">
        <v>2969</v>
      </c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12" t="s">
        <v>2991</v>
      </c>
      <c r="AD30" s="12" t="s">
        <v>1397</v>
      </c>
      <c r="AE30" s="12" t="s">
        <v>1399</v>
      </c>
      <c r="AF30" s="12" t="s">
        <v>1401</v>
      </c>
      <c r="AG30" s="12" t="s">
        <v>1403</v>
      </c>
      <c r="AH30" s="12" t="s">
        <v>2837</v>
      </c>
      <c r="AI30" s="12" t="s">
        <v>2839</v>
      </c>
      <c r="AJ30" s="12" t="s">
        <v>2841</v>
      </c>
      <c r="AK30" s="12" t="s">
        <v>2843</v>
      </c>
      <c r="AL30" s="12" t="s">
        <v>2845</v>
      </c>
      <c r="AM30" s="12" t="s">
        <v>2847</v>
      </c>
      <c r="AN30" s="12" t="s">
        <v>2829</v>
      </c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12" t="s">
        <v>1857</v>
      </c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12" t="s">
        <v>2745</v>
      </c>
      <c r="BQ30" s="8"/>
      <c r="BR30" s="8"/>
      <c r="BS30" s="8"/>
      <c r="BT30" s="8"/>
      <c r="BU30" s="8"/>
      <c r="BV30" s="8"/>
      <c r="BW30" s="8"/>
      <c r="BX30" s="12" t="s">
        <v>1795</v>
      </c>
      <c r="BY30" s="12" t="s">
        <v>1797</v>
      </c>
      <c r="BZ30" s="12" t="s">
        <v>1799</v>
      </c>
      <c r="CA30" s="8"/>
      <c r="CB30" s="8"/>
      <c r="CC30" s="8"/>
      <c r="CD30" s="8"/>
      <c r="CE30" s="8"/>
      <c r="CF30" s="8"/>
      <c r="CG30" s="8"/>
      <c r="CH30" s="8"/>
      <c r="CI30" s="8"/>
      <c r="CJ30" s="9" t="s">
        <v>85</v>
      </c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>
        <v>1</v>
      </c>
    </row>
    <row r="31" spans="4:105" ht="39.950000000000003" customHeight="1" x14ac:dyDescent="0.3">
      <c r="D31">
        <v>1</v>
      </c>
      <c r="E31" s="8"/>
      <c r="F31" s="8"/>
      <c r="G31" s="8"/>
      <c r="H31" s="8"/>
      <c r="I31" s="8"/>
      <c r="J31" s="8"/>
      <c r="K31" s="8"/>
      <c r="L31" s="12" t="s">
        <v>2971</v>
      </c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12" t="s">
        <v>2831</v>
      </c>
      <c r="AO31" s="8"/>
      <c r="AP31" s="8"/>
      <c r="AQ31" s="8"/>
      <c r="AR31" s="8"/>
      <c r="AS31" s="8"/>
      <c r="AT31" s="8"/>
      <c r="AU31" s="8"/>
      <c r="AV31" s="8"/>
      <c r="AW31" s="8"/>
      <c r="AX31" s="10" t="s">
        <v>459</v>
      </c>
      <c r="AY31" s="12" t="s">
        <v>2783</v>
      </c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12" t="s">
        <v>2747</v>
      </c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12" t="s">
        <v>1787</v>
      </c>
      <c r="CC31" s="12" t="s">
        <v>1789</v>
      </c>
      <c r="CD31" s="12" t="s">
        <v>1791</v>
      </c>
      <c r="CE31" s="12" t="s">
        <v>1793</v>
      </c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>
        <v>1</v>
      </c>
    </row>
    <row r="32" spans="4:105" ht="39.950000000000003" customHeight="1" x14ac:dyDescent="0.3">
      <c r="D32">
        <v>1</v>
      </c>
      <c r="E32" s="8"/>
      <c r="F32" s="8"/>
      <c r="G32" s="8"/>
      <c r="H32" s="8"/>
      <c r="I32" s="8"/>
      <c r="J32" s="8"/>
      <c r="K32" s="8"/>
      <c r="L32" s="12" t="s">
        <v>1413</v>
      </c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10" t="s">
        <v>694</v>
      </c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12" t="s">
        <v>1867</v>
      </c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12" t="s">
        <v>2785</v>
      </c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12" t="s">
        <v>2749</v>
      </c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12" t="s">
        <v>1769</v>
      </c>
      <c r="CK32" s="12" t="s">
        <v>1771</v>
      </c>
      <c r="CL32" s="12" t="s">
        <v>1773</v>
      </c>
      <c r="CM32" s="8"/>
      <c r="CN32" s="8"/>
      <c r="CO32" s="8"/>
      <c r="CP32" s="8"/>
      <c r="CQ32" s="10" t="s">
        <v>839</v>
      </c>
      <c r="CR32" s="8"/>
      <c r="CS32" s="8"/>
      <c r="CT32" s="8"/>
      <c r="CU32" s="8"/>
      <c r="CV32" s="8"/>
      <c r="CW32" s="8"/>
      <c r="CX32" s="8"/>
      <c r="CY32" s="8"/>
      <c r="CZ32" s="8"/>
      <c r="DA32">
        <v>1</v>
      </c>
    </row>
    <row r="33" spans="4:105" ht="39.950000000000003" hidden="1" customHeight="1" x14ac:dyDescent="0.3">
      <c r="D33">
        <v>1</v>
      </c>
      <c r="E33" s="8"/>
      <c r="F33" s="8"/>
      <c r="G33" s="8"/>
      <c r="H33" s="8"/>
      <c r="I33" s="8"/>
      <c r="J33" s="8"/>
      <c r="K33" s="8"/>
      <c r="L33" s="12" t="s">
        <v>2963</v>
      </c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12" t="s">
        <v>1869</v>
      </c>
      <c r="AO33" s="8"/>
      <c r="AP33" s="8"/>
      <c r="AQ33" s="8"/>
      <c r="AR33" s="8"/>
      <c r="AS33" s="8"/>
      <c r="AT33" s="8"/>
      <c r="AU33" s="8"/>
      <c r="AV33" s="10" t="s">
        <v>619</v>
      </c>
      <c r="AW33" s="8"/>
      <c r="AX33" s="8"/>
      <c r="AY33" s="12" t="s">
        <v>2787</v>
      </c>
      <c r="AZ33" s="12" t="s">
        <v>2797</v>
      </c>
      <c r="BA33" s="10" t="s">
        <v>769</v>
      </c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10" t="s">
        <v>809</v>
      </c>
      <c r="BO33" s="8"/>
      <c r="BP33" s="12" t="s">
        <v>2751</v>
      </c>
      <c r="BQ33" s="8"/>
      <c r="BR33" s="8"/>
      <c r="BS33" s="8"/>
      <c r="BT33" s="8"/>
      <c r="BU33" s="12" t="s">
        <v>1425</v>
      </c>
      <c r="BV33" s="12" t="s">
        <v>1427</v>
      </c>
      <c r="BW33" s="12" t="s">
        <v>1429</v>
      </c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>
        <v>1</v>
      </c>
    </row>
    <row r="34" spans="4:105" ht="39.950000000000003" hidden="1" customHeight="1" x14ac:dyDescent="0.3">
      <c r="D34">
        <v>1</v>
      </c>
      <c r="E34" s="8"/>
      <c r="F34" s="8"/>
      <c r="G34" s="8"/>
      <c r="H34" s="8"/>
      <c r="I34" s="8"/>
      <c r="J34" s="8"/>
      <c r="K34" s="8"/>
      <c r="L34" s="12" t="s">
        <v>2965</v>
      </c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12" t="s">
        <v>1871</v>
      </c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12" t="s">
        <v>1863</v>
      </c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12" t="s">
        <v>2753</v>
      </c>
      <c r="BQ34" s="8"/>
      <c r="BR34" s="8"/>
      <c r="BS34" s="8"/>
      <c r="BT34" s="8"/>
      <c r="BU34" s="8"/>
      <c r="BV34" s="8"/>
      <c r="BW34" s="8"/>
      <c r="BX34" s="8"/>
      <c r="BY34" s="10" t="s">
        <v>449</v>
      </c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>
        <v>1</v>
      </c>
    </row>
    <row r="35" spans="4:105" ht="39.950000000000003" hidden="1" customHeight="1" x14ac:dyDescent="0.3">
      <c r="D35">
        <v>1</v>
      </c>
      <c r="E35" s="8"/>
      <c r="F35" s="8"/>
      <c r="G35" s="8"/>
      <c r="H35" s="8"/>
      <c r="I35" s="8"/>
      <c r="J35" s="8"/>
      <c r="K35" s="8"/>
      <c r="L35" s="12" t="s">
        <v>2967</v>
      </c>
      <c r="M35" s="8"/>
      <c r="N35" s="8"/>
      <c r="O35" s="9" t="s">
        <v>75</v>
      </c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9" t="s">
        <v>110</v>
      </c>
      <c r="AC35" s="8"/>
      <c r="AD35" s="8"/>
      <c r="AE35" s="10" t="s">
        <v>414</v>
      </c>
      <c r="AF35" s="8"/>
      <c r="AG35" s="8"/>
      <c r="AH35" s="8"/>
      <c r="AI35" s="8"/>
      <c r="AJ35" s="8"/>
      <c r="AK35" s="8"/>
      <c r="AL35" s="8"/>
      <c r="AM35" s="8"/>
      <c r="AN35" s="12" t="s">
        <v>2833</v>
      </c>
      <c r="AO35" s="12" t="s">
        <v>2835</v>
      </c>
      <c r="AP35" s="12" t="s">
        <v>1865</v>
      </c>
      <c r="AQ35" s="8"/>
      <c r="AR35" s="8"/>
      <c r="AS35" s="8"/>
      <c r="AT35" s="8"/>
      <c r="AU35" s="8"/>
      <c r="AV35" s="8"/>
      <c r="AW35" s="8"/>
      <c r="AX35" s="8"/>
      <c r="AY35" s="12" t="s">
        <v>2789</v>
      </c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9" t="s">
        <v>140</v>
      </c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>
        <v>1</v>
      </c>
    </row>
    <row r="36" spans="4:105" ht="39.950000000000003" hidden="1" customHeight="1" x14ac:dyDescent="0.3">
      <c r="D36">
        <v>1</v>
      </c>
      <c r="E36" s="8"/>
      <c r="F36" s="8"/>
      <c r="G36" s="8"/>
      <c r="H36" s="8"/>
      <c r="I36" s="8"/>
      <c r="J36" s="8"/>
      <c r="K36" s="8"/>
      <c r="L36" s="12" t="s">
        <v>1409</v>
      </c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12" t="s">
        <v>1405</v>
      </c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12" t="s">
        <v>2791</v>
      </c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12" t="s">
        <v>2755</v>
      </c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12" t="s">
        <v>1431</v>
      </c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12" t="s">
        <v>1753</v>
      </c>
      <c r="CX36" s="12" t="s">
        <v>1755</v>
      </c>
      <c r="CY36" s="12" t="s">
        <v>1757</v>
      </c>
      <c r="CZ36" s="8"/>
      <c r="DA36">
        <v>1</v>
      </c>
    </row>
    <row r="37" spans="4:105" ht="39.950000000000003" hidden="1" customHeight="1" x14ac:dyDescent="0.3">
      <c r="D37">
        <v>1</v>
      </c>
      <c r="E37" s="8"/>
      <c r="F37" s="8"/>
      <c r="G37" s="8"/>
      <c r="H37" s="8"/>
      <c r="I37" s="8"/>
      <c r="J37" s="8"/>
      <c r="K37" s="8"/>
      <c r="L37" s="12" t="s">
        <v>1411</v>
      </c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12" t="s">
        <v>1407</v>
      </c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12" t="s">
        <v>2793</v>
      </c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12" t="s">
        <v>2727</v>
      </c>
      <c r="BQ37" s="12" t="s">
        <v>1419</v>
      </c>
      <c r="BR37" s="12" t="s">
        <v>1421</v>
      </c>
      <c r="BS37" s="12" t="s">
        <v>1423</v>
      </c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12" t="s">
        <v>1433</v>
      </c>
      <c r="CH37" s="8"/>
      <c r="CI37" s="8"/>
      <c r="CJ37" s="8"/>
      <c r="CK37" s="8"/>
      <c r="CL37" s="8"/>
      <c r="CM37" s="8"/>
      <c r="CN37" s="8"/>
      <c r="CO37" s="12" t="s">
        <v>1437</v>
      </c>
      <c r="CP37" s="12" t="s">
        <v>1439</v>
      </c>
      <c r="CQ37" s="8"/>
      <c r="CR37" s="8"/>
      <c r="CS37" s="8"/>
      <c r="CT37" s="8"/>
      <c r="CU37" s="8"/>
      <c r="CV37" s="8"/>
      <c r="CW37" s="8"/>
      <c r="CX37" s="8"/>
      <c r="CY37" s="8"/>
      <c r="CZ37" s="8"/>
      <c r="DA37">
        <v>1</v>
      </c>
    </row>
    <row r="38" spans="4:105" ht="39.950000000000003" hidden="1" customHeight="1" x14ac:dyDescent="0.3">
      <c r="D38">
        <v>1</v>
      </c>
      <c r="E38" s="8"/>
      <c r="F38" s="8"/>
      <c r="G38" s="8"/>
      <c r="H38" s="8"/>
      <c r="I38" s="8"/>
      <c r="J38" s="8"/>
      <c r="K38" s="8"/>
      <c r="L38" s="12" t="s">
        <v>2959</v>
      </c>
      <c r="M38" s="8"/>
      <c r="N38" s="8"/>
      <c r="O38" s="9" t="s">
        <v>70</v>
      </c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12" t="s">
        <v>2863</v>
      </c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10" t="s">
        <v>439</v>
      </c>
      <c r="AY38" s="12" t="s">
        <v>2795</v>
      </c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12" t="s">
        <v>2729</v>
      </c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12" t="s">
        <v>1435</v>
      </c>
      <c r="CH38" s="8"/>
      <c r="CI38" s="8"/>
      <c r="CJ38" s="8"/>
      <c r="CK38" s="8"/>
      <c r="CL38" s="8"/>
      <c r="CM38" s="8"/>
      <c r="CN38" s="8"/>
      <c r="CO38" s="12" t="s">
        <v>1441</v>
      </c>
      <c r="CP38" s="12" t="s">
        <v>1443</v>
      </c>
      <c r="CQ38" s="8"/>
      <c r="CR38" s="8"/>
      <c r="CS38" s="8"/>
      <c r="CT38" s="8"/>
      <c r="CU38" s="8"/>
      <c r="CV38" s="8"/>
      <c r="CW38" s="8"/>
      <c r="CX38" s="8"/>
      <c r="CY38" s="8"/>
      <c r="CZ38" s="8"/>
      <c r="DA38">
        <v>1</v>
      </c>
    </row>
    <row r="39" spans="4:105" ht="39.950000000000003" hidden="1" customHeight="1" x14ac:dyDescent="0.3">
      <c r="D39">
        <v>1</v>
      </c>
      <c r="E39" s="8"/>
      <c r="F39" s="8"/>
      <c r="G39" s="8"/>
      <c r="H39" s="8"/>
      <c r="I39" s="8"/>
      <c r="J39" s="8"/>
      <c r="K39" s="8"/>
      <c r="L39" s="12" t="s">
        <v>2961</v>
      </c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12" t="s">
        <v>2865</v>
      </c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12" t="s">
        <v>1975</v>
      </c>
      <c r="AY39" s="12" t="s">
        <v>1203</v>
      </c>
      <c r="AZ39" s="12" t="s">
        <v>1205</v>
      </c>
      <c r="BA39" s="12" t="s">
        <v>1207</v>
      </c>
      <c r="BB39" s="12" t="s">
        <v>1209</v>
      </c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12" t="s">
        <v>2731</v>
      </c>
      <c r="BQ39" s="9" t="s">
        <v>60</v>
      </c>
      <c r="BR39" s="8"/>
      <c r="BS39" s="8"/>
      <c r="BT39" s="8"/>
      <c r="BU39" s="8"/>
      <c r="BV39" s="8"/>
      <c r="BW39" s="8"/>
      <c r="BX39" s="8"/>
      <c r="BY39" s="12" t="s">
        <v>1197</v>
      </c>
      <c r="BZ39" s="12" t="s">
        <v>1199</v>
      </c>
      <c r="CA39" s="12" t="s">
        <v>1201</v>
      </c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>
        <v>1</v>
      </c>
    </row>
    <row r="40" spans="4:105" ht="39.950000000000003" hidden="1" customHeight="1" x14ac:dyDescent="0.3">
      <c r="D40">
        <v>1</v>
      </c>
      <c r="E40" s="8"/>
      <c r="F40" s="8"/>
      <c r="G40" s="12" t="s">
        <v>1311</v>
      </c>
      <c r="H40" s="12" t="s">
        <v>1313</v>
      </c>
      <c r="I40" s="12" t="s">
        <v>1315</v>
      </c>
      <c r="J40" s="12" t="s">
        <v>1317</v>
      </c>
      <c r="K40" s="12" t="s">
        <v>1319</v>
      </c>
      <c r="L40" s="12" t="s">
        <v>1321</v>
      </c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12" t="s">
        <v>2849</v>
      </c>
      <c r="AE40" s="12" t="s">
        <v>2861</v>
      </c>
      <c r="AF40" s="12" t="s">
        <v>1251</v>
      </c>
      <c r="AG40" s="12" t="s">
        <v>1253</v>
      </c>
      <c r="AH40" s="12" t="s">
        <v>1255</v>
      </c>
      <c r="AI40" s="12" t="s">
        <v>1257</v>
      </c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12" t="s">
        <v>1977</v>
      </c>
      <c r="AY40" s="8"/>
      <c r="AZ40" s="8"/>
      <c r="BA40" s="8"/>
      <c r="BB40" s="12" t="s">
        <v>1985</v>
      </c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12" t="s">
        <v>2733</v>
      </c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10" t="s">
        <v>749</v>
      </c>
      <c r="CR40" s="8"/>
      <c r="CS40" s="8"/>
      <c r="CT40" s="8"/>
      <c r="CU40" s="8"/>
      <c r="CV40" s="8"/>
      <c r="CW40" s="8"/>
      <c r="CX40" s="8"/>
      <c r="CY40" s="8"/>
      <c r="CZ40" s="8"/>
      <c r="DA40">
        <v>1</v>
      </c>
    </row>
    <row r="41" spans="4:105" ht="39.950000000000003" hidden="1" customHeight="1" x14ac:dyDescent="0.3">
      <c r="D41">
        <v>1</v>
      </c>
      <c r="E41" s="8"/>
      <c r="F41" s="8"/>
      <c r="G41" s="8"/>
      <c r="H41" s="8"/>
      <c r="I41" s="8"/>
      <c r="J41" s="8"/>
      <c r="K41" s="8"/>
      <c r="L41" s="12" t="s">
        <v>1323</v>
      </c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10" t="s">
        <v>644</v>
      </c>
      <c r="Y41" s="8"/>
      <c r="Z41" s="9" t="s">
        <v>175</v>
      </c>
      <c r="AA41" s="8"/>
      <c r="AB41" s="8"/>
      <c r="AC41" s="8"/>
      <c r="AD41" s="12" t="s">
        <v>2851</v>
      </c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12" t="s">
        <v>1979</v>
      </c>
      <c r="AY41" s="8"/>
      <c r="AZ41" s="8"/>
      <c r="BA41" s="8"/>
      <c r="BB41" s="12" t="s">
        <v>1987</v>
      </c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12" t="s">
        <v>2735</v>
      </c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>
        <v>1</v>
      </c>
    </row>
    <row r="42" spans="4:105" ht="39.950000000000003" hidden="1" customHeight="1" x14ac:dyDescent="0.3">
      <c r="D42">
        <v>1</v>
      </c>
      <c r="E42" s="8"/>
      <c r="F42" s="8"/>
      <c r="G42" s="8"/>
      <c r="H42" s="8"/>
      <c r="I42" s="8"/>
      <c r="J42" s="8"/>
      <c r="K42" s="8"/>
      <c r="L42" s="12" t="s">
        <v>2957</v>
      </c>
      <c r="M42" s="8"/>
      <c r="N42" s="10" t="s">
        <v>854</v>
      </c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12" t="s">
        <v>2853</v>
      </c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12" t="s">
        <v>1981</v>
      </c>
      <c r="AY42" s="8"/>
      <c r="AZ42" s="8"/>
      <c r="BA42" s="8"/>
      <c r="BB42" s="12" t="s">
        <v>1989</v>
      </c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12" t="s">
        <v>2737</v>
      </c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12" t="s">
        <v>1445</v>
      </c>
      <c r="CO42" s="12" t="s">
        <v>1447</v>
      </c>
      <c r="CP42" s="12" t="s">
        <v>1449</v>
      </c>
      <c r="CQ42" s="12" t="s">
        <v>1451</v>
      </c>
      <c r="CR42" s="8"/>
      <c r="CS42" s="8"/>
      <c r="CT42" s="8"/>
      <c r="CU42" s="8"/>
      <c r="CV42" s="8"/>
      <c r="CW42" s="10" t="s">
        <v>279</v>
      </c>
      <c r="CX42" s="8"/>
      <c r="CY42" s="8"/>
      <c r="CZ42" s="8"/>
      <c r="DA42">
        <v>1</v>
      </c>
    </row>
    <row r="43" spans="4:105" ht="39.950000000000003" hidden="1" customHeight="1" x14ac:dyDescent="0.3">
      <c r="D43">
        <v>1</v>
      </c>
      <c r="E43" s="8"/>
      <c r="F43" s="8"/>
      <c r="G43" s="8"/>
      <c r="H43" s="9" t="s">
        <v>220</v>
      </c>
      <c r="I43" s="8"/>
      <c r="J43" s="8"/>
      <c r="K43" s="8"/>
      <c r="L43" s="12" t="s">
        <v>2943</v>
      </c>
      <c r="M43" s="12" t="s">
        <v>2945</v>
      </c>
      <c r="N43" s="12" t="s">
        <v>2947</v>
      </c>
      <c r="O43" s="12" t="s">
        <v>2949</v>
      </c>
      <c r="P43" s="12" t="s">
        <v>2951</v>
      </c>
      <c r="Q43" s="12" t="s">
        <v>2953</v>
      </c>
      <c r="R43" s="12" t="s">
        <v>2955</v>
      </c>
      <c r="S43" s="12" t="s">
        <v>1267</v>
      </c>
      <c r="T43" s="12" t="s">
        <v>1269</v>
      </c>
      <c r="U43" s="12" t="s">
        <v>1271</v>
      </c>
      <c r="V43" s="12" t="s">
        <v>1273</v>
      </c>
      <c r="W43" s="8"/>
      <c r="X43" s="8"/>
      <c r="Y43" s="9" t="s">
        <v>65</v>
      </c>
      <c r="Z43" s="8"/>
      <c r="AA43" s="8"/>
      <c r="AB43" s="8"/>
      <c r="AC43" s="8"/>
      <c r="AD43" s="12" t="s">
        <v>2855</v>
      </c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12" t="s">
        <v>1973</v>
      </c>
      <c r="AS43" s="12" t="s">
        <v>1211</v>
      </c>
      <c r="AT43" s="12" t="s">
        <v>1213</v>
      </c>
      <c r="AU43" s="12" t="s">
        <v>1215</v>
      </c>
      <c r="AV43" s="12" t="s">
        <v>1217</v>
      </c>
      <c r="AW43" s="12" t="s">
        <v>1219</v>
      </c>
      <c r="AX43" s="12" t="s">
        <v>1983</v>
      </c>
      <c r="AY43" s="8"/>
      <c r="AZ43" s="8"/>
      <c r="BA43" s="8"/>
      <c r="BB43" s="12" t="s">
        <v>1189</v>
      </c>
      <c r="BC43" s="12" t="s">
        <v>1191</v>
      </c>
      <c r="BD43" s="12" t="s">
        <v>1193</v>
      </c>
      <c r="BE43" s="12" t="s">
        <v>1195</v>
      </c>
      <c r="BF43" s="12" t="s">
        <v>2001</v>
      </c>
      <c r="BG43" s="12" t="s">
        <v>2007</v>
      </c>
      <c r="BH43" s="12" t="s">
        <v>2009</v>
      </c>
      <c r="BI43" s="12" t="s">
        <v>1187</v>
      </c>
      <c r="BJ43" s="12" t="s">
        <v>2011</v>
      </c>
      <c r="BK43" s="8"/>
      <c r="BL43" s="8"/>
      <c r="BM43" s="9" t="s">
        <v>230</v>
      </c>
      <c r="BN43" s="8"/>
      <c r="BO43" s="8"/>
      <c r="BP43" s="12" t="s">
        <v>2739</v>
      </c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10" t="s">
        <v>489</v>
      </c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>
        <v>1</v>
      </c>
    </row>
    <row r="44" spans="4:105" ht="39.950000000000003" hidden="1" customHeight="1" x14ac:dyDescent="0.3">
      <c r="D44">
        <v>1</v>
      </c>
      <c r="E44" s="8"/>
      <c r="F44" s="8"/>
      <c r="G44" s="8"/>
      <c r="H44" s="10" t="s">
        <v>669</v>
      </c>
      <c r="I44" s="8"/>
      <c r="J44" s="8"/>
      <c r="K44" s="8"/>
      <c r="L44" s="8"/>
      <c r="M44" s="8"/>
      <c r="N44" s="8"/>
      <c r="O44" s="8"/>
      <c r="P44" s="8"/>
      <c r="Q44" s="8"/>
      <c r="R44" s="8"/>
      <c r="S44" s="12" t="s">
        <v>2877</v>
      </c>
      <c r="T44" s="8"/>
      <c r="U44" s="8"/>
      <c r="V44" s="12" t="s">
        <v>2875</v>
      </c>
      <c r="W44" s="8"/>
      <c r="X44" s="8"/>
      <c r="Y44" s="8"/>
      <c r="Z44" s="8"/>
      <c r="AA44" s="8"/>
      <c r="AB44" s="8"/>
      <c r="AC44" s="8"/>
      <c r="AD44" s="12" t="s">
        <v>2857</v>
      </c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12" t="s">
        <v>1995</v>
      </c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12" t="s">
        <v>2003</v>
      </c>
      <c r="BG44" s="8"/>
      <c r="BH44" s="8"/>
      <c r="BI44" s="8"/>
      <c r="BJ44" s="12" t="s">
        <v>2013</v>
      </c>
      <c r="BK44" s="8"/>
      <c r="BL44" s="8"/>
      <c r="BM44" s="8"/>
      <c r="BN44" s="8"/>
      <c r="BO44" s="8"/>
      <c r="BP44" s="12" t="s">
        <v>2741</v>
      </c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12" t="s">
        <v>1151</v>
      </c>
      <c r="CC44" s="10" t="s">
        <v>639</v>
      </c>
      <c r="CD44" s="12" t="s">
        <v>1153</v>
      </c>
      <c r="CE44" s="12" t="s">
        <v>1155</v>
      </c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12" t="s">
        <v>1759</v>
      </c>
      <c r="CV44" s="12" t="s">
        <v>1761</v>
      </c>
      <c r="CW44" s="8"/>
      <c r="CX44" s="8"/>
      <c r="CY44" s="8"/>
      <c r="CZ44" s="8"/>
      <c r="DA44">
        <v>1</v>
      </c>
    </row>
    <row r="45" spans="4:105" ht="39.950000000000003" hidden="1" customHeight="1" x14ac:dyDescent="0.3">
      <c r="D45">
        <v>1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12" t="s">
        <v>2879</v>
      </c>
      <c r="T45" s="8"/>
      <c r="U45" s="8"/>
      <c r="V45" s="12" t="s">
        <v>1259</v>
      </c>
      <c r="W45" s="12" t="s">
        <v>1261</v>
      </c>
      <c r="X45" s="12" t="s">
        <v>1263</v>
      </c>
      <c r="Y45" s="12" t="s">
        <v>1265</v>
      </c>
      <c r="Z45" s="12" t="s">
        <v>2867</v>
      </c>
      <c r="AA45" s="12" t="s">
        <v>2869</v>
      </c>
      <c r="AB45" s="12" t="s">
        <v>2871</v>
      </c>
      <c r="AC45" s="12" t="s">
        <v>2873</v>
      </c>
      <c r="AD45" s="12" t="s">
        <v>2859</v>
      </c>
      <c r="AE45" s="12" t="s">
        <v>1245</v>
      </c>
      <c r="AF45" s="12" t="s">
        <v>1247</v>
      </c>
      <c r="AG45" s="12" t="s">
        <v>1249</v>
      </c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12" t="s">
        <v>1997</v>
      </c>
      <c r="AS45" s="8"/>
      <c r="AT45" s="8"/>
      <c r="AU45" s="10" t="s">
        <v>609</v>
      </c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12" t="s">
        <v>2005</v>
      </c>
      <c r="BG45" s="8"/>
      <c r="BH45" s="8"/>
      <c r="BI45" s="8"/>
      <c r="BJ45" s="12" t="s">
        <v>2015</v>
      </c>
      <c r="BK45" s="8"/>
      <c r="BL45" s="8"/>
      <c r="BM45" s="8"/>
      <c r="BN45" s="8"/>
      <c r="BO45" s="8"/>
      <c r="BP45" s="12" t="s">
        <v>2743</v>
      </c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9" t="s">
        <v>40</v>
      </c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9" t="s">
        <v>55</v>
      </c>
      <c r="CV45" s="12" t="s">
        <v>1763</v>
      </c>
      <c r="CW45" s="8"/>
      <c r="CX45" s="8"/>
      <c r="CY45" s="10" t="s">
        <v>374</v>
      </c>
      <c r="CZ45" s="8"/>
      <c r="DA45">
        <v>1</v>
      </c>
    </row>
    <row r="46" spans="4:105" ht="39.950000000000003" hidden="1" customHeight="1" x14ac:dyDescent="0.3">
      <c r="D46">
        <v>1</v>
      </c>
      <c r="E46" s="8"/>
      <c r="F46" s="8"/>
      <c r="G46" s="12" t="s">
        <v>2929</v>
      </c>
      <c r="H46" s="12" t="s">
        <v>2935</v>
      </c>
      <c r="I46" s="12" t="s">
        <v>2937</v>
      </c>
      <c r="J46" s="12" t="s">
        <v>2939</v>
      </c>
      <c r="K46" s="12" t="s">
        <v>2941</v>
      </c>
      <c r="L46" s="12" t="s">
        <v>1281</v>
      </c>
      <c r="M46" s="12" t="s">
        <v>1283</v>
      </c>
      <c r="N46" s="12" t="s">
        <v>1285</v>
      </c>
      <c r="O46" s="12" t="s">
        <v>1287</v>
      </c>
      <c r="P46" s="12" t="s">
        <v>1289</v>
      </c>
      <c r="Q46" s="12" t="s">
        <v>2899</v>
      </c>
      <c r="R46" s="12" t="s">
        <v>2901</v>
      </c>
      <c r="S46" s="12" t="s">
        <v>2881</v>
      </c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12" t="s">
        <v>1999</v>
      </c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12" t="s">
        <v>2017</v>
      </c>
      <c r="BK46" s="8"/>
      <c r="BL46" s="8"/>
      <c r="BM46" s="8"/>
      <c r="BN46" s="8"/>
      <c r="BO46" s="8"/>
      <c r="BP46" s="12" t="s">
        <v>1179</v>
      </c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>
        <v>1</v>
      </c>
    </row>
    <row r="47" spans="4:105" ht="39.950000000000003" hidden="1" customHeight="1" x14ac:dyDescent="0.3">
      <c r="D47">
        <v>1</v>
      </c>
      <c r="E47" s="8"/>
      <c r="F47" s="8"/>
      <c r="G47" s="12" t="s">
        <v>2931</v>
      </c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12" t="s">
        <v>2883</v>
      </c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12" t="s">
        <v>1243</v>
      </c>
      <c r="AJ47" s="12" t="s">
        <v>1229</v>
      </c>
      <c r="AK47" s="12" t="s">
        <v>1231</v>
      </c>
      <c r="AL47" s="12" t="s">
        <v>1233</v>
      </c>
      <c r="AM47" s="12" t="s">
        <v>1235</v>
      </c>
      <c r="AN47" s="12" t="s">
        <v>1957</v>
      </c>
      <c r="AO47" s="12" t="s">
        <v>1959</v>
      </c>
      <c r="AP47" s="12" t="s">
        <v>1961</v>
      </c>
      <c r="AQ47" s="12" t="s">
        <v>1991</v>
      </c>
      <c r="AR47" s="12" t="s">
        <v>1993</v>
      </c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12" t="s">
        <v>2019</v>
      </c>
      <c r="BK47" s="8"/>
      <c r="BL47" s="8"/>
      <c r="BM47" s="8"/>
      <c r="BN47" s="8"/>
      <c r="BO47" s="8"/>
      <c r="BP47" s="12" t="s">
        <v>1181</v>
      </c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12" t="s">
        <v>1157</v>
      </c>
      <c r="CD47" s="12" t="s">
        <v>1159</v>
      </c>
      <c r="CE47" s="12" t="s">
        <v>1161</v>
      </c>
      <c r="CF47" s="12" t="s">
        <v>1163</v>
      </c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>
        <v>1</v>
      </c>
    </row>
    <row r="48" spans="4:105" ht="39.950000000000003" hidden="1" customHeight="1" x14ac:dyDescent="0.3">
      <c r="D48">
        <v>1</v>
      </c>
      <c r="E48" s="8"/>
      <c r="F48" s="8"/>
      <c r="G48" s="12" t="s">
        <v>2933</v>
      </c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12" t="s">
        <v>2885</v>
      </c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12" t="s">
        <v>1889</v>
      </c>
      <c r="AG48" s="12" t="s">
        <v>1891</v>
      </c>
      <c r="AH48" s="8"/>
      <c r="AI48" s="8"/>
      <c r="AJ48" s="8"/>
      <c r="AK48" s="8"/>
      <c r="AL48" s="12" t="s">
        <v>1963</v>
      </c>
      <c r="AM48" s="8"/>
      <c r="AN48" s="10" t="s">
        <v>714</v>
      </c>
      <c r="AO48" s="12" t="s">
        <v>1967</v>
      </c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12" t="s">
        <v>2021</v>
      </c>
      <c r="BK48" s="8"/>
      <c r="BL48" s="10" t="s">
        <v>919</v>
      </c>
      <c r="BM48" s="8"/>
      <c r="BN48" s="8"/>
      <c r="BO48" s="8"/>
      <c r="BP48" s="12" t="s">
        <v>1183</v>
      </c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12" t="s">
        <v>1745</v>
      </c>
      <c r="CY48" s="12" t="s">
        <v>1747</v>
      </c>
      <c r="CZ48" s="8"/>
      <c r="DA48">
        <v>1</v>
      </c>
    </row>
    <row r="49" spans="4:105" ht="39.950000000000003" hidden="1" customHeight="1" x14ac:dyDescent="0.3">
      <c r="D49">
        <v>1</v>
      </c>
      <c r="E49" s="8"/>
      <c r="F49" s="8"/>
      <c r="G49" s="12" t="s">
        <v>1291</v>
      </c>
      <c r="H49" s="8"/>
      <c r="I49" s="8"/>
      <c r="J49" s="8"/>
      <c r="K49" s="8"/>
      <c r="L49" s="8"/>
      <c r="M49" s="8"/>
      <c r="N49" s="12" t="s">
        <v>2889</v>
      </c>
      <c r="O49" s="12" t="s">
        <v>2891</v>
      </c>
      <c r="P49" s="12" t="s">
        <v>2893</v>
      </c>
      <c r="Q49" s="12" t="s">
        <v>2895</v>
      </c>
      <c r="R49" s="12" t="s">
        <v>2897</v>
      </c>
      <c r="S49" s="12" t="s">
        <v>2887</v>
      </c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12" t="s">
        <v>1221</v>
      </c>
      <c r="AM49" s="8"/>
      <c r="AN49" s="8"/>
      <c r="AO49" s="12" t="s">
        <v>1969</v>
      </c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12" t="s">
        <v>2023</v>
      </c>
      <c r="BK49" s="8"/>
      <c r="BL49" s="8"/>
      <c r="BM49" s="8"/>
      <c r="BN49" s="8"/>
      <c r="BO49" s="8"/>
      <c r="BP49" s="12" t="s">
        <v>1185</v>
      </c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10" t="s">
        <v>799</v>
      </c>
      <c r="CG49" s="8"/>
      <c r="CH49" s="8"/>
      <c r="CI49" s="8"/>
      <c r="CJ49" s="8"/>
      <c r="CK49" s="12" t="s">
        <v>1453</v>
      </c>
      <c r="CL49" s="12" t="s">
        <v>1455</v>
      </c>
      <c r="CM49" s="10" t="s">
        <v>589</v>
      </c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12" t="s">
        <v>1749</v>
      </c>
      <c r="CY49" s="12" t="s">
        <v>1751</v>
      </c>
      <c r="CZ49" s="8"/>
      <c r="DA49">
        <v>1</v>
      </c>
    </row>
    <row r="50" spans="4:105" ht="39.950000000000003" hidden="1" customHeight="1" x14ac:dyDescent="0.3">
      <c r="D50">
        <v>1</v>
      </c>
      <c r="E50" s="8"/>
      <c r="F50" s="8"/>
      <c r="G50" s="12" t="s">
        <v>1293</v>
      </c>
      <c r="H50" s="9" t="s">
        <v>160</v>
      </c>
      <c r="I50" s="10" t="s">
        <v>754</v>
      </c>
      <c r="J50" s="8"/>
      <c r="K50" s="8"/>
      <c r="L50" s="8"/>
      <c r="M50" s="8"/>
      <c r="N50" s="8"/>
      <c r="O50" s="8"/>
      <c r="P50" s="12" t="s">
        <v>2903</v>
      </c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12" t="s">
        <v>1893</v>
      </c>
      <c r="AG50" s="8"/>
      <c r="AH50" s="8"/>
      <c r="AI50" s="8"/>
      <c r="AJ50" s="8"/>
      <c r="AK50" s="8"/>
      <c r="AL50" s="12" t="s">
        <v>1223</v>
      </c>
      <c r="AM50" s="8"/>
      <c r="AN50" s="8"/>
      <c r="AO50" s="12" t="s">
        <v>1237</v>
      </c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12" t="s">
        <v>2025</v>
      </c>
      <c r="BK50" s="8"/>
      <c r="BL50" s="8"/>
      <c r="BM50" s="8"/>
      <c r="BN50" s="8"/>
      <c r="BO50" s="8"/>
      <c r="BP50" s="12" t="s">
        <v>2719</v>
      </c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12" t="s">
        <v>1141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>
        <v>1</v>
      </c>
    </row>
    <row r="51" spans="4:105" ht="39.950000000000003" hidden="1" customHeight="1" x14ac:dyDescent="0.3">
      <c r="D51">
        <v>1</v>
      </c>
      <c r="E51" s="8"/>
      <c r="F51" s="8"/>
      <c r="G51" s="12" t="s">
        <v>1295</v>
      </c>
      <c r="H51" s="8"/>
      <c r="I51" s="8"/>
      <c r="J51" s="8"/>
      <c r="K51" s="8"/>
      <c r="L51" s="8"/>
      <c r="M51" s="8"/>
      <c r="N51" s="8"/>
      <c r="O51" s="8"/>
      <c r="P51" s="10" t="s">
        <v>294</v>
      </c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12" t="s">
        <v>1895</v>
      </c>
      <c r="AG51" s="8"/>
      <c r="AH51" s="8"/>
      <c r="AI51" s="10" t="s">
        <v>529</v>
      </c>
      <c r="AJ51" s="8"/>
      <c r="AK51" s="8"/>
      <c r="AL51" s="12" t="s">
        <v>1225</v>
      </c>
      <c r="AM51" s="8"/>
      <c r="AN51" s="8"/>
      <c r="AO51" s="12" t="s">
        <v>1239</v>
      </c>
      <c r="AP51" s="8"/>
      <c r="AQ51" s="10" t="s">
        <v>344</v>
      </c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12" t="s">
        <v>1173</v>
      </c>
      <c r="BI51" s="12" t="s">
        <v>1175</v>
      </c>
      <c r="BJ51" s="12" t="s">
        <v>1177</v>
      </c>
      <c r="BK51" s="8"/>
      <c r="BL51" s="8"/>
      <c r="BM51" s="8"/>
      <c r="BN51" s="8"/>
      <c r="BO51" s="8"/>
      <c r="BP51" s="12" t="s">
        <v>2721</v>
      </c>
      <c r="BQ51" s="8"/>
      <c r="BR51" s="8"/>
      <c r="BS51" s="8"/>
      <c r="BT51" s="10" t="s">
        <v>334</v>
      </c>
      <c r="BU51" s="8"/>
      <c r="BV51" s="8"/>
      <c r="BW51" s="8"/>
      <c r="BX51" s="8"/>
      <c r="BY51" s="10" t="s">
        <v>679</v>
      </c>
      <c r="BZ51" s="8"/>
      <c r="CA51" s="8"/>
      <c r="CB51" s="8"/>
      <c r="CC51" s="12" t="s">
        <v>1143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12" t="s">
        <v>1457</v>
      </c>
      <c r="CR51" s="12" t="s">
        <v>1459</v>
      </c>
      <c r="CS51" s="12" t="s">
        <v>1461</v>
      </c>
      <c r="CT51" s="8"/>
      <c r="CU51" s="8"/>
      <c r="CV51" s="8"/>
      <c r="CW51" s="8"/>
      <c r="CX51" s="8"/>
      <c r="CY51" s="8"/>
      <c r="CZ51" s="8"/>
      <c r="DA51">
        <v>1</v>
      </c>
    </row>
    <row r="52" spans="4:105" ht="39.950000000000003" hidden="1" customHeight="1" x14ac:dyDescent="0.3">
      <c r="D52">
        <v>1</v>
      </c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12" t="s">
        <v>2905</v>
      </c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12" t="s">
        <v>1897</v>
      </c>
      <c r="AG52" s="8"/>
      <c r="AH52" s="8"/>
      <c r="AI52" s="8"/>
      <c r="AJ52" s="8"/>
      <c r="AK52" s="8"/>
      <c r="AL52" s="12" t="s">
        <v>1227</v>
      </c>
      <c r="AM52" s="8"/>
      <c r="AN52" s="8"/>
      <c r="AO52" s="12" t="s">
        <v>1241</v>
      </c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12" t="s">
        <v>2027</v>
      </c>
      <c r="BK52" s="8"/>
      <c r="BL52" s="8"/>
      <c r="BM52" s="8"/>
      <c r="BN52" s="8"/>
      <c r="BO52" s="8"/>
      <c r="BP52" s="12" t="s">
        <v>2723</v>
      </c>
      <c r="BQ52" s="8"/>
      <c r="BR52" s="8"/>
      <c r="BS52" s="8"/>
      <c r="BT52" s="8"/>
      <c r="BU52" s="8"/>
      <c r="BV52" s="10" t="s">
        <v>564</v>
      </c>
      <c r="BW52" s="8"/>
      <c r="BX52" s="8"/>
      <c r="BY52" s="8"/>
      <c r="BZ52" s="8"/>
      <c r="CA52" s="8"/>
      <c r="CB52" s="8"/>
      <c r="CC52" s="12" t="s">
        <v>1145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>
        <v>1</v>
      </c>
    </row>
    <row r="53" spans="4:105" ht="39.950000000000003" hidden="1" customHeight="1" x14ac:dyDescent="0.3">
      <c r="D53">
        <v>1</v>
      </c>
      <c r="E53" s="8"/>
      <c r="F53" s="8"/>
      <c r="G53" s="8"/>
      <c r="H53" s="8"/>
      <c r="I53" s="8"/>
      <c r="J53" s="8"/>
      <c r="K53" s="8"/>
      <c r="L53" s="8"/>
      <c r="M53" s="8"/>
      <c r="N53" s="10" t="s">
        <v>329</v>
      </c>
      <c r="O53" s="8"/>
      <c r="P53" s="12" t="s">
        <v>2907</v>
      </c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10" t="s">
        <v>419</v>
      </c>
      <c r="AF53" s="10" t="s">
        <v>899</v>
      </c>
      <c r="AG53" s="8"/>
      <c r="AH53" s="8"/>
      <c r="AI53" s="8"/>
      <c r="AJ53" s="8"/>
      <c r="AK53" s="8"/>
      <c r="AL53" s="12" t="s">
        <v>1965</v>
      </c>
      <c r="AM53" s="8"/>
      <c r="AN53" s="8"/>
      <c r="AO53" s="12" t="s">
        <v>1971</v>
      </c>
      <c r="AP53" s="8"/>
      <c r="AQ53" s="8"/>
      <c r="AR53" s="8"/>
      <c r="AS53" s="8"/>
      <c r="AT53" s="8"/>
      <c r="AU53" s="8"/>
      <c r="AV53" s="8"/>
      <c r="AW53" s="8"/>
      <c r="AX53" s="10" t="s">
        <v>604</v>
      </c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12" t="s">
        <v>2029</v>
      </c>
      <c r="BK53" s="8"/>
      <c r="BL53" s="8"/>
      <c r="BM53" s="8"/>
      <c r="BN53" s="8"/>
      <c r="BO53" s="8"/>
      <c r="BP53" s="12" t="s">
        <v>2725</v>
      </c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12" t="s">
        <v>1147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>
        <v>1</v>
      </c>
    </row>
    <row r="54" spans="4:105" ht="39.950000000000003" hidden="1" customHeight="1" x14ac:dyDescent="0.3">
      <c r="D54">
        <v>1</v>
      </c>
      <c r="E54" s="8"/>
      <c r="F54" s="8"/>
      <c r="G54" s="8"/>
      <c r="H54" s="8"/>
      <c r="I54" s="12" t="s">
        <v>1297</v>
      </c>
      <c r="J54" s="12" t="s">
        <v>1299</v>
      </c>
      <c r="K54" s="12" t="s">
        <v>1301</v>
      </c>
      <c r="L54" s="12" t="s">
        <v>1303</v>
      </c>
      <c r="M54" s="12" t="s">
        <v>2911</v>
      </c>
      <c r="N54" s="12" t="s">
        <v>2913</v>
      </c>
      <c r="O54" s="12" t="s">
        <v>2915</v>
      </c>
      <c r="P54" s="12" t="s">
        <v>2909</v>
      </c>
      <c r="Q54" s="8"/>
      <c r="R54" s="8"/>
      <c r="S54" s="8"/>
      <c r="T54" s="8"/>
      <c r="U54" s="8"/>
      <c r="V54" s="8"/>
      <c r="W54" s="8"/>
      <c r="X54" s="9" t="s">
        <v>125</v>
      </c>
      <c r="Y54" s="8"/>
      <c r="Z54" s="8"/>
      <c r="AA54" s="8"/>
      <c r="AB54" s="8"/>
      <c r="AC54" s="8"/>
      <c r="AD54" s="8"/>
      <c r="AE54" s="8"/>
      <c r="AF54" s="12" t="s">
        <v>1899</v>
      </c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10" t="s">
        <v>724</v>
      </c>
      <c r="CC54" s="12" t="s">
        <v>1149</v>
      </c>
      <c r="CD54" s="8"/>
      <c r="CE54" s="8"/>
      <c r="CF54" s="8"/>
      <c r="CG54" s="8"/>
      <c r="CH54" s="8"/>
      <c r="CI54" s="8"/>
      <c r="CJ54" s="8"/>
      <c r="CK54" s="12" t="s">
        <v>1463</v>
      </c>
      <c r="CL54" s="8"/>
      <c r="CM54" s="8"/>
      <c r="CN54" s="8"/>
      <c r="CO54" s="8"/>
      <c r="CP54" s="10" t="s">
        <v>494</v>
      </c>
      <c r="CQ54" s="8"/>
      <c r="CR54" s="8"/>
      <c r="CS54" s="8"/>
      <c r="CT54" s="8"/>
      <c r="CU54" s="12" t="s">
        <v>1729</v>
      </c>
      <c r="CV54" s="12" t="s">
        <v>1731</v>
      </c>
      <c r="CW54" s="12" t="s">
        <v>1733</v>
      </c>
      <c r="CX54" s="8"/>
      <c r="CY54" s="8"/>
      <c r="CZ54" s="8"/>
      <c r="DA54">
        <v>1</v>
      </c>
    </row>
    <row r="55" spans="4:105" ht="39.950000000000003" hidden="1" customHeight="1" x14ac:dyDescent="0.3">
      <c r="D55">
        <v>1</v>
      </c>
      <c r="E55" s="8"/>
      <c r="F55" s="8"/>
      <c r="G55" s="8"/>
      <c r="H55" s="8"/>
      <c r="I55" s="8"/>
      <c r="J55" s="12" t="s">
        <v>2917</v>
      </c>
      <c r="K55" s="8"/>
      <c r="L55" s="8"/>
      <c r="M55" s="8"/>
      <c r="N55" s="8"/>
      <c r="O55" s="8"/>
      <c r="P55" s="12" t="s">
        <v>1275</v>
      </c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12" t="s">
        <v>1901</v>
      </c>
      <c r="AG55" s="8"/>
      <c r="AH55" s="8"/>
      <c r="AI55" s="8"/>
      <c r="AJ55" s="8"/>
      <c r="AK55" s="8"/>
      <c r="AL55" s="8"/>
      <c r="AM55" s="8"/>
      <c r="AN55" s="8"/>
      <c r="AO55" s="8"/>
      <c r="AP55" s="12" t="s">
        <v>1937</v>
      </c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12" t="s">
        <v>2235</v>
      </c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10" t="s">
        <v>574</v>
      </c>
      <c r="BZ55" s="8"/>
      <c r="CA55" s="8"/>
      <c r="CB55" s="8"/>
      <c r="CC55" s="8"/>
      <c r="CD55" s="8"/>
      <c r="CE55" s="8"/>
      <c r="CF55" s="8"/>
      <c r="CG55" s="8"/>
      <c r="CH55" s="12" t="s">
        <v>1165</v>
      </c>
      <c r="CI55" s="8"/>
      <c r="CJ55" s="8"/>
      <c r="CK55" s="12" t="s">
        <v>1465</v>
      </c>
      <c r="CL55" s="8"/>
      <c r="CM55" s="8"/>
      <c r="CN55" s="8"/>
      <c r="CO55" s="8"/>
      <c r="CP55" s="8"/>
      <c r="CQ55" s="8"/>
      <c r="CR55" s="8"/>
      <c r="CS55" s="8"/>
      <c r="CT55" s="8"/>
      <c r="CU55" s="12" t="s">
        <v>1735</v>
      </c>
      <c r="CV55" s="12" t="s">
        <v>1737</v>
      </c>
      <c r="CW55" s="12" t="s">
        <v>1739</v>
      </c>
      <c r="CX55" s="8"/>
      <c r="CY55" s="8"/>
      <c r="CZ55" s="8"/>
      <c r="DA55">
        <v>1</v>
      </c>
    </row>
    <row r="56" spans="4:105" ht="39.950000000000003" hidden="1" customHeight="1" x14ac:dyDescent="0.3">
      <c r="D56">
        <v>1</v>
      </c>
      <c r="E56" s="8"/>
      <c r="F56" s="8"/>
      <c r="G56" s="8"/>
      <c r="H56" s="8"/>
      <c r="I56" s="8"/>
      <c r="J56" s="12" t="s">
        <v>2919</v>
      </c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12" t="s">
        <v>1903</v>
      </c>
      <c r="AG56" s="8"/>
      <c r="AH56" s="8"/>
      <c r="AI56" s="8"/>
      <c r="AJ56" s="8"/>
      <c r="AK56" s="8"/>
      <c r="AL56" s="8"/>
      <c r="AM56" s="8"/>
      <c r="AN56" s="8"/>
      <c r="AO56" s="8"/>
      <c r="AP56" s="12" t="s">
        <v>1939</v>
      </c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9" t="s">
        <v>233</v>
      </c>
      <c r="BE56" s="8"/>
      <c r="BF56" s="8"/>
      <c r="BG56" s="8"/>
      <c r="BH56" s="8"/>
      <c r="BI56" s="8"/>
      <c r="BJ56" s="8"/>
      <c r="BK56" s="8"/>
      <c r="BL56" s="8"/>
      <c r="BM56" s="12" t="s">
        <v>2237</v>
      </c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12" t="s">
        <v>1167</v>
      </c>
      <c r="CI56" s="8"/>
      <c r="CJ56" s="8"/>
      <c r="CK56" s="8"/>
      <c r="CL56" s="8"/>
      <c r="CM56" s="8"/>
      <c r="CN56" s="8"/>
      <c r="CO56" s="8"/>
      <c r="CP56" s="12" t="s">
        <v>1741</v>
      </c>
      <c r="CQ56" s="12" t="s">
        <v>1743</v>
      </c>
      <c r="CR56" s="8"/>
      <c r="CS56" s="8"/>
      <c r="CT56" s="8"/>
      <c r="CU56" s="8"/>
      <c r="CV56" s="8"/>
      <c r="CW56" s="8"/>
      <c r="CX56" s="8"/>
      <c r="CY56" s="8"/>
      <c r="CZ56" s="8"/>
      <c r="DA56">
        <v>1</v>
      </c>
    </row>
    <row r="57" spans="4:105" ht="39.950000000000003" hidden="1" customHeight="1" x14ac:dyDescent="0.3">
      <c r="D57">
        <v>1</v>
      </c>
      <c r="E57" s="8"/>
      <c r="F57" s="8"/>
      <c r="G57" s="8"/>
      <c r="H57" s="8"/>
      <c r="I57" s="8"/>
      <c r="J57" s="12" t="s">
        <v>1305</v>
      </c>
      <c r="K57" s="8"/>
      <c r="L57" s="8"/>
      <c r="M57" s="8"/>
      <c r="N57" s="8"/>
      <c r="O57" s="10" t="s">
        <v>434</v>
      </c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12" t="s">
        <v>1905</v>
      </c>
      <c r="AG57" s="8"/>
      <c r="AH57" s="8"/>
      <c r="AI57" s="8"/>
      <c r="AJ57" s="8"/>
      <c r="AK57" s="8"/>
      <c r="AL57" s="8"/>
      <c r="AM57" s="8"/>
      <c r="AN57" s="8"/>
      <c r="AO57" s="8"/>
      <c r="AP57" s="12" t="s">
        <v>1941</v>
      </c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12" t="s">
        <v>2239</v>
      </c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12" t="s">
        <v>1169</v>
      </c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>
        <v>1</v>
      </c>
    </row>
    <row r="58" spans="4:105" ht="39.950000000000003" hidden="1" customHeight="1" x14ac:dyDescent="0.3">
      <c r="D58">
        <v>1</v>
      </c>
      <c r="E58" s="8"/>
      <c r="F58" s="8"/>
      <c r="G58" s="8"/>
      <c r="H58" s="8"/>
      <c r="I58" s="8"/>
      <c r="J58" s="12" t="s">
        <v>1307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12" t="s">
        <v>1907</v>
      </c>
      <c r="AG58" s="8"/>
      <c r="AH58" s="8"/>
      <c r="AI58" s="8"/>
      <c r="AJ58" s="8"/>
      <c r="AK58" s="8"/>
      <c r="AL58" s="8"/>
      <c r="AM58" s="8"/>
      <c r="AN58" s="8"/>
      <c r="AO58" s="8"/>
      <c r="AP58" s="12" t="s">
        <v>1943</v>
      </c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12" t="s">
        <v>2241</v>
      </c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12" t="s">
        <v>1171</v>
      </c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>
        <v>1</v>
      </c>
    </row>
    <row r="59" spans="4:105" ht="39.950000000000003" hidden="1" customHeight="1" x14ac:dyDescent="0.3">
      <c r="D59">
        <v>1</v>
      </c>
      <c r="E59" s="8"/>
      <c r="F59" s="8"/>
      <c r="G59" s="8"/>
      <c r="H59" s="8"/>
      <c r="I59" s="8"/>
      <c r="J59" s="12" t="s">
        <v>1309</v>
      </c>
      <c r="K59" s="12" t="s">
        <v>2921</v>
      </c>
      <c r="L59" s="12" t="s">
        <v>2923</v>
      </c>
      <c r="M59" s="12" t="s">
        <v>2925</v>
      </c>
      <c r="N59" s="12" t="s">
        <v>2927</v>
      </c>
      <c r="O59" s="12" t="s">
        <v>1277</v>
      </c>
      <c r="P59" s="12" t="s">
        <v>1279</v>
      </c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12" t="s">
        <v>1909</v>
      </c>
      <c r="AG59" s="8"/>
      <c r="AH59" s="8"/>
      <c r="AI59" s="8"/>
      <c r="AJ59" s="8"/>
      <c r="AK59" s="8"/>
      <c r="AL59" s="8"/>
      <c r="AM59" s="8"/>
      <c r="AN59" s="8"/>
      <c r="AO59" s="8"/>
      <c r="AP59" s="12" t="s">
        <v>1945</v>
      </c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12" t="s">
        <v>2243</v>
      </c>
      <c r="BN59" s="8"/>
      <c r="BO59" s="8"/>
      <c r="BP59" s="8"/>
      <c r="BQ59" s="12" t="s">
        <v>2249</v>
      </c>
      <c r="BR59" s="12" t="s">
        <v>2255</v>
      </c>
      <c r="BS59" s="12" t="s">
        <v>1885</v>
      </c>
      <c r="BT59" s="12" t="s">
        <v>1887</v>
      </c>
      <c r="BU59" s="12" t="s">
        <v>2257</v>
      </c>
      <c r="BV59" s="12" t="s">
        <v>1133</v>
      </c>
      <c r="BW59" s="12" t="s">
        <v>1135</v>
      </c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12" t="s">
        <v>2715</v>
      </c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>
        <v>1</v>
      </c>
    </row>
    <row r="60" spans="4:105" ht="39.950000000000003" hidden="1" customHeight="1" x14ac:dyDescent="0.3">
      <c r="D60">
        <v>1</v>
      </c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12" t="s">
        <v>1911</v>
      </c>
      <c r="AG60" s="8"/>
      <c r="AH60" s="8"/>
      <c r="AI60" s="8"/>
      <c r="AJ60" s="8"/>
      <c r="AK60" s="8"/>
      <c r="AL60" s="8"/>
      <c r="AM60" s="8"/>
      <c r="AN60" s="8"/>
      <c r="AO60" s="8"/>
      <c r="AP60" s="12" t="s">
        <v>1947</v>
      </c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12" t="s">
        <v>2245</v>
      </c>
      <c r="BN60" s="8"/>
      <c r="BO60" s="8"/>
      <c r="BP60" s="8"/>
      <c r="BQ60" s="12" t="s">
        <v>2251</v>
      </c>
      <c r="BR60" s="8"/>
      <c r="BS60" s="8"/>
      <c r="BT60" s="8"/>
      <c r="BU60" s="8"/>
      <c r="BV60" s="8"/>
      <c r="BW60" s="12" t="s">
        <v>1137</v>
      </c>
      <c r="BX60" s="8"/>
      <c r="BY60" s="8"/>
      <c r="BZ60" s="8"/>
      <c r="CA60" s="8"/>
      <c r="CB60" s="8"/>
      <c r="CC60" s="8"/>
      <c r="CD60" s="8"/>
      <c r="CE60" s="8"/>
      <c r="CF60" s="12" t="s">
        <v>2709</v>
      </c>
      <c r="CG60" s="12" t="s">
        <v>2711</v>
      </c>
      <c r="CH60" s="12" t="s">
        <v>2713</v>
      </c>
      <c r="CI60" s="10" t="s">
        <v>829</v>
      </c>
      <c r="CJ60" s="12" t="s">
        <v>1467</v>
      </c>
      <c r="CK60" s="12" t="s">
        <v>1469</v>
      </c>
      <c r="CL60" s="8"/>
      <c r="CM60" s="8"/>
      <c r="CN60" s="8"/>
      <c r="CO60" s="8"/>
      <c r="CP60" s="8"/>
      <c r="CQ60" s="8"/>
      <c r="CR60" s="10" t="s">
        <v>664</v>
      </c>
      <c r="CS60" s="8"/>
      <c r="CT60" s="8"/>
      <c r="CU60" s="8"/>
      <c r="CV60" s="8"/>
      <c r="CW60" s="8"/>
      <c r="CX60" s="8"/>
      <c r="CY60" s="8"/>
      <c r="CZ60" s="8"/>
      <c r="DA60">
        <v>1</v>
      </c>
    </row>
    <row r="61" spans="4:105" ht="39.950000000000003" hidden="1" customHeight="1" x14ac:dyDescent="0.3">
      <c r="D61">
        <v>1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9" t="s">
        <v>20</v>
      </c>
      <c r="Y61" s="8"/>
      <c r="Z61" s="8"/>
      <c r="AA61" s="8"/>
      <c r="AB61" s="8"/>
      <c r="AC61" s="8"/>
      <c r="AD61" s="8"/>
      <c r="AE61" s="8"/>
      <c r="AF61" s="12" t="s">
        <v>1913</v>
      </c>
      <c r="AG61" s="8"/>
      <c r="AH61" s="8"/>
      <c r="AI61" s="8"/>
      <c r="AJ61" s="8"/>
      <c r="AK61" s="8"/>
      <c r="AL61" s="8"/>
      <c r="AM61" s="8"/>
      <c r="AN61" s="8"/>
      <c r="AO61" s="8"/>
      <c r="AP61" s="12" t="s">
        <v>1949</v>
      </c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12" t="s">
        <v>2247</v>
      </c>
      <c r="BN61" s="8"/>
      <c r="BO61" s="8"/>
      <c r="BP61" s="8"/>
      <c r="BQ61" s="12" t="s">
        <v>2253</v>
      </c>
      <c r="BR61" s="8"/>
      <c r="BS61" s="8"/>
      <c r="BT61" s="8"/>
      <c r="BU61" s="8"/>
      <c r="BV61" s="8"/>
      <c r="BW61" s="12" t="s">
        <v>1139</v>
      </c>
      <c r="BX61" s="8"/>
      <c r="BY61" s="8"/>
      <c r="BZ61" s="8"/>
      <c r="CA61" s="8"/>
      <c r="CB61" s="8"/>
      <c r="CC61" s="8"/>
      <c r="CD61" s="8"/>
      <c r="CE61" s="8"/>
      <c r="CF61" s="12" t="s">
        <v>2717</v>
      </c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>
        <v>1</v>
      </c>
    </row>
    <row r="62" spans="4:105" ht="39.950000000000003" hidden="1" customHeight="1" x14ac:dyDescent="0.3">
      <c r="D62">
        <v>1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12" t="s">
        <v>1915</v>
      </c>
      <c r="AG62" s="8"/>
      <c r="AH62" s="8"/>
      <c r="AI62" s="8"/>
      <c r="AJ62" s="8"/>
      <c r="AK62" s="8"/>
      <c r="AL62" s="8"/>
      <c r="AM62" s="8"/>
      <c r="AN62" s="8"/>
      <c r="AO62" s="8"/>
      <c r="AP62" s="12" t="s">
        <v>1951</v>
      </c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12" t="s">
        <v>1123</v>
      </c>
      <c r="BN62" s="12" t="s">
        <v>1125</v>
      </c>
      <c r="BO62" s="12" t="s">
        <v>1127</v>
      </c>
      <c r="BP62" s="12" t="s">
        <v>1129</v>
      </c>
      <c r="BQ62" s="12" t="s">
        <v>1131</v>
      </c>
      <c r="BR62" s="8"/>
      <c r="BS62" s="8"/>
      <c r="BT62" s="8"/>
      <c r="BU62" s="8"/>
      <c r="BV62" s="8"/>
      <c r="BW62" s="12" t="s">
        <v>2259</v>
      </c>
      <c r="BX62" s="12" t="s">
        <v>2689</v>
      </c>
      <c r="BY62" s="12" t="s">
        <v>2691</v>
      </c>
      <c r="BZ62" s="12" t="s">
        <v>2693</v>
      </c>
      <c r="CA62" s="12" t="s">
        <v>2695</v>
      </c>
      <c r="CB62" s="12" t="s">
        <v>2697</v>
      </c>
      <c r="CC62" s="12" t="s">
        <v>2699</v>
      </c>
      <c r="CD62" s="12" t="s">
        <v>2701</v>
      </c>
      <c r="CE62" s="12" t="s">
        <v>2703</v>
      </c>
      <c r="CF62" s="12" t="s">
        <v>2705</v>
      </c>
      <c r="CG62" s="8"/>
      <c r="CH62" s="8"/>
      <c r="CI62" s="8"/>
      <c r="CJ62" s="8"/>
      <c r="CK62" s="8"/>
      <c r="CL62" s="8"/>
      <c r="CM62" s="8"/>
      <c r="CN62" s="8"/>
      <c r="CO62" s="12" t="s">
        <v>1641</v>
      </c>
      <c r="CP62" s="12" t="s">
        <v>1643</v>
      </c>
      <c r="CQ62" s="12" t="s">
        <v>1645</v>
      </c>
      <c r="CR62" s="8"/>
      <c r="CS62" s="8"/>
      <c r="CT62" s="8"/>
      <c r="CU62" s="8"/>
      <c r="CV62" s="8"/>
      <c r="CW62" s="8"/>
      <c r="CX62" s="9" t="s">
        <v>135</v>
      </c>
      <c r="CY62" s="8"/>
      <c r="CZ62" s="8"/>
      <c r="DA62">
        <v>1</v>
      </c>
    </row>
    <row r="63" spans="4:105" ht="39.950000000000003" hidden="1" customHeight="1" x14ac:dyDescent="0.3">
      <c r="D63">
        <v>1</v>
      </c>
      <c r="E63" s="9" t="s">
        <v>120</v>
      </c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12" t="s">
        <v>1917</v>
      </c>
      <c r="AG63" s="8"/>
      <c r="AH63" s="8"/>
      <c r="AI63" s="8"/>
      <c r="AJ63" s="8"/>
      <c r="AK63" s="8"/>
      <c r="AL63" s="8"/>
      <c r="AM63" s="8"/>
      <c r="AN63" s="8"/>
      <c r="AO63" s="8"/>
      <c r="AP63" s="12" t="s">
        <v>1953</v>
      </c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10" t="s">
        <v>879</v>
      </c>
      <c r="BE63" s="8"/>
      <c r="BF63" s="8"/>
      <c r="BG63" s="8"/>
      <c r="BH63" s="8"/>
      <c r="BI63" s="8"/>
      <c r="BJ63" s="8"/>
      <c r="BK63" s="8"/>
      <c r="BL63" s="8"/>
      <c r="BM63" s="12" t="s">
        <v>2261</v>
      </c>
      <c r="BN63" s="8"/>
      <c r="BO63" s="8"/>
      <c r="BP63" s="8"/>
      <c r="BQ63" s="8"/>
      <c r="BR63" s="8"/>
      <c r="BS63" s="8"/>
      <c r="BT63" s="10" t="s">
        <v>524</v>
      </c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12" t="s">
        <v>2707</v>
      </c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>
        <v>1</v>
      </c>
    </row>
    <row r="64" spans="4:105" ht="39.950000000000003" hidden="1" customHeight="1" x14ac:dyDescent="0.3">
      <c r="D64">
        <v>1</v>
      </c>
      <c r="E64" s="12" t="s">
        <v>1415</v>
      </c>
      <c r="F64" s="12" t="s">
        <v>1417</v>
      </c>
      <c r="G64" s="12" t="s">
        <v>2215</v>
      </c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12" t="s">
        <v>1919</v>
      </c>
      <c r="AG64" s="8"/>
      <c r="AH64" s="8"/>
      <c r="AI64" s="8"/>
      <c r="AJ64" s="8"/>
      <c r="AK64" s="8"/>
      <c r="AL64" s="8"/>
      <c r="AM64" s="8"/>
      <c r="AN64" s="8"/>
      <c r="AO64" s="8"/>
      <c r="AP64" s="12" t="s">
        <v>1955</v>
      </c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12" t="s">
        <v>2263</v>
      </c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12" t="s">
        <v>1635</v>
      </c>
      <c r="CF64" s="12" t="s">
        <v>1637</v>
      </c>
      <c r="CG64" s="12" t="s">
        <v>1639</v>
      </c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>
        <v>1</v>
      </c>
    </row>
    <row r="65" spans="4:105" ht="39.950000000000003" hidden="1" customHeight="1" x14ac:dyDescent="0.3">
      <c r="D65">
        <v>1</v>
      </c>
      <c r="E65" s="8"/>
      <c r="F65" s="8"/>
      <c r="G65" s="12" t="s">
        <v>2217</v>
      </c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12" t="s">
        <v>1921</v>
      </c>
      <c r="AG65" s="12" t="s">
        <v>1923</v>
      </c>
      <c r="AH65" s="12" t="s">
        <v>1925</v>
      </c>
      <c r="AI65" s="12" t="s">
        <v>1927</v>
      </c>
      <c r="AJ65" s="12" t="s">
        <v>1929</v>
      </c>
      <c r="AK65" s="12" t="s">
        <v>1671</v>
      </c>
      <c r="AL65" s="12" t="s">
        <v>1673</v>
      </c>
      <c r="AM65" s="12" t="s">
        <v>1675</v>
      </c>
      <c r="AN65" s="12" t="s">
        <v>1931</v>
      </c>
      <c r="AO65" s="12" t="s">
        <v>1933</v>
      </c>
      <c r="AP65" s="12" t="s">
        <v>1935</v>
      </c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12" t="s">
        <v>2265</v>
      </c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>
        <v>1</v>
      </c>
    </row>
    <row r="66" spans="4:105" ht="39.950000000000003" hidden="1" customHeight="1" x14ac:dyDescent="0.3">
      <c r="D66">
        <v>1</v>
      </c>
      <c r="E66" s="8"/>
      <c r="F66" s="8"/>
      <c r="G66" s="12" t="s">
        <v>2219</v>
      </c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12" t="s">
        <v>2043</v>
      </c>
      <c r="AG66" s="8"/>
      <c r="AH66" s="8"/>
      <c r="AI66" s="8"/>
      <c r="AJ66" s="8"/>
      <c r="AK66" s="8"/>
      <c r="AL66" s="8"/>
      <c r="AM66" s="12" t="s">
        <v>2031</v>
      </c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12" t="s">
        <v>2267</v>
      </c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>
        <v>1</v>
      </c>
    </row>
    <row r="67" spans="4:105" ht="39.950000000000003" hidden="1" customHeight="1" x14ac:dyDescent="0.3">
      <c r="D67">
        <v>1</v>
      </c>
      <c r="E67" s="10" t="s">
        <v>924</v>
      </c>
      <c r="F67" s="8"/>
      <c r="G67" s="12" t="s">
        <v>2211</v>
      </c>
      <c r="H67" s="12" t="s">
        <v>2213</v>
      </c>
      <c r="I67" s="12" t="s">
        <v>2195</v>
      </c>
      <c r="J67" s="12" t="s">
        <v>2197</v>
      </c>
      <c r="K67" s="12" t="s">
        <v>2199</v>
      </c>
      <c r="L67" s="12" t="s">
        <v>2189</v>
      </c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12" t="s">
        <v>1677</v>
      </c>
      <c r="AD67" s="12" t="s">
        <v>1679</v>
      </c>
      <c r="AE67" s="12" t="s">
        <v>2045</v>
      </c>
      <c r="AF67" s="12" t="s">
        <v>2047</v>
      </c>
      <c r="AG67" s="8"/>
      <c r="AH67" s="8"/>
      <c r="AI67" s="8"/>
      <c r="AJ67" s="8"/>
      <c r="AK67" s="8"/>
      <c r="AL67" s="8"/>
      <c r="AM67" s="12" t="s">
        <v>2033</v>
      </c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12" t="s">
        <v>2269</v>
      </c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>
        <v>1</v>
      </c>
    </row>
    <row r="68" spans="4:105" ht="39.950000000000003" hidden="1" customHeight="1" x14ac:dyDescent="0.3">
      <c r="D68">
        <v>1</v>
      </c>
      <c r="E68" s="8"/>
      <c r="F68" s="8"/>
      <c r="G68" s="8"/>
      <c r="H68" s="8"/>
      <c r="I68" s="8"/>
      <c r="J68" s="8"/>
      <c r="K68" s="8"/>
      <c r="L68" s="12" t="s">
        <v>2191</v>
      </c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12" t="s">
        <v>1681</v>
      </c>
      <c r="AD68" s="8"/>
      <c r="AE68" s="8"/>
      <c r="AF68" s="8"/>
      <c r="AG68" s="8"/>
      <c r="AH68" s="8"/>
      <c r="AI68" s="8"/>
      <c r="AJ68" s="8"/>
      <c r="AK68" s="8"/>
      <c r="AL68" s="8"/>
      <c r="AM68" s="12" t="s">
        <v>2035</v>
      </c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12" t="s">
        <v>2271</v>
      </c>
      <c r="BN68" s="12" t="s">
        <v>2275</v>
      </c>
      <c r="BO68" s="12" t="s">
        <v>2277</v>
      </c>
      <c r="BP68" s="12" t="s">
        <v>1545</v>
      </c>
      <c r="BQ68" s="12" t="s">
        <v>1547</v>
      </c>
      <c r="BR68" s="12" t="s">
        <v>2279</v>
      </c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>
        <v>1</v>
      </c>
    </row>
    <row r="69" spans="4:105" ht="39.950000000000003" hidden="1" customHeight="1" x14ac:dyDescent="0.3">
      <c r="D69">
        <v>1</v>
      </c>
      <c r="E69" s="8"/>
      <c r="F69" s="8"/>
      <c r="G69" s="8"/>
      <c r="H69" s="8"/>
      <c r="I69" s="8"/>
      <c r="J69" s="8"/>
      <c r="K69" s="8"/>
      <c r="L69" s="12" t="s">
        <v>2193</v>
      </c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12" t="s">
        <v>2049</v>
      </c>
      <c r="AD69" s="8"/>
      <c r="AE69" s="8"/>
      <c r="AF69" s="8"/>
      <c r="AG69" s="8"/>
      <c r="AH69" s="8"/>
      <c r="AI69" s="8"/>
      <c r="AJ69" s="8"/>
      <c r="AK69" s="8"/>
      <c r="AL69" s="8"/>
      <c r="AM69" s="12" t="s">
        <v>2037</v>
      </c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12" t="s">
        <v>1549</v>
      </c>
      <c r="BK69" s="12" t="s">
        <v>1551</v>
      </c>
      <c r="BL69" s="12" t="s">
        <v>1553</v>
      </c>
      <c r="BM69" s="12" t="s">
        <v>2273</v>
      </c>
      <c r="BN69" s="8"/>
      <c r="BO69" s="8"/>
      <c r="BP69" s="8"/>
      <c r="BQ69" s="8"/>
      <c r="BR69" s="12" t="s">
        <v>2281</v>
      </c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12" t="s">
        <v>1519</v>
      </c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>
        <v>1</v>
      </c>
    </row>
    <row r="70" spans="4:105" ht="39.950000000000003" hidden="1" customHeight="1" x14ac:dyDescent="0.3">
      <c r="D70">
        <v>1</v>
      </c>
      <c r="E70" s="8"/>
      <c r="F70" s="8"/>
      <c r="G70" s="8"/>
      <c r="H70" s="8"/>
      <c r="I70" s="8"/>
      <c r="J70" s="8"/>
      <c r="K70" s="8"/>
      <c r="L70" s="12" t="s">
        <v>1709</v>
      </c>
      <c r="M70" s="12" t="s">
        <v>1711</v>
      </c>
      <c r="N70" s="12" t="s">
        <v>1713</v>
      </c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12" t="s">
        <v>2051</v>
      </c>
      <c r="AD70" s="8"/>
      <c r="AE70" s="8"/>
      <c r="AF70" s="8"/>
      <c r="AG70" s="8"/>
      <c r="AH70" s="8"/>
      <c r="AI70" s="8"/>
      <c r="AJ70" s="8"/>
      <c r="AK70" s="8"/>
      <c r="AL70" s="8"/>
      <c r="AM70" s="12" t="s">
        <v>2039</v>
      </c>
      <c r="AN70" s="8"/>
      <c r="AO70" s="10" t="s">
        <v>309</v>
      </c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12" t="s">
        <v>2319</v>
      </c>
      <c r="BM70" s="8"/>
      <c r="BN70" s="8"/>
      <c r="BO70" s="8"/>
      <c r="BP70" s="8"/>
      <c r="BQ70" s="8"/>
      <c r="BR70" s="12" t="s">
        <v>2283</v>
      </c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12" t="s">
        <v>2375</v>
      </c>
      <c r="CE70" s="12" t="s">
        <v>2395</v>
      </c>
      <c r="CF70" s="12" t="s">
        <v>2397</v>
      </c>
      <c r="CG70" s="12" t="s">
        <v>2399</v>
      </c>
      <c r="CH70" s="12" t="s">
        <v>2401</v>
      </c>
      <c r="CI70" s="12" t="s">
        <v>2403</v>
      </c>
      <c r="CJ70" s="12" t="s">
        <v>2405</v>
      </c>
      <c r="CK70" s="12" t="s">
        <v>2407</v>
      </c>
      <c r="CL70" s="12" t="s">
        <v>2409</v>
      </c>
      <c r="CM70" s="12" t="s">
        <v>2411</v>
      </c>
      <c r="CN70" s="12" t="s">
        <v>2413</v>
      </c>
      <c r="CO70" s="12" t="s">
        <v>2415</v>
      </c>
      <c r="CP70" s="12" t="s">
        <v>2417</v>
      </c>
      <c r="CQ70" s="12" t="s">
        <v>1647</v>
      </c>
      <c r="CR70" s="12" t="s">
        <v>1649</v>
      </c>
      <c r="CS70" s="12" t="s">
        <v>2419</v>
      </c>
      <c r="CT70" s="12" t="s">
        <v>2421</v>
      </c>
      <c r="CU70" s="12" t="s">
        <v>2423</v>
      </c>
      <c r="CV70" s="12" t="s">
        <v>2425</v>
      </c>
      <c r="CW70" s="12" t="s">
        <v>2427</v>
      </c>
      <c r="CX70" s="12" t="s">
        <v>2429</v>
      </c>
      <c r="CY70" s="12" t="s">
        <v>2431</v>
      </c>
      <c r="CZ70" s="8"/>
      <c r="DA70">
        <v>1</v>
      </c>
    </row>
    <row r="71" spans="4:105" ht="39.950000000000003" hidden="1" customHeight="1" x14ac:dyDescent="0.3">
      <c r="D71">
        <v>1</v>
      </c>
      <c r="E71" s="8"/>
      <c r="F71" s="8"/>
      <c r="G71" s="8"/>
      <c r="H71" s="8"/>
      <c r="I71" s="12" t="s">
        <v>1707</v>
      </c>
      <c r="J71" s="8"/>
      <c r="K71" s="8"/>
      <c r="L71" s="12" t="s">
        <v>2201</v>
      </c>
      <c r="M71" s="8"/>
      <c r="N71" s="10" t="s">
        <v>804</v>
      </c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12" t="s">
        <v>2053</v>
      </c>
      <c r="AD71" s="8"/>
      <c r="AE71" s="8"/>
      <c r="AF71" s="8"/>
      <c r="AG71" s="8"/>
      <c r="AH71" s="8"/>
      <c r="AI71" s="8"/>
      <c r="AJ71" s="8"/>
      <c r="AK71" s="8"/>
      <c r="AL71" s="8"/>
      <c r="AM71" s="12" t="s">
        <v>2041</v>
      </c>
      <c r="AN71" s="8"/>
      <c r="AO71" s="8"/>
      <c r="AP71" s="8"/>
      <c r="AQ71" s="10" t="s">
        <v>369</v>
      </c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10" t="s">
        <v>719</v>
      </c>
      <c r="BL71" s="12" t="s">
        <v>2321</v>
      </c>
      <c r="BM71" s="8"/>
      <c r="BN71" s="8"/>
      <c r="BO71" s="8"/>
      <c r="BP71" s="8"/>
      <c r="BQ71" s="8"/>
      <c r="BR71" s="12" t="s">
        <v>2285</v>
      </c>
      <c r="BS71" s="12" t="s">
        <v>1539</v>
      </c>
      <c r="BT71" s="12" t="s">
        <v>1541</v>
      </c>
      <c r="BU71" s="12" t="s">
        <v>1543</v>
      </c>
      <c r="BV71" s="12" t="s">
        <v>2361</v>
      </c>
      <c r="BW71" s="12" t="s">
        <v>2363</v>
      </c>
      <c r="BX71" s="12" t="s">
        <v>2365</v>
      </c>
      <c r="BY71" s="12" t="s">
        <v>2367</v>
      </c>
      <c r="BZ71" s="8"/>
      <c r="CA71" s="9" t="s">
        <v>210</v>
      </c>
      <c r="CB71" s="12" t="s">
        <v>2369</v>
      </c>
      <c r="CC71" s="12" t="s">
        <v>2371</v>
      </c>
      <c r="CD71" s="12" t="s">
        <v>2373</v>
      </c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>
        <v>1</v>
      </c>
    </row>
    <row r="72" spans="4:105" ht="39.950000000000003" hidden="1" customHeight="1" x14ac:dyDescent="0.3">
      <c r="D72">
        <v>1</v>
      </c>
      <c r="E72" s="8"/>
      <c r="F72" s="8"/>
      <c r="G72" s="8"/>
      <c r="H72" s="8"/>
      <c r="I72" s="12" t="s">
        <v>2205</v>
      </c>
      <c r="J72" s="12" t="s">
        <v>2207</v>
      </c>
      <c r="K72" s="12" t="s">
        <v>2209</v>
      </c>
      <c r="L72" s="12" t="s">
        <v>2203</v>
      </c>
      <c r="M72" s="8"/>
      <c r="N72" s="12" t="s">
        <v>2179</v>
      </c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12" t="s">
        <v>2055</v>
      </c>
      <c r="AD72" s="8"/>
      <c r="AE72" s="8"/>
      <c r="AF72" s="8"/>
      <c r="AG72" s="8"/>
      <c r="AH72" s="8"/>
      <c r="AI72" s="8"/>
      <c r="AJ72" s="8"/>
      <c r="AK72" s="8"/>
      <c r="AL72" s="8"/>
      <c r="AM72" s="12" t="s">
        <v>1569</v>
      </c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12" t="s">
        <v>2323</v>
      </c>
      <c r="BM72" s="8"/>
      <c r="BN72" s="8"/>
      <c r="BO72" s="8"/>
      <c r="BP72" s="8"/>
      <c r="BQ72" s="8"/>
      <c r="BR72" s="12" t="s">
        <v>2287</v>
      </c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12" t="s">
        <v>2377</v>
      </c>
      <c r="CE72" s="8"/>
      <c r="CF72" s="8"/>
      <c r="CG72" s="9" t="s">
        <v>185</v>
      </c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>
        <v>1</v>
      </c>
    </row>
    <row r="73" spans="4:105" ht="39.950000000000003" hidden="1" customHeight="1" x14ac:dyDescent="0.3">
      <c r="D73">
        <v>1</v>
      </c>
      <c r="E73" s="8"/>
      <c r="F73" s="8"/>
      <c r="G73" s="8"/>
      <c r="H73" s="8"/>
      <c r="I73" s="8"/>
      <c r="J73" s="8"/>
      <c r="K73" s="8"/>
      <c r="L73" s="8"/>
      <c r="M73" s="8"/>
      <c r="N73" s="12" t="s">
        <v>2181</v>
      </c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12" t="s">
        <v>2057</v>
      </c>
      <c r="AD73" s="8"/>
      <c r="AE73" s="8"/>
      <c r="AF73" s="8"/>
      <c r="AG73" s="8"/>
      <c r="AH73" s="8"/>
      <c r="AI73" s="8"/>
      <c r="AJ73" s="8"/>
      <c r="AK73" s="8"/>
      <c r="AL73" s="8"/>
      <c r="AM73" s="12" t="s">
        <v>1571</v>
      </c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12" t="s">
        <v>2325</v>
      </c>
      <c r="BM73" s="8"/>
      <c r="BN73" s="8"/>
      <c r="BO73" s="8"/>
      <c r="BP73" s="8"/>
      <c r="BQ73" s="8"/>
      <c r="BR73" s="12" t="s">
        <v>2289</v>
      </c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12" t="s">
        <v>1515</v>
      </c>
      <c r="CE73" s="8"/>
      <c r="CF73" s="8"/>
      <c r="CG73" s="10" t="s">
        <v>729</v>
      </c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>
        <v>1</v>
      </c>
    </row>
    <row r="74" spans="4:105" ht="39.950000000000003" hidden="1" customHeight="1" x14ac:dyDescent="0.3">
      <c r="D74">
        <v>1</v>
      </c>
      <c r="E74" s="8"/>
      <c r="F74" s="8"/>
      <c r="G74" s="8"/>
      <c r="H74" s="8"/>
      <c r="I74" s="8"/>
      <c r="J74" s="8"/>
      <c r="K74" s="8"/>
      <c r="L74" s="8"/>
      <c r="M74" s="8"/>
      <c r="N74" s="12" t="s">
        <v>2183</v>
      </c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12" t="s">
        <v>2059</v>
      </c>
      <c r="AD74" s="8"/>
      <c r="AE74" s="8"/>
      <c r="AF74" s="8"/>
      <c r="AG74" s="8"/>
      <c r="AH74" s="8"/>
      <c r="AI74" s="8"/>
      <c r="AJ74" s="8"/>
      <c r="AK74" s="8"/>
      <c r="AL74" s="9" t="s">
        <v>225</v>
      </c>
      <c r="AM74" s="12" t="s">
        <v>2085</v>
      </c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10" t="s">
        <v>474</v>
      </c>
      <c r="BC74" s="8"/>
      <c r="BD74" s="8"/>
      <c r="BE74" s="8"/>
      <c r="BF74" s="8"/>
      <c r="BG74" s="8"/>
      <c r="BH74" s="8"/>
      <c r="BI74" s="8"/>
      <c r="BJ74" s="8"/>
      <c r="BK74" s="8"/>
      <c r="BL74" s="12" t="s">
        <v>2327</v>
      </c>
      <c r="BM74" s="8"/>
      <c r="BN74" s="8"/>
      <c r="BO74" s="8"/>
      <c r="BP74" s="8"/>
      <c r="BQ74" s="8"/>
      <c r="BR74" s="12" t="s">
        <v>2291</v>
      </c>
      <c r="BS74" s="8"/>
      <c r="BT74" s="8"/>
      <c r="BU74" s="8"/>
      <c r="BV74" s="8"/>
      <c r="BW74" s="8"/>
      <c r="BX74" s="8"/>
      <c r="BY74" s="8"/>
      <c r="BZ74" s="8"/>
      <c r="CA74" s="8"/>
      <c r="CB74" s="10" t="s">
        <v>744</v>
      </c>
      <c r="CC74" s="8"/>
      <c r="CD74" s="12" t="s">
        <v>1517</v>
      </c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>
        <v>1</v>
      </c>
    </row>
    <row r="75" spans="4:105" ht="39.950000000000003" hidden="1" customHeight="1" x14ac:dyDescent="0.3">
      <c r="D75">
        <v>1</v>
      </c>
      <c r="E75" s="8"/>
      <c r="F75" s="8"/>
      <c r="G75" s="8"/>
      <c r="H75" s="8"/>
      <c r="I75" s="8"/>
      <c r="J75" s="8"/>
      <c r="K75" s="8"/>
      <c r="L75" s="8"/>
      <c r="M75" s="8"/>
      <c r="N75" s="12" t="s">
        <v>2185</v>
      </c>
      <c r="O75" s="8"/>
      <c r="P75" s="8"/>
      <c r="Q75" s="8"/>
      <c r="R75" s="8"/>
      <c r="S75" s="8"/>
      <c r="T75" s="8"/>
      <c r="U75" s="8"/>
      <c r="V75" s="10" t="s">
        <v>629</v>
      </c>
      <c r="W75" s="8"/>
      <c r="X75" s="8"/>
      <c r="Y75" s="8"/>
      <c r="Z75" s="8"/>
      <c r="AA75" s="8"/>
      <c r="AB75" s="12" t="s">
        <v>1683</v>
      </c>
      <c r="AC75" s="12" t="s">
        <v>1685</v>
      </c>
      <c r="AD75" s="8"/>
      <c r="AE75" s="8"/>
      <c r="AF75" s="8"/>
      <c r="AG75" s="8"/>
      <c r="AH75" s="8"/>
      <c r="AI75" s="8"/>
      <c r="AJ75" s="8"/>
      <c r="AK75" s="8"/>
      <c r="AL75" s="8"/>
      <c r="AM75" s="12" t="s">
        <v>2087</v>
      </c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9" t="s">
        <v>236</v>
      </c>
      <c r="BH75" s="8"/>
      <c r="BI75" s="10" t="s">
        <v>914</v>
      </c>
      <c r="BJ75" s="8"/>
      <c r="BK75" s="8"/>
      <c r="BL75" s="12" t="s">
        <v>2329</v>
      </c>
      <c r="BM75" s="8"/>
      <c r="BN75" s="8"/>
      <c r="BO75" s="8"/>
      <c r="BP75" s="10" t="s">
        <v>559</v>
      </c>
      <c r="BQ75" s="8"/>
      <c r="BR75" s="12" t="s">
        <v>2293</v>
      </c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12" t="s">
        <v>2379</v>
      </c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>
        <v>1</v>
      </c>
    </row>
    <row r="76" spans="4:105" ht="39.950000000000003" hidden="1" customHeight="1" x14ac:dyDescent="0.3">
      <c r="D76">
        <v>1</v>
      </c>
      <c r="E76" s="8"/>
      <c r="F76" s="8"/>
      <c r="G76" s="8"/>
      <c r="H76" s="8"/>
      <c r="I76" s="8"/>
      <c r="J76" s="8"/>
      <c r="K76" s="8"/>
      <c r="L76" s="8"/>
      <c r="M76" s="8"/>
      <c r="N76" s="12" t="s">
        <v>2187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12" t="s">
        <v>1687</v>
      </c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12" t="s">
        <v>2089</v>
      </c>
      <c r="AN76" s="8"/>
      <c r="AO76" s="8"/>
      <c r="AP76" s="10" t="s">
        <v>909</v>
      </c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12" t="s">
        <v>2331</v>
      </c>
      <c r="BM76" s="8"/>
      <c r="BN76" s="8"/>
      <c r="BO76" s="8"/>
      <c r="BP76" s="8"/>
      <c r="BQ76" s="8"/>
      <c r="BR76" s="12" t="s">
        <v>2295</v>
      </c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9" t="s">
        <v>130</v>
      </c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>
        <v>1</v>
      </c>
    </row>
    <row r="77" spans="4:105" ht="39.950000000000003" hidden="1" customHeight="1" x14ac:dyDescent="0.3">
      <c r="D77">
        <v>1</v>
      </c>
      <c r="E77" s="8"/>
      <c r="F77" s="8"/>
      <c r="G77" s="12" t="s">
        <v>1703</v>
      </c>
      <c r="H77" s="12" t="s">
        <v>2221</v>
      </c>
      <c r="I77" s="12" t="s">
        <v>2223</v>
      </c>
      <c r="J77" s="12" t="s">
        <v>2225</v>
      </c>
      <c r="K77" s="12" t="s">
        <v>2227</v>
      </c>
      <c r="L77" s="12" t="s">
        <v>2229</v>
      </c>
      <c r="M77" s="12" t="s">
        <v>2231</v>
      </c>
      <c r="N77" s="12" t="s">
        <v>1697</v>
      </c>
      <c r="O77" s="12" t="s">
        <v>1699</v>
      </c>
      <c r="P77" s="12" t="s">
        <v>1701</v>
      </c>
      <c r="Q77" s="8"/>
      <c r="R77" s="8"/>
      <c r="S77" s="8"/>
      <c r="T77" s="8"/>
      <c r="U77" s="8"/>
      <c r="V77" s="8"/>
      <c r="W77" s="8"/>
      <c r="X77" s="8"/>
      <c r="Y77" s="8"/>
      <c r="Z77" s="12" t="s">
        <v>1693</v>
      </c>
      <c r="AA77" s="8"/>
      <c r="AB77" s="12" t="s">
        <v>1689</v>
      </c>
      <c r="AC77" s="12" t="s">
        <v>1691</v>
      </c>
      <c r="AD77" s="12" t="s">
        <v>2065</v>
      </c>
      <c r="AE77" s="12" t="s">
        <v>2067</v>
      </c>
      <c r="AF77" s="12" t="s">
        <v>2069</v>
      </c>
      <c r="AG77" s="10" t="s">
        <v>689</v>
      </c>
      <c r="AH77" s="12" t="s">
        <v>2071</v>
      </c>
      <c r="AI77" s="12" t="s">
        <v>1573</v>
      </c>
      <c r="AJ77" s="8"/>
      <c r="AK77" s="8"/>
      <c r="AL77" s="8"/>
      <c r="AM77" s="12" t="s">
        <v>2091</v>
      </c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12" t="s">
        <v>2333</v>
      </c>
      <c r="BM77" s="8"/>
      <c r="BN77" s="8"/>
      <c r="BO77" s="8"/>
      <c r="BP77" s="8"/>
      <c r="BQ77" s="8"/>
      <c r="BR77" s="12" t="s">
        <v>2297</v>
      </c>
      <c r="BS77" s="8"/>
      <c r="BT77" s="8"/>
      <c r="BU77" s="10" t="s">
        <v>274</v>
      </c>
      <c r="BV77" s="8"/>
      <c r="BW77" s="8"/>
      <c r="BX77" s="10" t="s">
        <v>594</v>
      </c>
      <c r="BY77" s="8"/>
      <c r="BZ77" s="10" t="s">
        <v>424</v>
      </c>
      <c r="CA77" s="8"/>
      <c r="CB77" s="12" t="s">
        <v>2387</v>
      </c>
      <c r="CC77" s="12" t="s">
        <v>2393</v>
      </c>
      <c r="CD77" s="12" t="s">
        <v>1521</v>
      </c>
      <c r="CE77" s="12" t="s">
        <v>1523</v>
      </c>
      <c r="CF77" s="12" t="s">
        <v>1525</v>
      </c>
      <c r="CG77" s="12" t="s">
        <v>2381</v>
      </c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>
        <v>1</v>
      </c>
    </row>
    <row r="78" spans="4:105" ht="39.950000000000003" hidden="1" customHeight="1" x14ac:dyDescent="0.3">
      <c r="D78">
        <v>1</v>
      </c>
      <c r="E78" s="10" t="s">
        <v>794</v>
      </c>
      <c r="F78" s="8"/>
      <c r="G78" s="12" t="s">
        <v>1705</v>
      </c>
      <c r="H78" s="8"/>
      <c r="I78" s="8"/>
      <c r="J78" s="8"/>
      <c r="K78" s="8"/>
      <c r="L78" s="8"/>
      <c r="M78" s="8"/>
      <c r="N78" s="8"/>
      <c r="O78" s="8"/>
      <c r="P78" s="12" t="s">
        <v>2165</v>
      </c>
      <c r="Q78" s="8"/>
      <c r="R78" s="8"/>
      <c r="S78" s="8"/>
      <c r="T78" s="8"/>
      <c r="U78" s="8"/>
      <c r="V78" s="8"/>
      <c r="W78" s="8"/>
      <c r="X78" s="8"/>
      <c r="Y78" s="8"/>
      <c r="Z78" s="12" t="s">
        <v>1695</v>
      </c>
      <c r="AA78" s="12" t="s">
        <v>2061</v>
      </c>
      <c r="AB78" s="12" t="s">
        <v>2063</v>
      </c>
      <c r="AC78" s="8"/>
      <c r="AD78" s="8"/>
      <c r="AE78" s="12" t="s">
        <v>2073</v>
      </c>
      <c r="AF78" s="8"/>
      <c r="AG78" s="8"/>
      <c r="AH78" s="8"/>
      <c r="AI78" s="12" t="s">
        <v>1575</v>
      </c>
      <c r="AJ78" s="12" t="s">
        <v>1577</v>
      </c>
      <c r="AK78" s="12" t="s">
        <v>1579</v>
      </c>
      <c r="AL78" s="12" t="s">
        <v>1581</v>
      </c>
      <c r="AM78" s="12" t="s">
        <v>2233</v>
      </c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9" t="s">
        <v>45</v>
      </c>
      <c r="AZ78" s="8"/>
      <c r="BA78" s="9" t="s">
        <v>215</v>
      </c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10" t="s">
        <v>404</v>
      </c>
      <c r="BM78" s="8"/>
      <c r="BN78" s="8"/>
      <c r="BO78" s="8"/>
      <c r="BP78" s="8"/>
      <c r="BQ78" s="8"/>
      <c r="BR78" s="12" t="s">
        <v>2299</v>
      </c>
      <c r="BS78" s="8"/>
      <c r="BT78" s="8"/>
      <c r="BU78" s="8"/>
      <c r="BV78" s="8"/>
      <c r="BW78" s="8"/>
      <c r="BX78" s="8"/>
      <c r="BY78" s="8"/>
      <c r="BZ78" s="8"/>
      <c r="CA78" s="8"/>
      <c r="CB78" s="12" t="s">
        <v>2389</v>
      </c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>
        <v>1</v>
      </c>
    </row>
    <row r="79" spans="4:105" ht="39.950000000000003" hidden="1" customHeight="1" x14ac:dyDescent="0.3">
      <c r="D79">
        <v>1</v>
      </c>
      <c r="E79" s="8"/>
      <c r="F79" s="8"/>
      <c r="G79" s="8"/>
      <c r="H79" s="8"/>
      <c r="I79" s="8"/>
      <c r="J79" s="8"/>
      <c r="K79" s="8"/>
      <c r="L79" s="8"/>
      <c r="M79" s="10" t="s">
        <v>384</v>
      </c>
      <c r="N79" s="8"/>
      <c r="O79" s="8"/>
      <c r="P79" s="12" t="s">
        <v>2167</v>
      </c>
      <c r="Q79" s="8"/>
      <c r="R79" s="8"/>
      <c r="S79" s="8"/>
      <c r="T79" s="8"/>
      <c r="U79" s="8"/>
      <c r="V79" s="8"/>
      <c r="W79" s="8"/>
      <c r="X79" s="9" t="s">
        <v>115</v>
      </c>
      <c r="Y79" s="8"/>
      <c r="Z79" s="12" t="s">
        <v>2093</v>
      </c>
      <c r="AA79" s="8"/>
      <c r="AB79" s="8"/>
      <c r="AC79" s="8"/>
      <c r="AD79" s="10" t="s">
        <v>544</v>
      </c>
      <c r="AE79" s="12" t="s">
        <v>2075</v>
      </c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9" t="s">
        <v>15</v>
      </c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12" t="s">
        <v>2335</v>
      </c>
      <c r="BM79" s="8"/>
      <c r="BN79" s="8"/>
      <c r="BO79" s="8"/>
      <c r="BP79" s="8"/>
      <c r="BQ79" s="8"/>
      <c r="BR79" s="12" t="s">
        <v>2301</v>
      </c>
      <c r="BS79" s="10" t="s">
        <v>789</v>
      </c>
      <c r="BT79" s="12" t="s">
        <v>2311</v>
      </c>
      <c r="BU79" s="12" t="s">
        <v>2313</v>
      </c>
      <c r="BV79" s="12" t="s">
        <v>2315</v>
      </c>
      <c r="BW79" s="12" t="s">
        <v>2317</v>
      </c>
      <c r="BX79" s="8"/>
      <c r="BY79" s="8"/>
      <c r="BZ79" s="8"/>
      <c r="CA79" s="8"/>
      <c r="CB79" s="12" t="s">
        <v>2391</v>
      </c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>
        <v>1</v>
      </c>
    </row>
    <row r="80" spans="4:105" ht="39.950000000000003" hidden="1" customHeight="1" x14ac:dyDescent="0.3">
      <c r="D80">
        <v>1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12" t="s">
        <v>2169</v>
      </c>
      <c r="Q80" s="8"/>
      <c r="R80" s="8"/>
      <c r="S80" s="8"/>
      <c r="T80" s="8"/>
      <c r="U80" s="8"/>
      <c r="V80" s="8"/>
      <c r="W80" s="8"/>
      <c r="X80" s="8"/>
      <c r="Y80" s="8"/>
      <c r="Z80" s="12" t="s">
        <v>2095</v>
      </c>
      <c r="AA80" s="8"/>
      <c r="AB80" s="8"/>
      <c r="AC80" s="8"/>
      <c r="AD80" s="8"/>
      <c r="AE80" s="12" t="s">
        <v>2077</v>
      </c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12" t="s">
        <v>2337</v>
      </c>
      <c r="BM80" s="8"/>
      <c r="BN80" s="8"/>
      <c r="BO80" s="8"/>
      <c r="BP80" s="8"/>
      <c r="BQ80" s="8"/>
      <c r="BR80" s="12" t="s">
        <v>2303</v>
      </c>
      <c r="BS80" s="8"/>
      <c r="BT80" s="8"/>
      <c r="BU80" s="10" t="s">
        <v>514</v>
      </c>
      <c r="BV80" s="8"/>
      <c r="BW80" s="12" t="s">
        <v>1537</v>
      </c>
      <c r="BX80" s="8"/>
      <c r="BY80" s="8"/>
      <c r="BZ80" s="8"/>
      <c r="CA80" s="8"/>
      <c r="CB80" s="12" t="s">
        <v>1527</v>
      </c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10" t="s">
        <v>539</v>
      </c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>
        <v>1</v>
      </c>
    </row>
    <row r="81" spans="4:105" ht="39.950000000000003" hidden="1" customHeight="1" x14ac:dyDescent="0.3">
      <c r="D81">
        <v>1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12" t="s">
        <v>2171</v>
      </c>
      <c r="Q81" s="8"/>
      <c r="R81" s="8"/>
      <c r="S81" s="8"/>
      <c r="T81" s="8"/>
      <c r="U81" s="8"/>
      <c r="V81" s="8"/>
      <c r="W81" s="8"/>
      <c r="X81" s="12" t="s">
        <v>1721</v>
      </c>
      <c r="Y81" s="12" t="s">
        <v>1723</v>
      </c>
      <c r="Z81" s="12" t="s">
        <v>2097</v>
      </c>
      <c r="AA81" s="8"/>
      <c r="AB81" s="8"/>
      <c r="AC81" s="8"/>
      <c r="AD81" s="8"/>
      <c r="AE81" s="12" t="s">
        <v>2079</v>
      </c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12" t="s">
        <v>2339</v>
      </c>
      <c r="BM81" s="8"/>
      <c r="BN81" s="8"/>
      <c r="BO81" s="8"/>
      <c r="BP81" s="8"/>
      <c r="BQ81" s="8"/>
      <c r="BR81" s="12" t="s">
        <v>2305</v>
      </c>
      <c r="BS81" s="8"/>
      <c r="BT81" s="8"/>
      <c r="BU81" s="8"/>
      <c r="BV81" s="8"/>
      <c r="BW81" s="8"/>
      <c r="BX81" s="8"/>
      <c r="BY81" s="8"/>
      <c r="BZ81" s="8"/>
      <c r="CA81" s="8"/>
      <c r="CB81" s="12" t="s">
        <v>1529</v>
      </c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>
        <v>1</v>
      </c>
    </row>
    <row r="82" spans="4:105" ht="39.950000000000003" hidden="1" customHeight="1" x14ac:dyDescent="0.3">
      <c r="D82">
        <v>1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12" t="s">
        <v>2173</v>
      </c>
      <c r="Q82" s="8"/>
      <c r="R82" s="8"/>
      <c r="S82" s="8"/>
      <c r="T82" s="8"/>
      <c r="U82" s="8"/>
      <c r="V82" s="8"/>
      <c r="W82" s="8"/>
      <c r="X82" s="12" t="s">
        <v>1725</v>
      </c>
      <c r="Y82" s="8"/>
      <c r="Z82" s="8"/>
      <c r="AA82" s="8"/>
      <c r="AB82" s="8"/>
      <c r="AC82" s="8"/>
      <c r="AD82" s="8"/>
      <c r="AE82" s="12" t="s">
        <v>2081</v>
      </c>
      <c r="AF82" s="8"/>
      <c r="AG82" s="8"/>
      <c r="AH82" s="8"/>
      <c r="AI82" s="8"/>
      <c r="AJ82" s="9" t="s">
        <v>100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12" t="s">
        <v>2341</v>
      </c>
      <c r="BM82" s="8"/>
      <c r="BN82" s="8"/>
      <c r="BO82" s="8"/>
      <c r="BP82" s="8"/>
      <c r="BQ82" s="8"/>
      <c r="BR82" s="12" t="s">
        <v>2307</v>
      </c>
      <c r="BS82" s="12" t="s">
        <v>2309</v>
      </c>
      <c r="BT82" s="12" t="s">
        <v>1533</v>
      </c>
      <c r="BU82" s="12" t="s">
        <v>1535</v>
      </c>
      <c r="BV82" s="8"/>
      <c r="BW82" s="8"/>
      <c r="BX82" s="8"/>
      <c r="BY82" s="8"/>
      <c r="BZ82" s="8"/>
      <c r="CA82" s="8"/>
      <c r="CB82" s="12" t="s">
        <v>1531</v>
      </c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>
        <v>1</v>
      </c>
    </row>
    <row r="83" spans="4:105" ht="39.950000000000003" hidden="1" customHeight="1" x14ac:dyDescent="0.3">
      <c r="D83">
        <v>1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12" t="s">
        <v>2175</v>
      </c>
      <c r="Q83" s="8"/>
      <c r="R83" s="8"/>
      <c r="S83" s="8"/>
      <c r="T83" s="8"/>
      <c r="U83" s="8"/>
      <c r="V83" s="8"/>
      <c r="W83" s="8"/>
      <c r="X83" s="12" t="s">
        <v>1727</v>
      </c>
      <c r="Y83" s="8"/>
      <c r="Z83" s="8"/>
      <c r="AA83" s="8"/>
      <c r="AB83" s="8"/>
      <c r="AC83" s="8"/>
      <c r="AD83" s="8"/>
      <c r="AE83" s="12" t="s">
        <v>2083</v>
      </c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10" t="s">
        <v>444</v>
      </c>
      <c r="BE83" s="8"/>
      <c r="BF83" s="8"/>
      <c r="BG83" s="8"/>
      <c r="BH83" s="8"/>
      <c r="BI83" s="8"/>
      <c r="BJ83" s="8"/>
      <c r="BK83" s="10" t="s">
        <v>389</v>
      </c>
      <c r="BL83" s="12" t="s">
        <v>2343</v>
      </c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12" t="s">
        <v>2385</v>
      </c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>
        <v>1</v>
      </c>
    </row>
    <row r="84" spans="4:105" ht="39.950000000000003" hidden="1" customHeight="1" x14ac:dyDescent="0.3">
      <c r="D84">
        <v>1</v>
      </c>
      <c r="E84" s="8"/>
      <c r="F84" s="8"/>
      <c r="G84" s="8"/>
      <c r="H84" s="10" t="s">
        <v>469</v>
      </c>
      <c r="I84" s="8"/>
      <c r="J84" s="8"/>
      <c r="K84" s="8"/>
      <c r="L84" s="8"/>
      <c r="M84" s="8"/>
      <c r="N84" s="8"/>
      <c r="O84" s="8"/>
      <c r="P84" s="12" t="s">
        <v>2177</v>
      </c>
      <c r="Q84" s="8"/>
      <c r="R84" s="8"/>
      <c r="S84" s="8"/>
      <c r="T84" s="8"/>
      <c r="U84" s="8"/>
      <c r="V84" s="8"/>
      <c r="W84" s="8"/>
      <c r="X84" s="12" t="s">
        <v>2099</v>
      </c>
      <c r="Y84" s="8"/>
      <c r="Z84" s="8"/>
      <c r="AA84" s="8"/>
      <c r="AB84" s="8"/>
      <c r="AC84" s="8"/>
      <c r="AD84" s="8"/>
      <c r="AE84" s="12" t="s">
        <v>1583</v>
      </c>
      <c r="AF84" s="12" t="s">
        <v>1585</v>
      </c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12" t="s">
        <v>2345</v>
      </c>
      <c r="BM84" s="8"/>
      <c r="BN84" s="10" t="s">
        <v>314</v>
      </c>
      <c r="BO84" s="10" t="s">
        <v>379</v>
      </c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12" t="s">
        <v>2383</v>
      </c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>
        <v>1</v>
      </c>
    </row>
    <row r="85" spans="4:105" ht="39.950000000000003" hidden="1" customHeight="1" x14ac:dyDescent="0.3">
      <c r="D85">
        <v>1</v>
      </c>
      <c r="E85" s="8"/>
      <c r="F85" s="8"/>
      <c r="G85" s="8"/>
      <c r="H85" s="8"/>
      <c r="I85" s="8"/>
      <c r="J85" s="8"/>
      <c r="K85" s="8"/>
      <c r="L85" s="10" t="s">
        <v>849</v>
      </c>
      <c r="M85" s="8"/>
      <c r="N85" s="12" t="s">
        <v>1719</v>
      </c>
      <c r="O85" s="12" t="s">
        <v>2153</v>
      </c>
      <c r="P85" s="12" t="s">
        <v>2155</v>
      </c>
      <c r="Q85" s="8"/>
      <c r="R85" s="8"/>
      <c r="S85" s="8"/>
      <c r="T85" s="8"/>
      <c r="U85" s="8"/>
      <c r="V85" s="8"/>
      <c r="W85" s="8"/>
      <c r="X85" s="12" t="s">
        <v>2101</v>
      </c>
      <c r="Y85" s="8"/>
      <c r="Z85" s="8"/>
      <c r="AA85" s="8"/>
      <c r="AB85" s="8"/>
      <c r="AC85" s="8"/>
      <c r="AD85" s="8"/>
      <c r="AE85" s="9" t="s">
        <v>200</v>
      </c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9" t="s">
        <v>80</v>
      </c>
      <c r="BI85" s="8"/>
      <c r="BJ85" s="8"/>
      <c r="BK85" s="8"/>
      <c r="BL85" s="12" t="s">
        <v>2347</v>
      </c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12" t="s">
        <v>2499</v>
      </c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>
        <v>1</v>
      </c>
    </row>
    <row r="86" spans="4:105" ht="39.950000000000003" hidden="1" customHeight="1" x14ac:dyDescent="0.3">
      <c r="D86">
        <v>1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2" t="s">
        <v>2157</v>
      </c>
      <c r="Q86" s="8"/>
      <c r="R86" s="8"/>
      <c r="S86" s="8"/>
      <c r="T86" s="8"/>
      <c r="U86" s="9" t="s">
        <v>170</v>
      </c>
      <c r="V86" s="8"/>
      <c r="W86" s="8"/>
      <c r="X86" s="12" t="s">
        <v>2103</v>
      </c>
      <c r="Y86" s="8"/>
      <c r="Z86" s="8"/>
      <c r="AA86" s="8"/>
      <c r="AB86" s="8"/>
      <c r="AC86" s="8"/>
      <c r="AD86" s="8"/>
      <c r="AE86" s="8"/>
      <c r="AF86" s="8"/>
      <c r="AG86" s="8"/>
      <c r="AH86" s="10" t="s">
        <v>634</v>
      </c>
      <c r="AI86" s="8"/>
      <c r="AJ86" s="8"/>
      <c r="AK86" s="8"/>
      <c r="AL86" s="8"/>
      <c r="AM86" s="8"/>
      <c r="AN86" s="8"/>
      <c r="AO86" s="8"/>
      <c r="AP86" s="10" t="s">
        <v>659</v>
      </c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12" t="s">
        <v>1565</v>
      </c>
      <c r="BE86" s="8"/>
      <c r="BF86" s="8"/>
      <c r="BG86" s="8"/>
      <c r="BH86" s="8"/>
      <c r="BI86" s="8"/>
      <c r="BJ86" s="8"/>
      <c r="BK86" s="8"/>
      <c r="BL86" s="12" t="s">
        <v>2349</v>
      </c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12" t="s">
        <v>2501</v>
      </c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>
        <v>1</v>
      </c>
    </row>
    <row r="87" spans="4:105" ht="39.950000000000003" hidden="1" customHeight="1" x14ac:dyDescent="0.3">
      <c r="D87">
        <v>1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10" t="s">
        <v>824</v>
      </c>
      <c r="Q87" s="8"/>
      <c r="R87" s="8"/>
      <c r="S87" s="8"/>
      <c r="T87" s="8"/>
      <c r="U87" s="8"/>
      <c r="V87" s="8"/>
      <c r="W87" s="8"/>
      <c r="X87" s="12" t="s">
        <v>1669</v>
      </c>
      <c r="Y87" s="12" t="s">
        <v>2105</v>
      </c>
      <c r="Z87" s="12" t="s">
        <v>2107</v>
      </c>
      <c r="AA87" s="12" t="s">
        <v>2109</v>
      </c>
      <c r="AB87" s="12" t="s">
        <v>2111</v>
      </c>
      <c r="AC87" s="12" t="s">
        <v>2113</v>
      </c>
      <c r="AD87" s="12" t="s">
        <v>2115</v>
      </c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12" t="s">
        <v>1567</v>
      </c>
      <c r="BE87" s="8"/>
      <c r="BF87" s="8"/>
      <c r="BG87" s="8"/>
      <c r="BH87" s="8"/>
      <c r="BI87" s="8"/>
      <c r="BJ87" s="8"/>
      <c r="BK87" s="8"/>
      <c r="BL87" s="12" t="s">
        <v>1555</v>
      </c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10" t="s">
        <v>889</v>
      </c>
      <c r="CC87" s="8"/>
      <c r="CD87" s="10" t="s">
        <v>674</v>
      </c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>
        <v>1</v>
      </c>
    </row>
    <row r="88" spans="4:105" ht="39.950000000000003" hidden="1" customHeight="1" x14ac:dyDescent="0.3">
      <c r="D88">
        <v>1</v>
      </c>
      <c r="E88" s="8"/>
      <c r="F88" s="8"/>
      <c r="G88" s="8"/>
      <c r="H88" s="10" t="s">
        <v>904</v>
      </c>
      <c r="I88" s="8"/>
      <c r="J88" s="8"/>
      <c r="K88" s="8"/>
      <c r="L88" s="8"/>
      <c r="M88" s="8"/>
      <c r="N88" s="8"/>
      <c r="O88" s="8"/>
      <c r="P88" s="12" t="s">
        <v>2159</v>
      </c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12" t="s">
        <v>2117</v>
      </c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12" t="s">
        <v>2351</v>
      </c>
      <c r="BE88" s="12" t="s">
        <v>2353</v>
      </c>
      <c r="BF88" s="12" t="s">
        <v>2355</v>
      </c>
      <c r="BG88" s="12" t="s">
        <v>2357</v>
      </c>
      <c r="BH88" s="12" t="s">
        <v>2359</v>
      </c>
      <c r="BI88" s="12" t="s">
        <v>1557</v>
      </c>
      <c r="BJ88" s="12" t="s">
        <v>1559</v>
      </c>
      <c r="BK88" s="12" t="s">
        <v>1561</v>
      </c>
      <c r="BL88" s="12" t="s">
        <v>1563</v>
      </c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12" t="s">
        <v>2503</v>
      </c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>
        <v>1</v>
      </c>
    </row>
    <row r="89" spans="4:105" ht="39.950000000000003" hidden="1" customHeight="1" x14ac:dyDescent="0.3">
      <c r="D89">
        <v>1</v>
      </c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12" t="s">
        <v>2161</v>
      </c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12" t="s">
        <v>2119</v>
      </c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12" t="s">
        <v>2505</v>
      </c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>
        <v>1</v>
      </c>
    </row>
    <row r="90" spans="4:105" ht="39.950000000000003" hidden="1" customHeight="1" x14ac:dyDescent="0.3">
      <c r="D90">
        <v>1</v>
      </c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12" t="s">
        <v>2163</v>
      </c>
      <c r="Q90" s="8"/>
      <c r="R90" s="8"/>
      <c r="S90" s="8"/>
      <c r="T90" s="8"/>
      <c r="U90" s="8"/>
      <c r="V90" s="8"/>
      <c r="W90" s="8"/>
      <c r="X90" s="8"/>
      <c r="Y90" s="8"/>
      <c r="Z90" s="8"/>
      <c r="AA90" s="10" t="s">
        <v>269</v>
      </c>
      <c r="AB90" s="8"/>
      <c r="AC90" s="8"/>
      <c r="AD90" s="12" t="s">
        <v>2121</v>
      </c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10" t="s">
        <v>479</v>
      </c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12" t="s">
        <v>2507</v>
      </c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12" t="s">
        <v>2433</v>
      </c>
      <c r="CZ90" s="8"/>
      <c r="DA90">
        <v>1</v>
      </c>
    </row>
    <row r="91" spans="4:105" ht="39.950000000000003" hidden="1" customHeight="1" x14ac:dyDescent="0.3">
      <c r="D91">
        <v>1</v>
      </c>
      <c r="E91" s="8"/>
      <c r="F91" s="10" t="s">
        <v>339</v>
      </c>
      <c r="G91" s="8"/>
      <c r="H91" s="8"/>
      <c r="I91" s="8"/>
      <c r="J91" s="8"/>
      <c r="K91" s="8"/>
      <c r="L91" s="8"/>
      <c r="M91" s="8"/>
      <c r="N91" s="8"/>
      <c r="O91" s="8"/>
      <c r="P91" s="12" t="s">
        <v>2131</v>
      </c>
      <c r="Q91" s="12" t="s">
        <v>2133</v>
      </c>
      <c r="R91" s="12" t="s">
        <v>2135</v>
      </c>
      <c r="S91" s="12" t="s">
        <v>2137</v>
      </c>
      <c r="T91" s="12" t="s">
        <v>2139</v>
      </c>
      <c r="U91" s="12" t="s">
        <v>2141</v>
      </c>
      <c r="V91" s="12" t="s">
        <v>2143</v>
      </c>
      <c r="W91" s="12" t="s">
        <v>2145</v>
      </c>
      <c r="X91" s="12" t="s">
        <v>2147</v>
      </c>
      <c r="Y91" s="12" t="s">
        <v>1665</v>
      </c>
      <c r="Z91" s="12" t="s">
        <v>1667</v>
      </c>
      <c r="AA91" s="12" t="s">
        <v>2125</v>
      </c>
      <c r="AB91" s="12" t="s">
        <v>2127</v>
      </c>
      <c r="AC91" s="12" t="s">
        <v>2129</v>
      </c>
      <c r="AD91" s="12" t="s">
        <v>2123</v>
      </c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12" t="s">
        <v>2509</v>
      </c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12" t="s">
        <v>1507</v>
      </c>
      <c r="CW91" s="12" t="s">
        <v>1509</v>
      </c>
      <c r="CX91" s="12" t="s">
        <v>2437</v>
      </c>
      <c r="CY91" s="12" t="s">
        <v>2435</v>
      </c>
      <c r="CZ91" s="8"/>
      <c r="DA91">
        <v>1</v>
      </c>
    </row>
    <row r="92" spans="4:105" ht="39.950000000000003" hidden="1" customHeight="1" x14ac:dyDescent="0.3">
      <c r="D92">
        <v>1</v>
      </c>
      <c r="E92" s="10" t="s">
        <v>299</v>
      </c>
      <c r="F92" s="8"/>
      <c r="G92" s="8"/>
      <c r="H92" s="8"/>
      <c r="I92" s="8"/>
      <c r="J92" s="8"/>
      <c r="K92" s="8"/>
      <c r="L92" s="8"/>
      <c r="M92" s="8"/>
      <c r="N92" s="10" t="s">
        <v>284</v>
      </c>
      <c r="O92" s="8"/>
      <c r="P92" s="12" t="s">
        <v>2149</v>
      </c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9" t="s">
        <v>205</v>
      </c>
      <c r="BH92" s="8"/>
      <c r="BI92" s="8"/>
      <c r="BJ92" s="8"/>
      <c r="BK92" s="8"/>
      <c r="BL92" s="8"/>
      <c r="BM92" s="8"/>
      <c r="BN92" s="8"/>
      <c r="BO92" s="10" t="s">
        <v>509</v>
      </c>
      <c r="BP92" s="8"/>
      <c r="BQ92" s="8"/>
      <c r="BR92" s="8"/>
      <c r="BS92" s="8"/>
      <c r="BT92" s="12" t="s">
        <v>2619</v>
      </c>
      <c r="BU92" s="12" t="s">
        <v>2621</v>
      </c>
      <c r="BV92" s="12" t="s">
        <v>2623</v>
      </c>
      <c r="BW92" s="12" t="s">
        <v>2609</v>
      </c>
      <c r="BX92" s="12" t="s">
        <v>2611</v>
      </c>
      <c r="BY92" s="12" t="s">
        <v>2613</v>
      </c>
      <c r="BZ92" s="12" t="s">
        <v>2615</v>
      </c>
      <c r="CA92" s="12" t="s">
        <v>2617</v>
      </c>
      <c r="CB92" s="12" t="s">
        <v>2511</v>
      </c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12" t="s">
        <v>2439</v>
      </c>
      <c r="CW92" s="8"/>
      <c r="CX92" s="8"/>
      <c r="CY92" s="8"/>
      <c r="CZ92" s="8"/>
      <c r="DA92">
        <v>1</v>
      </c>
    </row>
    <row r="93" spans="4:105" ht="39.950000000000003" hidden="1" customHeight="1" x14ac:dyDescent="0.3">
      <c r="D93">
        <v>1</v>
      </c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12" t="s">
        <v>2151</v>
      </c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10" t="s">
        <v>324</v>
      </c>
      <c r="BP93" s="8"/>
      <c r="BQ93" s="8"/>
      <c r="BR93" s="8"/>
      <c r="BS93" s="8"/>
      <c r="BT93" s="12" t="s">
        <v>2625</v>
      </c>
      <c r="BU93" s="8"/>
      <c r="BV93" s="8"/>
      <c r="BW93" s="12" t="s">
        <v>1495</v>
      </c>
      <c r="BX93" s="8"/>
      <c r="BY93" s="8"/>
      <c r="BZ93" s="8"/>
      <c r="CA93" s="8"/>
      <c r="CB93" s="12" t="s">
        <v>1499</v>
      </c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12" t="s">
        <v>1511</v>
      </c>
      <c r="CW93" s="8"/>
      <c r="CX93" s="10" t="s">
        <v>254</v>
      </c>
      <c r="CY93" s="8"/>
      <c r="CZ93" s="8"/>
      <c r="DA93">
        <v>1</v>
      </c>
    </row>
    <row r="94" spans="4:105" ht="39.950000000000003" hidden="1" customHeight="1" x14ac:dyDescent="0.3">
      <c r="D94">
        <v>1</v>
      </c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12" t="s">
        <v>1607</v>
      </c>
      <c r="BC94" s="12" t="s">
        <v>1609</v>
      </c>
      <c r="BD94" s="12" t="s">
        <v>1611</v>
      </c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12" t="s">
        <v>2627</v>
      </c>
      <c r="BU94" s="8"/>
      <c r="BV94" s="8"/>
      <c r="BW94" s="12" t="s">
        <v>1497</v>
      </c>
      <c r="BX94" s="8"/>
      <c r="BY94" s="8"/>
      <c r="BZ94" s="8"/>
      <c r="CA94" s="8"/>
      <c r="CB94" s="12" t="s">
        <v>2513</v>
      </c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12" t="s">
        <v>1501</v>
      </c>
      <c r="CP94" s="8"/>
      <c r="CQ94" s="8"/>
      <c r="CR94" s="8"/>
      <c r="CS94" s="8"/>
      <c r="CT94" s="8"/>
      <c r="CU94" s="8"/>
      <c r="CV94" s="12" t="s">
        <v>1513</v>
      </c>
      <c r="CW94" s="8"/>
      <c r="CX94" s="8"/>
      <c r="CY94" s="8"/>
      <c r="CZ94" s="8"/>
      <c r="DA94">
        <v>1</v>
      </c>
    </row>
    <row r="95" spans="4:105" ht="39.950000000000003" hidden="1" customHeight="1" x14ac:dyDescent="0.3">
      <c r="D95">
        <v>1</v>
      </c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9" t="s">
        <v>90</v>
      </c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12" t="s">
        <v>2649</v>
      </c>
      <c r="BC95" s="8"/>
      <c r="BD95" s="8"/>
      <c r="BE95" s="8"/>
      <c r="BF95" s="8"/>
      <c r="BG95" s="8"/>
      <c r="BH95" s="10" t="s">
        <v>614</v>
      </c>
      <c r="BI95" s="8"/>
      <c r="BJ95" s="8"/>
      <c r="BK95" s="8"/>
      <c r="BL95" s="8"/>
      <c r="BM95" s="9" t="s">
        <v>30</v>
      </c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9" t="s">
        <v>50</v>
      </c>
      <c r="CA95" s="8"/>
      <c r="CB95" s="12" t="s">
        <v>1471</v>
      </c>
      <c r="CC95" s="12" t="s">
        <v>1473</v>
      </c>
      <c r="CD95" s="12" t="s">
        <v>1475</v>
      </c>
      <c r="CE95" s="12" t="s">
        <v>2515</v>
      </c>
      <c r="CF95" s="8"/>
      <c r="CG95" s="8"/>
      <c r="CH95" s="12" t="s">
        <v>2461</v>
      </c>
      <c r="CI95" s="12" t="s">
        <v>2463</v>
      </c>
      <c r="CJ95" s="12" t="s">
        <v>2465</v>
      </c>
      <c r="CK95" s="12" t="s">
        <v>2467</v>
      </c>
      <c r="CL95" s="12" t="s">
        <v>2469</v>
      </c>
      <c r="CM95" s="12" t="s">
        <v>2471</v>
      </c>
      <c r="CN95" s="12" t="s">
        <v>2473</v>
      </c>
      <c r="CO95" s="12" t="s">
        <v>1503</v>
      </c>
      <c r="CP95" s="12" t="s">
        <v>1505</v>
      </c>
      <c r="CQ95" s="12" t="s">
        <v>2451</v>
      </c>
      <c r="CR95" s="12" t="s">
        <v>2453</v>
      </c>
      <c r="CS95" s="12" t="s">
        <v>2455</v>
      </c>
      <c r="CT95" s="12" t="s">
        <v>2457</v>
      </c>
      <c r="CU95" s="12" t="s">
        <v>2459</v>
      </c>
      <c r="CV95" s="12" t="s">
        <v>2441</v>
      </c>
      <c r="CW95" s="12" t="s">
        <v>2443</v>
      </c>
      <c r="CX95" s="12" t="s">
        <v>2445</v>
      </c>
      <c r="CY95" s="8"/>
      <c r="CZ95" s="8"/>
      <c r="DA95">
        <v>1</v>
      </c>
    </row>
    <row r="96" spans="4:105" ht="39.950000000000003" hidden="1" customHeight="1" x14ac:dyDescent="0.3">
      <c r="D96">
        <v>1</v>
      </c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12" t="s">
        <v>2651</v>
      </c>
      <c r="BC96" s="8"/>
      <c r="BD96" s="8"/>
      <c r="BE96" s="8"/>
      <c r="BF96" s="8"/>
      <c r="BG96" s="8"/>
      <c r="BH96" s="8"/>
      <c r="BI96" s="8"/>
      <c r="BJ96" s="8"/>
      <c r="BK96" s="12" t="s">
        <v>1625</v>
      </c>
      <c r="BL96" s="8"/>
      <c r="BM96" s="12" t="s">
        <v>2605</v>
      </c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12" t="s">
        <v>2517</v>
      </c>
      <c r="CF96" s="8"/>
      <c r="CG96" s="8"/>
      <c r="CH96" s="12" t="s">
        <v>2481</v>
      </c>
      <c r="CI96" s="8"/>
      <c r="CJ96" s="8"/>
      <c r="CK96" s="12" t="s">
        <v>2475</v>
      </c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12" t="s">
        <v>2447</v>
      </c>
      <c r="CY96" s="12" t="s">
        <v>2449</v>
      </c>
      <c r="CZ96" s="8"/>
      <c r="DA96">
        <v>1</v>
      </c>
    </row>
    <row r="97" spans="3:105" ht="39.950000000000003" hidden="1" customHeight="1" x14ac:dyDescent="0.3">
      <c r="D97">
        <v>1</v>
      </c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9" t="s">
        <v>105</v>
      </c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12" t="s">
        <v>2653</v>
      </c>
      <c r="BC97" s="12" t="s">
        <v>2659</v>
      </c>
      <c r="BD97" s="8"/>
      <c r="BE97" s="8"/>
      <c r="BF97" s="8"/>
      <c r="BG97" s="8"/>
      <c r="BH97" s="8"/>
      <c r="BI97" s="8"/>
      <c r="BJ97" s="8"/>
      <c r="BK97" s="12" t="s">
        <v>2593</v>
      </c>
      <c r="BL97" s="8"/>
      <c r="BM97" s="12" t="s">
        <v>2607</v>
      </c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12" t="s">
        <v>2519</v>
      </c>
      <c r="CF97" s="8"/>
      <c r="CG97" s="8"/>
      <c r="CH97" s="12" t="s">
        <v>2483</v>
      </c>
      <c r="CI97" s="8"/>
      <c r="CJ97" s="8"/>
      <c r="CK97" s="12" t="s">
        <v>2477</v>
      </c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10" t="s">
        <v>864</v>
      </c>
      <c r="DA97">
        <v>1</v>
      </c>
    </row>
    <row r="98" spans="3:105" ht="39.950000000000003" hidden="1" customHeight="1" x14ac:dyDescent="0.3">
      <c r="D98">
        <v>1</v>
      </c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12" t="s">
        <v>2655</v>
      </c>
      <c r="BC98" s="8"/>
      <c r="BD98" s="8"/>
      <c r="BE98" s="8"/>
      <c r="BF98" s="8"/>
      <c r="BG98" s="8"/>
      <c r="BH98" s="8"/>
      <c r="BI98" s="8"/>
      <c r="BJ98" s="8"/>
      <c r="BK98" s="12" t="s">
        <v>2595</v>
      </c>
      <c r="BL98" s="12" t="s">
        <v>2599</v>
      </c>
      <c r="BM98" s="12" t="s">
        <v>2601</v>
      </c>
      <c r="BN98" s="12" t="s">
        <v>2603</v>
      </c>
      <c r="BO98" s="12" t="s">
        <v>1627</v>
      </c>
      <c r="BP98" s="12" t="s">
        <v>1629</v>
      </c>
      <c r="BQ98" s="8"/>
      <c r="BR98" s="8"/>
      <c r="BS98" s="8"/>
      <c r="BT98" s="8"/>
      <c r="BU98" s="8"/>
      <c r="BV98" s="8"/>
      <c r="BW98" s="8"/>
      <c r="BX98" s="8"/>
      <c r="BY98" s="12" t="s">
        <v>1477</v>
      </c>
      <c r="BZ98" s="12" t="s">
        <v>1479</v>
      </c>
      <c r="CA98" s="12" t="s">
        <v>1481</v>
      </c>
      <c r="CB98" s="8"/>
      <c r="CC98" s="8"/>
      <c r="CD98" s="12" t="s">
        <v>1483</v>
      </c>
      <c r="CE98" s="12" t="s">
        <v>2521</v>
      </c>
      <c r="CF98" s="8"/>
      <c r="CG98" s="8"/>
      <c r="CH98" s="12" t="s">
        <v>2485</v>
      </c>
      <c r="CI98" s="8"/>
      <c r="CJ98" s="10" t="s">
        <v>859</v>
      </c>
      <c r="CK98" s="12" t="s">
        <v>2479</v>
      </c>
      <c r="CL98" s="8"/>
      <c r="CM98" s="8"/>
      <c r="CN98" s="8"/>
      <c r="CO98" s="8"/>
      <c r="CP98" s="8"/>
      <c r="CQ98" s="8"/>
      <c r="CR98" s="8"/>
      <c r="CS98" s="8"/>
      <c r="CT98" s="9" t="s">
        <v>195</v>
      </c>
      <c r="CU98" s="8"/>
      <c r="CV98" s="8"/>
      <c r="CW98" s="8"/>
      <c r="CX98" s="8"/>
      <c r="CY98" s="8"/>
      <c r="CZ98" s="8"/>
      <c r="DA98">
        <v>1</v>
      </c>
    </row>
    <row r="99" spans="3:105" ht="39.950000000000003" hidden="1" customHeight="1" x14ac:dyDescent="0.3">
      <c r="D99">
        <v>1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12" t="s">
        <v>1715</v>
      </c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12" t="s">
        <v>2657</v>
      </c>
      <c r="BC99" s="8"/>
      <c r="BD99" s="8"/>
      <c r="BE99" s="8"/>
      <c r="BF99" s="8"/>
      <c r="BG99" s="8"/>
      <c r="BH99" s="8"/>
      <c r="BI99" s="8"/>
      <c r="BJ99" s="8"/>
      <c r="BK99" s="12" t="s">
        <v>2597</v>
      </c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12" t="s">
        <v>2543</v>
      </c>
      <c r="BZ99" s="8"/>
      <c r="CA99" s="8"/>
      <c r="CB99" s="8"/>
      <c r="CC99" s="8"/>
      <c r="CD99" s="8"/>
      <c r="CE99" s="12" t="s">
        <v>2523</v>
      </c>
      <c r="CF99" s="8"/>
      <c r="CG99" s="8"/>
      <c r="CH99" s="12" t="s">
        <v>2487</v>
      </c>
      <c r="CI99" s="8"/>
      <c r="CJ99" s="8"/>
      <c r="CK99" s="12" t="s">
        <v>1491</v>
      </c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>
        <v>1</v>
      </c>
    </row>
    <row r="100" spans="3:105" ht="39.950000000000003" hidden="1" customHeight="1" x14ac:dyDescent="0.3">
      <c r="D100">
        <v>1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12" t="s">
        <v>1717</v>
      </c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12" t="s">
        <v>2673</v>
      </c>
      <c r="AN100" s="12" t="s">
        <v>1587</v>
      </c>
      <c r="AO100" s="12" t="s">
        <v>1589</v>
      </c>
      <c r="AP100" s="12" t="s">
        <v>1591</v>
      </c>
      <c r="AQ100" s="12" t="s">
        <v>2661</v>
      </c>
      <c r="AR100" s="12" t="s">
        <v>2663</v>
      </c>
      <c r="AS100" s="12" t="s">
        <v>2665</v>
      </c>
      <c r="AT100" s="12" t="s">
        <v>2667</v>
      </c>
      <c r="AU100" s="12" t="s">
        <v>1599</v>
      </c>
      <c r="AV100" s="12" t="s">
        <v>1601</v>
      </c>
      <c r="AW100" s="12" t="s">
        <v>1603</v>
      </c>
      <c r="AX100" s="12" t="s">
        <v>1605</v>
      </c>
      <c r="AY100" s="12" t="s">
        <v>2643</v>
      </c>
      <c r="AZ100" s="10" t="s">
        <v>874</v>
      </c>
      <c r="BA100" s="12" t="s">
        <v>2645</v>
      </c>
      <c r="BB100" s="12" t="s">
        <v>2647</v>
      </c>
      <c r="BC100" s="8"/>
      <c r="BD100" s="8"/>
      <c r="BE100" s="8"/>
      <c r="BF100" s="8"/>
      <c r="BG100" s="8"/>
      <c r="BH100" s="8"/>
      <c r="BI100" s="8"/>
      <c r="BJ100" s="8"/>
      <c r="BK100" s="12" t="s">
        <v>1623</v>
      </c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12" t="s">
        <v>2545</v>
      </c>
      <c r="BZ100" s="8"/>
      <c r="CA100" s="8"/>
      <c r="CB100" s="8"/>
      <c r="CC100" s="8"/>
      <c r="CD100" s="8"/>
      <c r="CE100" s="12" t="s">
        <v>2525</v>
      </c>
      <c r="CF100" s="8"/>
      <c r="CG100" s="8"/>
      <c r="CH100" s="12" t="s">
        <v>2489</v>
      </c>
      <c r="CI100" s="8"/>
      <c r="CJ100" s="8"/>
      <c r="CK100" s="12" t="s">
        <v>1493</v>
      </c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>
        <v>1</v>
      </c>
    </row>
    <row r="101" spans="3:105" ht="39.950000000000003" hidden="1" customHeight="1" x14ac:dyDescent="0.3">
      <c r="D101">
        <v>1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10" t="s">
        <v>399</v>
      </c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12" t="s">
        <v>2669</v>
      </c>
      <c r="AR101" s="8"/>
      <c r="AS101" s="8"/>
      <c r="AT101" s="10" t="s">
        <v>684</v>
      </c>
      <c r="AU101" s="8"/>
      <c r="AV101" s="8"/>
      <c r="AW101" s="8"/>
      <c r="AX101" s="8"/>
      <c r="AY101" s="8"/>
      <c r="AZ101" s="12" t="s">
        <v>1613</v>
      </c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12" t="s">
        <v>2591</v>
      </c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12" t="s">
        <v>2547</v>
      </c>
      <c r="BZ101" s="8"/>
      <c r="CA101" s="8"/>
      <c r="CB101" s="8"/>
      <c r="CC101" s="8"/>
      <c r="CD101" s="8"/>
      <c r="CE101" s="12" t="s">
        <v>2527</v>
      </c>
      <c r="CF101" s="8"/>
      <c r="CG101" s="8"/>
      <c r="CH101" s="10" t="s">
        <v>354</v>
      </c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>
        <v>1</v>
      </c>
    </row>
    <row r="102" spans="3:105" ht="39.950000000000003" hidden="1" customHeight="1" x14ac:dyDescent="0.3">
      <c r="D102">
        <v>1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12" t="s">
        <v>2671</v>
      </c>
      <c r="AR102" s="8"/>
      <c r="AS102" s="8"/>
      <c r="AT102" s="8"/>
      <c r="AU102" s="8"/>
      <c r="AV102" s="8"/>
      <c r="AW102" s="8"/>
      <c r="AX102" s="8"/>
      <c r="AY102" s="8"/>
      <c r="AZ102" s="12" t="s">
        <v>1615</v>
      </c>
      <c r="BA102" s="8"/>
      <c r="BB102" s="8"/>
      <c r="BC102" s="8"/>
      <c r="BD102" s="8"/>
      <c r="BE102" s="8"/>
      <c r="BF102" s="12" t="s">
        <v>2629</v>
      </c>
      <c r="BG102" s="12" t="s">
        <v>2631</v>
      </c>
      <c r="BH102" s="12" t="s">
        <v>2633</v>
      </c>
      <c r="BI102" s="12" t="s">
        <v>2583</v>
      </c>
      <c r="BJ102" s="12" t="s">
        <v>2585</v>
      </c>
      <c r="BK102" s="12" t="s">
        <v>2587</v>
      </c>
      <c r="BL102" s="12" t="s">
        <v>2589</v>
      </c>
      <c r="BM102" s="12" t="s">
        <v>1631</v>
      </c>
      <c r="BN102" s="12" t="s">
        <v>2581</v>
      </c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12" t="s">
        <v>2549</v>
      </c>
      <c r="BZ102" s="8"/>
      <c r="CA102" s="8"/>
      <c r="CB102" s="8"/>
      <c r="CC102" s="8"/>
      <c r="CD102" s="8"/>
      <c r="CE102" s="12" t="s">
        <v>2551</v>
      </c>
      <c r="CF102" s="8"/>
      <c r="CG102" s="8"/>
      <c r="CH102" s="12" t="s">
        <v>2491</v>
      </c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>
        <v>1</v>
      </c>
    </row>
    <row r="103" spans="3:105" ht="39.950000000000003" hidden="1" customHeight="1" x14ac:dyDescent="0.3">
      <c r="D103">
        <v>1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12" t="s">
        <v>2677</v>
      </c>
      <c r="AH103" s="12" t="s">
        <v>2679</v>
      </c>
      <c r="AI103" s="12" t="s">
        <v>2681</v>
      </c>
      <c r="AJ103" s="12" t="s">
        <v>2683</v>
      </c>
      <c r="AK103" s="12" t="s">
        <v>2685</v>
      </c>
      <c r="AL103" s="12" t="s">
        <v>1593</v>
      </c>
      <c r="AM103" s="8"/>
      <c r="AN103" s="8"/>
      <c r="AO103" s="8"/>
      <c r="AP103" s="8"/>
      <c r="AQ103" s="12" t="s">
        <v>1597</v>
      </c>
      <c r="AR103" s="8"/>
      <c r="AS103" s="8"/>
      <c r="AT103" s="8"/>
      <c r="AU103" s="8"/>
      <c r="AV103" s="8"/>
      <c r="AW103" s="8"/>
      <c r="AX103" s="8"/>
      <c r="AY103" s="8"/>
      <c r="AZ103" s="12" t="s">
        <v>2635</v>
      </c>
      <c r="BA103" s="12" t="s">
        <v>2637</v>
      </c>
      <c r="BB103" s="12" t="s">
        <v>2639</v>
      </c>
      <c r="BC103" s="12" t="s">
        <v>2641</v>
      </c>
      <c r="BD103" s="12" t="s">
        <v>1617</v>
      </c>
      <c r="BE103" s="12" t="s">
        <v>1619</v>
      </c>
      <c r="BF103" s="12" t="s">
        <v>1621</v>
      </c>
      <c r="BG103" s="8"/>
      <c r="BH103" s="8"/>
      <c r="BI103" s="8"/>
      <c r="BJ103" s="8"/>
      <c r="BK103" s="8"/>
      <c r="BL103" s="8"/>
      <c r="BM103" s="8"/>
      <c r="BN103" s="12" t="s">
        <v>2565</v>
      </c>
      <c r="BO103" s="12" t="s">
        <v>2567</v>
      </c>
      <c r="BP103" s="12" t="s">
        <v>2569</v>
      </c>
      <c r="BQ103" s="12" t="s">
        <v>2571</v>
      </c>
      <c r="BR103" s="12" t="s">
        <v>2573</v>
      </c>
      <c r="BS103" s="12" t="s">
        <v>2575</v>
      </c>
      <c r="BT103" s="12" t="s">
        <v>2577</v>
      </c>
      <c r="BU103" s="12" t="s">
        <v>2559</v>
      </c>
      <c r="BV103" s="10" t="s">
        <v>649</v>
      </c>
      <c r="BW103" s="12" t="s">
        <v>2561</v>
      </c>
      <c r="BX103" s="12" t="s">
        <v>2563</v>
      </c>
      <c r="BY103" s="12" t="s">
        <v>2541</v>
      </c>
      <c r="BZ103" s="12" t="s">
        <v>2529</v>
      </c>
      <c r="CA103" s="12" t="s">
        <v>2531</v>
      </c>
      <c r="CB103" s="12" t="s">
        <v>2533</v>
      </c>
      <c r="CC103" s="12" t="s">
        <v>2535</v>
      </c>
      <c r="CD103" s="12" t="s">
        <v>2537</v>
      </c>
      <c r="CE103" s="12" t="s">
        <v>2539</v>
      </c>
      <c r="CF103" s="8"/>
      <c r="CG103" s="8"/>
      <c r="CH103" s="12" t="s">
        <v>2493</v>
      </c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>
        <v>1</v>
      </c>
    </row>
    <row r="104" spans="3:105" ht="39.950000000000003" hidden="1" customHeight="1" x14ac:dyDescent="0.3">
      <c r="D104">
        <v>1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10" t="s">
        <v>869</v>
      </c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12" t="s">
        <v>2687</v>
      </c>
      <c r="AH104" s="8"/>
      <c r="AI104" s="8"/>
      <c r="AJ104" s="8"/>
      <c r="AK104" s="8"/>
      <c r="AL104" s="12" t="s">
        <v>1595</v>
      </c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10" t="s">
        <v>759</v>
      </c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12" t="s">
        <v>2557</v>
      </c>
      <c r="CC104" s="8"/>
      <c r="CD104" s="8"/>
      <c r="CE104" s="8"/>
      <c r="CF104" s="8"/>
      <c r="CG104" s="8"/>
      <c r="CH104" s="12" t="s">
        <v>2495</v>
      </c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>
        <v>1</v>
      </c>
    </row>
    <row r="105" spans="3:105" ht="39.950000000000003" hidden="1" customHeight="1" x14ac:dyDescent="0.3">
      <c r="D105">
        <v>1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12" t="s">
        <v>1659</v>
      </c>
      <c r="AH105" s="8"/>
      <c r="AI105" s="8"/>
      <c r="AJ105" s="8"/>
      <c r="AK105" s="8"/>
      <c r="AL105" s="12" t="s">
        <v>2675</v>
      </c>
      <c r="AM105" s="8"/>
      <c r="AN105" s="8"/>
      <c r="AO105" s="8"/>
      <c r="AP105" s="8"/>
      <c r="AQ105" s="8"/>
      <c r="AR105" s="8"/>
      <c r="AS105" s="8"/>
      <c r="AT105" s="10" t="s">
        <v>454</v>
      </c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10" t="s">
        <v>484</v>
      </c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12" t="s">
        <v>1485</v>
      </c>
      <c r="CC105" s="8"/>
      <c r="CD105" s="8"/>
      <c r="CE105" s="8"/>
      <c r="CF105" s="8"/>
      <c r="CG105" s="8"/>
      <c r="CH105" s="12" t="s">
        <v>2497</v>
      </c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>
        <v>1</v>
      </c>
    </row>
    <row r="106" spans="3:105" ht="39.950000000000003" hidden="1" customHeight="1" x14ac:dyDescent="0.3">
      <c r="D106">
        <v>1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12" t="s">
        <v>1661</v>
      </c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12" t="s">
        <v>1487</v>
      </c>
      <c r="CF106" s="12" t="s">
        <v>1489</v>
      </c>
      <c r="CG106" s="12" t="s">
        <v>2553</v>
      </c>
      <c r="CH106" s="12" t="s">
        <v>2555</v>
      </c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>
        <v>1</v>
      </c>
    </row>
    <row r="107" spans="3:105" ht="39.950000000000003" hidden="1" customHeight="1" x14ac:dyDescent="0.3">
      <c r="C107">
        <v>107</v>
      </c>
      <c r="D107">
        <v>1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12" t="s">
        <v>1663</v>
      </c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9" t="s">
        <v>155</v>
      </c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12" t="s">
        <v>1633</v>
      </c>
      <c r="BQ107" s="12" t="s">
        <v>2579</v>
      </c>
      <c r="BR107" s="12" t="s">
        <v>1651</v>
      </c>
      <c r="BS107" s="12" t="s">
        <v>1653</v>
      </c>
      <c r="BT107" s="12" t="s">
        <v>1655</v>
      </c>
      <c r="BU107" s="12" t="s">
        <v>1657</v>
      </c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10" t="s">
        <v>239</v>
      </c>
      <c r="DA107">
        <v>1</v>
      </c>
    </row>
    <row r="108" spans="3:105" ht="39.950000000000003" customHeight="1" x14ac:dyDescent="0.3"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  <c r="AO108">
        <v>1</v>
      </c>
      <c r="AP108">
        <v>1</v>
      </c>
      <c r="AQ108">
        <v>1</v>
      </c>
      <c r="AR108">
        <v>1</v>
      </c>
      <c r="AS108">
        <v>1</v>
      </c>
      <c r="AT108">
        <v>1</v>
      </c>
      <c r="AU108">
        <v>1</v>
      </c>
      <c r="AV108">
        <v>1</v>
      </c>
      <c r="AW108">
        <v>1</v>
      </c>
      <c r="AX108">
        <v>1</v>
      </c>
      <c r="AY108">
        <v>1</v>
      </c>
      <c r="AZ108">
        <v>1</v>
      </c>
      <c r="BA108">
        <v>1</v>
      </c>
      <c r="BB108">
        <v>1</v>
      </c>
      <c r="BC108">
        <v>1</v>
      </c>
      <c r="BD108">
        <v>1</v>
      </c>
      <c r="BE108">
        <v>1</v>
      </c>
      <c r="BF108">
        <v>1</v>
      </c>
      <c r="BG108">
        <v>1</v>
      </c>
      <c r="BH108">
        <v>1</v>
      </c>
      <c r="BI108">
        <v>1</v>
      </c>
      <c r="BJ108">
        <v>1</v>
      </c>
      <c r="BK108">
        <v>1</v>
      </c>
      <c r="BL108">
        <v>1</v>
      </c>
      <c r="BM108">
        <v>1</v>
      </c>
      <c r="BN108">
        <v>1</v>
      </c>
      <c r="BO108">
        <v>1</v>
      </c>
      <c r="BP108">
        <v>1</v>
      </c>
      <c r="BQ108">
        <v>1</v>
      </c>
      <c r="BR108">
        <v>1</v>
      </c>
      <c r="BS108">
        <v>1</v>
      </c>
      <c r="BT108">
        <v>1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1</v>
      </c>
      <c r="CG108">
        <v>1</v>
      </c>
      <c r="CH108">
        <v>1</v>
      </c>
      <c r="CI108">
        <v>1</v>
      </c>
      <c r="CJ108">
        <v>1</v>
      </c>
      <c r="CK108">
        <v>1</v>
      </c>
      <c r="CL108">
        <v>1</v>
      </c>
      <c r="CM108">
        <v>1</v>
      </c>
      <c r="CN108">
        <v>1</v>
      </c>
      <c r="CO108">
        <v>1</v>
      </c>
      <c r="CP108">
        <v>1</v>
      </c>
      <c r="CQ108">
        <v>1</v>
      </c>
      <c r="CR108">
        <v>1</v>
      </c>
      <c r="CS108">
        <v>1</v>
      </c>
      <c r="CT108">
        <v>1</v>
      </c>
      <c r="CU108">
        <v>1</v>
      </c>
      <c r="CV108">
        <v>1</v>
      </c>
      <c r="CW108">
        <v>1</v>
      </c>
      <c r="CX108">
        <v>1</v>
      </c>
      <c r="CY108">
        <v>1</v>
      </c>
      <c r="CZ108">
        <v>1</v>
      </c>
      <c r="DA108">
        <v>1</v>
      </c>
    </row>
    <row r="109" spans="3:105" ht="39.950000000000003" customHeight="1" x14ac:dyDescent="0.3"/>
    <row r="110" spans="3:105" ht="39.950000000000003" customHeight="1" x14ac:dyDescent="0.3"/>
    <row r="111" spans="3:105" ht="39.950000000000003" customHeight="1" x14ac:dyDescent="0.3"/>
    <row r="112" spans="3:105" ht="39.950000000000003" customHeight="1" x14ac:dyDescent="0.3"/>
    <row r="113" ht="39.950000000000003" customHeight="1" x14ac:dyDescent="0.3"/>
    <row r="114" ht="39.950000000000003" customHeight="1" x14ac:dyDescent="0.3"/>
    <row r="115" ht="39.950000000000003" customHeight="1" x14ac:dyDescent="0.3"/>
    <row r="116" ht="39.950000000000003" customHeight="1" x14ac:dyDescent="0.3"/>
    <row r="117" ht="39.950000000000003" customHeight="1" x14ac:dyDescent="0.3"/>
    <row r="118" ht="39.950000000000003" customHeight="1" x14ac:dyDescent="0.3"/>
    <row r="119" ht="39.950000000000003" customHeight="1" x14ac:dyDescent="0.3"/>
    <row r="120" ht="39.950000000000003" customHeight="1" x14ac:dyDescent="0.3"/>
    <row r="121" ht="39.950000000000003" customHeight="1" x14ac:dyDescent="0.3"/>
    <row r="122" ht="39.950000000000003" customHeight="1" x14ac:dyDescent="0.3"/>
    <row r="123" ht="39.950000000000003" customHeight="1" x14ac:dyDescent="0.3"/>
    <row r="124" ht="39.950000000000003" customHeight="1" x14ac:dyDescent="0.3"/>
    <row r="125" ht="39.950000000000003" customHeight="1" x14ac:dyDescent="0.3"/>
    <row r="126" ht="39.950000000000003" customHeight="1" x14ac:dyDescent="0.3"/>
    <row r="127" ht="39.950000000000003" customHeight="1" x14ac:dyDescent="0.3"/>
    <row r="128" ht="39.950000000000003" customHeight="1" x14ac:dyDescent="0.3"/>
    <row r="129" ht="39.950000000000003" customHeight="1" x14ac:dyDescent="0.3"/>
    <row r="130" ht="39.950000000000003" customHeight="1" x14ac:dyDescent="0.3"/>
    <row r="131" ht="39.950000000000003" customHeight="1" x14ac:dyDescent="0.3"/>
    <row r="132" ht="39.950000000000003" customHeight="1" x14ac:dyDescent="0.3"/>
    <row r="133" ht="39.950000000000003" customHeight="1" x14ac:dyDescent="0.3"/>
    <row r="134" ht="39.950000000000003" customHeight="1" x14ac:dyDescent="0.3"/>
    <row r="135" ht="39.950000000000003" customHeight="1" x14ac:dyDescent="0.3"/>
    <row r="136" ht="39.950000000000003" customHeight="1" x14ac:dyDescent="0.3"/>
    <row r="137" ht="39.950000000000003" customHeight="1" x14ac:dyDescent="0.3"/>
    <row r="138" ht="39.950000000000003" customHeight="1" x14ac:dyDescent="0.3"/>
    <row r="139" ht="39.950000000000003" customHeight="1" x14ac:dyDescent="0.3"/>
    <row r="140" ht="39.950000000000003" customHeight="1" x14ac:dyDescent="0.3"/>
    <row r="141" ht="39.950000000000003" customHeight="1" x14ac:dyDescent="0.3"/>
    <row r="142" ht="39.950000000000003" customHeight="1" x14ac:dyDescent="0.3"/>
    <row r="143" ht="39.950000000000003" customHeight="1" x14ac:dyDescent="0.3"/>
    <row r="144" ht="39.950000000000003" customHeight="1" x14ac:dyDescent="0.3"/>
    <row r="145" ht="39.950000000000003" customHeight="1" x14ac:dyDescent="0.3"/>
    <row r="146" ht="39.950000000000003" customHeight="1" x14ac:dyDescent="0.3"/>
    <row r="147" ht="39.950000000000003" customHeight="1" x14ac:dyDescent="0.3"/>
    <row r="148" ht="39.950000000000003" customHeight="1" x14ac:dyDescent="0.3"/>
    <row r="149" ht="39.950000000000003" customHeight="1" x14ac:dyDescent="0.3"/>
    <row r="150" ht="39.950000000000003" customHeight="1" x14ac:dyDescent="0.3"/>
    <row r="151" ht="39.950000000000003" customHeight="1" x14ac:dyDescent="0.3"/>
    <row r="152" ht="39.950000000000003" customHeight="1" x14ac:dyDescent="0.3"/>
    <row r="153" ht="39.950000000000003" customHeight="1" x14ac:dyDescent="0.3"/>
    <row r="154" ht="39.950000000000003" customHeight="1" x14ac:dyDescent="0.3"/>
    <row r="155" ht="39.950000000000003" customHeight="1" x14ac:dyDescent="0.3"/>
    <row r="156" ht="39.950000000000003" customHeight="1" x14ac:dyDescent="0.3"/>
    <row r="157" ht="39.950000000000003" customHeight="1" x14ac:dyDescent="0.3"/>
    <row r="158" ht="39.950000000000003" customHeight="1" x14ac:dyDescent="0.3"/>
    <row r="159" ht="39.950000000000003" customHeight="1" x14ac:dyDescent="0.3"/>
    <row r="160" ht="39.950000000000003" customHeight="1" x14ac:dyDescent="0.3"/>
    <row r="161" ht="39.950000000000003" customHeight="1" x14ac:dyDescent="0.3"/>
    <row r="162" ht="39.950000000000003" customHeight="1" x14ac:dyDescent="0.3"/>
    <row r="163" ht="39.950000000000003" customHeight="1" x14ac:dyDescent="0.3"/>
    <row r="164" ht="39.950000000000003" customHeight="1" x14ac:dyDescent="0.3"/>
    <row r="165" ht="39.950000000000003" customHeight="1" x14ac:dyDescent="0.3"/>
    <row r="166" ht="39.950000000000003" customHeight="1" x14ac:dyDescent="0.3"/>
    <row r="167" ht="39.950000000000003" customHeight="1" x14ac:dyDescent="0.3"/>
    <row r="168" ht="39.950000000000003" customHeight="1" x14ac:dyDescent="0.3"/>
    <row r="169" ht="39.950000000000003" customHeight="1" x14ac:dyDescent="0.3"/>
    <row r="170" ht="39.950000000000003" customHeight="1" x14ac:dyDescent="0.3"/>
    <row r="171" ht="39.950000000000003" customHeight="1" x14ac:dyDescent="0.3"/>
    <row r="172" ht="39.950000000000003" customHeight="1" x14ac:dyDescent="0.3"/>
    <row r="173" ht="39.950000000000003" customHeight="1" x14ac:dyDescent="0.3"/>
    <row r="174" ht="39.950000000000003" customHeight="1" x14ac:dyDescent="0.3"/>
    <row r="175" ht="39.950000000000003" customHeight="1" x14ac:dyDescent="0.3"/>
    <row r="176" ht="39.950000000000003" customHeight="1" x14ac:dyDescent="0.3"/>
    <row r="177" ht="39.950000000000003" customHeight="1" x14ac:dyDescent="0.3"/>
    <row r="178" ht="39.950000000000003" customHeight="1" x14ac:dyDescent="0.3"/>
    <row r="179" ht="39.950000000000003" customHeight="1" x14ac:dyDescent="0.3"/>
    <row r="180" ht="39.950000000000003" customHeight="1" x14ac:dyDescent="0.3"/>
    <row r="181" ht="39.950000000000003" customHeight="1" x14ac:dyDescent="0.3"/>
    <row r="182" ht="39.950000000000003" customHeight="1" x14ac:dyDescent="0.3"/>
    <row r="183" ht="39.950000000000003" customHeight="1" x14ac:dyDescent="0.3"/>
    <row r="184" ht="39.950000000000003" customHeight="1" x14ac:dyDescent="0.3"/>
    <row r="185" ht="39.950000000000003" customHeight="1" x14ac:dyDescent="0.3"/>
    <row r="186" ht="39.950000000000003" customHeight="1" x14ac:dyDescent="0.3"/>
    <row r="187" ht="39.950000000000003" customHeight="1" x14ac:dyDescent="0.3"/>
    <row r="188" ht="39.950000000000003" customHeight="1" x14ac:dyDescent="0.3"/>
    <row r="189" ht="39.950000000000003" customHeight="1" x14ac:dyDescent="0.3"/>
    <row r="190" ht="39.950000000000003" customHeight="1" x14ac:dyDescent="0.3"/>
    <row r="191" ht="39.950000000000003" customHeight="1" x14ac:dyDescent="0.3"/>
    <row r="192" ht="39.950000000000003" customHeight="1" x14ac:dyDescent="0.3"/>
    <row r="193" ht="39.950000000000003" customHeight="1" x14ac:dyDescent="0.3"/>
    <row r="194" ht="39.950000000000003" customHeight="1" x14ac:dyDescent="0.3"/>
    <row r="195" ht="39.950000000000003" customHeight="1" x14ac:dyDescent="0.3"/>
    <row r="196" ht="39.950000000000003" customHeight="1" x14ac:dyDescent="0.3"/>
    <row r="197" ht="39.950000000000003" customHeight="1" x14ac:dyDescent="0.3"/>
    <row r="198" ht="39.950000000000003" customHeight="1" x14ac:dyDescent="0.3"/>
    <row r="199" ht="39.950000000000003" customHeight="1" x14ac:dyDescent="0.3"/>
    <row r="200" ht="39.950000000000003" customHeight="1" x14ac:dyDescent="0.3"/>
    <row r="201" ht="39.950000000000003" customHeight="1" x14ac:dyDescent="0.3"/>
    <row r="202" ht="39.950000000000003" customHeight="1" x14ac:dyDescent="0.3"/>
    <row r="203" ht="39.950000000000003" customHeight="1" x14ac:dyDescent="0.3"/>
    <row r="204" ht="39.950000000000003" customHeight="1" x14ac:dyDescent="0.3"/>
    <row r="205" ht="39.950000000000003" customHeight="1" x14ac:dyDescent="0.3"/>
    <row r="206" ht="39.950000000000003" customHeight="1" x14ac:dyDescent="0.3"/>
    <row r="207" ht="39.950000000000003" customHeight="1" x14ac:dyDescent="0.3"/>
    <row r="208" ht="39.950000000000003" customHeight="1" x14ac:dyDescent="0.3"/>
    <row r="209" ht="39.950000000000003" customHeight="1" x14ac:dyDescent="0.3"/>
    <row r="210" ht="39.950000000000003" customHeight="1" x14ac:dyDescent="0.3"/>
    <row r="211" ht="39.950000000000003" customHeight="1" x14ac:dyDescent="0.3"/>
    <row r="212" ht="39.950000000000003" customHeight="1" x14ac:dyDescent="0.3"/>
    <row r="213" ht="39.950000000000003" customHeight="1" x14ac:dyDescent="0.3"/>
    <row r="214" ht="39.950000000000003" customHeight="1" x14ac:dyDescent="0.3"/>
    <row r="215" ht="39.950000000000003" customHeight="1" x14ac:dyDescent="0.3"/>
    <row r="216" ht="39.950000000000003" customHeight="1" x14ac:dyDescent="0.3"/>
    <row r="217" ht="39.950000000000003" customHeight="1" x14ac:dyDescent="0.3"/>
    <row r="218" ht="39.950000000000003" customHeight="1" x14ac:dyDescent="0.3"/>
    <row r="219" ht="39.950000000000003" customHeight="1" x14ac:dyDescent="0.3"/>
    <row r="220" ht="39.950000000000003" customHeight="1" x14ac:dyDescent="0.3"/>
    <row r="221" ht="39.950000000000003" customHeight="1" x14ac:dyDescent="0.3"/>
    <row r="222" ht="39.950000000000003" customHeight="1" x14ac:dyDescent="0.3"/>
    <row r="223" ht="39.950000000000003" customHeight="1" x14ac:dyDescent="0.3"/>
    <row r="224" ht="39.950000000000003" customHeight="1" x14ac:dyDescent="0.3"/>
    <row r="225" ht="39.950000000000003" customHeight="1" x14ac:dyDescent="0.3"/>
    <row r="226" ht="39.950000000000003" customHeight="1" x14ac:dyDescent="0.3"/>
    <row r="227" ht="39.950000000000003" customHeight="1" x14ac:dyDescent="0.3"/>
    <row r="228" ht="39.950000000000003" customHeight="1" x14ac:dyDescent="0.3"/>
    <row r="229" ht="39.950000000000003" customHeight="1" x14ac:dyDescent="0.3"/>
    <row r="230" ht="39.950000000000003" customHeight="1" x14ac:dyDescent="0.3"/>
    <row r="231" ht="39.950000000000003" customHeight="1" x14ac:dyDescent="0.3"/>
    <row r="232" ht="39.950000000000003" customHeight="1" x14ac:dyDescent="0.3"/>
    <row r="233" ht="39.950000000000003" customHeight="1" x14ac:dyDescent="0.3"/>
    <row r="234" ht="39.950000000000003" customHeight="1" x14ac:dyDescent="0.3"/>
    <row r="235" ht="39.950000000000003" customHeight="1" x14ac:dyDescent="0.3"/>
    <row r="236" ht="39.950000000000003" customHeight="1" x14ac:dyDescent="0.3"/>
    <row r="237" ht="39.950000000000003" customHeight="1" x14ac:dyDescent="0.3"/>
    <row r="238" ht="39.950000000000003" customHeight="1" x14ac:dyDescent="0.3"/>
    <row r="239" ht="39.950000000000003" customHeight="1" x14ac:dyDescent="0.3"/>
    <row r="240" ht="39.950000000000003" customHeight="1" x14ac:dyDescent="0.3"/>
    <row r="241" ht="39.950000000000003" customHeight="1" x14ac:dyDescent="0.3"/>
    <row r="242" ht="39.950000000000003" customHeight="1" x14ac:dyDescent="0.3"/>
    <row r="243" ht="39.950000000000003" customHeight="1" x14ac:dyDescent="0.3"/>
    <row r="244" ht="39.950000000000003" customHeight="1" x14ac:dyDescent="0.3"/>
    <row r="245" ht="39.950000000000003" customHeight="1" x14ac:dyDescent="0.3"/>
    <row r="246" ht="39.950000000000003" customHeight="1" x14ac:dyDescent="0.3"/>
    <row r="247" ht="39.950000000000003" customHeight="1" x14ac:dyDescent="0.3"/>
    <row r="248" ht="39.950000000000003" customHeight="1" x14ac:dyDescent="0.3"/>
    <row r="249" ht="39.950000000000003" customHeight="1" x14ac:dyDescent="0.3"/>
    <row r="250" ht="39.950000000000003" customHeight="1" x14ac:dyDescent="0.3"/>
    <row r="251" ht="39.950000000000003" customHeight="1" x14ac:dyDescent="0.3"/>
    <row r="252" ht="39.950000000000003" customHeight="1" x14ac:dyDescent="0.3"/>
    <row r="253" ht="39.950000000000003" customHeight="1" x14ac:dyDescent="0.3"/>
    <row r="254" ht="39.950000000000003" customHeight="1" x14ac:dyDescent="0.3"/>
    <row r="255" ht="39.950000000000003" customHeight="1" x14ac:dyDescent="0.3"/>
    <row r="256" ht="39.950000000000003" customHeight="1" x14ac:dyDescent="0.3"/>
    <row r="257" ht="39.950000000000003" customHeight="1" x14ac:dyDescent="0.3"/>
    <row r="258" ht="39.950000000000003" customHeight="1" x14ac:dyDescent="0.3"/>
    <row r="259" ht="39.950000000000003" customHeight="1" x14ac:dyDescent="0.3"/>
    <row r="260" ht="39.950000000000003" customHeight="1" x14ac:dyDescent="0.3"/>
    <row r="261" ht="39.950000000000003" customHeight="1" x14ac:dyDescent="0.3"/>
    <row r="262" ht="39.950000000000003" customHeight="1" x14ac:dyDescent="0.3"/>
    <row r="263" ht="39.950000000000003" customHeight="1" x14ac:dyDescent="0.3"/>
    <row r="264" ht="39.950000000000003" customHeight="1" x14ac:dyDescent="0.3"/>
    <row r="265" ht="39.950000000000003" customHeight="1" x14ac:dyDescent="0.3"/>
    <row r="266" ht="39.950000000000003" customHeight="1" x14ac:dyDescent="0.3"/>
    <row r="267" ht="39.950000000000003" customHeight="1" x14ac:dyDescent="0.3"/>
    <row r="268" ht="39.950000000000003" customHeight="1" x14ac:dyDescent="0.3"/>
    <row r="269" ht="39.950000000000003" customHeight="1" x14ac:dyDescent="0.3"/>
    <row r="270" ht="39.950000000000003" customHeight="1" x14ac:dyDescent="0.3"/>
    <row r="271" ht="39.950000000000003" customHeight="1" x14ac:dyDescent="0.3"/>
    <row r="272" ht="39.950000000000003" customHeight="1" x14ac:dyDescent="0.3"/>
    <row r="273" ht="39.950000000000003" customHeight="1" x14ac:dyDescent="0.3"/>
    <row r="274" ht="39.950000000000003" customHeight="1" x14ac:dyDescent="0.3"/>
    <row r="275" ht="39.950000000000003" customHeight="1" x14ac:dyDescent="0.3"/>
    <row r="276" ht="39.950000000000003" customHeight="1" x14ac:dyDescent="0.3"/>
  </sheetData>
  <mergeCells count="1">
    <mergeCell ref="DB6:DC6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2">
          <controlPr autoLine="0" r:id="rId4">
            <anchor>
              <from>
                <xdr:col>9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8195" r:id="rId3" name="CommandButton2"/>
      </mc:Fallback>
    </mc:AlternateContent>
    <mc:AlternateContent xmlns:mc="http://schemas.openxmlformats.org/markup-compatibility/2006">
      <mc:Choice Requires="x14">
        <control shapeId="8193" r:id="rId5" name="CommandButton1">
          <controlPr autoLine="0" autoPict="0" r:id="rId6">
            <anchor>
              <from>
                <xdr:col>4</xdr:col>
                <xdr:colOff>0</xdr:colOff>
                <xdr:row>4</xdr:row>
                <xdr:rowOff>0</xdr:rowOff>
              </from>
              <to>
                <xdr:col>8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8193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183"/>
  <sheetViews>
    <sheetView zoomScale="55" zoomScaleNormal="55" workbookViewId="0">
      <selection activeCell="F18" sqref="F18"/>
    </sheetView>
  </sheetViews>
  <sheetFormatPr defaultRowHeight="16.5" x14ac:dyDescent="0.3"/>
  <cols>
    <col min="1" max="1" width="9" style="2"/>
    <col min="2" max="2" width="10.25" style="2" customWidth="1"/>
    <col min="3" max="3" width="12.75" style="2" customWidth="1"/>
    <col min="4" max="4" width="22" style="2" bestFit="1" customWidth="1"/>
    <col min="5" max="5" width="11.125" style="2" bestFit="1" customWidth="1"/>
    <col min="6" max="6" width="51" style="2" bestFit="1" customWidth="1"/>
    <col min="7" max="7" width="9" style="2"/>
    <col min="8" max="8" width="10.25" style="2" customWidth="1"/>
    <col min="12" max="12" width="10.125" customWidth="1"/>
    <col min="13" max="13" width="12.25" bestFit="1" customWidth="1"/>
  </cols>
  <sheetData>
    <row r="1" spans="1:20" x14ac:dyDescent="0.3">
      <c r="A1" s="3" t="s">
        <v>0</v>
      </c>
      <c r="B1" s="3" t="s">
        <v>3123</v>
      </c>
      <c r="C1" s="3" t="s">
        <v>3494</v>
      </c>
      <c r="D1" s="3" t="s">
        <v>3124</v>
      </c>
      <c r="E1" s="3" t="s">
        <v>3127</v>
      </c>
      <c r="F1" s="3" t="s">
        <v>3495</v>
      </c>
      <c r="G1" s="3" t="s">
        <v>3496</v>
      </c>
      <c r="H1" s="3" t="s">
        <v>3497</v>
      </c>
      <c r="M1" t="s">
        <v>3632</v>
      </c>
      <c r="N1" t="s">
        <v>3633</v>
      </c>
      <c r="P1" s="3" t="s">
        <v>3123</v>
      </c>
      <c r="Q1" s="3" t="s">
        <v>3127</v>
      </c>
      <c r="R1" s="3" t="s">
        <v>3496</v>
      </c>
      <c r="S1" s="3" t="s">
        <v>3495</v>
      </c>
      <c r="T1" s="3" t="s">
        <v>3497</v>
      </c>
    </row>
    <row r="2" spans="1:20" x14ac:dyDescent="0.3">
      <c r="A2" s="2">
        <v>1</v>
      </c>
      <c r="B2" s="2" t="s">
        <v>6</v>
      </c>
      <c r="C2" s="2" t="s">
        <v>239</v>
      </c>
      <c r="D2" s="2" t="s">
        <v>240</v>
      </c>
      <c r="E2" s="6">
        <v>44409</v>
      </c>
      <c r="F2" s="2" t="s">
        <v>3498</v>
      </c>
      <c r="G2" s="2">
        <v>4</v>
      </c>
      <c r="H2" s="2" t="s">
        <v>3499</v>
      </c>
      <c r="M2" s="5">
        <f ca="1">TODAY()</f>
        <v>44445</v>
      </c>
      <c r="N2" t="s">
        <v>3628</v>
      </c>
      <c r="P2" s="2" t="s">
        <v>6</v>
      </c>
      <c r="Q2" s="6">
        <v>44409</v>
      </c>
      <c r="R2" s="2">
        <v>4</v>
      </c>
      <c r="S2" s="2" t="s">
        <v>3498</v>
      </c>
      <c r="T2" s="2" t="s">
        <v>3499</v>
      </c>
    </row>
    <row r="3" spans="1:20" x14ac:dyDescent="0.3">
      <c r="A3" s="2">
        <v>2</v>
      </c>
      <c r="B3" s="2" t="s">
        <v>15</v>
      </c>
      <c r="C3" s="2" t="s">
        <v>239</v>
      </c>
      <c r="D3" s="2" t="s">
        <v>240</v>
      </c>
      <c r="E3" s="6">
        <v>44409</v>
      </c>
      <c r="F3" s="2" t="s">
        <v>3500</v>
      </c>
      <c r="G3" s="2">
        <v>5</v>
      </c>
      <c r="H3" s="2" t="s">
        <v>3501</v>
      </c>
      <c r="P3" s="2" t="s">
        <v>15</v>
      </c>
      <c r="Q3" s="6">
        <v>44409</v>
      </c>
      <c r="R3" s="2">
        <v>5</v>
      </c>
      <c r="S3" s="2" t="s">
        <v>3500</v>
      </c>
      <c r="T3" s="2" t="s">
        <v>3501</v>
      </c>
    </row>
    <row r="4" spans="1:20" x14ac:dyDescent="0.3">
      <c r="A4" s="2">
        <v>3</v>
      </c>
      <c r="B4" s="2" t="s">
        <v>20</v>
      </c>
      <c r="C4" s="2" t="s">
        <v>239</v>
      </c>
      <c r="D4" s="2" t="s">
        <v>240</v>
      </c>
      <c r="E4" s="6">
        <v>44443</v>
      </c>
      <c r="F4" s="2" t="s">
        <v>3502</v>
      </c>
      <c r="G4" s="2">
        <v>3</v>
      </c>
      <c r="H4" s="2" t="s">
        <v>3501</v>
      </c>
      <c r="P4" s="2" t="s">
        <v>20</v>
      </c>
      <c r="Q4" s="6">
        <v>44443</v>
      </c>
      <c r="R4" s="2">
        <v>3</v>
      </c>
      <c r="S4" s="2" t="s">
        <v>3502</v>
      </c>
      <c r="T4" s="2" t="s">
        <v>3501</v>
      </c>
    </row>
    <row r="5" spans="1:20" x14ac:dyDescent="0.3">
      <c r="A5" s="2">
        <v>4</v>
      </c>
      <c r="B5" s="2" t="s">
        <v>25</v>
      </c>
      <c r="C5" s="2" t="s">
        <v>239</v>
      </c>
      <c r="D5" s="2" t="s">
        <v>240</v>
      </c>
      <c r="E5" s="6">
        <v>44446</v>
      </c>
      <c r="F5" s="2" t="s">
        <v>3503</v>
      </c>
      <c r="G5" s="2">
        <v>4</v>
      </c>
      <c r="H5" s="2" t="s">
        <v>3501</v>
      </c>
      <c r="P5" s="2" t="s">
        <v>25</v>
      </c>
      <c r="Q5" s="6">
        <v>44446</v>
      </c>
      <c r="R5" s="2">
        <v>4</v>
      </c>
      <c r="S5" s="2" t="s">
        <v>3503</v>
      </c>
      <c r="T5" s="2" t="s">
        <v>3501</v>
      </c>
    </row>
    <row r="6" spans="1:20" x14ac:dyDescent="0.3">
      <c r="A6" s="2">
        <v>5</v>
      </c>
      <c r="B6" s="2" t="s">
        <v>30</v>
      </c>
      <c r="C6" s="2" t="s">
        <v>239</v>
      </c>
      <c r="D6" s="2" t="s">
        <v>240</v>
      </c>
      <c r="E6" s="6">
        <v>44452</v>
      </c>
      <c r="F6" s="2" t="s">
        <v>3504</v>
      </c>
      <c r="G6" s="2">
        <v>2</v>
      </c>
      <c r="H6" s="2" t="s">
        <v>3499</v>
      </c>
      <c r="P6" s="2" t="s">
        <v>30</v>
      </c>
      <c r="Q6" s="6">
        <v>44452</v>
      </c>
      <c r="R6" s="2">
        <v>2</v>
      </c>
      <c r="S6" s="2" t="s">
        <v>3504</v>
      </c>
      <c r="T6" s="2" t="s">
        <v>3499</v>
      </c>
    </row>
    <row r="7" spans="1:20" x14ac:dyDescent="0.3">
      <c r="A7" s="2">
        <v>6</v>
      </c>
      <c r="B7" s="2" t="s">
        <v>35</v>
      </c>
      <c r="C7" s="2" t="s">
        <v>239</v>
      </c>
      <c r="D7" s="2" t="s">
        <v>240</v>
      </c>
      <c r="E7" s="6">
        <v>44461</v>
      </c>
      <c r="F7" s="2" t="s">
        <v>3505</v>
      </c>
      <c r="G7" s="2">
        <v>4</v>
      </c>
      <c r="H7" s="2" t="s">
        <v>3499</v>
      </c>
      <c r="P7" s="2" t="s">
        <v>35</v>
      </c>
      <c r="Q7" s="6">
        <v>44461</v>
      </c>
      <c r="R7" s="2">
        <v>4</v>
      </c>
      <c r="S7" s="2" t="s">
        <v>3505</v>
      </c>
      <c r="T7" s="2" t="s">
        <v>3499</v>
      </c>
    </row>
    <row r="8" spans="1:20" x14ac:dyDescent="0.3">
      <c r="A8" s="2">
        <v>7</v>
      </c>
      <c r="B8" s="2" t="s">
        <v>40</v>
      </c>
      <c r="C8" s="2" t="s">
        <v>239</v>
      </c>
      <c r="D8" s="2" t="s">
        <v>240</v>
      </c>
      <c r="E8" s="6">
        <v>44476</v>
      </c>
      <c r="F8" s="2" t="s">
        <v>3506</v>
      </c>
      <c r="G8" s="2">
        <v>4</v>
      </c>
      <c r="H8" s="2" t="s">
        <v>3499</v>
      </c>
      <c r="P8" s="2" t="s">
        <v>40</v>
      </c>
      <c r="Q8" s="6">
        <v>44476</v>
      </c>
      <c r="R8" s="2">
        <v>4</v>
      </c>
      <c r="S8" s="2" t="s">
        <v>3506</v>
      </c>
      <c r="T8" s="2" t="s">
        <v>3499</v>
      </c>
    </row>
    <row r="9" spans="1:20" x14ac:dyDescent="0.3">
      <c r="A9" s="2">
        <v>8</v>
      </c>
      <c r="B9" s="2" t="s">
        <v>175</v>
      </c>
      <c r="C9" s="2" t="s">
        <v>239</v>
      </c>
      <c r="D9" s="2" t="s">
        <v>240</v>
      </c>
      <c r="E9" s="6">
        <v>44498</v>
      </c>
      <c r="F9" s="2" t="s">
        <v>3507</v>
      </c>
      <c r="G9" s="2">
        <v>2</v>
      </c>
      <c r="H9" s="2" t="s">
        <v>3501</v>
      </c>
      <c r="P9" s="2" t="s">
        <v>175</v>
      </c>
      <c r="Q9" s="6">
        <v>44498</v>
      </c>
      <c r="R9" s="2">
        <v>2</v>
      </c>
      <c r="S9" s="2" t="s">
        <v>3507</v>
      </c>
      <c r="T9" s="2" t="s">
        <v>3501</v>
      </c>
    </row>
    <row r="10" spans="1:20" x14ac:dyDescent="0.3">
      <c r="A10" s="2">
        <v>9</v>
      </c>
      <c r="B10" s="2" t="s">
        <v>75</v>
      </c>
      <c r="C10" s="2" t="s">
        <v>239</v>
      </c>
      <c r="D10" s="2" t="s">
        <v>240</v>
      </c>
      <c r="E10" s="6">
        <v>44505</v>
      </c>
      <c r="F10" s="2" t="s">
        <v>3508</v>
      </c>
      <c r="G10" s="2">
        <v>4</v>
      </c>
      <c r="H10" s="2" t="s">
        <v>3499</v>
      </c>
      <c r="P10" s="2" t="s">
        <v>75</v>
      </c>
      <c r="Q10" s="6">
        <v>44505</v>
      </c>
      <c r="R10" s="2">
        <v>4</v>
      </c>
      <c r="S10" s="2" t="s">
        <v>3508</v>
      </c>
      <c r="T10" s="2" t="s">
        <v>3499</v>
      </c>
    </row>
    <row r="11" spans="1:20" x14ac:dyDescent="0.3">
      <c r="A11" s="2">
        <v>10</v>
      </c>
      <c r="B11" s="2" t="s">
        <v>135</v>
      </c>
      <c r="C11" s="2" t="s">
        <v>529</v>
      </c>
      <c r="D11" s="2" t="s">
        <v>530</v>
      </c>
      <c r="E11" s="6">
        <v>44424</v>
      </c>
      <c r="F11" s="2" t="s">
        <v>3509</v>
      </c>
      <c r="G11" s="2">
        <v>4</v>
      </c>
      <c r="H11" s="2" t="s">
        <v>3501</v>
      </c>
      <c r="P11" s="2" t="s">
        <v>15</v>
      </c>
      <c r="Q11" s="6">
        <v>44443</v>
      </c>
      <c r="R11" s="2">
        <v>1</v>
      </c>
      <c r="S11" s="2" t="s">
        <v>3520</v>
      </c>
      <c r="T11" s="2" t="s">
        <v>3499</v>
      </c>
    </row>
    <row r="12" spans="1:20" x14ac:dyDescent="0.3">
      <c r="A12" s="2">
        <v>11</v>
      </c>
      <c r="B12" s="2" t="s">
        <v>190</v>
      </c>
      <c r="C12" s="2" t="s">
        <v>544</v>
      </c>
      <c r="D12" s="2" t="s">
        <v>545</v>
      </c>
      <c r="E12" s="6">
        <v>44425</v>
      </c>
      <c r="F12" s="2" t="s">
        <v>3510</v>
      </c>
      <c r="G12" s="2">
        <v>3</v>
      </c>
      <c r="H12" s="2" t="s">
        <v>3499</v>
      </c>
      <c r="P12" s="2" t="s">
        <v>25</v>
      </c>
      <c r="Q12" s="6">
        <v>44409</v>
      </c>
      <c r="R12" s="2">
        <v>2</v>
      </c>
      <c r="S12" s="2" t="s">
        <v>3534</v>
      </c>
      <c r="T12" s="2" t="s">
        <v>3501</v>
      </c>
    </row>
    <row r="13" spans="1:20" x14ac:dyDescent="0.3">
      <c r="A13" s="2">
        <v>12</v>
      </c>
      <c r="B13" s="2" t="s">
        <v>160</v>
      </c>
      <c r="C13" s="2" t="s">
        <v>734</v>
      </c>
      <c r="D13" s="2" t="s">
        <v>735</v>
      </c>
      <c r="E13" s="6">
        <v>44425</v>
      </c>
      <c r="F13" s="2" t="s">
        <v>3511</v>
      </c>
      <c r="G13" s="2">
        <v>3</v>
      </c>
      <c r="H13" s="2" t="s">
        <v>3501</v>
      </c>
      <c r="P13" s="2" t="s">
        <v>25</v>
      </c>
      <c r="Q13" s="6">
        <v>44409</v>
      </c>
      <c r="R13" s="2">
        <v>1</v>
      </c>
      <c r="S13" s="2" t="s">
        <v>3540</v>
      </c>
      <c r="T13" s="2" t="s">
        <v>3499</v>
      </c>
    </row>
    <row r="14" spans="1:20" x14ac:dyDescent="0.3">
      <c r="A14" s="2">
        <v>13</v>
      </c>
      <c r="B14" s="2" t="s">
        <v>215</v>
      </c>
      <c r="C14" s="2" t="s">
        <v>814</v>
      </c>
      <c r="D14" s="2" t="s">
        <v>815</v>
      </c>
      <c r="E14" s="6">
        <v>44426</v>
      </c>
      <c r="F14" s="2" t="s">
        <v>3512</v>
      </c>
      <c r="G14" s="2">
        <v>2</v>
      </c>
      <c r="H14" s="2" t="s">
        <v>3499</v>
      </c>
      <c r="P14" s="2" t="s">
        <v>150</v>
      </c>
      <c r="Q14" s="6">
        <v>44464</v>
      </c>
      <c r="R14" s="2">
        <v>1</v>
      </c>
      <c r="S14" s="2" t="s">
        <v>3619</v>
      </c>
      <c r="T14" s="2" t="s">
        <v>3501</v>
      </c>
    </row>
    <row r="15" spans="1:20" x14ac:dyDescent="0.3">
      <c r="A15" s="2">
        <v>14</v>
      </c>
      <c r="B15" s="2" t="s">
        <v>70</v>
      </c>
      <c r="C15" s="2" t="s">
        <v>589</v>
      </c>
      <c r="D15" s="2" t="s">
        <v>590</v>
      </c>
      <c r="E15" s="6">
        <v>44427</v>
      </c>
      <c r="F15" s="2" t="s">
        <v>3513</v>
      </c>
      <c r="G15" s="2">
        <v>2</v>
      </c>
      <c r="H15" s="2" t="s">
        <v>3501</v>
      </c>
      <c r="P15" s="2"/>
      <c r="Q15" s="6"/>
      <c r="R15" s="2"/>
      <c r="S15" s="2"/>
      <c r="T15" s="2"/>
    </row>
    <row r="16" spans="1:20" x14ac:dyDescent="0.3">
      <c r="A16" s="2">
        <v>15</v>
      </c>
      <c r="B16" s="2" t="s">
        <v>195</v>
      </c>
      <c r="C16" s="2" t="s">
        <v>689</v>
      </c>
      <c r="D16" s="2" t="s">
        <v>690</v>
      </c>
      <c r="E16" s="6">
        <v>44427</v>
      </c>
      <c r="F16" s="2" t="s">
        <v>3514</v>
      </c>
      <c r="G16" s="2">
        <v>4</v>
      </c>
      <c r="H16" s="2" t="s">
        <v>3499</v>
      </c>
      <c r="P16" s="2"/>
      <c r="Q16" s="6"/>
      <c r="R16" s="2"/>
      <c r="S16" s="2"/>
      <c r="T16" s="2"/>
    </row>
    <row r="17" spans="1:20" x14ac:dyDescent="0.3">
      <c r="A17" s="2">
        <v>16</v>
      </c>
      <c r="B17" s="2" t="s">
        <v>40</v>
      </c>
      <c r="C17" s="2" t="s">
        <v>734</v>
      </c>
      <c r="D17" s="2" t="s">
        <v>735</v>
      </c>
      <c r="E17" s="6">
        <v>44459</v>
      </c>
      <c r="F17" s="2" t="s">
        <v>3515</v>
      </c>
      <c r="G17" s="2">
        <v>3</v>
      </c>
      <c r="H17" s="2" t="s">
        <v>3501</v>
      </c>
      <c r="P17" s="2"/>
      <c r="Q17" s="6"/>
      <c r="R17" s="2"/>
      <c r="S17" s="2"/>
      <c r="T17" s="2"/>
    </row>
    <row r="18" spans="1:20" x14ac:dyDescent="0.3">
      <c r="A18" s="2">
        <v>17</v>
      </c>
      <c r="B18" s="2" t="s">
        <v>100</v>
      </c>
      <c r="C18" s="2" t="s">
        <v>299</v>
      </c>
      <c r="D18" s="2" t="s">
        <v>300</v>
      </c>
      <c r="E18" s="6">
        <v>44442</v>
      </c>
      <c r="F18" s="2" t="s">
        <v>3516</v>
      </c>
      <c r="G18" s="2">
        <v>1</v>
      </c>
      <c r="H18" s="2" t="s">
        <v>3499</v>
      </c>
      <c r="P18" s="2"/>
      <c r="Q18" s="6"/>
      <c r="R18" s="2"/>
      <c r="S18" s="2"/>
      <c r="T18" s="2"/>
    </row>
    <row r="19" spans="1:20" x14ac:dyDescent="0.3">
      <c r="A19" s="2">
        <v>18</v>
      </c>
      <c r="B19" s="2" t="s">
        <v>55</v>
      </c>
      <c r="C19" s="2" t="s">
        <v>344</v>
      </c>
      <c r="D19" s="2" t="s">
        <v>345</v>
      </c>
      <c r="E19" s="6">
        <v>44442</v>
      </c>
      <c r="F19" s="2" t="s">
        <v>3517</v>
      </c>
      <c r="G19" s="2">
        <v>5</v>
      </c>
      <c r="H19" s="2" t="s">
        <v>3501</v>
      </c>
      <c r="P19" s="2"/>
      <c r="Q19" s="6"/>
      <c r="R19" s="2"/>
      <c r="S19" s="2"/>
      <c r="T19" s="2"/>
    </row>
    <row r="20" spans="1:20" x14ac:dyDescent="0.3">
      <c r="A20" s="2">
        <v>19</v>
      </c>
      <c r="B20" s="2" t="s">
        <v>20</v>
      </c>
      <c r="C20" s="2" t="s">
        <v>439</v>
      </c>
      <c r="D20" s="2" t="s">
        <v>440</v>
      </c>
      <c r="E20" s="6">
        <v>44442</v>
      </c>
      <c r="F20" s="2" t="s">
        <v>3518</v>
      </c>
      <c r="G20" s="2">
        <v>4</v>
      </c>
      <c r="H20" s="2" t="s">
        <v>3499</v>
      </c>
      <c r="P20" s="2"/>
      <c r="Q20" s="6"/>
      <c r="R20" s="2"/>
      <c r="S20" s="2"/>
      <c r="T20" s="2"/>
    </row>
    <row r="21" spans="1:20" x14ac:dyDescent="0.3">
      <c r="A21" s="2">
        <v>20</v>
      </c>
      <c r="B21" s="2" t="s">
        <v>30</v>
      </c>
      <c r="C21" s="2" t="s">
        <v>449</v>
      </c>
      <c r="D21" s="2" t="s">
        <v>450</v>
      </c>
      <c r="E21" s="6">
        <v>44442</v>
      </c>
      <c r="F21" s="2" t="s">
        <v>3519</v>
      </c>
      <c r="G21" s="2">
        <v>1</v>
      </c>
      <c r="H21" s="2" t="s">
        <v>3501</v>
      </c>
      <c r="P21" s="2"/>
      <c r="Q21" s="6"/>
      <c r="R21" s="2"/>
      <c r="S21" s="2"/>
      <c r="T21" s="2"/>
    </row>
    <row r="22" spans="1:20" x14ac:dyDescent="0.3">
      <c r="A22" s="2">
        <v>21</v>
      </c>
      <c r="B22" s="2" t="s">
        <v>15</v>
      </c>
      <c r="C22" s="2" t="s">
        <v>239</v>
      </c>
      <c r="D22" s="2" t="s">
        <v>240</v>
      </c>
      <c r="E22" s="6">
        <v>44443</v>
      </c>
      <c r="F22" s="2" t="s">
        <v>3520</v>
      </c>
      <c r="G22" s="2">
        <v>1</v>
      </c>
      <c r="H22" s="2" t="s">
        <v>3499</v>
      </c>
      <c r="P22" s="2"/>
      <c r="Q22" s="6"/>
      <c r="R22" s="2"/>
      <c r="S22" s="2"/>
      <c r="T22" s="2"/>
    </row>
    <row r="23" spans="1:20" x14ac:dyDescent="0.3">
      <c r="A23" s="2">
        <v>22</v>
      </c>
      <c r="B23" s="2" t="s">
        <v>135</v>
      </c>
      <c r="C23" s="2" t="s">
        <v>709</v>
      </c>
      <c r="D23" s="2" t="s">
        <v>710</v>
      </c>
      <c r="E23" s="6">
        <v>44444</v>
      </c>
      <c r="F23" s="2" t="s">
        <v>3521</v>
      </c>
      <c r="G23" s="2">
        <v>5</v>
      </c>
      <c r="H23" s="2" t="s">
        <v>3501</v>
      </c>
      <c r="P23" s="2"/>
      <c r="Q23" s="6"/>
      <c r="R23" s="2"/>
      <c r="S23" s="2"/>
      <c r="T23" s="2"/>
    </row>
    <row r="24" spans="1:20" x14ac:dyDescent="0.3">
      <c r="A24" s="2">
        <v>23</v>
      </c>
      <c r="B24" s="2" t="s">
        <v>210</v>
      </c>
      <c r="C24" s="2" t="s">
        <v>244</v>
      </c>
      <c r="D24" s="2" t="s">
        <v>245</v>
      </c>
      <c r="E24" s="6">
        <v>44445</v>
      </c>
      <c r="F24" s="2" t="s">
        <v>3522</v>
      </c>
      <c r="G24" s="2">
        <v>3</v>
      </c>
      <c r="H24" s="2" t="s">
        <v>3499</v>
      </c>
      <c r="P24" s="2"/>
      <c r="Q24" s="6"/>
      <c r="R24" s="2"/>
      <c r="S24" s="2"/>
      <c r="T24" s="2"/>
    </row>
    <row r="25" spans="1:20" x14ac:dyDescent="0.3">
      <c r="A25" s="2">
        <v>24</v>
      </c>
      <c r="B25" s="2" t="s">
        <v>6</v>
      </c>
      <c r="C25" s="2" t="s">
        <v>804</v>
      </c>
      <c r="D25" s="2" t="s">
        <v>805</v>
      </c>
      <c r="E25" s="6">
        <v>44445</v>
      </c>
      <c r="F25" s="2" t="s">
        <v>3523</v>
      </c>
      <c r="G25" s="2">
        <v>4</v>
      </c>
      <c r="H25" s="2" t="s">
        <v>3501</v>
      </c>
      <c r="P25" s="2"/>
      <c r="Q25" s="6"/>
      <c r="R25" s="2"/>
      <c r="S25" s="2"/>
      <c r="T25" s="2"/>
    </row>
    <row r="26" spans="1:20" x14ac:dyDescent="0.3">
      <c r="A26" s="2">
        <v>25</v>
      </c>
      <c r="B26" s="2" t="s">
        <v>11</v>
      </c>
      <c r="C26" s="2" t="s">
        <v>574</v>
      </c>
      <c r="D26" s="2" t="s">
        <v>575</v>
      </c>
      <c r="E26" s="6">
        <v>44445</v>
      </c>
      <c r="F26" s="2" t="s">
        <v>3524</v>
      </c>
      <c r="G26" s="2">
        <v>5</v>
      </c>
      <c r="H26" s="2" t="s">
        <v>3499</v>
      </c>
      <c r="P26" s="2"/>
      <c r="Q26" s="6"/>
      <c r="R26" s="2"/>
      <c r="S26" s="2"/>
      <c r="T26" s="2"/>
    </row>
    <row r="27" spans="1:20" x14ac:dyDescent="0.3">
      <c r="A27" s="2">
        <v>26</v>
      </c>
      <c r="B27" s="2" t="s">
        <v>70</v>
      </c>
      <c r="C27" s="2" t="s">
        <v>519</v>
      </c>
      <c r="D27" s="2" t="s">
        <v>520</v>
      </c>
      <c r="E27" s="6">
        <v>44464</v>
      </c>
      <c r="F27" s="2" t="s">
        <v>3514</v>
      </c>
      <c r="G27" s="2">
        <v>3</v>
      </c>
      <c r="H27" s="2" t="s">
        <v>3501</v>
      </c>
      <c r="P27" s="2"/>
      <c r="Q27" s="6"/>
      <c r="R27" s="2"/>
      <c r="S27" s="2"/>
      <c r="T27" s="2"/>
    </row>
    <row r="28" spans="1:20" x14ac:dyDescent="0.3">
      <c r="A28" s="2">
        <v>27</v>
      </c>
      <c r="B28" s="2" t="s">
        <v>11</v>
      </c>
      <c r="C28" s="2" t="s">
        <v>439</v>
      </c>
      <c r="D28" s="2" t="s">
        <v>440</v>
      </c>
      <c r="E28" s="6">
        <v>44464</v>
      </c>
      <c r="F28" s="2" t="s">
        <v>3525</v>
      </c>
      <c r="G28" s="2">
        <v>5</v>
      </c>
      <c r="H28" s="2" t="s">
        <v>3499</v>
      </c>
      <c r="P28" s="2"/>
      <c r="Q28" s="6"/>
      <c r="R28" s="2"/>
      <c r="S28" s="2"/>
      <c r="T28" s="2"/>
    </row>
    <row r="29" spans="1:20" x14ac:dyDescent="0.3">
      <c r="A29" s="2">
        <v>28</v>
      </c>
      <c r="B29" s="2" t="s">
        <v>150</v>
      </c>
      <c r="C29" s="2" t="s">
        <v>274</v>
      </c>
      <c r="D29" s="2" t="s">
        <v>275</v>
      </c>
      <c r="E29" s="6">
        <v>44465</v>
      </c>
      <c r="F29" s="2" t="s">
        <v>3526</v>
      </c>
      <c r="G29" s="2">
        <v>1</v>
      </c>
      <c r="H29" s="2" t="s">
        <v>3501</v>
      </c>
      <c r="P29" s="2"/>
      <c r="Q29" s="6"/>
      <c r="R29" s="2"/>
      <c r="S29" s="2"/>
      <c r="T29" s="2"/>
    </row>
    <row r="30" spans="1:20" x14ac:dyDescent="0.3">
      <c r="A30" s="2">
        <v>29</v>
      </c>
      <c r="B30" s="2" t="s">
        <v>195</v>
      </c>
      <c r="C30" s="2" t="s">
        <v>469</v>
      </c>
      <c r="D30" s="2" t="s">
        <v>470</v>
      </c>
      <c r="E30" s="6">
        <v>44465</v>
      </c>
      <c r="F30" s="2" t="s">
        <v>3527</v>
      </c>
      <c r="G30" s="2">
        <v>4</v>
      </c>
      <c r="H30" s="2" t="s">
        <v>3501</v>
      </c>
      <c r="P30" s="2"/>
      <c r="Q30" s="6"/>
      <c r="R30" s="2"/>
      <c r="S30" s="2"/>
      <c r="T30" s="2"/>
    </row>
    <row r="31" spans="1:20" x14ac:dyDescent="0.3">
      <c r="A31" s="2">
        <v>30</v>
      </c>
      <c r="B31" s="2" t="s">
        <v>6</v>
      </c>
      <c r="C31" s="2" t="s">
        <v>779</v>
      </c>
      <c r="D31" s="2" t="s">
        <v>780</v>
      </c>
      <c r="E31" s="6">
        <v>44465</v>
      </c>
      <c r="F31" s="2" t="s">
        <v>3528</v>
      </c>
      <c r="G31" s="2">
        <v>4</v>
      </c>
      <c r="H31" s="2" t="s">
        <v>3501</v>
      </c>
      <c r="P31" s="2"/>
      <c r="Q31" s="6"/>
      <c r="R31" s="2"/>
      <c r="S31" s="2"/>
      <c r="T31" s="2"/>
    </row>
    <row r="32" spans="1:20" x14ac:dyDescent="0.3">
      <c r="A32" s="2">
        <v>31</v>
      </c>
      <c r="B32" s="2" t="s">
        <v>45</v>
      </c>
      <c r="C32" s="2" t="s">
        <v>634</v>
      </c>
      <c r="D32" s="2" t="s">
        <v>635</v>
      </c>
      <c r="E32" s="6">
        <v>44466</v>
      </c>
      <c r="F32" s="2" t="s">
        <v>3529</v>
      </c>
      <c r="G32" s="2">
        <v>5</v>
      </c>
      <c r="H32" s="2" t="s">
        <v>3501</v>
      </c>
      <c r="P32" s="2"/>
      <c r="Q32" s="6"/>
      <c r="R32" s="2"/>
      <c r="S32" s="2"/>
      <c r="T32" s="2"/>
    </row>
    <row r="33" spans="1:20" x14ac:dyDescent="0.3">
      <c r="A33" s="2">
        <v>32</v>
      </c>
      <c r="B33" s="2" t="s">
        <v>180</v>
      </c>
      <c r="C33" s="2" t="s">
        <v>459</v>
      </c>
      <c r="D33" s="2" t="s">
        <v>460</v>
      </c>
      <c r="E33" s="6">
        <v>44467</v>
      </c>
      <c r="F33" s="2" t="s">
        <v>3530</v>
      </c>
      <c r="G33" s="2">
        <v>5</v>
      </c>
      <c r="H33" s="2" t="s">
        <v>3501</v>
      </c>
      <c r="P33" s="2"/>
      <c r="Q33" s="6"/>
      <c r="R33" s="2"/>
      <c r="S33" s="2"/>
      <c r="T33" s="2"/>
    </row>
    <row r="34" spans="1:20" x14ac:dyDescent="0.3">
      <c r="A34" s="2">
        <v>33</v>
      </c>
      <c r="B34" s="2" t="s">
        <v>25</v>
      </c>
      <c r="C34" s="2" t="s">
        <v>544</v>
      </c>
      <c r="D34" s="2" t="s">
        <v>545</v>
      </c>
      <c r="E34" s="6">
        <v>44425</v>
      </c>
      <c r="F34" s="2" t="s">
        <v>3531</v>
      </c>
      <c r="G34" s="2">
        <v>2</v>
      </c>
      <c r="H34" s="2" t="s">
        <v>3499</v>
      </c>
      <c r="P34" s="2"/>
      <c r="Q34" s="6"/>
      <c r="R34" s="2"/>
      <c r="S34" s="2"/>
      <c r="T34" s="2"/>
    </row>
    <row r="35" spans="1:20" x14ac:dyDescent="0.3">
      <c r="A35" s="2">
        <v>34</v>
      </c>
      <c r="B35" s="2" t="s">
        <v>25</v>
      </c>
      <c r="C35" s="2" t="s">
        <v>824</v>
      </c>
      <c r="D35" s="2" t="s">
        <v>825</v>
      </c>
      <c r="E35" s="6">
        <v>44451</v>
      </c>
      <c r="F35" s="2" t="s">
        <v>3532</v>
      </c>
      <c r="G35" s="2">
        <v>2</v>
      </c>
      <c r="H35" s="2" t="s">
        <v>3499</v>
      </c>
      <c r="P35" s="2"/>
      <c r="Q35" s="6"/>
      <c r="R35" s="2"/>
      <c r="S35" s="2"/>
      <c r="T35" s="2"/>
    </row>
    <row r="36" spans="1:20" x14ac:dyDescent="0.3">
      <c r="A36" s="2">
        <v>35</v>
      </c>
      <c r="B36" s="2" t="s">
        <v>11</v>
      </c>
      <c r="C36" s="2" t="s">
        <v>539</v>
      </c>
      <c r="D36" s="2" t="s">
        <v>540</v>
      </c>
      <c r="E36" s="6">
        <v>44418</v>
      </c>
      <c r="F36" s="2" t="s">
        <v>3533</v>
      </c>
      <c r="G36" s="2">
        <v>3</v>
      </c>
      <c r="H36" s="2" t="s">
        <v>3499</v>
      </c>
      <c r="P36" s="2"/>
      <c r="Q36" s="6"/>
      <c r="R36" s="2"/>
      <c r="S36" s="2"/>
      <c r="T36" s="2"/>
    </row>
    <row r="37" spans="1:20" x14ac:dyDescent="0.3">
      <c r="A37" s="2">
        <v>36</v>
      </c>
      <c r="B37" s="2" t="s">
        <v>25</v>
      </c>
      <c r="C37" s="2" t="s">
        <v>239</v>
      </c>
      <c r="D37" s="2" t="s">
        <v>240</v>
      </c>
      <c r="E37" s="6">
        <v>44409</v>
      </c>
      <c r="F37" s="2" t="s">
        <v>3534</v>
      </c>
      <c r="G37" s="2">
        <v>2</v>
      </c>
      <c r="H37" s="2" t="s">
        <v>3501</v>
      </c>
      <c r="P37" s="2"/>
      <c r="Q37" s="6"/>
      <c r="R37" s="2"/>
      <c r="S37" s="2"/>
      <c r="T37" s="2"/>
    </row>
    <row r="38" spans="1:20" x14ac:dyDescent="0.3">
      <c r="A38" s="2">
        <v>37</v>
      </c>
      <c r="B38" s="2" t="s">
        <v>50</v>
      </c>
      <c r="C38" s="2" t="s">
        <v>404</v>
      </c>
      <c r="D38" s="2" t="s">
        <v>405</v>
      </c>
      <c r="E38" s="6">
        <v>44441</v>
      </c>
      <c r="F38" s="2" t="s">
        <v>3535</v>
      </c>
      <c r="G38" s="2">
        <v>5</v>
      </c>
      <c r="H38" s="2" t="s">
        <v>3501</v>
      </c>
      <c r="P38" s="2"/>
      <c r="Q38" s="6"/>
      <c r="R38" s="2"/>
      <c r="S38" s="2"/>
      <c r="T38" s="2"/>
    </row>
    <row r="39" spans="1:20" x14ac:dyDescent="0.3">
      <c r="A39" s="2">
        <v>38</v>
      </c>
      <c r="B39" s="2" t="s">
        <v>60</v>
      </c>
      <c r="C39" s="2" t="s">
        <v>309</v>
      </c>
      <c r="D39" s="2" t="s">
        <v>310</v>
      </c>
      <c r="E39" s="6">
        <v>44421</v>
      </c>
      <c r="F39" s="2" t="s">
        <v>3536</v>
      </c>
      <c r="G39" s="2">
        <v>1</v>
      </c>
      <c r="H39" s="2" t="s">
        <v>3499</v>
      </c>
      <c r="P39" s="2"/>
      <c r="Q39" s="6"/>
      <c r="R39" s="2"/>
      <c r="S39" s="2"/>
      <c r="T39" s="2"/>
    </row>
    <row r="40" spans="1:20" x14ac:dyDescent="0.3">
      <c r="A40" s="2">
        <v>39</v>
      </c>
      <c r="B40" s="2" t="s">
        <v>20</v>
      </c>
      <c r="C40" s="2" t="s">
        <v>334</v>
      </c>
      <c r="D40" s="2" t="s">
        <v>335</v>
      </c>
      <c r="E40" s="6">
        <v>44454</v>
      </c>
      <c r="F40" s="2" t="s">
        <v>3537</v>
      </c>
      <c r="G40" s="2">
        <v>2</v>
      </c>
      <c r="H40" s="2" t="s">
        <v>3499</v>
      </c>
      <c r="P40" s="2"/>
      <c r="Q40" s="6"/>
      <c r="R40" s="2"/>
      <c r="S40" s="2"/>
      <c r="T40" s="2"/>
    </row>
    <row r="41" spans="1:20" x14ac:dyDescent="0.3">
      <c r="A41" s="2">
        <v>40</v>
      </c>
      <c r="B41" s="2" t="s">
        <v>6</v>
      </c>
      <c r="C41" s="2" t="s">
        <v>364</v>
      </c>
      <c r="D41" s="2" t="s">
        <v>365</v>
      </c>
      <c r="E41" s="6">
        <v>44455</v>
      </c>
      <c r="F41" s="2" t="s">
        <v>3498</v>
      </c>
      <c r="G41" s="2">
        <v>4</v>
      </c>
      <c r="H41" s="2" t="s">
        <v>3499</v>
      </c>
      <c r="P41" s="2"/>
      <c r="Q41" s="6"/>
      <c r="R41" s="2"/>
      <c r="S41" s="2"/>
      <c r="T41" s="2"/>
    </row>
    <row r="42" spans="1:20" x14ac:dyDescent="0.3">
      <c r="A42" s="2">
        <v>41</v>
      </c>
      <c r="B42" s="2" t="s">
        <v>15</v>
      </c>
      <c r="C42" s="2" t="s">
        <v>879</v>
      </c>
      <c r="D42" s="2" t="s">
        <v>880</v>
      </c>
      <c r="E42" s="6">
        <v>44413</v>
      </c>
      <c r="F42" s="2" t="s">
        <v>3538</v>
      </c>
      <c r="G42" s="2">
        <v>3</v>
      </c>
      <c r="H42" s="2" t="s">
        <v>3501</v>
      </c>
      <c r="P42" s="2"/>
      <c r="Q42" s="6"/>
      <c r="R42" s="2"/>
      <c r="S42" s="2"/>
      <c r="T42" s="2"/>
    </row>
    <row r="43" spans="1:20" x14ac:dyDescent="0.3">
      <c r="A43" s="2">
        <v>42</v>
      </c>
      <c r="B43" s="2" t="s">
        <v>6</v>
      </c>
      <c r="C43" s="2" t="s">
        <v>904</v>
      </c>
      <c r="D43" s="2" t="s">
        <v>905</v>
      </c>
      <c r="E43" s="6">
        <v>44460</v>
      </c>
      <c r="F43" s="2" t="s">
        <v>3539</v>
      </c>
      <c r="G43" s="2">
        <v>5</v>
      </c>
      <c r="H43" s="2" t="s">
        <v>3499</v>
      </c>
      <c r="P43" s="2"/>
      <c r="Q43" s="6"/>
      <c r="R43" s="2"/>
      <c r="S43" s="2"/>
      <c r="T43" s="2"/>
    </row>
    <row r="44" spans="1:20" x14ac:dyDescent="0.3">
      <c r="A44" s="2">
        <v>43</v>
      </c>
      <c r="B44" s="2" t="s">
        <v>25</v>
      </c>
      <c r="C44" s="2" t="s">
        <v>239</v>
      </c>
      <c r="D44" s="2" t="s">
        <v>240</v>
      </c>
      <c r="E44" s="6">
        <v>44409</v>
      </c>
      <c r="F44" s="2" t="s">
        <v>3540</v>
      </c>
      <c r="G44" s="2">
        <v>1</v>
      </c>
      <c r="H44" s="2" t="s">
        <v>3499</v>
      </c>
      <c r="P44" s="2"/>
      <c r="Q44" s="6"/>
      <c r="R44" s="2"/>
      <c r="S44" s="2"/>
      <c r="T44" s="2"/>
    </row>
    <row r="45" spans="1:20" x14ac:dyDescent="0.3">
      <c r="A45" s="2">
        <v>44</v>
      </c>
      <c r="B45" s="2" t="s">
        <v>45</v>
      </c>
      <c r="C45" s="2" t="s">
        <v>499</v>
      </c>
      <c r="D45" s="2" t="s">
        <v>500</v>
      </c>
      <c r="E45" s="6">
        <v>44431</v>
      </c>
      <c r="F45" s="2" t="s">
        <v>3541</v>
      </c>
      <c r="G45" s="2">
        <v>5</v>
      </c>
      <c r="H45" s="2" t="s">
        <v>3501</v>
      </c>
      <c r="P45" s="2"/>
      <c r="Q45" s="6"/>
      <c r="R45" s="2"/>
      <c r="S45" s="2"/>
      <c r="T45" s="2"/>
    </row>
    <row r="46" spans="1:20" x14ac:dyDescent="0.3">
      <c r="A46" s="2">
        <v>45</v>
      </c>
      <c r="B46" s="2" t="s">
        <v>45</v>
      </c>
      <c r="C46" s="2" t="s">
        <v>409</v>
      </c>
      <c r="D46" s="2" t="s">
        <v>410</v>
      </c>
      <c r="E46" s="6">
        <v>44463</v>
      </c>
      <c r="F46" s="2" t="s">
        <v>3535</v>
      </c>
      <c r="G46" s="2">
        <v>5</v>
      </c>
      <c r="H46" s="2" t="s">
        <v>3501</v>
      </c>
      <c r="P46" s="2"/>
      <c r="Q46" s="6"/>
      <c r="R46" s="2"/>
      <c r="S46" s="2"/>
      <c r="T46" s="2"/>
    </row>
    <row r="47" spans="1:20" x14ac:dyDescent="0.3">
      <c r="A47" s="2">
        <v>46</v>
      </c>
      <c r="B47" s="2" t="s">
        <v>45</v>
      </c>
      <c r="C47" s="2" t="s">
        <v>659</v>
      </c>
      <c r="D47" s="2" t="s">
        <v>660</v>
      </c>
      <c r="E47" s="6">
        <v>44449</v>
      </c>
      <c r="F47" s="2" t="s">
        <v>3542</v>
      </c>
      <c r="G47" s="2">
        <v>1</v>
      </c>
      <c r="H47" s="2" t="s">
        <v>3499</v>
      </c>
      <c r="P47" s="2"/>
      <c r="Q47" s="6"/>
      <c r="R47" s="2"/>
      <c r="S47" s="2"/>
      <c r="T47" s="2"/>
    </row>
    <row r="48" spans="1:20" x14ac:dyDescent="0.3">
      <c r="A48" s="2">
        <v>47</v>
      </c>
      <c r="B48" s="2" t="s">
        <v>6</v>
      </c>
      <c r="C48" s="2" t="s">
        <v>439</v>
      </c>
      <c r="D48" s="2" t="s">
        <v>440</v>
      </c>
      <c r="E48" s="6">
        <v>44412</v>
      </c>
      <c r="F48" s="2" t="s">
        <v>3543</v>
      </c>
      <c r="G48" s="2">
        <v>2</v>
      </c>
      <c r="H48" s="2" t="s">
        <v>3501</v>
      </c>
      <c r="P48" s="2"/>
      <c r="Q48" s="6"/>
      <c r="R48" s="2"/>
      <c r="S48" s="2"/>
      <c r="T48" s="2"/>
    </row>
    <row r="49" spans="1:20" x14ac:dyDescent="0.3">
      <c r="A49" s="2">
        <v>48</v>
      </c>
      <c r="B49" s="2" t="s">
        <v>150</v>
      </c>
      <c r="C49" s="2" t="s">
        <v>274</v>
      </c>
      <c r="D49" s="2" t="s">
        <v>275</v>
      </c>
      <c r="E49" s="6">
        <v>44465</v>
      </c>
      <c r="F49" s="2" t="s">
        <v>3524</v>
      </c>
      <c r="G49" s="2">
        <v>5</v>
      </c>
      <c r="H49" s="2" t="s">
        <v>3501</v>
      </c>
      <c r="P49" s="2"/>
      <c r="Q49" s="6"/>
      <c r="R49" s="2"/>
      <c r="S49" s="2"/>
      <c r="T49" s="2"/>
    </row>
    <row r="50" spans="1:20" x14ac:dyDescent="0.3">
      <c r="A50" s="2">
        <v>49</v>
      </c>
      <c r="B50" s="2" t="s">
        <v>110</v>
      </c>
      <c r="C50" s="2" t="s">
        <v>469</v>
      </c>
      <c r="D50" s="2" t="s">
        <v>470</v>
      </c>
      <c r="E50" s="6">
        <v>44449</v>
      </c>
      <c r="F50" s="2" t="s">
        <v>3509</v>
      </c>
      <c r="G50" s="2">
        <v>4</v>
      </c>
      <c r="H50" s="2" t="s">
        <v>3499</v>
      </c>
      <c r="P50" s="2"/>
      <c r="Q50" s="6"/>
      <c r="R50" s="2"/>
      <c r="S50" s="2"/>
      <c r="T50" s="2"/>
    </row>
    <row r="51" spans="1:20" x14ac:dyDescent="0.3">
      <c r="A51" s="2">
        <v>50</v>
      </c>
      <c r="B51" s="2" t="s">
        <v>195</v>
      </c>
      <c r="C51" s="2" t="s">
        <v>779</v>
      </c>
      <c r="D51" s="2" t="s">
        <v>780</v>
      </c>
      <c r="E51" s="6">
        <v>44447</v>
      </c>
      <c r="F51" s="2" t="s">
        <v>3544</v>
      </c>
      <c r="G51" s="2">
        <v>1</v>
      </c>
      <c r="H51" s="2" t="s">
        <v>3501</v>
      </c>
      <c r="P51" s="2"/>
      <c r="Q51" s="6"/>
      <c r="R51" s="2"/>
      <c r="S51" s="2"/>
      <c r="T51" s="2"/>
    </row>
    <row r="52" spans="1:20" x14ac:dyDescent="0.3">
      <c r="A52" s="2">
        <v>51</v>
      </c>
      <c r="B52" s="2" t="s">
        <v>80</v>
      </c>
      <c r="C52" s="2" t="s">
        <v>414</v>
      </c>
      <c r="D52" s="2" t="s">
        <v>415</v>
      </c>
      <c r="E52" s="6">
        <v>44413</v>
      </c>
      <c r="F52" s="2" t="s">
        <v>3545</v>
      </c>
      <c r="G52" s="2">
        <v>4</v>
      </c>
      <c r="H52" s="2" t="s">
        <v>3501</v>
      </c>
      <c r="P52" s="2"/>
      <c r="Q52" s="6"/>
      <c r="R52" s="2"/>
      <c r="S52" s="2"/>
      <c r="T52" s="2"/>
    </row>
    <row r="53" spans="1:20" x14ac:dyDescent="0.3">
      <c r="A53" s="2">
        <v>52</v>
      </c>
      <c r="B53" s="2" t="s">
        <v>6</v>
      </c>
      <c r="C53" s="2" t="s">
        <v>364</v>
      </c>
      <c r="D53" s="2" t="s">
        <v>365</v>
      </c>
      <c r="E53" s="6">
        <v>44455</v>
      </c>
      <c r="F53" s="2" t="s">
        <v>3546</v>
      </c>
      <c r="G53" s="2">
        <v>5</v>
      </c>
      <c r="H53" s="2" t="s">
        <v>3499</v>
      </c>
      <c r="P53" s="2"/>
      <c r="Q53" s="6"/>
      <c r="R53" s="2"/>
      <c r="S53" s="2"/>
      <c r="T53" s="2"/>
    </row>
    <row r="54" spans="1:20" x14ac:dyDescent="0.3">
      <c r="A54" s="2">
        <v>53</v>
      </c>
      <c r="B54" s="2" t="s">
        <v>6</v>
      </c>
      <c r="C54" s="2" t="s">
        <v>364</v>
      </c>
      <c r="D54" s="2" t="s">
        <v>365</v>
      </c>
      <c r="E54" s="6">
        <v>44455</v>
      </c>
      <c r="F54" s="2" t="s">
        <v>3547</v>
      </c>
      <c r="G54" s="2">
        <v>1</v>
      </c>
      <c r="H54" s="2" t="s">
        <v>3501</v>
      </c>
      <c r="P54" s="2"/>
      <c r="Q54" s="6"/>
      <c r="R54" s="2"/>
      <c r="S54" s="2"/>
      <c r="T54" s="2"/>
    </row>
    <row r="55" spans="1:20" x14ac:dyDescent="0.3">
      <c r="A55" s="2">
        <v>54</v>
      </c>
      <c r="B55" s="2" t="s">
        <v>95</v>
      </c>
      <c r="C55" s="2" t="s">
        <v>294</v>
      </c>
      <c r="D55" s="2" t="s">
        <v>295</v>
      </c>
      <c r="E55" s="6">
        <v>44469</v>
      </c>
      <c r="F55" s="2" t="s">
        <v>3548</v>
      </c>
      <c r="G55" s="2">
        <v>5</v>
      </c>
      <c r="H55" s="2" t="s">
        <v>3501</v>
      </c>
      <c r="P55" s="2"/>
      <c r="Q55" s="6"/>
      <c r="R55" s="2"/>
      <c r="S55" s="2"/>
      <c r="T55" s="2"/>
    </row>
    <row r="56" spans="1:20" x14ac:dyDescent="0.3">
      <c r="A56" s="2">
        <v>55</v>
      </c>
      <c r="B56" s="2" t="s">
        <v>25</v>
      </c>
      <c r="C56" s="2" t="s">
        <v>579</v>
      </c>
      <c r="D56" s="2" t="s">
        <v>580</v>
      </c>
      <c r="E56" s="6">
        <v>44470</v>
      </c>
      <c r="F56" s="2" t="s">
        <v>3533</v>
      </c>
      <c r="G56" s="2">
        <v>3</v>
      </c>
      <c r="H56" s="2" t="s">
        <v>3501</v>
      </c>
      <c r="P56" s="2"/>
      <c r="Q56" s="6"/>
      <c r="R56" s="2"/>
      <c r="S56" s="2"/>
      <c r="T56" s="2"/>
    </row>
    <row r="57" spans="1:20" x14ac:dyDescent="0.3">
      <c r="A57" s="2">
        <v>56</v>
      </c>
      <c r="B57" s="2" t="s">
        <v>180</v>
      </c>
      <c r="C57" s="2" t="s">
        <v>889</v>
      </c>
      <c r="D57" s="2" t="s">
        <v>890</v>
      </c>
      <c r="E57" s="6">
        <v>44421</v>
      </c>
      <c r="F57" s="2" t="s">
        <v>3538</v>
      </c>
      <c r="G57" s="2">
        <v>3</v>
      </c>
      <c r="H57" s="2" t="s">
        <v>3499</v>
      </c>
      <c r="P57" s="2"/>
      <c r="Q57" s="6"/>
      <c r="R57" s="2"/>
      <c r="S57" s="2"/>
      <c r="T57" s="2"/>
    </row>
    <row r="58" spans="1:20" x14ac:dyDescent="0.3">
      <c r="A58" s="2">
        <v>57</v>
      </c>
      <c r="B58" s="2" t="s">
        <v>15</v>
      </c>
      <c r="C58" s="2" t="s">
        <v>444</v>
      </c>
      <c r="D58" s="2" t="s">
        <v>445</v>
      </c>
      <c r="E58" s="6">
        <v>44471</v>
      </c>
      <c r="F58" s="2" t="s">
        <v>3528</v>
      </c>
      <c r="G58" s="2">
        <v>4</v>
      </c>
      <c r="H58" s="2" t="s">
        <v>3499</v>
      </c>
      <c r="P58" s="2"/>
      <c r="Q58" s="6"/>
      <c r="R58" s="2"/>
      <c r="S58" s="2"/>
      <c r="T58" s="2"/>
    </row>
    <row r="59" spans="1:20" x14ac:dyDescent="0.3">
      <c r="A59" s="2">
        <v>58</v>
      </c>
      <c r="B59" s="2" t="s">
        <v>185</v>
      </c>
      <c r="C59" s="2" t="s">
        <v>864</v>
      </c>
      <c r="D59" s="2" t="s">
        <v>865</v>
      </c>
      <c r="E59" s="6">
        <v>44472</v>
      </c>
      <c r="F59" s="2" t="s">
        <v>3549</v>
      </c>
      <c r="G59" s="2">
        <v>3</v>
      </c>
      <c r="H59" s="2" t="s">
        <v>3499</v>
      </c>
      <c r="P59" s="2"/>
      <c r="Q59" s="6"/>
      <c r="R59" s="2"/>
      <c r="S59" s="2"/>
      <c r="T59" s="2"/>
    </row>
    <row r="60" spans="1:20" x14ac:dyDescent="0.3">
      <c r="A60" s="2">
        <v>59</v>
      </c>
      <c r="B60" s="2" t="s">
        <v>110</v>
      </c>
      <c r="C60" s="2" t="s">
        <v>754</v>
      </c>
      <c r="D60" s="2" t="s">
        <v>755</v>
      </c>
      <c r="E60" s="6">
        <v>44473</v>
      </c>
      <c r="F60" s="2" t="s">
        <v>3550</v>
      </c>
      <c r="G60" s="2">
        <v>3</v>
      </c>
      <c r="H60" s="2" t="s">
        <v>3501</v>
      </c>
      <c r="P60" s="2"/>
      <c r="Q60" s="6"/>
      <c r="R60" s="2"/>
      <c r="S60" s="2"/>
      <c r="T60" s="2"/>
    </row>
    <row r="61" spans="1:20" x14ac:dyDescent="0.3">
      <c r="A61" s="2">
        <v>60</v>
      </c>
      <c r="B61" s="2" t="s">
        <v>175</v>
      </c>
      <c r="C61" s="2" t="s">
        <v>619</v>
      </c>
      <c r="D61" s="2" t="s">
        <v>620</v>
      </c>
      <c r="E61" s="6">
        <v>44422</v>
      </c>
      <c r="F61" s="2" t="s">
        <v>3551</v>
      </c>
      <c r="G61" s="2">
        <v>5</v>
      </c>
      <c r="H61" s="2" t="s">
        <v>3499</v>
      </c>
      <c r="P61" s="2"/>
      <c r="Q61" s="6"/>
      <c r="R61" s="2"/>
      <c r="S61" s="2"/>
      <c r="T61" s="2"/>
    </row>
    <row r="62" spans="1:20" x14ac:dyDescent="0.3">
      <c r="A62" s="2">
        <v>61</v>
      </c>
      <c r="B62" s="2" t="s">
        <v>75</v>
      </c>
      <c r="C62" s="2" t="s">
        <v>574</v>
      </c>
      <c r="D62" s="2" t="s">
        <v>575</v>
      </c>
      <c r="E62" s="6">
        <v>44424</v>
      </c>
      <c r="F62" s="2" t="s">
        <v>3552</v>
      </c>
      <c r="G62" s="2">
        <v>5</v>
      </c>
      <c r="H62" s="2" t="s">
        <v>3499</v>
      </c>
      <c r="P62" s="2"/>
      <c r="Q62" s="6"/>
      <c r="R62" s="2"/>
      <c r="S62" s="2"/>
      <c r="T62" s="2"/>
    </row>
    <row r="63" spans="1:20" x14ac:dyDescent="0.3">
      <c r="A63" s="2">
        <v>62</v>
      </c>
      <c r="B63" s="2" t="s">
        <v>15</v>
      </c>
      <c r="C63" s="2" t="s">
        <v>734</v>
      </c>
      <c r="D63" s="2" t="s">
        <v>735</v>
      </c>
      <c r="E63" s="6">
        <v>44425</v>
      </c>
      <c r="F63" s="2" t="s">
        <v>3553</v>
      </c>
      <c r="G63" s="2">
        <v>3</v>
      </c>
      <c r="H63" s="2" t="s">
        <v>3501</v>
      </c>
      <c r="P63" s="2"/>
      <c r="Q63" s="6"/>
      <c r="R63" s="2"/>
      <c r="S63" s="2"/>
      <c r="T63" s="2"/>
    </row>
    <row r="64" spans="1:20" x14ac:dyDescent="0.3">
      <c r="A64" s="2">
        <v>63</v>
      </c>
      <c r="B64" s="2" t="s">
        <v>165</v>
      </c>
      <c r="C64" s="2" t="s">
        <v>594</v>
      </c>
      <c r="D64" s="2" t="s">
        <v>595</v>
      </c>
      <c r="E64" s="6">
        <v>44428</v>
      </c>
      <c r="F64" s="2" t="s">
        <v>3554</v>
      </c>
      <c r="G64" s="2">
        <v>5</v>
      </c>
      <c r="H64" s="2" t="s">
        <v>3501</v>
      </c>
      <c r="P64" s="2"/>
      <c r="Q64" s="6"/>
      <c r="R64" s="2"/>
      <c r="S64" s="2"/>
      <c r="T64" s="2"/>
    </row>
    <row r="65" spans="1:20" x14ac:dyDescent="0.3">
      <c r="A65" s="2">
        <v>64</v>
      </c>
      <c r="B65" s="2" t="s">
        <v>145</v>
      </c>
      <c r="C65" s="2" t="s">
        <v>554</v>
      </c>
      <c r="D65" s="2" t="s">
        <v>555</v>
      </c>
      <c r="E65" s="6">
        <v>44430</v>
      </c>
      <c r="F65" s="2" t="s">
        <v>3555</v>
      </c>
      <c r="G65" s="2">
        <v>1</v>
      </c>
      <c r="H65" s="2" t="s">
        <v>3501</v>
      </c>
      <c r="P65" s="2"/>
      <c r="Q65" s="6"/>
      <c r="R65" s="2"/>
      <c r="S65" s="2"/>
      <c r="T65" s="2"/>
    </row>
    <row r="66" spans="1:20" x14ac:dyDescent="0.3">
      <c r="A66" s="2">
        <v>65</v>
      </c>
      <c r="B66" s="2" t="s">
        <v>230</v>
      </c>
      <c r="C66" s="2" t="s">
        <v>534</v>
      </c>
      <c r="D66" s="2" t="s">
        <v>535</v>
      </c>
      <c r="E66" s="6">
        <v>44432</v>
      </c>
      <c r="F66" s="2" t="s">
        <v>3556</v>
      </c>
      <c r="G66" s="2">
        <v>5</v>
      </c>
      <c r="H66" s="2" t="s">
        <v>3499</v>
      </c>
      <c r="P66" s="2"/>
      <c r="Q66" s="6"/>
      <c r="R66" s="2"/>
      <c r="S66" s="2"/>
      <c r="T66" s="2"/>
    </row>
    <row r="67" spans="1:20" x14ac:dyDescent="0.3">
      <c r="A67" s="2">
        <v>66</v>
      </c>
      <c r="B67" s="2" t="s">
        <v>150</v>
      </c>
      <c r="C67" s="2" t="s">
        <v>459</v>
      </c>
      <c r="D67" s="2" t="s">
        <v>460</v>
      </c>
      <c r="E67" s="6">
        <v>44432</v>
      </c>
      <c r="F67" s="2" t="s">
        <v>3557</v>
      </c>
      <c r="G67" s="2">
        <v>5</v>
      </c>
      <c r="H67" s="2" t="s">
        <v>3499</v>
      </c>
      <c r="P67" s="2"/>
      <c r="Q67" s="6"/>
      <c r="R67" s="2"/>
      <c r="S67" s="2"/>
      <c r="T67" s="2"/>
    </row>
    <row r="68" spans="1:20" x14ac:dyDescent="0.3">
      <c r="A68" s="2">
        <v>67</v>
      </c>
      <c r="B68" s="2" t="s">
        <v>6</v>
      </c>
      <c r="C68" s="2" t="s">
        <v>649</v>
      </c>
      <c r="D68" s="2" t="s">
        <v>650</v>
      </c>
      <c r="E68" s="6">
        <v>44433</v>
      </c>
      <c r="F68" s="2" t="s">
        <v>3558</v>
      </c>
      <c r="G68" s="2">
        <v>1</v>
      </c>
      <c r="H68" s="2" t="s">
        <v>3499</v>
      </c>
      <c r="P68" s="2"/>
      <c r="Q68" s="6"/>
      <c r="R68" s="2"/>
      <c r="S68" s="2"/>
      <c r="T68" s="2"/>
    </row>
    <row r="69" spans="1:20" x14ac:dyDescent="0.3">
      <c r="A69" s="2">
        <v>68</v>
      </c>
      <c r="B69" s="2" t="s">
        <v>225</v>
      </c>
      <c r="C69" s="2" t="s">
        <v>669</v>
      </c>
      <c r="D69" s="2" t="s">
        <v>670</v>
      </c>
      <c r="E69" s="6">
        <v>44433</v>
      </c>
      <c r="F69" s="2" t="s">
        <v>3524</v>
      </c>
      <c r="G69" s="2">
        <v>5</v>
      </c>
      <c r="H69" s="2" t="s">
        <v>3501</v>
      </c>
      <c r="P69" s="2"/>
      <c r="Q69" s="6"/>
      <c r="R69" s="2"/>
      <c r="S69" s="2"/>
      <c r="T69" s="2"/>
    </row>
    <row r="70" spans="1:20" x14ac:dyDescent="0.3">
      <c r="A70" s="2">
        <v>69</v>
      </c>
      <c r="B70" s="2" t="s">
        <v>180</v>
      </c>
      <c r="C70" s="2" t="s">
        <v>454</v>
      </c>
      <c r="D70" s="2" t="s">
        <v>455</v>
      </c>
      <c r="E70" s="6">
        <v>44436</v>
      </c>
      <c r="F70" s="2" t="s">
        <v>3559</v>
      </c>
      <c r="G70" s="2">
        <v>1</v>
      </c>
      <c r="H70" s="2" t="s">
        <v>3501</v>
      </c>
      <c r="P70" s="2"/>
      <c r="Q70" s="6"/>
      <c r="R70" s="2"/>
      <c r="S70" s="2"/>
      <c r="T70" s="2"/>
    </row>
    <row r="71" spans="1:20" x14ac:dyDescent="0.3">
      <c r="A71" s="2">
        <v>70</v>
      </c>
      <c r="B71" s="2" t="s">
        <v>145</v>
      </c>
      <c r="C71" s="2" t="s">
        <v>569</v>
      </c>
      <c r="D71" s="2" t="s">
        <v>570</v>
      </c>
      <c r="E71" s="6">
        <v>44438</v>
      </c>
      <c r="F71" s="2" t="s">
        <v>3560</v>
      </c>
      <c r="G71" s="2">
        <v>2</v>
      </c>
      <c r="H71" s="2" t="s">
        <v>3501</v>
      </c>
      <c r="P71" s="2"/>
      <c r="Q71" s="6"/>
      <c r="R71" s="2"/>
      <c r="S71" s="2"/>
      <c r="T71" s="2"/>
    </row>
    <row r="72" spans="1:20" x14ac:dyDescent="0.3">
      <c r="A72" s="2">
        <v>71</v>
      </c>
      <c r="B72" s="2" t="s">
        <v>145</v>
      </c>
      <c r="C72" s="2" t="s">
        <v>654</v>
      </c>
      <c r="D72" s="2" t="s">
        <v>655</v>
      </c>
      <c r="E72" s="6">
        <v>44439</v>
      </c>
      <c r="F72" s="2" t="s">
        <v>3561</v>
      </c>
      <c r="G72" s="2">
        <v>2</v>
      </c>
      <c r="H72" s="2" t="s">
        <v>3501</v>
      </c>
      <c r="P72" s="2"/>
      <c r="Q72" s="6"/>
      <c r="R72" s="2"/>
      <c r="S72" s="2"/>
      <c r="T72" s="2"/>
    </row>
    <row r="73" spans="1:20" x14ac:dyDescent="0.3">
      <c r="A73" s="2">
        <v>72</v>
      </c>
      <c r="B73" s="2" t="s">
        <v>215</v>
      </c>
      <c r="C73" s="2" t="s">
        <v>599</v>
      </c>
      <c r="D73" s="2" t="s">
        <v>600</v>
      </c>
      <c r="E73" s="6">
        <v>44441</v>
      </c>
      <c r="F73" s="2" t="s">
        <v>3562</v>
      </c>
      <c r="G73" s="2">
        <v>5</v>
      </c>
      <c r="H73" s="2" t="s">
        <v>3499</v>
      </c>
      <c r="P73" s="2"/>
      <c r="Q73" s="6"/>
      <c r="R73" s="2"/>
      <c r="S73" s="2"/>
      <c r="T73" s="2"/>
    </row>
    <row r="74" spans="1:20" x14ac:dyDescent="0.3">
      <c r="A74" s="2">
        <v>73</v>
      </c>
      <c r="B74" s="2" t="s">
        <v>100</v>
      </c>
      <c r="C74" s="2" t="s">
        <v>609</v>
      </c>
      <c r="D74" s="2" t="s">
        <v>610</v>
      </c>
      <c r="E74" s="6">
        <v>44441</v>
      </c>
      <c r="F74" s="2" t="s">
        <v>3563</v>
      </c>
      <c r="G74" s="2">
        <v>3</v>
      </c>
      <c r="H74" s="2" t="s">
        <v>3501</v>
      </c>
      <c r="P74" s="2"/>
      <c r="Q74" s="6"/>
      <c r="R74" s="2"/>
      <c r="S74" s="2"/>
      <c r="T74" s="2"/>
    </row>
    <row r="75" spans="1:20" x14ac:dyDescent="0.3">
      <c r="A75" s="2">
        <v>74</v>
      </c>
      <c r="B75" s="2" t="s">
        <v>115</v>
      </c>
      <c r="C75" s="2" t="s">
        <v>429</v>
      </c>
      <c r="D75" s="2" t="s">
        <v>430</v>
      </c>
      <c r="E75" s="6">
        <v>44441</v>
      </c>
      <c r="F75" s="2" t="s">
        <v>3539</v>
      </c>
      <c r="G75" s="2">
        <v>5</v>
      </c>
      <c r="H75" s="2" t="s">
        <v>3499</v>
      </c>
      <c r="P75" s="2"/>
      <c r="Q75" s="6"/>
      <c r="R75" s="2"/>
      <c r="S75" s="2"/>
      <c r="T75" s="2"/>
    </row>
    <row r="76" spans="1:20" x14ac:dyDescent="0.3">
      <c r="A76" s="2">
        <v>75</v>
      </c>
      <c r="B76" s="2" t="s">
        <v>110</v>
      </c>
      <c r="C76" s="2" t="s">
        <v>469</v>
      </c>
      <c r="D76" s="2" t="s">
        <v>470</v>
      </c>
      <c r="E76" s="6">
        <v>44449</v>
      </c>
      <c r="F76" s="2" t="s">
        <v>3531</v>
      </c>
      <c r="G76" s="2">
        <v>2</v>
      </c>
      <c r="H76" s="2" t="s">
        <v>3501</v>
      </c>
      <c r="P76" s="2"/>
      <c r="Q76" s="6"/>
      <c r="R76" s="2"/>
      <c r="S76" s="2"/>
      <c r="T76" s="2"/>
    </row>
    <row r="77" spans="1:20" x14ac:dyDescent="0.3">
      <c r="A77" s="2">
        <v>76</v>
      </c>
      <c r="B77" s="2" t="s">
        <v>225</v>
      </c>
      <c r="C77" s="2" t="s">
        <v>479</v>
      </c>
      <c r="D77" s="2" t="s">
        <v>480</v>
      </c>
      <c r="E77" s="6">
        <v>44460</v>
      </c>
      <c r="F77" s="2" t="s">
        <v>3564</v>
      </c>
      <c r="G77" s="2">
        <v>1</v>
      </c>
      <c r="H77" s="2" t="s">
        <v>3501</v>
      </c>
      <c r="P77" s="2"/>
      <c r="Q77" s="6"/>
      <c r="R77" s="2"/>
      <c r="S77" s="2"/>
      <c r="T77" s="2"/>
    </row>
    <row r="78" spans="1:20" x14ac:dyDescent="0.3">
      <c r="A78" s="2">
        <v>77</v>
      </c>
      <c r="B78" s="2" t="s">
        <v>6</v>
      </c>
      <c r="C78" s="2" t="s">
        <v>439</v>
      </c>
      <c r="D78" s="2" t="s">
        <v>440</v>
      </c>
      <c r="E78" s="6">
        <v>44412</v>
      </c>
      <c r="F78" s="2" t="s">
        <v>3565</v>
      </c>
      <c r="G78" s="2">
        <v>3</v>
      </c>
      <c r="H78" s="2" t="s">
        <v>3499</v>
      </c>
      <c r="P78" s="2"/>
      <c r="Q78" s="6"/>
      <c r="R78" s="2"/>
      <c r="S78" s="2"/>
      <c r="T78" s="2"/>
    </row>
    <row r="79" spans="1:20" x14ac:dyDescent="0.3">
      <c r="A79" s="2">
        <v>78</v>
      </c>
      <c r="B79" s="2" t="s">
        <v>175</v>
      </c>
      <c r="C79" s="2" t="s">
        <v>404</v>
      </c>
      <c r="D79" s="2" t="s">
        <v>405</v>
      </c>
      <c r="E79" s="6">
        <v>44441</v>
      </c>
      <c r="F79" s="2" t="s">
        <v>3566</v>
      </c>
      <c r="G79" s="2">
        <v>3</v>
      </c>
      <c r="H79" s="2" t="s">
        <v>3501</v>
      </c>
      <c r="P79" s="2"/>
      <c r="Q79" s="6"/>
      <c r="R79" s="2"/>
      <c r="S79" s="2"/>
      <c r="T79" s="2"/>
    </row>
    <row r="80" spans="1:20" x14ac:dyDescent="0.3">
      <c r="A80" s="2">
        <v>79</v>
      </c>
      <c r="B80" s="2" t="s">
        <v>35</v>
      </c>
      <c r="C80" s="2" t="s">
        <v>614</v>
      </c>
      <c r="D80" s="2" t="s">
        <v>615</v>
      </c>
      <c r="E80" s="6">
        <v>44463</v>
      </c>
      <c r="F80" s="2" t="s">
        <v>3567</v>
      </c>
      <c r="G80" s="2">
        <v>1</v>
      </c>
      <c r="H80" s="2" t="s">
        <v>3499</v>
      </c>
      <c r="P80" s="2"/>
      <c r="Q80" s="6"/>
      <c r="R80" s="2"/>
      <c r="S80" s="2"/>
      <c r="T80" s="2"/>
    </row>
    <row r="81" spans="1:20" x14ac:dyDescent="0.3">
      <c r="A81" s="2">
        <v>80</v>
      </c>
      <c r="B81" s="2" t="s">
        <v>195</v>
      </c>
      <c r="C81" s="2" t="s">
        <v>709</v>
      </c>
      <c r="D81" s="2" t="s">
        <v>710</v>
      </c>
      <c r="E81" s="6">
        <v>44421</v>
      </c>
      <c r="F81" s="2" t="s">
        <v>3523</v>
      </c>
      <c r="G81" s="2">
        <v>4</v>
      </c>
      <c r="H81" s="2" t="s">
        <v>3501</v>
      </c>
      <c r="P81" s="2"/>
      <c r="Q81" s="6"/>
      <c r="R81" s="2"/>
      <c r="S81" s="2"/>
      <c r="T81" s="2"/>
    </row>
    <row r="82" spans="1:20" x14ac:dyDescent="0.3">
      <c r="A82" s="2">
        <v>81</v>
      </c>
      <c r="B82" s="2" t="s">
        <v>120</v>
      </c>
      <c r="C82" s="2" t="s">
        <v>519</v>
      </c>
      <c r="D82" s="2" t="s">
        <v>520</v>
      </c>
      <c r="E82" s="6">
        <v>44464</v>
      </c>
      <c r="F82" s="2" t="s">
        <v>3517</v>
      </c>
      <c r="G82" s="2">
        <v>5</v>
      </c>
      <c r="H82" s="2" t="s">
        <v>3501</v>
      </c>
      <c r="P82" s="2"/>
      <c r="Q82" s="6"/>
      <c r="R82" s="2"/>
      <c r="S82" s="2"/>
      <c r="T82" s="2"/>
    </row>
    <row r="83" spans="1:20" x14ac:dyDescent="0.3">
      <c r="A83" s="2">
        <v>82</v>
      </c>
      <c r="B83" s="2" t="s">
        <v>215</v>
      </c>
      <c r="C83" s="2" t="s">
        <v>674</v>
      </c>
      <c r="D83" s="2" t="s">
        <v>675</v>
      </c>
      <c r="E83" s="6">
        <v>44469</v>
      </c>
      <c r="F83" s="2" t="s">
        <v>3509</v>
      </c>
      <c r="G83" s="2">
        <v>4</v>
      </c>
      <c r="H83" s="2" t="s">
        <v>3499</v>
      </c>
      <c r="P83" s="2"/>
      <c r="Q83" s="6"/>
      <c r="R83" s="2"/>
      <c r="S83" s="2"/>
      <c r="T83" s="2"/>
    </row>
    <row r="84" spans="1:20" x14ac:dyDescent="0.3">
      <c r="A84" s="2">
        <v>83</v>
      </c>
      <c r="B84" s="2" t="s">
        <v>225</v>
      </c>
      <c r="C84" s="2" t="s">
        <v>624</v>
      </c>
      <c r="D84" s="2" t="s">
        <v>625</v>
      </c>
      <c r="E84" s="6">
        <v>44470</v>
      </c>
      <c r="F84" s="2" t="s">
        <v>3568</v>
      </c>
      <c r="G84" s="2">
        <v>4</v>
      </c>
      <c r="H84" s="2" t="s">
        <v>3499</v>
      </c>
      <c r="P84" s="2"/>
      <c r="Q84" s="6"/>
      <c r="R84" s="2"/>
      <c r="S84" s="2"/>
      <c r="T84" s="2"/>
    </row>
    <row r="85" spans="1:20" x14ac:dyDescent="0.3">
      <c r="A85" s="2">
        <v>84</v>
      </c>
      <c r="B85" s="2" t="s">
        <v>205</v>
      </c>
      <c r="C85" s="2" t="s">
        <v>599</v>
      </c>
      <c r="D85" s="2" t="s">
        <v>600</v>
      </c>
      <c r="E85" s="6">
        <v>44441</v>
      </c>
      <c r="F85" s="2" t="s">
        <v>3546</v>
      </c>
      <c r="G85" s="2">
        <v>5</v>
      </c>
      <c r="H85" s="2" t="s">
        <v>3499</v>
      </c>
      <c r="P85" s="2"/>
      <c r="Q85" s="6"/>
      <c r="R85" s="2"/>
      <c r="S85" s="2"/>
      <c r="T85" s="2"/>
    </row>
    <row r="86" spans="1:20" x14ac:dyDescent="0.3">
      <c r="A86" s="2">
        <v>85</v>
      </c>
      <c r="B86" s="2" t="s">
        <v>175</v>
      </c>
      <c r="C86" s="2" t="s">
        <v>679</v>
      </c>
      <c r="D86" s="2" t="s">
        <v>680</v>
      </c>
      <c r="E86" s="6">
        <v>44472</v>
      </c>
      <c r="F86" s="2" t="s">
        <v>3569</v>
      </c>
      <c r="G86" s="2">
        <v>3</v>
      </c>
      <c r="H86" s="2" t="s">
        <v>3499</v>
      </c>
      <c r="P86" s="2"/>
      <c r="Q86" s="6"/>
      <c r="R86" s="2"/>
      <c r="S86" s="2"/>
      <c r="T86" s="2"/>
    </row>
    <row r="87" spans="1:20" x14ac:dyDescent="0.3">
      <c r="A87" s="2">
        <v>86</v>
      </c>
      <c r="B87" s="2" t="s">
        <v>80</v>
      </c>
      <c r="C87" s="2" t="s">
        <v>559</v>
      </c>
      <c r="D87" s="2" t="s">
        <v>560</v>
      </c>
      <c r="E87" s="6">
        <v>44420</v>
      </c>
      <c r="F87" s="2" t="s">
        <v>3570</v>
      </c>
      <c r="G87" s="2">
        <v>5</v>
      </c>
      <c r="H87" s="2" t="s">
        <v>3501</v>
      </c>
      <c r="P87" s="2"/>
      <c r="Q87" s="6"/>
      <c r="R87" s="2"/>
      <c r="S87" s="2"/>
      <c r="T87" s="2"/>
    </row>
    <row r="88" spans="1:20" x14ac:dyDescent="0.3">
      <c r="A88" s="2">
        <v>87</v>
      </c>
      <c r="B88" s="2" t="s">
        <v>225</v>
      </c>
      <c r="C88" s="2" t="s">
        <v>689</v>
      </c>
      <c r="D88" s="2" t="s">
        <v>690</v>
      </c>
      <c r="E88" s="6">
        <v>44413</v>
      </c>
      <c r="F88" s="2" t="s">
        <v>3545</v>
      </c>
      <c r="G88" s="2">
        <v>4</v>
      </c>
      <c r="H88" s="2" t="s">
        <v>3499</v>
      </c>
      <c r="P88" s="2"/>
      <c r="Q88" s="6"/>
      <c r="R88" s="2"/>
      <c r="S88" s="2"/>
      <c r="T88" s="2"/>
    </row>
    <row r="89" spans="1:20" x14ac:dyDescent="0.3">
      <c r="A89" s="2">
        <v>88</v>
      </c>
      <c r="B89" s="2" t="s">
        <v>25</v>
      </c>
      <c r="C89" s="2" t="s">
        <v>249</v>
      </c>
      <c r="D89" s="2" t="s">
        <v>250</v>
      </c>
      <c r="E89" s="6">
        <v>44489</v>
      </c>
      <c r="F89" s="2" t="s">
        <v>3571</v>
      </c>
      <c r="G89" s="2">
        <v>5</v>
      </c>
      <c r="H89" s="2" t="s">
        <v>3501</v>
      </c>
      <c r="P89" s="2"/>
      <c r="Q89" s="6"/>
      <c r="R89" s="2"/>
      <c r="S89" s="2"/>
      <c r="T89" s="2"/>
    </row>
    <row r="90" spans="1:20" x14ac:dyDescent="0.3">
      <c r="A90" s="2">
        <v>89</v>
      </c>
      <c r="B90" s="2" t="s">
        <v>30</v>
      </c>
      <c r="C90" s="2" t="s">
        <v>249</v>
      </c>
      <c r="D90" s="2" t="s">
        <v>255</v>
      </c>
      <c r="E90" s="6">
        <v>44470</v>
      </c>
      <c r="F90" s="2" t="s">
        <v>3572</v>
      </c>
      <c r="G90" s="2">
        <v>2</v>
      </c>
      <c r="H90" s="2" t="s">
        <v>3501</v>
      </c>
      <c r="P90" s="2"/>
      <c r="Q90" s="6"/>
      <c r="R90" s="2"/>
      <c r="S90" s="2"/>
      <c r="T90" s="2"/>
    </row>
    <row r="91" spans="1:20" x14ac:dyDescent="0.3">
      <c r="A91" s="2">
        <v>90</v>
      </c>
      <c r="B91" s="2" t="s">
        <v>35</v>
      </c>
      <c r="C91" s="2" t="s">
        <v>249</v>
      </c>
      <c r="D91" s="2" t="s">
        <v>255</v>
      </c>
      <c r="E91" s="6">
        <v>44497</v>
      </c>
      <c r="F91" s="2" t="s">
        <v>3573</v>
      </c>
      <c r="G91" s="2">
        <v>4</v>
      </c>
      <c r="H91" s="2" t="s">
        <v>3501</v>
      </c>
      <c r="P91" s="2"/>
      <c r="Q91" s="6"/>
      <c r="R91" s="2"/>
      <c r="S91" s="2"/>
      <c r="T91" s="2"/>
    </row>
    <row r="92" spans="1:20" x14ac:dyDescent="0.3">
      <c r="A92" s="2">
        <v>91</v>
      </c>
      <c r="B92" s="2" t="s">
        <v>40</v>
      </c>
      <c r="C92" s="2" t="s">
        <v>249</v>
      </c>
      <c r="D92" s="2" t="s">
        <v>250</v>
      </c>
      <c r="E92" s="6">
        <v>44470</v>
      </c>
      <c r="F92" s="2" t="s">
        <v>3574</v>
      </c>
      <c r="G92" s="2">
        <v>4</v>
      </c>
      <c r="H92" s="2" t="s">
        <v>3499</v>
      </c>
      <c r="P92" s="2"/>
      <c r="Q92" s="6"/>
      <c r="R92" s="2"/>
      <c r="S92" s="2"/>
      <c r="T92" s="2"/>
    </row>
    <row r="93" spans="1:20" x14ac:dyDescent="0.3">
      <c r="A93" s="2">
        <v>92</v>
      </c>
      <c r="B93" s="2" t="s">
        <v>45</v>
      </c>
      <c r="C93" s="2" t="s">
        <v>249</v>
      </c>
      <c r="D93" s="2" t="s">
        <v>250</v>
      </c>
      <c r="E93" s="6">
        <v>44494</v>
      </c>
      <c r="F93" s="2" t="s">
        <v>3575</v>
      </c>
      <c r="G93" s="2">
        <v>4</v>
      </c>
      <c r="H93" s="2" t="s">
        <v>3501</v>
      </c>
      <c r="P93" s="2"/>
      <c r="Q93" s="6"/>
      <c r="R93" s="2"/>
      <c r="S93" s="2"/>
      <c r="T93" s="2"/>
    </row>
    <row r="94" spans="1:20" x14ac:dyDescent="0.3">
      <c r="A94" s="2">
        <v>93</v>
      </c>
      <c r="B94" s="2" t="s">
        <v>50</v>
      </c>
      <c r="C94" s="2" t="s">
        <v>254</v>
      </c>
      <c r="D94" s="2" t="s">
        <v>260</v>
      </c>
      <c r="E94" s="6">
        <v>44491</v>
      </c>
      <c r="F94" s="2" t="s">
        <v>3576</v>
      </c>
      <c r="G94" s="2">
        <v>2</v>
      </c>
      <c r="H94" s="2" t="s">
        <v>3499</v>
      </c>
      <c r="P94" s="2"/>
      <c r="Q94" s="6"/>
      <c r="R94" s="2"/>
      <c r="S94" s="2"/>
      <c r="T94" s="2"/>
    </row>
    <row r="95" spans="1:20" x14ac:dyDescent="0.3">
      <c r="A95" s="2">
        <v>94</v>
      </c>
      <c r="B95" s="2" t="s">
        <v>55</v>
      </c>
      <c r="C95" s="2" t="s">
        <v>254</v>
      </c>
      <c r="D95" s="2" t="s">
        <v>265</v>
      </c>
      <c r="E95" s="6">
        <v>44487</v>
      </c>
      <c r="F95" s="2" t="s">
        <v>3545</v>
      </c>
      <c r="G95" s="2">
        <v>4</v>
      </c>
      <c r="H95" s="2" t="s">
        <v>3499</v>
      </c>
      <c r="P95" s="2"/>
      <c r="Q95" s="6"/>
      <c r="R95" s="2"/>
      <c r="S95" s="2"/>
      <c r="T95" s="2"/>
    </row>
    <row r="96" spans="1:20" x14ac:dyDescent="0.3">
      <c r="A96" s="2">
        <v>95</v>
      </c>
      <c r="B96" s="2" t="s">
        <v>60</v>
      </c>
      <c r="C96" s="2" t="s">
        <v>254</v>
      </c>
      <c r="D96" s="2" t="s">
        <v>255</v>
      </c>
      <c r="E96" s="6">
        <v>44481</v>
      </c>
      <c r="F96" s="2" t="s">
        <v>3577</v>
      </c>
      <c r="G96" s="2">
        <v>3</v>
      </c>
      <c r="H96" s="2" t="s">
        <v>3499</v>
      </c>
      <c r="P96" s="2"/>
      <c r="Q96" s="6"/>
      <c r="R96" s="2"/>
      <c r="S96" s="2"/>
      <c r="T96" s="2"/>
    </row>
    <row r="97" spans="1:20" x14ac:dyDescent="0.3">
      <c r="A97" s="2">
        <v>96</v>
      </c>
      <c r="B97" s="2" t="s">
        <v>65</v>
      </c>
      <c r="C97" s="2" t="s">
        <v>259</v>
      </c>
      <c r="D97" s="2" t="s">
        <v>250</v>
      </c>
      <c r="E97" s="6">
        <v>44478</v>
      </c>
      <c r="F97" s="2" t="s">
        <v>3545</v>
      </c>
      <c r="G97" s="2">
        <v>4</v>
      </c>
      <c r="H97" s="2" t="s">
        <v>3499</v>
      </c>
      <c r="P97" s="2"/>
      <c r="Q97" s="6"/>
      <c r="R97" s="2"/>
      <c r="S97" s="2"/>
      <c r="T97" s="2"/>
    </row>
    <row r="98" spans="1:20" x14ac:dyDescent="0.3">
      <c r="A98" s="2">
        <v>97</v>
      </c>
      <c r="B98" s="2" t="s">
        <v>70</v>
      </c>
      <c r="C98" s="2" t="s">
        <v>259</v>
      </c>
      <c r="D98" s="2" t="s">
        <v>260</v>
      </c>
      <c r="E98" s="6">
        <v>44483</v>
      </c>
      <c r="F98" s="2" t="s">
        <v>3578</v>
      </c>
      <c r="G98" s="2">
        <v>4</v>
      </c>
      <c r="H98" s="2" t="s">
        <v>3501</v>
      </c>
      <c r="P98" s="2"/>
      <c r="Q98" s="6"/>
      <c r="R98" s="2"/>
      <c r="S98" s="2"/>
      <c r="T98" s="2"/>
    </row>
    <row r="99" spans="1:20" x14ac:dyDescent="0.3">
      <c r="A99" s="2">
        <v>98</v>
      </c>
      <c r="B99" s="2" t="s">
        <v>75</v>
      </c>
      <c r="C99" s="2" t="s">
        <v>264</v>
      </c>
      <c r="D99" s="2" t="s">
        <v>250</v>
      </c>
      <c r="E99" s="6">
        <v>44490</v>
      </c>
      <c r="F99" s="2" t="s">
        <v>3579</v>
      </c>
      <c r="G99" s="2">
        <v>3</v>
      </c>
      <c r="H99" s="2" t="s">
        <v>3499</v>
      </c>
      <c r="P99" s="2"/>
      <c r="Q99" s="6"/>
      <c r="R99" s="2"/>
      <c r="S99" s="2"/>
      <c r="T99" s="2"/>
    </row>
    <row r="100" spans="1:20" x14ac:dyDescent="0.3">
      <c r="A100" s="2">
        <v>99</v>
      </c>
      <c r="B100" s="2" t="s">
        <v>80</v>
      </c>
      <c r="C100" s="2" t="s">
        <v>264</v>
      </c>
      <c r="D100" s="2" t="s">
        <v>265</v>
      </c>
      <c r="E100" s="6">
        <v>44494</v>
      </c>
      <c r="F100" s="2" t="s">
        <v>3580</v>
      </c>
      <c r="G100" s="2">
        <v>4</v>
      </c>
      <c r="H100" s="2" t="s">
        <v>3501</v>
      </c>
      <c r="P100" s="2"/>
      <c r="Q100" s="6"/>
      <c r="R100" s="2"/>
      <c r="S100" s="2"/>
      <c r="T100" s="2"/>
    </row>
    <row r="101" spans="1:20" x14ac:dyDescent="0.3">
      <c r="A101" s="2">
        <v>100</v>
      </c>
      <c r="B101" s="2" t="s">
        <v>85</v>
      </c>
      <c r="C101" s="2" t="s">
        <v>264</v>
      </c>
      <c r="D101" s="2" t="s">
        <v>265</v>
      </c>
      <c r="E101" s="6">
        <v>44486</v>
      </c>
      <c r="F101" s="2" t="s">
        <v>3581</v>
      </c>
      <c r="G101" s="2">
        <v>5</v>
      </c>
      <c r="H101" s="2" t="s">
        <v>3499</v>
      </c>
      <c r="P101" s="2"/>
      <c r="Q101" s="6"/>
      <c r="R101" s="2"/>
      <c r="S101" s="2"/>
      <c r="T101" s="2"/>
    </row>
    <row r="102" spans="1:20" x14ac:dyDescent="0.3">
      <c r="A102" s="2">
        <v>101</v>
      </c>
      <c r="B102" s="2" t="s">
        <v>90</v>
      </c>
      <c r="C102" s="2" t="s">
        <v>269</v>
      </c>
      <c r="D102" s="2" t="s">
        <v>280</v>
      </c>
      <c r="E102" s="6">
        <v>44474</v>
      </c>
      <c r="F102" s="2" t="s">
        <v>3582</v>
      </c>
      <c r="G102" s="2">
        <v>3</v>
      </c>
      <c r="H102" s="2" t="s">
        <v>3501</v>
      </c>
      <c r="P102" s="2"/>
      <c r="Q102" s="6"/>
      <c r="R102" s="2"/>
      <c r="S102" s="2"/>
      <c r="T102" s="2"/>
    </row>
    <row r="103" spans="1:20" x14ac:dyDescent="0.3">
      <c r="A103" s="2">
        <v>102</v>
      </c>
      <c r="B103" s="2" t="s">
        <v>95</v>
      </c>
      <c r="C103" s="2" t="s">
        <v>269</v>
      </c>
      <c r="D103" s="2" t="s">
        <v>280</v>
      </c>
      <c r="E103" s="6">
        <v>44486</v>
      </c>
      <c r="F103" s="2" t="s">
        <v>3575</v>
      </c>
      <c r="G103" s="2">
        <v>4</v>
      </c>
      <c r="H103" s="2" t="s">
        <v>3499</v>
      </c>
      <c r="P103" s="2"/>
      <c r="Q103" s="6"/>
      <c r="R103" s="2"/>
      <c r="S103" s="2"/>
      <c r="T103" s="2"/>
    </row>
    <row r="104" spans="1:20" x14ac:dyDescent="0.3">
      <c r="A104" s="2">
        <v>103</v>
      </c>
      <c r="B104" s="2" t="s">
        <v>100</v>
      </c>
      <c r="C104" s="2" t="s">
        <v>269</v>
      </c>
      <c r="D104" s="2" t="s">
        <v>270</v>
      </c>
      <c r="E104" s="6">
        <v>44488</v>
      </c>
      <c r="F104" s="2" t="s">
        <v>3583</v>
      </c>
      <c r="G104" s="2">
        <v>5</v>
      </c>
      <c r="H104" s="2" t="s">
        <v>3501</v>
      </c>
      <c r="P104" s="2"/>
      <c r="Q104" s="6"/>
      <c r="R104" s="2"/>
      <c r="S104" s="2"/>
      <c r="T104" s="2"/>
    </row>
    <row r="105" spans="1:20" x14ac:dyDescent="0.3">
      <c r="A105" s="2">
        <v>104</v>
      </c>
      <c r="B105" s="2" t="s">
        <v>105</v>
      </c>
      <c r="C105" s="2" t="s">
        <v>279</v>
      </c>
      <c r="D105" s="2" t="s">
        <v>270</v>
      </c>
      <c r="E105" s="6">
        <v>44489</v>
      </c>
      <c r="F105" s="2" t="s">
        <v>3584</v>
      </c>
      <c r="G105" s="2">
        <v>2</v>
      </c>
      <c r="H105" s="2" t="s">
        <v>3501</v>
      </c>
      <c r="P105" s="2"/>
      <c r="Q105" s="6"/>
      <c r="R105" s="2"/>
      <c r="S105" s="2"/>
      <c r="T105" s="2"/>
    </row>
    <row r="106" spans="1:20" x14ac:dyDescent="0.3">
      <c r="A106" s="2">
        <v>105</v>
      </c>
      <c r="B106" s="2" t="s">
        <v>110</v>
      </c>
      <c r="C106" s="2" t="s">
        <v>279</v>
      </c>
      <c r="D106" s="2" t="s">
        <v>270</v>
      </c>
      <c r="E106" s="6">
        <v>44474</v>
      </c>
      <c r="F106" s="2" t="s">
        <v>3585</v>
      </c>
      <c r="G106" s="2">
        <v>3</v>
      </c>
      <c r="H106" s="2" t="s">
        <v>3499</v>
      </c>
      <c r="P106" s="2"/>
      <c r="Q106" s="6"/>
      <c r="R106" s="2"/>
      <c r="S106" s="2"/>
      <c r="T106" s="2"/>
    </row>
    <row r="107" spans="1:20" x14ac:dyDescent="0.3">
      <c r="A107" s="2">
        <v>106</v>
      </c>
      <c r="B107" s="2" t="s">
        <v>115</v>
      </c>
      <c r="C107" s="2" t="s">
        <v>279</v>
      </c>
      <c r="D107" s="2" t="s">
        <v>280</v>
      </c>
      <c r="E107" s="6">
        <v>44474</v>
      </c>
      <c r="F107" s="2" t="s">
        <v>3586</v>
      </c>
      <c r="G107" s="2">
        <v>2</v>
      </c>
      <c r="H107" s="2" t="s">
        <v>3499</v>
      </c>
      <c r="P107" s="2"/>
      <c r="Q107" s="6"/>
      <c r="R107" s="2"/>
      <c r="S107" s="2"/>
      <c r="T107" s="2"/>
    </row>
    <row r="108" spans="1:20" x14ac:dyDescent="0.3">
      <c r="A108" s="2">
        <v>107</v>
      </c>
      <c r="B108" s="2" t="s">
        <v>120</v>
      </c>
      <c r="C108" s="2" t="s">
        <v>284</v>
      </c>
      <c r="D108" s="2" t="s">
        <v>285</v>
      </c>
      <c r="E108" s="6">
        <v>44477</v>
      </c>
      <c r="F108" s="2" t="s">
        <v>3587</v>
      </c>
      <c r="G108" s="2">
        <v>4</v>
      </c>
      <c r="H108" s="2" t="s">
        <v>3501</v>
      </c>
      <c r="P108" s="2"/>
      <c r="Q108" s="6"/>
      <c r="R108" s="2"/>
      <c r="S108" s="2"/>
      <c r="T108" s="2"/>
    </row>
    <row r="109" spans="1:20" x14ac:dyDescent="0.3">
      <c r="A109" s="2">
        <v>108</v>
      </c>
      <c r="B109" s="2" t="s">
        <v>155</v>
      </c>
      <c r="C109" s="2" t="s">
        <v>289</v>
      </c>
      <c r="D109" s="2" t="s">
        <v>290</v>
      </c>
      <c r="E109" s="6">
        <v>44470</v>
      </c>
      <c r="F109" s="2" t="s">
        <v>3588</v>
      </c>
      <c r="G109" s="2">
        <v>3</v>
      </c>
      <c r="H109" s="2" t="s">
        <v>3501</v>
      </c>
      <c r="P109" s="2"/>
      <c r="Q109" s="6"/>
      <c r="R109" s="2"/>
      <c r="S109" s="2"/>
      <c r="T109" s="2"/>
    </row>
    <row r="110" spans="1:20" x14ac:dyDescent="0.3">
      <c r="A110" s="2">
        <v>109</v>
      </c>
      <c r="B110" s="2" t="s">
        <v>20</v>
      </c>
      <c r="C110" s="2" t="s">
        <v>304</v>
      </c>
      <c r="D110" s="2" t="s">
        <v>305</v>
      </c>
      <c r="E110" s="6">
        <v>44494</v>
      </c>
      <c r="F110" s="2" t="s">
        <v>3583</v>
      </c>
      <c r="G110" s="2">
        <v>4</v>
      </c>
      <c r="H110" s="2" t="s">
        <v>3499</v>
      </c>
      <c r="P110" s="2"/>
      <c r="Q110" s="6"/>
      <c r="R110" s="2"/>
      <c r="S110" s="2"/>
      <c r="T110" s="2"/>
    </row>
    <row r="111" spans="1:20" x14ac:dyDescent="0.3">
      <c r="A111" s="2">
        <v>110</v>
      </c>
      <c r="B111" s="2" t="s">
        <v>155</v>
      </c>
      <c r="C111" s="2" t="s">
        <v>314</v>
      </c>
      <c r="D111" s="2" t="s">
        <v>315</v>
      </c>
      <c r="E111" s="6">
        <v>44439</v>
      </c>
      <c r="F111" s="2" t="s">
        <v>3589</v>
      </c>
      <c r="G111" s="2">
        <v>2</v>
      </c>
      <c r="H111" s="2" t="s">
        <v>3501</v>
      </c>
      <c r="P111" s="2"/>
      <c r="Q111" s="6"/>
      <c r="R111" s="2"/>
      <c r="S111" s="2"/>
      <c r="T111" s="2"/>
    </row>
    <row r="112" spans="1:20" x14ac:dyDescent="0.3">
      <c r="A112" s="2">
        <v>111</v>
      </c>
      <c r="B112" s="2" t="s">
        <v>105</v>
      </c>
      <c r="C112" s="2" t="s">
        <v>319</v>
      </c>
      <c r="D112" s="2" t="s">
        <v>320</v>
      </c>
      <c r="E112" s="6">
        <v>44490</v>
      </c>
      <c r="F112" s="2" t="s">
        <v>3590</v>
      </c>
      <c r="G112" s="2">
        <v>1</v>
      </c>
      <c r="H112" s="2" t="s">
        <v>3501</v>
      </c>
      <c r="P112" s="2"/>
      <c r="Q112" s="6"/>
      <c r="R112" s="2"/>
      <c r="S112" s="2"/>
      <c r="T112" s="2"/>
    </row>
    <row r="113" spans="1:20" x14ac:dyDescent="0.3">
      <c r="A113" s="2">
        <v>112</v>
      </c>
      <c r="B113" s="2" t="s">
        <v>85</v>
      </c>
      <c r="C113" s="2" t="s">
        <v>324</v>
      </c>
      <c r="D113" s="2" t="s">
        <v>325</v>
      </c>
      <c r="E113" s="6">
        <v>44502</v>
      </c>
      <c r="F113" s="2" t="s">
        <v>3503</v>
      </c>
      <c r="G113" s="2">
        <v>5</v>
      </c>
      <c r="H113" s="2" t="s">
        <v>3499</v>
      </c>
      <c r="P113" s="2"/>
      <c r="Q113" s="6"/>
      <c r="R113" s="2"/>
      <c r="S113" s="2"/>
      <c r="T113" s="2"/>
    </row>
    <row r="114" spans="1:20" x14ac:dyDescent="0.3">
      <c r="A114" s="2">
        <v>113</v>
      </c>
      <c r="B114" s="2" t="s">
        <v>85</v>
      </c>
      <c r="C114" s="2" t="s">
        <v>329</v>
      </c>
      <c r="D114" s="2" t="s">
        <v>330</v>
      </c>
      <c r="E114" s="6">
        <v>44475</v>
      </c>
      <c r="F114" s="2" t="s">
        <v>3533</v>
      </c>
      <c r="G114" s="2">
        <v>3</v>
      </c>
      <c r="H114" s="2" t="s">
        <v>3499</v>
      </c>
      <c r="P114" s="2"/>
      <c r="Q114" s="6"/>
      <c r="R114" s="2"/>
      <c r="S114" s="2"/>
      <c r="T114" s="2"/>
    </row>
    <row r="115" spans="1:20" x14ac:dyDescent="0.3">
      <c r="A115" s="2">
        <v>114</v>
      </c>
      <c r="B115" s="2" t="s">
        <v>180</v>
      </c>
      <c r="C115" s="2" t="s">
        <v>339</v>
      </c>
      <c r="D115" s="2" t="s">
        <v>340</v>
      </c>
      <c r="E115" s="6">
        <v>44436</v>
      </c>
      <c r="F115" s="2" t="s">
        <v>3527</v>
      </c>
      <c r="G115" s="2">
        <v>5</v>
      </c>
      <c r="H115" s="2" t="s">
        <v>3499</v>
      </c>
      <c r="P115" s="2"/>
      <c r="Q115" s="6"/>
      <c r="R115" s="2"/>
      <c r="S115" s="2"/>
      <c r="T115" s="2"/>
    </row>
    <row r="116" spans="1:20" x14ac:dyDescent="0.3">
      <c r="A116" s="2">
        <v>115</v>
      </c>
      <c r="B116" s="2" t="s">
        <v>145</v>
      </c>
      <c r="C116" s="2" t="s">
        <v>349</v>
      </c>
      <c r="D116" s="2" t="s">
        <v>350</v>
      </c>
      <c r="E116" s="6">
        <v>44455</v>
      </c>
      <c r="F116" s="2" t="s">
        <v>3538</v>
      </c>
      <c r="G116" s="2">
        <v>2</v>
      </c>
      <c r="H116" s="2" t="s">
        <v>3499</v>
      </c>
      <c r="P116" s="2"/>
      <c r="Q116" s="6"/>
      <c r="R116" s="2"/>
      <c r="S116" s="2"/>
      <c r="T116" s="2"/>
    </row>
    <row r="117" spans="1:20" x14ac:dyDescent="0.3">
      <c r="A117" s="2">
        <v>116</v>
      </c>
      <c r="B117" s="2" t="s">
        <v>100</v>
      </c>
      <c r="C117" s="2" t="s">
        <v>354</v>
      </c>
      <c r="D117" s="2" t="s">
        <v>355</v>
      </c>
      <c r="E117" s="6">
        <v>44468</v>
      </c>
      <c r="F117" s="2" t="s">
        <v>3534</v>
      </c>
      <c r="G117" s="2">
        <v>1</v>
      </c>
      <c r="H117" s="2" t="s">
        <v>3501</v>
      </c>
      <c r="P117" s="2"/>
      <c r="Q117" s="6"/>
      <c r="R117" s="2"/>
      <c r="S117" s="2"/>
      <c r="T117" s="2"/>
    </row>
    <row r="118" spans="1:20" x14ac:dyDescent="0.3">
      <c r="A118" s="2">
        <v>117</v>
      </c>
      <c r="B118" s="2" t="s">
        <v>150</v>
      </c>
      <c r="C118" s="2" t="s">
        <v>359</v>
      </c>
      <c r="D118" s="2" t="s">
        <v>360</v>
      </c>
      <c r="E118" s="6">
        <v>44444</v>
      </c>
      <c r="F118" s="2" t="s">
        <v>3591</v>
      </c>
      <c r="G118" s="2">
        <v>3</v>
      </c>
      <c r="H118" s="2" t="s">
        <v>3501</v>
      </c>
      <c r="P118" s="2"/>
      <c r="Q118" s="6"/>
      <c r="R118" s="2"/>
      <c r="S118" s="2"/>
      <c r="T118" s="2"/>
    </row>
    <row r="119" spans="1:20" x14ac:dyDescent="0.3">
      <c r="A119" s="2">
        <v>118</v>
      </c>
      <c r="B119" s="2" t="s">
        <v>115</v>
      </c>
      <c r="C119" s="2" t="s">
        <v>369</v>
      </c>
      <c r="D119" s="2" t="s">
        <v>370</v>
      </c>
      <c r="E119" s="6">
        <v>44477</v>
      </c>
      <c r="F119" s="2" t="s">
        <v>3532</v>
      </c>
      <c r="G119" s="2">
        <v>1</v>
      </c>
      <c r="H119" s="2" t="s">
        <v>3501</v>
      </c>
      <c r="P119" s="2"/>
      <c r="Q119" s="6"/>
      <c r="R119" s="2"/>
      <c r="S119" s="2"/>
      <c r="T119" s="2"/>
    </row>
    <row r="120" spans="1:20" x14ac:dyDescent="0.3">
      <c r="A120" s="2">
        <v>119</v>
      </c>
      <c r="B120" s="2" t="s">
        <v>130</v>
      </c>
      <c r="C120" s="2" t="s">
        <v>374</v>
      </c>
      <c r="D120" s="2" t="s">
        <v>375</v>
      </c>
      <c r="E120" s="6">
        <v>44488</v>
      </c>
      <c r="F120" s="2" t="s">
        <v>3528</v>
      </c>
      <c r="G120" s="2">
        <v>4</v>
      </c>
      <c r="H120" s="2" t="s">
        <v>3499</v>
      </c>
      <c r="P120" s="2"/>
      <c r="Q120" s="6"/>
      <c r="R120" s="2"/>
      <c r="S120" s="2"/>
      <c r="T120" s="2"/>
    </row>
    <row r="121" spans="1:20" x14ac:dyDescent="0.3">
      <c r="A121" s="2">
        <v>120</v>
      </c>
      <c r="B121" s="2" t="s">
        <v>170</v>
      </c>
      <c r="C121" s="2" t="s">
        <v>379</v>
      </c>
      <c r="D121" s="2" t="s">
        <v>380</v>
      </c>
      <c r="E121" s="6">
        <v>44423</v>
      </c>
      <c r="F121" s="2" t="s">
        <v>3592</v>
      </c>
      <c r="G121" s="2">
        <v>2</v>
      </c>
      <c r="H121" s="2" t="s">
        <v>3501</v>
      </c>
      <c r="P121" s="2"/>
      <c r="Q121" s="6"/>
      <c r="R121" s="2"/>
      <c r="S121" s="2"/>
      <c r="T121" s="2"/>
    </row>
    <row r="122" spans="1:20" x14ac:dyDescent="0.3">
      <c r="A122" s="2">
        <v>121</v>
      </c>
      <c r="B122" s="2" t="s">
        <v>20</v>
      </c>
      <c r="C122" s="2" t="s">
        <v>384</v>
      </c>
      <c r="D122" s="2" t="s">
        <v>385</v>
      </c>
      <c r="E122" s="6">
        <v>44432</v>
      </c>
      <c r="F122" s="2" t="s">
        <v>3593</v>
      </c>
      <c r="G122" s="2">
        <v>4</v>
      </c>
      <c r="H122" s="2" t="s">
        <v>3499</v>
      </c>
      <c r="P122" s="2"/>
      <c r="Q122" s="6"/>
      <c r="R122" s="2"/>
      <c r="S122" s="2"/>
      <c r="T122" s="2"/>
    </row>
    <row r="123" spans="1:20" x14ac:dyDescent="0.3">
      <c r="A123" s="2">
        <v>122</v>
      </c>
      <c r="B123" s="2" t="s">
        <v>45</v>
      </c>
      <c r="C123" s="2" t="s">
        <v>389</v>
      </c>
      <c r="D123" s="2" t="s">
        <v>390</v>
      </c>
      <c r="E123" s="6">
        <v>44464</v>
      </c>
      <c r="F123" s="2" t="s">
        <v>3531</v>
      </c>
      <c r="G123" s="2">
        <v>3</v>
      </c>
      <c r="H123" s="2" t="s">
        <v>3501</v>
      </c>
      <c r="P123" s="2"/>
      <c r="Q123" s="6"/>
      <c r="R123" s="2"/>
      <c r="S123" s="2"/>
      <c r="T123" s="2"/>
    </row>
    <row r="124" spans="1:20" x14ac:dyDescent="0.3">
      <c r="A124" s="2">
        <v>123</v>
      </c>
      <c r="B124" s="2" t="s">
        <v>195</v>
      </c>
      <c r="C124" s="2" t="s">
        <v>394</v>
      </c>
      <c r="D124" s="2" t="s">
        <v>395</v>
      </c>
      <c r="E124" s="6">
        <v>44422</v>
      </c>
      <c r="F124" s="2" t="s">
        <v>3594</v>
      </c>
      <c r="G124" s="2">
        <v>1</v>
      </c>
      <c r="H124" s="2" t="s">
        <v>3499</v>
      </c>
      <c r="P124" s="2"/>
      <c r="Q124" s="6"/>
      <c r="R124" s="2"/>
      <c r="S124" s="2"/>
      <c r="T124" s="2"/>
    </row>
    <row r="125" spans="1:20" x14ac:dyDescent="0.3">
      <c r="A125" s="2">
        <v>124</v>
      </c>
      <c r="B125" s="2" t="s">
        <v>145</v>
      </c>
      <c r="C125" s="2" t="s">
        <v>399</v>
      </c>
      <c r="D125" s="2" t="s">
        <v>400</v>
      </c>
      <c r="E125" s="6">
        <v>44464</v>
      </c>
      <c r="F125" s="2" t="s">
        <v>3523</v>
      </c>
      <c r="G125" s="2">
        <v>1</v>
      </c>
      <c r="H125" s="2" t="s">
        <v>3501</v>
      </c>
      <c r="P125" s="2"/>
      <c r="Q125" s="6"/>
      <c r="R125" s="2"/>
      <c r="S125" s="2"/>
      <c r="T125" s="2"/>
    </row>
    <row r="126" spans="1:20" x14ac:dyDescent="0.3">
      <c r="A126" s="2">
        <v>125</v>
      </c>
      <c r="B126" s="2" t="s">
        <v>95</v>
      </c>
      <c r="C126" s="2" t="s">
        <v>419</v>
      </c>
      <c r="D126" s="2" t="s">
        <v>420</v>
      </c>
      <c r="E126" s="6">
        <v>44494</v>
      </c>
      <c r="F126" s="2" t="s">
        <v>3566</v>
      </c>
      <c r="G126" s="2">
        <v>2</v>
      </c>
      <c r="H126" s="2" t="s">
        <v>3501</v>
      </c>
      <c r="P126" s="2"/>
      <c r="Q126" s="6"/>
      <c r="R126" s="2"/>
      <c r="S126" s="2"/>
      <c r="T126" s="2"/>
    </row>
    <row r="127" spans="1:20" x14ac:dyDescent="0.3">
      <c r="A127" s="2">
        <v>126</v>
      </c>
      <c r="B127" s="2" t="s">
        <v>100</v>
      </c>
      <c r="C127" s="2" t="s">
        <v>424</v>
      </c>
      <c r="D127" s="2" t="s">
        <v>425</v>
      </c>
      <c r="E127" s="6">
        <v>44431</v>
      </c>
      <c r="F127" s="2" t="s">
        <v>3567</v>
      </c>
      <c r="G127" s="2">
        <v>2</v>
      </c>
      <c r="H127" s="2" t="s">
        <v>3501</v>
      </c>
      <c r="P127" s="2"/>
      <c r="Q127" s="6"/>
      <c r="R127" s="2"/>
      <c r="S127" s="2"/>
      <c r="T127" s="2"/>
    </row>
    <row r="128" spans="1:20" x14ac:dyDescent="0.3">
      <c r="A128" s="2">
        <v>127</v>
      </c>
      <c r="B128" s="2" t="s">
        <v>150</v>
      </c>
      <c r="C128" s="2" t="s">
        <v>434</v>
      </c>
      <c r="D128" s="2" t="s">
        <v>435</v>
      </c>
      <c r="E128" s="6">
        <v>44421</v>
      </c>
      <c r="F128" s="2" t="s">
        <v>3513</v>
      </c>
      <c r="G128" s="2">
        <v>1</v>
      </c>
      <c r="H128" s="2" t="s">
        <v>3499</v>
      </c>
      <c r="P128" s="2"/>
      <c r="Q128" s="6"/>
      <c r="R128" s="2"/>
      <c r="S128" s="2"/>
      <c r="T128" s="2"/>
    </row>
    <row r="129" spans="1:20" x14ac:dyDescent="0.3">
      <c r="A129" s="2">
        <v>128</v>
      </c>
      <c r="B129" s="2" t="s">
        <v>55</v>
      </c>
      <c r="C129" s="2" t="s">
        <v>464</v>
      </c>
      <c r="D129" s="2" t="s">
        <v>465</v>
      </c>
      <c r="E129" s="6">
        <v>44490</v>
      </c>
      <c r="F129" s="2" t="s">
        <v>3549</v>
      </c>
      <c r="G129" s="2">
        <v>5</v>
      </c>
      <c r="H129" s="2" t="s">
        <v>3499</v>
      </c>
      <c r="P129" s="2"/>
      <c r="Q129" s="6"/>
      <c r="R129" s="2"/>
      <c r="S129" s="2"/>
      <c r="T129" s="2"/>
    </row>
    <row r="130" spans="1:20" x14ac:dyDescent="0.3">
      <c r="A130" s="2">
        <v>129</v>
      </c>
      <c r="B130" s="2" t="s">
        <v>20</v>
      </c>
      <c r="C130" s="2" t="s">
        <v>474</v>
      </c>
      <c r="D130" s="2" t="s">
        <v>475</v>
      </c>
      <c r="E130" s="6">
        <v>44465</v>
      </c>
      <c r="F130" s="2" t="s">
        <v>3528</v>
      </c>
      <c r="G130" s="2">
        <v>5</v>
      </c>
      <c r="H130" s="2" t="s">
        <v>3499</v>
      </c>
      <c r="P130" s="2"/>
      <c r="Q130" s="6"/>
      <c r="R130" s="2"/>
      <c r="S130" s="2"/>
      <c r="T130" s="2"/>
    </row>
    <row r="131" spans="1:20" x14ac:dyDescent="0.3">
      <c r="A131" s="2">
        <v>130</v>
      </c>
      <c r="B131" s="2" t="s">
        <v>175</v>
      </c>
      <c r="C131" s="2" t="s">
        <v>484</v>
      </c>
      <c r="D131" s="2" t="s">
        <v>485</v>
      </c>
      <c r="E131" s="6">
        <v>44432</v>
      </c>
      <c r="F131" s="2" t="s">
        <v>3595</v>
      </c>
      <c r="G131" s="2">
        <v>4</v>
      </c>
      <c r="H131" s="2" t="s">
        <v>3499</v>
      </c>
      <c r="P131" s="2"/>
      <c r="Q131" s="6"/>
      <c r="R131" s="2"/>
      <c r="S131" s="2"/>
      <c r="T131" s="2"/>
    </row>
    <row r="132" spans="1:20" x14ac:dyDescent="0.3">
      <c r="A132" s="2">
        <v>131</v>
      </c>
      <c r="B132" s="2" t="s">
        <v>55</v>
      </c>
      <c r="C132" s="2" t="s">
        <v>489</v>
      </c>
      <c r="D132" s="2" t="s">
        <v>490</v>
      </c>
      <c r="E132" s="6">
        <v>44460</v>
      </c>
      <c r="F132" s="2" t="s">
        <v>3515</v>
      </c>
      <c r="G132" s="2">
        <v>2</v>
      </c>
      <c r="H132" s="2" t="s">
        <v>3501</v>
      </c>
      <c r="P132" s="2"/>
      <c r="Q132" s="6"/>
      <c r="R132" s="2"/>
      <c r="S132" s="2"/>
      <c r="T132" s="2"/>
    </row>
    <row r="133" spans="1:20" x14ac:dyDescent="0.3">
      <c r="A133" s="2">
        <v>132</v>
      </c>
      <c r="B133" s="2" t="s">
        <v>40</v>
      </c>
      <c r="C133" s="2" t="s">
        <v>494</v>
      </c>
      <c r="D133" s="2" t="s">
        <v>495</v>
      </c>
      <c r="E133" s="6">
        <v>44505</v>
      </c>
      <c r="F133" s="2" t="s">
        <v>3516</v>
      </c>
      <c r="G133" s="2">
        <v>2</v>
      </c>
      <c r="H133" s="2" t="s">
        <v>3499</v>
      </c>
      <c r="P133" s="2"/>
      <c r="Q133" s="6"/>
      <c r="R133" s="2"/>
      <c r="S133" s="2"/>
      <c r="T133" s="2"/>
    </row>
    <row r="134" spans="1:20" x14ac:dyDescent="0.3">
      <c r="A134" s="2">
        <v>133</v>
      </c>
      <c r="B134" s="2" t="s">
        <v>55</v>
      </c>
      <c r="C134" s="2" t="s">
        <v>504</v>
      </c>
      <c r="D134" s="2" t="s">
        <v>505</v>
      </c>
      <c r="E134" s="6">
        <v>44446</v>
      </c>
      <c r="F134" s="2" t="s">
        <v>3517</v>
      </c>
      <c r="G134" s="2">
        <v>4</v>
      </c>
      <c r="H134" s="2" t="s">
        <v>3501</v>
      </c>
      <c r="P134" s="2"/>
      <c r="Q134" s="6"/>
      <c r="R134" s="2"/>
      <c r="S134" s="2"/>
      <c r="T134" s="2"/>
    </row>
    <row r="135" spans="1:20" x14ac:dyDescent="0.3">
      <c r="A135" s="2">
        <v>134</v>
      </c>
      <c r="B135" s="2" t="s">
        <v>55</v>
      </c>
      <c r="C135" s="2" t="s">
        <v>509</v>
      </c>
      <c r="D135" s="2" t="s">
        <v>510</v>
      </c>
      <c r="E135" s="6">
        <v>44503</v>
      </c>
      <c r="F135" s="2" t="s">
        <v>3520</v>
      </c>
      <c r="G135" s="2">
        <v>4</v>
      </c>
      <c r="H135" s="2" t="s">
        <v>3499</v>
      </c>
      <c r="P135" s="2"/>
      <c r="Q135" s="6"/>
      <c r="R135" s="2"/>
      <c r="S135" s="2"/>
      <c r="T135" s="2"/>
    </row>
    <row r="136" spans="1:20" x14ac:dyDescent="0.3">
      <c r="A136" s="2">
        <v>135</v>
      </c>
      <c r="B136" s="2" t="s">
        <v>110</v>
      </c>
      <c r="C136" s="2" t="s">
        <v>514</v>
      </c>
      <c r="D136" s="2" t="s">
        <v>515</v>
      </c>
      <c r="E136" s="6">
        <v>44433</v>
      </c>
      <c r="F136" s="2" t="s">
        <v>3596</v>
      </c>
      <c r="G136" s="2">
        <v>2</v>
      </c>
      <c r="H136" s="2" t="s">
        <v>3499</v>
      </c>
      <c r="P136" s="2"/>
      <c r="Q136" s="6"/>
      <c r="R136" s="2"/>
      <c r="S136" s="2"/>
      <c r="T136" s="2"/>
    </row>
    <row r="137" spans="1:20" x14ac:dyDescent="0.3">
      <c r="A137" s="2">
        <v>136</v>
      </c>
      <c r="B137" s="2" t="s">
        <v>185</v>
      </c>
      <c r="C137" s="2" t="s">
        <v>524</v>
      </c>
      <c r="D137" s="2" t="s">
        <v>525</v>
      </c>
      <c r="E137" s="6">
        <v>44453</v>
      </c>
      <c r="F137" s="2" t="s">
        <v>3597</v>
      </c>
      <c r="G137" s="2">
        <v>1</v>
      </c>
      <c r="H137" s="2" t="s">
        <v>3499</v>
      </c>
      <c r="P137" s="2"/>
      <c r="Q137" s="6"/>
      <c r="R137" s="2"/>
      <c r="S137" s="2"/>
      <c r="T137" s="2"/>
    </row>
    <row r="138" spans="1:20" x14ac:dyDescent="0.3">
      <c r="A138" s="2">
        <v>137</v>
      </c>
      <c r="B138" s="2" t="s">
        <v>85</v>
      </c>
      <c r="C138" s="2" t="s">
        <v>549</v>
      </c>
      <c r="D138" s="2" t="s">
        <v>550</v>
      </c>
      <c r="E138" s="6">
        <v>44452</v>
      </c>
      <c r="F138" s="2" t="s">
        <v>3546</v>
      </c>
      <c r="G138" s="2">
        <v>5</v>
      </c>
      <c r="H138" s="2" t="s">
        <v>3501</v>
      </c>
      <c r="P138" s="2"/>
      <c r="Q138" s="6"/>
      <c r="R138" s="2"/>
      <c r="S138" s="2"/>
      <c r="T138" s="2"/>
    </row>
    <row r="139" spans="1:20" x14ac:dyDescent="0.3">
      <c r="A139" s="2">
        <v>138</v>
      </c>
      <c r="B139" s="2" t="s">
        <v>40</v>
      </c>
      <c r="C139" s="2" t="s">
        <v>564</v>
      </c>
      <c r="D139" s="2" t="s">
        <v>565</v>
      </c>
      <c r="E139" s="6">
        <v>44461</v>
      </c>
      <c r="F139" s="2" t="s">
        <v>3576</v>
      </c>
      <c r="G139" s="2">
        <v>3</v>
      </c>
      <c r="H139" s="2" t="s">
        <v>3501</v>
      </c>
      <c r="P139" s="2"/>
      <c r="Q139" s="6"/>
      <c r="R139" s="2"/>
      <c r="S139" s="2"/>
      <c r="T139" s="2"/>
    </row>
    <row r="140" spans="1:20" x14ac:dyDescent="0.3">
      <c r="A140" s="2">
        <v>139</v>
      </c>
      <c r="B140" s="2" t="s">
        <v>95</v>
      </c>
      <c r="C140" s="2" t="s">
        <v>584</v>
      </c>
      <c r="D140" s="2" t="s">
        <v>585</v>
      </c>
      <c r="E140" s="6">
        <v>44460</v>
      </c>
      <c r="F140" s="2" t="s">
        <v>3572</v>
      </c>
      <c r="G140" s="2">
        <v>2</v>
      </c>
      <c r="H140" s="2" t="s">
        <v>3499</v>
      </c>
      <c r="P140" s="2"/>
      <c r="Q140" s="6"/>
      <c r="R140" s="2"/>
      <c r="S140" s="2"/>
      <c r="T140" s="2"/>
    </row>
    <row r="141" spans="1:20" x14ac:dyDescent="0.3">
      <c r="A141" s="2">
        <v>140</v>
      </c>
      <c r="B141" s="2" t="s">
        <v>130</v>
      </c>
      <c r="C141" s="2" t="s">
        <v>604</v>
      </c>
      <c r="D141" s="2" t="s">
        <v>605</v>
      </c>
      <c r="E141" s="6">
        <v>44456</v>
      </c>
      <c r="F141" s="2" t="s">
        <v>3518</v>
      </c>
      <c r="G141" s="2">
        <v>4</v>
      </c>
      <c r="H141" s="2" t="s">
        <v>3499</v>
      </c>
      <c r="P141" s="2"/>
      <c r="Q141" s="6"/>
      <c r="R141" s="2"/>
      <c r="S141" s="2"/>
      <c r="T141" s="2"/>
    </row>
    <row r="142" spans="1:20" x14ac:dyDescent="0.3">
      <c r="A142" s="2">
        <v>141</v>
      </c>
      <c r="B142" s="2" t="s">
        <v>30</v>
      </c>
      <c r="C142" s="2" t="s">
        <v>629</v>
      </c>
      <c r="D142" s="2" t="s">
        <v>630</v>
      </c>
      <c r="E142" s="6">
        <v>44462</v>
      </c>
      <c r="F142" s="2" t="s">
        <v>3514</v>
      </c>
      <c r="G142" s="2">
        <v>3</v>
      </c>
      <c r="H142" s="2" t="s">
        <v>3499</v>
      </c>
      <c r="P142" s="2"/>
      <c r="Q142" s="6"/>
      <c r="R142" s="2"/>
      <c r="S142" s="2"/>
      <c r="T142" s="2"/>
    </row>
    <row r="143" spans="1:20" x14ac:dyDescent="0.3">
      <c r="A143" s="2">
        <v>142</v>
      </c>
      <c r="B143" s="2" t="s">
        <v>195</v>
      </c>
      <c r="C143" s="2" t="s">
        <v>639</v>
      </c>
      <c r="D143" s="2" t="s">
        <v>640</v>
      </c>
      <c r="E143" s="6">
        <v>44433</v>
      </c>
      <c r="F143" s="2" t="s">
        <v>3520</v>
      </c>
      <c r="G143" s="2">
        <v>1</v>
      </c>
      <c r="H143" s="2" t="s">
        <v>3499</v>
      </c>
      <c r="P143" s="2"/>
      <c r="Q143" s="6"/>
      <c r="R143" s="2"/>
      <c r="S143" s="2"/>
      <c r="T143" s="2"/>
    </row>
    <row r="144" spans="1:20" x14ac:dyDescent="0.3">
      <c r="A144" s="2">
        <v>143</v>
      </c>
      <c r="B144" s="2" t="s">
        <v>200</v>
      </c>
      <c r="C144" s="2" t="s">
        <v>644</v>
      </c>
      <c r="D144" s="2" t="s">
        <v>645</v>
      </c>
      <c r="E144" s="6">
        <v>44490</v>
      </c>
      <c r="F144" s="2" t="s">
        <v>3598</v>
      </c>
      <c r="G144" s="2">
        <v>2</v>
      </c>
      <c r="H144" s="2" t="s">
        <v>3501</v>
      </c>
      <c r="P144" s="2"/>
      <c r="Q144" s="6"/>
      <c r="R144" s="2"/>
      <c r="S144" s="2"/>
      <c r="T144" s="2"/>
    </row>
    <row r="145" spans="1:20" x14ac:dyDescent="0.3">
      <c r="A145" s="2">
        <v>144</v>
      </c>
      <c r="B145" s="2" t="s">
        <v>90</v>
      </c>
      <c r="C145" s="2" t="s">
        <v>664</v>
      </c>
      <c r="D145" s="2" t="s">
        <v>665</v>
      </c>
      <c r="E145" s="6">
        <v>44448</v>
      </c>
      <c r="F145" s="2" t="s">
        <v>3565</v>
      </c>
      <c r="G145" s="2">
        <v>2</v>
      </c>
      <c r="H145" s="2" t="s">
        <v>3501</v>
      </c>
      <c r="P145" s="2"/>
      <c r="Q145" s="6"/>
      <c r="R145" s="2"/>
      <c r="S145" s="2"/>
      <c r="T145" s="2"/>
    </row>
    <row r="146" spans="1:20" x14ac:dyDescent="0.3">
      <c r="A146" s="2">
        <v>145</v>
      </c>
      <c r="B146" s="2" t="s">
        <v>85</v>
      </c>
      <c r="C146" s="2" t="s">
        <v>684</v>
      </c>
      <c r="D146" s="2" t="s">
        <v>685</v>
      </c>
      <c r="E146" s="6">
        <v>44472</v>
      </c>
      <c r="F146" s="2" t="s">
        <v>3545</v>
      </c>
      <c r="G146" s="2">
        <v>5</v>
      </c>
      <c r="H146" s="2" t="s">
        <v>3499</v>
      </c>
      <c r="P146" s="2"/>
      <c r="Q146" s="6"/>
      <c r="R146" s="2"/>
      <c r="S146" s="2"/>
      <c r="T146" s="2"/>
    </row>
    <row r="147" spans="1:20" x14ac:dyDescent="0.3">
      <c r="A147" s="2">
        <v>146</v>
      </c>
      <c r="B147" s="2" t="s">
        <v>80</v>
      </c>
      <c r="C147" s="2" t="s">
        <v>694</v>
      </c>
      <c r="D147" s="2" t="s">
        <v>695</v>
      </c>
      <c r="E147" s="6">
        <v>44444</v>
      </c>
      <c r="F147" s="2" t="s">
        <v>3577</v>
      </c>
      <c r="G147" s="2">
        <v>1</v>
      </c>
      <c r="H147" s="2" t="s">
        <v>3501</v>
      </c>
      <c r="P147" s="2"/>
      <c r="Q147" s="6"/>
      <c r="R147" s="2"/>
      <c r="S147" s="2"/>
      <c r="T147" s="2"/>
    </row>
    <row r="148" spans="1:20" x14ac:dyDescent="0.3">
      <c r="A148" s="2">
        <v>147</v>
      </c>
      <c r="B148" s="2" t="s">
        <v>75</v>
      </c>
      <c r="C148" s="2" t="s">
        <v>699</v>
      </c>
      <c r="D148" s="2" t="s">
        <v>700</v>
      </c>
      <c r="E148" s="6">
        <v>44443</v>
      </c>
      <c r="F148" s="2" t="s">
        <v>3599</v>
      </c>
      <c r="G148" s="2">
        <v>4</v>
      </c>
      <c r="H148" s="2" t="s">
        <v>3501</v>
      </c>
      <c r="P148" s="2"/>
      <c r="Q148" s="6"/>
      <c r="R148" s="2"/>
      <c r="S148" s="2"/>
      <c r="T148" s="2"/>
    </row>
    <row r="149" spans="1:20" x14ac:dyDescent="0.3">
      <c r="A149" s="2">
        <v>148</v>
      </c>
      <c r="B149" s="2" t="s">
        <v>110</v>
      </c>
      <c r="C149" s="2" t="s">
        <v>704</v>
      </c>
      <c r="D149" s="2" t="s">
        <v>705</v>
      </c>
      <c r="E149" s="6">
        <v>44484</v>
      </c>
      <c r="F149" s="2" t="s">
        <v>3573</v>
      </c>
      <c r="G149" s="2">
        <v>4</v>
      </c>
      <c r="H149" s="2" t="s">
        <v>3499</v>
      </c>
      <c r="P149" s="2"/>
      <c r="Q149" s="6"/>
      <c r="R149" s="2"/>
      <c r="S149" s="2"/>
      <c r="T149" s="2"/>
    </row>
    <row r="150" spans="1:20" x14ac:dyDescent="0.3">
      <c r="A150" s="2">
        <v>149</v>
      </c>
      <c r="B150" s="2" t="s">
        <v>110</v>
      </c>
      <c r="C150" s="2" t="s">
        <v>714</v>
      </c>
      <c r="D150" s="2" t="s">
        <v>715</v>
      </c>
      <c r="E150" s="6">
        <v>44446</v>
      </c>
      <c r="F150" s="2" t="s">
        <v>3600</v>
      </c>
      <c r="G150" s="2">
        <v>3</v>
      </c>
      <c r="H150" s="2" t="s">
        <v>3499</v>
      </c>
      <c r="P150" s="2"/>
      <c r="Q150" s="6"/>
      <c r="R150" s="2"/>
      <c r="S150" s="2"/>
      <c r="T150" s="2"/>
    </row>
    <row r="151" spans="1:20" x14ac:dyDescent="0.3">
      <c r="A151" s="2">
        <v>150</v>
      </c>
      <c r="B151" s="2" t="s">
        <v>115</v>
      </c>
      <c r="C151" s="2" t="s">
        <v>719</v>
      </c>
      <c r="D151" s="2" t="s">
        <v>720</v>
      </c>
      <c r="E151" s="6">
        <v>44420</v>
      </c>
      <c r="F151" s="2" t="s">
        <v>3601</v>
      </c>
      <c r="G151" s="2">
        <v>3</v>
      </c>
      <c r="H151" s="2" t="s">
        <v>3499</v>
      </c>
      <c r="P151" s="2"/>
      <c r="Q151" s="6"/>
      <c r="R151" s="2"/>
      <c r="S151" s="2"/>
      <c r="T151" s="2"/>
    </row>
    <row r="152" spans="1:20" x14ac:dyDescent="0.3">
      <c r="A152" s="2">
        <v>151</v>
      </c>
      <c r="B152" s="2" t="s">
        <v>20</v>
      </c>
      <c r="C152" s="2" t="s">
        <v>724</v>
      </c>
      <c r="D152" s="2" t="s">
        <v>725</v>
      </c>
      <c r="E152" s="6">
        <v>44503</v>
      </c>
      <c r="F152" s="2" t="s">
        <v>3545</v>
      </c>
      <c r="G152" s="2">
        <v>5</v>
      </c>
      <c r="H152" s="2" t="s">
        <v>3501</v>
      </c>
      <c r="P152" s="2"/>
      <c r="Q152" s="6"/>
      <c r="R152" s="2"/>
      <c r="S152" s="2"/>
      <c r="T152" s="2"/>
    </row>
    <row r="153" spans="1:20" x14ac:dyDescent="0.3">
      <c r="A153" s="2">
        <v>152</v>
      </c>
      <c r="B153" s="2" t="s">
        <v>30</v>
      </c>
      <c r="C153" s="2" t="s">
        <v>729</v>
      </c>
      <c r="D153" s="2" t="s">
        <v>730</v>
      </c>
      <c r="E153" s="6">
        <v>44458</v>
      </c>
      <c r="F153" s="2" t="s">
        <v>3545</v>
      </c>
      <c r="G153" s="2">
        <v>4</v>
      </c>
      <c r="H153" s="2" t="s">
        <v>3499</v>
      </c>
      <c r="P153" s="2"/>
      <c r="Q153" s="6"/>
      <c r="R153" s="2"/>
      <c r="S153" s="2"/>
      <c r="T153" s="2"/>
    </row>
    <row r="154" spans="1:20" x14ac:dyDescent="0.3">
      <c r="A154" s="2">
        <v>153</v>
      </c>
      <c r="B154" s="2" t="s">
        <v>35</v>
      </c>
      <c r="C154" s="2" t="s">
        <v>739</v>
      </c>
      <c r="D154" s="2" t="s">
        <v>740</v>
      </c>
      <c r="E154" s="6">
        <v>44426</v>
      </c>
      <c r="F154" s="2" t="s">
        <v>3602</v>
      </c>
      <c r="G154" s="2">
        <v>1</v>
      </c>
      <c r="H154" s="2" t="s">
        <v>3501</v>
      </c>
      <c r="P154" s="2"/>
      <c r="Q154" s="6"/>
      <c r="R154" s="2"/>
      <c r="S154" s="2"/>
      <c r="T154" s="2"/>
    </row>
    <row r="155" spans="1:20" x14ac:dyDescent="0.3">
      <c r="A155" s="2">
        <v>154</v>
      </c>
      <c r="B155" s="2" t="s">
        <v>85</v>
      </c>
      <c r="C155" s="2" t="s">
        <v>744</v>
      </c>
      <c r="D155" s="2" t="s">
        <v>745</v>
      </c>
      <c r="E155" s="6">
        <v>44447</v>
      </c>
      <c r="F155" s="2" t="s">
        <v>3603</v>
      </c>
      <c r="G155" s="2">
        <v>1</v>
      </c>
      <c r="H155" s="2" t="s">
        <v>3499</v>
      </c>
      <c r="P155" s="2"/>
      <c r="Q155" s="6"/>
      <c r="R155" s="2"/>
      <c r="S155" s="2"/>
      <c r="T155" s="2"/>
    </row>
    <row r="156" spans="1:20" x14ac:dyDescent="0.3">
      <c r="A156" s="2">
        <v>155</v>
      </c>
      <c r="B156" s="2" t="s">
        <v>110</v>
      </c>
      <c r="C156" s="2" t="s">
        <v>749</v>
      </c>
      <c r="D156" s="2" t="s">
        <v>750</v>
      </c>
      <c r="E156" s="6">
        <v>44502</v>
      </c>
      <c r="F156" s="2" t="s">
        <v>3533</v>
      </c>
      <c r="G156" s="2">
        <v>2</v>
      </c>
      <c r="H156" s="2" t="s">
        <v>3499</v>
      </c>
      <c r="P156" s="2"/>
      <c r="Q156" s="6"/>
      <c r="R156" s="2"/>
      <c r="S156" s="2"/>
      <c r="T156" s="2"/>
    </row>
    <row r="157" spans="1:20" x14ac:dyDescent="0.3">
      <c r="A157" s="2">
        <v>156</v>
      </c>
      <c r="B157" s="2" t="s">
        <v>70</v>
      </c>
      <c r="C157" s="2" t="s">
        <v>759</v>
      </c>
      <c r="D157" s="2" t="s">
        <v>760</v>
      </c>
      <c r="E157" s="6">
        <v>44438</v>
      </c>
      <c r="F157" s="2" t="s">
        <v>3604</v>
      </c>
      <c r="G157" s="2">
        <v>1</v>
      </c>
      <c r="H157" s="2" t="s">
        <v>3499</v>
      </c>
      <c r="P157" s="2"/>
      <c r="Q157" s="6"/>
      <c r="R157" s="2"/>
      <c r="S157" s="2"/>
      <c r="T157" s="2"/>
    </row>
    <row r="158" spans="1:20" x14ac:dyDescent="0.3">
      <c r="A158" s="2">
        <v>157</v>
      </c>
      <c r="B158" s="2" t="s">
        <v>145</v>
      </c>
      <c r="C158" s="2" t="s">
        <v>764</v>
      </c>
      <c r="D158" s="2" t="s">
        <v>765</v>
      </c>
      <c r="E158" s="6">
        <v>44434</v>
      </c>
      <c r="F158" s="2" t="s">
        <v>3546</v>
      </c>
      <c r="G158" s="2">
        <v>5</v>
      </c>
      <c r="H158" s="2" t="s">
        <v>3499</v>
      </c>
      <c r="P158" s="2"/>
      <c r="Q158" s="6"/>
      <c r="R158" s="2"/>
      <c r="S158" s="2"/>
      <c r="T158" s="2"/>
    </row>
    <row r="159" spans="1:20" x14ac:dyDescent="0.3">
      <c r="A159" s="2">
        <v>158</v>
      </c>
      <c r="B159" s="2" t="s">
        <v>75</v>
      </c>
      <c r="C159" s="2" t="s">
        <v>769</v>
      </c>
      <c r="D159" s="2" t="s">
        <v>770</v>
      </c>
      <c r="E159" s="6">
        <v>44484</v>
      </c>
      <c r="F159" s="2" t="s">
        <v>3547</v>
      </c>
      <c r="G159" s="2">
        <v>1</v>
      </c>
      <c r="H159" s="2" t="s">
        <v>3499</v>
      </c>
      <c r="P159" s="2"/>
      <c r="Q159" s="6"/>
      <c r="R159" s="2"/>
      <c r="S159" s="2"/>
      <c r="T159" s="2"/>
    </row>
    <row r="160" spans="1:20" x14ac:dyDescent="0.3">
      <c r="A160" s="2">
        <v>159</v>
      </c>
      <c r="B160" s="2" t="s">
        <v>25</v>
      </c>
      <c r="C160" s="2" t="s">
        <v>774</v>
      </c>
      <c r="D160" s="2" t="s">
        <v>775</v>
      </c>
      <c r="E160" s="6">
        <v>44481</v>
      </c>
      <c r="F160" s="2" t="s">
        <v>3533</v>
      </c>
      <c r="G160" s="2">
        <v>2</v>
      </c>
      <c r="H160" s="2" t="s">
        <v>3501</v>
      </c>
      <c r="P160" s="2"/>
      <c r="Q160" s="6"/>
      <c r="R160" s="2"/>
      <c r="S160" s="2"/>
      <c r="T160" s="2"/>
    </row>
    <row r="161" spans="1:20" x14ac:dyDescent="0.3">
      <c r="A161" s="2">
        <v>160</v>
      </c>
      <c r="B161" s="2" t="s">
        <v>85</v>
      </c>
      <c r="C161" s="2" t="s">
        <v>784</v>
      </c>
      <c r="D161" s="2" t="s">
        <v>785</v>
      </c>
      <c r="E161" s="6">
        <v>44469</v>
      </c>
      <c r="F161" s="2" t="s">
        <v>3534</v>
      </c>
      <c r="G161" s="2">
        <v>2</v>
      </c>
      <c r="H161" s="2" t="s">
        <v>3499</v>
      </c>
      <c r="P161" s="2"/>
      <c r="Q161" s="6"/>
      <c r="R161" s="2"/>
      <c r="S161" s="2"/>
      <c r="T161" s="2"/>
    </row>
    <row r="162" spans="1:20" x14ac:dyDescent="0.3">
      <c r="A162" s="2">
        <v>161</v>
      </c>
      <c r="B162" s="2" t="s">
        <v>165</v>
      </c>
      <c r="C162" s="2" t="s">
        <v>789</v>
      </c>
      <c r="D162" s="2" t="s">
        <v>790</v>
      </c>
      <c r="E162" s="6">
        <v>44475</v>
      </c>
      <c r="F162" s="2" t="s">
        <v>3538</v>
      </c>
      <c r="G162" s="2">
        <v>3</v>
      </c>
      <c r="H162" s="2" t="s">
        <v>3499</v>
      </c>
      <c r="P162" s="2"/>
      <c r="Q162" s="6"/>
      <c r="R162" s="2"/>
      <c r="S162" s="2"/>
      <c r="T162" s="2"/>
    </row>
    <row r="163" spans="1:20" x14ac:dyDescent="0.3">
      <c r="A163" s="2">
        <v>162</v>
      </c>
      <c r="B163" s="2" t="s">
        <v>95</v>
      </c>
      <c r="C163" s="2" t="s">
        <v>794</v>
      </c>
      <c r="D163" s="2" t="s">
        <v>795</v>
      </c>
      <c r="E163" s="6">
        <v>44454</v>
      </c>
      <c r="F163" s="2" t="s">
        <v>3517</v>
      </c>
      <c r="G163" s="2">
        <v>4</v>
      </c>
      <c r="H163" s="2" t="s">
        <v>3501</v>
      </c>
      <c r="P163" s="2"/>
      <c r="Q163" s="6"/>
      <c r="R163" s="2"/>
      <c r="S163" s="2"/>
      <c r="T163" s="2"/>
    </row>
    <row r="164" spans="1:20" x14ac:dyDescent="0.3">
      <c r="A164" s="2">
        <v>163</v>
      </c>
      <c r="B164" s="2" t="s">
        <v>45</v>
      </c>
      <c r="C164" s="2" t="s">
        <v>799</v>
      </c>
      <c r="D164" s="2" t="s">
        <v>800</v>
      </c>
      <c r="E164" s="6">
        <v>44479</v>
      </c>
      <c r="F164" s="2" t="s">
        <v>3571</v>
      </c>
      <c r="G164" s="2">
        <v>5</v>
      </c>
      <c r="H164" s="2" t="s">
        <v>3499</v>
      </c>
      <c r="P164" s="2"/>
      <c r="Q164" s="6"/>
      <c r="R164" s="2"/>
      <c r="S164" s="2"/>
      <c r="T164" s="2"/>
    </row>
    <row r="165" spans="1:20" x14ac:dyDescent="0.3">
      <c r="A165" s="2">
        <v>164</v>
      </c>
      <c r="B165" s="2" t="s">
        <v>100</v>
      </c>
      <c r="C165" s="2" t="s">
        <v>809</v>
      </c>
      <c r="D165" s="2" t="s">
        <v>810</v>
      </c>
      <c r="E165" s="6">
        <v>44440</v>
      </c>
      <c r="F165" s="2" t="s">
        <v>3575</v>
      </c>
      <c r="G165" s="2">
        <v>5</v>
      </c>
      <c r="H165" s="2" t="s">
        <v>3501</v>
      </c>
      <c r="P165" s="2"/>
      <c r="Q165" s="6"/>
      <c r="R165" s="2"/>
      <c r="S165" s="2"/>
      <c r="T165" s="2"/>
    </row>
    <row r="166" spans="1:20" x14ac:dyDescent="0.3">
      <c r="A166" s="2">
        <v>165</v>
      </c>
      <c r="B166" s="2" t="s">
        <v>195</v>
      </c>
      <c r="C166" s="2" t="s">
        <v>819</v>
      </c>
      <c r="D166" s="2" t="s">
        <v>820</v>
      </c>
      <c r="E166" s="6">
        <v>44450</v>
      </c>
      <c r="F166" s="2" t="s">
        <v>3605</v>
      </c>
      <c r="G166" s="2">
        <v>4</v>
      </c>
      <c r="H166" s="2" t="s">
        <v>3499</v>
      </c>
      <c r="P166" s="2"/>
      <c r="Q166" s="6"/>
      <c r="R166" s="2"/>
      <c r="S166" s="2"/>
      <c r="T166" s="2"/>
    </row>
    <row r="167" spans="1:20" x14ac:dyDescent="0.3">
      <c r="A167" s="2">
        <v>166</v>
      </c>
      <c r="B167" s="2" t="s">
        <v>110</v>
      </c>
      <c r="C167" s="2" t="s">
        <v>829</v>
      </c>
      <c r="D167" s="2" t="s">
        <v>830</v>
      </c>
      <c r="E167" s="6">
        <v>44482</v>
      </c>
      <c r="F167" s="2" t="s">
        <v>3550</v>
      </c>
      <c r="G167" s="2">
        <v>5</v>
      </c>
      <c r="H167" s="2" t="s">
        <v>3501</v>
      </c>
      <c r="P167" s="2"/>
      <c r="Q167" s="6"/>
      <c r="R167" s="2"/>
      <c r="S167" s="2"/>
      <c r="T167" s="2"/>
    </row>
    <row r="168" spans="1:20" x14ac:dyDescent="0.3">
      <c r="A168" s="2">
        <v>167</v>
      </c>
      <c r="B168" s="2" t="s">
        <v>165</v>
      </c>
      <c r="C168" s="2" t="s">
        <v>834</v>
      </c>
      <c r="D168" s="2" t="s">
        <v>835</v>
      </c>
      <c r="E168" s="6">
        <v>44498</v>
      </c>
      <c r="F168" s="2" t="s">
        <v>3606</v>
      </c>
      <c r="G168" s="2">
        <v>2</v>
      </c>
      <c r="H168" s="2" t="s">
        <v>3501</v>
      </c>
      <c r="P168" s="2"/>
      <c r="Q168" s="6"/>
      <c r="R168" s="2"/>
      <c r="S168" s="2"/>
      <c r="T168" s="2"/>
    </row>
    <row r="169" spans="1:20" x14ac:dyDescent="0.3">
      <c r="A169" s="2">
        <v>168</v>
      </c>
      <c r="B169" s="2" t="s">
        <v>130</v>
      </c>
      <c r="C169" s="2" t="s">
        <v>839</v>
      </c>
      <c r="D169" s="2" t="s">
        <v>840</v>
      </c>
      <c r="E169" s="6">
        <v>44503</v>
      </c>
      <c r="F169" s="2" t="s">
        <v>3607</v>
      </c>
      <c r="G169" s="2">
        <v>2</v>
      </c>
      <c r="H169" s="2" t="s">
        <v>3501</v>
      </c>
      <c r="P169" s="2"/>
      <c r="Q169" s="6"/>
      <c r="R169" s="2"/>
      <c r="S169" s="2"/>
      <c r="T169" s="2"/>
    </row>
    <row r="170" spans="1:20" x14ac:dyDescent="0.3">
      <c r="A170" s="2">
        <v>169</v>
      </c>
      <c r="B170" s="2" t="s">
        <v>180</v>
      </c>
      <c r="C170" s="2" t="s">
        <v>844</v>
      </c>
      <c r="D170" s="2" t="s">
        <v>845</v>
      </c>
      <c r="E170" s="6">
        <v>44429</v>
      </c>
      <c r="F170" s="2" t="s">
        <v>3608</v>
      </c>
      <c r="G170" s="2">
        <v>3</v>
      </c>
      <c r="H170" s="2" t="s">
        <v>3501</v>
      </c>
      <c r="P170" s="2"/>
      <c r="Q170" s="6"/>
      <c r="R170" s="2"/>
      <c r="S170" s="2"/>
      <c r="T170" s="2"/>
    </row>
    <row r="171" spans="1:20" x14ac:dyDescent="0.3">
      <c r="A171" s="2">
        <v>170</v>
      </c>
      <c r="B171" s="2" t="s">
        <v>160</v>
      </c>
      <c r="C171" s="2" t="s">
        <v>849</v>
      </c>
      <c r="D171" s="2" t="s">
        <v>850</v>
      </c>
      <c r="E171" s="6">
        <v>44414</v>
      </c>
      <c r="F171" s="2" t="s">
        <v>3609</v>
      </c>
      <c r="G171" s="2">
        <v>2</v>
      </c>
      <c r="H171" s="2" t="s">
        <v>3499</v>
      </c>
      <c r="P171" s="2"/>
      <c r="Q171" s="6"/>
      <c r="R171" s="2"/>
      <c r="S171" s="2"/>
      <c r="T171" s="2"/>
    </row>
    <row r="172" spans="1:20" x14ac:dyDescent="0.3">
      <c r="A172" s="2">
        <v>171</v>
      </c>
      <c r="B172" s="2" t="s">
        <v>75</v>
      </c>
      <c r="C172" s="2" t="s">
        <v>854</v>
      </c>
      <c r="D172" s="2" t="s">
        <v>855</v>
      </c>
      <c r="E172" s="6">
        <v>44437</v>
      </c>
      <c r="F172" s="2" t="s">
        <v>3610</v>
      </c>
      <c r="G172" s="2">
        <v>3</v>
      </c>
      <c r="H172" s="2" t="s">
        <v>3501</v>
      </c>
      <c r="P172" s="2"/>
      <c r="Q172" s="6"/>
      <c r="R172" s="2"/>
      <c r="S172" s="2"/>
      <c r="T172" s="2"/>
    </row>
    <row r="173" spans="1:20" x14ac:dyDescent="0.3">
      <c r="A173" s="2">
        <v>172</v>
      </c>
      <c r="B173" s="2" t="s">
        <v>115</v>
      </c>
      <c r="C173" s="2" t="s">
        <v>859</v>
      </c>
      <c r="D173" s="2" t="s">
        <v>860</v>
      </c>
      <c r="E173" s="6">
        <v>44467</v>
      </c>
      <c r="F173" s="2" t="s">
        <v>3611</v>
      </c>
      <c r="G173" s="2">
        <v>4</v>
      </c>
      <c r="H173" s="2" t="s">
        <v>3499</v>
      </c>
      <c r="P173" s="2"/>
      <c r="Q173" s="6"/>
      <c r="R173" s="2"/>
      <c r="S173" s="2"/>
      <c r="T173" s="2"/>
    </row>
    <row r="174" spans="1:20" x14ac:dyDescent="0.3">
      <c r="A174" s="2">
        <v>173</v>
      </c>
      <c r="B174" s="2" t="s">
        <v>190</v>
      </c>
      <c r="C174" s="2" t="s">
        <v>869</v>
      </c>
      <c r="D174" s="2" t="s">
        <v>870</v>
      </c>
      <c r="E174" s="6">
        <v>44490</v>
      </c>
      <c r="F174" s="2" t="s">
        <v>3612</v>
      </c>
      <c r="G174" s="2">
        <v>4</v>
      </c>
      <c r="H174" s="2" t="s">
        <v>3499</v>
      </c>
      <c r="P174" s="2"/>
      <c r="Q174" s="6"/>
      <c r="R174" s="2"/>
      <c r="S174" s="2"/>
      <c r="T174" s="2"/>
    </row>
    <row r="175" spans="1:20" x14ac:dyDescent="0.3">
      <c r="A175" s="2">
        <v>174</v>
      </c>
      <c r="B175" s="2" t="s">
        <v>160</v>
      </c>
      <c r="C175" s="2" t="s">
        <v>874</v>
      </c>
      <c r="D175" s="2" t="s">
        <v>875</v>
      </c>
      <c r="E175" s="6">
        <v>44468</v>
      </c>
      <c r="F175" s="2" t="s">
        <v>3613</v>
      </c>
      <c r="G175" s="2">
        <v>2</v>
      </c>
      <c r="H175" s="2" t="s">
        <v>3501</v>
      </c>
      <c r="P175" s="2"/>
      <c r="Q175" s="6"/>
      <c r="R175" s="2"/>
      <c r="S175" s="2"/>
      <c r="T175" s="2"/>
    </row>
    <row r="176" spans="1:20" x14ac:dyDescent="0.3">
      <c r="A176" s="2">
        <v>175</v>
      </c>
      <c r="B176" s="2" t="s">
        <v>140</v>
      </c>
      <c r="C176" s="2" t="s">
        <v>884</v>
      </c>
      <c r="D176" s="2" t="s">
        <v>885</v>
      </c>
      <c r="E176" s="6">
        <v>44427</v>
      </c>
      <c r="F176" s="2" t="s">
        <v>3614</v>
      </c>
      <c r="G176" s="2">
        <v>1</v>
      </c>
      <c r="H176" s="2" t="s">
        <v>3499</v>
      </c>
      <c r="P176" s="2"/>
      <c r="Q176" s="6"/>
      <c r="R176" s="2"/>
      <c r="S176" s="2"/>
      <c r="T176" s="2"/>
    </row>
    <row r="177" spans="1:20" x14ac:dyDescent="0.3">
      <c r="A177" s="2">
        <v>176</v>
      </c>
      <c r="B177" s="2" t="s">
        <v>40</v>
      </c>
      <c r="C177" s="2" t="s">
        <v>894</v>
      </c>
      <c r="D177" s="2" t="s">
        <v>895</v>
      </c>
      <c r="E177" s="6">
        <v>44489</v>
      </c>
      <c r="F177" s="2" t="s">
        <v>3615</v>
      </c>
      <c r="G177" s="2">
        <v>3</v>
      </c>
      <c r="H177" s="2" t="s">
        <v>3499</v>
      </c>
      <c r="P177" s="2"/>
      <c r="Q177" s="6"/>
      <c r="R177" s="2"/>
      <c r="S177" s="2"/>
      <c r="T177" s="2"/>
    </row>
    <row r="178" spans="1:20" x14ac:dyDescent="0.3">
      <c r="A178" s="2">
        <v>177</v>
      </c>
      <c r="B178" s="2" t="s">
        <v>35</v>
      </c>
      <c r="C178" s="2" t="s">
        <v>899</v>
      </c>
      <c r="D178" s="2" t="s">
        <v>900</v>
      </c>
      <c r="E178" s="6">
        <v>44479</v>
      </c>
      <c r="F178" s="2" t="s">
        <v>3507</v>
      </c>
      <c r="G178" s="2">
        <v>2</v>
      </c>
      <c r="H178" s="2" t="s">
        <v>3501</v>
      </c>
      <c r="P178" s="2"/>
      <c r="Q178" s="6"/>
      <c r="R178" s="2"/>
      <c r="S178" s="2"/>
      <c r="T178" s="2"/>
    </row>
    <row r="179" spans="1:20" x14ac:dyDescent="0.3">
      <c r="A179" s="2">
        <v>178</v>
      </c>
      <c r="B179" s="2" t="s">
        <v>140</v>
      </c>
      <c r="C179" s="2" t="s">
        <v>909</v>
      </c>
      <c r="D179" s="2" t="s">
        <v>910</v>
      </c>
      <c r="E179" s="6">
        <v>44481</v>
      </c>
      <c r="F179" s="2" t="s">
        <v>3616</v>
      </c>
      <c r="G179" s="2">
        <v>1</v>
      </c>
      <c r="H179" s="2" t="s">
        <v>3501</v>
      </c>
      <c r="P179" s="2"/>
      <c r="Q179" s="6"/>
      <c r="R179" s="2"/>
      <c r="S179" s="2"/>
      <c r="T179" s="2"/>
    </row>
    <row r="180" spans="1:20" x14ac:dyDescent="0.3">
      <c r="A180" s="2">
        <v>179</v>
      </c>
      <c r="B180" s="2" t="s">
        <v>65</v>
      </c>
      <c r="C180" s="2" t="s">
        <v>914</v>
      </c>
      <c r="D180" s="2" t="s">
        <v>915</v>
      </c>
      <c r="E180" s="6">
        <v>44499</v>
      </c>
      <c r="F180" s="2" t="s">
        <v>3617</v>
      </c>
      <c r="G180" s="2">
        <v>5</v>
      </c>
      <c r="H180" s="2" t="s">
        <v>3499</v>
      </c>
      <c r="P180" s="2"/>
      <c r="Q180" s="6"/>
      <c r="R180" s="2"/>
      <c r="S180" s="2"/>
      <c r="T180" s="2"/>
    </row>
    <row r="181" spans="1:20" x14ac:dyDescent="0.3">
      <c r="A181" s="2">
        <v>180</v>
      </c>
      <c r="B181" s="2" t="s">
        <v>70</v>
      </c>
      <c r="C181" s="2" t="s">
        <v>919</v>
      </c>
      <c r="D181" s="2" t="s">
        <v>920</v>
      </c>
      <c r="E181" s="6">
        <v>44499</v>
      </c>
      <c r="F181" s="2" t="s">
        <v>3618</v>
      </c>
      <c r="G181" s="2">
        <v>4</v>
      </c>
      <c r="H181" s="2" t="s">
        <v>3499</v>
      </c>
      <c r="P181" s="2"/>
      <c r="Q181" s="6"/>
      <c r="R181" s="2"/>
      <c r="S181" s="2"/>
      <c r="T181" s="2"/>
    </row>
    <row r="182" spans="1:20" x14ac:dyDescent="0.3">
      <c r="A182" s="2">
        <v>181</v>
      </c>
      <c r="B182" s="2" t="s">
        <v>25</v>
      </c>
      <c r="C182" s="2" t="s">
        <v>924</v>
      </c>
      <c r="D182" s="2" t="s">
        <v>925</v>
      </c>
      <c r="E182" s="6">
        <v>44499</v>
      </c>
      <c r="F182" s="2" t="s">
        <v>3505</v>
      </c>
      <c r="G182" s="2">
        <v>4</v>
      </c>
      <c r="H182" s="2" t="s">
        <v>3499</v>
      </c>
      <c r="P182" s="2"/>
      <c r="Q182" s="6"/>
      <c r="R182" s="2"/>
      <c r="S182" s="2"/>
      <c r="T182" s="2"/>
    </row>
    <row r="183" spans="1:20" x14ac:dyDescent="0.3">
      <c r="A183" s="2">
        <v>182</v>
      </c>
      <c r="B183" s="2" t="s">
        <v>150</v>
      </c>
      <c r="C183" s="2" t="s">
        <v>239</v>
      </c>
      <c r="D183" s="2" t="s">
        <v>240</v>
      </c>
      <c r="E183" s="6">
        <v>44464</v>
      </c>
      <c r="F183" s="2" t="s">
        <v>3619</v>
      </c>
      <c r="G183" s="2">
        <v>1</v>
      </c>
      <c r="H183" s="2" t="s">
        <v>3501</v>
      </c>
      <c r="P183" s="2"/>
      <c r="Q183" s="6"/>
      <c r="R183" s="2"/>
      <c r="S183" s="2"/>
      <c r="T183" s="2"/>
    </row>
  </sheetData>
  <phoneticPr fontId="1" type="noConversion"/>
  <conditionalFormatting sqref="A1:H1048576 P1:T1">
    <cfRule type="expression" dxfId="0" priority="2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autoLine="0" r:id="rId4">
            <anchor moveWithCells="1">
              <from>
                <xdr:col>8</xdr:col>
                <xdr:colOff>200025</xdr:colOff>
                <xdr:row>0</xdr:row>
                <xdr:rowOff>142875</xdr:rowOff>
              </from>
              <to>
                <xdr:col>10</xdr:col>
                <xdr:colOff>600075</xdr:colOff>
                <xdr:row>3</xdr:row>
                <xdr:rowOff>47625</xdr:rowOff>
              </to>
            </anchor>
          </controlPr>
        </control>
      </mc:Choice>
      <mc:Fallback>
        <control shapeId="9217" r:id="rId3" name="CommandButton1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"/>
  <sheetViews>
    <sheetView tabSelected="1" workbookViewId="0">
      <selection activeCell="H11" sqref="H11"/>
    </sheetView>
  </sheetViews>
  <sheetFormatPr defaultRowHeight="16.5" x14ac:dyDescent="0.3"/>
  <sheetData>
    <row r="1" spans="1:6" x14ac:dyDescent="0.3">
      <c r="B1" t="e">
        <f>VLOOKUP($A$1, 표2[], 2, 0)</f>
        <v>#N/A</v>
      </c>
      <c r="C1" t="e">
        <f>VLOOKUP($A$1, 표2[], 3, 0)</f>
        <v>#N/A</v>
      </c>
      <c r="D1" t="e">
        <f>VLOOKUP($A$1, 표2[], 4, 0)</f>
        <v>#N/A</v>
      </c>
      <c r="E1" t="e">
        <f>VLOOKUP($A$1, 표2[], 5, 0)</f>
        <v>#N/A</v>
      </c>
      <c r="F1" t="e">
        <f>VLOOKUP($A$1, 표2[], 6, 0)</f>
        <v>#N/A</v>
      </c>
    </row>
    <row r="2" spans="1:6" x14ac:dyDescent="0.3">
      <c r="A2" t="str">
        <f>IF(LEFT(A1, 1)="A", "주문자", IF(LEFT(A1, 1)="Z", "판매자", IF(A1="", "", "관리자")))</f>
        <v/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13</vt:i4>
      </vt:variant>
    </vt:vector>
  </HeadingPairs>
  <TitlesOfParts>
    <vt:vector size="23" baseType="lpstr">
      <vt:lpstr>로딩</vt:lpstr>
      <vt:lpstr>Main</vt:lpstr>
      <vt:lpstr>회원</vt:lpstr>
      <vt:lpstr>상세정보</vt:lpstr>
      <vt:lpstr>음식</vt:lpstr>
      <vt:lpstr>접근금지구역</vt:lpstr>
      <vt:lpstr>주문내역</vt:lpstr>
      <vt:lpstr>맛집파인더</vt:lpstr>
      <vt:lpstr>리뷰</vt:lpstr>
      <vt:lpstr>디자인</vt:lpstr>
      <vt:lpstr>리뷰!Criteria</vt:lpstr>
      <vt:lpstr>음식!Criteria</vt:lpstr>
      <vt:lpstr>주문내역!Criteria</vt:lpstr>
      <vt:lpstr>리뷰!Extract</vt:lpstr>
      <vt:lpstr>음식!Extract</vt:lpstr>
      <vt:lpstr>주문내역!Extract</vt:lpstr>
      <vt:lpstr>등급</vt:lpstr>
      <vt:lpstr>로딩구역</vt:lpstr>
      <vt:lpstr>번호</vt:lpstr>
      <vt:lpstr>이름</vt:lpstr>
      <vt:lpstr>좌표</vt:lpstr>
      <vt:lpstr>타입</vt:lpstr>
      <vt:lpstr>판매자시작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2021-09-06T00:04:12Z</dcterms:created>
  <dcterms:modified xsi:type="dcterms:W3CDTF">2021-09-06T10:51:14Z</dcterms:modified>
</cp:coreProperties>
</file>