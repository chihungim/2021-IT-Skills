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YSH\Desktop\2021서울엑셀_박순형_내위치로해법_20210725\"/>
    </mc:Choice>
  </mc:AlternateContent>
  <bookViews>
    <workbookView xWindow="-120" yWindow="-120" windowWidth="24240" windowHeight="13140" activeTab="9"/>
  </bookViews>
  <sheets>
    <sheet name="로딩" sheetId="1" r:id="rId1"/>
    <sheet name="Main" sheetId="2" r:id="rId2"/>
    <sheet name="회원" sheetId="3" r:id="rId3"/>
    <sheet name="상세정보" sheetId="4" r:id="rId4"/>
    <sheet name="음식" sheetId="5" r:id="rId5"/>
    <sheet name="접근금지구역" sheetId="6" r:id="rId6"/>
    <sheet name="주문 내역" sheetId="7" r:id="rId7"/>
    <sheet name="맛집파인더" sheetId="8" r:id="rId8"/>
    <sheet name="리뷰" sheetId="9" r:id="rId9"/>
    <sheet name="테스트" sheetId="10" r:id="rId10"/>
  </sheets>
  <functionGroups builtInGroupCount="18"/>
  <definedNames>
    <definedName name="_xlnm._FilterDatabase" localSheetId="8" hidden="1">리뷰!$A$1:$H$183</definedName>
    <definedName name="_xlnm._FilterDatabase" localSheetId="3" hidden="1">상세정보!$A$1:$C$139</definedName>
    <definedName name="_xlnm._FilterDatabase" localSheetId="4" hidden="1">음식!$A$1:$E$1311</definedName>
    <definedName name="_xlnm._FilterDatabase" localSheetId="6" hidden="1">'주문 내역'!$A$1:$H$297</definedName>
    <definedName name="_xlnm.Criteria" localSheetId="1">Main!$P$1:$P$2</definedName>
    <definedName name="_xlnm.Criteria" localSheetId="8">리뷰!$J$1:$J$2</definedName>
    <definedName name="_xlnm.Criteria" localSheetId="7">맛집파인더!$DL$1:$DM$2</definedName>
    <definedName name="_xlnm.Criteria" localSheetId="3">상세정보!$I$1:$I$2</definedName>
    <definedName name="_xlnm.Criteria" localSheetId="4">음식!$G$1:$G$2</definedName>
    <definedName name="_xlnm.Criteria" localSheetId="6">'주문 내역'!$J$1:$J$2</definedName>
    <definedName name="_xlnm.Extract" localSheetId="1">Main!$R$1:$V$1</definedName>
    <definedName name="_xlnm.Extract" localSheetId="8">리뷰!$L$1:$S$1</definedName>
    <definedName name="_xlnm.Extract" localSheetId="7">맛집파인더!$DO$1:$DV$1</definedName>
    <definedName name="_xlnm.Extract" localSheetId="3">상세정보!$K$1:$M$1</definedName>
    <definedName name="_xlnm.Extract" localSheetId="4">음식!$I$1:$M$1</definedName>
    <definedName name="_xlnm.Extract" localSheetId="6">'주문 내역'!$L$1:$S$1</definedName>
    <definedName name="tst">#REF!</definedName>
    <definedName name="금지좌표">표5[좌표]</definedName>
    <definedName name="도착셀">맛집파인더!$DH$17</definedName>
    <definedName name="종류">Main!$A$2</definedName>
    <definedName name="출발셀">맛집파인더!#REF!</definedName>
    <definedName name="판매자번호">음식!$G$2</definedName>
    <definedName name="판매자시작">회원!$A$50</definedName>
    <definedName name="회원번호">Main!$B$2</definedName>
    <definedName name="회원좌표">표2[좌표]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2" l="1"/>
  <c r="DL2" i="8" l="1"/>
  <c r="H10" i="8"/>
  <c r="AM8" i="8" l="1"/>
  <c r="DE7" i="8"/>
  <c r="J9" i="8"/>
  <c r="C3" i="4" l="1"/>
  <c r="C10" i="4"/>
  <c r="C11" i="4"/>
  <c r="C12" i="4"/>
  <c r="C13" i="4"/>
  <c r="C14" i="4"/>
  <c r="C15" i="4"/>
  <c r="C16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5" i="4"/>
  <c r="C36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I39" i="3"/>
  <c r="H7" i="3"/>
  <c r="J7" i="3"/>
  <c r="H1" i="3"/>
  <c r="L10" i="3" l="1"/>
  <c r="C2" i="4"/>
  <c r="C4" i="4"/>
  <c r="C5" i="4"/>
  <c r="C6" i="4"/>
  <c r="C7" i="4"/>
  <c r="C8" i="4"/>
  <c r="C9" i="4"/>
  <c r="C17" i="4"/>
  <c r="C33" i="4"/>
  <c r="C37" i="4"/>
  <c r="F151" i="3" a="1"/>
  <c r="F185" i="3" a="1"/>
  <c r="F160" i="3" a="1"/>
  <c r="F115" i="3" a="1"/>
  <c r="F17" i="3" a="1"/>
  <c r="F16" i="3" a="1"/>
  <c r="F8" i="3" a="1"/>
  <c r="F150" i="3" a="1"/>
  <c r="F144" i="3" a="1"/>
  <c r="F67" i="3" a="1"/>
  <c r="F129" i="3" a="1"/>
  <c r="F142" i="3" a="1"/>
  <c r="F29" i="3" a="1"/>
  <c r="F93" i="3" a="1"/>
  <c r="F158" i="3" a="1"/>
  <c r="F28" i="3" a="1"/>
  <c r="F119" i="3" a="1"/>
  <c r="F174" i="3" a="1"/>
  <c r="F71" i="3" a="1"/>
  <c r="F79" i="3" a="1"/>
  <c r="F52" i="3" a="1"/>
  <c r="F82" i="3" a="1"/>
  <c r="F75" i="3" a="1"/>
  <c r="F130" i="3" a="1"/>
  <c r="F23" i="3" a="1"/>
  <c r="F40" i="3" a="1"/>
  <c r="F98" i="3" a="1"/>
  <c r="F125" i="3" a="1"/>
  <c r="F140" i="3" a="1"/>
  <c r="F162" i="3" a="1"/>
  <c r="F58" i="3" a="1"/>
  <c r="F7" i="3" a="1"/>
  <c r="F107" i="3" a="1"/>
  <c r="F91" i="3" a="1"/>
  <c r="F68" i="3" a="1"/>
  <c r="F33" i="3" a="1"/>
  <c r="F43" i="3" a="1"/>
  <c r="F112" i="3" a="1"/>
  <c r="F4" i="3" a="1"/>
  <c r="F132" i="3" a="1"/>
  <c r="F27" i="3" a="1"/>
  <c r="F12" i="3" a="1"/>
  <c r="F64" i="3" a="1"/>
  <c r="F81" i="3" a="1"/>
  <c r="F169" i="3" a="1"/>
  <c r="F113" i="3" a="1"/>
  <c r="F171" i="3" a="1"/>
  <c r="F122" i="3" a="1"/>
  <c r="F63" i="3" a="1"/>
  <c r="F89" i="3" a="1"/>
  <c r="F13" i="3" a="1"/>
  <c r="F117" i="3" a="1"/>
  <c r="F164" i="3" a="1"/>
  <c r="F60" i="3" a="1"/>
  <c r="F109" i="3" a="1"/>
  <c r="F47" i="3" a="1"/>
  <c r="F159" i="3" a="1"/>
  <c r="F35" i="3" a="1"/>
  <c r="F100" i="3" a="1"/>
  <c r="F55" i="3" a="1"/>
  <c r="F178" i="3" a="1"/>
  <c r="F70" i="3" a="1"/>
  <c r="F15" i="3" a="1"/>
  <c r="F186" i="3" a="1"/>
  <c r="F123" i="3" a="1"/>
  <c r="F3" i="3" a="1"/>
  <c r="F49" i="3" a="1"/>
  <c r="F84" i="3" a="1"/>
  <c r="F155" i="3" a="1"/>
  <c r="F38" i="3" a="1"/>
  <c r="F94" i="3" a="1"/>
  <c r="F5" i="3" a="1"/>
  <c r="F44" i="3" a="1"/>
  <c r="F51" i="3" a="1"/>
  <c r="F32" i="3" a="1"/>
  <c r="F114" i="3" a="1"/>
  <c r="F99" i="3" a="1"/>
  <c r="F56" i="3" a="1"/>
  <c r="F45" i="3" a="1"/>
  <c r="F182" i="3" a="1"/>
  <c r="F161" i="3" a="1"/>
  <c r="F18" i="3" a="1"/>
  <c r="F24" i="3" a="1"/>
  <c r="F105" i="3" a="1"/>
  <c r="F170" i="3" a="1"/>
  <c r="F30" i="3" a="1"/>
  <c r="F10" i="3" a="1"/>
  <c r="F41" i="3" a="1"/>
  <c r="F25" i="3" a="1"/>
  <c r="F65" i="3" a="1"/>
  <c r="F36" i="3" a="1"/>
  <c r="F184" i="3" a="1"/>
  <c r="F85" i="3" a="1"/>
  <c r="F22" i="3" a="1"/>
  <c r="F83" i="3" a="1"/>
  <c r="F147" i="3" a="1"/>
  <c r="F97" i="3" a="1"/>
  <c r="F96" i="3" a="1"/>
  <c r="F61" i="3" a="1"/>
  <c r="F108" i="3" a="1"/>
  <c r="F88" i="3" a="1"/>
  <c r="F168" i="3" a="1"/>
  <c r="F76" i="3" a="1"/>
  <c r="F21" i="3" a="1"/>
  <c r="F31" i="3" a="1"/>
  <c r="F141" i="3" a="1"/>
  <c r="F176" i="3" a="1"/>
  <c r="F187" i="3" a="1"/>
  <c r="F136" i="3" a="1"/>
  <c r="F72" i="3" a="1"/>
  <c r="F152" i="3" a="1"/>
  <c r="F135" i="3" a="1"/>
  <c r="F163" i="3" a="1"/>
  <c r="F121" i="3" a="1"/>
  <c r="F69" i="3" a="1"/>
  <c r="F139" i="3" a="1"/>
  <c r="F154" i="3" a="1"/>
  <c r="F34" i="3" a="1"/>
  <c r="F50" i="3" a="1"/>
  <c r="F181" i="3" a="1"/>
  <c r="F74" i="3" a="1"/>
  <c r="F148" i="3" a="1"/>
  <c r="F179" i="3" a="1"/>
  <c r="F167" i="3" a="1"/>
  <c r="F57" i="3" a="1"/>
  <c r="F127" i="3" a="1"/>
  <c r="F173" i="3" a="1"/>
  <c r="F59" i="3" a="1"/>
  <c r="F153" i="3" a="1"/>
  <c r="F116" i="3" a="1"/>
  <c r="F14" i="3" a="1"/>
  <c r="F145" i="3" a="1"/>
  <c r="F106" i="3" a="1"/>
  <c r="F124" i="3" a="1"/>
  <c r="F101" i="3" a="1"/>
  <c r="F37" i="3" a="1"/>
  <c r="F11" i="3" a="1"/>
  <c r="F126" i="3" a="1"/>
  <c r="F42" i="3" a="1"/>
  <c r="F128" i="3" a="1"/>
  <c r="F20" i="3" a="1"/>
  <c r="F149" i="3" a="1"/>
  <c r="F9" i="3" a="1"/>
  <c r="F103" i="3" a="1"/>
  <c r="F156" i="3" a="1"/>
  <c r="F166" i="3" a="1"/>
  <c r="F183" i="3" a="1"/>
  <c r="F73" i="3" a="1"/>
  <c r="F46" i="3" a="1"/>
  <c r="F78" i="3" a="1"/>
  <c r="F19" i="3" a="1"/>
  <c r="F138" i="3" a="1"/>
  <c r="F146" i="3" a="1"/>
  <c r="F120" i="3" a="1"/>
  <c r="F104" i="3" a="1"/>
  <c r="F137" i="3" a="1"/>
  <c r="F92" i="3" a="1"/>
  <c r="F87" i="3" a="1"/>
  <c r="F80" i="3" a="1"/>
  <c r="F86" i="3" a="1"/>
  <c r="F175" i="3" a="1"/>
  <c r="F6" i="3" a="1"/>
  <c r="F172" i="3" a="1"/>
  <c r="F131" i="3" a="1"/>
  <c r="F39" i="3" a="1"/>
  <c r="F48" i="3" a="1"/>
  <c r="F102" i="3" a="1"/>
  <c r="F177" i="3" a="1"/>
  <c r="F111" i="3" a="1"/>
  <c r="F62" i="3" a="1"/>
  <c r="F143" i="3" a="1"/>
  <c r="F157" i="3" a="1"/>
  <c r="F134" i="3" a="1"/>
  <c r="F118" i="3" a="1"/>
  <c r="F26" i="3" a="1"/>
  <c r="F133" i="3" a="1"/>
  <c r="F95" i="3" a="1"/>
  <c r="F110" i="3" a="1"/>
  <c r="F165" i="3" a="1"/>
  <c r="F53" i="3" a="1"/>
  <c r="F2" i="3" a="1"/>
  <c r="F54" i="3" a="1"/>
  <c r="F180" i="3" a="1"/>
  <c r="F66" i="3" a="1"/>
  <c r="F90" i="3" a="1"/>
  <c r="F77" i="3" a="1"/>
  <c r="F162" i="3" l="1"/>
  <c r="F143" i="3"/>
  <c r="F135" i="3"/>
  <c r="F127" i="3"/>
  <c r="F114" i="3"/>
  <c r="F103" i="3"/>
  <c r="F95" i="3"/>
  <c r="F90" i="3"/>
  <c r="F82" i="3"/>
  <c r="F74" i="3"/>
  <c r="F66" i="3"/>
  <c r="F55" i="3"/>
  <c r="F50" i="3"/>
  <c r="F42" i="3"/>
  <c r="F31" i="3"/>
  <c r="F23" i="3"/>
  <c r="F18" i="3"/>
  <c r="F15" i="3"/>
  <c r="F10" i="3"/>
  <c r="F186" i="3"/>
  <c r="F184" i="3"/>
  <c r="F182" i="3"/>
  <c r="F180" i="3"/>
  <c r="F178" i="3"/>
  <c r="F176" i="3"/>
  <c r="F174" i="3"/>
  <c r="F172" i="3"/>
  <c r="F169" i="3"/>
  <c r="F164" i="3"/>
  <c r="F161" i="3"/>
  <c r="F156" i="3"/>
  <c r="F153" i="3"/>
  <c r="F148" i="3"/>
  <c r="F145" i="3"/>
  <c r="F140" i="3"/>
  <c r="F137" i="3"/>
  <c r="F132" i="3"/>
  <c r="F129" i="3"/>
  <c r="F124" i="3"/>
  <c r="F121" i="3"/>
  <c r="F116" i="3"/>
  <c r="F113" i="3"/>
  <c r="F108" i="3"/>
  <c r="F105" i="3"/>
  <c r="F100" i="3"/>
  <c r="F97" i="3"/>
  <c r="F92" i="3"/>
  <c r="F89" i="3"/>
  <c r="F84" i="3"/>
  <c r="F81" i="3"/>
  <c r="F76" i="3"/>
  <c r="F73" i="3"/>
  <c r="F68" i="3"/>
  <c r="F65" i="3"/>
  <c r="F60" i="3"/>
  <c r="F57" i="3"/>
  <c r="F52" i="3"/>
  <c r="F49" i="3"/>
  <c r="F44" i="3"/>
  <c r="F41" i="3"/>
  <c r="F36" i="3"/>
  <c r="F33" i="3"/>
  <c r="F28" i="3"/>
  <c r="F25" i="3"/>
  <c r="F20" i="3"/>
  <c r="F17" i="3"/>
  <c r="F12" i="3"/>
  <c r="F9" i="3"/>
  <c r="F4" i="3"/>
  <c r="F170" i="3"/>
  <c r="F159" i="3"/>
  <c r="F151" i="3"/>
  <c r="F130" i="3"/>
  <c r="F122" i="3"/>
  <c r="F111" i="3"/>
  <c r="F106" i="3"/>
  <c r="F98" i="3"/>
  <c r="F87" i="3"/>
  <c r="F79" i="3"/>
  <c r="F71" i="3"/>
  <c r="F63" i="3"/>
  <c r="F58" i="3"/>
  <c r="F47" i="3"/>
  <c r="F39" i="3"/>
  <c r="F34" i="3"/>
  <c r="F26" i="3"/>
  <c r="F7" i="3"/>
  <c r="F171" i="3"/>
  <c r="F166" i="3"/>
  <c r="F163" i="3"/>
  <c r="F158" i="3"/>
  <c r="F155" i="3"/>
  <c r="F150" i="3"/>
  <c r="F147" i="3"/>
  <c r="F142" i="3"/>
  <c r="F139" i="3"/>
  <c r="F134" i="3"/>
  <c r="F131" i="3"/>
  <c r="F126" i="3"/>
  <c r="F123" i="3"/>
  <c r="F118" i="3"/>
  <c r="F115" i="3"/>
  <c r="F110" i="3"/>
  <c r="F107" i="3"/>
  <c r="F102" i="3"/>
  <c r="F99" i="3"/>
  <c r="F94" i="3"/>
  <c r="F91" i="3"/>
  <c r="F86" i="3"/>
  <c r="F83" i="3"/>
  <c r="F78" i="3"/>
  <c r="F75" i="3"/>
  <c r="F70" i="3"/>
  <c r="F67" i="3"/>
  <c r="F62" i="3"/>
  <c r="F59" i="3"/>
  <c r="F54" i="3"/>
  <c r="F51" i="3"/>
  <c r="F46" i="3"/>
  <c r="F43" i="3"/>
  <c r="F38" i="3"/>
  <c r="F35" i="3"/>
  <c r="F30" i="3"/>
  <c r="F27" i="3"/>
  <c r="F22" i="3"/>
  <c r="F19" i="3"/>
  <c r="F14" i="3"/>
  <c r="F11" i="3"/>
  <c r="F6" i="3"/>
  <c r="F3" i="3"/>
  <c r="F167" i="3"/>
  <c r="F154" i="3"/>
  <c r="F146" i="3"/>
  <c r="F138" i="3"/>
  <c r="F119" i="3"/>
  <c r="F187" i="3"/>
  <c r="F185" i="3"/>
  <c r="F183" i="3"/>
  <c r="F181" i="3"/>
  <c r="F179" i="3"/>
  <c r="F177" i="3"/>
  <c r="F175" i="3"/>
  <c r="F173" i="3"/>
  <c r="F168" i="3"/>
  <c r="F165" i="3"/>
  <c r="F160" i="3"/>
  <c r="F157" i="3"/>
  <c r="F152" i="3"/>
  <c r="F149" i="3"/>
  <c r="F144" i="3"/>
  <c r="F141" i="3"/>
  <c r="F136" i="3"/>
  <c r="F133" i="3"/>
  <c r="F128" i="3"/>
  <c r="F125" i="3"/>
  <c r="F120" i="3"/>
  <c r="F117" i="3"/>
  <c r="F112" i="3"/>
  <c r="F109" i="3"/>
  <c r="F104" i="3"/>
  <c r="F101" i="3"/>
  <c r="F96" i="3"/>
  <c r="F93" i="3"/>
  <c r="F88" i="3"/>
  <c r="F85" i="3"/>
  <c r="F80" i="3"/>
  <c r="F77" i="3"/>
  <c r="F72" i="3"/>
  <c r="F69" i="3"/>
  <c r="F64" i="3"/>
  <c r="F61" i="3"/>
  <c r="F56" i="3"/>
  <c r="F53" i="3"/>
  <c r="F48" i="3"/>
  <c r="F45" i="3"/>
  <c r="F40" i="3"/>
  <c r="F37" i="3"/>
  <c r="F32" i="3"/>
  <c r="F29" i="3"/>
  <c r="F24" i="3"/>
  <c r="F21" i="3"/>
  <c r="F16" i="3"/>
  <c r="F13" i="3"/>
  <c r="F8" i="3"/>
  <c r="F5" i="3"/>
  <c r="F2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<sst xmlns="http://schemas.openxmlformats.org/spreadsheetml/2006/main" count="10927" uniqueCount="3674">
  <si>
    <t>progression</t>
    <phoneticPr fontId="1" type="noConversion"/>
  </si>
  <si>
    <t>번호</t>
  </si>
  <si>
    <t>이름</t>
  </si>
  <si>
    <t>좌표</t>
  </si>
  <si>
    <t>아이디</t>
  </si>
  <si>
    <t>비밀번호</t>
  </si>
  <si>
    <t>A001</t>
  </si>
  <si>
    <t>강동원</t>
  </si>
  <si>
    <t>0,0</t>
  </si>
  <si>
    <t>user01</t>
  </si>
  <si>
    <t>user01!</t>
  </si>
  <si>
    <t>A002</t>
  </si>
  <si>
    <t>강해효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</si>
  <si>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</si>
  <si>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</si>
  <si>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</si>
  <si>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</si>
  <si>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</si>
  <si>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</si>
  <si>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</si>
  <si>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</si>
  <si>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</si>
  <si>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</si>
  <si>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</si>
  <si>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</si>
  <si>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</si>
  <si>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</si>
  <si>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</si>
  <si>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</si>
  <si>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</si>
  <si>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</si>
  <si>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</si>
  <si>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</si>
  <si>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</si>
  <si>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</si>
  <si>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</si>
  <si>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</si>
  <si>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</si>
  <si>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</si>
  <si>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</si>
  <si>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</si>
  <si>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</si>
  <si>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</si>
  <si>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</si>
  <si>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</si>
  <si>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</si>
  <si>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</si>
  <si>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</si>
  <si>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</si>
  <si>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</si>
  <si>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</si>
  <si>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</si>
  <si>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</si>
  <si>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</si>
  <si>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</si>
  <si>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</si>
  <si>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</si>
  <si>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</si>
  <si>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</si>
  <si>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</si>
  <si>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</si>
  <si>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</si>
  <si>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</si>
  <si>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</si>
  <si>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</si>
  <si>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</si>
  <si>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</si>
  <si>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</si>
  <si>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</si>
  <si>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</si>
  <si>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</si>
  <si>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</si>
  <si>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</si>
  <si>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</si>
  <si>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</si>
  <si>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</si>
  <si>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</si>
  <si>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</si>
  <si>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</si>
  <si>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</si>
  <si>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</si>
  <si>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</si>
  <si>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</si>
  <si>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</si>
  <si>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</si>
  <si>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</si>
  <si>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</si>
  <si>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</si>
  <si>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</si>
  <si>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</si>
  <si>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</si>
  <si>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</si>
  <si>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</si>
  <si>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</si>
  <si>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</si>
  <si>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</si>
  <si>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</si>
  <si>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</si>
  <si>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</si>
  <si>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</si>
  <si>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</si>
  <si>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</si>
  <si>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</si>
  <si>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</si>
  <si>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</si>
  <si>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</si>
  <si>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</si>
  <si>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</si>
  <si>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</si>
  <si>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</si>
  <si>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</si>
  <si>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</si>
  <si>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</si>
  <si>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</si>
  <si>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</si>
  <si>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</si>
  <si>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</si>
  <si>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</si>
  <si>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</si>
  <si>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</si>
  <si>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</si>
  <si>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</si>
  <si>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</si>
  <si>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</si>
  <si>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</si>
  <si>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</si>
  <si>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</si>
  <si>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</si>
  <si>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</si>
  <si>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</si>
  <si>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</si>
  <si>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</si>
  <si>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</si>
  <si>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</si>
  <si>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</si>
  <si>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</si>
  <si>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</si>
  <si>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</si>
  <si>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</si>
  <si>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</si>
  <si>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</si>
  <si>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</si>
  <si>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</si>
  <si>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</si>
  <si>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</si>
  <si>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</si>
  <si>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</si>
  <si>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</si>
  <si>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</si>
  <si>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</si>
  <si>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</si>
  <si>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</si>
  <si>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</si>
  <si>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</si>
  <si>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</si>
  <si>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</si>
  <si>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</si>
  <si>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</si>
  <si>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</si>
  <si>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</si>
  <si>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</si>
  <si>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</si>
  <si>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</si>
  <si>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</si>
  <si>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</si>
  <si>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</si>
  <si>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</si>
  <si>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</si>
  <si>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</si>
  <si>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</si>
  <si>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</si>
  <si>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</si>
  <si>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</si>
  <si>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</si>
  <si>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</si>
  <si>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</si>
  <si>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</si>
  <si>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</si>
  <si>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</si>
  <si>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</si>
  <si>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</si>
  <si>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</si>
  <si>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</si>
  <si>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</si>
  <si>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</si>
  <si>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</si>
  <si>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</si>
  <si>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</si>
  <si>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</si>
  <si>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</si>
  <si>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</si>
  <si>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</si>
  <si>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</si>
  <si>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</si>
  <si>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</si>
  <si>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</si>
  <si>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</si>
  <si>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</si>
  <si>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</si>
  <si>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</si>
  <si>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</si>
  <si>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</si>
  <si>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</si>
  <si>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</si>
  <si>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</si>
  <si>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</si>
  <si>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</si>
  <si>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</si>
  <si>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</si>
  <si>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</si>
  <si>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</si>
  <si>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</si>
  <si>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</si>
  <si>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</si>
  <si>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</si>
  <si>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</si>
  <si>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</si>
  <si>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</si>
  <si>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</si>
  <si>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</si>
  <si>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</si>
  <si>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</si>
  <si>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</si>
  <si>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</si>
  <si>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</si>
  <si>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</si>
  <si>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</si>
  <si>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</si>
  <si>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</si>
  <si>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</si>
  <si>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</si>
  <si>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</si>
  <si>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</si>
  <si>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</si>
  <si>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</si>
  <si>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</si>
  <si>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</si>
  <si>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</si>
  <si>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</si>
  <si>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</si>
  <si>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</si>
  <si>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</si>
  <si>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</si>
  <si>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</si>
  <si>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</si>
  <si>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</si>
  <si>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</si>
  <si>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</si>
  <si>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</si>
  <si>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</si>
  <si>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</si>
  <si>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</si>
  <si>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</si>
  <si>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</si>
  <si>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</si>
  <si>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</si>
  <si>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</si>
  <si>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</si>
  <si>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</si>
  <si>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</si>
  <si>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</si>
  <si>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</si>
  <si>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</si>
  <si>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</si>
  <si>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</si>
  <si>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</si>
  <si>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</si>
  <si>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</si>
  <si>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</si>
  <si>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</si>
  <si>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</si>
  <si>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</si>
  <si>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</si>
  <si>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</si>
  <si>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</si>
  <si>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</si>
  <si>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</si>
  <si>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</si>
  <si>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</si>
  <si>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</si>
  <si>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</si>
  <si>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</si>
  <si>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</si>
  <si>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</si>
  <si>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</si>
  <si>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</si>
  <si>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</si>
  <si>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</si>
  <si>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</si>
  <si>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</si>
  <si>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</si>
  <si>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</si>
  <si>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</si>
  <si>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</si>
  <si>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</si>
  <si>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</si>
  <si>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</si>
  <si>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</si>
  <si>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</si>
  <si>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</si>
  <si>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</si>
  <si>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</si>
  <si>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</si>
  <si>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</si>
  <si>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</si>
  <si>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</si>
  <si>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21,0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</si>
  <si>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</si>
  <si>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</si>
  <si>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</si>
  <si>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</si>
  <si>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</si>
  <si>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</si>
  <si>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</si>
  <si>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</si>
  <si>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</si>
  <si>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</si>
  <si>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</si>
  <si>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</si>
  <si>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</si>
  <si>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</si>
  <si>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</si>
  <si>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</si>
  <si>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</si>
  <si>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</si>
  <si>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</si>
  <si>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</si>
  <si>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</si>
  <si>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</si>
  <si>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</si>
  <si>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</si>
  <si>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</si>
  <si>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</si>
  <si>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</si>
  <si>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</si>
  <si>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</si>
  <si>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</si>
  <si>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</si>
  <si>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</si>
  <si>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</si>
  <si>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</si>
  <si>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</si>
  <si>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</si>
  <si>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</si>
  <si>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</si>
  <si>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</si>
  <si>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</si>
  <si>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</si>
  <si>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</si>
  <si>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</si>
  <si>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</si>
  <si>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</si>
  <si>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</si>
  <si>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</si>
  <si>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</si>
  <si>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</si>
  <si>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</si>
  <si>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</si>
  <si>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</si>
  <si>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</si>
  <si>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</si>
  <si>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</si>
  <si>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</si>
  <si>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</si>
  <si>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</si>
  <si>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</si>
  <si>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</si>
  <si>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</si>
  <si>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</si>
  <si>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</si>
  <si>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</si>
  <si>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</si>
  <si>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</si>
  <si>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</si>
  <si>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</si>
  <si>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</si>
  <si>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</si>
  <si>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</si>
  <si>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</si>
  <si>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</si>
  <si>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</si>
  <si>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</si>
  <si>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</si>
  <si>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</si>
  <si>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</si>
  <si>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</si>
  <si>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</si>
  <si>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</si>
  <si>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</si>
  <si>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</si>
  <si>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</si>
  <si>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</si>
  <si>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</si>
  <si>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</si>
  <si>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</si>
  <si>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</si>
  <si>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</si>
  <si>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</si>
  <si>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</si>
  <si>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</si>
  <si>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</si>
  <si>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</si>
  <si>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</si>
  <si>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</si>
  <si>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</si>
  <si>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</si>
  <si>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</si>
  <si>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</si>
  <si>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</si>
  <si>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</si>
  <si>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</si>
  <si>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</si>
  <si>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</si>
  <si>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</si>
  <si>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</si>
  <si>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</si>
  <si>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</si>
  <si>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</si>
  <si>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</si>
  <si>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</si>
  <si>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</si>
  <si>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</si>
  <si>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</si>
  <si>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</si>
  <si>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</si>
  <si>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</si>
  <si>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</si>
  <si>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</si>
  <si>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</si>
  <si>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</si>
  <si>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</si>
  <si>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</si>
  <si>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</si>
  <si>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</si>
  <si>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</si>
  <si>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</si>
  <si>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</si>
  <si>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</si>
  <si>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</si>
  <si>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</si>
  <si>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</si>
  <si>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</si>
  <si>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</si>
  <si>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</si>
  <si>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</si>
  <si>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</si>
  <si>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</si>
  <si>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</si>
  <si>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</si>
  <si>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</si>
  <si>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</si>
  <si>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</si>
  <si>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</si>
  <si>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</si>
  <si>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</si>
  <si>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</si>
  <si>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</si>
  <si>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</si>
  <si>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</si>
  <si>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</si>
  <si>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</si>
  <si>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</si>
  <si>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</si>
  <si>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</si>
  <si>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</si>
  <si>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</si>
  <si>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</si>
  <si>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</si>
  <si>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</si>
  <si>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</si>
  <si>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</si>
  <si>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</si>
  <si>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</si>
  <si>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</si>
  <si>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</si>
  <si>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</si>
  <si>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</si>
  <si>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</si>
  <si>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</si>
  <si>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</si>
  <si>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</si>
  <si>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</si>
  <si>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</si>
  <si>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</si>
  <si>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</si>
  <si>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</si>
  <si>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</si>
  <si>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</si>
  <si>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</si>
  <si>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</si>
  <si>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</si>
  <si>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</si>
  <si>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</si>
  <si>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</si>
  <si>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</si>
  <si>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</si>
  <si>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</si>
  <si>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</si>
  <si>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</si>
  <si>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</si>
  <si>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</si>
  <si>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</si>
  <si>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</si>
  <si>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</si>
  <si>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</si>
  <si>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</si>
  <si>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</si>
  <si>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</si>
  <si>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</si>
  <si>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</si>
  <si>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</si>
  <si>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</si>
  <si>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</si>
  <si>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</si>
  <si>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</si>
  <si>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</si>
  <si>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</si>
  <si>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</si>
  <si>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</si>
  <si>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</si>
  <si>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</si>
  <si>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</si>
  <si>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</si>
  <si>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</si>
  <si>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</si>
  <si>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</si>
  <si>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</si>
  <si>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</si>
  <si>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</si>
  <si>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</si>
  <si>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</si>
  <si>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</si>
  <si>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</si>
  <si>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</si>
  <si>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</si>
  <si>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</si>
  <si>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</si>
  <si>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</si>
  <si>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</si>
  <si>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</si>
  <si>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</si>
  <si>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</si>
  <si>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</si>
  <si>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</si>
  <si>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</si>
  <si>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</si>
  <si>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</si>
  <si>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</si>
  <si>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</si>
  <si>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</si>
  <si>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</si>
  <si>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</si>
  <si>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</si>
  <si>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</si>
  <si>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</si>
  <si>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</si>
  <si>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</si>
  <si>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</si>
  <si>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</si>
  <si>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</si>
  <si>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</si>
  <si>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</si>
  <si>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</si>
  <si>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</si>
  <si>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</si>
  <si>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</si>
  <si>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</si>
  <si>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</si>
  <si>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</si>
  <si>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</si>
  <si>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</si>
  <si>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</si>
  <si>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</si>
  <si>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</si>
  <si>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</si>
  <si>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</si>
  <si>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</si>
  <si>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</si>
  <si>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</si>
  <si>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</si>
  <si>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</si>
  <si>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</si>
  <si>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</si>
  <si>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</si>
  <si>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</si>
  <si>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</si>
  <si>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</si>
  <si>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</si>
  <si>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</si>
  <si>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</si>
  <si>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</si>
  <si>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</si>
  <si>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</si>
  <si>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</si>
  <si>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</si>
  <si>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</si>
  <si>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</si>
  <si>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</si>
  <si>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</si>
  <si>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</si>
  <si>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</si>
  <si>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</si>
  <si>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</si>
  <si>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</si>
  <si>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</si>
  <si>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</si>
  <si>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</si>
  <si>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</si>
  <si>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</si>
  <si>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</si>
  <si>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</si>
  <si>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</si>
  <si>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</si>
  <si>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</si>
  <si>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</si>
  <si>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</si>
  <si>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</si>
  <si>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</si>
  <si>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</si>
  <si>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</si>
  <si>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</si>
  <si>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</si>
  <si>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</si>
  <si>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</si>
  <si>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</si>
  <si>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</si>
  <si>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</si>
  <si>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</si>
  <si>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</si>
  <si>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</si>
  <si>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</si>
  <si>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</si>
  <si>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</si>
  <si>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</si>
  <si>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</si>
  <si>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</si>
  <si>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</si>
  <si>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</si>
  <si>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</si>
  <si>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</si>
  <si>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</si>
  <si>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</si>
  <si>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</si>
  <si>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</si>
  <si>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</si>
  <si>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</si>
  <si>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</si>
  <si>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</si>
  <si>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</si>
  <si>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</si>
  <si>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</si>
  <si>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</si>
  <si>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</si>
  <si>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</si>
  <si>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</si>
  <si>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</si>
  <si>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</si>
  <si>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</si>
  <si>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</si>
  <si>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</si>
  <si>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</si>
  <si>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</si>
  <si>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</si>
  <si>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</si>
  <si>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</si>
  <si>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</si>
  <si>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</si>
  <si>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</si>
  <si>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</si>
  <si>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</si>
  <si>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</si>
  <si>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</si>
  <si>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</si>
  <si>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</si>
  <si>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</si>
  <si>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</si>
  <si>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</si>
  <si>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</si>
  <si>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</si>
  <si>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</si>
  <si>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</si>
  <si>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</si>
  <si>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</si>
  <si>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</si>
  <si>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</si>
  <si>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</si>
  <si>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</si>
  <si>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</si>
  <si>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</si>
  <si>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</si>
  <si>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</si>
  <si>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</si>
  <si>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</si>
  <si>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</si>
  <si>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</si>
  <si>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</si>
  <si>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</si>
  <si>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</si>
  <si>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</si>
  <si>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</si>
  <si>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</si>
  <si>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</si>
  <si>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</si>
  <si>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</si>
  <si>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</si>
  <si>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</si>
  <si>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</si>
  <si>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</si>
  <si>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</si>
  <si>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</si>
  <si>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</si>
  <si>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</si>
  <si>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</si>
  <si>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</si>
  <si>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</si>
  <si>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</si>
  <si>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</si>
  <si>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</si>
  <si>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</si>
  <si>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</si>
  <si>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</si>
  <si>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</si>
  <si>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</si>
  <si>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</si>
  <si>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</si>
  <si>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</si>
  <si>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</si>
  <si>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</si>
  <si>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</si>
  <si>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</si>
  <si>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</si>
  <si>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</si>
  <si>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</si>
  <si>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</si>
  <si>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</si>
  <si>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</si>
  <si>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</si>
  <si>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</si>
  <si>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</si>
  <si>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</si>
  <si>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</si>
  <si>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</si>
  <si>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</si>
  <si>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</si>
  <si>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</si>
  <si>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</si>
  <si>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</si>
  <si>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</si>
  <si>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</si>
  <si>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</si>
  <si>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</si>
  <si>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</si>
  <si>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</si>
  <si>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</si>
  <si>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</si>
  <si>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</si>
  <si>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</si>
  <si>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</si>
  <si>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</si>
  <si>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</si>
  <si>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</si>
  <si>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</si>
  <si>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</si>
  <si>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</si>
  <si>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</si>
  <si>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</si>
  <si>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</si>
  <si>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</si>
  <si>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</si>
  <si>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</si>
  <si>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</si>
  <si>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</si>
  <si>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</si>
  <si>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</si>
  <si>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</si>
  <si>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</si>
  <si>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</si>
  <si>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</si>
  <si>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</si>
  <si>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</si>
  <si>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</si>
  <si>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</si>
  <si>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</si>
  <si>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</si>
  <si>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</si>
  <si>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</si>
  <si>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</si>
  <si>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</si>
  <si>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</si>
  <si>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</si>
  <si>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</si>
  <si>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</si>
  <si>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</si>
  <si>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</si>
  <si>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</si>
  <si>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</si>
  <si>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</si>
  <si>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</si>
  <si>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</si>
  <si>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</si>
  <si>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</si>
  <si>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</si>
  <si>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</si>
  <si>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</si>
  <si>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</si>
  <si>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</si>
  <si>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</si>
  <si>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</si>
  <si>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</si>
  <si>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</si>
  <si>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</si>
  <si>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</si>
  <si>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</si>
  <si>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</si>
  <si>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</si>
  <si>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</si>
  <si>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</si>
  <si>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</si>
  <si>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</si>
  <si>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</si>
  <si>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</si>
  <si>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</si>
  <si>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</si>
  <si>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</si>
  <si>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</si>
  <si>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</si>
  <si>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</si>
  <si>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</si>
  <si>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</si>
  <si>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</si>
  <si>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</si>
  <si>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</si>
  <si>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</si>
  <si>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</si>
  <si>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</si>
  <si>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</si>
  <si>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</si>
  <si>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</si>
  <si>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</si>
  <si>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</si>
  <si>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</si>
  <si>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</si>
  <si>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</si>
  <si>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</si>
  <si>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</si>
  <si>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</si>
  <si>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</si>
  <si>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</si>
  <si>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</si>
  <si>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</si>
  <si>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</si>
  <si>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</si>
  <si>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</si>
  <si>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</si>
  <si>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</si>
  <si>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</si>
  <si>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</si>
  <si>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</si>
  <si>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</si>
  <si>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</si>
  <si>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</si>
  <si>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</si>
  <si>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</si>
  <si>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</si>
  <si>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</si>
  <si>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</si>
  <si>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</si>
  <si>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</si>
  <si>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</si>
  <si>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</si>
  <si>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</si>
  <si>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</si>
  <si>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</si>
  <si>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</si>
  <si>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</si>
  <si>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</si>
  <si>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</si>
  <si>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</si>
  <si>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</si>
  <si>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</si>
  <si>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</si>
  <si>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</si>
  <si>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</si>
  <si>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</si>
  <si>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</si>
  <si>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</si>
  <si>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</si>
  <si>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</si>
  <si>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</si>
  <si>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</si>
  <si>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</si>
  <si>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</si>
  <si>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</si>
  <si>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</si>
  <si>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</si>
  <si>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</si>
  <si>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</si>
  <si>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</si>
  <si>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</si>
  <si>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</si>
  <si>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</si>
  <si>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</si>
  <si>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</si>
  <si>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</si>
  <si>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</si>
  <si>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</si>
  <si>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</si>
  <si>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</si>
  <si>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</si>
  <si>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</si>
  <si>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</si>
  <si>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</si>
  <si>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</si>
  <si>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</si>
  <si>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</si>
  <si>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</si>
  <si>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</si>
  <si>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</si>
  <si>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</si>
  <si>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</si>
  <si>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</si>
  <si>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</si>
  <si>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</si>
  <si>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</si>
  <si>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</si>
  <si>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</si>
  <si>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</si>
  <si>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</si>
  <si>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</si>
  <si>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</si>
  <si>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</si>
  <si>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</si>
  <si>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</si>
  <si>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</si>
  <si>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</si>
  <si>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</si>
  <si>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</si>
  <si>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</si>
  <si>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</si>
  <si>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</si>
  <si>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</si>
  <si>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</si>
  <si>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</si>
  <si>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</si>
  <si>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</si>
  <si>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</si>
  <si>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</si>
  <si>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</si>
  <si>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</si>
  <si>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</si>
  <si>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</si>
  <si>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</si>
  <si>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</si>
  <si>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</si>
  <si>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</si>
  <si>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</si>
  <si>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</si>
  <si>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</si>
  <si>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</si>
  <si>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</si>
  <si>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</si>
  <si>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</si>
  <si>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</si>
  <si>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</si>
  <si>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</si>
  <si>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</si>
  <si>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</si>
  <si>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</si>
  <si>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</si>
  <si>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</si>
  <si>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</si>
  <si>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</si>
  <si>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</si>
  <si>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</si>
  <si>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</si>
  <si>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</si>
  <si>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</si>
  <si>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</si>
  <si>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</si>
  <si>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</si>
  <si>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</si>
  <si>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</si>
  <si>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</si>
  <si>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</si>
  <si>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</si>
  <si>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</si>
  <si>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</si>
  <si>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</si>
  <si>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</si>
  <si>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</si>
  <si>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</si>
  <si>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</si>
  <si>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</si>
  <si>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</si>
  <si>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</si>
  <si>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</si>
  <si>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</si>
  <si>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</si>
  <si>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</si>
  <si>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</si>
  <si>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</si>
  <si>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</si>
  <si>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</si>
  <si>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</si>
  <si>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</si>
  <si>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</si>
  <si>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</si>
  <si>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</si>
  <si>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</si>
  <si>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</si>
  <si>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</si>
  <si>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</si>
  <si>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</si>
  <si>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</si>
  <si>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</si>
  <si>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</si>
  <si>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</si>
  <si>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</si>
  <si>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</si>
  <si>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</si>
  <si>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</si>
  <si>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</si>
  <si>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</si>
  <si>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</si>
  <si>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</si>
  <si>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</si>
  <si>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</si>
  <si>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</si>
  <si>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</si>
  <si>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</si>
  <si>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</si>
  <si>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</si>
  <si>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</si>
  <si>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</si>
  <si>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</si>
  <si>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</si>
  <si>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</si>
  <si>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</si>
  <si>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</si>
  <si>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</si>
  <si>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</si>
  <si>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</si>
  <si>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</si>
  <si>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</si>
  <si>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</si>
  <si>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</si>
  <si>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</si>
  <si>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</si>
  <si>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</si>
  <si>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</si>
  <si>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</si>
  <si>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</si>
  <si>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</si>
  <si>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</si>
  <si>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</si>
  <si>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</si>
  <si>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</si>
  <si>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</si>
  <si>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</si>
  <si>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</si>
  <si>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</si>
  <si>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</si>
  <si>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</si>
  <si>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</si>
  <si>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</si>
  <si>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</si>
  <si>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</si>
  <si>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</si>
  <si>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</si>
  <si>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</si>
  <si>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</si>
  <si>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</si>
  <si>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</si>
  <si>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</si>
  <si>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</si>
  <si>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</si>
  <si>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</si>
  <si>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</si>
  <si>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</si>
  <si>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</si>
  <si>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</si>
  <si>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</si>
  <si>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</si>
  <si>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</si>
  <si>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</si>
  <si>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</si>
  <si>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</si>
  <si>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</si>
  <si>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</si>
  <si>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</si>
  <si>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</si>
  <si>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</si>
  <si>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</si>
  <si>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</si>
  <si>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</si>
  <si>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</si>
  <si>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</si>
  <si>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</si>
  <si>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</si>
  <si>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</si>
  <si>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</si>
  <si>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</si>
  <si>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</si>
  <si>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</si>
  <si>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</si>
  <si>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</si>
  <si>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</si>
  <si>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</si>
  <si>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</si>
  <si>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</si>
  <si>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</si>
  <si>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</si>
  <si>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</si>
  <si>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</si>
  <si>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</si>
  <si>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</si>
  <si>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</si>
  <si>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</si>
  <si>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</si>
  <si>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</si>
  <si>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</si>
  <si>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</si>
  <si>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</si>
  <si>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</si>
  <si>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60,54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</si>
  <si>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</si>
  <si>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</si>
  <si>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</si>
  <si>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</si>
  <si>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</si>
  <si>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</si>
  <si>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</si>
  <si>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</si>
  <si>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</si>
  <si>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</si>
  <si>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</si>
  <si>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</si>
  <si>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</si>
  <si>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</si>
  <si>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</si>
  <si>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</si>
  <si>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</si>
  <si>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</si>
  <si>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</si>
  <si>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</si>
  <si>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</si>
  <si>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</si>
  <si>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</si>
  <si>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</si>
  <si>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</si>
  <si>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</si>
  <si>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</si>
  <si>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</si>
  <si>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</si>
  <si>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</si>
  <si>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</si>
  <si>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</si>
  <si>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</si>
  <si>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</si>
  <si>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</si>
  <si>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</si>
  <si>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</si>
  <si>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</si>
  <si>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</si>
  <si>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</si>
  <si>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</si>
  <si>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</si>
  <si>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</si>
  <si>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</si>
  <si>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</si>
  <si>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</si>
  <si>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</si>
  <si>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</si>
  <si>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</si>
  <si>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</si>
  <si>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</si>
  <si>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</si>
  <si>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</si>
  <si>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</si>
  <si>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</si>
  <si>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</si>
  <si>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</si>
  <si>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</si>
  <si>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</si>
  <si>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</si>
  <si>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</si>
  <si>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</si>
  <si>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</si>
  <si>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</si>
  <si>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</si>
  <si>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</si>
  <si>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</si>
  <si>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</si>
  <si>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</si>
  <si>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</si>
  <si>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</si>
  <si>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</si>
  <si>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</si>
  <si>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</si>
  <si>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</si>
  <si>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</si>
  <si>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</si>
  <si>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</si>
  <si>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</si>
  <si>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</si>
  <si>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</si>
  <si>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</si>
  <si>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</si>
  <si>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</si>
  <si>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</si>
  <si>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</si>
  <si>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</si>
  <si>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</si>
  <si>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</si>
  <si>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</si>
  <si>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</si>
  <si>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</si>
  <si>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</si>
  <si>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</si>
  <si>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</si>
  <si>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</si>
  <si>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</si>
  <si>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</si>
  <si>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</si>
  <si>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</si>
  <si>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</si>
  <si>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</si>
  <si>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</si>
  <si>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</si>
  <si>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</si>
  <si>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</si>
  <si>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</si>
  <si>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</si>
  <si>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</si>
  <si>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</si>
  <si>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</si>
  <si>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</si>
  <si>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</si>
  <si>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</si>
  <si>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</si>
  <si>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</si>
  <si>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</si>
  <si>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</si>
  <si>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</si>
  <si>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</si>
  <si>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</si>
  <si>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</si>
  <si>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</si>
  <si>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</si>
  <si>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</si>
  <si>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</si>
  <si>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</si>
  <si>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</si>
  <si>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</si>
  <si>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</si>
  <si>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</si>
  <si>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</si>
  <si>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</si>
  <si>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</si>
  <si>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</si>
  <si>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</si>
  <si>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</si>
  <si>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</si>
  <si>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</si>
  <si>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</si>
  <si>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</si>
  <si>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</si>
  <si>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</si>
  <si>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</si>
  <si>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</si>
  <si>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</si>
  <si>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</si>
  <si>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</si>
  <si>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</si>
  <si>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</si>
  <si>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</si>
  <si>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</si>
  <si>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</si>
  <si>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</si>
  <si>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</si>
  <si>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</si>
  <si>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</si>
  <si>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</si>
  <si>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</si>
  <si>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</si>
  <si>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</si>
  <si>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</si>
  <si>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</si>
  <si>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</si>
  <si>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</si>
  <si>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</si>
  <si>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</si>
  <si>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</si>
  <si>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</si>
  <si>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</si>
  <si>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</si>
  <si>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</si>
  <si>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</si>
  <si>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</si>
  <si>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</si>
  <si>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</si>
  <si>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</si>
  <si>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</si>
  <si>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</si>
  <si>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</si>
  <si>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</si>
  <si>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</si>
  <si>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</si>
  <si>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</si>
  <si>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</si>
  <si>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</si>
  <si>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</si>
  <si>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</si>
  <si>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</si>
  <si>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</si>
  <si>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</si>
  <si>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</si>
  <si>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</si>
  <si>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</si>
  <si>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</si>
  <si>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</si>
  <si>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</si>
  <si>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</si>
  <si>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</si>
  <si>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</si>
  <si>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</si>
  <si>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</si>
  <si>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</si>
  <si>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</si>
  <si>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</si>
  <si>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</si>
  <si>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</si>
  <si>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</si>
  <si>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</si>
  <si>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</si>
  <si>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</si>
  <si>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</si>
  <si>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</si>
  <si>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</si>
  <si>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</si>
  <si>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</si>
  <si>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</si>
  <si>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</si>
  <si>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</si>
  <si>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</si>
  <si>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</si>
  <si>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</si>
  <si>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</si>
  <si>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</si>
  <si>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</si>
  <si>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</si>
  <si>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</si>
  <si>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</si>
  <si>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</si>
  <si>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</si>
  <si>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</si>
  <si>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</si>
  <si>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</si>
  <si>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</si>
  <si>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</si>
  <si>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</si>
  <si>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</si>
  <si>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</si>
  <si>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</si>
  <si>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</si>
  <si>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</si>
  <si>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</si>
  <si>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</si>
  <si>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</si>
  <si>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</si>
  <si>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</si>
  <si>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</si>
  <si>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</si>
  <si>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</si>
  <si>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</si>
  <si>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</si>
  <si>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</si>
  <si>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</si>
  <si>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</si>
  <si>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</si>
  <si>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</si>
  <si>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</si>
  <si>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</si>
  <si>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</si>
  <si>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</si>
  <si>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</si>
  <si>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</si>
  <si>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</si>
  <si>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</si>
  <si>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</si>
  <si>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</si>
  <si>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</si>
  <si>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</si>
  <si>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</si>
  <si>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</si>
  <si>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</si>
  <si>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</si>
  <si>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</si>
  <si>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</si>
  <si>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</si>
  <si>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</si>
  <si>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</si>
  <si>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</si>
  <si>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</si>
  <si>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</si>
  <si>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</si>
  <si>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</si>
  <si>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</si>
  <si>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</si>
  <si>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</si>
  <si>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</si>
  <si>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</si>
  <si>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</si>
  <si>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</si>
  <si>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</si>
  <si>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</si>
  <si>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</si>
  <si>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</si>
  <si>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</si>
  <si>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</si>
  <si>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</si>
  <si>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</si>
  <si>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</si>
  <si>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</si>
  <si>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</si>
  <si>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</si>
  <si>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</si>
  <si>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</si>
  <si>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</si>
  <si>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</si>
  <si>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</si>
  <si>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</si>
  <si>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</si>
  <si>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</si>
  <si>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</si>
  <si>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</si>
  <si>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</si>
  <si>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</si>
  <si>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</si>
  <si>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</si>
  <si>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</si>
  <si>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</si>
  <si>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</si>
  <si>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</si>
  <si>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</si>
  <si>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</si>
  <si>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</si>
  <si>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</si>
  <si>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</si>
  <si>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</si>
  <si>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</si>
  <si>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</si>
  <si>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</si>
  <si>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</si>
  <si>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</si>
  <si>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</si>
  <si>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</si>
  <si>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</si>
  <si>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</si>
  <si>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</si>
  <si>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</si>
  <si>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</si>
  <si>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</si>
  <si>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</si>
  <si>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</si>
  <si>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</si>
  <si>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</si>
  <si>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</si>
  <si>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</si>
  <si>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</si>
  <si>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</si>
  <si>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</si>
  <si>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</si>
  <si>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</si>
  <si>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</si>
  <si>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</si>
  <si>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</si>
  <si>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</si>
  <si>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</si>
  <si>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</si>
  <si>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</si>
  <si>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</si>
  <si>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</si>
  <si>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</si>
  <si>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</si>
  <si>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</si>
  <si>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</si>
  <si>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</si>
  <si>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</si>
  <si>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</si>
  <si>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</si>
  <si>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</si>
  <si>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</si>
  <si>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</si>
  <si>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</si>
  <si>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</si>
  <si>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</si>
  <si>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</si>
  <si>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</si>
  <si>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</si>
  <si>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</si>
  <si>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</si>
  <si>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</si>
  <si>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</si>
  <si>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</si>
  <si>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</si>
  <si>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</si>
  <si>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</si>
  <si>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</si>
  <si>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</si>
  <si>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</si>
  <si>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</si>
  <si>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</si>
  <si>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</si>
  <si>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</si>
  <si>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</si>
  <si>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</si>
  <si>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</si>
  <si>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</si>
  <si>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</si>
  <si>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</si>
  <si>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</si>
  <si>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</si>
  <si>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</si>
  <si>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</si>
  <si>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</si>
  <si>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</si>
  <si>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</si>
  <si>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</si>
  <si>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</si>
  <si>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</si>
  <si>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</si>
  <si>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</si>
  <si>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</si>
  <si>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</si>
  <si>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</si>
  <si>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</si>
  <si>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</si>
  <si>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</si>
  <si>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</si>
  <si>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</si>
  <si>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</si>
  <si>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</si>
  <si>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</si>
  <si>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</si>
  <si>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</si>
  <si>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</si>
  <si>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</si>
  <si>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</si>
  <si>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</si>
  <si>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</si>
  <si>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</si>
  <si>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</si>
  <si>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</si>
  <si>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</si>
  <si>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</si>
  <si>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</si>
  <si>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</si>
  <si>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</si>
  <si>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</si>
  <si>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</si>
  <si>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</si>
  <si>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</si>
  <si>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</si>
  <si>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</si>
  <si>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</si>
  <si>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</si>
  <si>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</si>
  <si>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</si>
  <si>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</si>
  <si>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</si>
  <si>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</si>
  <si>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</si>
  <si>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</si>
  <si>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</si>
  <si>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</si>
  <si>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</si>
  <si>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</si>
  <si>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</si>
  <si>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</si>
  <si>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</si>
  <si>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</si>
  <si>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</si>
  <si>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</si>
  <si>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</si>
  <si>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</si>
  <si>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</si>
  <si>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</si>
  <si>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</si>
  <si>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</si>
  <si>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</si>
  <si>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</si>
  <si>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</si>
  <si>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</si>
  <si>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</si>
  <si>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</si>
  <si>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</si>
  <si>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</si>
  <si>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</si>
  <si>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</si>
  <si>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</si>
  <si>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</si>
  <si>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</si>
  <si>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</si>
  <si>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</si>
  <si>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</si>
  <si>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</si>
  <si>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</si>
  <si>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</si>
  <si>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</si>
  <si>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</si>
  <si>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</si>
  <si>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</si>
  <si>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</si>
  <si>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</si>
  <si>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</si>
  <si>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</si>
  <si>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</si>
  <si>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</si>
  <si>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</si>
  <si>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</si>
  <si>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</si>
  <si>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</si>
  <si>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</si>
  <si>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</si>
  <si>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</si>
  <si>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</si>
  <si>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</si>
  <si>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</si>
  <si>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</si>
  <si>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</si>
  <si>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</si>
  <si>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</si>
  <si>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</si>
  <si>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</si>
  <si>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</si>
  <si>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</si>
  <si>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</si>
  <si>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</si>
  <si>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</si>
  <si>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</si>
  <si>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</si>
  <si>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</si>
  <si>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</si>
  <si>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</si>
  <si>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</si>
  <si>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</si>
  <si>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</si>
  <si>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</si>
  <si>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</si>
  <si>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</si>
  <si>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</si>
  <si>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</si>
  <si>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</si>
  <si>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</si>
  <si>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</si>
  <si>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</si>
  <si>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</si>
  <si>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</si>
  <si>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</si>
  <si>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</si>
  <si>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</si>
  <si>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</si>
  <si>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</si>
  <si>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</si>
  <si>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</si>
  <si>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</si>
  <si>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</si>
  <si>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</si>
  <si>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</si>
  <si>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</si>
  <si>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</si>
  <si>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</si>
  <si>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</si>
  <si>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</si>
  <si>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</si>
  <si>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</si>
  <si>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</si>
  <si>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</si>
  <si>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</si>
  <si>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</si>
  <si>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</si>
  <si>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</si>
  <si>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</si>
  <si>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</si>
  <si>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</si>
  <si>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</si>
  <si>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</si>
  <si>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</si>
  <si>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</si>
  <si>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</si>
  <si>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</si>
  <si>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</si>
  <si>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</si>
  <si>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</si>
  <si>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</si>
  <si>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</si>
  <si>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</si>
  <si>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</si>
  <si>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</si>
  <si>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</si>
  <si>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</si>
  <si>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</si>
  <si>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</si>
  <si>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</si>
  <si>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</si>
  <si>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</si>
  <si>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</si>
  <si>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</si>
  <si>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</si>
  <si>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</si>
  <si>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</si>
  <si>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</si>
  <si>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</si>
  <si>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</si>
  <si>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</si>
  <si>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</si>
  <si>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</si>
  <si>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</si>
  <si>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</si>
  <si>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</si>
  <si>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</si>
  <si>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</si>
  <si>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</si>
  <si>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</si>
  <si>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</si>
  <si>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</si>
  <si>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</si>
  <si>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</si>
  <si>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</si>
  <si>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</si>
  <si>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</si>
  <si>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</si>
  <si>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</si>
  <si>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</si>
  <si>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</si>
  <si>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</si>
  <si>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</si>
  <si>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</si>
  <si>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</si>
  <si>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</si>
  <si>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</si>
  <si>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</si>
  <si>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</si>
  <si>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</si>
  <si>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</si>
  <si>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</si>
  <si>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</si>
  <si>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</si>
  <si>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</si>
  <si>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</si>
  <si>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</si>
  <si>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</si>
  <si>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</si>
  <si>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</si>
  <si>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</si>
  <si>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</si>
  <si>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</si>
  <si>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</si>
  <si>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</si>
  <si>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</si>
  <si>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</si>
  <si>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</si>
  <si>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</si>
  <si>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</si>
  <si>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</si>
  <si>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</si>
  <si>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</si>
  <si>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</si>
  <si>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</si>
  <si>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</si>
  <si>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</si>
  <si>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</si>
  <si>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</si>
  <si>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</si>
  <si>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</si>
  <si>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</si>
  <si>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</si>
  <si>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</si>
  <si>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</si>
  <si>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</si>
  <si>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</si>
  <si>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</si>
  <si>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</si>
  <si>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</si>
  <si>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</si>
  <si>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</si>
  <si>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</si>
  <si>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</si>
  <si>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</si>
  <si>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</si>
  <si>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</si>
  <si>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</si>
  <si>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</si>
  <si>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</si>
  <si>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</si>
  <si>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</si>
  <si>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</si>
  <si>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</si>
  <si>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</si>
  <si>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</si>
  <si>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</si>
  <si>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</si>
  <si>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</si>
  <si>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</si>
  <si>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</si>
  <si>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</si>
  <si>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</si>
  <si>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</si>
  <si>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</si>
  <si>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</si>
  <si>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</si>
  <si>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</si>
  <si>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</si>
  <si>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</si>
  <si>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</si>
  <si>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</si>
  <si>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</si>
  <si>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</si>
  <si>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</si>
  <si>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</si>
  <si>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</si>
  <si>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</si>
  <si>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</si>
  <si>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</si>
  <si>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</si>
  <si>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</si>
  <si>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</si>
  <si>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</si>
  <si>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</si>
  <si>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</si>
  <si>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</si>
  <si>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</si>
  <si>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</si>
  <si>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</si>
  <si>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</si>
  <si>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</si>
  <si>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</si>
  <si>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</si>
  <si>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</si>
  <si>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</si>
  <si>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</si>
  <si>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</si>
  <si>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</si>
  <si>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</si>
  <si>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</si>
  <si>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</si>
  <si>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</si>
  <si>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</si>
  <si>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</si>
  <si>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</si>
  <si>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</si>
  <si>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</si>
  <si>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</si>
  <si>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</si>
  <si>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</si>
  <si>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</si>
  <si>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</si>
  <si>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</si>
  <si>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</si>
  <si>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</si>
  <si>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</si>
  <si>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</si>
  <si>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</si>
  <si>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</si>
  <si>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</si>
  <si>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</si>
  <si>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</si>
  <si>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</si>
  <si>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</si>
  <si>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</si>
  <si>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</si>
  <si>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</si>
  <si>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</si>
  <si>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</si>
  <si>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</si>
  <si>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</si>
  <si>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</si>
  <si>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</si>
  <si>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</si>
  <si>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</si>
  <si>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</si>
  <si>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</si>
  <si>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</si>
  <si>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</si>
  <si>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</si>
  <si>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</si>
  <si>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</si>
  <si>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</si>
  <si>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</si>
  <si>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</si>
  <si>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</si>
  <si>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</si>
  <si>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</si>
  <si>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</si>
  <si>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</si>
  <si>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</si>
  <si>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</si>
  <si>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</si>
  <si>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</si>
  <si>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</si>
  <si>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</si>
  <si>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</si>
  <si>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</si>
  <si>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</si>
  <si>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</si>
  <si>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</si>
  <si>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</si>
  <si>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</si>
  <si>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</si>
  <si>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</si>
  <si>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</si>
  <si>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</si>
  <si>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</si>
  <si>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</si>
  <si>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</si>
  <si>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</si>
  <si>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</si>
  <si>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</si>
  <si>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</si>
  <si>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</si>
  <si>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</si>
  <si>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</si>
  <si>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</si>
  <si>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</si>
  <si>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</si>
  <si>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</si>
  <si>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</si>
  <si>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</si>
  <si>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</si>
  <si>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</si>
  <si>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</si>
  <si>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</si>
  <si>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</si>
  <si>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</si>
  <si>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</si>
  <si>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</si>
  <si>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</si>
  <si>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</si>
  <si>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</si>
  <si>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</si>
  <si>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</si>
  <si>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</si>
  <si>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</si>
  <si>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</si>
  <si>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</si>
  <si>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</si>
  <si>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</si>
  <si>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</si>
  <si>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</si>
  <si>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</si>
  <si>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</si>
  <si>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</si>
  <si>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</si>
  <si>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</si>
  <si>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</si>
  <si>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</si>
  <si>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</si>
  <si>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</si>
  <si>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</si>
  <si>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</si>
  <si>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</si>
  <si>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</si>
  <si>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</si>
  <si>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</si>
  <si>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</si>
  <si>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</si>
  <si>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</si>
  <si>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</si>
  <si>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</si>
  <si>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</si>
  <si>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</si>
  <si>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</si>
  <si>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</si>
  <si>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</si>
  <si>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</si>
  <si>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</si>
  <si>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</si>
  <si>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</si>
  <si>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</si>
  <si>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</si>
  <si>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</si>
  <si>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</si>
  <si>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</si>
  <si>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</si>
  <si>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</si>
  <si>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</si>
  <si>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</si>
  <si>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</si>
  <si>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</si>
  <si>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</si>
  <si>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</si>
  <si>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</si>
  <si>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</si>
  <si>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</si>
  <si>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</si>
  <si>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</si>
  <si>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</si>
  <si>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</si>
  <si>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</si>
  <si>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</si>
  <si>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</si>
  <si>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</si>
  <si>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</si>
  <si>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</si>
  <si>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</si>
  <si>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</si>
  <si>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</si>
  <si>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</si>
  <si>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</si>
  <si>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</si>
  <si>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</si>
  <si>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</si>
  <si>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</si>
  <si>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</si>
  <si>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</si>
  <si>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</si>
  <si>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</si>
  <si>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</si>
  <si>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</si>
  <si>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</si>
  <si>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</si>
  <si>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</si>
  <si>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</si>
  <si>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</si>
  <si>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</si>
  <si>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</si>
  <si>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</si>
  <si>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</si>
  <si>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</si>
  <si>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</si>
  <si>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</si>
  <si>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</si>
  <si>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</si>
  <si>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</si>
  <si>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</si>
  <si>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</si>
  <si>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</si>
  <si>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</si>
  <si>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</si>
  <si>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</si>
  <si>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</si>
  <si>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</si>
  <si>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</si>
  <si>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</si>
  <si>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</si>
  <si>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</si>
  <si>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</si>
  <si>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</si>
  <si>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</si>
  <si>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</si>
  <si>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</si>
  <si>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</si>
  <si>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</si>
  <si>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</si>
  <si>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</si>
  <si>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</si>
  <si>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</si>
  <si>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</si>
  <si>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</si>
  <si>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</si>
  <si>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</si>
  <si>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</si>
  <si>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</si>
  <si>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</si>
  <si>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</si>
  <si>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</si>
  <si>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</si>
  <si>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</si>
  <si>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</si>
  <si>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</si>
  <si>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</si>
  <si>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</si>
  <si>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</si>
  <si>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</si>
  <si>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</si>
  <si>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</si>
  <si>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</si>
  <si>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</si>
  <si>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</si>
  <si>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</si>
  <si>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</si>
  <si>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</si>
  <si>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</si>
  <si>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</si>
  <si>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</si>
  <si>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</si>
  <si>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</si>
  <si>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</si>
  <si>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</si>
  <si>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</si>
  <si>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</si>
  <si>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</si>
  <si>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</si>
  <si>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</si>
  <si>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</si>
  <si>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</si>
  <si>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</si>
  <si>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</si>
  <si>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</si>
  <si>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</si>
  <si>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</si>
  <si>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</si>
  <si>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</si>
  <si>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</si>
  <si>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</si>
  <si>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</si>
  <si>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</si>
  <si>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</si>
  <si>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</si>
  <si>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</si>
  <si>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</si>
  <si>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</si>
  <si>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</si>
  <si>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</si>
  <si>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</si>
  <si>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</si>
  <si>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</si>
  <si>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</si>
  <si>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</si>
  <si>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</si>
  <si>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</si>
  <si>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</si>
  <si>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</si>
  <si>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</si>
  <si>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</si>
  <si>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</si>
  <si>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</si>
  <si>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</si>
  <si>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</si>
  <si>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</si>
  <si>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</si>
  <si>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</si>
  <si>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</si>
  <si>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</si>
  <si>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</si>
  <si>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</si>
  <si>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</si>
  <si>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</si>
  <si>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</si>
  <si>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</si>
  <si>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</si>
  <si>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</si>
  <si>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</si>
  <si>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</si>
  <si>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</si>
  <si>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</si>
  <si>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</si>
  <si>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</si>
  <si>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</si>
  <si>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</si>
  <si>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</si>
  <si>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</si>
  <si>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</si>
  <si>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</si>
  <si>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</si>
  <si>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</si>
  <si>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</si>
  <si>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</si>
  <si>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</si>
  <si>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</si>
  <si>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</si>
  <si>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</si>
  <si>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</si>
  <si>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</si>
  <si>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</si>
  <si>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</si>
  <si>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</si>
  <si>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</si>
  <si>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</si>
  <si>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</si>
  <si>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</si>
  <si>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</si>
  <si>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</si>
  <si>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</si>
  <si>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</si>
  <si>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</si>
  <si>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</si>
  <si>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</si>
  <si>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</si>
  <si>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</si>
  <si>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</si>
  <si>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</si>
  <si>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</si>
  <si>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</si>
  <si>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</si>
  <si>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</si>
  <si>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</si>
  <si>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</si>
  <si>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</si>
  <si>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</si>
  <si>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</si>
  <si>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</si>
  <si>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</si>
  <si>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</si>
  <si>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</si>
  <si>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</si>
  <si>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</si>
  <si>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</si>
  <si>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</si>
  <si>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</si>
  <si>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</si>
  <si>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</si>
  <si>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</si>
  <si>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</si>
  <si>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</si>
  <si>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</si>
  <si>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</si>
  <si>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</si>
  <si>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</si>
  <si>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</si>
  <si>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</si>
  <si>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</si>
  <si>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</si>
  <si>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</si>
  <si>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</si>
  <si>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</si>
  <si>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</si>
  <si>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</si>
  <si>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</si>
  <si>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</si>
  <si>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</si>
  <si>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</si>
  <si>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</si>
  <si>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</si>
  <si>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</si>
  <si>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</si>
  <si>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</si>
  <si>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</si>
  <si>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</si>
  <si>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</si>
  <si>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</si>
  <si>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</si>
  <si>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</si>
  <si>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</si>
  <si>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</si>
  <si>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</si>
  <si>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</si>
  <si>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</si>
  <si>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</si>
  <si>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</si>
  <si>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</si>
  <si>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</si>
  <si>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</si>
  <si>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</si>
  <si>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</si>
  <si>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</si>
  <si>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</si>
  <si>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</si>
  <si>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</si>
  <si>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</si>
  <si>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</si>
  <si>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</si>
  <si>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</si>
  <si>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</si>
  <si>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</si>
  <si>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</si>
  <si>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</si>
  <si>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</si>
  <si>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</si>
  <si>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</si>
  <si>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</si>
  <si>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</si>
  <si>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</si>
  <si>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</si>
  <si>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</si>
  <si>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</si>
  <si>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</si>
  <si>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</si>
  <si>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</si>
  <si>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</si>
  <si>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</si>
  <si>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</si>
  <si>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</si>
  <si>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</si>
  <si>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</si>
  <si>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</si>
  <si>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</si>
  <si>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</si>
  <si>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</si>
  <si>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</si>
  <si>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</si>
  <si>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</si>
  <si>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</si>
  <si>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</si>
  <si>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</si>
  <si>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</si>
  <si>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</si>
  <si>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</si>
  <si>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</si>
  <si>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</si>
  <si>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</si>
  <si>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</si>
  <si>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</si>
  <si>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</si>
  <si>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</si>
  <si>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</si>
  <si>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</si>
  <si>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</si>
  <si>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</si>
  <si>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</si>
  <si>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</si>
  <si>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</si>
  <si>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</si>
  <si>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</si>
  <si>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</si>
  <si>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</si>
  <si>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</si>
  <si>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</si>
  <si>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</si>
  <si>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</si>
  <si>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</si>
  <si>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</si>
  <si>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</si>
  <si>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</si>
  <si>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</si>
  <si>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</si>
  <si>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</si>
  <si>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</si>
  <si>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</si>
  <si>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</si>
  <si>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</si>
  <si>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</si>
  <si>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</si>
  <si>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</si>
  <si>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</si>
  <si>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</si>
  <si>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</si>
  <si>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</si>
  <si>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</si>
  <si>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</si>
  <si>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</si>
  <si>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</si>
  <si>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</si>
  <si>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</si>
  <si>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</si>
  <si>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</si>
  <si>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</si>
  <si>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</si>
  <si>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</si>
  <si>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</si>
  <si>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</si>
  <si>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</si>
  <si>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</si>
  <si>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</si>
  <si>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</si>
  <si>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</si>
  <si>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</si>
  <si>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</si>
  <si>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</si>
  <si>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</si>
  <si>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</si>
  <si>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</si>
  <si>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</si>
  <si>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</si>
  <si>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</si>
  <si>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</si>
  <si>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</si>
  <si>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</si>
  <si>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</si>
  <si>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</si>
  <si>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</si>
  <si>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</si>
  <si>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</si>
  <si>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</si>
  <si>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</si>
  <si>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</si>
  <si>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</si>
  <si>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</si>
  <si>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</si>
  <si>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</si>
  <si>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</si>
  <si>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</si>
  <si>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</si>
  <si>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</si>
  <si>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</si>
  <si>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</si>
  <si>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</si>
  <si>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</si>
  <si>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</si>
  <si>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</si>
  <si>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</si>
  <si>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</si>
  <si>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</si>
  <si>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</si>
  <si>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</si>
  <si>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</si>
  <si>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</si>
  <si>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</si>
  <si>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</si>
  <si>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</si>
  <si>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</si>
  <si>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</si>
  <si>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</si>
  <si>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</si>
  <si>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</si>
  <si>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</si>
  <si>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</si>
  <si>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</si>
  <si>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</si>
  <si>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</si>
  <si>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</si>
  <si>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</si>
  <si>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</si>
  <si>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</si>
  <si>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</si>
  <si>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</si>
  <si>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</si>
  <si>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</si>
  <si>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</si>
  <si>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</si>
  <si>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</si>
  <si>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</si>
  <si>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</si>
  <si>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</si>
  <si>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</si>
  <si>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</si>
  <si>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</si>
  <si>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</si>
  <si>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</si>
  <si>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</si>
  <si>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</si>
  <si>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</si>
  <si>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</si>
  <si>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</si>
  <si>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</si>
  <si>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</si>
  <si>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</si>
  <si>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</si>
  <si>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</si>
  <si>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</si>
  <si>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</si>
  <si>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</si>
  <si>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</si>
  <si>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</si>
  <si>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</si>
  <si>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</si>
  <si>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</si>
  <si>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</si>
  <si>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</si>
  <si>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</si>
  <si>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</si>
  <si>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</si>
  <si>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</si>
  <si>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</si>
  <si>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</si>
  <si>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</si>
  <si>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</si>
  <si>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</si>
  <si>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</si>
  <si>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</si>
  <si>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</si>
  <si>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</si>
  <si>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</si>
  <si>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</si>
  <si>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</si>
  <si>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</si>
  <si>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</si>
  <si>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</si>
  <si>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</si>
  <si>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</si>
  <si>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</si>
  <si>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</si>
  <si>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</si>
  <si>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</si>
  <si>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</si>
  <si>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</si>
  <si>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</si>
  <si>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</si>
  <si>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</si>
  <si>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</si>
  <si>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</si>
  <si>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</si>
  <si>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</si>
  <si>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</si>
  <si>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</si>
  <si>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</si>
  <si>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</si>
  <si>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</si>
  <si>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</si>
  <si>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</si>
  <si>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</si>
  <si>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</si>
  <si>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</si>
  <si>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</si>
  <si>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</si>
  <si>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</si>
  <si>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</si>
  <si>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</si>
  <si>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</si>
  <si>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</si>
  <si>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</si>
  <si>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</si>
  <si>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</si>
  <si>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</si>
  <si>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</si>
  <si>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</si>
  <si>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</si>
  <si>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</si>
  <si>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</si>
  <si>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</si>
  <si>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</si>
  <si>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</si>
  <si>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</si>
  <si>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</si>
  <si>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</si>
  <si>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</si>
  <si>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</si>
  <si>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</si>
  <si>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</si>
  <si>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</si>
  <si>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</si>
  <si>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</si>
  <si>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</si>
  <si>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</si>
  <si>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</si>
  <si>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</si>
  <si>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</si>
  <si>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</si>
  <si>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</si>
  <si>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</si>
  <si>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</si>
  <si>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</si>
  <si>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</si>
  <si>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</si>
  <si>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</si>
  <si>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</si>
  <si>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</si>
  <si>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</si>
  <si>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</si>
  <si>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</si>
  <si>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</si>
  <si>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</si>
  <si>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</si>
  <si>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</si>
  <si>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</si>
  <si>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</si>
  <si>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</si>
  <si>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</si>
  <si>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</si>
  <si>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</si>
  <si>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</si>
  <si>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</si>
  <si>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</si>
  <si>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</si>
  <si>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</si>
  <si>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</si>
  <si>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</si>
  <si>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</si>
  <si>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</si>
  <si>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</si>
  <si>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</si>
  <si>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</si>
  <si>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</si>
  <si>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</si>
  <si>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</si>
  <si>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</si>
  <si>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</si>
  <si>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</si>
  <si>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</si>
  <si>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</si>
  <si>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</si>
  <si>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</si>
  <si>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</si>
  <si>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</si>
  <si>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</si>
  <si>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</si>
  <si>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</si>
  <si>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</si>
  <si>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</si>
  <si>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</si>
  <si>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</si>
  <si>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</si>
  <si>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</si>
  <si>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</si>
  <si>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</si>
  <si>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</si>
  <si>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</si>
  <si>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</si>
  <si>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</si>
  <si>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</si>
  <si>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</si>
  <si>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</si>
  <si>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</si>
  <si>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</si>
  <si>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</si>
  <si>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</si>
  <si>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</si>
  <si>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</si>
  <si>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</si>
  <si>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</si>
  <si>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</si>
  <si>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</si>
  <si>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</si>
  <si>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</si>
  <si>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</si>
  <si>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</si>
  <si>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</si>
  <si>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</si>
  <si>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</si>
  <si>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</si>
  <si>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</si>
  <si>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</si>
  <si>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</si>
  <si>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</si>
  <si>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</si>
  <si>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</si>
  <si>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</si>
  <si>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</si>
  <si>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</si>
  <si>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</si>
  <si>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</si>
  <si>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</si>
  <si>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</si>
  <si>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</si>
  <si>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</si>
  <si>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</si>
  <si>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</si>
  <si>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</si>
  <si>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</si>
  <si>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</si>
  <si>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</si>
  <si>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</si>
  <si>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</si>
  <si>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</si>
  <si>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</si>
  <si>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</si>
  <si>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</si>
  <si>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</si>
  <si>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</si>
  <si>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</si>
  <si>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</si>
  <si>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</si>
  <si>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</si>
  <si>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</si>
  <si>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</si>
  <si>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</si>
  <si>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</si>
  <si>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</si>
  <si>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</si>
  <si>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</si>
  <si>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</si>
  <si>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</si>
  <si>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</si>
  <si>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</si>
  <si>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</si>
  <si>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</si>
  <si>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</si>
  <si>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</si>
  <si>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</si>
  <si>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</si>
  <si>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</si>
  <si>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</si>
  <si>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</si>
  <si>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</si>
  <si>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</si>
  <si>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</si>
  <si>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</si>
  <si>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</si>
  <si>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</si>
  <si>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</si>
  <si>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</si>
  <si>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</si>
  <si>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</si>
  <si>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</si>
  <si>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</si>
  <si>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</si>
  <si>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</si>
  <si>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</si>
  <si>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</si>
  <si>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</si>
  <si>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</si>
  <si>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</si>
  <si>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</si>
  <si>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</si>
  <si>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</si>
  <si>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</si>
  <si>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</si>
  <si>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</si>
  <si>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</si>
  <si>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</si>
  <si>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</si>
  <si>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</si>
  <si>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</si>
  <si>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</si>
  <si>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</si>
  <si>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</si>
  <si>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</si>
  <si>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</si>
  <si>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</si>
  <si>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</si>
  <si>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</si>
  <si>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</si>
  <si>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</si>
  <si>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</si>
  <si>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</si>
  <si>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</si>
  <si>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</si>
  <si>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</si>
  <si>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</si>
  <si>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</si>
  <si>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</si>
  <si>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</si>
  <si>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</si>
  <si>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</si>
  <si>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</si>
  <si>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</si>
  <si>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</si>
  <si>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</si>
  <si>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</si>
  <si>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</si>
  <si>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</si>
  <si>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</si>
  <si>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</si>
  <si>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</si>
  <si>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</si>
  <si>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</si>
  <si>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</si>
  <si>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</si>
  <si>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</si>
  <si>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</si>
  <si>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</si>
  <si>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</si>
  <si>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</si>
  <si>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</si>
  <si>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</si>
  <si>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</si>
  <si>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</si>
  <si>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</si>
  <si>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</si>
  <si>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</si>
  <si>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</si>
  <si>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</si>
  <si>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</si>
  <si>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</si>
  <si>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</si>
  <si>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</si>
  <si>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</si>
  <si>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</si>
  <si>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</si>
  <si>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</si>
  <si>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</si>
  <si>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</si>
  <si>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</si>
  <si>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</si>
  <si>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</si>
  <si>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</si>
  <si>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</si>
  <si>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</si>
  <si>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</si>
  <si>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</si>
  <si>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</si>
  <si>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</si>
  <si>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</si>
  <si>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</si>
  <si>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</si>
  <si>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</si>
  <si>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</si>
  <si>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</si>
  <si>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</si>
  <si>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</si>
  <si>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</si>
  <si>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</si>
  <si>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</si>
  <si>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</si>
  <si>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</si>
  <si>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</si>
  <si>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</si>
  <si>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</si>
  <si>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</si>
  <si>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</si>
  <si>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</si>
  <si>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</si>
  <si>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</si>
  <si>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</si>
  <si>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</si>
  <si>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</si>
  <si>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</si>
  <si>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</si>
  <si>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</si>
  <si>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</si>
  <si>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</si>
  <si>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</si>
  <si>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</si>
  <si>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</si>
  <si>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</si>
  <si>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</si>
  <si>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</si>
  <si>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</si>
  <si>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</si>
  <si>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</si>
  <si>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</si>
  <si>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</si>
  <si>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</si>
  <si>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</si>
  <si>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</si>
  <si>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</si>
  <si>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</si>
  <si>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</si>
  <si>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</si>
  <si>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</si>
  <si>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</si>
  <si>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</si>
  <si>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</si>
  <si>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</si>
  <si>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</si>
  <si>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</si>
  <si>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</si>
  <si>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</si>
  <si>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</si>
  <si>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</si>
  <si>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</si>
  <si>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</si>
  <si>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</si>
  <si>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</si>
  <si>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</si>
  <si>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</si>
  <si>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</si>
  <si>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</si>
  <si>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</si>
  <si>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</si>
  <si>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</si>
  <si>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</si>
  <si>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</si>
  <si>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</si>
  <si>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</si>
  <si>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</si>
  <si>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</si>
  <si>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</si>
  <si>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</si>
  <si>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</si>
  <si>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</si>
  <si>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</si>
  <si>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</si>
  <si>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</si>
  <si>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</si>
  <si>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</si>
  <si>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</si>
  <si>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</si>
  <si>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</si>
  <si>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</si>
  <si>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</si>
  <si>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</si>
  <si>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</si>
  <si>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</si>
  <si>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</si>
  <si>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</si>
  <si>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</si>
  <si>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</si>
  <si>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</si>
  <si>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</si>
  <si>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</si>
  <si>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</si>
  <si>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</si>
  <si>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</si>
  <si>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</si>
  <si>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</si>
  <si>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</si>
  <si>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</si>
  <si>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</si>
  <si>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</si>
  <si>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</si>
  <si>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</si>
  <si>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</si>
  <si>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</si>
  <si>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</si>
  <si>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</si>
  <si>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</si>
  <si>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</si>
  <si>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</si>
  <si>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</si>
  <si>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</si>
  <si>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</si>
  <si>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</si>
  <si>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</si>
  <si>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</si>
  <si>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</si>
  <si>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</si>
  <si>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</si>
  <si>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</si>
  <si>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</si>
  <si>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</si>
  <si>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</si>
  <si>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</si>
  <si>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</si>
  <si>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</si>
  <si>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</si>
  <si>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</si>
  <si>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</si>
  <si>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</si>
  <si>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</si>
  <si>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</si>
  <si>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</si>
  <si>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</si>
  <si>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</si>
  <si>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</si>
  <si>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</si>
  <si>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</si>
  <si>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</si>
  <si>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</si>
  <si>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</si>
  <si>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</si>
  <si>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</si>
  <si>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</si>
  <si>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</si>
  <si>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</si>
  <si>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</si>
  <si>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</si>
  <si>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</si>
  <si>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</si>
  <si>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</si>
  <si>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</si>
  <si>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</si>
  <si>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</si>
  <si>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</si>
  <si>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</si>
  <si>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</si>
  <si>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</si>
  <si>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</si>
  <si>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</si>
  <si>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</si>
  <si>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</si>
  <si>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</si>
  <si>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</si>
  <si>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</si>
  <si>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</si>
  <si>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</si>
  <si>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</si>
  <si>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</si>
  <si>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</si>
  <si>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</si>
  <si>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</si>
  <si>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</si>
  <si>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</si>
  <si>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</si>
  <si>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</si>
  <si>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</si>
  <si>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</si>
  <si>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</si>
  <si>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</si>
  <si>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</si>
  <si>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</si>
  <si>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</si>
  <si>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</si>
  <si>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</si>
  <si>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</si>
  <si>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</si>
  <si>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</si>
  <si>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</si>
  <si>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</si>
  <si>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</si>
  <si>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</si>
  <si>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</si>
  <si>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</si>
  <si>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</si>
  <si>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</si>
  <si>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</si>
  <si>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</si>
  <si>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</si>
  <si>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</si>
  <si>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</si>
  <si>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</si>
  <si>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</si>
  <si>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</si>
  <si>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</si>
  <si>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</si>
  <si>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</si>
  <si>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</si>
  <si>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</si>
  <si>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</si>
  <si>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</si>
  <si>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</si>
  <si>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</si>
  <si>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</si>
  <si>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</si>
  <si>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</si>
  <si>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</si>
  <si>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</si>
  <si>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</si>
  <si>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</si>
  <si>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</si>
  <si>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</si>
  <si>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</si>
  <si>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</si>
  <si>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</si>
  <si>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</si>
  <si>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</si>
  <si>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</si>
  <si>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</si>
  <si>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</si>
  <si>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</si>
  <si>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</si>
  <si>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</si>
  <si>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</si>
  <si>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</si>
  <si>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</si>
  <si>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</si>
  <si>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</si>
  <si>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</si>
  <si>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</si>
  <si>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</si>
  <si>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</si>
  <si>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</si>
  <si>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</si>
  <si>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</si>
  <si>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</si>
  <si>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</si>
  <si>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</si>
  <si>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</si>
  <si>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</si>
  <si>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</si>
  <si>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</si>
  <si>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</si>
  <si>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</si>
  <si>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</si>
  <si>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</si>
  <si>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</si>
  <si>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</si>
  <si>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</si>
  <si>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</si>
  <si>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</si>
  <si>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</si>
  <si>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</si>
  <si>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</si>
  <si>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</si>
  <si>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</si>
  <si>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</si>
  <si>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</si>
  <si>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</si>
  <si>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</si>
  <si>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</si>
  <si>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</si>
  <si>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</si>
  <si>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</si>
  <si>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</si>
  <si>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</si>
  <si>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</si>
  <si>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</si>
  <si>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</si>
  <si>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</si>
  <si>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</si>
  <si>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</si>
  <si>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</si>
  <si>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</si>
  <si>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</si>
  <si>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</si>
  <si>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</si>
  <si>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</si>
  <si>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</si>
  <si>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</si>
  <si>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</si>
  <si>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</si>
  <si>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</si>
  <si>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</si>
  <si>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</si>
  <si>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</si>
  <si>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</si>
  <si>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</si>
  <si>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</si>
  <si>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</si>
  <si>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</si>
  <si>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</si>
  <si>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</si>
  <si>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</si>
  <si>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</si>
  <si>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</si>
  <si>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</si>
  <si>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</si>
  <si>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</si>
  <si>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</si>
  <si>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</si>
  <si>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</si>
  <si>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</si>
  <si>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</si>
  <si>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</si>
  <si>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</si>
  <si>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</si>
  <si>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</si>
  <si>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</si>
  <si>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</si>
  <si>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</si>
  <si>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</si>
  <si>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</si>
  <si>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</si>
  <si>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</si>
  <si>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</si>
  <si>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</si>
  <si>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</si>
  <si>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</si>
  <si>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</si>
  <si>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</si>
  <si>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</si>
  <si>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</si>
  <si>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</si>
  <si>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</si>
  <si>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</si>
  <si>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</si>
  <si>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</si>
  <si>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</si>
  <si>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</si>
  <si>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</si>
  <si>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</si>
  <si>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</si>
  <si>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</si>
  <si>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</si>
  <si>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</si>
  <si>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</si>
  <si>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</si>
  <si>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</si>
  <si>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</si>
  <si>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</si>
  <si>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</si>
  <si>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</si>
  <si>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</si>
  <si>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</si>
  <si>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</si>
  <si>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</si>
  <si>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</si>
  <si>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</si>
  <si>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</si>
  <si>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</si>
  <si>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</si>
  <si>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</si>
  <si>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</si>
  <si>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</si>
  <si>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</si>
  <si>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</si>
  <si>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</si>
  <si>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</si>
  <si>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</si>
  <si>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</si>
  <si>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</si>
  <si>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</si>
  <si>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</si>
  <si>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</si>
  <si>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</si>
  <si>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</si>
  <si>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</si>
  <si>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</si>
  <si>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</si>
  <si>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</si>
  <si>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</si>
  <si>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</si>
  <si>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</si>
  <si>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</si>
  <si>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</si>
  <si>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</si>
  <si>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</si>
  <si>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</si>
  <si>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</si>
  <si>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</si>
  <si>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</si>
  <si>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</si>
  <si>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</si>
  <si>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</si>
  <si>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</si>
  <si>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</si>
  <si>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</si>
  <si>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</si>
  <si>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</si>
  <si>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</si>
  <si>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</si>
  <si>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</si>
  <si>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</si>
  <si>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</si>
  <si>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</si>
  <si>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</si>
  <si>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</si>
  <si>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</si>
  <si>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</si>
  <si>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</si>
  <si>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</si>
  <si>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</si>
  <si>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</si>
  <si>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</si>
  <si>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</si>
  <si>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</si>
  <si>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</si>
  <si>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</si>
  <si>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</si>
  <si>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</si>
  <si>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</si>
  <si>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</si>
  <si>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</si>
  <si>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</si>
  <si>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</si>
  <si>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</si>
  <si>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</si>
  <si>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</si>
  <si>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</si>
  <si>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</si>
  <si>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</si>
  <si>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</si>
  <si>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</si>
  <si>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</si>
  <si>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</si>
  <si>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</si>
  <si>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</si>
  <si>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</si>
  <si>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</si>
  <si>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</si>
  <si>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</si>
  <si>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</si>
  <si>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</si>
  <si>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</si>
  <si>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</si>
  <si>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</si>
  <si>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</si>
  <si>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</si>
  <si>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</si>
  <si>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</si>
  <si>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</si>
  <si>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</si>
  <si>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</si>
  <si>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</si>
  <si>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</si>
  <si>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</si>
  <si>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</si>
  <si>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</si>
  <si>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</si>
  <si>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</si>
  <si>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</si>
  <si>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</si>
  <si>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</si>
  <si>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</si>
  <si>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</si>
  <si>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</si>
  <si>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</si>
  <si>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</si>
  <si>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</si>
  <si>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</si>
  <si>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</si>
  <si>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</si>
  <si>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</si>
  <si>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</si>
  <si>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</si>
  <si>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</si>
  <si>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</si>
  <si>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</si>
  <si>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</si>
  <si>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</si>
  <si>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</si>
  <si>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</si>
  <si>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</si>
  <si>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</si>
  <si>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</si>
  <si>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</si>
  <si>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</si>
  <si>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</si>
  <si>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</si>
  <si>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</si>
  <si>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</si>
  <si>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</si>
  <si>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</si>
  <si>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</si>
  <si>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</si>
  <si>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</si>
  <si>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</si>
  <si>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</si>
  <si>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</si>
  <si>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</si>
  <si>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</si>
  <si>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</si>
  <si>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</si>
  <si>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</si>
  <si>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</si>
  <si>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</si>
  <si>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</si>
  <si>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</si>
  <si>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</si>
  <si>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</si>
  <si>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</si>
  <si>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</si>
  <si>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</si>
  <si>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</si>
  <si>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</si>
  <si>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</si>
  <si>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</si>
  <si>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</si>
  <si>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</si>
  <si>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</si>
  <si>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</si>
  <si>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</si>
  <si>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</si>
  <si>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</si>
  <si>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</si>
  <si>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</si>
  <si>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</si>
  <si>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</si>
  <si>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</si>
  <si>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</si>
  <si>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</si>
  <si>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</si>
  <si>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</si>
  <si>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</si>
  <si>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</si>
  <si>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</si>
  <si>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</si>
  <si>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</si>
  <si>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</si>
  <si>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</si>
  <si>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</si>
  <si>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</si>
  <si>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</si>
  <si>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</si>
  <si>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</si>
  <si>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</si>
  <si>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</si>
  <si>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</si>
  <si>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</si>
  <si>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</si>
  <si>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</si>
  <si>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</si>
  <si>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</si>
  <si>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</si>
  <si>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</si>
  <si>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</si>
  <si>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</si>
  <si>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</si>
  <si>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</si>
  <si>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</si>
  <si>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</si>
  <si>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</si>
  <si>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</si>
  <si>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</si>
  <si>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</si>
  <si>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</si>
  <si>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</si>
  <si>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</si>
  <si>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</si>
  <si>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</si>
  <si>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</si>
  <si>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</si>
  <si>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</si>
  <si>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</si>
  <si>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</si>
  <si>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</si>
  <si>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</si>
  <si>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</si>
  <si>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</si>
  <si>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</si>
  <si>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</si>
  <si>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</si>
  <si>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</si>
  <si>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</si>
  <si>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</si>
  <si>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</si>
  <si>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</si>
  <si>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</si>
  <si>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</si>
  <si>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</si>
  <si>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</si>
  <si>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</si>
  <si>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</si>
  <si>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</si>
  <si>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</si>
  <si>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</si>
  <si>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</si>
  <si>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</si>
  <si>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</si>
  <si>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</si>
  <si>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</si>
  <si>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</si>
  <si>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</si>
  <si>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</si>
  <si>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</si>
  <si>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</si>
  <si>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</si>
  <si>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</si>
  <si>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</si>
  <si>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</si>
  <si>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</si>
  <si>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</si>
  <si>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</si>
  <si>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</si>
  <si>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</si>
  <si>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</si>
  <si>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</si>
  <si>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</si>
  <si>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</si>
  <si>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</si>
  <si>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</si>
  <si>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</si>
  <si>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</si>
  <si>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</si>
  <si>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</si>
  <si>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</si>
  <si>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</si>
  <si>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</si>
  <si>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</si>
  <si>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</si>
  <si>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</si>
  <si>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</si>
  <si>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</si>
  <si>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</si>
  <si>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</si>
  <si>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</si>
  <si>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</si>
  <si>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</si>
  <si>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</si>
  <si>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</si>
  <si>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</si>
  <si>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</si>
  <si>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</si>
  <si>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</si>
  <si>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</si>
  <si>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</si>
  <si>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</si>
  <si>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</si>
  <si>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</si>
  <si>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</si>
  <si>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</si>
  <si>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</si>
  <si>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</si>
  <si>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</si>
  <si>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</si>
  <si>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</si>
  <si>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</si>
  <si>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</si>
  <si>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</si>
  <si>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</si>
  <si>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</si>
  <si>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</si>
  <si>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</si>
  <si>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</si>
  <si>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</si>
  <si>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</si>
  <si>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</si>
  <si>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</si>
  <si>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</si>
  <si>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</si>
  <si>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</si>
  <si>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</si>
  <si>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</si>
  <si>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</si>
  <si>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</si>
  <si>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</si>
  <si>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</si>
  <si>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</si>
  <si>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</si>
  <si>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</si>
  <si>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</si>
  <si>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</si>
  <si>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</si>
  <si>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</si>
  <si>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</si>
  <si>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</si>
  <si>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</si>
  <si>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</si>
  <si>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</si>
  <si>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</si>
  <si>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</si>
  <si>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</si>
  <si>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</si>
  <si>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</si>
  <si>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</si>
  <si>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</si>
  <si>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</si>
  <si>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</si>
  <si>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</si>
  <si>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</si>
  <si>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</si>
  <si>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</si>
  <si>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</si>
  <si>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</si>
  <si>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</si>
  <si>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</si>
  <si>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</si>
  <si>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</si>
  <si>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</si>
  <si>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</si>
  <si>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</si>
  <si>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</si>
  <si>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</si>
  <si>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</si>
  <si>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</si>
  <si>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</si>
  <si>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</si>
  <si>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</si>
  <si>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</si>
  <si>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</si>
  <si>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</si>
  <si>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</si>
  <si>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</si>
  <si>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</si>
  <si>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</si>
  <si>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</si>
  <si>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</si>
  <si>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</si>
  <si>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</si>
  <si>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</si>
  <si>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</si>
  <si>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</si>
  <si>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</si>
  <si>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</si>
  <si>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</si>
  <si>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</si>
  <si>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</si>
  <si>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</si>
  <si>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</si>
  <si>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</si>
  <si>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</si>
  <si>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</si>
  <si>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</si>
  <si>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</si>
  <si>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</si>
  <si>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</si>
  <si>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</si>
  <si>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</si>
  <si>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</si>
  <si>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</si>
  <si>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</si>
  <si>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</si>
  <si>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</si>
  <si>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</si>
  <si>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</si>
  <si>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</si>
  <si>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</si>
  <si>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</si>
  <si>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</si>
  <si>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</si>
  <si>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</si>
  <si>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</si>
  <si>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</si>
  <si>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</si>
  <si>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</si>
  <si>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</si>
  <si>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</si>
  <si>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</si>
  <si>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적당적당한 줄 알았더니, 더 좋네요. 생각보다 (❁´◡`❁)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</si>
  <si>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</si>
  <si>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</si>
  <si>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</si>
  <si>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</si>
  <si>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</si>
  <si>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</si>
  <si>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</si>
  <si>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</si>
  <si>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</si>
  <si>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</si>
  <si>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</si>
  <si>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</si>
  <si>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</si>
  <si>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</si>
  <si>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</si>
  <si>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</si>
  <si>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</si>
  <si>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</si>
  <si>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</si>
  <si>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</si>
  <si>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</si>
  <si>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</si>
  <si>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</si>
  <si>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</si>
  <si>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</si>
  <si>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</si>
  <si>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</si>
  <si>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</si>
  <si>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</si>
  <si>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</si>
  <si>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</si>
  <si>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</si>
  <si>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</si>
  <si>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</si>
  <si>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</si>
  <si>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</si>
  <si>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</si>
  <si>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</si>
  <si>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</si>
  <si>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</si>
  <si>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</si>
  <si>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</si>
  <si>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</si>
  <si>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</si>
  <si>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</si>
  <si>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</si>
  <si>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</si>
  <si>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</si>
  <si>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</si>
  <si>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</si>
  <si>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</si>
  <si>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</si>
  <si>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</si>
  <si>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</si>
  <si>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</si>
  <si>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</si>
  <si>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</si>
  <si>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</si>
  <si>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</si>
  <si>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</si>
  <si>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</si>
  <si>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</si>
  <si>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</si>
  <si>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</si>
  <si>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</si>
  <si>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</si>
  <si>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</si>
  <si>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</si>
  <si>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</si>
  <si>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</si>
  <si>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</si>
  <si>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</si>
  <si>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</si>
  <si>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</si>
  <si>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</si>
  <si>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</si>
  <si>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</si>
  <si>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</si>
  <si>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</si>
  <si>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</si>
  <si>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</si>
  <si>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</si>
  <si>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</si>
  <si>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</si>
  <si>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</si>
  <si>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</si>
  <si>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</si>
  <si>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</si>
  <si>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</si>
  <si>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</si>
  <si>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종류</t>
    <phoneticPr fontId="1" type="noConversion"/>
  </si>
  <si>
    <t>등급</t>
    <phoneticPr fontId="1" type="noConversion"/>
  </si>
  <si>
    <t>Z001</t>
    <phoneticPr fontId="1" type="noConversion"/>
  </si>
  <si>
    <t>사용된 함수</t>
    <phoneticPr fontId="1" type="noConversion"/>
  </si>
  <si>
    <t>=ROUND(AVERAGEIF(표7[음식점 번호], [@번호], 표7[별점]), 1)</t>
    <phoneticPr fontId="1" type="noConversion"/>
  </si>
  <si>
    <t>, 개수</t>
    <phoneticPr fontId="1" type="noConversion"/>
  </si>
  <si>
    <t>첫번째 숫자</t>
    <phoneticPr fontId="1" type="noConversion"/>
  </si>
  <si>
    <t>두번째 숫자</t>
    <phoneticPr fontId="1" type="noConversion"/>
  </si>
  <si>
    <t>=LEFT(셀, FIND(",", 셀)-1)</t>
    <phoneticPr fontId="1" type="noConversion"/>
  </si>
  <si>
    <t>=LEN(셀) - LEN(SUBSTITUTE(셀, ",", ""))</t>
    <phoneticPr fontId="1" type="noConversion"/>
  </si>
  <si>
    <t>=RIGHT(셀, LEN(셀)-FIND(",", 셀))</t>
    <phoneticPr fontId="1" type="noConversion"/>
  </si>
  <si>
    <t>중복</t>
    <phoneticPr fontId="1" type="noConversion"/>
  </si>
  <si>
    <t>asdfdsfsdf,b!</t>
    <phoneticPr fontId="1" type="noConversion"/>
  </si>
  <si>
    <t>=countif(표2[좌표], C2) =1</t>
    <phoneticPr fontId="1" type="noConversion"/>
  </si>
  <si>
    <t>94,0</t>
    <phoneticPr fontId="1" type="noConversion"/>
  </si>
  <si>
    <t>=ISNUMBER(INT(SUBSTITUTE(C2, ",", "")))</t>
    <phoneticPr fontId="1" type="noConversion"/>
  </si>
  <si>
    <t>, 와 숫자 이외에 문자 존재 여부</t>
    <phoneticPr fontId="1" type="noConversion"/>
  </si>
  <si>
    <t>A016</t>
    <phoneticPr fontId="1" type="noConversion"/>
  </si>
  <si>
    <t>=ISNUMBER(INT(SUBSTITUTE(셀, ",", "")))</t>
    <phoneticPr fontId="1" type="noConversion"/>
  </si>
  <si>
    <t>번호</t>
    <phoneticPr fontId="1" type="noConversion"/>
  </si>
  <si>
    <t>카테고리</t>
    <phoneticPr fontId="1" type="noConversion"/>
  </si>
  <si>
    <t>전체</t>
    <phoneticPr fontId="1" type="noConversion"/>
  </si>
  <si>
    <t/>
  </si>
  <si>
    <t>A001</t>
    <phoneticPr fontId="1" type="noConversion"/>
  </si>
  <si>
    <t>회원번호</t>
    <phoneticPr fontId="1" type="noConversion"/>
  </si>
  <si>
    <t>메뉴</t>
    <phoneticPr fontId="1" type="noConversion"/>
  </si>
  <si>
    <t>개수</t>
    <phoneticPr fontId="1" type="noConversion"/>
  </si>
  <si>
    <t>음식점 번호</t>
    <phoneticPr fontId="1" type="noConversion"/>
  </si>
  <si>
    <t>A036</t>
    <phoneticPr fontId="1" type="noConversion"/>
  </si>
  <si>
    <t>Z025</t>
    <phoneticPr fontId="1" type="noConversion"/>
  </si>
  <si>
    <t>A001</t>
    <phoneticPr fontId="1" type="noConversion"/>
  </si>
  <si>
    <t>회원번호</t>
    <phoneticPr fontId="1" type="noConversion"/>
  </si>
  <si>
    <t>음식점</t>
    <phoneticPr fontId="1" type="noConversion"/>
  </si>
  <si>
    <t>Z017</t>
    <phoneticPr fontId="1" type="noConversion"/>
  </si>
  <si>
    <t>Z014</t>
    <phoneticPr fontId="1" type="noConversion"/>
  </si>
  <si>
    <t>Z046</t>
    <phoneticPr fontId="1" type="noConversion"/>
  </si>
  <si>
    <t>Z092</t>
    <phoneticPr fontId="1" type="noConversion"/>
  </si>
  <si>
    <t>Z005</t>
    <phoneticPr fontId="1" type="noConversion"/>
  </si>
  <si>
    <t>Z001</t>
    <phoneticPr fontId="1" type="noConversion"/>
  </si>
  <si>
    <t>Z023</t>
    <phoneticPr fontId="1" type="noConversion"/>
  </si>
  <si>
    <t>판매자 번호</t>
    <phoneticPr fontId="1" type="noConversion"/>
  </si>
  <si>
    <t>Z116</t>
    <phoneticPr fontId="1" type="noConversion"/>
  </si>
  <si>
    <t>판매자 번호</t>
    <phoneticPr fontId="1" type="noConversion"/>
  </si>
  <si>
    <t>일본의 전통적이고 가장 대중적인 면 요리</t>
    <phoneticPr fontId="1" type="noConversion"/>
  </si>
  <si>
    <t>A001</t>
    <phoneticPr fontId="1" type="noConversion"/>
  </si>
  <si>
    <t>Z073</t>
    <phoneticPr fontId="1" type="noConversion"/>
  </si>
  <si>
    <t>Z116</t>
    <phoneticPr fontId="1" type="noConversion"/>
  </si>
  <si>
    <t>Z108</t>
    <phoneticPr fontId="1" type="noConversion"/>
  </si>
  <si>
    <t>주미요</t>
    <phoneticPr fontId="1" type="noConversion"/>
  </si>
  <si>
    <t>행</t>
    <phoneticPr fontId="1" type="noConversion"/>
  </si>
  <si>
    <t>열</t>
    <phoneticPr fontId="1" type="noConversion"/>
  </si>
  <si>
    <t>메뉴명</t>
    <phoneticPr fontId="1" type="noConversion"/>
  </si>
  <si>
    <t>수량</t>
    <phoneticPr fontId="1" type="noConversion"/>
  </si>
  <si>
    <t>금액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</si>
</sst>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/d/yyyy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  <font>
      <sz val="11"/>
      <color rgb="FFFF00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>
      <alignment vertical="center"/>
    </xf>
    <xf numFmtId="0" fontId="5" fillId="0" borderId="0" xfId="0" applyFont="1" applyFill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5" borderId="0" xfId="0" applyFill="1">
      <alignment vertical="center"/>
    </xf>
    <xf numFmtId="176" fontId="0" fillId="0" borderId="0" xfId="0" applyNumberFormat="1" applyAlignment="1">
      <alignment horizontal="center" vertical="center"/>
    </xf>
    <xf numFmtId="0" fontId="0" fillId="6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5" fillId="8" borderId="0" xfId="0" applyFont="1" applyFill="1">
      <alignment vertical="center"/>
    </xf>
    <xf numFmtId="0" fontId="0" fillId="0" borderId="0" xfId="0" applyFill="1">
      <alignment vertical="center"/>
    </xf>
    <xf numFmtId="0" fontId="0" fillId="6" borderId="0" xfId="0" applyFill="1" applyAlignment="1">
      <alignment horizontal="center" vertical="center"/>
    </xf>
  </cellXfs>
  <cellStyles count="1">
    <cellStyle name="표준" xfId="0" builtinId="0"/>
  </cellStyles>
  <dxfs count="51"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7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50"/>
      <tableStyleElement type="headerRow" dxfId="49"/>
    </tableStyle>
  </tableStyles>
  <colors>
    <mruColors>
      <color rgb="FF777777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68294189652813E-2"/>
          <c:y val="7.2325933687939228E-2"/>
          <c:w val="0.98303170581034716"/>
          <c:h val="0.8553481326241215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로딩!$A$1</c:f>
              <c:strCache>
                <c:ptCount val="1"/>
                <c:pt idx="0">
                  <c:v>progression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EB-4A3E-89D7-526D75F1F447}"/>
              </c:ext>
            </c:extLst>
          </c:dPt>
          <c:val>
            <c:numRef>
              <c:f>로딩!$A$2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B-44AB-AA8D-681E9CBF4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5719800"/>
        <c:axId val="435721112"/>
      </c:barChart>
      <c:catAx>
        <c:axId val="435719800"/>
        <c:scaling>
          <c:orientation val="minMax"/>
        </c:scaling>
        <c:delete val="1"/>
        <c:axPos val="l"/>
        <c:majorTickMark val="none"/>
        <c:minorTickMark val="none"/>
        <c:tickLblPos val="nextTo"/>
        <c:crossAx val="435721112"/>
        <c:crosses val="autoZero"/>
        <c:auto val="1"/>
        <c:lblAlgn val="ctr"/>
        <c:lblOffset val="100"/>
        <c:noMultiLvlLbl val="0"/>
      </c:catAx>
      <c:valAx>
        <c:axId val="435721112"/>
        <c:scaling>
          <c:orientation val="minMax"/>
          <c:max val="255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571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6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419100</xdr:colOff>
      <xdr:row>27</xdr:row>
      <xdr:rowOff>142874</xdr:rowOff>
    </xdr:to>
    <xdr:sp macro="" textlink="">
      <xdr:nvSpPr>
        <xdr:cNvPr id="2" name="BAC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4820900" cy="5800724"/>
        </a:xfrm>
        <a:prstGeom prst="rect">
          <a:avLst/>
        </a:prstGeom>
        <a:solidFill>
          <a:srgbClr val="00F9F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682398</xdr:colOff>
      <xdr:row>14</xdr:row>
      <xdr:rowOff>11566</xdr:rowOff>
    </xdr:from>
    <xdr:to>
      <xdr:col>17</xdr:col>
      <xdr:colOff>0</xdr:colOff>
      <xdr:row>23</xdr:row>
      <xdr:rowOff>57150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655625</xdr:colOff>
      <xdr:row>6</xdr:row>
      <xdr:rowOff>151038</xdr:rowOff>
    </xdr:from>
    <xdr:to>
      <xdr:col>18</xdr:col>
      <xdr:colOff>125935</xdr:colOff>
      <xdr:row>13</xdr:row>
      <xdr:rowOff>175408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625" y="1408338"/>
          <a:ext cx="1527710" cy="14912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123825</xdr:rowOff>
        </xdr:from>
        <xdr:to>
          <xdr:col>13</xdr:col>
          <xdr:colOff>638175</xdr:colOff>
          <xdr:row>6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76623</xdr:colOff>
      <xdr:row>2</xdr:row>
      <xdr:rowOff>81643</xdr:rowOff>
    </xdr:from>
    <xdr:to>
      <xdr:col>15</xdr:col>
      <xdr:colOff>449036</xdr:colOff>
      <xdr:row>18</xdr:row>
      <xdr:rowOff>163285</xdr:rowOff>
    </xdr:to>
    <xdr:sp macro="" textlink="">
      <xdr:nvSpPr>
        <xdr:cNvPr id="3" name="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98052" y="489857"/>
          <a:ext cx="7856341" cy="334735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</xdr:col>
      <xdr:colOff>495299</xdr:colOff>
      <xdr:row>1</xdr:row>
      <xdr:rowOff>142875</xdr:rowOff>
    </xdr:from>
    <xdr:to>
      <xdr:col>11</xdr:col>
      <xdr:colOff>142874</xdr:colOff>
      <xdr:row>16</xdr:row>
      <xdr:rowOff>56351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091" b="92857" l="8387" r="88387">
                      <a14:foregroundMark x1="20000" y1="85714" x2="34194" y2="88312"/>
                      <a14:foregroundMark x1="69032" y1="85714" x2="85161" y2="90260"/>
                      <a14:foregroundMark x1="85161" y1="90260" x2="85806" y2="87013"/>
                      <a14:foregroundMark x1="80000" y1="92857" x2="80000" y2="92857"/>
                      <a14:foregroundMark x1="29032" y1="92857" x2="29032" y2="9285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099" y="352425"/>
          <a:ext cx="3076575" cy="30567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</xdr:row>
          <xdr:rowOff>114300</xdr:rowOff>
        </xdr:from>
        <xdr:to>
          <xdr:col>14</xdr:col>
          <xdr:colOff>514350</xdr:colOff>
          <xdr:row>3</xdr:row>
          <xdr:rowOff>133350</xdr:rowOff>
        </xdr:to>
        <xdr:sp macro="" textlink="">
          <xdr:nvSpPr>
            <xdr:cNvPr id="2049" name="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17</xdr:row>
          <xdr:rowOff>47625</xdr:rowOff>
        </xdr:from>
        <xdr:to>
          <xdr:col>16</xdr:col>
          <xdr:colOff>266700</xdr:colOff>
          <xdr:row>19</xdr:row>
          <xdr:rowOff>76200</xdr:rowOff>
        </xdr:to>
        <xdr:sp macro="" textlink="">
          <xdr:nvSpPr>
            <xdr:cNvPr id="2050" name="dispos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4</xdr:row>
          <xdr:rowOff>57150</xdr:rowOff>
        </xdr:from>
        <xdr:to>
          <xdr:col>14</xdr:col>
          <xdr:colOff>495300</xdr:colOff>
          <xdr:row>6</xdr:row>
          <xdr:rowOff>19050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6</xdr:row>
          <xdr:rowOff>152400</xdr:rowOff>
        </xdr:from>
        <xdr:to>
          <xdr:col>14</xdr:col>
          <xdr:colOff>485775</xdr:colOff>
          <xdr:row>8</xdr:row>
          <xdr:rowOff>114300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13</xdr:row>
          <xdr:rowOff>76200</xdr:rowOff>
        </xdr:from>
        <xdr:to>
          <xdr:col>10</xdr:col>
          <xdr:colOff>9525</xdr:colOff>
          <xdr:row>14</xdr:row>
          <xdr:rowOff>171450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110</xdr:col>
          <xdr:colOff>123825</xdr:colOff>
          <xdr:row>1</xdr:row>
          <xdr:rowOff>66675</xdr:rowOff>
        </xdr:from>
        <xdr:to>
          <xdr:col>111</xdr:col>
          <xdr:colOff>600075</xdr:colOff>
          <xdr:row>3</xdr:row>
          <xdr:rowOff>161925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112</xdr:col>
          <xdr:colOff>314325</xdr:colOff>
          <xdr:row>1</xdr:row>
          <xdr:rowOff>66675</xdr:rowOff>
        </xdr:from>
        <xdr:to>
          <xdr:col>114</xdr:col>
          <xdr:colOff>219075</xdr:colOff>
          <xdr:row>2</xdr:row>
          <xdr:rowOff>295275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110</xdr:col>
          <xdr:colOff>47625</xdr:colOff>
          <xdr:row>4</xdr:row>
          <xdr:rowOff>28575</xdr:rowOff>
        </xdr:from>
        <xdr:to>
          <xdr:col>113</xdr:col>
          <xdr:colOff>657225</xdr:colOff>
          <xdr:row>6</xdr:row>
          <xdr:rowOff>152400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244877</xdr:colOff>
      <xdr:row>20</xdr:row>
      <xdr:rowOff>66850</xdr:rowOff>
    </xdr:from>
    <xdr:to>
      <xdr:col>6</xdr:col>
      <xdr:colOff>400742</xdr:colOff>
      <xdr:row>25</xdr:row>
      <xdr:rowOff>175608</xdr:rowOff>
    </xdr:to>
    <xdr:sp macro="" textlink="">
      <xdr:nvSpPr>
        <xdr:cNvPr id="3" name="이등변 삼각형 2"/>
        <xdr:cNvSpPr/>
      </xdr:nvSpPr>
      <xdr:spPr>
        <a:xfrm rot="16200000">
          <a:off x="1870363" y="5836228"/>
          <a:ext cx="1667394" cy="58881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22</xdr:col>
      <xdr:colOff>121229</xdr:colOff>
      <xdr:row>4</xdr:row>
      <xdr:rowOff>86593</xdr:rowOff>
    </xdr:from>
    <xdr:to>
      <xdr:col>26</xdr:col>
      <xdr:colOff>56805</xdr:colOff>
      <xdr:row>6</xdr:row>
      <xdr:rowOff>51957</xdr:rowOff>
    </xdr:to>
    <xdr:sp macro="" textlink="">
      <xdr:nvSpPr>
        <xdr:cNvPr id="7" name="이등변 삼각형 6"/>
        <xdr:cNvSpPr/>
      </xdr:nvSpPr>
      <xdr:spPr>
        <a:xfrm>
          <a:off x="9646229" y="1264229"/>
          <a:ext cx="1667394" cy="58881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111</xdr:col>
      <xdr:colOff>383424</xdr:colOff>
      <xdr:row>20</xdr:row>
      <xdr:rowOff>32214</xdr:rowOff>
    </xdr:from>
    <xdr:to>
      <xdr:col>112</xdr:col>
      <xdr:colOff>158289</xdr:colOff>
      <xdr:row>25</xdr:row>
      <xdr:rowOff>140972</xdr:rowOff>
    </xdr:to>
    <xdr:sp macro="" textlink="">
      <xdr:nvSpPr>
        <xdr:cNvPr id="8" name="이등변 삼각형 7"/>
        <xdr:cNvSpPr/>
      </xdr:nvSpPr>
      <xdr:spPr>
        <a:xfrm rot="5400000">
          <a:off x="17907001" y="5801592"/>
          <a:ext cx="1667394" cy="58881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23</xdr:col>
      <xdr:colOff>69274</xdr:colOff>
      <xdr:row>112</xdr:row>
      <xdr:rowOff>155867</xdr:rowOff>
    </xdr:from>
    <xdr:to>
      <xdr:col>27</xdr:col>
      <xdr:colOff>0</xdr:colOff>
      <xdr:row>114</xdr:row>
      <xdr:rowOff>121231</xdr:rowOff>
    </xdr:to>
    <xdr:sp macro="" textlink="">
      <xdr:nvSpPr>
        <xdr:cNvPr id="9" name="이등변 삼각형 8"/>
        <xdr:cNvSpPr/>
      </xdr:nvSpPr>
      <xdr:spPr>
        <a:xfrm rot="10800000">
          <a:off x="10027229" y="11620503"/>
          <a:ext cx="1667394" cy="58881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18</xdr:row>
          <xdr:rowOff>295275</xdr:rowOff>
        </xdr:from>
        <xdr:to>
          <xdr:col>4</xdr:col>
          <xdr:colOff>247650</xdr:colOff>
          <xdr:row>21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3</xdr:row>
          <xdr:rowOff>123825</xdr:rowOff>
        </xdr:from>
        <xdr:to>
          <xdr:col>22</xdr:col>
          <xdr:colOff>295275</xdr:colOff>
          <xdr:row>5</xdr:row>
          <xdr:rowOff>190500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111</xdr:col>
          <xdr:colOff>190500</xdr:colOff>
          <xdr:row>15</xdr:row>
          <xdr:rowOff>66675</xdr:rowOff>
        </xdr:from>
        <xdr:to>
          <xdr:col>112</xdr:col>
          <xdr:colOff>104775</xdr:colOff>
          <xdr:row>17</xdr:row>
          <xdr:rowOff>133350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0</xdr:colOff>
          <xdr:row>112</xdr:row>
          <xdr:rowOff>66675</xdr:rowOff>
        </xdr:from>
        <xdr:to>
          <xdr:col>23</xdr:col>
          <xdr:colOff>285750</xdr:colOff>
          <xdr:row>114</xdr:row>
          <xdr:rowOff>133350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0</xdr:colOff>
          <xdr:row>2</xdr:row>
          <xdr:rowOff>276225</xdr:rowOff>
        </xdr:from>
        <xdr:to>
          <xdr:col>34</xdr:col>
          <xdr:colOff>247650</xdr:colOff>
          <xdr:row>4</xdr:row>
          <xdr:rowOff>104775</xdr:rowOff>
        </xdr:to>
        <xdr:sp macro="" textlink="">
          <xdr:nvSpPr>
            <xdr:cNvPr id="8201" name="Label1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419100</xdr:colOff>
          <xdr:row>3</xdr:row>
          <xdr:rowOff>19050</xdr:rowOff>
        </xdr:from>
        <xdr:to>
          <xdr:col>29</xdr:col>
          <xdr:colOff>228600</xdr:colOff>
          <xdr:row>4</xdr:row>
          <xdr:rowOff>152400</xdr:rowOff>
        </xdr:to>
        <xdr:sp macro="" textlink="">
          <xdr:nvSpPr>
            <xdr:cNvPr id="8203" name="Label3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1</xdr:row>
          <xdr:rowOff>180975</xdr:rowOff>
        </xdr:from>
        <xdr:to>
          <xdr:col>5</xdr:col>
          <xdr:colOff>123825</xdr:colOff>
          <xdr:row>3</xdr:row>
          <xdr:rowOff>133350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333375</xdr:colOff>
      <xdr:row>2</xdr:row>
      <xdr:rowOff>190500</xdr:rowOff>
    </xdr:from>
    <xdr:to>
      <xdr:col>11</xdr:col>
      <xdr:colOff>9525</xdr:colOff>
      <xdr:row>8</xdr:row>
      <xdr:rowOff>95250</xdr:rowOff>
    </xdr:to>
    <xdr:grpSp>
      <xdr:nvGrpSpPr>
        <xdr:cNvPr id="5" name="그룹 4"/>
        <xdr:cNvGrpSpPr/>
      </xdr:nvGrpSpPr>
      <xdr:grpSpPr>
        <a:xfrm>
          <a:off x="4448175" y="609600"/>
          <a:ext cx="3105150" cy="1162050"/>
          <a:chOff x="4448175" y="609600"/>
          <a:chExt cx="3105150" cy="1162050"/>
        </a:xfrm>
      </xdr:grpSpPr>
      <xdr:grpSp>
        <xdr:nvGrpSpPr>
          <xdr:cNvPr id="4" name="그룹 3"/>
          <xdr:cNvGrpSpPr/>
        </xdr:nvGrpSpPr>
        <xdr:grpSpPr>
          <a:xfrm>
            <a:off x="4448175" y="609600"/>
            <a:ext cx="2847975" cy="1162050"/>
            <a:chOff x="7134225" y="1238250"/>
            <a:chExt cx="2847975" cy="1162050"/>
          </a:xfrm>
        </xdr:grpSpPr>
        <xdr:sp macro="" textlink="">
          <xdr:nvSpPr>
            <xdr:cNvPr id="8" name="_4"/>
            <xdr:cNvSpPr/>
          </xdr:nvSpPr>
          <xdr:spPr>
            <a:xfrm>
              <a:off x="8915400" y="1238250"/>
              <a:ext cx="1066800" cy="1152525"/>
            </a:xfrm>
            <a:prstGeom prst="triangle">
              <a:avLst/>
            </a:prstGeom>
            <a:solidFill>
              <a:srgbClr val="777777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7" name="_3"/>
            <xdr:cNvSpPr/>
          </xdr:nvSpPr>
          <xdr:spPr>
            <a:xfrm>
              <a:off x="8401050" y="1247775"/>
              <a:ext cx="1066800" cy="1152525"/>
            </a:xfrm>
            <a:prstGeom prst="roundRect">
              <a:avLst/>
            </a:prstGeom>
            <a:solidFill>
              <a:srgbClr val="777777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6" name="_2"/>
            <xdr:cNvSpPr/>
          </xdr:nvSpPr>
          <xdr:spPr>
            <a:xfrm>
              <a:off x="7715250" y="1238250"/>
              <a:ext cx="1066800" cy="1152525"/>
            </a:xfrm>
            <a:prstGeom prst="rect">
              <a:avLst/>
            </a:prstGeom>
            <a:solidFill>
              <a:srgbClr val="777777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2" name="_1"/>
            <xdr:cNvSpPr/>
          </xdr:nvSpPr>
          <xdr:spPr>
            <a:xfrm>
              <a:off x="7134225" y="1238250"/>
              <a:ext cx="723900" cy="1162050"/>
            </a:xfrm>
            <a:prstGeom prst="trapezoid">
              <a:avLst/>
            </a:prstGeom>
            <a:solidFill>
              <a:srgbClr val="33333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0" name="Label1" hidden="1">
                <a:extLst>
                  <a:ext uri="{63B3BB69-23CF-44E3-9099-C40C66FF867C}">
                    <a14:compatExt spid="_x0000_s17410"/>
                  </a:ext>
                </a:extLst>
              </xdr:cNvPr>
              <xdr:cNvSpPr/>
            </xdr:nvSpPr>
            <xdr:spPr bwMode="auto">
              <a:xfrm>
                <a:off x="5210175" y="1009650"/>
                <a:ext cx="2343150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5</xdr:row>
          <xdr:rowOff>171450</xdr:rowOff>
        </xdr:from>
        <xdr:to>
          <xdr:col>4</xdr:col>
          <xdr:colOff>28575</xdr:colOff>
          <xdr:row>11</xdr:row>
          <xdr:rowOff>190500</xdr:rowOff>
        </xdr:to>
        <xdr:sp macro="" textlink="">
          <xdr:nvSpPr>
            <xdr:cNvPr id="17411" name="Image1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561975</xdr:colOff>
          <xdr:row>1</xdr:row>
          <xdr:rowOff>180975</xdr:rowOff>
        </xdr:from>
        <xdr:to>
          <xdr:col>19</xdr:col>
          <xdr:colOff>609600</xdr:colOff>
          <xdr:row>3</xdr:row>
          <xdr:rowOff>180975</xdr:rowOff>
        </xdr:to>
        <xdr:sp macro="" textlink="">
          <xdr:nvSpPr>
            <xdr:cNvPr id="17412" name="cmd테스트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표2" displayName="표2" ref="A1:F187" totalsRowShown="0" headerRowDxfId="48" dataDxfId="47">
  <autoFilter ref="A1:F18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번호" dataDxfId="46"/>
    <tableColumn id="2" name="이름" dataDxfId="45"/>
    <tableColumn id="3" name="좌표" dataDxfId="44"/>
    <tableColumn id="4" name="아이디" dataDxfId="43"/>
    <tableColumn id="5" name="비밀번호" dataDxfId="42"/>
    <tableColumn id="6" name="등급" dataDxfId="41">
      <calculatedColumnFormula array="1">fn등급(A2)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1:C139" totalsRowShown="0" headerRowDxfId="40" dataDxfId="39">
  <tableColumns count="3">
    <tableColumn id="1" name="번호" dataDxfId="38"/>
    <tableColumn id="2" name="카테고리" dataDxfId="37"/>
    <tableColumn id="3" name="평균 별점" dataDxfId="36">
      <calculatedColumnFormula>ROUND(AVERAGEIF(표7[음식점 번호], 표3[[#This Row],[번호]], 표7[별점]), 1)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4" name="표4" displayName="표4" ref="A1:E1311" totalsRowShown="0" headerRowDxfId="35" dataDxfId="34">
  <tableColumns count="5">
    <tableColumn id="1" name="순번" dataDxfId="33"/>
    <tableColumn id="2" name="판매자 번호" dataDxfId="32"/>
    <tableColumn id="3" name="음식" dataDxfId="31"/>
    <tableColumn id="4" name=" 상품 설명 " dataDxfId="30"/>
    <tableColumn id="5" name=" 가격 " dataDxfId="29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5" name="표5" displayName="표5" ref="A1:B1001" totalsRowShown="0" headerRowDxfId="28" dataDxfId="27">
  <autoFilter ref="A1:B1001">
    <filterColumn colId="0" hiddenButton="1"/>
    <filterColumn colId="1" hiddenButton="1"/>
  </autoFilter>
  <tableColumns count="2">
    <tableColumn id="1" name="번호" dataDxfId="26"/>
    <tableColumn id="2" name="좌표" dataDxfId="25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6" name="표6" displayName="표6" ref="A1:H297" totalsRowShown="0" headerRowDxfId="24" dataDxfId="23">
  <tableColumns count="8">
    <tableColumn id="1" name="번호" dataDxfId="22"/>
    <tableColumn id="2" name="회원번호" dataDxfId="21"/>
    <tableColumn id="3" name="음식점" dataDxfId="20"/>
    <tableColumn id="4" name="음식이름" dataDxfId="19"/>
    <tableColumn id="5" name="개수" dataDxfId="18"/>
    <tableColumn id="6" name="구매날짜" dataDxfId="17"/>
    <tableColumn id="7" name="배달료" dataDxfId="16"/>
    <tableColumn id="8" name="가격 (원가)" dataDxfId="15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7" name="표7" displayName="표7" ref="A1:H183" totalsRowShown="0" headerRowDxfId="14" dataDxfId="13">
  <tableColumns count="8">
    <tableColumn id="1" name="번호" dataDxfId="12"/>
    <tableColumn id="2" name="회원번호" dataDxfId="11"/>
    <tableColumn id="3" name="음식점 번호" dataDxfId="10"/>
    <tableColumn id="4" name="음식점" dataDxfId="9"/>
    <tableColumn id="5" name="구매날짜" dataDxfId="8"/>
    <tableColumn id="6" name="리뷰" dataDxfId="7"/>
    <tableColumn id="7" name="별점" dataDxfId="6"/>
    <tableColumn id="8" name="공개여부" dataDxfId="5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1" name="표1" displayName="표1" ref="N1:P11" totalsRowShown="0" headerRowDxfId="1" dataDxfId="0">
  <autoFilter ref="N1:P11"/>
  <tableColumns count="3">
    <tableColumn id="1" name="메뉴명" dataDxfId="4"/>
    <tableColumn id="2" name="수량" dataDxfId="3"/>
    <tableColumn id="3" name="금액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3.xml"/><Relationship Id="rId10" Type="http://schemas.openxmlformats.org/officeDocument/2006/relationships/image" Target="../media/image6.emf"/><Relationship Id="rId4" Type="http://schemas.openxmlformats.org/officeDocument/2006/relationships/image" Target="../media/image3.emf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3.emf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11.xml"/><Relationship Id="rId17" Type="http://schemas.openxmlformats.org/officeDocument/2006/relationships/image" Target="../media/image1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0.xml"/><Relationship Id="rId19" Type="http://schemas.openxmlformats.org/officeDocument/2006/relationships/image" Target="../media/image16.emf"/><Relationship Id="rId4" Type="http://schemas.openxmlformats.org/officeDocument/2006/relationships/control" Target="../activeX/activeX7.xml"/><Relationship Id="rId9" Type="http://schemas.openxmlformats.org/officeDocument/2006/relationships/image" Target="../media/image11.emf"/><Relationship Id="rId1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9.emf"/><Relationship Id="rId11" Type="http://schemas.openxmlformats.org/officeDocument/2006/relationships/table" Target="../tables/table7.xml"/><Relationship Id="rId5" Type="http://schemas.openxmlformats.org/officeDocument/2006/relationships/control" Target="../activeX/activeX17.xml"/><Relationship Id="rId10" Type="http://schemas.openxmlformats.org/officeDocument/2006/relationships/image" Target="../media/image21.emf"/><Relationship Id="rId4" Type="http://schemas.openxmlformats.org/officeDocument/2006/relationships/image" Target="../media/image18.emf"/><Relationship Id="rId9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2"/>
  <sheetViews>
    <sheetView zoomScale="55" zoomScaleNormal="55" workbookViewId="0">
      <selection activeCell="K30" sqref="K30"/>
    </sheetView>
  </sheetViews>
  <sheetFormatPr defaultRowHeight="16.5" x14ac:dyDescent="0.3"/>
  <sheetData>
    <row r="1" spans="1:1" x14ac:dyDescent="0.3">
      <c r="A1" t="s">
        <v>0</v>
      </c>
    </row>
    <row r="2" spans="1:1" x14ac:dyDescent="0.3">
      <c r="A2">
        <v>250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12</xdr:col>
                <xdr:colOff>57150</xdr:colOff>
                <xdr:row>4</xdr:row>
                <xdr:rowOff>123825</xdr:rowOff>
              </from>
              <to>
                <xdr:col>13</xdr:col>
                <xdr:colOff>638175</xdr:colOff>
                <xdr:row>6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2"/>
  <sheetViews>
    <sheetView zoomScale="70" zoomScaleNormal="70" workbookViewId="0">
      <selection activeCell="Q37" sqref="Q37"/>
    </sheetView>
  </sheetViews>
  <sheetFormatPr defaultRowHeight="16.5" x14ac:dyDescent="0.3"/>
  <cols>
    <col min="19" max="20" width="11.75" bestFit="1" customWidth="1"/>
    <col min="21" max="21" width="19.5" customWidth="1"/>
  </cols>
  <sheetData>
    <row r="1" spans="1:22" x14ac:dyDescent="0.3">
      <c r="A1" t="s">
        <v>3620</v>
      </c>
      <c r="P1" t="s">
        <v>3662</v>
      </c>
      <c r="R1" s="1" t="s">
        <v>941</v>
      </c>
      <c r="S1" s="1" t="s">
        <v>942</v>
      </c>
      <c r="T1" s="1" t="s">
        <v>943</v>
      </c>
      <c r="U1" s="1" t="s">
        <v>944</v>
      </c>
      <c r="V1" s="1" t="s">
        <v>945</v>
      </c>
    </row>
    <row r="2" spans="1:22" x14ac:dyDescent="0.3">
      <c r="A2">
        <v>0</v>
      </c>
      <c r="B2" t="s">
        <v>3664</v>
      </c>
      <c r="P2" t="str">
        <f>회원번호</f>
        <v>A001</v>
      </c>
      <c r="R2" s="1">
        <v>1</v>
      </c>
      <c r="S2" s="1" t="s">
        <v>239</v>
      </c>
      <c r="T2" s="1" t="s">
        <v>946</v>
      </c>
      <c r="U2" s="1" t="s">
        <v>947</v>
      </c>
      <c r="V2" s="2">
        <v>15000</v>
      </c>
    </row>
    <row r="3" spans="1:22" x14ac:dyDescent="0.3">
      <c r="R3" s="1">
        <v>2</v>
      </c>
      <c r="S3" s="1" t="s">
        <v>239</v>
      </c>
      <c r="T3" s="1" t="s">
        <v>948</v>
      </c>
      <c r="U3" s="1" t="s">
        <v>3663</v>
      </c>
      <c r="V3" s="2">
        <v>4000</v>
      </c>
    </row>
    <row r="4" spans="1:22" x14ac:dyDescent="0.3">
      <c r="A4" t="s">
        <v>3645</v>
      </c>
      <c r="B4" t="s">
        <v>3646</v>
      </c>
      <c r="R4" s="1">
        <v>3</v>
      </c>
      <c r="S4" s="1" t="s">
        <v>239</v>
      </c>
      <c r="T4" s="1" t="s">
        <v>950</v>
      </c>
      <c r="U4" s="1" t="s">
        <v>951</v>
      </c>
      <c r="V4" s="2">
        <v>25000</v>
      </c>
    </row>
    <row r="5" spans="1:22" x14ac:dyDescent="0.3">
      <c r="R5" s="1">
        <v>4</v>
      </c>
      <c r="S5" s="1" t="s">
        <v>239</v>
      </c>
      <c r="T5" s="1" t="s">
        <v>952</v>
      </c>
      <c r="U5" s="1" t="s">
        <v>953</v>
      </c>
      <c r="V5" s="2">
        <v>8000</v>
      </c>
    </row>
    <row r="6" spans="1:22" x14ac:dyDescent="0.3">
      <c r="R6" s="1">
        <v>5</v>
      </c>
      <c r="S6" s="1" t="s">
        <v>239</v>
      </c>
      <c r="T6" s="1" t="s">
        <v>954</v>
      </c>
      <c r="U6" s="1" t="s">
        <v>955</v>
      </c>
      <c r="V6" s="2">
        <v>8000</v>
      </c>
    </row>
    <row r="7" spans="1:22" x14ac:dyDescent="0.3">
      <c r="R7" s="1">
        <v>6</v>
      </c>
      <c r="S7" s="1" t="s">
        <v>239</v>
      </c>
      <c r="T7" s="1" t="s">
        <v>956</v>
      </c>
      <c r="U7" s="1" t="s">
        <v>957</v>
      </c>
      <c r="V7" s="2">
        <v>10000</v>
      </c>
    </row>
    <row r="8" spans="1:22" x14ac:dyDescent="0.3">
      <c r="R8" s="1">
        <v>7</v>
      </c>
      <c r="S8" s="1" t="s">
        <v>239</v>
      </c>
      <c r="T8" s="1" t="s">
        <v>958</v>
      </c>
      <c r="U8" s="1" t="s">
        <v>959</v>
      </c>
      <c r="V8" s="2">
        <v>3000</v>
      </c>
    </row>
    <row r="9" spans="1:22" x14ac:dyDescent="0.3">
      <c r="R9" s="1">
        <v>8</v>
      </c>
      <c r="S9" s="1" t="s">
        <v>239</v>
      </c>
      <c r="T9" s="1" t="s">
        <v>960</v>
      </c>
      <c r="U9" s="1" t="s">
        <v>961</v>
      </c>
      <c r="V9" s="2">
        <v>12000</v>
      </c>
    </row>
    <row r="10" spans="1:22" x14ac:dyDescent="0.3">
      <c r="R10" s="1">
        <v>9</v>
      </c>
      <c r="S10" s="1" t="s">
        <v>239</v>
      </c>
      <c r="T10" s="1" t="s">
        <v>962</v>
      </c>
      <c r="U10" s="1" t="s">
        <v>963</v>
      </c>
      <c r="V10" s="2">
        <v>2500</v>
      </c>
    </row>
    <row r="11" spans="1:22" x14ac:dyDescent="0.3">
      <c r="R11" s="1">
        <v>10</v>
      </c>
      <c r="S11" s="1" t="s">
        <v>239</v>
      </c>
      <c r="T11" s="1" t="s">
        <v>964</v>
      </c>
      <c r="U11" s="1" t="s">
        <v>965</v>
      </c>
      <c r="V11" s="2">
        <v>2000</v>
      </c>
    </row>
    <row r="12" spans="1:22" x14ac:dyDescent="0.3">
      <c r="R12" s="1">
        <v>11</v>
      </c>
      <c r="S12" s="1" t="s">
        <v>239</v>
      </c>
      <c r="T12" s="1" t="s">
        <v>966</v>
      </c>
      <c r="U12" s="1" t="s">
        <v>965</v>
      </c>
      <c r="V12" s="2">
        <v>2000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login">
          <controlPr defaultSize="0" autoLine="0" r:id="rId4">
            <anchor moveWithCells="1">
              <from>
                <xdr:col>12</xdr:col>
                <xdr:colOff>304800</xdr:colOff>
                <xdr:row>1</xdr:row>
                <xdr:rowOff>114300</xdr:rowOff>
              </from>
              <to>
                <xdr:col>14</xdr:col>
                <xdr:colOff>514350</xdr:colOff>
                <xdr:row>3</xdr:row>
                <xdr:rowOff>133350</xdr:rowOff>
              </to>
            </anchor>
          </controlPr>
        </control>
      </mc:Choice>
      <mc:Fallback>
        <control shapeId="2049" r:id="rId3" name="login"/>
      </mc:Fallback>
    </mc:AlternateContent>
    <mc:AlternateContent xmlns:mc="http://schemas.openxmlformats.org/markup-compatibility/2006">
      <mc:Choice Requires="x14">
        <control shapeId="2050" r:id="rId5" name="dispose">
          <controlPr defaultSize="0" autoLine="0" r:id="rId6">
            <anchor moveWithCells="1">
              <from>
                <xdr:col>2</xdr:col>
                <xdr:colOff>657225</xdr:colOff>
                <xdr:row>17</xdr:row>
                <xdr:rowOff>47625</xdr:rowOff>
              </from>
              <to>
                <xdr:col>16</xdr:col>
                <xdr:colOff>266700</xdr:colOff>
                <xdr:row>19</xdr:row>
                <xdr:rowOff>76200</xdr:rowOff>
              </to>
            </anchor>
          </controlPr>
        </control>
      </mc:Choice>
      <mc:Fallback>
        <control shapeId="2050" r:id="rId5" name="dispose"/>
      </mc:Fallback>
    </mc:AlternateContent>
    <mc:AlternateContent xmlns:mc="http://schemas.openxmlformats.org/markup-compatibility/2006">
      <mc:Choice Requires="x14">
        <control shapeId="2051" r:id="rId7" name="CommandButton3">
          <controlPr defaultSize="0" autoLine="0" r:id="rId8">
            <anchor moveWithCells="1">
              <from>
                <xdr:col>12</xdr:col>
                <xdr:colOff>361950</xdr:colOff>
                <xdr:row>4</xdr:row>
                <xdr:rowOff>57150</xdr:rowOff>
              </from>
              <to>
                <xdr:col>14</xdr:col>
                <xdr:colOff>495300</xdr:colOff>
                <xdr:row>6</xdr:row>
                <xdr:rowOff>19050</xdr:rowOff>
              </to>
            </anchor>
          </controlPr>
        </control>
      </mc:Choice>
      <mc:Fallback>
        <control shapeId="2051" r:id="rId7" name="CommandButton3"/>
      </mc:Fallback>
    </mc:AlternateContent>
    <mc:AlternateContent xmlns:mc="http://schemas.openxmlformats.org/markup-compatibility/2006">
      <mc:Choice Requires="x14">
        <control shapeId="2052" r:id="rId9" name="CommandButton4">
          <controlPr defaultSize="0" autoLine="0" r:id="rId10">
            <anchor moveWithCells="1">
              <from>
                <xdr:col>12</xdr:col>
                <xdr:colOff>352425</xdr:colOff>
                <xdr:row>6</xdr:row>
                <xdr:rowOff>152400</xdr:rowOff>
              </from>
              <to>
                <xdr:col>14</xdr:col>
                <xdr:colOff>485775</xdr:colOff>
                <xdr:row>8</xdr:row>
                <xdr:rowOff>114300</xdr:rowOff>
              </to>
            </anchor>
          </controlPr>
        </control>
      </mc:Choice>
      <mc:Fallback>
        <control shapeId="2052" r:id="rId9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87"/>
  <sheetViews>
    <sheetView zoomScaleNormal="100" workbookViewId="0">
      <selection activeCell="J13" sqref="J13"/>
    </sheetView>
  </sheetViews>
  <sheetFormatPr defaultRowHeight="16.5" x14ac:dyDescent="0.3"/>
  <cols>
    <col min="1" max="1" width="9" style="1"/>
    <col min="2" max="2" width="22" style="1" bestFit="1" customWidth="1"/>
    <col min="3" max="4" width="9" style="1"/>
    <col min="5" max="5" width="10.25" style="1" customWidth="1"/>
    <col min="6" max="6" width="9" style="1"/>
    <col min="7" max="7" width="9" customWidth="1"/>
    <col min="8" max="8" width="9" style="1" customWidth="1"/>
    <col min="9" max="9" width="37.875" style="1" bestFit="1" customWidth="1"/>
    <col min="10" max="10" width="24.5" style="1" bestFit="1" customWidth="1"/>
    <col min="11" max="11" width="39.625" style="1" bestFit="1" customWidth="1"/>
    <col min="12" max="12" width="23.125" bestFit="1" customWidth="1"/>
    <col min="13" max="13" width="9" style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3621</v>
      </c>
      <c r="H1" s="1">
        <f>COUNT(표2[좌표], C2)</f>
        <v>0</v>
      </c>
    </row>
    <row r="2" spans="1:12" x14ac:dyDescent="0.3">
      <c r="A2" s="1" t="s">
        <v>6</v>
      </c>
      <c r="B2" s="1" t="s">
        <v>7</v>
      </c>
      <c r="C2" s="2" t="s">
        <v>8</v>
      </c>
      <c r="D2" s="1" t="s">
        <v>9</v>
      </c>
      <c r="E2" s="1" t="s">
        <v>10</v>
      </c>
      <c r="F2" s="1" t="str" cm="1">
        <f t="array" ref="F2">fn등급(A2)</f>
        <v>VIP</v>
      </c>
      <c r="H2" s="2"/>
    </row>
    <row r="3" spans="1:12" x14ac:dyDescent="0.3">
      <c r="A3" s="1" t="s">
        <v>11</v>
      </c>
      <c r="B3" s="1" t="s">
        <v>12</v>
      </c>
      <c r="C3" s="7" t="s">
        <v>3634</v>
      </c>
      <c r="D3" s="1" t="s">
        <v>13</v>
      </c>
      <c r="E3" s="1" t="s">
        <v>14</v>
      </c>
      <c r="F3" s="1" t="str" cm="1">
        <f t="array" ref="F3">fn등급(A3)</f>
        <v>Gold</v>
      </c>
    </row>
    <row r="4" spans="1:12" x14ac:dyDescent="0.3">
      <c r="A4" s="1" t="s">
        <v>15</v>
      </c>
      <c r="B4" s="1" t="s">
        <v>16</v>
      </c>
      <c r="C4" s="1" t="s">
        <v>17</v>
      </c>
      <c r="D4" s="1" t="s">
        <v>18</v>
      </c>
      <c r="E4" s="1" t="s">
        <v>19</v>
      </c>
      <c r="F4" s="1" t="str" cm="1">
        <f t="array" ref="F4">fn등급(A4)</f>
        <v>VIP</v>
      </c>
      <c r="I4" s="1" t="s">
        <v>3625</v>
      </c>
    </row>
    <row r="5" spans="1:12" x14ac:dyDescent="0.3">
      <c r="A5" s="1" t="s">
        <v>20</v>
      </c>
      <c r="B5" s="1" t="s">
        <v>21</v>
      </c>
      <c r="C5" s="1" t="s">
        <v>22</v>
      </c>
      <c r="D5" s="1" t="s">
        <v>23</v>
      </c>
      <c r="E5" s="1" t="s">
        <v>24</v>
      </c>
      <c r="F5" s="1" t="str" cm="1">
        <f t="array" ref="F5">fn등급(A5)</f>
        <v>Gold</v>
      </c>
      <c r="I5" s="6" t="s">
        <v>3629</v>
      </c>
    </row>
    <row r="6" spans="1:12" x14ac:dyDescent="0.3">
      <c r="A6" s="1" t="s">
        <v>25</v>
      </c>
      <c r="B6" s="1" t="s">
        <v>26</v>
      </c>
      <c r="C6" s="1" t="s">
        <v>27</v>
      </c>
      <c r="D6" s="1" t="s">
        <v>28</v>
      </c>
      <c r="E6" s="1" t="s">
        <v>29</v>
      </c>
      <c r="F6" s="1" t="str" cm="1">
        <f t="array" ref="F6">fn등급(A6)</f>
        <v>VIP</v>
      </c>
      <c r="K6" s="6" t="s">
        <v>3635</v>
      </c>
    </row>
    <row r="7" spans="1:12" x14ac:dyDescent="0.3">
      <c r="A7" s="1" t="s">
        <v>30</v>
      </c>
      <c r="B7" s="1" t="s">
        <v>31</v>
      </c>
      <c r="C7" s="1" t="s">
        <v>32</v>
      </c>
      <c r="D7" s="1" t="s">
        <v>33</v>
      </c>
      <c r="E7" s="1" t="s">
        <v>34</v>
      </c>
      <c r="F7" s="1" t="str" cm="1">
        <f t="array" ref="F7">fn등급(A7)</f>
        <v>Gold</v>
      </c>
      <c r="H7" s="7" t="b">
        <f>AND(ISNUMBER(INT(SUBSTITUTE(C2, ",",""))))</f>
        <v>1</v>
      </c>
      <c r="I7" s="1" t="s">
        <v>3626</v>
      </c>
      <c r="J7" s="1" t="b">
        <f>AND(COUNTIF(표2[좌표], C2)=1)</f>
        <v>1</v>
      </c>
    </row>
    <row r="8" spans="1:12" x14ac:dyDescent="0.3">
      <c r="A8" s="1" t="s">
        <v>35</v>
      </c>
      <c r="B8" s="1" t="s">
        <v>36</v>
      </c>
      <c r="C8" s="1" t="s">
        <v>37</v>
      </c>
      <c r="D8" s="1" t="s">
        <v>38</v>
      </c>
      <c r="E8" s="1" t="s">
        <v>39</v>
      </c>
      <c r="F8" s="1" t="str" cm="1">
        <f t="array" ref="F8">fn등급(A8)</f>
        <v>Sliver</v>
      </c>
      <c r="I8" s="6" t="s">
        <v>3628</v>
      </c>
    </row>
    <row r="9" spans="1:12" x14ac:dyDescent="0.3">
      <c r="A9" s="1" t="s">
        <v>40</v>
      </c>
      <c r="B9" s="1" t="s">
        <v>41</v>
      </c>
      <c r="C9" s="1" t="s">
        <v>42</v>
      </c>
      <c r="D9" s="1" t="s">
        <v>43</v>
      </c>
      <c r="E9" s="1" t="s">
        <v>44</v>
      </c>
      <c r="F9" s="1" t="str" cm="1">
        <f t="array" ref="F9">fn등급(A9)</f>
        <v>Gold</v>
      </c>
    </row>
    <row r="10" spans="1:12" x14ac:dyDescent="0.3">
      <c r="A10" s="1" t="s">
        <v>45</v>
      </c>
      <c r="B10" s="1" t="s">
        <v>46</v>
      </c>
      <c r="C10" s="1" t="s">
        <v>47</v>
      </c>
      <c r="D10" s="1" t="s">
        <v>48</v>
      </c>
      <c r="E10" s="1" t="s">
        <v>49</v>
      </c>
      <c r="F10" s="1" t="str" cm="1">
        <f t="array" ref="F10">fn등급(A10)</f>
        <v>VIP</v>
      </c>
      <c r="I10" s="1" t="s">
        <v>3627</v>
      </c>
      <c r="K10" s="1" t="s">
        <v>3632</v>
      </c>
      <c r="L10">
        <f>FIND(",", K10)</f>
        <v>11</v>
      </c>
    </row>
    <row r="11" spans="1:12" x14ac:dyDescent="0.3">
      <c r="A11" s="1" t="s">
        <v>50</v>
      </c>
      <c r="B11" s="1" t="s">
        <v>51</v>
      </c>
      <c r="C11" s="1" t="s">
        <v>52</v>
      </c>
      <c r="D11" s="1" t="s">
        <v>53</v>
      </c>
      <c r="E11" s="1" t="s">
        <v>54</v>
      </c>
      <c r="F11" s="1" t="str" cm="1">
        <f t="array" ref="F11">fn등급(A11)</f>
        <v>Sliver</v>
      </c>
      <c r="I11" s="6" t="s">
        <v>3630</v>
      </c>
    </row>
    <row r="12" spans="1:12" x14ac:dyDescent="0.3">
      <c r="A12" s="1" t="s">
        <v>55</v>
      </c>
      <c r="B12" s="1" t="s">
        <v>56</v>
      </c>
      <c r="C12" s="1" t="s">
        <v>57</v>
      </c>
      <c r="D12" s="1" t="s">
        <v>58</v>
      </c>
      <c r="E12" s="1" t="s">
        <v>59</v>
      </c>
      <c r="F12" s="1" t="str" cm="1">
        <f t="array" ref="F12">fn등급(A12)</f>
        <v>Gold</v>
      </c>
    </row>
    <row r="13" spans="1:12" x14ac:dyDescent="0.3">
      <c r="A13" s="1" t="s">
        <v>60</v>
      </c>
      <c r="B13" s="1" t="s">
        <v>61</v>
      </c>
      <c r="C13" s="1" t="s">
        <v>62</v>
      </c>
      <c r="D13" s="1" t="s">
        <v>63</v>
      </c>
      <c r="E13" s="1" t="s">
        <v>64</v>
      </c>
      <c r="F13" s="1" t="str" cm="1">
        <f t="array" ref="F13">fn등급(A13)</f>
        <v>Gold</v>
      </c>
      <c r="I13" s="1" t="s">
        <v>3631</v>
      </c>
    </row>
    <row r="14" spans="1:12" x14ac:dyDescent="0.3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69</v>
      </c>
      <c r="F14" s="1" t="str" cm="1">
        <f t="array" ref="F14">fn등급(A14)</f>
        <v>Gold</v>
      </c>
      <c r="I14" s="6" t="s">
        <v>3633</v>
      </c>
    </row>
    <row r="15" spans="1:12" x14ac:dyDescent="0.3">
      <c r="A15" s="1" t="s">
        <v>70</v>
      </c>
      <c r="B15" s="1" t="s">
        <v>71</v>
      </c>
      <c r="C15" s="1" t="s">
        <v>72</v>
      </c>
      <c r="D15" s="1" t="s">
        <v>73</v>
      </c>
      <c r="E15" s="1" t="s">
        <v>74</v>
      </c>
      <c r="F15" s="1" t="str" cm="1">
        <f t="array" ref="F15">fn등급(A15)</f>
        <v>Gold</v>
      </c>
    </row>
    <row r="16" spans="1:12" x14ac:dyDescent="0.3">
      <c r="A16" s="1" t="s">
        <v>75</v>
      </c>
      <c r="B16" s="1" t="s">
        <v>76</v>
      </c>
      <c r="C16" s="1" t="s">
        <v>77</v>
      </c>
      <c r="D16" s="1" t="s">
        <v>78</v>
      </c>
      <c r="E16" s="1" t="s">
        <v>79</v>
      </c>
      <c r="F16" s="1" t="str" cm="1">
        <f t="array" ref="F16">fn등급(A16)</f>
        <v>Sliver</v>
      </c>
      <c r="I16" s="1" t="s">
        <v>3636</v>
      </c>
    </row>
    <row r="17" spans="1:9" x14ac:dyDescent="0.3">
      <c r="A17" s="1" t="s">
        <v>3637</v>
      </c>
      <c r="B17" s="1" t="s">
        <v>81</v>
      </c>
      <c r="C17" s="1" t="s">
        <v>82</v>
      </c>
      <c r="D17" s="1" t="s">
        <v>83</v>
      </c>
      <c r="E17" s="1" t="s">
        <v>84</v>
      </c>
      <c r="F17" s="1" t="str" cm="1">
        <f t="array" ref="F17">fn등급(A17)</f>
        <v>Normal</v>
      </c>
      <c r="I17" s="6" t="s">
        <v>3638</v>
      </c>
    </row>
    <row r="18" spans="1:9" x14ac:dyDescent="0.3">
      <c r="A18" s="1" t="s">
        <v>85</v>
      </c>
      <c r="B18" s="1" t="s">
        <v>86</v>
      </c>
      <c r="C18" s="1" t="s">
        <v>87</v>
      </c>
      <c r="D18" s="1" t="s">
        <v>88</v>
      </c>
      <c r="E18" s="1" t="s">
        <v>89</v>
      </c>
      <c r="F18" s="1" t="str" cm="1">
        <f t="array" ref="F18">fn등급(A18)</f>
        <v>Gold</v>
      </c>
    </row>
    <row r="19" spans="1:9" x14ac:dyDescent="0.3">
      <c r="A19" s="1" t="s">
        <v>90</v>
      </c>
      <c r="B19" s="1" t="s">
        <v>91</v>
      </c>
      <c r="C19" s="1" t="s">
        <v>92</v>
      </c>
      <c r="D19" s="1" t="s">
        <v>93</v>
      </c>
      <c r="E19" s="1" t="s">
        <v>94</v>
      </c>
      <c r="F19" s="1" t="str" cm="1">
        <f t="array" ref="F19">fn등급(A19)</f>
        <v>Normal</v>
      </c>
    </row>
    <row r="20" spans="1:9" x14ac:dyDescent="0.3">
      <c r="A20" s="1" t="s">
        <v>95</v>
      </c>
      <c r="B20" s="1" t="s">
        <v>96</v>
      </c>
      <c r="C20" s="1" t="s">
        <v>97</v>
      </c>
      <c r="D20" s="1" t="s">
        <v>98</v>
      </c>
      <c r="E20" s="1" t="s">
        <v>99</v>
      </c>
      <c r="F20" s="1" t="str" cm="1">
        <f t="array" ref="F20">fn등급(A20)</f>
        <v>Gold</v>
      </c>
    </row>
    <row r="21" spans="1:9" x14ac:dyDescent="0.3">
      <c r="A21" s="1" t="s">
        <v>100</v>
      </c>
      <c r="B21" s="1" t="s">
        <v>101</v>
      </c>
      <c r="C21" s="1" t="s">
        <v>102</v>
      </c>
      <c r="D21" s="1" t="s">
        <v>103</v>
      </c>
      <c r="E21" s="1" t="s">
        <v>104</v>
      </c>
      <c r="F21" s="1" t="str" cm="1">
        <f t="array" ref="F21">fn등급(A21)</f>
        <v>Sliver</v>
      </c>
    </row>
    <row r="22" spans="1:9" x14ac:dyDescent="0.3">
      <c r="A22" s="1" t="s">
        <v>105</v>
      </c>
      <c r="B22" s="1" t="s">
        <v>106</v>
      </c>
      <c r="C22" s="1" t="s">
        <v>107</v>
      </c>
      <c r="D22" s="1" t="s">
        <v>108</v>
      </c>
      <c r="E22" s="1" t="s">
        <v>109</v>
      </c>
      <c r="F22" s="1" t="str" cm="1">
        <f t="array" ref="F22">fn등급(A22)</f>
        <v>Normal</v>
      </c>
    </row>
    <row r="23" spans="1:9" x14ac:dyDescent="0.3">
      <c r="A23" s="1" t="s">
        <v>110</v>
      </c>
      <c r="B23" s="1" t="s">
        <v>111</v>
      </c>
      <c r="C23" s="1" t="s">
        <v>112</v>
      </c>
      <c r="D23" s="1" t="s">
        <v>113</v>
      </c>
      <c r="E23" s="1" t="s">
        <v>114</v>
      </c>
      <c r="F23" s="1" t="str" cm="1">
        <f t="array" ref="F23">fn등급(A23)</f>
        <v>Gold</v>
      </c>
    </row>
    <row r="24" spans="1:9" x14ac:dyDescent="0.3">
      <c r="A24" s="1" t="s">
        <v>115</v>
      </c>
      <c r="B24" s="1" t="s">
        <v>116</v>
      </c>
      <c r="C24" s="1" t="s">
        <v>117</v>
      </c>
      <c r="D24" s="1" t="s">
        <v>118</v>
      </c>
      <c r="E24" s="1" t="s">
        <v>119</v>
      </c>
      <c r="F24" s="1" t="str" cm="1">
        <f t="array" ref="F24">fn등급(A24)</f>
        <v>Gold</v>
      </c>
    </row>
    <row r="25" spans="1:9" x14ac:dyDescent="0.3">
      <c r="A25" s="1" t="s">
        <v>120</v>
      </c>
      <c r="B25" s="1" t="s">
        <v>121</v>
      </c>
      <c r="C25" s="1" t="s">
        <v>122</v>
      </c>
      <c r="D25" s="1" t="s">
        <v>123</v>
      </c>
      <c r="E25" s="1" t="s">
        <v>124</v>
      </c>
      <c r="F25" s="1" t="str" cm="1">
        <f t="array" ref="F25">fn등급(A25)</f>
        <v>Sliver</v>
      </c>
    </row>
    <row r="26" spans="1:9" x14ac:dyDescent="0.3">
      <c r="A26" s="1" t="s">
        <v>125</v>
      </c>
      <c r="B26" s="1" t="s">
        <v>126</v>
      </c>
      <c r="C26" s="1" t="s">
        <v>127</v>
      </c>
      <c r="D26" s="1" t="s">
        <v>128</v>
      </c>
      <c r="E26" s="1" t="s">
        <v>129</v>
      </c>
      <c r="F26" s="1" t="str" cm="1">
        <f t="array" ref="F26">fn등급(A26)</f>
        <v>Normal</v>
      </c>
    </row>
    <row r="27" spans="1:9" x14ac:dyDescent="0.3">
      <c r="A27" s="1" t="s">
        <v>130</v>
      </c>
      <c r="B27" s="1" t="s">
        <v>131</v>
      </c>
      <c r="C27" s="1" t="s">
        <v>132</v>
      </c>
      <c r="D27" s="1" t="s">
        <v>133</v>
      </c>
      <c r="E27" s="1" t="s">
        <v>134</v>
      </c>
      <c r="F27" s="1" t="str" cm="1">
        <f t="array" ref="F27">fn등급(A27)</f>
        <v>Sliver</v>
      </c>
    </row>
    <row r="28" spans="1:9" x14ac:dyDescent="0.3">
      <c r="A28" s="1" t="s">
        <v>135</v>
      </c>
      <c r="B28" s="1" t="s">
        <v>136</v>
      </c>
      <c r="C28" s="1" t="s">
        <v>137</v>
      </c>
      <c r="D28" s="1" t="s">
        <v>138</v>
      </c>
      <c r="E28" s="1" t="s">
        <v>139</v>
      </c>
      <c r="F28" s="1" t="str" cm="1">
        <f t="array" ref="F28">fn등급(A28)</f>
        <v>Normal</v>
      </c>
    </row>
    <row r="29" spans="1:9" x14ac:dyDescent="0.3">
      <c r="A29" s="1" t="s">
        <v>140</v>
      </c>
      <c r="B29" s="1" t="s">
        <v>141</v>
      </c>
      <c r="C29" s="1" t="s">
        <v>142</v>
      </c>
      <c r="D29" s="1" t="s">
        <v>143</v>
      </c>
      <c r="E29" s="1" t="s">
        <v>144</v>
      </c>
      <c r="F29" s="1" t="str" cm="1">
        <f t="array" ref="F29">fn등급(A29)</f>
        <v>Normal</v>
      </c>
    </row>
    <row r="30" spans="1:9" x14ac:dyDescent="0.3">
      <c r="A30" s="1" t="s">
        <v>145</v>
      </c>
      <c r="B30" s="1" t="s">
        <v>146</v>
      </c>
      <c r="C30" s="1" t="s">
        <v>147</v>
      </c>
      <c r="D30" s="1" t="s">
        <v>148</v>
      </c>
      <c r="E30" s="1" t="s">
        <v>149</v>
      </c>
      <c r="F30" s="1" t="str" cm="1">
        <f t="array" ref="F30">fn등급(A30)</f>
        <v>Gold</v>
      </c>
    </row>
    <row r="31" spans="1:9" x14ac:dyDescent="0.3">
      <c r="A31" s="1" t="s">
        <v>150</v>
      </c>
      <c r="B31" s="1" t="s">
        <v>151</v>
      </c>
      <c r="C31" s="1" t="s">
        <v>152</v>
      </c>
      <c r="D31" s="1" t="s">
        <v>153</v>
      </c>
      <c r="E31" s="1" t="s">
        <v>154</v>
      </c>
      <c r="F31" s="1" t="str" cm="1">
        <f t="array" ref="F31">fn등급(A31)</f>
        <v>Gold</v>
      </c>
    </row>
    <row r="32" spans="1:9" x14ac:dyDescent="0.3">
      <c r="A32" s="1" t="s">
        <v>155</v>
      </c>
      <c r="B32" s="1" t="s">
        <v>156</v>
      </c>
      <c r="C32" s="1" t="s">
        <v>157</v>
      </c>
      <c r="D32" s="1" t="s">
        <v>158</v>
      </c>
      <c r="E32" s="1" t="s">
        <v>159</v>
      </c>
      <c r="F32" s="1" t="str" cm="1">
        <f t="array" ref="F32">fn등급(A32)</f>
        <v>Normal</v>
      </c>
    </row>
    <row r="33" spans="1:9" x14ac:dyDescent="0.3">
      <c r="A33" s="1" t="s">
        <v>160</v>
      </c>
      <c r="B33" s="1" t="s">
        <v>161</v>
      </c>
      <c r="C33" s="1" t="s">
        <v>162</v>
      </c>
      <c r="D33" s="1" t="s">
        <v>163</v>
      </c>
      <c r="E33" s="1" t="s">
        <v>164</v>
      </c>
      <c r="F33" s="1" t="str" cm="1">
        <f t="array" ref="F33">fn등급(A33)</f>
        <v>Normal</v>
      </c>
    </row>
    <row r="34" spans="1:9" x14ac:dyDescent="0.3">
      <c r="A34" s="1" t="s">
        <v>165</v>
      </c>
      <c r="B34" s="1" t="s">
        <v>166</v>
      </c>
      <c r="C34" s="1" t="s">
        <v>167</v>
      </c>
      <c r="D34" s="1" t="s">
        <v>168</v>
      </c>
      <c r="E34" s="1" t="s">
        <v>169</v>
      </c>
      <c r="F34" s="1" t="str" cm="1">
        <f t="array" ref="F34">fn등급(A34)</f>
        <v>Sliver</v>
      </c>
    </row>
    <row r="35" spans="1:9" x14ac:dyDescent="0.3">
      <c r="A35" s="1" t="s">
        <v>170</v>
      </c>
      <c r="B35" s="1" t="s">
        <v>171</v>
      </c>
      <c r="C35" s="1" t="s">
        <v>172</v>
      </c>
      <c r="D35" s="1" t="s">
        <v>173</v>
      </c>
      <c r="E35" s="1" t="s">
        <v>174</v>
      </c>
      <c r="F35" s="1" t="str" cm="1">
        <f t="array" ref="F35">fn등급(A35)</f>
        <v>Normal</v>
      </c>
    </row>
    <row r="36" spans="1:9" x14ac:dyDescent="0.3">
      <c r="A36" s="1" t="s">
        <v>175</v>
      </c>
      <c r="B36" s="1" t="s">
        <v>176</v>
      </c>
      <c r="C36" s="1" t="s">
        <v>177</v>
      </c>
      <c r="D36" s="1" t="s">
        <v>178</v>
      </c>
      <c r="E36" s="1" t="s">
        <v>179</v>
      </c>
      <c r="F36" s="1" t="str" cm="1">
        <f t="array" ref="F36">fn등급(A36)</f>
        <v>Sliver</v>
      </c>
    </row>
    <row r="37" spans="1:9" x14ac:dyDescent="0.3">
      <c r="A37" s="1" t="s">
        <v>180</v>
      </c>
      <c r="B37" s="1" t="s">
        <v>181</v>
      </c>
      <c r="C37" s="1" t="s">
        <v>182</v>
      </c>
      <c r="D37" s="1" t="s">
        <v>183</v>
      </c>
      <c r="E37" s="1" t="s">
        <v>184</v>
      </c>
      <c r="F37" s="1" t="str" cm="1">
        <f t="array" ref="F37">fn등급(A37)</f>
        <v>Sliver</v>
      </c>
    </row>
    <row r="38" spans="1:9" x14ac:dyDescent="0.3">
      <c r="A38" s="1" t="s">
        <v>185</v>
      </c>
      <c r="B38" s="1" t="s">
        <v>186</v>
      </c>
      <c r="C38" s="1" t="s">
        <v>187</v>
      </c>
      <c r="D38" s="1" t="s">
        <v>188</v>
      </c>
      <c r="E38" s="1" t="s">
        <v>189</v>
      </c>
      <c r="F38" s="1" t="str" cm="1">
        <f t="array" ref="F38">fn등급(A38)</f>
        <v>Normal</v>
      </c>
    </row>
    <row r="39" spans="1:9" x14ac:dyDescent="0.3">
      <c r="A39" s="1" t="s">
        <v>190</v>
      </c>
      <c r="B39" s="1" t="s">
        <v>191</v>
      </c>
      <c r="C39" s="1" t="s">
        <v>192</v>
      </c>
      <c r="D39" s="1" t="s">
        <v>193</v>
      </c>
      <c r="E39" s="1" t="s">
        <v>194</v>
      </c>
      <c r="F39" s="1" t="str" cm="1">
        <f t="array" ref="F39">fn등급(A39)</f>
        <v>Normal</v>
      </c>
      <c r="I39" s="1">
        <f>MATCH(A50,표2[번호])+1</f>
        <v>50</v>
      </c>
    </row>
    <row r="40" spans="1:9" x14ac:dyDescent="0.3">
      <c r="A40" s="1" t="s">
        <v>195</v>
      </c>
      <c r="B40" s="1" t="s">
        <v>196</v>
      </c>
      <c r="C40" s="1" t="s">
        <v>197</v>
      </c>
      <c r="D40" s="1" t="s">
        <v>198</v>
      </c>
      <c r="E40" s="1" t="s">
        <v>199</v>
      </c>
      <c r="F40" s="1" t="str" cm="1">
        <f t="array" ref="F40">fn등급(A40)</f>
        <v>Sliver</v>
      </c>
    </row>
    <row r="41" spans="1:9" x14ac:dyDescent="0.3">
      <c r="A41" s="1" t="s">
        <v>200</v>
      </c>
      <c r="B41" s="1" t="s">
        <v>201</v>
      </c>
      <c r="C41" s="1" t="s">
        <v>202</v>
      </c>
      <c r="D41" s="1" t="s">
        <v>203</v>
      </c>
      <c r="E41" s="1" t="s">
        <v>204</v>
      </c>
      <c r="F41" s="1" t="str" cm="1">
        <f t="array" ref="F41">fn등급(A41)</f>
        <v>Normal</v>
      </c>
    </row>
    <row r="42" spans="1:9" x14ac:dyDescent="0.3">
      <c r="A42" s="1" t="s">
        <v>205</v>
      </c>
      <c r="B42" s="1" t="s">
        <v>206</v>
      </c>
      <c r="C42" s="1" t="s">
        <v>207</v>
      </c>
      <c r="D42" s="1" t="s">
        <v>208</v>
      </c>
      <c r="E42" s="1" t="s">
        <v>209</v>
      </c>
      <c r="F42" s="1" t="str" cm="1">
        <f t="array" ref="F42">fn등급(A42)</f>
        <v>Normal</v>
      </c>
    </row>
    <row r="43" spans="1:9" x14ac:dyDescent="0.3">
      <c r="A43" s="1" t="s">
        <v>210</v>
      </c>
      <c r="B43" s="1" t="s">
        <v>211</v>
      </c>
      <c r="C43" s="1" t="s">
        <v>212</v>
      </c>
      <c r="D43" s="1" t="s">
        <v>213</v>
      </c>
      <c r="E43" s="1" t="s">
        <v>214</v>
      </c>
      <c r="F43" s="1" t="str" cm="1">
        <f t="array" ref="F43">fn등급(A43)</f>
        <v>Normal</v>
      </c>
    </row>
    <row r="44" spans="1:9" x14ac:dyDescent="0.3">
      <c r="A44" s="1" t="s">
        <v>215</v>
      </c>
      <c r="B44" s="1" t="s">
        <v>216</v>
      </c>
      <c r="C44" s="1" t="s">
        <v>217</v>
      </c>
      <c r="D44" s="1" t="s">
        <v>218</v>
      </c>
      <c r="E44" s="1" t="s">
        <v>219</v>
      </c>
      <c r="F44" s="1" t="str" cm="1">
        <f t="array" ref="F44">fn등급(A44)</f>
        <v>Sliver</v>
      </c>
    </row>
    <row r="45" spans="1:9" x14ac:dyDescent="0.3">
      <c r="A45" s="1" t="s">
        <v>220</v>
      </c>
      <c r="B45" s="1" t="s">
        <v>221</v>
      </c>
      <c r="C45" s="1" t="s">
        <v>222</v>
      </c>
      <c r="D45" s="1" t="s">
        <v>223</v>
      </c>
      <c r="E45" s="1" t="s">
        <v>224</v>
      </c>
      <c r="F45" s="1" t="str" cm="1">
        <f t="array" ref="F45">fn등급(A45)</f>
        <v>Normal</v>
      </c>
    </row>
    <row r="46" spans="1:9" x14ac:dyDescent="0.3">
      <c r="A46" s="1" t="s">
        <v>225</v>
      </c>
      <c r="B46" s="1" t="s">
        <v>226</v>
      </c>
      <c r="C46" s="1" t="s">
        <v>227</v>
      </c>
      <c r="D46" s="1" t="s">
        <v>228</v>
      </c>
      <c r="E46" s="1" t="s">
        <v>229</v>
      </c>
      <c r="F46" s="1" t="str" cm="1">
        <f t="array" ref="F46">fn등급(A46)</f>
        <v>Gold</v>
      </c>
    </row>
    <row r="47" spans="1:9" x14ac:dyDescent="0.3">
      <c r="A47" s="1" t="s">
        <v>230</v>
      </c>
      <c r="B47" s="1" t="s">
        <v>231</v>
      </c>
      <c r="C47" s="1" t="s">
        <v>232</v>
      </c>
      <c r="D47" s="1" t="s">
        <v>228</v>
      </c>
      <c r="E47" s="1" t="s">
        <v>229</v>
      </c>
      <c r="F47" s="1" t="str" cm="1">
        <f t="array" ref="F47">fn등급(A47)</f>
        <v>Sliver</v>
      </c>
    </row>
    <row r="48" spans="1:9" x14ac:dyDescent="0.3">
      <c r="A48" s="1" t="s">
        <v>233</v>
      </c>
      <c r="B48" s="1" t="s">
        <v>234</v>
      </c>
      <c r="C48" s="1" t="s">
        <v>235</v>
      </c>
      <c r="D48" s="1" t="s">
        <v>228</v>
      </c>
      <c r="E48" s="1" t="s">
        <v>229</v>
      </c>
      <c r="F48" s="1" t="str" cm="1">
        <f t="array" ref="F48">fn등급(A48)</f>
        <v>Normal</v>
      </c>
    </row>
    <row r="49" spans="1:6" x14ac:dyDescent="0.3">
      <c r="A49" s="1" t="s">
        <v>236</v>
      </c>
      <c r="B49" s="1" t="s">
        <v>237</v>
      </c>
      <c r="C49" s="1" t="s">
        <v>238</v>
      </c>
      <c r="D49" s="1" t="s">
        <v>228</v>
      </c>
      <c r="E49" s="1" t="s">
        <v>229</v>
      </c>
      <c r="F49" s="1" t="str" cm="1">
        <f t="array" ref="F49">fn등급(A49)</f>
        <v>Normal</v>
      </c>
    </row>
    <row r="50" spans="1:6" x14ac:dyDescent="0.3">
      <c r="A50" s="1" t="s">
        <v>239</v>
      </c>
      <c r="B50" s="1" t="s">
        <v>240</v>
      </c>
      <c r="C50" s="1" t="s">
        <v>241</v>
      </c>
      <c r="D50" s="1" t="s">
        <v>242</v>
      </c>
      <c r="E50" s="1" t="s">
        <v>243</v>
      </c>
      <c r="F50" s="1" t="str" cm="1">
        <f t="array" ref="F50">fn등급(A50)</f>
        <v>-</v>
      </c>
    </row>
    <row r="51" spans="1:6" x14ac:dyDescent="0.3">
      <c r="A51" s="1" t="s">
        <v>244</v>
      </c>
      <c r="B51" s="1" t="s">
        <v>245</v>
      </c>
      <c r="C51" s="1" t="s">
        <v>246</v>
      </c>
      <c r="D51" s="1" t="s">
        <v>247</v>
      </c>
      <c r="E51" s="1" t="s">
        <v>248</v>
      </c>
      <c r="F51" s="1" t="str" cm="1">
        <f t="array" ref="F51">fn등급(A51)</f>
        <v>-</v>
      </c>
    </row>
    <row r="52" spans="1:6" x14ac:dyDescent="0.3">
      <c r="A52" s="1" t="s">
        <v>249</v>
      </c>
      <c r="B52" s="1" t="s">
        <v>250</v>
      </c>
      <c r="C52" s="1" t="s">
        <v>251</v>
      </c>
      <c r="D52" s="1" t="s">
        <v>252</v>
      </c>
      <c r="E52" s="1" t="s">
        <v>253</v>
      </c>
      <c r="F52" s="1" t="str" cm="1">
        <f t="array" ref="F52">fn등급(A52)</f>
        <v>-</v>
      </c>
    </row>
    <row r="53" spans="1:6" x14ac:dyDescent="0.3">
      <c r="A53" s="1" t="s">
        <v>254</v>
      </c>
      <c r="B53" s="1" t="s">
        <v>255</v>
      </c>
      <c r="C53" s="1" t="s">
        <v>256</v>
      </c>
      <c r="D53" s="1" t="s">
        <v>257</v>
      </c>
      <c r="E53" s="1" t="s">
        <v>258</v>
      </c>
      <c r="F53" s="1" t="str" cm="1">
        <f t="array" ref="F53">fn등급(A53)</f>
        <v>-</v>
      </c>
    </row>
    <row r="54" spans="1:6" x14ac:dyDescent="0.3">
      <c r="A54" s="1" t="s">
        <v>259</v>
      </c>
      <c r="B54" s="1" t="s">
        <v>260</v>
      </c>
      <c r="C54" s="1" t="s">
        <v>261</v>
      </c>
      <c r="D54" s="1" t="s">
        <v>262</v>
      </c>
      <c r="E54" s="1" t="s">
        <v>263</v>
      </c>
      <c r="F54" s="1" t="str" cm="1">
        <f t="array" ref="F54">fn등급(A54)</f>
        <v>-</v>
      </c>
    </row>
    <row r="55" spans="1:6" x14ac:dyDescent="0.3">
      <c r="A55" s="1" t="s">
        <v>264</v>
      </c>
      <c r="B55" s="1" t="s">
        <v>265</v>
      </c>
      <c r="C55" s="1" t="s">
        <v>266</v>
      </c>
      <c r="D55" s="1" t="s">
        <v>267</v>
      </c>
      <c r="E55" s="1" t="s">
        <v>268</v>
      </c>
      <c r="F55" s="1" t="str" cm="1">
        <f t="array" ref="F55">fn등급(A55)</f>
        <v>-</v>
      </c>
    </row>
    <row r="56" spans="1:6" x14ac:dyDescent="0.3">
      <c r="A56" s="1" t="s">
        <v>269</v>
      </c>
      <c r="B56" s="1" t="s">
        <v>270</v>
      </c>
      <c r="C56" s="1" t="s">
        <v>271</v>
      </c>
      <c r="D56" s="1" t="s">
        <v>272</v>
      </c>
      <c r="E56" s="1" t="s">
        <v>273</v>
      </c>
      <c r="F56" s="1" t="str" cm="1">
        <f t="array" ref="F56">fn등급(A56)</f>
        <v>-</v>
      </c>
    </row>
    <row r="57" spans="1:6" x14ac:dyDescent="0.3">
      <c r="A57" s="1" t="s">
        <v>274</v>
      </c>
      <c r="B57" s="1" t="s">
        <v>275</v>
      </c>
      <c r="C57" s="1" t="s">
        <v>276</v>
      </c>
      <c r="D57" s="1" t="s">
        <v>277</v>
      </c>
      <c r="E57" s="1" t="s">
        <v>278</v>
      </c>
      <c r="F57" s="1" t="str" cm="1">
        <f t="array" ref="F57">fn등급(A57)</f>
        <v>-</v>
      </c>
    </row>
    <row r="58" spans="1:6" x14ac:dyDescent="0.3">
      <c r="A58" s="1" t="s">
        <v>279</v>
      </c>
      <c r="B58" s="1" t="s">
        <v>280</v>
      </c>
      <c r="C58" s="1" t="s">
        <v>281</v>
      </c>
      <c r="D58" s="1" t="s">
        <v>282</v>
      </c>
      <c r="E58" s="1" t="s">
        <v>283</v>
      </c>
      <c r="F58" s="1" t="str" cm="1">
        <f t="array" ref="F58">fn등급(A58)</f>
        <v>-</v>
      </c>
    </row>
    <row r="59" spans="1:6" x14ac:dyDescent="0.3">
      <c r="A59" s="1" t="s">
        <v>284</v>
      </c>
      <c r="B59" s="1" t="s">
        <v>285</v>
      </c>
      <c r="C59" s="1" t="s">
        <v>286</v>
      </c>
      <c r="D59" s="1" t="s">
        <v>287</v>
      </c>
      <c r="E59" s="1" t="s">
        <v>288</v>
      </c>
      <c r="F59" s="1" t="str" cm="1">
        <f t="array" ref="F59">fn등급(A59)</f>
        <v>-</v>
      </c>
    </row>
    <row r="60" spans="1:6" x14ac:dyDescent="0.3">
      <c r="A60" s="1" t="s">
        <v>289</v>
      </c>
      <c r="B60" s="1" t="s">
        <v>290</v>
      </c>
      <c r="C60" s="1" t="s">
        <v>291</v>
      </c>
      <c r="D60" s="1" t="s">
        <v>292</v>
      </c>
      <c r="E60" s="1" t="s">
        <v>293</v>
      </c>
      <c r="F60" s="1" t="str" cm="1">
        <f t="array" ref="F60">fn등급(A60)</f>
        <v>-</v>
      </c>
    </row>
    <row r="61" spans="1:6" x14ac:dyDescent="0.3">
      <c r="A61" s="1" t="s">
        <v>294</v>
      </c>
      <c r="B61" s="1" t="s">
        <v>295</v>
      </c>
      <c r="C61" s="1" t="s">
        <v>296</v>
      </c>
      <c r="D61" s="1" t="s">
        <v>297</v>
      </c>
      <c r="E61" s="1" t="s">
        <v>298</v>
      </c>
      <c r="F61" s="1" t="str" cm="1">
        <f t="array" ref="F61">fn등급(A61)</f>
        <v>맛집</v>
      </c>
    </row>
    <row r="62" spans="1:6" x14ac:dyDescent="0.3">
      <c r="A62" s="1" t="s">
        <v>299</v>
      </c>
      <c r="B62" s="1" t="s">
        <v>300</v>
      </c>
      <c r="C62" s="1" t="s">
        <v>301</v>
      </c>
      <c r="D62" s="1" t="s">
        <v>302</v>
      </c>
      <c r="E62" s="1" t="s">
        <v>303</v>
      </c>
      <c r="F62" s="1" t="str" cm="1">
        <f t="array" ref="F62">fn등급(A62)</f>
        <v>-</v>
      </c>
    </row>
    <row r="63" spans="1:6" x14ac:dyDescent="0.3">
      <c r="A63" s="1" t="s">
        <v>304</v>
      </c>
      <c r="B63" s="1" t="s">
        <v>305</v>
      </c>
      <c r="C63" s="1" t="s">
        <v>306</v>
      </c>
      <c r="D63" s="1" t="s">
        <v>307</v>
      </c>
      <c r="E63" s="1" t="s">
        <v>308</v>
      </c>
      <c r="F63" s="1" t="str" cm="1">
        <f t="array" ref="F63">fn등급(A63)</f>
        <v>-</v>
      </c>
    </row>
    <row r="64" spans="1:6" x14ac:dyDescent="0.3">
      <c r="A64" s="1" t="s">
        <v>309</v>
      </c>
      <c r="B64" s="1" t="s">
        <v>310</v>
      </c>
      <c r="C64" s="1" t="s">
        <v>311</v>
      </c>
      <c r="D64" s="1" t="s">
        <v>312</v>
      </c>
      <c r="E64" s="1" t="s">
        <v>313</v>
      </c>
      <c r="F64" s="1" t="str" cm="1">
        <f t="array" ref="F64">fn등급(A64)</f>
        <v>-</v>
      </c>
    </row>
    <row r="65" spans="1:6" x14ac:dyDescent="0.3">
      <c r="A65" s="1" t="s">
        <v>314</v>
      </c>
      <c r="B65" s="1" t="s">
        <v>315</v>
      </c>
      <c r="C65" s="1" t="s">
        <v>316</v>
      </c>
      <c r="D65" s="1" t="s">
        <v>317</v>
      </c>
      <c r="E65" s="1" t="s">
        <v>318</v>
      </c>
      <c r="F65" s="1" t="str" cm="1">
        <f t="array" ref="F65">fn등급(A65)</f>
        <v>-</v>
      </c>
    </row>
    <row r="66" spans="1:6" x14ac:dyDescent="0.3">
      <c r="A66" s="1" t="s">
        <v>319</v>
      </c>
      <c r="B66" s="1" t="s">
        <v>320</v>
      </c>
      <c r="C66" s="1" t="s">
        <v>321</v>
      </c>
      <c r="D66" s="1" t="s">
        <v>322</v>
      </c>
      <c r="E66" s="1" t="s">
        <v>323</v>
      </c>
      <c r="F66" s="1" t="str" cm="1">
        <f t="array" ref="F66">fn등급(A66)</f>
        <v>-</v>
      </c>
    </row>
    <row r="67" spans="1:6" x14ac:dyDescent="0.3">
      <c r="A67" s="1" t="s">
        <v>324</v>
      </c>
      <c r="B67" s="1" t="s">
        <v>325</v>
      </c>
      <c r="C67" s="1" t="s">
        <v>326</v>
      </c>
      <c r="D67" s="1" t="s">
        <v>327</v>
      </c>
      <c r="E67" s="1" t="s">
        <v>328</v>
      </c>
      <c r="F67" s="1" t="str" cm="1">
        <f t="array" ref="F67">fn등급(A67)</f>
        <v>맛집</v>
      </c>
    </row>
    <row r="68" spans="1:6" x14ac:dyDescent="0.3">
      <c r="A68" s="1" t="s">
        <v>329</v>
      </c>
      <c r="B68" s="1" t="s">
        <v>330</v>
      </c>
      <c r="C68" s="1" t="s">
        <v>331</v>
      </c>
      <c r="D68" s="1" t="s">
        <v>332</v>
      </c>
      <c r="E68" s="1" t="s">
        <v>333</v>
      </c>
      <c r="F68" s="1" t="str" cm="1">
        <f t="array" ref="F68">fn등급(A68)</f>
        <v>-</v>
      </c>
    </row>
    <row r="69" spans="1:6" x14ac:dyDescent="0.3">
      <c r="A69" s="1" t="s">
        <v>334</v>
      </c>
      <c r="B69" s="1" t="s">
        <v>335</v>
      </c>
      <c r="C69" s="1" t="s">
        <v>336</v>
      </c>
      <c r="D69" s="1" t="s">
        <v>337</v>
      </c>
      <c r="E69" s="1" t="s">
        <v>338</v>
      </c>
      <c r="F69" s="1" t="str" cm="1">
        <f t="array" ref="F69">fn등급(A69)</f>
        <v>-</v>
      </c>
    </row>
    <row r="70" spans="1:6" x14ac:dyDescent="0.3">
      <c r="A70" s="1" t="s">
        <v>339</v>
      </c>
      <c r="B70" s="1" t="s">
        <v>340</v>
      </c>
      <c r="C70" s="1" t="s">
        <v>341</v>
      </c>
      <c r="D70" s="1" t="s">
        <v>342</v>
      </c>
      <c r="E70" s="1" t="s">
        <v>343</v>
      </c>
      <c r="F70" s="1" t="str" cm="1">
        <f t="array" ref="F70">fn등급(A70)</f>
        <v>맛집</v>
      </c>
    </row>
    <row r="71" spans="1:6" x14ac:dyDescent="0.3">
      <c r="A71" s="1" t="s">
        <v>344</v>
      </c>
      <c r="B71" s="1" t="s">
        <v>345</v>
      </c>
      <c r="C71" s="1" t="s">
        <v>346</v>
      </c>
      <c r="D71" s="1" t="s">
        <v>347</v>
      </c>
      <c r="E71" s="1" t="s">
        <v>348</v>
      </c>
      <c r="F71" s="1" t="str" cm="1">
        <f t="array" ref="F71">fn등급(A71)</f>
        <v>맛집</v>
      </c>
    </row>
    <row r="72" spans="1:6" x14ac:dyDescent="0.3">
      <c r="A72" s="1" t="s">
        <v>349</v>
      </c>
      <c r="B72" s="1" t="s">
        <v>350</v>
      </c>
      <c r="C72" s="1" t="s">
        <v>351</v>
      </c>
      <c r="D72" s="1" t="s">
        <v>352</v>
      </c>
      <c r="E72" s="1" t="s">
        <v>353</v>
      </c>
      <c r="F72" s="1" t="str" cm="1">
        <f t="array" ref="F72">fn등급(A72)</f>
        <v>-</v>
      </c>
    </row>
    <row r="73" spans="1:6" x14ac:dyDescent="0.3">
      <c r="A73" s="1" t="s">
        <v>354</v>
      </c>
      <c r="B73" s="1" t="s">
        <v>355</v>
      </c>
      <c r="C73" s="1" t="s">
        <v>356</v>
      </c>
      <c r="D73" s="1" t="s">
        <v>357</v>
      </c>
      <c r="E73" s="1" t="s">
        <v>358</v>
      </c>
      <c r="F73" s="1" t="str" cm="1">
        <f t="array" ref="F73">fn등급(A73)</f>
        <v>-</v>
      </c>
    </row>
    <row r="74" spans="1:6" x14ac:dyDescent="0.3">
      <c r="A74" s="1" t="s">
        <v>359</v>
      </c>
      <c r="B74" s="1" t="s">
        <v>360</v>
      </c>
      <c r="C74" s="1" t="s">
        <v>361</v>
      </c>
      <c r="D74" s="1" t="s">
        <v>362</v>
      </c>
      <c r="E74" s="1" t="s">
        <v>363</v>
      </c>
      <c r="F74" s="1" t="str" cm="1">
        <f t="array" ref="F74">fn등급(A74)</f>
        <v>-</v>
      </c>
    </row>
    <row r="75" spans="1:6" x14ac:dyDescent="0.3">
      <c r="A75" s="1" t="s">
        <v>364</v>
      </c>
      <c r="B75" s="1" t="s">
        <v>365</v>
      </c>
      <c r="C75" s="1" t="s">
        <v>366</v>
      </c>
      <c r="D75" s="1" t="s">
        <v>367</v>
      </c>
      <c r="E75" s="1" t="s">
        <v>368</v>
      </c>
      <c r="F75" s="1" t="str" cm="1">
        <f t="array" ref="F75">fn등급(A75)</f>
        <v>-</v>
      </c>
    </row>
    <row r="76" spans="1:6" x14ac:dyDescent="0.3">
      <c r="A76" s="1" t="s">
        <v>369</v>
      </c>
      <c r="B76" s="1" t="s">
        <v>370</v>
      </c>
      <c r="C76" s="1" t="s">
        <v>371</v>
      </c>
      <c r="D76" s="1" t="s">
        <v>372</v>
      </c>
      <c r="E76" s="1" t="s">
        <v>373</v>
      </c>
      <c r="F76" s="1" t="str" cm="1">
        <f t="array" ref="F76">fn등급(A76)</f>
        <v>-</v>
      </c>
    </row>
    <row r="77" spans="1:6" x14ac:dyDescent="0.3">
      <c r="A77" s="1" t="s">
        <v>374</v>
      </c>
      <c r="B77" s="1" t="s">
        <v>375</v>
      </c>
      <c r="C77" s="1" t="s">
        <v>376</v>
      </c>
      <c r="D77" s="1" t="s">
        <v>377</v>
      </c>
      <c r="E77" s="1" t="s">
        <v>378</v>
      </c>
      <c r="F77" s="1" t="str" cm="1">
        <f t="array" ref="F77">fn등급(A77)</f>
        <v>-</v>
      </c>
    </row>
    <row r="78" spans="1:6" x14ac:dyDescent="0.3">
      <c r="A78" s="1" t="s">
        <v>379</v>
      </c>
      <c r="B78" s="1" t="s">
        <v>380</v>
      </c>
      <c r="C78" s="1" t="s">
        <v>381</v>
      </c>
      <c r="D78" s="1" t="s">
        <v>382</v>
      </c>
      <c r="E78" s="1" t="s">
        <v>383</v>
      </c>
      <c r="F78" s="1" t="str" cm="1">
        <f t="array" ref="F78">fn등급(A78)</f>
        <v>-</v>
      </c>
    </row>
    <row r="79" spans="1:6" x14ac:dyDescent="0.3">
      <c r="A79" s="1" t="s">
        <v>384</v>
      </c>
      <c r="B79" s="1" t="s">
        <v>385</v>
      </c>
      <c r="C79" s="1" t="s">
        <v>386</v>
      </c>
      <c r="D79" s="1" t="s">
        <v>387</v>
      </c>
      <c r="E79" s="1" t="s">
        <v>388</v>
      </c>
      <c r="F79" s="1" t="str" cm="1">
        <f t="array" ref="F79">fn등급(A79)</f>
        <v>-</v>
      </c>
    </row>
    <row r="80" spans="1:6" x14ac:dyDescent="0.3">
      <c r="A80" s="1" t="s">
        <v>389</v>
      </c>
      <c r="B80" s="1" t="s">
        <v>390</v>
      </c>
      <c r="C80" s="1" t="s">
        <v>391</v>
      </c>
      <c r="D80" s="1" t="s">
        <v>392</v>
      </c>
      <c r="E80" s="1" t="s">
        <v>393</v>
      </c>
      <c r="F80" s="1" t="str" cm="1">
        <f t="array" ref="F80">fn등급(A80)</f>
        <v>-</v>
      </c>
    </row>
    <row r="81" spans="1:6" x14ac:dyDescent="0.3">
      <c r="A81" s="1" t="s">
        <v>394</v>
      </c>
      <c r="B81" s="1" t="s">
        <v>395</v>
      </c>
      <c r="C81" s="1" t="s">
        <v>396</v>
      </c>
      <c r="D81" s="1" t="s">
        <v>397</v>
      </c>
      <c r="E81" s="1" t="s">
        <v>398</v>
      </c>
      <c r="F81" s="1" t="str" cm="1">
        <f t="array" ref="F81">fn등급(A81)</f>
        <v>-</v>
      </c>
    </row>
    <row r="82" spans="1:6" x14ac:dyDescent="0.3">
      <c r="A82" s="1" t="s">
        <v>399</v>
      </c>
      <c r="B82" s="1" t="s">
        <v>400</v>
      </c>
      <c r="C82" s="1" t="s">
        <v>401</v>
      </c>
      <c r="D82" s="1" t="s">
        <v>402</v>
      </c>
      <c r="E82" s="1" t="s">
        <v>403</v>
      </c>
      <c r="F82" s="1" t="str" cm="1">
        <f t="array" ref="F82">fn등급(A82)</f>
        <v>-</v>
      </c>
    </row>
    <row r="83" spans="1:6" x14ac:dyDescent="0.3">
      <c r="A83" s="1" t="s">
        <v>404</v>
      </c>
      <c r="B83" s="1" t="s">
        <v>405</v>
      </c>
      <c r="C83" s="1" t="s">
        <v>406</v>
      </c>
      <c r="D83" s="1" t="s">
        <v>407</v>
      </c>
      <c r="E83" s="1" t="s">
        <v>408</v>
      </c>
      <c r="F83" s="1" t="str" cm="1">
        <f t="array" ref="F83">fn등급(A83)</f>
        <v>-</v>
      </c>
    </row>
    <row r="84" spans="1:6" x14ac:dyDescent="0.3">
      <c r="A84" s="1" t="s">
        <v>409</v>
      </c>
      <c r="B84" s="1" t="s">
        <v>410</v>
      </c>
      <c r="C84" s="1" t="s">
        <v>411</v>
      </c>
      <c r="D84" s="1" t="s">
        <v>412</v>
      </c>
      <c r="E84" s="1" t="s">
        <v>413</v>
      </c>
      <c r="F84" s="1" t="str" cm="1">
        <f t="array" ref="F84">fn등급(A84)</f>
        <v>맛집</v>
      </c>
    </row>
    <row r="85" spans="1:6" x14ac:dyDescent="0.3">
      <c r="A85" s="1" t="s">
        <v>414</v>
      </c>
      <c r="B85" s="1" t="s">
        <v>415</v>
      </c>
      <c r="C85" s="1" t="s">
        <v>416</v>
      </c>
      <c r="D85" s="1" t="s">
        <v>417</v>
      </c>
      <c r="E85" s="1" t="s">
        <v>418</v>
      </c>
      <c r="F85" s="1" t="str" cm="1">
        <f t="array" ref="F85">fn등급(A85)</f>
        <v>-</v>
      </c>
    </row>
    <row r="86" spans="1:6" x14ac:dyDescent="0.3">
      <c r="A86" s="1" t="s">
        <v>419</v>
      </c>
      <c r="B86" s="1" t="s">
        <v>420</v>
      </c>
      <c r="C86" s="1" t="s">
        <v>421</v>
      </c>
      <c r="D86" s="1" t="s">
        <v>422</v>
      </c>
      <c r="E86" s="1" t="s">
        <v>423</v>
      </c>
      <c r="F86" s="1" t="str" cm="1">
        <f t="array" ref="F86">fn등급(A86)</f>
        <v>-</v>
      </c>
    </row>
    <row r="87" spans="1:6" x14ac:dyDescent="0.3">
      <c r="A87" s="1" t="s">
        <v>424</v>
      </c>
      <c r="B87" s="1" t="s">
        <v>425</v>
      </c>
      <c r="C87" s="1" t="s">
        <v>426</v>
      </c>
      <c r="D87" s="1" t="s">
        <v>427</v>
      </c>
      <c r="E87" s="1" t="s">
        <v>428</v>
      </c>
      <c r="F87" s="1" t="str" cm="1">
        <f t="array" ref="F87">fn등급(A87)</f>
        <v>-</v>
      </c>
    </row>
    <row r="88" spans="1:6" x14ac:dyDescent="0.3">
      <c r="A88" s="1" t="s">
        <v>429</v>
      </c>
      <c r="B88" s="1" t="s">
        <v>430</v>
      </c>
      <c r="C88" s="1" t="s">
        <v>431</v>
      </c>
      <c r="D88" s="1" t="s">
        <v>432</v>
      </c>
      <c r="E88" s="1" t="s">
        <v>433</v>
      </c>
      <c r="F88" s="1" t="str" cm="1">
        <f t="array" ref="F88">fn등급(A88)</f>
        <v>맛집</v>
      </c>
    </row>
    <row r="89" spans="1:6" x14ac:dyDescent="0.3">
      <c r="A89" s="1" t="s">
        <v>434</v>
      </c>
      <c r="B89" s="1" t="s">
        <v>435</v>
      </c>
      <c r="C89" s="1" t="s">
        <v>436</v>
      </c>
      <c r="D89" s="1" t="s">
        <v>437</v>
      </c>
      <c r="E89" s="1" t="s">
        <v>438</v>
      </c>
      <c r="F89" s="1" t="str" cm="1">
        <f t="array" ref="F89">fn등급(A89)</f>
        <v>-</v>
      </c>
    </row>
    <row r="90" spans="1:6" x14ac:dyDescent="0.3">
      <c r="A90" s="1" t="s">
        <v>439</v>
      </c>
      <c r="B90" s="1" t="s">
        <v>440</v>
      </c>
      <c r="C90" s="1" t="s">
        <v>441</v>
      </c>
      <c r="D90" s="1" t="s">
        <v>442</v>
      </c>
      <c r="E90" s="1" t="s">
        <v>443</v>
      </c>
      <c r="F90" s="1" t="str" cm="1">
        <f t="array" ref="F90">fn등급(A90)</f>
        <v>-</v>
      </c>
    </row>
    <row r="91" spans="1:6" x14ac:dyDescent="0.3">
      <c r="A91" s="1" t="s">
        <v>444</v>
      </c>
      <c r="B91" s="1" t="s">
        <v>445</v>
      </c>
      <c r="C91" s="1" t="s">
        <v>446</v>
      </c>
      <c r="D91" s="1" t="s">
        <v>447</v>
      </c>
      <c r="E91" s="1" t="s">
        <v>448</v>
      </c>
      <c r="F91" s="1" t="str" cm="1">
        <f t="array" ref="F91">fn등급(A91)</f>
        <v>-</v>
      </c>
    </row>
    <row r="92" spans="1:6" x14ac:dyDescent="0.3">
      <c r="A92" s="1" t="s">
        <v>449</v>
      </c>
      <c r="B92" s="1" t="s">
        <v>450</v>
      </c>
      <c r="C92" s="1" t="s">
        <v>451</v>
      </c>
      <c r="D92" s="1" t="s">
        <v>452</v>
      </c>
      <c r="E92" s="1" t="s">
        <v>453</v>
      </c>
      <c r="F92" s="1" t="str" cm="1">
        <f t="array" ref="F92">fn등급(A92)</f>
        <v>-</v>
      </c>
    </row>
    <row r="93" spans="1:6" x14ac:dyDescent="0.3">
      <c r="A93" s="1" t="s">
        <v>454</v>
      </c>
      <c r="B93" s="1" t="s">
        <v>455</v>
      </c>
      <c r="C93" s="1" t="s">
        <v>456</v>
      </c>
      <c r="D93" s="1" t="s">
        <v>457</v>
      </c>
      <c r="E93" s="1" t="s">
        <v>458</v>
      </c>
      <c r="F93" s="1" t="str" cm="1">
        <f t="array" ref="F93">fn등급(A93)</f>
        <v>-</v>
      </c>
    </row>
    <row r="94" spans="1:6" x14ac:dyDescent="0.3">
      <c r="A94" s="1" t="s">
        <v>459</v>
      </c>
      <c r="B94" s="1" t="s">
        <v>460</v>
      </c>
      <c r="C94" s="1" t="s">
        <v>461</v>
      </c>
      <c r="D94" s="1" t="s">
        <v>462</v>
      </c>
      <c r="E94" s="1" t="s">
        <v>463</v>
      </c>
      <c r="F94" s="1" t="str" cm="1">
        <f t="array" ref="F94">fn등급(A94)</f>
        <v>맛집</v>
      </c>
    </row>
    <row r="95" spans="1:6" x14ac:dyDescent="0.3">
      <c r="A95" s="1" t="s">
        <v>464</v>
      </c>
      <c r="B95" s="1" t="s">
        <v>465</v>
      </c>
      <c r="C95" s="1" t="s">
        <v>466</v>
      </c>
      <c r="D95" s="1" t="s">
        <v>467</v>
      </c>
      <c r="E95" s="1" t="s">
        <v>468</v>
      </c>
      <c r="F95" s="1" t="str" cm="1">
        <f t="array" ref="F95">fn등급(A95)</f>
        <v>맛집</v>
      </c>
    </row>
    <row r="96" spans="1:6" x14ac:dyDescent="0.3">
      <c r="A96" s="1" t="s">
        <v>469</v>
      </c>
      <c r="B96" s="1" t="s">
        <v>470</v>
      </c>
      <c r="C96" s="1" t="s">
        <v>471</v>
      </c>
      <c r="D96" s="1" t="s">
        <v>472</v>
      </c>
      <c r="E96" s="1" t="s">
        <v>473</v>
      </c>
      <c r="F96" s="1" t="str" cm="1">
        <f t="array" ref="F96">fn등급(A96)</f>
        <v>-</v>
      </c>
    </row>
    <row r="97" spans="1:6" x14ac:dyDescent="0.3">
      <c r="A97" s="1" t="s">
        <v>474</v>
      </c>
      <c r="B97" s="1" t="s">
        <v>475</v>
      </c>
      <c r="C97" s="1" t="s">
        <v>476</v>
      </c>
      <c r="D97" s="1" t="s">
        <v>477</v>
      </c>
      <c r="E97" s="1" t="s">
        <v>478</v>
      </c>
      <c r="F97" s="1" t="str" cm="1">
        <f t="array" ref="F97">fn등급(A97)</f>
        <v>맛집</v>
      </c>
    </row>
    <row r="98" spans="1:6" x14ac:dyDescent="0.3">
      <c r="A98" s="1" t="s">
        <v>479</v>
      </c>
      <c r="B98" s="1" t="s">
        <v>480</v>
      </c>
      <c r="C98" s="1" t="s">
        <v>481</v>
      </c>
      <c r="D98" s="1" t="s">
        <v>482</v>
      </c>
      <c r="E98" s="1" t="s">
        <v>483</v>
      </c>
      <c r="F98" s="1" t="str" cm="1">
        <f t="array" ref="F98">fn등급(A98)</f>
        <v>-</v>
      </c>
    </row>
    <row r="99" spans="1:6" x14ac:dyDescent="0.3">
      <c r="A99" s="1" t="s">
        <v>484</v>
      </c>
      <c r="B99" s="1" t="s">
        <v>485</v>
      </c>
      <c r="C99" s="1" t="s">
        <v>486</v>
      </c>
      <c r="D99" s="1" t="s">
        <v>487</v>
      </c>
      <c r="E99" s="1" t="s">
        <v>488</v>
      </c>
      <c r="F99" s="1" t="str" cm="1">
        <f t="array" ref="F99">fn등급(A99)</f>
        <v>-</v>
      </c>
    </row>
    <row r="100" spans="1:6" x14ac:dyDescent="0.3">
      <c r="A100" s="1" t="s">
        <v>489</v>
      </c>
      <c r="B100" s="1" t="s">
        <v>490</v>
      </c>
      <c r="C100" s="1" t="s">
        <v>491</v>
      </c>
      <c r="D100" s="1" t="s">
        <v>492</v>
      </c>
      <c r="E100" s="1" t="s">
        <v>493</v>
      </c>
      <c r="F100" s="1" t="str" cm="1">
        <f t="array" ref="F100">fn등급(A100)</f>
        <v>-</v>
      </c>
    </row>
    <row r="101" spans="1:6" x14ac:dyDescent="0.3">
      <c r="A101" s="1" t="s">
        <v>494</v>
      </c>
      <c r="B101" s="1" t="s">
        <v>495</v>
      </c>
      <c r="C101" s="1" t="s">
        <v>496</v>
      </c>
      <c r="D101" s="1" t="s">
        <v>497</v>
      </c>
      <c r="E101" s="1" t="s">
        <v>498</v>
      </c>
      <c r="F101" s="1" t="str" cm="1">
        <f t="array" ref="F101">fn등급(A101)</f>
        <v>-</v>
      </c>
    </row>
    <row r="102" spans="1:6" x14ac:dyDescent="0.3">
      <c r="A102" s="1" t="s">
        <v>499</v>
      </c>
      <c r="B102" s="1" t="s">
        <v>500</v>
      </c>
      <c r="C102" s="1" t="s">
        <v>501</v>
      </c>
      <c r="D102" s="1" t="s">
        <v>502</v>
      </c>
      <c r="E102" s="1" t="s">
        <v>503</v>
      </c>
      <c r="F102" s="1" t="str" cm="1">
        <f t="array" ref="F102">fn등급(A102)</f>
        <v>맛집</v>
      </c>
    </row>
    <row r="103" spans="1:6" x14ac:dyDescent="0.3">
      <c r="A103" s="1" t="s">
        <v>504</v>
      </c>
      <c r="B103" s="1" t="s">
        <v>505</v>
      </c>
      <c r="C103" s="1" t="s">
        <v>506</v>
      </c>
      <c r="D103" s="1" t="s">
        <v>507</v>
      </c>
      <c r="E103" s="1" t="s">
        <v>508</v>
      </c>
      <c r="F103" s="1" t="str" cm="1">
        <f t="array" ref="F103">fn등급(A103)</f>
        <v>-</v>
      </c>
    </row>
    <row r="104" spans="1:6" x14ac:dyDescent="0.3">
      <c r="A104" s="1" t="s">
        <v>509</v>
      </c>
      <c r="B104" s="1" t="s">
        <v>510</v>
      </c>
      <c r="C104" s="1" t="s">
        <v>511</v>
      </c>
      <c r="D104" s="1" t="s">
        <v>512</v>
      </c>
      <c r="E104" s="1" t="s">
        <v>513</v>
      </c>
      <c r="F104" s="1" t="str" cm="1">
        <f t="array" ref="F104">fn등급(A104)</f>
        <v>-</v>
      </c>
    </row>
    <row r="105" spans="1:6" x14ac:dyDescent="0.3">
      <c r="A105" s="1" t="s">
        <v>514</v>
      </c>
      <c r="B105" s="1" t="s">
        <v>515</v>
      </c>
      <c r="C105" s="1" t="s">
        <v>516</v>
      </c>
      <c r="D105" s="1" t="s">
        <v>517</v>
      </c>
      <c r="E105" s="1" t="s">
        <v>518</v>
      </c>
      <c r="F105" s="1" t="str" cm="1">
        <f t="array" ref="F105">fn등급(A105)</f>
        <v>-</v>
      </c>
    </row>
    <row r="106" spans="1:6" x14ac:dyDescent="0.3">
      <c r="A106" s="1" t="s">
        <v>519</v>
      </c>
      <c r="B106" s="1" t="s">
        <v>520</v>
      </c>
      <c r="C106" s="1" t="s">
        <v>521</v>
      </c>
      <c r="D106" s="1" t="s">
        <v>522</v>
      </c>
      <c r="E106" s="1" t="s">
        <v>523</v>
      </c>
      <c r="F106" s="1" t="str" cm="1">
        <f t="array" ref="F106">fn등급(A106)</f>
        <v>-</v>
      </c>
    </row>
    <row r="107" spans="1:6" x14ac:dyDescent="0.3">
      <c r="A107" s="1" t="s">
        <v>524</v>
      </c>
      <c r="B107" s="1" t="s">
        <v>525</v>
      </c>
      <c r="C107" s="1" t="s">
        <v>526</v>
      </c>
      <c r="D107" s="1" t="s">
        <v>527</v>
      </c>
      <c r="E107" s="1" t="s">
        <v>528</v>
      </c>
      <c r="F107" s="1" t="str" cm="1">
        <f t="array" ref="F107">fn등급(A107)</f>
        <v>-</v>
      </c>
    </row>
    <row r="108" spans="1:6" x14ac:dyDescent="0.3">
      <c r="A108" s="1" t="s">
        <v>529</v>
      </c>
      <c r="B108" s="1" t="s">
        <v>530</v>
      </c>
      <c r="C108" s="1" t="s">
        <v>531</v>
      </c>
      <c r="D108" s="1" t="s">
        <v>532</v>
      </c>
      <c r="E108" s="1" t="s">
        <v>533</v>
      </c>
      <c r="F108" s="1" t="str" cm="1">
        <f t="array" ref="F108">fn등급(A108)</f>
        <v>-</v>
      </c>
    </row>
    <row r="109" spans="1:6" x14ac:dyDescent="0.3">
      <c r="A109" s="1" t="s">
        <v>534</v>
      </c>
      <c r="B109" s="1" t="s">
        <v>535</v>
      </c>
      <c r="C109" s="1" t="s">
        <v>536</v>
      </c>
      <c r="D109" s="1" t="s">
        <v>537</v>
      </c>
      <c r="E109" s="1" t="s">
        <v>538</v>
      </c>
      <c r="F109" s="1" t="str" cm="1">
        <f t="array" ref="F109">fn등급(A109)</f>
        <v>맛집</v>
      </c>
    </row>
    <row r="110" spans="1:6" x14ac:dyDescent="0.3">
      <c r="A110" s="1" t="s">
        <v>539</v>
      </c>
      <c r="B110" s="1" t="s">
        <v>540</v>
      </c>
      <c r="C110" s="1" t="s">
        <v>541</v>
      </c>
      <c r="D110" s="1" t="s">
        <v>542</v>
      </c>
      <c r="E110" s="1" t="s">
        <v>543</v>
      </c>
      <c r="F110" s="1" t="str" cm="1">
        <f t="array" ref="F110">fn등급(A110)</f>
        <v>-</v>
      </c>
    </row>
    <row r="111" spans="1:6" x14ac:dyDescent="0.3">
      <c r="A111" s="1" t="s">
        <v>544</v>
      </c>
      <c r="B111" s="1" t="s">
        <v>545</v>
      </c>
      <c r="C111" s="1" t="s">
        <v>546</v>
      </c>
      <c r="D111" s="1" t="s">
        <v>547</v>
      </c>
      <c r="E111" s="1" t="s">
        <v>548</v>
      </c>
      <c r="F111" s="1" t="str" cm="1">
        <f t="array" ref="F111">fn등급(A111)</f>
        <v>-</v>
      </c>
    </row>
    <row r="112" spans="1:6" x14ac:dyDescent="0.3">
      <c r="A112" s="1" t="s">
        <v>549</v>
      </c>
      <c r="B112" s="1" t="s">
        <v>550</v>
      </c>
      <c r="C112" s="1" t="s">
        <v>551</v>
      </c>
      <c r="D112" s="1" t="s">
        <v>552</v>
      </c>
      <c r="E112" s="1" t="s">
        <v>553</v>
      </c>
      <c r="F112" s="1" t="str" cm="1">
        <f t="array" ref="F112">fn등급(A112)</f>
        <v>맛집</v>
      </c>
    </row>
    <row r="113" spans="1:6" x14ac:dyDescent="0.3">
      <c r="A113" s="1" t="s">
        <v>554</v>
      </c>
      <c r="B113" s="1" t="s">
        <v>555</v>
      </c>
      <c r="C113" s="1" t="s">
        <v>556</v>
      </c>
      <c r="D113" s="1" t="s">
        <v>557</v>
      </c>
      <c r="E113" s="1" t="s">
        <v>558</v>
      </c>
      <c r="F113" s="1" t="str" cm="1">
        <f t="array" ref="F113">fn등급(A113)</f>
        <v>-</v>
      </c>
    </row>
    <row r="114" spans="1:6" x14ac:dyDescent="0.3">
      <c r="A114" s="1" t="s">
        <v>559</v>
      </c>
      <c r="B114" s="1" t="s">
        <v>560</v>
      </c>
      <c r="C114" s="1" t="s">
        <v>561</v>
      </c>
      <c r="D114" s="1" t="s">
        <v>562</v>
      </c>
      <c r="E114" s="1" t="s">
        <v>563</v>
      </c>
      <c r="F114" s="1" t="str" cm="1">
        <f t="array" ref="F114">fn등급(A114)</f>
        <v>맛집</v>
      </c>
    </row>
    <row r="115" spans="1:6" x14ac:dyDescent="0.3">
      <c r="A115" s="1" t="s">
        <v>564</v>
      </c>
      <c r="B115" s="1" t="s">
        <v>565</v>
      </c>
      <c r="C115" s="1" t="s">
        <v>566</v>
      </c>
      <c r="D115" s="1" t="s">
        <v>567</v>
      </c>
      <c r="E115" s="1" t="s">
        <v>568</v>
      </c>
      <c r="F115" s="1" t="str" cm="1">
        <f t="array" ref="F115">fn등급(A115)</f>
        <v>-</v>
      </c>
    </row>
    <row r="116" spans="1:6" x14ac:dyDescent="0.3">
      <c r="A116" s="1" t="s">
        <v>569</v>
      </c>
      <c r="B116" s="1" t="s">
        <v>570</v>
      </c>
      <c r="C116" s="1" t="s">
        <v>571</v>
      </c>
      <c r="D116" s="1" t="s">
        <v>572</v>
      </c>
      <c r="E116" s="1" t="s">
        <v>573</v>
      </c>
      <c r="F116" s="1" t="str" cm="1">
        <f t="array" ref="F116">fn등급(A116)</f>
        <v>-</v>
      </c>
    </row>
    <row r="117" spans="1:6" x14ac:dyDescent="0.3">
      <c r="A117" s="1" t="s">
        <v>574</v>
      </c>
      <c r="B117" s="1" t="s">
        <v>575</v>
      </c>
      <c r="C117" s="1" t="s">
        <v>576</v>
      </c>
      <c r="D117" s="1" t="s">
        <v>577</v>
      </c>
      <c r="E117" s="1" t="s">
        <v>578</v>
      </c>
      <c r="F117" s="1" t="str" cm="1">
        <f t="array" ref="F117">fn등급(A117)</f>
        <v>맛집</v>
      </c>
    </row>
    <row r="118" spans="1:6" x14ac:dyDescent="0.3">
      <c r="A118" s="1" t="s">
        <v>579</v>
      </c>
      <c r="B118" s="1" t="s">
        <v>580</v>
      </c>
      <c r="C118" s="1" t="s">
        <v>581</v>
      </c>
      <c r="D118" s="1" t="s">
        <v>582</v>
      </c>
      <c r="E118" s="1" t="s">
        <v>583</v>
      </c>
      <c r="F118" s="1" t="str" cm="1">
        <f t="array" ref="F118">fn등급(A118)</f>
        <v>-</v>
      </c>
    </row>
    <row r="119" spans="1:6" x14ac:dyDescent="0.3">
      <c r="A119" s="1" t="s">
        <v>584</v>
      </c>
      <c r="B119" s="1" t="s">
        <v>585</v>
      </c>
      <c r="C119" s="1" t="s">
        <v>586</v>
      </c>
      <c r="D119" s="1" t="s">
        <v>587</v>
      </c>
      <c r="E119" s="1" t="s">
        <v>588</v>
      </c>
      <c r="F119" s="1" t="str" cm="1">
        <f t="array" ref="F119">fn등급(A119)</f>
        <v>-</v>
      </c>
    </row>
    <row r="120" spans="1:6" x14ac:dyDescent="0.3">
      <c r="A120" s="1" t="s">
        <v>589</v>
      </c>
      <c r="B120" s="1" t="s">
        <v>590</v>
      </c>
      <c r="C120" s="1" t="s">
        <v>591</v>
      </c>
      <c r="D120" s="1" t="s">
        <v>592</v>
      </c>
      <c r="E120" s="1" t="s">
        <v>593</v>
      </c>
      <c r="F120" s="1" t="str" cm="1">
        <f t="array" ref="F120">fn등급(A120)</f>
        <v>-</v>
      </c>
    </row>
    <row r="121" spans="1:6" x14ac:dyDescent="0.3">
      <c r="A121" s="1" t="s">
        <v>594</v>
      </c>
      <c r="B121" s="1" t="s">
        <v>595</v>
      </c>
      <c r="C121" s="1" t="s">
        <v>596</v>
      </c>
      <c r="D121" s="1" t="s">
        <v>597</v>
      </c>
      <c r="E121" s="1" t="s">
        <v>598</v>
      </c>
      <c r="F121" s="1" t="str" cm="1">
        <f t="array" ref="F121">fn등급(A121)</f>
        <v>맛집</v>
      </c>
    </row>
    <row r="122" spans="1:6" x14ac:dyDescent="0.3">
      <c r="A122" s="1" t="s">
        <v>599</v>
      </c>
      <c r="B122" s="1" t="s">
        <v>600</v>
      </c>
      <c r="C122" s="1" t="s">
        <v>601</v>
      </c>
      <c r="D122" s="1" t="s">
        <v>602</v>
      </c>
      <c r="E122" s="1" t="s">
        <v>603</v>
      </c>
      <c r="F122" s="1" t="str" cm="1">
        <f t="array" ref="F122">fn등급(A122)</f>
        <v>맛집</v>
      </c>
    </row>
    <row r="123" spans="1:6" x14ac:dyDescent="0.3">
      <c r="A123" s="1" t="s">
        <v>604</v>
      </c>
      <c r="B123" s="1" t="s">
        <v>605</v>
      </c>
      <c r="C123" s="1" t="s">
        <v>606</v>
      </c>
      <c r="D123" s="1" t="s">
        <v>607</v>
      </c>
      <c r="E123" s="1" t="s">
        <v>608</v>
      </c>
      <c r="F123" s="1" t="str" cm="1">
        <f t="array" ref="F123">fn등급(A123)</f>
        <v>-</v>
      </c>
    </row>
    <row r="124" spans="1:6" x14ac:dyDescent="0.3">
      <c r="A124" s="1" t="s">
        <v>609</v>
      </c>
      <c r="B124" s="1" t="s">
        <v>610</v>
      </c>
      <c r="C124" s="1" t="s">
        <v>611</v>
      </c>
      <c r="D124" s="1" t="s">
        <v>612</v>
      </c>
      <c r="E124" s="1" t="s">
        <v>613</v>
      </c>
      <c r="F124" s="1" t="str" cm="1">
        <f t="array" ref="F124">fn등급(A124)</f>
        <v>-</v>
      </c>
    </row>
    <row r="125" spans="1:6" x14ac:dyDescent="0.3">
      <c r="A125" s="1" t="s">
        <v>614</v>
      </c>
      <c r="B125" s="1" t="s">
        <v>615</v>
      </c>
      <c r="C125" s="1" t="s">
        <v>616</v>
      </c>
      <c r="D125" s="1" t="s">
        <v>617</v>
      </c>
      <c r="E125" s="1" t="s">
        <v>618</v>
      </c>
      <c r="F125" s="1" t="str" cm="1">
        <f t="array" ref="F125">fn등급(A125)</f>
        <v>-</v>
      </c>
    </row>
    <row r="126" spans="1:6" x14ac:dyDescent="0.3">
      <c r="A126" s="1" t="s">
        <v>619</v>
      </c>
      <c r="B126" s="1" t="s">
        <v>620</v>
      </c>
      <c r="C126" s="1" t="s">
        <v>621</v>
      </c>
      <c r="D126" s="1" t="s">
        <v>622</v>
      </c>
      <c r="E126" s="1" t="s">
        <v>623</v>
      </c>
      <c r="F126" s="1" t="str" cm="1">
        <f t="array" ref="F126">fn등급(A126)</f>
        <v>맛집</v>
      </c>
    </row>
    <row r="127" spans="1:6" x14ac:dyDescent="0.3">
      <c r="A127" s="1" t="s">
        <v>624</v>
      </c>
      <c r="B127" s="1" t="s">
        <v>625</v>
      </c>
      <c r="C127" s="1" t="s">
        <v>626</v>
      </c>
      <c r="D127" s="1" t="s">
        <v>627</v>
      </c>
      <c r="E127" s="1" t="s">
        <v>628</v>
      </c>
      <c r="F127" s="1" t="str" cm="1">
        <f t="array" ref="F127">fn등급(A127)</f>
        <v>-</v>
      </c>
    </row>
    <row r="128" spans="1:6" x14ac:dyDescent="0.3">
      <c r="A128" s="1" t="s">
        <v>629</v>
      </c>
      <c r="B128" s="1" t="s">
        <v>630</v>
      </c>
      <c r="C128" s="1" t="s">
        <v>631</v>
      </c>
      <c r="D128" s="1" t="s">
        <v>632</v>
      </c>
      <c r="E128" s="1" t="s">
        <v>633</v>
      </c>
      <c r="F128" s="1" t="str" cm="1">
        <f t="array" ref="F128">fn등급(A128)</f>
        <v>-</v>
      </c>
    </row>
    <row r="129" spans="1:6" x14ac:dyDescent="0.3">
      <c r="A129" s="1" t="s">
        <v>634</v>
      </c>
      <c r="B129" s="1" t="s">
        <v>635</v>
      </c>
      <c r="C129" s="1" t="s">
        <v>636</v>
      </c>
      <c r="D129" s="1" t="s">
        <v>637</v>
      </c>
      <c r="E129" s="1" t="s">
        <v>638</v>
      </c>
      <c r="F129" s="1" t="str" cm="1">
        <f t="array" ref="F129">fn등급(A129)</f>
        <v>맛집</v>
      </c>
    </row>
    <row r="130" spans="1:6" x14ac:dyDescent="0.3">
      <c r="A130" s="1" t="s">
        <v>639</v>
      </c>
      <c r="B130" s="1" t="s">
        <v>640</v>
      </c>
      <c r="C130" s="1" t="s">
        <v>641</v>
      </c>
      <c r="D130" s="1" t="s">
        <v>642</v>
      </c>
      <c r="E130" s="1" t="s">
        <v>643</v>
      </c>
      <c r="F130" s="1" t="str" cm="1">
        <f t="array" ref="F130">fn등급(A130)</f>
        <v>-</v>
      </c>
    </row>
    <row r="131" spans="1:6" x14ac:dyDescent="0.3">
      <c r="A131" s="1" t="s">
        <v>644</v>
      </c>
      <c r="B131" s="1" t="s">
        <v>645</v>
      </c>
      <c r="C131" s="1" t="s">
        <v>646</v>
      </c>
      <c r="D131" s="1" t="s">
        <v>647</v>
      </c>
      <c r="E131" s="1" t="s">
        <v>648</v>
      </c>
      <c r="F131" s="1" t="str" cm="1">
        <f t="array" ref="F131">fn등급(A131)</f>
        <v>-</v>
      </c>
    </row>
    <row r="132" spans="1:6" x14ac:dyDescent="0.3">
      <c r="A132" s="1" t="s">
        <v>649</v>
      </c>
      <c r="B132" s="1" t="s">
        <v>650</v>
      </c>
      <c r="C132" s="1" t="s">
        <v>651</v>
      </c>
      <c r="D132" s="1" t="s">
        <v>652</v>
      </c>
      <c r="E132" s="1" t="s">
        <v>653</v>
      </c>
      <c r="F132" s="1" t="str" cm="1">
        <f t="array" ref="F132">fn등급(A132)</f>
        <v>-</v>
      </c>
    </row>
    <row r="133" spans="1:6" x14ac:dyDescent="0.3">
      <c r="A133" s="1" t="s">
        <v>654</v>
      </c>
      <c r="B133" s="1" t="s">
        <v>655</v>
      </c>
      <c r="C133" s="1" t="s">
        <v>656</v>
      </c>
      <c r="D133" s="1" t="s">
        <v>657</v>
      </c>
      <c r="E133" s="1" t="s">
        <v>658</v>
      </c>
      <c r="F133" s="1" t="str" cm="1">
        <f t="array" ref="F133">fn등급(A133)</f>
        <v>-</v>
      </c>
    </row>
    <row r="134" spans="1:6" x14ac:dyDescent="0.3">
      <c r="A134" s="1" t="s">
        <v>659</v>
      </c>
      <c r="B134" s="1" t="s">
        <v>660</v>
      </c>
      <c r="C134" s="1" t="s">
        <v>661</v>
      </c>
      <c r="D134" s="1" t="s">
        <v>662</v>
      </c>
      <c r="E134" s="1" t="s">
        <v>663</v>
      </c>
      <c r="F134" s="1" t="str" cm="1">
        <f t="array" ref="F134">fn등급(A134)</f>
        <v>-</v>
      </c>
    </row>
    <row r="135" spans="1:6" x14ac:dyDescent="0.3">
      <c r="A135" s="1" t="s">
        <v>664</v>
      </c>
      <c r="B135" s="1" t="s">
        <v>665</v>
      </c>
      <c r="C135" s="1" t="s">
        <v>666</v>
      </c>
      <c r="D135" s="1" t="s">
        <v>667</v>
      </c>
      <c r="E135" s="1" t="s">
        <v>668</v>
      </c>
      <c r="F135" s="1" t="str" cm="1">
        <f t="array" ref="F135">fn등급(A135)</f>
        <v>-</v>
      </c>
    </row>
    <row r="136" spans="1:6" x14ac:dyDescent="0.3">
      <c r="A136" s="1" t="s">
        <v>669</v>
      </c>
      <c r="B136" s="1" t="s">
        <v>670</v>
      </c>
      <c r="C136" s="1" t="s">
        <v>671</v>
      </c>
      <c r="D136" s="1" t="s">
        <v>672</v>
      </c>
      <c r="E136" s="1" t="s">
        <v>673</v>
      </c>
      <c r="F136" s="1" t="str" cm="1">
        <f t="array" ref="F136">fn등급(A136)</f>
        <v>맛집</v>
      </c>
    </row>
    <row r="137" spans="1:6" x14ac:dyDescent="0.3">
      <c r="A137" s="1" t="s">
        <v>674</v>
      </c>
      <c r="B137" s="1" t="s">
        <v>675</v>
      </c>
      <c r="C137" s="1" t="s">
        <v>676</v>
      </c>
      <c r="D137" s="1" t="s">
        <v>677</v>
      </c>
      <c r="E137" s="1" t="s">
        <v>678</v>
      </c>
      <c r="F137" s="1" t="str" cm="1">
        <f t="array" ref="F137">fn등급(A137)</f>
        <v>-</v>
      </c>
    </row>
    <row r="138" spans="1:6" x14ac:dyDescent="0.3">
      <c r="A138" s="1" t="s">
        <v>679</v>
      </c>
      <c r="B138" s="1" t="s">
        <v>680</v>
      </c>
      <c r="C138" s="1" t="s">
        <v>681</v>
      </c>
      <c r="D138" s="1" t="s">
        <v>682</v>
      </c>
      <c r="E138" s="1" t="s">
        <v>683</v>
      </c>
      <c r="F138" s="1" t="str" cm="1">
        <f t="array" ref="F138">fn등급(A138)</f>
        <v>-</v>
      </c>
    </row>
    <row r="139" spans="1:6" x14ac:dyDescent="0.3">
      <c r="A139" s="1" t="s">
        <v>684</v>
      </c>
      <c r="B139" s="1" t="s">
        <v>685</v>
      </c>
      <c r="C139" s="1" t="s">
        <v>686</v>
      </c>
      <c r="D139" s="1" t="s">
        <v>687</v>
      </c>
      <c r="E139" s="1" t="s">
        <v>688</v>
      </c>
      <c r="F139" s="1" t="str" cm="1">
        <f t="array" ref="F139">fn등급(A139)</f>
        <v>맛집</v>
      </c>
    </row>
    <row r="140" spans="1:6" x14ac:dyDescent="0.3">
      <c r="A140" s="1" t="s">
        <v>689</v>
      </c>
      <c r="B140" s="1" t="s">
        <v>690</v>
      </c>
      <c r="C140" s="1" t="s">
        <v>691</v>
      </c>
      <c r="D140" s="1" t="s">
        <v>692</v>
      </c>
      <c r="E140" s="1" t="s">
        <v>693</v>
      </c>
      <c r="F140" s="1" t="str" cm="1">
        <f t="array" ref="F140">fn등급(A140)</f>
        <v>-</v>
      </c>
    </row>
    <row r="141" spans="1:6" x14ac:dyDescent="0.3">
      <c r="A141" s="1" t="s">
        <v>694</v>
      </c>
      <c r="B141" s="1" t="s">
        <v>695</v>
      </c>
      <c r="C141" s="1" t="s">
        <v>696</v>
      </c>
      <c r="D141" s="1" t="s">
        <v>697</v>
      </c>
      <c r="E141" s="1" t="s">
        <v>698</v>
      </c>
      <c r="F141" s="1" t="str" cm="1">
        <f t="array" ref="F141">fn등급(A141)</f>
        <v>-</v>
      </c>
    </row>
    <row r="142" spans="1:6" x14ac:dyDescent="0.3">
      <c r="A142" s="1" t="s">
        <v>699</v>
      </c>
      <c r="B142" s="1" t="s">
        <v>700</v>
      </c>
      <c r="C142" s="1" t="s">
        <v>701</v>
      </c>
      <c r="D142" s="1" t="s">
        <v>702</v>
      </c>
      <c r="E142" s="1" t="s">
        <v>703</v>
      </c>
      <c r="F142" s="1" t="str" cm="1">
        <f t="array" ref="F142">fn등급(A142)</f>
        <v>-</v>
      </c>
    </row>
    <row r="143" spans="1:6" x14ac:dyDescent="0.3">
      <c r="A143" s="1" t="s">
        <v>704</v>
      </c>
      <c r="B143" s="1" t="s">
        <v>705</v>
      </c>
      <c r="C143" s="1" t="s">
        <v>706</v>
      </c>
      <c r="D143" s="1" t="s">
        <v>707</v>
      </c>
      <c r="E143" s="1" t="s">
        <v>708</v>
      </c>
      <c r="F143" s="1" t="str" cm="1">
        <f t="array" ref="F143">fn등급(A143)</f>
        <v>-</v>
      </c>
    </row>
    <row r="144" spans="1:6" x14ac:dyDescent="0.3">
      <c r="A144" s="1" t="s">
        <v>709</v>
      </c>
      <c r="B144" s="1" t="s">
        <v>710</v>
      </c>
      <c r="C144" s="1" t="s">
        <v>711</v>
      </c>
      <c r="D144" s="1" t="s">
        <v>712</v>
      </c>
      <c r="E144" s="1" t="s">
        <v>713</v>
      </c>
      <c r="F144" s="1" t="str" cm="1">
        <f t="array" ref="F144">fn등급(A144)</f>
        <v>-</v>
      </c>
    </row>
    <row r="145" spans="1:6" x14ac:dyDescent="0.3">
      <c r="A145" s="1" t="s">
        <v>714</v>
      </c>
      <c r="B145" s="1" t="s">
        <v>715</v>
      </c>
      <c r="C145" s="1" t="s">
        <v>716</v>
      </c>
      <c r="D145" s="1" t="s">
        <v>717</v>
      </c>
      <c r="E145" s="1" t="s">
        <v>718</v>
      </c>
      <c r="F145" s="1" t="str" cm="1">
        <f t="array" ref="F145">fn등급(A145)</f>
        <v>-</v>
      </c>
    </row>
    <row r="146" spans="1:6" x14ac:dyDescent="0.3">
      <c r="A146" s="1" t="s">
        <v>719</v>
      </c>
      <c r="B146" s="1" t="s">
        <v>720</v>
      </c>
      <c r="C146" s="1" t="s">
        <v>721</v>
      </c>
      <c r="D146" s="1" t="s">
        <v>722</v>
      </c>
      <c r="E146" s="1" t="s">
        <v>723</v>
      </c>
      <c r="F146" s="1" t="str" cm="1">
        <f t="array" ref="F146">fn등급(A146)</f>
        <v>-</v>
      </c>
    </row>
    <row r="147" spans="1:6" x14ac:dyDescent="0.3">
      <c r="A147" s="1" t="s">
        <v>724</v>
      </c>
      <c r="B147" s="1" t="s">
        <v>725</v>
      </c>
      <c r="C147" s="1" t="s">
        <v>726</v>
      </c>
      <c r="D147" s="1" t="s">
        <v>727</v>
      </c>
      <c r="E147" s="1" t="s">
        <v>728</v>
      </c>
      <c r="F147" s="1" t="str" cm="1">
        <f t="array" ref="F147">fn등급(A147)</f>
        <v>맛집</v>
      </c>
    </row>
    <row r="148" spans="1:6" x14ac:dyDescent="0.3">
      <c r="A148" s="1" t="s">
        <v>729</v>
      </c>
      <c r="B148" s="1" t="s">
        <v>730</v>
      </c>
      <c r="C148" s="1" t="s">
        <v>731</v>
      </c>
      <c r="D148" s="1" t="s">
        <v>732</v>
      </c>
      <c r="E148" s="1" t="s">
        <v>733</v>
      </c>
      <c r="F148" s="1" t="str" cm="1">
        <f t="array" ref="F148">fn등급(A148)</f>
        <v>-</v>
      </c>
    </row>
    <row r="149" spans="1:6" x14ac:dyDescent="0.3">
      <c r="A149" s="1" t="s">
        <v>734</v>
      </c>
      <c r="B149" s="1" t="s">
        <v>735</v>
      </c>
      <c r="C149" s="1" t="s">
        <v>736</v>
      </c>
      <c r="D149" s="1" t="s">
        <v>737</v>
      </c>
      <c r="E149" s="1" t="s">
        <v>738</v>
      </c>
      <c r="F149" s="1" t="str" cm="1">
        <f t="array" ref="F149">fn등급(A149)</f>
        <v>-</v>
      </c>
    </row>
    <row r="150" spans="1:6" x14ac:dyDescent="0.3">
      <c r="A150" s="1" t="s">
        <v>739</v>
      </c>
      <c r="B150" s="1" t="s">
        <v>740</v>
      </c>
      <c r="C150" s="1" t="s">
        <v>741</v>
      </c>
      <c r="D150" s="1" t="s">
        <v>742</v>
      </c>
      <c r="E150" s="1" t="s">
        <v>743</v>
      </c>
      <c r="F150" s="1" t="str" cm="1">
        <f t="array" ref="F150">fn등급(A150)</f>
        <v>-</v>
      </c>
    </row>
    <row r="151" spans="1:6" x14ac:dyDescent="0.3">
      <c r="A151" s="1" t="s">
        <v>744</v>
      </c>
      <c r="B151" s="1" t="s">
        <v>745</v>
      </c>
      <c r="C151" s="1" t="s">
        <v>746</v>
      </c>
      <c r="D151" s="1" t="s">
        <v>747</v>
      </c>
      <c r="E151" s="1" t="s">
        <v>748</v>
      </c>
      <c r="F151" s="1" t="str" cm="1">
        <f t="array" ref="F151">fn등급(A151)</f>
        <v>-</v>
      </c>
    </row>
    <row r="152" spans="1:6" x14ac:dyDescent="0.3">
      <c r="A152" s="1" t="s">
        <v>749</v>
      </c>
      <c r="B152" s="1" t="s">
        <v>750</v>
      </c>
      <c r="C152" s="1" t="s">
        <v>751</v>
      </c>
      <c r="D152" s="1" t="s">
        <v>752</v>
      </c>
      <c r="E152" s="1" t="s">
        <v>753</v>
      </c>
      <c r="F152" s="1" t="str" cm="1">
        <f t="array" ref="F152">fn등급(A152)</f>
        <v>-</v>
      </c>
    </row>
    <row r="153" spans="1:6" x14ac:dyDescent="0.3">
      <c r="A153" s="1" t="s">
        <v>754</v>
      </c>
      <c r="B153" s="1" t="s">
        <v>755</v>
      </c>
      <c r="C153" s="1" t="s">
        <v>756</v>
      </c>
      <c r="D153" s="1" t="s">
        <v>757</v>
      </c>
      <c r="E153" s="1" t="s">
        <v>758</v>
      </c>
      <c r="F153" s="1" t="str" cm="1">
        <f t="array" ref="F153">fn등급(A153)</f>
        <v>-</v>
      </c>
    </row>
    <row r="154" spans="1:6" x14ac:dyDescent="0.3">
      <c r="A154" s="1" t="s">
        <v>759</v>
      </c>
      <c r="B154" s="1" t="s">
        <v>760</v>
      </c>
      <c r="C154" s="1" t="s">
        <v>761</v>
      </c>
      <c r="D154" s="1" t="s">
        <v>762</v>
      </c>
      <c r="E154" s="1" t="s">
        <v>763</v>
      </c>
      <c r="F154" s="1" t="str" cm="1">
        <f t="array" ref="F154">fn등급(A154)</f>
        <v>-</v>
      </c>
    </row>
    <row r="155" spans="1:6" x14ac:dyDescent="0.3">
      <c r="A155" s="1" t="s">
        <v>764</v>
      </c>
      <c r="B155" s="1" t="s">
        <v>765</v>
      </c>
      <c r="C155" s="1" t="s">
        <v>766</v>
      </c>
      <c r="D155" s="1" t="s">
        <v>767</v>
      </c>
      <c r="E155" s="1" t="s">
        <v>768</v>
      </c>
      <c r="F155" s="1" t="str" cm="1">
        <f t="array" ref="F155">fn등급(A155)</f>
        <v>맛집</v>
      </c>
    </row>
    <row r="156" spans="1:6" x14ac:dyDescent="0.3">
      <c r="A156" s="1" t="s">
        <v>769</v>
      </c>
      <c r="B156" s="1" t="s">
        <v>770</v>
      </c>
      <c r="C156" s="1" t="s">
        <v>771</v>
      </c>
      <c r="D156" s="1" t="s">
        <v>772</v>
      </c>
      <c r="E156" s="1" t="s">
        <v>773</v>
      </c>
      <c r="F156" s="1" t="str" cm="1">
        <f t="array" ref="F156">fn등급(A156)</f>
        <v>-</v>
      </c>
    </row>
    <row r="157" spans="1:6" x14ac:dyDescent="0.3">
      <c r="A157" s="1" t="s">
        <v>774</v>
      </c>
      <c r="B157" s="1" t="s">
        <v>775</v>
      </c>
      <c r="C157" s="1" t="s">
        <v>776</v>
      </c>
      <c r="D157" s="1" t="s">
        <v>777</v>
      </c>
      <c r="E157" s="1" t="s">
        <v>778</v>
      </c>
      <c r="F157" s="1" t="str" cm="1">
        <f t="array" ref="F157">fn등급(A157)</f>
        <v>-</v>
      </c>
    </row>
    <row r="158" spans="1:6" x14ac:dyDescent="0.3">
      <c r="A158" s="1" t="s">
        <v>779</v>
      </c>
      <c r="B158" s="1" t="s">
        <v>780</v>
      </c>
      <c r="C158" s="1" t="s">
        <v>781</v>
      </c>
      <c r="D158" s="1" t="s">
        <v>782</v>
      </c>
      <c r="E158" s="1" t="s">
        <v>783</v>
      </c>
      <c r="F158" s="1" t="str" cm="1">
        <f t="array" ref="F158">fn등급(A158)</f>
        <v>-</v>
      </c>
    </row>
    <row r="159" spans="1:6" x14ac:dyDescent="0.3">
      <c r="A159" s="1" t="s">
        <v>784</v>
      </c>
      <c r="B159" s="1" t="s">
        <v>785</v>
      </c>
      <c r="C159" s="1" t="s">
        <v>786</v>
      </c>
      <c r="D159" s="1" t="s">
        <v>787</v>
      </c>
      <c r="E159" s="1" t="s">
        <v>788</v>
      </c>
      <c r="F159" s="1" t="str" cm="1">
        <f t="array" ref="F159">fn등급(A159)</f>
        <v>-</v>
      </c>
    </row>
    <row r="160" spans="1:6" x14ac:dyDescent="0.3">
      <c r="A160" s="1" t="s">
        <v>789</v>
      </c>
      <c r="B160" s="1" t="s">
        <v>790</v>
      </c>
      <c r="C160" s="1" t="s">
        <v>791</v>
      </c>
      <c r="D160" s="1" t="s">
        <v>792</v>
      </c>
      <c r="E160" s="1" t="s">
        <v>793</v>
      </c>
      <c r="F160" s="1" t="str" cm="1">
        <f t="array" ref="F160">fn등급(A160)</f>
        <v>-</v>
      </c>
    </row>
    <row r="161" spans="1:6" x14ac:dyDescent="0.3">
      <c r="A161" s="1" t="s">
        <v>794</v>
      </c>
      <c r="B161" s="1" t="s">
        <v>795</v>
      </c>
      <c r="C161" s="1" t="s">
        <v>796</v>
      </c>
      <c r="D161" s="1" t="s">
        <v>797</v>
      </c>
      <c r="E161" s="1" t="s">
        <v>798</v>
      </c>
      <c r="F161" s="1" t="str" cm="1">
        <f t="array" ref="F161">fn등급(A161)</f>
        <v>-</v>
      </c>
    </row>
    <row r="162" spans="1:6" x14ac:dyDescent="0.3">
      <c r="A162" s="1" t="s">
        <v>799</v>
      </c>
      <c r="B162" s="1" t="s">
        <v>800</v>
      </c>
      <c r="C162" s="1" t="s">
        <v>801</v>
      </c>
      <c r="D162" s="1" t="s">
        <v>802</v>
      </c>
      <c r="E162" s="1" t="s">
        <v>803</v>
      </c>
      <c r="F162" s="1" t="str" cm="1">
        <f t="array" ref="F162">fn등급(A162)</f>
        <v>맛집</v>
      </c>
    </row>
    <row r="163" spans="1:6" x14ac:dyDescent="0.3">
      <c r="A163" s="1" t="s">
        <v>804</v>
      </c>
      <c r="B163" s="1" t="s">
        <v>805</v>
      </c>
      <c r="C163" s="1" t="s">
        <v>806</v>
      </c>
      <c r="D163" s="1" t="s">
        <v>807</v>
      </c>
      <c r="E163" s="1" t="s">
        <v>808</v>
      </c>
      <c r="F163" s="1" t="str" cm="1">
        <f t="array" ref="F163">fn등급(A163)</f>
        <v>-</v>
      </c>
    </row>
    <row r="164" spans="1:6" x14ac:dyDescent="0.3">
      <c r="A164" s="1" t="s">
        <v>809</v>
      </c>
      <c r="B164" s="1" t="s">
        <v>810</v>
      </c>
      <c r="C164" s="1" t="s">
        <v>811</v>
      </c>
      <c r="D164" s="1" t="s">
        <v>812</v>
      </c>
      <c r="E164" s="1" t="s">
        <v>813</v>
      </c>
      <c r="F164" s="1" t="str" cm="1">
        <f t="array" ref="F164">fn등급(A164)</f>
        <v>맛집</v>
      </c>
    </row>
    <row r="165" spans="1:6" x14ac:dyDescent="0.3">
      <c r="A165" s="1" t="s">
        <v>814</v>
      </c>
      <c r="B165" s="1" t="s">
        <v>815</v>
      </c>
      <c r="C165" s="1" t="s">
        <v>816</v>
      </c>
      <c r="D165" s="1" t="s">
        <v>817</v>
      </c>
      <c r="E165" s="1" t="s">
        <v>818</v>
      </c>
      <c r="F165" s="1" t="str" cm="1">
        <f t="array" ref="F165">fn등급(A165)</f>
        <v>-</v>
      </c>
    </row>
    <row r="166" spans="1:6" x14ac:dyDescent="0.3">
      <c r="A166" s="1" t="s">
        <v>819</v>
      </c>
      <c r="B166" s="1" t="s">
        <v>820</v>
      </c>
      <c r="C166" s="1" t="s">
        <v>821</v>
      </c>
      <c r="D166" s="1" t="s">
        <v>822</v>
      </c>
      <c r="E166" s="1" t="s">
        <v>823</v>
      </c>
      <c r="F166" s="1" t="str" cm="1">
        <f t="array" ref="F166">fn등급(A166)</f>
        <v>-</v>
      </c>
    </row>
    <row r="167" spans="1:6" x14ac:dyDescent="0.3">
      <c r="A167" s="1" t="s">
        <v>824</v>
      </c>
      <c r="B167" s="1" t="s">
        <v>825</v>
      </c>
      <c r="C167" s="1" t="s">
        <v>826</v>
      </c>
      <c r="D167" s="1" t="s">
        <v>827</v>
      </c>
      <c r="E167" s="1" t="s">
        <v>828</v>
      </c>
      <c r="F167" s="1" t="str" cm="1">
        <f t="array" ref="F167">fn등급(A167)</f>
        <v>-</v>
      </c>
    </row>
    <row r="168" spans="1:6" x14ac:dyDescent="0.3">
      <c r="A168" s="1" t="s">
        <v>829</v>
      </c>
      <c r="B168" s="1" t="s">
        <v>830</v>
      </c>
      <c r="C168" s="1" t="s">
        <v>831</v>
      </c>
      <c r="D168" s="1" t="s">
        <v>832</v>
      </c>
      <c r="E168" s="1" t="s">
        <v>833</v>
      </c>
      <c r="F168" s="1" t="str" cm="1">
        <f t="array" ref="F168">fn등급(A168)</f>
        <v>맛집</v>
      </c>
    </row>
    <row r="169" spans="1:6" x14ac:dyDescent="0.3">
      <c r="A169" s="1" t="s">
        <v>834</v>
      </c>
      <c r="B169" s="1" t="s">
        <v>835</v>
      </c>
      <c r="C169" s="1" t="s">
        <v>836</v>
      </c>
      <c r="D169" s="1" t="s">
        <v>837</v>
      </c>
      <c r="E169" s="1" t="s">
        <v>838</v>
      </c>
      <c r="F169" s="1" t="str" cm="1">
        <f t="array" ref="F169">fn등급(A169)</f>
        <v>-</v>
      </c>
    </row>
    <row r="170" spans="1:6" x14ac:dyDescent="0.3">
      <c r="A170" s="1" t="s">
        <v>839</v>
      </c>
      <c r="B170" s="1" t="s">
        <v>840</v>
      </c>
      <c r="C170" s="1" t="s">
        <v>841</v>
      </c>
      <c r="D170" s="1" t="s">
        <v>842</v>
      </c>
      <c r="E170" s="1" t="s">
        <v>843</v>
      </c>
      <c r="F170" s="1" t="str" cm="1">
        <f t="array" ref="F170">fn등급(A170)</f>
        <v>-</v>
      </c>
    </row>
    <row r="171" spans="1:6" x14ac:dyDescent="0.3">
      <c r="A171" s="1" t="s">
        <v>844</v>
      </c>
      <c r="B171" s="1" t="s">
        <v>845</v>
      </c>
      <c r="C171" s="1" t="s">
        <v>846</v>
      </c>
      <c r="D171" s="1" t="s">
        <v>847</v>
      </c>
      <c r="E171" s="1" t="s">
        <v>848</v>
      </c>
      <c r="F171" s="1" t="str" cm="1">
        <f t="array" ref="F171">fn등급(A171)</f>
        <v>-</v>
      </c>
    </row>
    <row r="172" spans="1:6" x14ac:dyDescent="0.3">
      <c r="A172" s="1" t="s">
        <v>849</v>
      </c>
      <c r="B172" s="1" t="s">
        <v>850</v>
      </c>
      <c r="C172" s="1" t="s">
        <v>851</v>
      </c>
      <c r="D172" s="1" t="s">
        <v>852</v>
      </c>
      <c r="E172" s="1" t="s">
        <v>853</v>
      </c>
      <c r="F172" s="1" t="str" cm="1">
        <f t="array" ref="F172">fn등급(A172)</f>
        <v>-</v>
      </c>
    </row>
    <row r="173" spans="1:6" x14ac:dyDescent="0.3">
      <c r="A173" s="1" t="s">
        <v>854</v>
      </c>
      <c r="B173" s="1" t="s">
        <v>855</v>
      </c>
      <c r="C173" s="1" t="s">
        <v>856</v>
      </c>
      <c r="D173" s="1" t="s">
        <v>857</v>
      </c>
      <c r="E173" s="1" t="s">
        <v>858</v>
      </c>
      <c r="F173" s="1" t="str" cm="1">
        <f t="array" ref="F173">fn등급(A173)</f>
        <v>-</v>
      </c>
    </row>
    <row r="174" spans="1:6" x14ac:dyDescent="0.3">
      <c r="A174" s="1" t="s">
        <v>859</v>
      </c>
      <c r="B174" s="1" t="s">
        <v>860</v>
      </c>
      <c r="C174" s="1" t="s">
        <v>861</v>
      </c>
      <c r="D174" s="1" t="s">
        <v>862</v>
      </c>
      <c r="E174" s="1" t="s">
        <v>863</v>
      </c>
      <c r="F174" s="1" t="str" cm="1">
        <f t="array" ref="F174">fn등급(A174)</f>
        <v>-</v>
      </c>
    </row>
    <row r="175" spans="1:6" x14ac:dyDescent="0.3">
      <c r="A175" s="1" t="s">
        <v>864</v>
      </c>
      <c r="B175" s="1" t="s">
        <v>865</v>
      </c>
      <c r="C175" s="1" t="s">
        <v>866</v>
      </c>
      <c r="D175" s="1" t="s">
        <v>867</v>
      </c>
      <c r="E175" s="1" t="s">
        <v>868</v>
      </c>
      <c r="F175" s="1" t="str" cm="1">
        <f t="array" ref="F175">fn등급(A175)</f>
        <v>-</v>
      </c>
    </row>
    <row r="176" spans="1:6" x14ac:dyDescent="0.3">
      <c r="A176" s="1" t="s">
        <v>869</v>
      </c>
      <c r="B176" s="1" t="s">
        <v>870</v>
      </c>
      <c r="C176" s="1" t="s">
        <v>871</v>
      </c>
      <c r="D176" s="1" t="s">
        <v>872</v>
      </c>
      <c r="E176" s="1" t="s">
        <v>873</v>
      </c>
      <c r="F176" s="1" t="str" cm="1">
        <f t="array" ref="F176">fn등급(A176)</f>
        <v>-</v>
      </c>
    </row>
    <row r="177" spans="1:9" x14ac:dyDescent="0.3">
      <c r="A177" s="1" t="s">
        <v>874</v>
      </c>
      <c r="B177" s="1" t="s">
        <v>875</v>
      </c>
      <c r="C177" s="1" t="s">
        <v>876</v>
      </c>
      <c r="D177" s="1" t="s">
        <v>877</v>
      </c>
      <c r="E177" s="1" t="s">
        <v>878</v>
      </c>
      <c r="F177" s="1" t="str" cm="1">
        <f t="array" ref="F177">fn등급(A177)</f>
        <v>-</v>
      </c>
    </row>
    <row r="178" spans="1:9" x14ac:dyDescent="0.3">
      <c r="A178" s="1" t="s">
        <v>879</v>
      </c>
      <c r="B178" s="1" t="s">
        <v>880</v>
      </c>
      <c r="C178" s="1" t="s">
        <v>881</v>
      </c>
      <c r="D178" s="1" t="s">
        <v>882</v>
      </c>
      <c r="E178" s="1" t="s">
        <v>883</v>
      </c>
      <c r="F178" s="1" t="str" cm="1">
        <f t="array" ref="F178">fn등급(A178)</f>
        <v>-</v>
      </c>
    </row>
    <row r="179" spans="1:9" x14ac:dyDescent="0.3">
      <c r="A179" s="1" t="s">
        <v>884</v>
      </c>
      <c r="B179" s="1" t="s">
        <v>885</v>
      </c>
      <c r="C179" s="1" t="s">
        <v>886</v>
      </c>
      <c r="D179" s="1" t="s">
        <v>887</v>
      </c>
      <c r="E179" s="1" t="s">
        <v>888</v>
      </c>
      <c r="F179" s="1" t="str" cm="1">
        <f t="array" ref="F179">fn등급(A179)</f>
        <v>-</v>
      </c>
    </row>
    <row r="180" spans="1:9" x14ac:dyDescent="0.3">
      <c r="A180" s="1" t="s">
        <v>889</v>
      </c>
      <c r="B180" s="1" t="s">
        <v>890</v>
      </c>
      <c r="C180" s="1" t="s">
        <v>891</v>
      </c>
      <c r="D180" s="1" t="s">
        <v>892</v>
      </c>
      <c r="E180" s="1" t="s">
        <v>893</v>
      </c>
      <c r="F180" s="1" t="str" cm="1">
        <f t="array" ref="F180">fn등급(A180)</f>
        <v>-</v>
      </c>
    </row>
    <row r="181" spans="1:9" x14ac:dyDescent="0.3">
      <c r="A181" s="1" t="s">
        <v>894</v>
      </c>
      <c r="B181" s="1" t="s">
        <v>895</v>
      </c>
      <c r="C181" s="1" t="s">
        <v>896</v>
      </c>
      <c r="D181" s="1" t="s">
        <v>897</v>
      </c>
      <c r="E181" s="1" t="s">
        <v>898</v>
      </c>
      <c r="F181" s="1" t="str" cm="1">
        <f t="array" ref="F181">fn등급(A181)</f>
        <v>-</v>
      </c>
      <c r="I181" s="11"/>
    </row>
    <row r="182" spans="1:9" x14ac:dyDescent="0.3">
      <c r="A182" s="1" t="s">
        <v>899</v>
      </c>
      <c r="B182" s="1" t="s">
        <v>900</v>
      </c>
      <c r="C182" s="1" t="s">
        <v>901</v>
      </c>
      <c r="D182" s="1" t="s">
        <v>902</v>
      </c>
      <c r="E182" s="1" t="s">
        <v>903</v>
      </c>
      <c r="F182" s="1" t="str" cm="1">
        <f t="array" ref="F182">fn등급(A182)</f>
        <v>-</v>
      </c>
    </row>
    <row r="183" spans="1:9" x14ac:dyDescent="0.3">
      <c r="A183" s="1" t="s">
        <v>904</v>
      </c>
      <c r="B183" s="1" t="s">
        <v>905</v>
      </c>
      <c r="C183" s="1" t="s">
        <v>906</v>
      </c>
      <c r="D183" s="1" t="s">
        <v>907</v>
      </c>
      <c r="E183" s="1" t="s">
        <v>908</v>
      </c>
      <c r="F183" s="1" t="str" cm="1">
        <f t="array" ref="F183">fn등급(A183)</f>
        <v>맛집</v>
      </c>
    </row>
    <row r="184" spans="1:9" x14ac:dyDescent="0.3">
      <c r="A184" s="1" t="s">
        <v>909</v>
      </c>
      <c r="B184" s="1" t="s">
        <v>910</v>
      </c>
      <c r="C184" s="1" t="s">
        <v>911</v>
      </c>
      <c r="D184" s="1" t="s">
        <v>912</v>
      </c>
      <c r="E184" s="1" t="s">
        <v>913</v>
      </c>
      <c r="F184" s="1" t="str" cm="1">
        <f t="array" ref="F184">fn등급(A184)</f>
        <v>-</v>
      </c>
    </row>
    <row r="185" spans="1:9" x14ac:dyDescent="0.3">
      <c r="A185" s="1" t="s">
        <v>914</v>
      </c>
      <c r="B185" s="1" t="s">
        <v>915</v>
      </c>
      <c r="C185" s="1" t="s">
        <v>916</v>
      </c>
      <c r="D185" s="1" t="s">
        <v>917</v>
      </c>
      <c r="E185" s="1" t="s">
        <v>918</v>
      </c>
      <c r="F185" s="1" t="str" cm="1">
        <f t="array" ref="F185">fn등급(A185)</f>
        <v>맛집</v>
      </c>
    </row>
    <row r="186" spans="1:9" x14ac:dyDescent="0.3">
      <c r="A186" s="1" t="s">
        <v>919</v>
      </c>
      <c r="B186" s="1" t="s">
        <v>920</v>
      </c>
      <c r="C186" s="1" t="s">
        <v>921</v>
      </c>
      <c r="D186" s="1" t="s">
        <v>922</v>
      </c>
      <c r="E186" s="1" t="s">
        <v>923</v>
      </c>
      <c r="F186" s="1" t="str" cm="1">
        <f t="array" ref="F186">fn등급(A186)</f>
        <v>-</v>
      </c>
    </row>
    <row r="187" spans="1:9" x14ac:dyDescent="0.3">
      <c r="A187" s="1" t="s">
        <v>924</v>
      </c>
      <c r="B187" s="1" t="s">
        <v>925</v>
      </c>
      <c r="C187" s="1" t="s">
        <v>926</v>
      </c>
      <c r="D187" s="1" t="s">
        <v>927</v>
      </c>
      <c r="E187" s="1" t="s">
        <v>928</v>
      </c>
      <c r="F187" s="1" t="str" cm="1">
        <f t="array" ref="F187">fn등급(A187)</f>
        <v>-</v>
      </c>
    </row>
  </sheetData>
  <phoneticPr fontId="1" type="noConversion"/>
  <dataValidations count="1">
    <dataValidation type="custom" allowBlank="1" showInputMessage="1" showErrorMessage="1" sqref="C2:C187">
      <formula1>AND(OR(COUNTIF(회원좌표, C2)=1, COUNTIF(금지좌표, C2) =1), LEN(C2)-LEN(SUBSTITUTE(C2, ",", "")),INT(MID(C2, FIND(",",C2)+1, 10))&lt;100, INT(LEFT(C2, FIND(",",C2)-1))&lt;100, ISNUMBER(INT(SUBSTITUTE(C2,",",""))))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39"/>
  <sheetViews>
    <sheetView zoomScale="85" zoomScaleNormal="85" workbookViewId="0">
      <selection activeCell="E10" sqref="E10"/>
    </sheetView>
  </sheetViews>
  <sheetFormatPr defaultRowHeight="16.5" x14ac:dyDescent="0.3"/>
  <cols>
    <col min="2" max="2" width="10.25" customWidth="1"/>
    <col min="3" max="3" width="10.875" customWidth="1"/>
    <col min="5" max="5" width="53.625" bestFit="1" customWidth="1"/>
  </cols>
  <sheetData>
    <row r="1" spans="1:13" x14ac:dyDescent="0.3">
      <c r="A1" s="1" t="s">
        <v>1</v>
      </c>
      <c r="B1" s="1" t="s">
        <v>929</v>
      </c>
      <c r="C1" s="1" t="s">
        <v>930</v>
      </c>
      <c r="E1" t="s">
        <v>3623</v>
      </c>
      <c r="G1" s="1" t="s">
        <v>3641</v>
      </c>
      <c r="I1" s="1" t="s">
        <v>3640</v>
      </c>
      <c r="K1" s="1" t="s">
        <v>1</v>
      </c>
      <c r="L1" s="1" t="s">
        <v>929</v>
      </c>
      <c r="M1" s="1" t="s">
        <v>930</v>
      </c>
    </row>
    <row r="2" spans="1:13" x14ac:dyDescent="0.3">
      <c r="A2" s="1" t="s">
        <v>3622</v>
      </c>
      <c r="B2" s="1" t="s">
        <v>931</v>
      </c>
      <c r="C2" s="1">
        <f>ROUND(AVERAGEIF(표7[음식점 번호], 표3[[#This Row],[번호]], 표7[별점]), 1)</f>
        <v>2.8</v>
      </c>
      <c r="E2" s="5" t="s">
        <v>3624</v>
      </c>
      <c r="G2" s="1" t="s">
        <v>931</v>
      </c>
      <c r="I2" s="6" t="s">
        <v>3642</v>
      </c>
      <c r="K2" s="1" t="s">
        <v>3622</v>
      </c>
      <c r="L2" s="1" t="s">
        <v>931</v>
      </c>
      <c r="M2" s="1">
        <v>2.8</v>
      </c>
    </row>
    <row r="3" spans="1:13" x14ac:dyDescent="0.3">
      <c r="A3" s="1" t="s">
        <v>244</v>
      </c>
      <c r="B3" s="1" t="s">
        <v>931</v>
      </c>
      <c r="C3" s="1">
        <f>ROUND(AVERAGEIF(표7[음식점 번호], 표3[[#This Row],[번호]], 표7[별점]), 1)</f>
        <v>3</v>
      </c>
      <c r="G3" s="1" t="s">
        <v>932</v>
      </c>
      <c r="I3" s="1"/>
      <c r="K3" s="1" t="s">
        <v>244</v>
      </c>
      <c r="L3" s="1" t="s">
        <v>931</v>
      </c>
      <c r="M3" s="1">
        <v>3</v>
      </c>
    </row>
    <row r="4" spans="1:13" x14ac:dyDescent="0.3">
      <c r="A4" s="1" t="s">
        <v>249</v>
      </c>
      <c r="B4" s="1" t="s">
        <v>932</v>
      </c>
      <c r="C4" s="1">
        <f>ROUND(AVERAGEIF(표7[음식점 번호], 표3[[#This Row],[번호]], 표7[별점]), 1)</f>
        <v>3.8</v>
      </c>
      <c r="G4" s="1" t="s">
        <v>933</v>
      </c>
      <c r="I4" s="1"/>
      <c r="K4" s="1" t="s">
        <v>249</v>
      </c>
      <c r="L4" s="1" t="s">
        <v>932</v>
      </c>
      <c r="M4" s="1">
        <v>3.8</v>
      </c>
    </row>
    <row r="5" spans="1:13" x14ac:dyDescent="0.3">
      <c r="A5" s="1" t="s">
        <v>254</v>
      </c>
      <c r="B5" s="1" t="s">
        <v>933</v>
      </c>
      <c r="C5" s="1">
        <f>ROUND(AVERAGEIF(표7[음식점 번호], 표3[[#This Row],[번호]], 표7[별점]), 1)</f>
        <v>3</v>
      </c>
      <c r="G5" s="1" t="s">
        <v>934</v>
      </c>
      <c r="I5" s="1"/>
      <c r="K5" s="1" t="s">
        <v>254</v>
      </c>
      <c r="L5" s="1" t="s">
        <v>933</v>
      </c>
      <c r="M5" s="1">
        <v>3</v>
      </c>
    </row>
    <row r="6" spans="1:13" x14ac:dyDescent="0.3">
      <c r="A6" s="1" t="s">
        <v>259</v>
      </c>
      <c r="B6" s="1" t="s">
        <v>934</v>
      </c>
      <c r="C6" s="1">
        <f>ROUND(AVERAGEIF(표7[음식점 번호], 표3[[#This Row],[번호]], 표7[별점]), 1)</f>
        <v>4</v>
      </c>
      <c r="G6" s="1" t="s">
        <v>935</v>
      </c>
      <c r="I6" s="1"/>
      <c r="K6" s="1" t="s">
        <v>259</v>
      </c>
      <c r="L6" s="1" t="s">
        <v>934</v>
      </c>
      <c r="M6" s="1">
        <v>4</v>
      </c>
    </row>
    <row r="7" spans="1:13" x14ac:dyDescent="0.3">
      <c r="A7" s="1" t="s">
        <v>264</v>
      </c>
      <c r="B7" s="1" t="s">
        <v>935</v>
      </c>
      <c r="C7" s="1">
        <f>ROUND(AVERAGEIF(표7[음식점 번호], 표3[[#This Row],[번호]], 표7[별점]), 1)</f>
        <v>4</v>
      </c>
      <c r="G7" s="1" t="s">
        <v>936</v>
      </c>
      <c r="I7" s="1"/>
      <c r="K7" s="1" t="s">
        <v>264</v>
      </c>
      <c r="L7" s="1" t="s">
        <v>935</v>
      </c>
      <c r="M7" s="1">
        <v>4</v>
      </c>
    </row>
    <row r="8" spans="1:13" x14ac:dyDescent="0.3">
      <c r="A8" s="1" t="s">
        <v>269</v>
      </c>
      <c r="B8" s="1" t="s">
        <v>936</v>
      </c>
      <c r="C8" s="1">
        <f>ROUND(AVERAGEIF(표7[음식점 번호], 표3[[#This Row],[번호]], 표7[별점]), 1)</f>
        <v>4</v>
      </c>
      <c r="G8" s="1" t="s">
        <v>937</v>
      </c>
      <c r="I8" s="1"/>
      <c r="K8" s="1" t="s">
        <v>269</v>
      </c>
      <c r="L8" s="1" t="s">
        <v>936</v>
      </c>
      <c r="M8" s="1">
        <v>4</v>
      </c>
    </row>
    <row r="9" spans="1:13" x14ac:dyDescent="0.3">
      <c r="A9" s="1" t="s">
        <v>274</v>
      </c>
      <c r="B9" s="1" t="s">
        <v>937</v>
      </c>
      <c r="C9" s="1">
        <f>ROUND(AVERAGEIF(표7[음식점 번호], 표3[[#This Row],[번호]], 표7[별점]), 1)</f>
        <v>3</v>
      </c>
      <c r="G9" s="1" t="s">
        <v>938</v>
      </c>
      <c r="I9" s="1"/>
      <c r="K9" s="1" t="s">
        <v>274</v>
      </c>
      <c r="L9" s="1" t="s">
        <v>937</v>
      </c>
      <c r="M9" s="1">
        <v>3</v>
      </c>
    </row>
    <row r="10" spans="1:13" x14ac:dyDescent="0.3">
      <c r="A10" s="1" t="s">
        <v>279</v>
      </c>
      <c r="B10" s="1" t="s">
        <v>932</v>
      </c>
      <c r="C10" s="1">
        <f>ROUND(AVERAGEIF(표7[음식점 번호], 표3[[#This Row],[번호]], 표7[별점]), 1)</f>
        <v>2.2999999999999998</v>
      </c>
      <c r="G10" s="1" t="s">
        <v>939</v>
      </c>
      <c r="I10" s="1"/>
      <c r="K10" s="1" t="s">
        <v>279</v>
      </c>
      <c r="L10" s="1" t="s">
        <v>932</v>
      </c>
      <c r="M10" s="1">
        <v>2.2999999999999998</v>
      </c>
    </row>
    <row r="11" spans="1:13" x14ac:dyDescent="0.3">
      <c r="A11" s="1" t="s">
        <v>284</v>
      </c>
      <c r="B11" s="1" t="s">
        <v>936</v>
      </c>
      <c r="C11" s="1">
        <f>ROUND(AVERAGEIF(표7[음식점 번호], 표3[[#This Row],[번호]], 표7[별점]), 1)</f>
        <v>4</v>
      </c>
      <c r="G11" s="1" t="s">
        <v>940</v>
      </c>
      <c r="I11" s="1"/>
      <c r="K11" s="1" t="s">
        <v>284</v>
      </c>
      <c r="L11" s="1" t="s">
        <v>936</v>
      </c>
      <c r="M11" s="1">
        <v>4</v>
      </c>
    </row>
    <row r="12" spans="1:13" x14ac:dyDescent="0.3">
      <c r="A12" s="1" t="s">
        <v>289</v>
      </c>
      <c r="B12" s="1" t="s">
        <v>934</v>
      </c>
      <c r="C12" s="1">
        <f>ROUND(AVERAGEIF(표7[음식점 번호], 표3[[#This Row],[번호]], 표7[별점]), 1)</f>
        <v>3</v>
      </c>
      <c r="K12" s="1" t="s">
        <v>289</v>
      </c>
      <c r="L12" s="1" t="s">
        <v>934</v>
      </c>
      <c r="M12" s="1">
        <v>3</v>
      </c>
    </row>
    <row r="13" spans="1:13" x14ac:dyDescent="0.3">
      <c r="A13" s="1" t="s">
        <v>294</v>
      </c>
      <c r="B13" s="1" t="s">
        <v>937</v>
      </c>
      <c r="C13" s="1">
        <f>ROUND(AVERAGEIF(표7[음식점 번호], 표3[[#This Row],[번호]], 표7[별점]), 1)</f>
        <v>5</v>
      </c>
      <c r="K13" s="1" t="s">
        <v>294</v>
      </c>
      <c r="L13" s="1" t="s">
        <v>937</v>
      </c>
      <c r="M13" s="1">
        <v>5</v>
      </c>
    </row>
    <row r="14" spans="1:13" x14ac:dyDescent="0.3">
      <c r="A14" s="1" t="s">
        <v>299</v>
      </c>
      <c r="B14" s="1" t="s">
        <v>936</v>
      </c>
      <c r="C14" s="1">
        <f>ROUND(AVERAGEIF(표7[음식점 번호], 표3[[#This Row],[번호]], 표7[별점]), 1)</f>
        <v>1</v>
      </c>
      <c r="K14" s="1" t="s">
        <v>299</v>
      </c>
      <c r="L14" s="1" t="s">
        <v>936</v>
      </c>
      <c r="M14" s="1">
        <v>1</v>
      </c>
    </row>
    <row r="15" spans="1:13" x14ac:dyDescent="0.3">
      <c r="A15" s="1" t="s">
        <v>304</v>
      </c>
      <c r="B15" s="1" t="s">
        <v>937</v>
      </c>
      <c r="C15" s="1">
        <f>ROUND(AVERAGEIF(표7[음식점 번호], 표3[[#This Row],[번호]], 표7[별점]), 1)</f>
        <v>4</v>
      </c>
      <c r="K15" s="1" t="s">
        <v>304</v>
      </c>
      <c r="L15" s="1" t="s">
        <v>937</v>
      </c>
      <c r="M15" s="1">
        <v>4</v>
      </c>
    </row>
    <row r="16" spans="1:13" x14ac:dyDescent="0.3">
      <c r="A16" s="1" t="s">
        <v>309</v>
      </c>
      <c r="B16" s="1" t="s">
        <v>931</v>
      </c>
      <c r="C16" s="1">
        <f>ROUND(AVERAGEIF(표7[음식점 번호], 표3[[#This Row],[번호]], 표7[별점]), 1)</f>
        <v>1</v>
      </c>
      <c r="K16" s="1" t="s">
        <v>309</v>
      </c>
      <c r="L16" s="1" t="s">
        <v>931</v>
      </c>
      <c r="M16" s="1">
        <v>1</v>
      </c>
    </row>
    <row r="17" spans="1:13" x14ac:dyDescent="0.3">
      <c r="A17" s="1" t="s">
        <v>314</v>
      </c>
      <c r="B17" s="1" t="s">
        <v>938</v>
      </c>
      <c r="C17" s="1">
        <f>ROUND(AVERAGEIF(표7[음식점 번호], 표3[[#This Row],[번호]], 표7[별점]), 1)</f>
        <v>2</v>
      </c>
      <c r="K17" s="1" t="s">
        <v>314</v>
      </c>
      <c r="L17" s="1" t="s">
        <v>938</v>
      </c>
      <c r="M17" s="1">
        <v>2</v>
      </c>
    </row>
    <row r="18" spans="1:13" x14ac:dyDescent="0.3">
      <c r="A18" s="1" t="s">
        <v>319</v>
      </c>
      <c r="B18" s="1" t="s">
        <v>934</v>
      </c>
      <c r="C18" s="1">
        <f>ROUND(AVERAGEIF(표7[음식점 번호], 표3[[#This Row],[번호]], 표7[별점]), 1)</f>
        <v>1</v>
      </c>
      <c r="K18" s="1" t="s">
        <v>319</v>
      </c>
      <c r="L18" s="1" t="s">
        <v>934</v>
      </c>
      <c r="M18" s="1">
        <v>1</v>
      </c>
    </row>
    <row r="19" spans="1:13" x14ac:dyDescent="0.3">
      <c r="A19" s="1" t="s">
        <v>324</v>
      </c>
      <c r="B19" s="1" t="s">
        <v>936</v>
      </c>
      <c r="C19" s="1">
        <f>ROUND(AVERAGEIF(표7[음식점 번호], 표3[[#This Row],[번호]], 표7[별점]), 1)</f>
        <v>5</v>
      </c>
      <c r="K19" s="1" t="s">
        <v>324</v>
      </c>
      <c r="L19" s="1" t="s">
        <v>936</v>
      </c>
      <c r="M19" s="1">
        <v>5</v>
      </c>
    </row>
    <row r="20" spans="1:13" x14ac:dyDescent="0.3">
      <c r="A20" s="1" t="s">
        <v>329</v>
      </c>
      <c r="B20" s="1" t="s">
        <v>936</v>
      </c>
      <c r="C20" s="1">
        <f>ROUND(AVERAGEIF(표7[음식점 번호], 표3[[#This Row],[번호]], 표7[별점]), 1)</f>
        <v>3</v>
      </c>
      <c r="K20" s="1" t="s">
        <v>329</v>
      </c>
      <c r="L20" s="1" t="s">
        <v>936</v>
      </c>
      <c r="M20" s="1">
        <v>3</v>
      </c>
    </row>
    <row r="21" spans="1:13" x14ac:dyDescent="0.3">
      <c r="A21" s="1" t="s">
        <v>334</v>
      </c>
      <c r="B21" s="1" t="s">
        <v>934</v>
      </c>
      <c r="C21" s="1">
        <f>ROUND(AVERAGEIF(표7[음식점 번호], 표3[[#This Row],[번호]], 표7[별점]), 1)</f>
        <v>2</v>
      </c>
      <c r="K21" s="1" t="s">
        <v>334</v>
      </c>
      <c r="L21" s="1" t="s">
        <v>934</v>
      </c>
      <c r="M21" s="1">
        <v>2</v>
      </c>
    </row>
    <row r="22" spans="1:13" x14ac:dyDescent="0.3">
      <c r="A22" s="1" t="s">
        <v>339</v>
      </c>
      <c r="B22" s="1" t="s">
        <v>934</v>
      </c>
      <c r="C22" s="1">
        <f>ROUND(AVERAGEIF(표7[음식점 번호], 표3[[#This Row],[번호]], 표7[별점]), 1)</f>
        <v>5</v>
      </c>
      <c r="K22" s="1" t="s">
        <v>339</v>
      </c>
      <c r="L22" s="1" t="s">
        <v>934</v>
      </c>
      <c r="M22" s="1">
        <v>5</v>
      </c>
    </row>
    <row r="23" spans="1:13" x14ac:dyDescent="0.3">
      <c r="A23" s="1" t="s">
        <v>344</v>
      </c>
      <c r="B23" s="1" t="s">
        <v>935</v>
      </c>
      <c r="C23" s="1">
        <f>ROUND(AVERAGEIF(표7[음식점 번호], 표3[[#This Row],[번호]], 표7[별점]), 1)</f>
        <v>5</v>
      </c>
      <c r="K23" s="1" t="s">
        <v>344</v>
      </c>
      <c r="L23" s="1" t="s">
        <v>935</v>
      </c>
      <c r="M23" s="1">
        <v>5</v>
      </c>
    </row>
    <row r="24" spans="1:13" x14ac:dyDescent="0.3">
      <c r="A24" s="1" t="s">
        <v>349</v>
      </c>
      <c r="B24" s="1" t="s">
        <v>931</v>
      </c>
      <c r="C24" s="1">
        <f>ROUND(AVERAGEIF(표7[음식점 번호], 표3[[#This Row],[번호]], 표7[별점]), 1)</f>
        <v>2</v>
      </c>
      <c r="K24" s="1" t="s">
        <v>349</v>
      </c>
      <c r="L24" s="1" t="s">
        <v>931</v>
      </c>
      <c r="M24" s="1">
        <v>2</v>
      </c>
    </row>
    <row r="25" spans="1:13" x14ac:dyDescent="0.3">
      <c r="A25" s="1" t="s">
        <v>354</v>
      </c>
      <c r="B25" s="1" t="s">
        <v>931</v>
      </c>
      <c r="C25" s="1">
        <f>ROUND(AVERAGEIF(표7[음식점 번호], 표3[[#This Row],[번호]], 표7[별점]), 1)</f>
        <v>1</v>
      </c>
      <c r="K25" s="1" t="s">
        <v>354</v>
      </c>
      <c r="L25" s="1" t="s">
        <v>931</v>
      </c>
      <c r="M25" s="1">
        <v>1</v>
      </c>
    </row>
    <row r="26" spans="1:13" x14ac:dyDescent="0.3">
      <c r="A26" s="1" t="s">
        <v>359</v>
      </c>
      <c r="B26" s="1" t="s">
        <v>932</v>
      </c>
      <c r="C26" s="1">
        <f>ROUND(AVERAGEIF(표7[음식점 번호], 표3[[#This Row],[번호]], 표7[별점]), 1)</f>
        <v>3</v>
      </c>
      <c r="K26" s="1" t="s">
        <v>359</v>
      </c>
      <c r="L26" s="1" t="s">
        <v>932</v>
      </c>
      <c r="M26" s="1">
        <v>3</v>
      </c>
    </row>
    <row r="27" spans="1:13" x14ac:dyDescent="0.3">
      <c r="A27" s="1" t="s">
        <v>364</v>
      </c>
      <c r="B27" s="1" t="s">
        <v>934</v>
      </c>
      <c r="C27" s="1">
        <f>ROUND(AVERAGEIF(표7[음식점 번호], 표3[[#This Row],[번호]], 표7[별점]), 1)</f>
        <v>3.3</v>
      </c>
      <c r="K27" s="1" t="s">
        <v>364</v>
      </c>
      <c r="L27" s="1" t="s">
        <v>934</v>
      </c>
      <c r="M27" s="1">
        <v>3.3</v>
      </c>
    </row>
    <row r="28" spans="1:13" x14ac:dyDescent="0.3">
      <c r="A28" s="1" t="s">
        <v>369</v>
      </c>
      <c r="B28" s="1" t="s">
        <v>935</v>
      </c>
      <c r="C28" s="1">
        <f>ROUND(AVERAGEIF(표7[음식점 번호], 표3[[#This Row],[번호]], 표7[별점]), 1)</f>
        <v>1</v>
      </c>
      <c r="K28" s="1" t="s">
        <v>369</v>
      </c>
      <c r="L28" s="1" t="s">
        <v>935</v>
      </c>
      <c r="M28" s="1">
        <v>1</v>
      </c>
    </row>
    <row r="29" spans="1:13" x14ac:dyDescent="0.3">
      <c r="A29" s="1" t="s">
        <v>374</v>
      </c>
      <c r="B29" s="1" t="s">
        <v>931</v>
      </c>
      <c r="C29" s="1">
        <f>ROUND(AVERAGEIF(표7[음식점 번호], 표3[[#This Row],[번호]], 표7[별점]), 1)</f>
        <v>4</v>
      </c>
      <c r="K29" s="1" t="s">
        <v>374</v>
      </c>
      <c r="L29" s="1" t="s">
        <v>931</v>
      </c>
      <c r="M29" s="1">
        <v>4</v>
      </c>
    </row>
    <row r="30" spans="1:13" x14ac:dyDescent="0.3">
      <c r="A30" s="1" t="s">
        <v>379</v>
      </c>
      <c r="B30" s="1" t="s">
        <v>933</v>
      </c>
      <c r="C30" s="1">
        <f>ROUND(AVERAGEIF(표7[음식점 번호], 표3[[#This Row],[번호]], 표7[별점]), 1)</f>
        <v>2</v>
      </c>
      <c r="K30" s="1" t="s">
        <v>379</v>
      </c>
      <c r="L30" s="1" t="s">
        <v>933</v>
      </c>
      <c r="M30" s="1">
        <v>2</v>
      </c>
    </row>
    <row r="31" spans="1:13" x14ac:dyDescent="0.3">
      <c r="A31" s="1" t="s">
        <v>384</v>
      </c>
      <c r="B31" s="1" t="s">
        <v>931</v>
      </c>
      <c r="C31" s="1">
        <f>ROUND(AVERAGEIF(표7[음식점 번호], 표3[[#This Row],[번호]], 표7[별점]), 1)</f>
        <v>4</v>
      </c>
      <c r="K31" s="1" t="s">
        <v>384</v>
      </c>
      <c r="L31" s="1" t="s">
        <v>931</v>
      </c>
      <c r="M31" s="1">
        <v>4</v>
      </c>
    </row>
    <row r="32" spans="1:13" x14ac:dyDescent="0.3">
      <c r="A32" s="1" t="s">
        <v>389</v>
      </c>
      <c r="B32" s="1" t="s">
        <v>932</v>
      </c>
      <c r="C32" s="1">
        <f>ROUND(AVERAGEIF(표7[음식점 번호], 표3[[#This Row],[번호]], 표7[별점]), 1)</f>
        <v>3</v>
      </c>
      <c r="K32" s="1" t="s">
        <v>389</v>
      </c>
      <c r="L32" s="1" t="s">
        <v>932</v>
      </c>
      <c r="M32" s="1">
        <v>3</v>
      </c>
    </row>
    <row r="33" spans="1:13" x14ac:dyDescent="0.3">
      <c r="A33" s="1" t="s">
        <v>394</v>
      </c>
      <c r="B33" s="1" t="s">
        <v>939</v>
      </c>
      <c r="C33" s="1">
        <f>ROUND(AVERAGEIF(표7[음식점 번호], 표3[[#This Row],[번호]], 표7[별점]), 1)</f>
        <v>1</v>
      </c>
      <c r="K33" s="1" t="s">
        <v>394</v>
      </c>
      <c r="L33" s="1" t="s">
        <v>939</v>
      </c>
      <c r="M33" s="1">
        <v>1</v>
      </c>
    </row>
    <row r="34" spans="1:13" x14ac:dyDescent="0.3">
      <c r="A34" s="1" t="s">
        <v>399</v>
      </c>
      <c r="B34" s="1" t="s">
        <v>938</v>
      </c>
      <c r="C34" s="1">
        <f>ROUND(AVERAGEIF(표7[음식점 번호], 표3[[#This Row],[번호]], 표7[별점]), 1)</f>
        <v>1</v>
      </c>
      <c r="K34" s="1" t="s">
        <v>399</v>
      </c>
      <c r="L34" s="1" t="s">
        <v>938</v>
      </c>
      <c r="M34" s="1">
        <v>1</v>
      </c>
    </row>
    <row r="35" spans="1:13" x14ac:dyDescent="0.3">
      <c r="A35" s="1" t="s">
        <v>404</v>
      </c>
      <c r="B35" s="1" t="s">
        <v>939</v>
      </c>
      <c r="C35" s="1">
        <f>ROUND(AVERAGEIF(표7[음식점 번호], 표3[[#This Row],[번호]], 표7[별점]), 1)</f>
        <v>4</v>
      </c>
      <c r="K35" s="1" t="s">
        <v>404</v>
      </c>
      <c r="L35" s="1" t="s">
        <v>939</v>
      </c>
      <c r="M35" s="1">
        <v>4</v>
      </c>
    </row>
    <row r="36" spans="1:13" x14ac:dyDescent="0.3">
      <c r="A36" s="1" t="s">
        <v>409</v>
      </c>
      <c r="B36" s="1" t="s">
        <v>939</v>
      </c>
      <c r="C36" s="1">
        <f>ROUND(AVERAGEIF(표7[음식점 번호], 표3[[#This Row],[번호]], 표7[별점]), 1)</f>
        <v>5</v>
      </c>
      <c r="K36" s="1" t="s">
        <v>409</v>
      </c>
      <c r="L36" s="1" t="s">
        <v>939</v>
      </c>
      <c r="M36" s="1">
        <v>5</v>
      </c>
    </row>
    <row r="37" spans="1:13" x14ac:dyDescent="0.3">
      <c r="A37" s="1" t="s">
        <v>414</v>
      </c>
      <c r="B37" s="1" t="s">
        <v>940</v>
      </c>
      <c r="C37" s="1">
        <f>ROUND(AVERAGEIF(표7[음식점 번호], 표3[[#This Row],[번호]], 표7[별점]), 1)</f>
        <v>4</v>
      </c>
      <c r="K37" s="1" t="s">
        <v>414</v>
      </c>
      <c r="L37" s="1" t="s">
        <v>940</v>
      </c>
      <c r="M37" s="1">
        <v>4</v>
      </c>
    </row>
    <row r="38" spans="1:13" x14ac:dyDescent="0.3">
      <c r="A38" s="1" t="s">
        <v>419</v>
      </c>
      <c r="B38" s="1" t="s">
        <v>936</v>
      </c>
      <c r="C38" s="1">
        <f>ROUND(AVERAGEIF(표7[음식점 번호], 표3[[#This Row],[번호]], 표7[별점]), 1)</f>
        <v>2</v>
      </c>
      <c r="K38" s="1" t="s">
        <v>419</v>
      </c>
      <c r="L38" s="1" t="s">
        <v>936</v>
      </c>
      <c r="M38" s="1">
        <v>2</v>
      </c>
    </row>
    <row r="39" spans="1:13" x14ac:dyDescent="0.3">
      <c r="A39" s="1" t="s">
        <v>424</v>
      </c>
      <c r="B39" s="1" t="s">
        <v>936</v>
      </c>
      <c r="C39" s="1">
        <f>ROUND(AVERAGEIF(표7[음식점 번호], 표3[[#This Row],[번호]], 표7[별점]), 1)</f>
        <v>2</v>
      </c>
      <c r="K39" s="1" t="s">
        <v>424</v>
      </c>
      <c r="L39" s="1" t="s">
        <v>936</v>
      </c>
      <c r="M39" s="1">
        <v>2</v>
      </c>
    </row>
    <row r="40" spans="1:13" x14ac:dyDescent="0.3">
      <c r="A40" s="1" t="s">
        <v>429</v>
      </c>
      <c r="B40" s="1" t="s">
        <v>940</v>
      </c>
      <c r="C40" s="1">
        <f>ROUND(AVERAGEIF(표7[음식점 번호], 표3[[#This Row],[번호]], 표7[별점]), 1)</f>
        <v>5</v>
      </c>
      <c r="K40" s="1" t="s">
        <v>429</v>
      </c>
      <c r="L40" s="1" t="s">
        <v>940</v>
      </c>
      <c r="M40" s="1">
        <v>5</v>
      </c>
    </row>
    <row r="41" spans="1:13" x14ac:dyDescent="0.3">
      <c r="A41" s="1" t="s">
        <v>434</v>
      </c>
      <c r="B41" s="1" t="s">
        <v>936</v>
      </c>
      <c r="C41" s="1">
        <f>ROUND(AVERAGEIF(표7[음식점 번호], 표3[[#This Row],[번호]], 표7[별점]), 1)</f>
        <v>1</v>
      </c>
      <c r="K41" s="1" t="s">
        <v>434</v>
      </c>
      <c r="L41" s="1" t="s">
        <v>936</v>
      </c>
      <c r="M41" s="1">
        <v>1</v>
      </c>
    </row>
    <row r="42" spans="1:13" x14ac:dyDescent="0.3">
      <c r="A42" s="1" t="s">
        <v>439</v>
      </c>
      <c r="B42" s="1" t="s">
        <v>935</v>
      </c>
      <c r="C42" s="1">
        <f>ROUND(AVERAGEIF(표7[음식점 번호], 표3[[#This Row],[번호]], 표7[별점]), 1)</f>
        <v>3.5</v>
      </c>
      <c r="K42" s="1" t="s">
        <v>439</v>
      </c>
      <c r="L42" s="1" t="s">
        <v>935</v>
      </c>
      <c r="M42" s="1">
        <v>3.5</v>
      </c>
    </row>
    <row r="43" spans="1:13" x14ac:dyDescent="0.3">
      <c r="A43" s="1" t="s">
        <v>444</v>
      </c>
      <c r="B43" s="1" t="s">
        <v>936</v>
      </c>
      <c r="C43" s="1">
        <f>ROUND(AVERAGEIF(표7[음식점 번호], 표3[[#This Row],[번호]], 표7[별점]), 1)</f>
        <v>4</v>
      </c>
      <c r="K43" s="1" t="s">
        <v>444</v>
      </c>
      <c r="L43" s="1" t="s">
        <v>936</v>
      </c>
      <c r="M43" s="1">
        <v>4</v>
      </c>
    </row>
    <row r="44" spans="1:13" x14ac:dyDescent="0.3">
      <c r="A44" s="1" t="s">
        <v>449</v>
      </c>
      <c r="B44" s="1" t="s">
        <v>934</v>
      </c>
      <c r="C44" s="1">
        <f>ROUND(AVERAGEIF(표7[음식점 번호], 표3[[#This Row],[번호]], 표7[별점]), 1)</f>
        <v>1</v>
      </c>
      <c r="K44" s="1" t="s">
        <v>449</v>
      </c>
      <c r="L44" s="1" t="s">
        <v>934</v>
      </c>
      <c r="M44" s="1">
        <v>1</v>
      </c>
    </row>
    <row r="45" spans="1:13" x14ac:dyDescent="0.3">
      <c r="A45" s="1" t="s">
        <v>454</v>
      </c>
      <c r="B45" s="1" t="s">
        <v>939</v>
      </c>
      <c r="C45" s="1">
        <f>ROUND(AVERAGEIF(표7[음식점 번호], 표3[[#This Row],[번호]], 표7[별점]), 1)</f>
        <v>1</v>
      </c>
      <c r="K45" s="1" t="s">
        <v>454</v>
      </c>
      <c r="L45" s="1" t="s">
        <v>939</v>
      </c>
      <c r="M45" s="1">
        <v>1</v>
      </c>
    </row>
    <row r="46" spans="1:13" x14ac:dyDescent="0.3">
      <c r="A46" s="1" t="s">
        <v>459</v>
      </c>
      <c r="B46" s="1" t="s">
        <v>931</v>
      </c>
      <c r="C46" s="1">
        <f>ROUND(AVERAGEIF(표7[음식점 번호], 표3[[#This Row],[번호]], 표7[별점]), 1)</f>
        <v>5</v>
      </c>
      <c r="K46" s="1" t="s">
        <v>459</v>
      </c>
      <c r="L46" s="1" t="s">
        <v>931</v>
      </c>
      <c r="M46" s="1">
        <v>5</v>
      </c>
    </row>
    <row r="47" spans="1:13" x14ac:dyDescent="0.3">
      <c r="A47" s="1" t="s">
        <v>464</v>
      </c>
      <c r="B47" s="1" t="s">
        <v>931</v>
      </c>
      <c r="C47" s="1">
        <f>ROUND(AVERAGEIF(표7[음식점 번호], 표3[[#This Row],[번호]], 표7[별점]), 1)</f>
        <v>5</v>
      </c>
      <c r="K47" s="1" t="s">
        <v>464</v>
      </c>
      <c r="L47" s="1" t="s">
        <v>931</v>
      </c>
      <c r="M47" s="1">
        <v>5</v>
      </c>
    </row>
    <row r="48" spans="1:13" x14ac:dyDescent="0.3">
      <c r="A48" s="1" t="s">
        <v>469</v>
      </c>
      <c r="B48" s="1" t="s">
        <v>931</v>
      </c>
      <c r="C48" s="1">
        <f>ROUND(AVERAGEIF(표7[음식점 번호], 표3[[#This Row],[번호]], 표7[별점]), 1)</f>
        <v>3.3</v>
      </c>
      <c r="K48" s="1" t="s">
        <v>469</v>
      </c>
      <c r="L48" s="1" t="s">
        <v>931</v>
      </c>
      <c r="M48" s="1">
        <v>3.3</v>
      </c>
    </row>
    <row r="49" spans="1:13" x14ac:dyDescent="0.3">
      <c r="A49" s="1" t="s">
        <v>474</v>
      </c>
      <c r="B49" s="1" t="s">
        <v>940</v>
      </c>
      <c r="C49" s="1">
        <f>ROUND(AVERAGEIF(표7[음식점 번호], 표3[[#This Row],[번호]], 표7[별점]), 1)</f>
        <v>5</v>
      </c>
      <c r="K49" s="1" t="s">
        <v>474</v>
      </c>
      <c r="L49" s="1" t="s">
        <v>940</v>
      </c>
      <c r="M49" s="1">
        <v>5</v>
      </c>
    </row>
    <row r="50" spans="1:13" x14ac:dyDescent="0.3">
      <c r="A50" s="1" t="s">
        <v>479</v>
      </c>
      <c r="B50" s="1" t="s">
        <v>931</v>
      </c>
      <c r="C50" s="1">
        <f>ROUND(AVERAGEIF(표7[음식점 번호], 표3[[#This Row],[번호]], 표7[별점]), 1)</f>
        <v>1</v>
      </c>
      <c r="K50" s="1" t="s">
        <v>479</v>
      </c>
      <c r="L50" s="1" t="s">
        <v>931</v>
      </c>
      <c r="M50" s="1">
        <v>1</v>
      </c>
    </row>
    <row r="51" spans="1:13" x14ac:dyDescent="0.3">
      <c r="A51" s="1" t="s">
        <v>484</v>
      </c>
      <c r="B51" s="1" t="s">
        <v>931</v>
      </c>
      <c r="C51" s="1">
        <f>ROUND(AVERAGEIF(표7[음식점 번호], 표3[[#This Row],[번호]], 표7[별점]), 1)</f>
        <v>4</v>
      </c>
      <c r="K51" s="1" t="s">
        <v>484</v>
      </c>
      <c r="L51" s="1" t="s">
        <v>931</v>
      </c>
      <c r="M51" s="1">
        <v>4</v>
      </c>
    </row>
    <row r="52" spans="1:13" x14ac:dyDescent="0.3">
      <c r="A52" s="1" t="s">
        <v>489</v>
      </c>
      <c r="B52" s="1" t="s">
        <v>934</v>
      </c>
      <c r="C52" s="1">
        <f>ROUND(AVERAGEIF(표7[음식점 번호], 표3[[#This Row],[번호]], 표7[별점]), 1)</f>
        <v>2</v>
      </c>
      <c r="K52" s="1" t="s">
        <v>489</v>
      </c>
      <c r="L52" s="1" t="s">
        <v>934</v>
      </c>
      <c r="M52" s="1">
        <v>2</v>
      </c>
    </row>
    <row r="53" spans="1:13" x14ac:dyDescent="0.3">
      <c r="A53" s="1" t="s">
        <v>494</v>
      </c>
      <c r="B53" s="1" t="s">
        <v>934</v>
      </c>
      <c r="C53" s="1">
        <f>ROUND(AVERAGEIF(표7[음식점 번호], 표3[[#This Row],[번호]], 표7[별점]), 1)</f>
        <v>2</v>
      </c>
      <c r="K53" s="1" t="s">
        <v>494</v>
      </c>
      <c r="L53" s="1" t="s">
        <v>934</v>
      </c>
      <c r="M53" s="1">
        <v>2</v>
      </c>
    </row>
    <row r="54" spans="1:13" x14ac:dyDescent="0.3">
      <c r="A54" s="1" t="s">
        <v>499</v>
      </c>
      <c r="B54" s="1" t="s">
        <v>940</v>
      </c>
      <c r="C54" s="1">
        <f>ROUND(AVERAGEIF(표7[음식점 번호], 표3[[#This Row],[번호]], 표7[별점]), 1)</f>
        <v>5</v>
      </c>
      <c r="K54" s="1" t="s">
        <v>499</v>
      </c>
      <c r="L54" s="1" t="s">
        <v>940</v>
      </c>
      <c r="M54" s="1">
        <v>5</v>
      </c>
    </row>
    <row r="55" spans="1:13" x14ac:dyDescent="0.3">
      <c r="A55" s="1" t="s">
        <v>504</v>
      </c>
      <c r="B55" s="1" t="s">
        <v>939</v>
      </c>
      <c r="C55" s="1">
        <f>ROUND(AVERAGEIF(표7[음식점 번호], 표3[[#This Row],[번호]], 표7[별점]), 1)</f>
        <v>4</v>
      </c>
      <c r="K55" s="1" t="s">
        <v>504</v>
      </c>
      <c r="L55" s="1" t="s">
        <v>939</v>
      </c>
      <c r="M55" s="1">
        <v>4</v>
      </c>
    </row>
    <row r="56" spans="1:13" x14ac:dyDescent="0.3">
      <c r="A56" s="1" t="s">
        <v>509</v>
      </c>
      <c r="B56" s="1" t="s">
        <v>934</v>
      </c>
      <c r="C56" s="1">
        <f>ROUND(AVERAGEIF(표7[음식점 번호], 표3[[#This Row],[번호]], 표7[별점]), 1)</f>
        <v>4</v>
      </c>
      <c r="K56" s="1" t="s">
        <v>509</v>
      </c>
      <c r="L56" s="1" t="s">
        <v>934</v>
      </c>
      <c r="M56" s="1">
        <v>4</v>
      </c>
    </row>
    <row r="57" spans="1:13" x14ac:dyDescent="0.3">
      <c r="A57" s="1" t="s">
        <v>514</v>
      </c>
      <c r="B57" s="1" t="s">
        <v>936</v>
      </c>
      <c r="C57" s="1">
        <f>ROUND(AVERAGEIF(표7[음식점 번호], 표3[[#This Row],[번호]], 표7[별점]), 1)</f>
        <v>2</v>
      </c>
      <c r="K57" s="1" t="s">
        <v>514</v>
      </c>
      <c r="L57" s="1" t="s">
        <v>936</v>
      </c>
      <c r="M57" s="1">
        <v>2</v>
      </c>
    </row>
    <row r="58" spans="1:13" x14ac:dyDescent="0.3">
      <c r="A58" s="1" t="s">
        <v>519</v>
      </c>
      <c r="B58" s="1" t="s">
        <v>931</v>
      </c>
      <c r="C58" s="1">
        <f>ROUND(AVERAGEIF(표7[음식점 번호], 표3[[#This Row],[번호]], 표7[별점]), 1)</f>
        <v>4</v>
      </c>
      <c r="K58" s="1" t="s">
        <v>519</v>
      </c>
      <c r="L58" s="1" t="s">
        <v>931</v>
      </c>
      <c r="M58" s="1">
        <v>4</v>
      </c>
    </row>
    <row r="59" spans="1:13" x14ac:dyDescent="0.3">
      <c r="A59" s="1" t="s">
        <v>524</v>
      </c>
      <c r="B59" s="1" t="s">
        <v>932</v>
      </c>
      <c r="C59" s="1">
        <f>ROUND(AVERAGEIF(표7[음식점 번호], 표3[[#This Row],[번호]], 표7[별점]), 1)</f>
        <v>1</v>
      </c>
      <c r="K59" s="1" t="s">
        <v>524</v>
      </c>
      <c r="L59" s="1" t="s">
        <v>932</v>
      </c>
      <c r="M59" s="1">
        <v>1</v>
      </c>
    </row>
    <row r="60" spans="1:13" x14ac:dyDescent="0.3">
      <c r="A60" s="1" t="s">
        <v>529</v>
      </c>
      <c r="B60" s="1" t="s">
        <v>939</v>
      </c>
      <c r="C60" s="1">
        <f>ROUND(AVERAGEIF(표7[음식점 번호], 표3[[#This Row],[번호]], 표7[별점]), 1)</f>
        <v>4</v>
      </c>
      <c r="K60" s="1" t="s">
        <v>529</v>
      </c>
      <c r="L60" s="1" t="s">
        <v>939</v>
      </c>
      <c r="M60" s="1">
        <v>4</v>
      </c>
    </row>
    <row r="61" spans="1:13" x14ac:dyDescent="0.3">
      <c r="A61" s="1" t="s">
        <v>534</v>
      </c>
      <c r="B61" s="1" t="s">
        <v>931</v>
      </c>
      <c r="C61" s="1">
        <f>ROUND(AVERAGEIF(표7[음식점 번호], 표3[[#This Row],[번호]], 표7[별점]), 1)</f>
        <v>5</v>
      </c>
      <c r="K61" s="1" t="s">
        <v>534</v>
      </c>
      <c r="L61" s="1" t="s">
        <v>931</v>
      </c>
      <c r="M61" s="1">
        <v>5</v>
      </c>
    </row>
    <row r="62" spans="1:13" x14ac:dyDescent="0.3">
      <c r="A62" s="1" t="s">
        <v>539</v>
      </c>
      <c r="B62" s="1" t="s">
        <v>934</v>
      </c>
      <c r="C62" s="1">
        <f>ROUND(AVERAGEIF(표7[음식점 번호], 표3[[#This Row],[번호]], 표7[별점]), 1)</f>
        <v>3</v>
      </c>
      <c r="K62" s="1" t="s">
        <v>539</v>
      </c>
      <c r="L62" s="1" t="s">
        <v>934</v>
      </c>
      <c r="M62" s="1">
        <v>3</v>
      </c>
    </row>
    <row r="63" spans="1:13" x14ac:dyDescent="0.3">
      <c r="A63" s="1" t="s">
        <v>544</v>
      </c>
      <c r="B63" s="1" t="s">
        <v>936</v>
      </c>
      <c r="C63" s="1">
        <f>ROUND(AVERAGEIF(표7[음식점 번호], 표3[[#This Row],[번호]], 표7[별점]), 1)</f>
        <v>2.5</v>
      </c>
      <c r="K63" s="1" t="s">
        <v>544</v>
      </c>
      <c r="L63" s="1" t="s">
        <v>936</v>
      </c>
      <c r="M63" s="1">
        <v>2.5</v>
      </c>
    </row>
    <row r="64" spans="1:13" x14ac:dyDescent="0.3">
      <c r="A64" s="1" t="s">
        <v>549</v>
      </c>
      <c r="B64" s="1" t="s">
        <v>934</v>
      </c>
      <c r="C64" s="1">
        <f>ROUND(AVERAGEIF(표7[음식점 번호], 표3[[#This Row],[번호]], 표7[별점]), 1)</f>
        <v>5</v>
      </c>
      <c r="K64" s="1" t="s">
        <v>549</v>
      </c>
      <c r="L64" s="1" t="s">
        <v>934</v>
      </c>
      <c r="M64" s="1">
        <v>5</v>
      </c>
    </row>
    <row r="65" spans="1:13" x14ac:dyDescent="0.3">
      <c r="A65" s="1" t="s">
        <v>554</v>
      </c>
      <c r="B65" s="1" t="s">
        <v>937</v>
      </c>
      <c r="C65" s="1">
        <f>ROUND(AVERAGEIF(표7[음식점 번호], 표3[[#This Row],[번호]], 표7[별점]), 1)</f>
        <v>1</v>
      </c>
      <c r="K65" s="1" t="s">
        <v>554</v>
      </c>
      <c r="L65" s="1" t="s">
        <v>937</v>
      </c>
      <c r="M65" s="1">
        <v>1</v>
      </c>
    </row>
    <row r="66" spans="1:13" x14ac:dyDescent="0.3">
      <c r="A66" s="1" t="s">
        <v>559</v>
      </c>
      <c r="B66" s="1" t="s">
        <v>931</v>
      </c>
      <c r="C66" s="1">
        <f>ROUND(AVERAGEIF(표7[음식점 번호], 표3[[#This Row],[번호]], 표7[별점]), 1)</f>
        <v>5</v>
      </c>
      <c r="K66" s="1" t="s">
        <v>559</v>
      </c>
      <c r="L66" s="1" t="s">
        <v>931</v>
      </c>
      <c r="M66" s="1">
        <v>5</v>
      </c>
    </row>
    <row r="67" spans="1:13" x14ac:dyDescent="0.3">
      <c r="A67" s="1" t="s">
        <v>564</v>
      </c>
      <c r="B67" s="1" t="s">
        <v>934</v>
      </c>
      <c r="C67" s="1">
        <f>ROUND(AVERAGEIF(표7[음식점 번호], 표3[[#This Row],[번호]], 표7[별점]), 1)</f>
        <v>3</v>
      </c>
      <c r="K67" s="1" t="s">
        <v>564</v>
      </c>
      <c r="L67" s="1" t="s">
        <v>934</v>
      </c>
      <c r="M67" s="1">
        <v>3</v>
      </c>
    </row>
    <row r="68" spans="1:13" x14ac:dyDescent="0.3">
      <c r="A68" s="1" t="s">
        <v>569</v>
      </c>
      <c r="B68" s="1" t="s">
        <v>934</v>
      </c>
      <c r="C68" s="1">
        <f>ROUND(AVERAGEIF(표7[음식점 번호], 표3[[#This Row],[번호]], 표7[별점]), 1)</f>
        <v>2</v>
      </c>
      <c r="K68" s="1" t="s">
        <v>569</v>
      </c>
      <c r="L68" s="1" t="s">
        <v>934</v>
      </c>
      <c r="M68" s="1">
        <v>2</v>
      </c>
    </row>
    <row r="69" spans="1:13" x14ac:dyDescent="0.3">
      <c r="A69" s="1" t="s">
        <v>574</v>
      </c>
      <c r="B69" s="1" t="s">
        <v>934</v>
      </c>
      <c r="C69" s="1">
        <f>ROUND(AVERAGEIF(표7[음식점 번호], 표3[[#This Row],[번호]], 표7[별점]), 1)</f>
        <v>5</v>
      </c>
      <c r="K69" s="1" t="s">
        <v>574</v>
      </c>
      <c r="L69" s="1" t="s">
        <v>934</v>
      </c>
      <c r="M69" s="1">
        <v>5</v>
      </c>
    </row>
    <row r="70" spans="1:13" x14ac:dyDescent="0.3">
      <c r="A70" s="1" t="s">
        <v>579</v>
      </c>
      <c r="B70" s="1" t="s">
        <v>936</v>
      </c>
      <c r="C70" s="1">
        <f>ROUND(AVERAGEIF(표7[음식점 번호], 표3[[#This Row],[번호]], 표7[별점]), 1)</f>
        <v>3</v>
      </c>
      <c r="K70" s="1" t="s">
        <v>579</v>
      </c>
      <c r="L70" s="1" t="s">
        <v>936</v>
      </c>
      <c r="M70" s="1">
        <v>3</v>
      </c>
    </row>
    <row r="71" spans="1:13" x14ac:dyDescent="0.3">
      <c r="A71" s="1" t="s">
        <v>584</v>
      </c>
      <c r="B71" s="1" t="s">
        <v>931</v>
      </c>
      <c r="C71" s="1">
        <f>ROUND(AVERAGEIF(표7[음식점 번호], 표3[[#This Row],[번호]], 표7[별점]), 1)</f>
        <v>2</v>
      </c>
      <c r="K71" s="1" t="s">
        <v>584</v>
      </c>
      <c r="L71" s="1" t="s">
        <v>931</v>
      </c>
      <c r="M71" s="1">
        <v>2</v>
      </c>
    </row>
    <row r="72" spans="1:13" x14ac:dyDescent="0.3">
      <c r="A72" s="1" t="s">
        <v>589</v>
      </c>
      <c r="B72" s="1" t="s">
        <v>936</v>
      </c>
      <c r="C72" s="1">
        <f>ROUND(AVERAGEIF(표7[음식점 번호], 표3[[#This Row],[번호]], 표7[별점]), 1)</f>
        <v>2</v>
      </c>
      <c r="K72" s="1" t="s">
        <v>589</v>
      </c>
      <c r="L72" s="1" t="s">
        <v>936</v>
      </c>
      <c r="M72" s="1">
        <v>2</v>
      </c>
    </row>
    <row r="73" spans="1:13" x14ac:dyDescent="0.3">
      <c r="A73" s="1" t="s">
        <v>594</v>
      </c>
      <c r="B73" s="1" t="s">
        <v>936</v>
      </c>
      <c r="C73" s="1">
        <f>ROUND(AVERAGEIF(표7[음식점 번호], 표3[[#This Row],[번호]], 표7[별점]), 1)</f>
        <v>5</v>
      </c>
      <c r="K73" s="1" t="s">
        <v>594</v>
      </c>
      <c r="L73" s="1" t="s">
        <v>936</v>
      </c>
      <c r="M73" s="1">
        <v>5</v>
      </c>
    </row>
    <row r="74" spans="1:13" x14ac:dyDescent="0.3">
      <c r="A74" s="1" t="s">
        <v>599</v>
      </c>
      <c r="B74" s="1" t="s">
        <v>931</v>
      </c>
      <c r="C74" s="1">
        <f>ROUND(AVERAGEIF(표7[음식점 번호], 표3[[#This Row],[번호]], 표7[별점]), 1)</f>
        <v>5</v>
      </c>
      <c r="K74" s="1" t="s">
        <v>599</v>
      </c>
      <c r="L74" s="1" t="s">
        <v>931</v>
      </c>
      <c r="M74" s="1">
        <v>5</v>
      </c>
    </row>
    <row r="75" spans="1:13" x14ac:dyDescent="0.3">
      <c r="A75" s="1" t="s">
        <v>604</v>
      </c>
      <c r="B75" s="1" t="s">
        <v>934</v>
      </c>
      <c r="C75" s="1">
        <f>ROUND(AVERAGEIF(표7[음식점 번호], 표3[[#This Row],[번호]], 표7[별점]), 1)</f>
        <v>4</v>
      </c>
      <c r="K75" s="1" t="s">
        <v>604</v>
      </c>
      <c r="L75" s="1" t="s">
        <v>934</v>
      </c>
      <c r="M75" s="1">
        <v>4</v>
      </c>
    </row>
    <row r="76" spans="1:13" x14ac:dyDescent="0.3">
      <c r="A76" s="1" t="s">
        <v>609</v>
      </c>
      <c r="B76" s="1" t="s">
        <v>939</v>
      </c>
      <c r="C76" s="1">
        <f>ROUND(AVERAGEIF(표7[음식점 번호], 표3[[#This Row],[번호]], 표7[별점]), 1)</f>
        <v>3</v>
      </c>
      <c r="K76" s="1" t="s">
        <v>609</v>
      </c>
      <c r="L76" s="1" t="s">
        <v>939</v>
      </c>
      <c r="M76" s="1">
        <v>3</v>
      </c>
    </row>
    <row r="77" spans="1:13" x14ac:dyDescent="0.3">
      <c r="A77" s="1" t="s">
        <v>614</v>
      </c>
      <c r="B77" s="1" t="s">
        <v>931</v>
      </c>
      <c r="C77" s="1">
        <f>ROUND(AVERAGEIF(표7[음식점 번호], 표3[[#This Row],[번호]], 표7[별점]), 1)</f>
        <v>1</v>
      </c>
      <c r="K77" s="1" t="s">
        <v>614</v>
      </c>
      <c r="L77" s="1" t="s">
        <v>931</v>
      </c>
      <c r="M77" s="1">
        <v>1</v>
      </c>
    </row>
    <row r="78" spans="1:13" x14ac:dyDescent="0.3">
      <c r="A78" s="1" t="s">
        <v>619</v>
      </c>
      <c r="B78" s="1" t="s">
        <v>931</v>
      </c>
      <c r="C78" s="1">
        <f>ROUND(AVERAGEIF(표7[음식점 번호], 표3[[#This Row],[번호]], 표7[별점]), 1)</f>
        <v>5</v>
      </c>
      <c r="K78" s="1" t="s">
        <v>619</v>
      </c>
      <c r="L78" s="1" t="s">
        <v>931</v>
      </c>
      <c r="M78" s="1">
        <v>5</v>
      </c>
    </row>
    <row r="79" spans="1:13" x14ac:dyDescent="0.3">
      <c r="A79" s="1" t="s">
        <v>624</v>
      </c>
      <c r="B79" s="1" t="s">
        <v>931</v>
      </c>
      <c r="C79" s="1">
        <f>ROUND(AVERAGEIF(표7[음식점 번호], 표3[[#This Row],[번호]], 표7[별점]), 1)</f>
        <v>4</v>
      </c>
      <c r="K79" s="1" t="s">
        <v>624</v>
      </c>
      <c r="L79" s="1" t="s">
        <v>931</v>
      </c>
      <c r="M79" s="1">
        <v>4</v>
      </c>
    </row>
    <row r="80" spans="1:13" x14ac:dyDescent="0.3">
      <c r="A80" s="1" t="s">
        <v>629</v>
      </c>
      <c r="B80" s="1" t="s">
        <v>933</v>
      </c>
      <c r="C80" s="1">
        <f>ROUND(AVERAGEIF(표7[음식점 번호], 표3[[#This Row],[번호]], 표7[별점]), 1)</f>
        <v>3</v>
      </c>
      <c r="K80" s="1" t="s">
        <v>629</v>
      </c>
      <c r="L80" s="1" t="s">
        <v>933</v>
      </c>
      <c r="M80" s="1">
        <v>3</v>
      </c>
    </row>
    <row r="81" spans="1:13" x14ac:dyDescent="0.3">
      <c r="A81" s="1" t="s">
        <v>634</v>
      </c>
      <c r="B81" s="1" t="s">
        <v>934</v>
      </c>
      <c r="C81" s="1">
        <f>ROUND(AVERAGEIF(표7[음식점 번호], 표3[[#This Row],[번호]], 표7[별점]), 1)</f>
        <v>5</v>
      </c>
      <c r="K81" s="1" t="s">
        <v>634</v>
      </c>
      <c r="L81" s="1" t="s">
        <v>934</v>
      </c>
      <c r="M81" s="1">
        <v>5</v>
      </c>
    </row>
    <row r="82" spans="1:13" x14ac:dyDescent="0.3">
      <c r="A82" s="1" t="s">
        <v>639</v>
      </c>
      <c r="B82" s="1" t="s">
        <v>931</v>
      </c>
      <c r="C82" s="1">
        <f>ROUND(AVERAGEIF(표7[음식점 번호], 표3[[#This Row],[번호]], 표7[별점]), 1)</f>
        <v>1</v>
      </c>
      <c r="K82" s="1" t="s">
        <v>639</v>
      </c>
      <c r="L82" s="1" t="s">
        <v>931</v>
      </c>
      <c r="M82" s="1">
        <v>1</v>
      </c>
    </row>
    <row r="83" spans="1:13" x14ac:dyDescent="0.3">
      <c r="A83" s="1" t="s">
        <v>644</v>
      </c>
      <c r="B83" s="1" t="s">
        <v>936</v>
      </c>
      <c r="C83" s="1">
        <f>ROUND(AVERAGEIF(표7[음식점 번호], 표3[[#This Row],[번호]], 표7[별점]), 1)</f>
        <v>2</v>
      </c>
      <c r="K83" s="1" t="s">
        <v>644</v>
      </c>
      <c r="L83" s="1" t="s">
        <v>936</v>
      </c>
      <c r="M83" s="1">
        <v>2</v>
      </c>
    </row>
    <row r="84" spans="1:13" x14ac:dyDescent="0.3">
      <c r="A84" s="1" t="s">
        <v>649</v>
      </c>
      <c r="B84" s="1" t="s">
        <v>932</v>
      </c>
      <c r="C84" s="1">
        <f>ROUND(AVERAGEIF(표7[음식점 번호], 표3[[#This Row],[번호]], 표7[별점]), 1)</f>
        <v>1</v>
      </c>
      <c r="K84" s="1" t="s">
        <v>649</v>
      </c>
      <c r="L84" s="1" t="s">
        <v>932</v>
      </c>
      <c r="M84" s="1">
        <v>1</v>
      </c>
    </row>
    <row r="85" spans="1:13" x14ac:dyDescent="0.3">
      <c r="A85" s="1" t="s">
        <v>654</v>
      </c>
      <c r="B85" s="1" t="s">
        <v>934</v>
      </c>
      <c r="C85" s="1">
        <f>ROUND(AVERAGEIF(표7[음식점 번호], 표3[[#This Row],[번호]], 표7[별점]), 1)</f>
        <v>2</v>
      </c>
      <c r="K85" s="1" t="s">
        <v>654</v>
      </c>
      <c r="L85" s="1" t="s">
        <v>934</v>
      </c>
      <c r="M85" s="1">
        <v>2</v>
      </c>
    </row>
    <row r="86" spans="1:13" x14ac:dyDescent="0.3">
      <c r="A86" s="1" t="s">
        <v>659</v>
      </c>
      <c r="B86" s="1" t="s">
        <v>938</v>
      </c>
      <c r="C86" s="1">
        <f>ROUND(AVERAGEIF(표7[음식점 번호], 표3[[#This Row],[번호]], 표7[별점]), 1)</f>
        <v>1</v>
      </c>
      <c r="K86" s="1" t="s">
        <v>659</v>
      </c>
      <c r="L86" s="1" t="s">
        <v>938</v>
      </c>
      <c r="M86" s="1">
        <v>1</v>
      </c>
    </row>
    <row r="87" spans="1:13" x14ac:dyDescent="0.3">
      <c r="A87" s="1" t="s">
        <v>664</v>
      </c>
      <c r="B87" s="1" t="s">
        <v>936</v>
      </c>
      <c r="C87" s="1">
        <f>ROUND(AVERAGEIF(표7[음식점 번호], 표3[[#This Row],[번호]], 표7[별점]), 1)</f>
        <v>2</v>
      </c>
      <c r="K87" s="1" t="s">
        <v>664</v>
      </c>
      <c r="L87" s="1" t="s">
        <v>936</v>
      </c>
      <c r="M87" s="1">
        <v>2</v>
      </c>
    </row>
    <row r="88" spans="1:13" x14ac:dyDescent="0.3">
      <c r="A88" s="1" t="s">
        <v>669</v>
      </c>
      <c r="B88" s="1" t="s">
        <v>931</v>
      </c>
      <c r="C88" s="1">
        <f>ROUND(AVERAGEIF(표7[음식점 번호], 표3[[#This Row],[번호]], 표7[별점]), 1)</f>
        <v>5</v>
      </c>
      <c r="K88" s="1" t="s">
        <v>669</v>
      </c>
      <c r="L88" s="1" t="s">
        <v>931</v>
      </c>
      <c r="M88" s="1">
        <v>5</v>
      </c>
    </row>
    <row r="89" spans="1:13" x14ac:dyDescent="0.3">
      <c r="A89" s="1" t="s">
        <v>674</v>
      </c>
      <c r="B89" s="1" t="s">
        <v>932</v>
      </c>
      <c r="C89" s="1">
        <f>ROUND(AVERAGEIF(표7[음식점 번호], 표3[[#This Row],[번호]], 표7[별점]), 1)</f>
        <v>4</v>
      </c>
      <c r="K89" s="1" t="s">
        <v>674</v>
      </c>
      <c r="L89" s="1" t="s">
        <v>932</v>
      </c>
      <c r="M89" s="1">
        <v>4</v>
      </c>
    </row>
    <row r="90" spans="1:13" x14ac:dyDescent="0.3">
      <c r="A90" s="1" t="s">
        <v>679</v>
      </c>
      <c r="B90" s="1" t="s">
        <v>939</v>
      </c>
      <c r="C90" s="1">
        <f>ROUND(AVERAGEIF(표7[음식점 번호], 표3[[#This Row],[번호]], 표7[별점]), 1)</f>
        <v>3</v>
      </c>
      <c r="K90" s="1" t="s">
        <v>679</v>
      </c>
      <c r="L90" s="1" t="s">
        <v>939</v>
      </c>
      <c r="M90" s="1">
        <v>3</v>
      </c>
    </row>
    <row r="91" spans="1:13" x14ac:dyDescent="0.3">
      <c r="A91" s="1" t="s">
        <v>684</v>
      </c>
      <c r="B91" s="1" t="s">
        <v>934</v>
      </c>
      <c r="C91" s="1">
        <f>ROUND(AVERAGEIF(표7[음식점 번호], 표3[[#This Row],[번호]], 표7[별점]), 1)</f>
        <v>5</v>
      </c>
      <c r="K91" s="1" t="s">
        <v>684</v>
      </c>
      <c r="L91" s="1" t="s">
        <v>934</v>
      </c>
      <c r="M91" s="1">
        <v>5</v>
      </c>
    </row>
    <row r="92" spans="1:13" x14ac:dyDescent="0.3">
      <c r="A92" s="1" t="s">
        <v>689</v>
      </c>
      <c r="B92" s="1" t="s">
        <v>934</v>
      </c>
      <c r="C92" s="1">
        <f>ROUND(AVERAGEIF(표7[음식점 번호], 표3[[#This Row],[번호]], 표7[별점]), 1)</f>
        <v>4</v>
      </c>
      <c r="K92" s="1" t="s">
        <v>689</v>
      </c>
      <c r="L92" s="1" t="s">
        <v>934</v>
      </c>
      <c r="M92" s="1">
        <v>4</v>
      </c>
    </row>
    <row r="93" spans="1:13" x14ac:dyDescent="0.3">
      <c r="A93" s="1" t="s">
        <v>694</v>
      </c>
      <c r="B93" s="1" t="s">
        <v>936</v>
      </c>
      <c r="C93" s="1">
        <f>ROUND(AVERAGEIF(표7[음식점 번호], 표3[[#This Row],[번호]], 표7[별점]), 1)</f>
        <v>1</v>
      </c>
      <c r="K93" s="1" t="s">
        <v>694</v>
      </c>
      <c r="L93" s="1" t="s">
        <v>936</v>
      </c>
      <c r="M93" s="1">
        <v>1</v>
      </c>
    </row>
    <row r="94" spans="1:13" x14ac:dyDescent="0.3">
      <c r="A94" s="1" t="s">
        <v>699</v>
      </c>
      <c r="B94" s="1" t="s">
        <v>936</v>
      </c>
      <c r="C94" s="1">
        <f>ROUND(AVERAGEIF(표7[음식점 번호], 표3[[#This Row],[번호]], 표7[별점]), 1)</f>
        <v>4</v>
      </c>
      <c r="K94" s="1" t="s">
        <v>699</v>
      </c>
      <c r="L94" s="1" t="s">
        <v>936</v>
      </c>
      <c r="M94" s="1">
        <v>4</v>
      </c>
    </row>
    <row r="95" spans="1:13" x14ac:dyDescent="0.3">
      <c r="A95" s="1" t="s">
        <v>704</v>
      </c>
      <c r="B95" s="1" t="s">
        <v>934</v>
      </c>
      <c r="C95" s="1">
        <f>ROUND(AVERAGEIF(표7[음식점 번호], 표3[[#This Row],[번호]], 표7[별점]), 1)</f>
        <v>4</v>
      </c>
      <c r="K95" s="1" t="s">
        <v>704</v>
      </c>
      <c r="L95" s="1" t="s">
        <v>934</v>
      </c>
      <c r="M95" s="1">
        <v>4</v>
      </c>
    </row>
    <row r="96" spans="1:13" x14ac:dyDescent="0.3">
      <c r="A96" s="1" t="s">
        <v>709</v>
      </c>
      <c r="B96" s="1" t="s">
        <v>931</v>
      </c>
      <c r="C96" s="1">
        <f>ROUND(AVERAGEIF(표7[음식점 번호], 표3[[#This Row],[번호]], 표7[별점]), 1)</f>
        <v>4.5</v>
      </c>
      <c r="K96" s="1" t="s">
        <v>709</v>
      </c>
      <c r="L96" s="1" t="s">
        <v>931</v>
      </c>
      <c r="M96" s="1">
        <v>4.5</v>
      </c>
    </row>
    <row r="97" spans="1:13" x14ac:dyDescent="0.3">
      <c r="A97" s="1" t="s">
        <v>714</v>
      </c>
      <c r="B97" s="1" t="s">
        <v>938</v>
      </c>
      <c r="C97" s="1">
        <f>ROUND(AVERAGEIF(표7[음식점 번호], 표3[[#This Row],[번호]], 표7[별점]), 1)</f>
        <v>3</v>
      </c>
      <c r="K97" s="1" t="s">
        <v>714</v>
      </c>
      <c r="L97" s="1" t="s">
        <v>938</v>
      </c>
      <c r="M97" s="1">
        <v>3</v>
      </c>
    </row>
    <row r="98" spans="1:13" x14ac:dyDescent="0.3">
      <c r="A98" s="1" t="s">
        <v>719</v>
      </c>
      <c r="B98" s="1" t="s">
        <v>931</v>
      </c>
      <c r="C98" s="1">
        <f>ROUND(AVERAGEIF(표7[음식점 번호], 표3[[#This Row],[번호]], 표7[별점]), 1)</f>
        <v>3</v>
      </c>
      <c r="K98" s="1" t="s">
        <v>719</v>
      </c>
      <c r="L98" s="1" t="s">
        <v>931</v>
      </c>
      <c r="M98" s="1">
        <v>3</v>
      </c>
    </row>
    <row r="99" spans="1:13" x14ac:dyDescent="0.3">
      <c r="A99" s="1" t="s">
        <v>724</v>
      </c>
      <c r="B99" s="1" t="s">
        <v>936</v>
      </c>
      <c r="C99" s="1">
        <f>ROUND(AVERAGEIF(표7[음식점 번호], 표3[[#This Row],[번호]], 표7[별점]), 1)</f>
        <v>5</v>
      </c>
      <c r="K99" s="1" t="s">
        <v>724</v>
      </c>
      <c r="L99" s="1" t="s">
        <v>936</v>
      </c>
      <c r="M99" s="1">
        <v>5</v>
      </c>
    </row>
    <row r="100" spans="1:13" x14ac:dyDescent="0.3">
      <c r="A100" s="1" t="s">
        <v>729</v>
      </c>
      <c r="B100" s="1" t="s">
        <v>931</v>
      </c>
      <c r="C100" s="1">
        <f>ROUND(AVERAGEIF(표7[음식점 번호], 표3[[#This Row],[번호]], 표7[별점]), 1)</f>
        <v>4</v>
      </c>
      <c r="K100" s="1" t="s">
        <v>729</v>
      </c>
      <c r="L100" s="1" t="s">
        <v>931</v>
      </c>
      <c r="M100" s="1">
        <v>4</v>
      </c>
    </row>
    <row r="101" spans="1:13" x14ac:dyDescent="0.3">
      <c r="A101" s="1" t="s">
        <v>734</v>
      </c>
      <c r="B101" s="1" t="s">
        <v>937</v>
      </c>
      <c r="C101" s="1">
        <f>ROUND(AVERAGEIF(표7[음식점 번호], 표3[[#This Row],[번호]], 표7[별점]), 1)</f>
        <v>3</v>
      </c>
      <c r="K101" s="1" t="s">
        <v>734</v>
      </c>
      <c r="L101" s="1" t="s">
        <v>937</v>
      </c>
      <c r="M101" s="1">
        <v>3</v>
      </c>
    </row>
    <row r="102" spans="1:13" x14ac:dyDescent="0.3">
      <c r="A102" s="1" t="s">
        <v>739</v>
      </c>
      <c r="B102" s="1" t="s">
        <v>936</v>
      </c>
      <c r="C102" s="1">
        <f>ROUND(AVERAGEIF(표7[음식점 번호], 표3[[#This Row],[번호]], 표7[별점]), 1)</f>
        <v>1</v>
      </c>
      <c r="K102" s="1" t="s">
        <v>739</v>
      </c>
      <c r="L102" s="1" t="s">
        <v>936</v>
      </c>
      <c r="M102" s="1">
        <v>1</v>
      </c>
    </row>
    <row r="103" spans="1:13" x14ac:dyDescent="0.3">
      <c r="A103" s="1" t="s">
        <v>744</v>
      </c>
      <c r="B103" s="1" t="s">
        <v>936</v>
      </c>
      <c r="C103" s="1">
        <f>ROUND(AVERAGEIF(표7[음식점 번호], 표3[[#This Row],[번호]], 표7[별점]), 1)</f>
        <v>1</v>
      </c>
      <c r="K103" s="1" t="s">
        <v>744</v>
      </c>
      <c r="L103" s="1" t="s">
        <v>936</v>
      </c>
      <c r="M103" s="1">
        <v>1</v>
      </c>
    </row>
    <row r="104" spans="1:13" x14ac:dyDescent="0.3">
      <c r="A104" s="1" t="s">
        <v>749</v>
      </c>
      <c r="B104" s="1" t="s">
        <v>936</v>
      </c>
      <c r="C104" s="1">
        <f>ROUND(AVERAGEIF(표7[음식점 번호], 표3[[#This Row],[번호]], 표7[별점]), 1)</f>
        <v>2</v>
      </c>
      <c r="K104" s="1" t="s">
        <v>749</v>
      </c>
      <c r="L104" s="1" t="s">
        <v>936</v>
      </c>
      <c r="M104" s="1">
        <v>2</v>
      </c>
    </row>
    <row r="105" spans="1:13" x14ac:dyDescent="0.3">
      <c r="A105" s="1" t="s">
        <v>754</v>
      </c>
      <c r="B105" s="1" t="s">
        <v>939</v>
      </c>
      <c r="C105" s="1">
        <f>ROUND(AVERAGEIF(표7[음식점 번호], 표3[[#This Row],[번호]], 표7[별점]), 1)</f>
        <v>3</v>
      </c>
      <c r="K105" s="1" t="s">
        <v>754</v>
      </c>
      <c r="L105" s="1" t="s">
        <v>939</v>
      </c>
      <c r="M105" s="1">
        <v>3</v>
      </c>
    </row>
    <row r="106" spans="1:13" x14ac:dyDescent="0.3">
      <c r="A106" s="1" t="s">
        <v>759</v>
      </c>
      <c r="B106" s="1" t="s">
        <v>933</v>
      </c>
      <c r="C106" s="1">
        <f>ROUND(AVERAGEIF(표7[음식점 번호], 표3[[#This Row],[번호]], 표7[별점]), 1)</f>
        <v>1</v>
      </c>
      <c r="K106" s="1" t="s">
        <v>759</v>
      </c>
      <c r="L106" s="1" t="s">
        <v>933</v>
      </c>
      <c r="M106" s="1">
        <v>1</v>
      </c>
    </row>
    <row r="107" spans="1:13" x14ac:dyDescent="0.3">
      <c r="A107" s="1" t="s">
        <v>764</v>
      </c>
      <c r="B107" s="1" t="s">
        <v>937</v>
      </c>
      <c r="C107" s="1">
        <f>ROUND(AVERAGEIF(표7[음식점 번호], 표3[[#This Row],[번호]], 표7[별점]), 1)</f>
        <v>5</v>
      </c>
      <c r="K107" s="1" t="s">
        <v>764</v>
      </c>
      <c r="L107" s="1" t="s">
        <v>937</v>
      </c>
      <c r="M107" s="1">
        <v>5</v>
      </c>
    </row>
    <row r="108" spans="1:13" x14ac:dyDescent="0.3">
      <c r="A108" s="1" t="s">
        <v>769</v>
      </c>
      <c r="B108" s="1" t="s">
        <v>931</v>
      </c>
      <c r="C108" s="1">
        <f>ROUND(AVERAGEIF(표7[음식점 번호], 표3[[#This Row],[번호]], 표7[별점]), 1)</f>
        <v>1</v>
      </c>
      <c r="K108" s="1" t="s">
        <v>769</v>
      </c>
      <c r="L108" s="1" t="s">
        <v>931</v>
      </c>
      <c r="M108" s="1">
        <v>1</v>
      </c>
    </row>
    <row r="109" spans="1:13" x14ac:dyDescent="0.3">
      <c r="A109" s="1" t="s">
        <v>774</v>
      </c>
      <c r="B109" s="1" t="s">
        <v>936</v>
      </c>
      <c r="C109" s="1">
        <f>ROUND(AVERAGEIF(표7[음식점 번호], 표3[[#This Row],[번호]], 표7[별점]), 1)</f>
        <v>2</v>
      </c>
      <c r="K109" s="1" t="s">
        <v>774</v>
      </c>
      <c r="L109" s="1" t="s">
        <v>936</v>
      </c>
      <c r="M109" s="1">
        <v>2</v>
      </c>
    </row>
    <row r="110" spans="1:13" x14ac:dyDescent="0.3">
      <c r="A110" s="1" t="s">
        <v>779</v>
      </c>
      <c r="B110" s="1" t="s">
        <v>936</v>
      </c>
      <c r="C110" s="1">
        <f>ROUND(AVERAGEIF(표7[음식점 번호], 표3[[#This Row],[번호]], 표7[별점]), 1)</f>
        <v>2.5</v>
      </c>
      <c r="K110" s="1" t="s">
        <v>779</v>
      </c>
      <c r="L110" s="1" t="s">
        <v>936</v>
      </c>
      <c r="M110" s="1">
        <v>2.5</v>
      </c>
    </row>
    <row r="111" spans="1:13" x14ac:dyDescent="0.3">
      <c r="A111" s="1" t="s">
        <v>784</v>
      </c>
      <c r="B111" s="1" t="s">
        <v>934</v>
      </c>
      <c r="C111" s="1">
        <f>ROUND(AVERAGEIF(표7[음식점 번호], 표3[[#This Row],[번호]], 표7[별점]), 1)</f>
        <v>2</v>
      </c>
      <c r="K111" s="1" t="s">
        <v>784</v>
      </c>
      <c r="L111" s="1" t="s">
        <v>934</v>
      </c>
      <c r="M111" s="1">
        <v>2</v>
      </c>
    </row>
    <row r="112" spans="1:13" x14ac:dyDescent="0.3">
      <c r="A112" s="1" t="s">
        <v>789</v>
      </c>
      <c r="B112" s="1" t="s">
        <v>931</v>
      </c>
      <c r="C112" s="1">
        <f>ROUND(AVERAGEIF(표7[음식점 번호], 표3[[#This Row],[번호]], 표7[별점]), 1)</f>
        <v>3</v>
      </c>
      <c r="K112" s="1" t="s">
        <v>789</v>
      </c>
      <c r="L112" s="1" t="s">
        <v>931</v>
      </c>
      <c r="M112" s="1">
        <v>3</v>
      </c>
    </row>
    <row r="113" spans="1:13" x14ac:dyDescent="0.3">
      <c r="A113" s="1" t="s">
        <v>794</v>
      </c>
      <c r="B113" s="1" t="s">
        <v>934</v>
      </c>
      <c r="C113" s="1">
        <f>ROUND(AVERAGEIF(표7[음식점 번호], 표3[[#This Row],[번호]], 표7[별점]), 1)</f>
        <v>4</v>
      </c>
      <c r="K113" s="1" t="s">
        <v>794</v>
      </c>
      <c r="L113" s="1" t="s">
        <v>934</v>
      </c>
      <c r="M113" s="1">
        <v>4</v>
      </c>
    </row>
    <row r="114" spans="1:13" x14ac:dyDescent="0.3">
      <c r="A114" s="1" t="s">
        <v>799</v>
      </c>
      <c r="B114" s="1" t="s">
        <v>937</v>
      </c>
      <c r="C114" s="1">
        <f>ROUND(AVERAGEIF(표7[음식점 번호], 표3[[#This Row],[번호]], 표7[별점]), 1)</f>
        <v>5</v>
      </c>
      <c r="K114" s="1" t="s">
        <v>799</v>
      </c>
      <c r="L114" s="1" t="s">
        <v>937</v>
      </c>
      <c r="M114" s="1">
        <v>5</v>
      </c>
    </row>
    <row r="115" spans="1:13" x14ac:dyDescent="0.3">
      <c r="A115" s="1" t="s">
        <v>804</v>
      </c>
      <c r="B115" s="1" t="s">
        <v>931</v>
      </c>
      <c r="C115" s="1">
        <f>ROUND(AVERAGEIF(표7[음식점 번호], 표3[[#This Row],[번호]], 표7[별점]), 1)</f>
        <v>4</v>
      </c>
      <c r="K115" s="1" t="s">
        <v>804</v>
      </c>
      <c r="L115" s="1" t="s">
        <v>931</v>
      </c>
      <c r="M115" s="1">
        <v>4</v>
      </c>
    </row>
    <row r="116" spans="1:13" x14ac:dyDescent="0.3">
      <c r="A116" s="1" t="s">
        <v>809</v>
      </c>
      <c r="B116" s="1" t="s">
        <v>937</v>
      </c>
      <c r="C116" s="1">
        <f>ROUND(AVERAGEIF(표7[음식점 번호], 표3[[#This Row],[번호]], 표7[별점]), 1)</f>
        <v>5</v>
      </c>
      <c r="K116" s="1" t="s">
        <v>809</v>
      </c>
      <c r="L116" s="1" t="s">
        <v>937</v>
      </c>
      <c r="M116" s="1">
        <v>5</v>
      </c>
    </row>
    <row r="117" spans="1:13" x14ac:dyDescent="0.3">
      <c r="A117" s="1" t="s">
        <v>814</v>
      </c>
      <c r="B117" s="1" t="s">
        <v>937</v>
      </c>
      <c r="C117" s="1">
        <f>ROUND(AVERAGEIF(표7[음식점 번호], 표3[[#This Row],[번호]], 표7[별점]), 1)</f>
        <v>2</v>
      </c>
      <c r="K117" s="1" t="s">
        <v>814</v>
      </c>
      <c r="L117" s="1" t="s">
        <v>937</v>
      </c>
      <c r="M117" s="1">
        <v>2</v>
      </c>
    </row>
    <row r="118" spans="1:13" x14ac:dyDescent="0.3">
      <c r="A118" s="1" t="s">
        <v>819</v>
      </c>
      <c r="B118" s="1" t="s">
        <v>931</v>
      </c>
      <c r="C118" s="1">
        <f>ROUND(AVERAGEIF(표7[음식점 번호], 표3[[#This Row],[번호]], 표7[별점]), 1)</f>
        <v>4</v>
      </c>
      <c r="K118" s="1" t="s">
        <v>819</v>
      </c>
      <c r="L118" s="1" t="s">
        <v>931</v>
      </c>
      <c r="M118" s="1">
        <v>4</v>
      </c>
    </row>
    <row r="119" spans="1:13" x14ac:dyDescent="0.3">
      <c r="A119" s="1" t="s">
        <v>824</v>
      </c>
      <c r="B119" s="1" t="s">
        <v>931</v>
      </c>
      <c r="C119" s="1">
        <f>ROUND(AVERAGEIF(표7[음식점 번호], 표3[[#This Row],[번호]], 표7[별점]), 1)</f>
        <v>2</v>
      </c>
      <c r="K119" s="1" t="s">
        <v>824</v>
      </c>
      <c r="L119" s="1" t="s">
        <v>931</v>
      </c>
      <c r="M119" s="1">
        <v>2</v>
      </c>
    </row>
    <row r="120" spans="1:13" x14ac:dyDescent="0.3">
      <c r="A120" s="1" t="s">
        <v>829</v>
      </c>
      <c r="B120" s="1" t="s">
        <v>934</v>
      </c>
      <c r="C120" s="1">
        <f>ROUND(AVERAGEIF(표7[음식점 번호], 표3[[#This Row],[번호]], 표7[별점]), 1)</f>
        <v>5</v>
      </c>
      <c r="K120" s="1" t="s">
        <v>829</v>
      </c>
      <c r="L120" s="1" t="s">
        <v>934</v>
      </c>
      <c r="M120" s="1">
        <v>5</v>
      </c>
    </row>
    <row r="121" spans="1:13" x14ac:dyDescent="0.3">
      <c r="A121" s="1" t="s">
        <v>834</v>
      </c>
      <c r="B121" s="1" t="s">
        <v>936</v>
      </c>
      <c r="C121" s="1">
        <f>ROUND(AVERAGEIF(표7[음식점 번호], 표3[[#This Row],[번호]], 표7[별점]), 1)</f>
        <v>2</v>
      </c>
      <c r="K121" s="1" t="s">
        <v>834</v>
      </c>
      <c r="L121" s="1" t="s">
        <v>936</v>
      </c>
      <c r="M121" s="1">
        <v>2</v>
      </c>
    </row>
    <row r="122" spans="1:13" x14ac:dyDescent="0.3">
      <c r="A122" s="1" t="s">
        <v>839</v>
      </c>
      <c r="B122" s="1" t="s">
        <v>939</v>
      </c>
      <c r="C122" s="1">
        <f>ROUND(AVERAGEIF(표7[음식점 번호], 표3[[#This Row],[번호]], 표7[별점]), 1)</f>
        <v>2</v>
      </c>
      <c r="K122" s="1" t="s">
        <v>839</v>
      </c>
      <c r="L122" s="1" t="s">
        <v>939</v>
      </c>
      <c r="M122" s="1">
        <v>2</v>
      </c>
    </row>
    <row r="123" spans="1:13" x14ac:dyDescent="0.3">
      <c r="A123" s="1" t="s">
        <v>844</v>
      </c>
      <c r="B123" s="1" t="s">
        <v>931</v>
      </c>
      <c r="C123" s="1">
        <f>ROUND(AVERAGEIF(표7[음식점 번호], 표3[[#This Row],[번호]], 표7[별점]), 1)</f>
        <v>3</v>
      </c>
      <c r="K123" s="1" t="s">
        <v>844</v>
      </c>
      <c r="L123" s="1" t="s">
        <v>931</v>
      </c>
      <c r="M123" s="1">
        <v>3</v>
      </c>
    </row>
    <row r="124" spans="1:13" x14ac:dyDescent="0.3">
      <c r="A124" s="1" t="s">
        <v>849</v>
      </c>
      <c r="B124" s="1" t="s">
        <v>939</v>
      </c>
      <c r="C124" s="1">
        <f>ROUND(AVERAGEIF(표7[음식점 번호], 표3[[#This Row],[번호]], 표7[별점]), 1)</f>
        <v>2</v>
      </c>
      <c r="K124" s="1" t="s">
        <v>849</v>
      </c>
      <c r="L124" s="1" t="s">
        <v>939</v>
      </c>
      <c r="M124" s="1">
        <v>2</v>
      </c>
    </row>
    <row r="125" spans="1:13" x14ac:dyDescent="0.3">
      <c r="A125" s="1" t="s">
        <v>854</v>
      </c>
      <c r="B125" s="1" t="s">
        <v>935</v>
      </c>
      <c r="C125" s="1">
        <f>ROUND(AVERAGEIF(표7[음식점 번호], 표3[[#This Row],[번호]], 표7[별점]), 1)</f>
        <v>3</v>
      </c>
      <c r="K125" s="1" t="s">
        <v>854</v>
      </c>
      <c r="L125" s="1" t="s">
        <v>935</v>
      </c>
      <c r="M125" s="1">
        <v>3</v>
      </c>
    </row>
    <row r="126" spans="1:13" x14ac:dyDescent="0.3">
      <c r="A126" s="1" t="s">
        <v>859</v>
      </c>
      <c r="B126" s="1" t="s">
        <v>937</v>
      </c>
      <c r="C126" s="1">
        <f>ROUND(AVERAGEIF(표7[음식점 번호], 표3[[#This Row],[번호]], 표7[별점]), 1)</f>
        <v>4</v>
      </c>
      <c r="K126" s="1" t="s">
        <v>859</v>
      </c>
      <c r="L126" s="1" t="s">
        <v>937</v>
      </c>
      <c r="M126" s="1">
        <v>4</v>
      </c>
    </row>
    <row r="127" spans="1:13" x14ac:dyDescent="0.3">
      <c r="A127" s="1" t="s">
        <v>864</v>
      </c>
      <c r="B127" s="1" t="s">
        <v>935</v>
      </c>
      <c r="C127" s="1">
        <f>ROUND(AVERAGEIF(표7[음식점 번호], 표3[[#This Row],[번호]], 표7[별점]), 1)</f>
        <v>3</v>
      </c>
      <c r="K127" s="1" t="s">
        <v>864</v>
      </c>
      <c r="L127" s="1" t="s">
        <v>935</v>
      </c>
      <c r="M127" s="1">
        <v>3</v>
      </c>
    </row>
    <row r="128" spans="1:13" x14ac:dyDescent="0.3">
      <c r="A128" s="1" t="s">
        <v>869</v>
      </c>
      <c r="B128" s="1" t="s">
        <v>934</v>
      </c>
      <c r="C128" s="1">
        <f>ROUND(AVERAGEIF(표7[음식점 번호], 표3[[#This Row],[번호]], 표7[별점]), 1)</f>
        <v>4</v>
      </c>
      <c r="K128" s="1" t="s">
        <v>869</v>
      </c>
      <c r="L128" s="1" t="s">
        <v>934</v>
      </c>
      <c r="M128" s="1">
        <v>4</v>
      </c>
    </row>
    <row r="129" spans="1:13" x14ac:dyDescent="0.3">
      <c r="A129" s="1" t="s">
        <v>874</v>
      </c>
      <c r="B129" s="1" t="s">
        <v>932</v>
      </c>
      <c r="C129" s="1">
        <f>ROUND(AVERAGEIF(표7[음식점 번호], 표3[[#This Row],[번호]], 표7[별점]), 1)</f>
        <v>2</v>
      </c>
      <c r="K129" s="1" t="s">
        <v>874</v>
      </c>
      <c r="L129" s="1" t="s">
        <v>932</v>
      </c>
      <c r="M129" s="1">
        <v>2</v>
      </c>
    </row>
    <row r="130" spans="1:13" x14ac:dyDescent="0.3">
      <c r="A130" s="1" t="s">
        <v>879</v>
      </c>
      <c r="B130" s="1" t="s">
        <v>935</v>
      </c>
      <c r="C130" s="1">
        <f>ROUND(AVERAGEIF(표7[음식점 번호], 표3[[#This Row],[번호]], 표7[별점]), 1)</f>
        <v>3</v>
      </c>
      <c r="K130" s="1" t="s">
        <v>879</v>
      </c>
      <c r="L130" s="1" t="s">
        <v>935</v>
      </c>
      <c r="M130" s="1">
        <v>3</v>
      </c>
    </row>
    <row r="131" spans="1:13" x14ac:dyDescent="0.3">
      <c r="A131" s="1" t="s">
        <v>884</v>
      </c>
      <c r="B131" s="1" t="s">
        <v>934</v>
      </c>
      <c r="C131" s="1">
        <f>ROUND(AVERAGEIF(표7[음식점 번호], 표3[[#This Row],[번호]], 표7[별점]), 1)</f>
        <v>1</v>
      </c>
      <c r="K131" s="1" t="s">
        <v>884</v>
      </c>
      <c r="L131" s="1" t="s">
        <v>934</v>
      </c>
      <c r="M131" s="1">
        <v>1</v>
      </c>
    </row>
    <row r="132" spans="1:13" x14ac:dyDescent="0.3">
      <c r="A132" s="1" t="s">
        <v>889</v>
      </c>
      <c r="B132" s="1" t="s">
        <v>934</v>
      </c>
      <c r="C132" s="1">
        <f>ROUND(AVERAGEIF(표7[음식점 번호], 표3[[#This Row],[번호]], 표7[별점]), 1)</f>
        <v>3</v>
      </c>
      <c r="K132" s="1" t="s">
        <v>889</v>
      </c>
      <c r="L132" s="1" t="s">
        <v>934</v>
      </c>
      <c r="M132" s="1">
        <v>3</v>
      </c>
    </row>
    <row r="133" spans="1:13" x14ac:dyDescent="0.3">
      <c r="A133" s="1" t="s">
        <v>894</v>
      </c>
      <c r="B133" s="1" t="s">
        <v>934</v>
      </c>
      <c r="C133" s="1">
        <f>ROUND(AVERAGEIF(표7[음식점 번호], 표3[[#This Row],[번호]], 표7[별점]), 1)</f>
        <v>3</v>
      </c>
      <c r="K133" s="1" t="s">
        <v>894</v>
      </c>
      <c r="L133" s="1" t="s">
        <v>934</v>
      </c>
      <c r="M133" s="1">
        <v>3</v>
      </c>
    </row>
    <row r="134" spans="1:13" x14ac:dyDescent="0.3">
      <c r="A134" s="1" t="s">
        <v>899</v>
      </c>
      <c r="B134" s="1" t="s">
        <v>934</v>
      </c>
      <c r="C134" s="1">
        <f>ROUND(AVERAGEIF(표7[음식점 번호], 표3[[#This Row],[번호]], 표7[별점]), 1)</f>
        <v>2</v>
      </c>
      <c r="K134" s="1" t="s">
        <v>899</v>
      </c>
      <c r="L134" s="1" t="s">
        <v>934</v>
      </c>
      <c r="M134" s="1">
        <v>2</v>
      </c>
    </row>
    <row r="135" spans="1:13" x14ac:dyDescent="0.3">
      <c r="A135" s="1" t="s">
        <v>904</v>
      </c>
      <c r="B135" s="1" t="s">
        <v>934</v>
      </c>
      <c r="C135" s="1">
        <f>ROUND(AVERAGEIF(표7[음식점 번호], 표3[[#This Row],[번호]], 표7[별점]), 1)</f>
        <v>5</v>
      </c>
      <c r="K135" s="1" t="s">
        <v>904</v>
      </c>
      <c r="L135" s="1" t="s">
        <v>934</v>
      </c>
      <c r="M135" s="1">
        <v>5</v>
      </c>
    </row>
    <row r="136" spans="1:13" x14ac:dyDescent="0.3">
      <c r="A136" s="1" t="s">
        <v>909</v>
      </c>
      <c r="B136" s="1" t="s">
        <v>934</v>
      </c>
      <c r="C136" s="1">
        <f>ROUND(AVERAGEIF(표7[음식점 번호], 표3[[#This Row],[번호]], 표7[별점]), 1)</f>
        <v>1</v>
      </c>
      <c r="K136" s="1" t="s">
        <v>909</v>
      </c>
      <c r="L136" s="1" t="s">
        <v>934</v>
      </c>
      <c r="M136" s="1">
        <v>1</v>
      </c>
    </row>
    <row r="137" spans="1:13" x14ac:dyDescent="0.3">
      <c r="A137" s="1" t="s">
        <v>914</v>
      </c>
      <c r="B137" s="1" t="s">
        <v>931</v>
      </c>
      <c r="C137" s="1">
        <f>ROUND(AVERAGEIF(표7[음식점 번호], 표3[[#This Row],[번호]], 표7[별점]), 1)</f>
        <v>5</v>
      </c>
      <c r="K137" s="1" t="s">
        <v>914</v>
      </c>
      <c r="L137" s="1" t="s">
        <v>931</v>
      </c>
      <c r="M137" s="1">
        <v>5</v>
      </c>
    </row>
    <row r="138" spans="1:13" x14ac:dyDescent="0.3">
      <c r="A138" s="1" t="s">
        <v>919</v>
      </c>
      <c r="B138" s="1" t="s">
        <v>936</v>
      </c>
      <c r="C138" s="1">
        <f>ROUND(AVERAGEIF(표7[음식점 번호], 표3[[#This Row],[번호]], 표7[별점]), 1)</f>
        <v>4</v>
      </c>
      <c r="K138" s="1" t="s">
        <v>919</v>
      </c>
      <c r="L138" s="1" t="s">
        <v>936</v>
      </c>
      <c r="M138" s="1">
        <v>4</v>
      </c>
    </row>
    <row r="139" spans="1:13" x14ac:dyDescent="0.3">
      <c r="A139" s="1" t="s">
        <v>924</v>
      </c>
      <c r="B139" s="1" t="s">
        <v>936</v>
      </c>
      <c r="C139" s="1">
        <f>ROUND(AVERAGEIF(표7[음식점 번호], 표3[[#This Row],[번호]], 표7[별점]), 1)</f>
        <v>4</v>
      </c>
      <c r="K139" s="1" t="s">
        <v>924</v>
      </c>
      <c r="L139" s="1" t="s">
        <v>936</v>
      </c>
      <c r="M139" s="1">
        <v>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>
              <from>
                <xdr:col>7</xdr:col>
                <xdr:colOff>276225</xdr:colOff>
                <xdr:row>13</xdr:row>
                <xdr:rowOff>76200</xdr:rowOff>
              </from>
              <to>
                <xdr:col>10</xdr:col>
                <xdr:colOff>9525</xdr:colOff>
                <xdr:row>14</xdr:row>
                <xdr:rowOff>171450</xdr:rowOff>
              </to>
            </anchor>
          </controlPr>
        </control>
      </mc:Choice>
      <mc:Fallback>
        <control shapeId="10241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311"/>
  <sheetViews>
    <sheetView zoomScale="55" zoomScaleNormal="55" workbookViewId="0">
      <selection activeCell="G2" sqref="G2"/>
    </sheetView>
  </sheetViews>
  <sheetFormatPr defaultRowHeight="16.5" x14ac:dyDescent="0.3"/>
  <cols>
    <col min="1" max="1" width="9" style="1"/>
    <col min="2" max="2" width="12.75" style="1" customWidth="1"/>
    <col min="3" max="3" width="17.875" style="1" bestFit="1" customWidth="1"/>
    <col min="4" max="4" width="150.25" style="1" bestFit="1" customWidth="1"/>
    <col min="5" max="5" width="9" style="1"/>
    <col min="7" max="7" width="12.375" bestFit="1" customWidth="1"/>
  </cols>
  <sheetData>
    <row r="1" spans="1:13" x14ac:dyDescent="0.3">
      <c r="A1" s="1" t="s">
        <v>941</v>
      </c>
      <c r="B1" s="1" t="s">
        <v>942</v>
      </c>
      <c r="C1" s="1" t="s">
        <v>943</v>
      </c>
      <c r="D1" s="1" t="s">
        <v>944</v>
      </c>
      <c r="E1" s="1" t="s">
        <v>945</v>
      </c>
      <c r="G1" t="s">
        <v>3660</v>
      </c>
      <c r="I1" s="1" t="s">
        <v>941</v>
      </c>
      <c r="J1" s="1" t="s">
        <v>942</v>
      </c>
      <c r="K1" s="1" t="s">
        <v>943</v>
      </c>
      <c r="L1" s="1" t="s">
        <v>944</v>
      </c>
      <c r="M1" s="1" t="s">
        <v>945</v>
      </c>
    </row>
    <row r="2" spans="1:13" x14ac:dyDescent="0.3">
      <c r="A2" s="1">
        <v>1</v>
      </c>
      <c r="B2" s="1" t="s">
        <v>239</v>
      </c>
      <c r="C2" s="1" t="s">
        <v>946</v>
      </c>
      <c r="D2" s="1" t="s">
        <v>947</v>
      </c>
      <c r="E2" s="2">
        <v>15000</v>
      </c>
      <c r="G2" t="s">
        <v>3666</v>
      </c>
      <c r="I2" s="1">
        <v>1081</v>
      </c>
      <c r="J2" s="1" t="s">
        <v>814</v>
      </c>
      <c r="K2" s="1" t="s">
        <v>1040</v>
      </c>
      <c r="L2" s="1" t="s">
        <v>1041</v>
      </c>
      <c r="M2" s="2">
        <v>4500</v>
      </c>
    </row>
    <row r="3" spans="1:13" x14ac:dyDescent="0.3">
      <c r="A3" s="1">
        <v>2</v>
      </c>
      <c r="B3" s="1" t="s">
        <v>239</v>
      </c>
      <c r="C3" s="1" t="s">
        <v>948</v>
      </c>
      <c r="D3" s="1" t="s">
        <v>3663</v>
      </c>
      <c r="E3" s="2">
        <v>4000</v>
      </c>
      <c r="I3" s="1">
        <v>1082</v>
      </c>
      <c r="J3" s="1" t="s">
        <v>814</v>
      </c>
      <c r="K3" s="1" t="s">
        <v>1042</v>
      </c>
      <c r="L3" s="1" t="s">
        <v>1043</v>
      </c>
      <c r="M3" s="2">
        <v>3000</v>
      </c>
    </row>
    <row r="4" spans="1:13" x14ac:dyDescent="0.3">
      <c r="A4" s="1">
        <v>3</v>
      </c>
      <c r="B4" s="1" t="s">
        <v>239</v>
      </c>
      <c r="C4" s="1" t="s">
        <v>950</v>
      </c>
      <c r="D4" s="1" t="s">
        <v>951</v>
      </c>
      <c r="E4" s="2">
        <v>25000</v>
      </c>
      <c r="I4" s="1">
        <v>1083</v>
      </c>
      <c r="J4" s="1" t="s">
        <v>814</v>
      </c>
      <c r="K4" s="1" t="s">
        <v>1044</v>
      </c>
      <c r="L4" s="1" t="s">
        <v>1045</v>
      </c>
      <c r="M4" s="2">
        <v>2000</v>
      </c>
    </row>
    <row r="5" spans="1:13" x14ac:dyDescent="0.3">
      <c r="A5" s="1">
        <v>4</v>
      </c>
      <c r="B5" s="1" t="s">
        <v>239</v>
      </c>
      <c r="C5" s="1" t="s">
        <v>952</v>
      </c>
      <c r="D5" s="1" t="s">
        <v>953</v>
      </c>
      <c r="E5" s="2">
        <v>8000</v>
      </c>
      <c r="I5" s="1">
        <v>1084</v>
      </c>
      <c r="J5" s="1" t="s">
        <v>814</v>
      </c>
      <c r="K5" s="1" t="s">
        <v>1059</v>
      </c>
      <c r="L5" s="1" t="s">
        <v>1060</v>
      </c>
      <c r="M5" s="1">
        <v>500</v>
      </c>
    </row>
    <row r="6" spans="1:13" x14ac:dyDescent="0.3">
      <c r="A6" s="1">
        <v>5</v>
      </c>
      <c r="B6" s="1" t="s">
        <v>239</v>
      </c>
      <c r="C6" s="1" t="s">
        <v>954</v>
      </c>
      <c r="D6" s="1" t="s">
        <v>955</v>
      </c>
      <c r="E6" s="2">
        <v>8000</v>
      </c>
      <c r="I6" s="1">
        <v>1085</v>
      </c>
      <c r="J6" s="1" t="s">
        <v>814</v>
      </c>
      <c r="K6" s="1" t="s">
        <v>1046</v>
      </c>
      <c r="L6" s="1" t="s">
        <v>1047</v>
      </c>
      <c r="M6" s="1">
        <v>700</v>
      </c>
    </row>
    <row r="7" spans="1:13" x14ac:dyDescent="0.3">
      <c r="A7" s="1">
        <v>6</v>
      </c>
      <c r="B7" s="1" t="s">
        <v>239</v>
      </c>
      <c r="C7" s="1" t="s">
        <v>956</v>
      </c>
      <c r="D7" s="1" t="s">
        <v>957</v>
      </c>
      <c r="E7" s="2">
        <v>10000</v>
      </c>
      <c r="I7" s="1">
        <v>1086</v>
      </c>
      <c r="J7" s="1" t="s">
        <v>814</v>
      </c>
      <c r="K7" s="1" t="s">
        <v>1048</v>
      </c>
      <c r="L7" s="1" t="s">
        <v>1049</v>
      </c>
      <c r="M7" s="1">
        <v>700</v>
      </c>
    </row>
    <row r="8" spans="1:13" x14ac:dyDescent="0.3">
      <c r="A8" s="1">
        <v>7</v>
      </c>
      <c r="B8" s="1" t="s">
        <v>239</v>
      </c>
      <c r="C8" s="1" t="s">
        <v>958</v>
      </c>
      <c r="D8" s="1" t="s">
        <v>959</v>
      </c>
      <c r="E8" s="2">
        <v>3000</v>
      </c>
      <c r="I8" s="1">
        <v>1087</v>
      </c>
      <c r="J8" s="1" t="s">
        <v>814</v>
      </c>
      <c r="K8" s="1" t="s">
        <v>1061</v>
      </c>
      <c r="L8" s="1" t="s">
        <v>1062</v>
      </c>
      <c r="M8" s="2">
        <v>2500</v>
      </c>
    </row>
    <row r="9" spans="1:13" x14ac:dyDescent="0.3">
      <c r="A9" s="1">
        <v>8</v>
      </c>
      <c r="B9" s="1" t="s">
        <v>239</v>
      </c>
      <c r="C9" s="1" t="s">
        <v>960</v>
      </c>
      <c r="D9" s="1" t="s">
        <v>961</v>
      </c>
      <c r="E9" s="2">
        <v>12000</v>
      </c>
      <c r="I9" s="1">
        <v>1088</v>
      </c>
      <c r="J9" s="1" t="s">
        <v>814</v>
      </c>
      <c r="K9" s="1" t="s">
        <v>1063</v>
      </c>
      <c r="L9" s="1" t="s">
        <v>1064</v>
      </c>
      <c r="M9" s="2">
        <v>3500</v>
      </c>
    </row>
    <row r="10" spans="1:13" x14ac:dyDescent="0.3">
      <c r="A10" s="1">
        <v>9</v>
      </c>
      <c r="B10" s="1" t="s">
        <v>239</v>
      </c>
      <c r="C10" s="1" t="s">
        <v>962</v>
      </c>
      <c r="D10" s="1" t="s">
        <v>963</v>
      </c>
      <c r="E10" s="2">
        <v>2500</v>
      </c>
      <c r="I10" s="1"/>
      <c r="J10" s="1"/>
      <c r="K10" s="1"/>
      <c r="L10" s="1"/>
      <c r="M10" s="2"/>
    </row>
    <row r="11" spans="1:13" x14ac:dyDescent="0.3">
      <c r="A11" s="1">
        <v>10</v>
      </c>
      <c r="B11" s="1" t="s">
        <v>239</v>
      </c>
      <c r="C11" s="1" t="s">
        <v>964</v>
      </c>
      <c r="D11" s="1" t="s">
        <v>965</v>
      </c>
      <c r="E11" s="2">
        <v>2000</v>
      </c>
      <c r="I11" s="1"/>
      <c r="J11" s="1"/>
      <c r="K11" s="1"/>
      <c r="L11" s="1"/>
      <c r="M11" s="2"/>
    </row>
    <row r="12" spans="1:13" x14ac:dyDescent="0.3">
      <c r="A12" s="1">
        <v>11</v>
      </c>
      <c r="B12" s="1" t="s">
        <v>239</v>
      </c>
      <c r="C12" s="1" t="s">
        <v>966</v>
      </c>
      <c r="D12" s="1" t="s">
        <v>965</v>
      </c>
      <c r="E12" s="2">
        <v>2000</v>
      </c>
    </row>
    <row r="13" spans="1:13" x14ac:dyDescent="0.3">
      <c r="A13" s="1">
        <v>12</v>
      </c>
      <c r="B13" s="1" t="s">
        <v>244</v>
      </c>
      <c r="C13" s="1" t="s">
        <v>946</v>
      </c>
      <c r="D13" s="1" t="s">
        <v>947</v>
      </c>
      <c r="E13" s="2">
        <v>14000</v>
      </c>
    </row>
    <row r="14" spans="1:13" x14ac:dyDescent="0.3">
      <c r="A14" s="1">
        <v>13</v>
      </c>
      <c r="B14" s="1" t="s">
        <v>244</v>
      </c>
      <c r="C14" s="1" t="s">
        <v>948</v>
      </c>
      <c r="D14" s="1" t="s">
        <v>949</v>
      </c>
      <c r="E14" s="2">
        <v>4000</v>
      </c>
    </row>
    <row r="15" spans="1:13" x14ac:dyDescent="0.3">
      <c r="A15" s="1">
        <v>14</v>
      </c>
      <c r="B15" s="1" t="s">
        <v>244</v>
      </c>
      <c r="C15" s="1" t="s">
        <v>954</v>
      </c>
      <c r="D15" s="1" t="s">
        <v>955</v>
      </c>
      <c r="E15" s="2">
        <v>8000</v>
      </c>
    </row>
    <row r="16" spans="1:13" x14ac:dyDescent="0.3">
      <c r="A16" s="1">
        <v>15</v>
      </c>
      <c r="B16" s="1" t="s">
        <v>244</v>
      </c>
      <c r="C16" s="1" t="s">
        <v>956</v>
      </c>
      <c r="D16" s="1" t="s">
        <v>957</v>
      </c>
      <c r="E16" s="2">
        <v>8000</v>
      </c>
    </row>
    <row r="17" spans="1:5" x14ac:dyDescent="0.3">
      <c r="A17" s="1">
        <v>16</v>
      </c>
      <c r="B17" s="1" t="s">
        <v>244</v>
      </c>
      <c r="C17" s="1" t="s">
        <v>958</v>
      </c>
      <c r="D17" s="1" t="s">
        <v>959</v>
      </c>
      <c r="E17" s="2">
        <v>3000</v>
      </c>
    </row>
    <row r="18" spans="1:5" x14ac:dyDescent="0.3">
      <c r="A18" s="1">
        <v>17</v>
      </c>
      <c r="B18" s="1" t="s">
        <v>244</v>
      </c>
      <c r="C18" s="1" t="s">
        <v>964</v>
      </c>
      <c r="D18" s="1" t="s">
        <v>965</v>
      </c>
      <c r="E18" s="2">
        <v>2000</v>
      </c>
    </row>
    <row r="19" spans="1:5" x14ac:dyDescent="0.3">
      <c r="A19" s="1">
        <v>18</v>
      </c>
      <c r="B19" s="1" t="s">
        <v>249</v>
      </c>
      <c r="C19" s="1" t="s">
        <v>967</v>
      </c>
      <c r="D19" s="1" t="s">
        <v>968</v>
      </c>
      <c r="E19" s="2">
        <v>25000</v>
      </c>
    </row>
    <row r="20" spans="1:5" x14ac:dyDescent="0.3">
      <c r="A20" s="1">
        <v>19</v>
      </c>
      <c r="B20" s="1" t="s">
        <v>249</v>
      </c>
      <c r="C20" s="1" t="s">
        <v>969</v>
      </c>
      <c r="D20" s="1" t="s">
        <v>970</v>
      </c>
      <c r="E20" s="2">
        <v>10000</v>
      </c>
    </row>
    <row r="21" spans="1:5" x14ac:dyDescent="0.3">
      <c r="A21" s="1">
        <v>20</v>
      </c>
      <c r="B21" s="1" t="s">
        <v>249</v>
      </c>
      <c r="C21" s="1" t="s">
        <v>971</v>
      </c>
      <c r="D21" s="1" t="s">
        <v>972</v>
      </c>
      <c r="E21" s="2">
        <v>35000</v>
      </c>
    </row>
    <row r="22" spans="1:5" x14ac:dyDescent="0.3">
      <c r="A22" s="1">
        <v>21</v>
      </c>
      <c r="B22" s="1" t="s">
        <v>249</v>
      </c>
      <c r="C22" s="1" t="s">
        <v>973</v>
      </c>
      <c r="D22" s="1" t="s">
        <v>974</v>
      </c>
      <c r="E22" s="2">
        <v>15000</v>
      </c>
    </row>
    <row r="23" spans="1:5" x14ac:dyDescent="0.3">
      <c r="A23" s="1">
        <v>22</v>
      </c>
      <c r="B23" s="1" t="s">
        <v>249</v>
      </c>
      <c r="C23" s="1" t="s">
        <v>975</v>
      </c>
      <c r="D23" s="1" t="s">
        <v>976</v>
      </c>
      <c r="E23" s="2">
        <v>2000</v>
      </c>
    </row>
    <row r="24" spans="1:5" x14ac:dyDescent="0.3">
      <c r="A24" s="1">
        <v>23</v>
      </c>
      <c r="B24" s="1" t="s">
        <v>249</v>
      </c>
      <c r="C24" s="1" t="s">
        <v>977</v>
      </c>
      <c r="D24" s="1" t="s">
        <v>978</v>
      </c>
      <c r="E24" s="2">
        <v>9000</v>
      </c>
    </row>
    <row r="25" spans="1:5" x14ac:dyDescent="0.3">
      <c r="A25" s="1">
        <v>24</v>
      </c>
      <c r="B25" s="1" t="s">
        <v>249</v>
      </c>
      <c r="C25" s="1" t="s">
        <v>979</v>
      </c>
      <c r="D25" s="1" t="s">
        <v>980</v>
      </c>
      <c r="E25" s="2">
        <v>22000</v>
      </c>
    </row>
    <row r="26" spans="1:5" x14ac:dyDescent="0.3">
      <c r="A26" s="1">
        <v>25</v>
      </c>
      <c r="B26" s="1" t="s">
        <v>249</v>
      </c>
      <c r="C26" s="1" t="s">
        <v>981</v>
      </c>
      <c r="D26" s="1" t="s">
        <v>982</v>
      </c>
      <c r="E26" s="2">
        <v>8000</v>
      </c>
    </row>
    <row r="27" spans="1:5" x14ac:dyDescent="0.3">
      <c r="A27" s="1">
        <v>26</v>
      </c>
      <c r="B27" s="1" t="s">
        <v>249</v>
      </c>
      <c r="C27" s="1" t="s">
        <v>964</v>
      </c>
      <c r="D27" s="1" t="s">
        <v>965</v>
      </c>
      <c r="E27" s="2">
        <v>2000</v>
      </c>
    </row>
    <row r="28" spans="1:5" x14ac:dyDescent="0.3">
      <c r="A28" s="1">
        <v>27</v>
      </c>
      <c r="B28" s="1" t="s">
        <v>254</v>
      </c>
      <c r="C28" s="1" t="s">
        <v>983</v>
      </c>
      <c r="D28" s="1" t="s">
        <v>984</v>
      </c>
      <c r="E28" s="2">
        <v>10000</v>
      </c>
    </row>
    <row r="29" spans="1:5" x14ac:dyDescent="0.3">
      <c r="A29" s="1">
        <v>28</v>
      </c>
      <c r="B29" s="1" t="s">
        <v>254</v>
      </c>
      <c r="C29" s="1" t="s">
        <v>985</v>
      </c>
      <c r="D29" s="1" t="s">
        <v>986</v>
      </c>
      <c r="E29" s="2">
        <v>7000</v>
      </c>
    </row>
    <row r="30" spans="1:5" x14ac:dyDescent="0.3">
      <c r="A30" s="1">
        <v>29</v>
      </c>
      <c r="B30" s="1" t="s">
        <v>254</v>
      </c>
      <c r="C30" s="1" t="s">
        <v>987</v>
      </c>
      <c r="D30" s="1" t="s">
        <v>988</v>
      </c>
      <c r="E30" s="2">
        <v>12000</v>
      </c>
    </row>
    <row r="31" spans="1:5" x14ac:dyDescent="0.3">
      <c r="A31" s="1">
        <v>30</v>
      </c>
      <c r="B31" s="1" t="s">
        <v>254</v>
      </c>
      <c r="C31" s="1" t="s">
        <v>989</v>
      </c>
      <c r="D31" s="1" t="s">
        <v>990</v>
      </c>
      <c r="E31" s="2">
        <v>15000</v>
      </c>
    </row>
    <row r="32" spans="1:5" x14ac:dyDescent="0.3">
      <c r="A32" s="1">
        <v>31</v>
      </c>
      <c r="B32" s="1" t="s">
        <v>254</v>
      </c>
      <c r="C32" s="1" t="s">
        <v>991</v>
      </c>
      <c r="D32" s="1" t="s">
        <v>992</v>
      </c>
      <c r="E32" s="2">
        <v>12000</v>
      </c>
    </row>
    <row r="33" spans="1:5" x14ac:dyDescent="0.3">
      <c r="A33" s="1">
        <v>32</v>
      </c>
      <c r="B33" s="1" t="s">
        <v>259</v>
      </c>
      <c r="C33" s="1" t="s">
        <v>993</v>
      </c>
      <c r="D33" s="1" t="s">
        <v>994</v>
      </c>
      <c r="E33" s="2">
        <v>25000</v>
      </c>
    </row>
    <row r="34" spans="1:5" x14ac:dyDescent="0.3">
      <c r="A34" s="1">
        <v>33</v>
      </c>
      <c r="B34" s="1" t="s">
        <v>259</v>
      </c>
      <c r="C34" s="1" t="s">
        <v>995</v>
      </c>
      <c r="D34" s="1" t="s">
        <v>996</v>
      </c>
      <c r="E34" s="2">
        <v>20000</v>
      </c>
    </row>
    <row r="35" spans="1:5" x14ac:dyDescent="0.3">
      <c r="A35" s="1">
        <v>34</v>
      </c>
      <c r="B35" s="1" t="s">
        <v>259</v>
      </c>
      <c r="C35" s="1" t="s">
        <v>997</v>
      </c>
      <c r="D35" s="1" t="s">
        <v>998</v>
      </c>
      <c r="E35" s="2">
        <v>12000</v>
      </c>
    </row>
    <row r="36" spans="1:5" x14ac:dyDescent="0.3">
      <c r="A36" s="1">
        <v>35</v>
      </c>
      <c r="B36" s="1" t="s">
        <v>259</v>
      </c>
      <c r="C36" s="1" t="s">
        <v>999</v>
      </c>
      <c r="D36" s="1" t="s">
        <v>1000</v>
      </c>
      <c r="E36" s="2">
        <v>8000</v>
      </c>
    </row>
    <row r="37" spans="1:5" x14ac:dyDescent="0.3">
      <c r="A37" s="1">
        <v>36</v>
      </c>
      <c r="B37" s="1" t="s">
        <v>259</v>
      </c>
      <c r="C37" s="1" t="s">
        <v>1001</v>
      </c>
      <c r="D37" s="1" t="s">
        <v>1002</v>
      </c>
      <c r="E37" s="2">
        <v>8000</v>
      </c>
    </row>
    <row r="38" spans="1:5" x14ac:dyDescent="0.3">
      <c r="A38" s="1">
        <v>37</v>
      </c>
      <c r="B38" s="1" t="s">
        <v>259</v>
      </c>
      <c r="C38" s="1" t="s">
        <v>1003</v>
      </c>
      <c r="D38" s="1" t="s">
        <v>1004</v>
      </c>
      <c r="E38" s="2">
        <v>14000</v>
      </c>
    </row>
    <row r="39" spans="1:5" x14ac:dyDescent="0.3">
      <c r="A39" s="1">
        <v>38</v>
      </c>
      <c r="B39" s="1" t="s">
        <v>259</v>
      </c>
      <c r="C39" s="1" t="s">
        <v>1005</v>
      </c>
      <c r="D39" s="1" t="s">
        <v>1006</v>
      </c>
      <c r="E39" s="2">
        <v>26000</v>
      </c>
    </row>
    <row r="40" spans="1:5" x14ac:dyDescent="0.3">
      <c r="A40" s="1">
        <v>39</v>
      </c>
      <c r="B40" s="1" t="s">
        <v>259</v>
      </c>
      <c r="C40" s="1" t="s">
        <v>1007</v>
      </c>
      <c r="D40" s="1" t="s">
        <v>1008</v>
      </c>
      <c r="E40" s="2">
        <v>7000</v>
      </c>
    </row>
    <row r="41" spans="1:5" x14ac:dyDescent="0.3">
      <c r="A41" s="1">
        <v>40</v>
      </c>
      <c r="B41" s="1" t="s">
        <v>259</v>
      </c>
      <c r="C41" s="1" t="s">
        <v>1009</v>
      </c>
      <c r="D41" s="1" t="s">
        <v>1010</v>
      </c>
      <c r="E41" s="2">
        <v>35000</v>
      </c>
    </row>
    <row r="42" spans="1:5" x14ac:dyDescent="0.3">
      <c r="A42" s="1">
        <v>41</v>
      </c>
      <c r="B42" s="1" t="s">
        <v>259</v>
      </c>
      <c r="C42" s="1" t="s">
        <v>1011</v>
      </c>
      <c r="D42" s="1" t="s">
        <v>1012</v>
      </c>
      <c r="E42" s="2">
        <v>8000</v>
      </c>
    </row>
    <row r="43" spans="1:5" x14ac:dyDescent="0.3">
      <c r="A43" s="1">
        <v>42</v>
      </c>
      <c r="B43" s="1" t="s">
        <v>259</v>
      </c>
      <c r="C43" s="1" t="s">
        <v>1013</v>
      </c>
      <c r="D43" s="1" t="s">
        <v>1014</v>
      </c>
      <c r="E43" s="2">
        <v>8000</v>
      </c>
    </row>
    <row r="44" spans="1:5" x14ac:dyDescent="0.3">
      <c r="A44" s="1">
        <v>43</v>
      </c>
      <c r="B44" s="1" t="s">
        <v>264</v>
      </c>
      <c r="C44" s="1" t="s">
        <v>1015</v>
      </c>
      <c r="D44" s="1" t="s">
        <v>1016</v>
      </c>
      <c r="E44" s="2">
        <v>10000</v>
      </c>
    </row>
    <row r="45" spans="1:5" x14ac:dyDescent="0.3">
      <c r="A45" s="1">
        <v>44</v>
      </c>
      <c r="B45" s="1" t="s">
        <v>264</v>
      </c>
      <c r="C45" s="1" t="s">
        <v>1017</v>
      </c>
      <c r="D45" s="1" t="s">
        <v>1018</v>
      </c>
      <c r="E45" s="2">
        <v>8000</v>
      </c>
    </row>
    <row r="46" spans="1:5" x14ac:dyDescent="0.3">
      <c r="A46" s="1">
        <v>45</v>
      </c>
      <c r="B46" s="1" t="s">
        <v>264</v>
      </c>
      <c r="C46" s="1" t="s">
        <v>1019</v>
      </c>
      <c r="D46" s="1" t="s">
        <v>1020</v>
      </c>
      <c r="E46" s="2">
        <v>8000</v>
      </c>
    </row>
    <row r="47" spans="1:5" x14ac:dyDescent="0.3">
      <c r="A47" s="1">
        <v>46</v>
      </c>
      <c r="B47" s="1" t="s">
        <v>264</v>
      </c>
      <c r="C47" s="1" t="s">
        <v>1021</v>
      </c>
      <c r="D47" s="1" t="s">
        <v>1022</v>
      </c>
      <c r="E47" s="2">
        <v>9000</v>
      </c>
    </row>
    <row r="48" spans="1:5" x14ac:dyDescent="0.3">
      <c r="A48" s="1">
        <v>47</v>
      </c>
      <c r="B48" s="1" t="s">
        <v>264</v>
      </c>
      <c r="C48" s="1" t="s">
        <v>1023</v>
      </c>
      <c r="D48" s="1" t="s">
        <v>1024</v>
      </c>
      <c r="E48" s="2">
        <v>5000</v>
      </c>
    </row>
    <row r="49" spans="1:5" x14ac:dyDescent="0.3">
      <c r="A49" s="1">
        <v>48</v>
      </c>
      <c r="B49" s="1" t="s">
        <v>264</v>
      </c>
      <c r="C49" s="1" t="s">
        <v>1025</v>
      </c>
      <c r="D49" s="1" t="s">
        <v>1026</v>
      </c>
      <c r="E49" s="2">
        <v>5000</v>
      </c>
    </row>
    <row r="50" spans="1:5" x14ac:dyDescent="0.3">
      <c r="A50" s="1">
        <v>49</v>
      </c>
      <c r="B50" s="1" t="s">
        <v>264</v>
      </c>
      <c r="C50" s="1" t="s">
        <v>964</v>
      </c>
      <c r="D50" s="1" t="s">
        <v>1027</v>
      </c>
      <c r="E50" s="2">
        <v>2000</v>
      </c>
    </row>
    <row r="51" spans="1:5" x14ac:dyDescent="0.3">
      <c r="A51" s="1">
        <v>50</v>
      </c>
      <c r="B51" s="1" t="s">
        <v>269</v>
      </c>
      <c r="C51" s="1" t="s">
        <v>1028</v>
      </c>
      <c r="D51" s="1" t="s">
        <v>1029</v>
      </c>
      <c r="E51" s="2">
        <v>4000</v>
      </c>
    </row>
    <row r="52" spans="1:5" x14ac:dyDescent="0.3">
      <c r="A52" s="1">
        <v>51</v>
      </c>
      <c r="B52" s="1" t="s">
        <v>269</v>
      </c>
      <c r="C52" s="1" t="s">
        <v>1030</v>
      </c>
      <c r="D52" s="1" t="s">
        <v>1031</v>
      </c>
      <c r="E52" s="2">
        <v>5000</v>
      </c>
    </row>
    <row r="53" spans="1:5" x14ac:dyDescent="0.3">
      <c r="A53" s="1">
        <v>52</v>
      </c>
      <c r="B53" s="1" t="s">
        <v>269</v>
      </c>
      <c r="C53" s="1" t="s">
        <v>1032</v>
      </c>
      <c r="D53" s="1" t="s">
        <v>1033</v>
      </c>
      <c r="E53" s="2">
        <v>6000</v>
      </c>
    </row>
    <row r="54" spans="1:5" x14ac:dyDescent="0.3">
      <c r="A54" s="1">
        <v>53</v>
      </c>
      <c r="B54" s="1" t="s">
        <v>269</v>
      </c>
      <c r="C54" s="1" t="s">
        <v>1034</v>
      </c>
      <c r="D54" s="1" t="s">
        <v>1035</v>
      </c>
      <c r="E54" s="2">
        <v>18000</v>
      </c>
    </row>
    <row r="55" spans="1:5" x14ac:dyDescent="0.3">
      <c r="A55" s="1">
        <v>54</v>
      </c>
      <c r="B55" s="1" t="s">
        <v>269</v>
      </c>
      <c r="C55" s="1" t="s">
        <v>1036</v>
      </c>
      <c r="D55" s="1" t="s">
        <v>1037</v>
      </c>
      <c r="E55" s="2">
        <v>7000</v>
      </c>
    </row>
    <row r="56" spans="1:5" x14ac:dyDescent="0.3">
      <c r="A56" s="1">
        <v>55</v>
      </c>
      <c r="B56" s="1" t="s">
        <v>269</v>
      </c>
      <c r="C56" s="1" t="s">
        <v>1038</v>
      </c>
      <c r="D56" s="1" t="s">
        <v>1039</v>
      </c>
      <c r="E56" s="2">
        <v>4000</v>
      </c>
    </row>
    <row r="57" spans="1:5" x14ac:dyDescent="0.3">
      <c r="A57" s="1">
        <v>56</v>
      </c>
      <c r="B57" s="1" t="s">
        <v>269</v>
      </c>
      <c r="C57" s="1" t="s">
        <v>964</v>
      </c>
      <c r="D57" s="1" t="s">
        <v>1027</v>
      </c>
      <c r="E57" s="2">
        <v>2000</v>
      </c>
    </row>
    <row r="58" spans="1:5" x14ac:dyDescent="0.3">
      <c r="A58" s="1">
        <v>57</v>
      </c>
      <c r="B58" s="1" t="s">
        <v>274</v>
      </c>
      <c r="C58" s="1" t="s">
        <v>1040</v>
      </c>
      <c r="D58" s="1" t="s">
        <v>1041</v>
      </c>
      <c r="E58" s="2">
        <v>6000</v>
      </c>
    </row>
    <row r="59" spans="1:5" x14ac:dyDescent="0.3">
      <c r="A59" s="1">
        <v>58</v>
      </c>
      <c r="B59" s="1" t="s">
        <v>274</v>
      </c>
      <c r="C59" s="1" t="s">
        <v>1042</v>
      </c>
      <c r="D59" s="1" t="s">
        <v>1043</v>
      </c>
      <c r="E59" s="2">
        <v>4000</v>
      </c>
    </row>
    <row r="60" spans="1:5" x14ac:dyDescent="0.3">
      <c r="A60" s="1">
        <v>59</v>
      </c>
      <c r="B60" s="1" t="s">
        <v>274</v>
      </c>
      <c r="C60" s="1" t="s">
        <v>1044</v>
      </c>
      <c r="D60" s="1" t="s">
        <v>1045</v>
      </c>
      <c r="E60" s="2">
        <v>4000</v>
      </c>
    </row>
    <row r="61" spans="1:5" x14ac:dyDescent="0.3">
      <c r="A61" s="1">
        <v>60</v>
      </c>
      <c r="B61" s="1" t="s">
        <v>274</v>
      </c>
      <c r="C61" s="1" t="s">
        <v>1046</v>
      </c>
      <c r="D61" s="1" t="s">
        <v>1047</v>
      </c>
      <c r="E61" s="2">
        <v>4000</v>
      </c>
    </row>
    <row r="62" spans="1:5" x14ac:dyDescent="0.3">
      <c r="A62" s="1">
        <v>61</v>
      </c>
      <c r="B62" s="1" t="s">
        <v>274</v>
      </c>
      <c r="C62" s="1" t="s">
        <v>1048</v>
      </c>
      <c r="D62" s="1" t="s">
        <v>1049</v>
      </c>
      <c r="E62" s="2">
        <v>4000</v>
      </c>
    </row>
    <row r="63" spans="1:5" x14ac:dyDescent="0.3">
      <c r="A63" s="1">
        <v>62</v>
      </c>
      <c r="B63" s="1" t="s">
        <v>279</v>
      </c>
      <c r="C63" s="1" t="s">
        <v>967</v>
      </c>
      <c r="D63" s="1" t="s">
        <v>968</v>
      </c>
      <c r="E63" s="2">
        <v>20000</v>
      </c>
    </row>
    <row r="64" spans="1:5" x14ac:dyDescent="0.3">
      <c r="A64" s="1">
        <v>63</v>
      </c>
      <c r="B64" s="1" t="s">
        <v>279</v>
      </c>
      <c r="C64" s="1" t="s">
        <v>969</v>
      </c>
      <c r="D64" s="1" t="s">
        <v>970</v>
      </c>
      <c r="E64" s="2">
        <v>12000</v>
      </c>
    </row>
    <row r="65" spans="1:5" x14ac:dyDescent="0.3">
      <c r="A65" s="1">
        <v>64</v>
      </c>
      <c r="B65" s="1" t="s">
        <v>279</v>
      </c>
      <c r="C65" s="1" t="s">
        <v>971</v>
      </c>
      <c r="D65" s="1" t="s">
        <v>972</v>
      </c>
      <c r="E65" s="2">
        <v>30000</v>
      </c>
    </row>
    <row r="66" spans="1:5" x14ac:dyDescent="0.3">
      <c r="A66" s="1">
        <v>65</v>
      </c>
      <c r="B66" s="1" t="s">
        <v>279</v>
      </c>
      <c r="C66" s="1" t="s">
        <v>973</v>
      </c>
      <c r="D66" s="1" t="s">
        <v>974</v>
      </c>
      <c r="E66" s="2">
        <v>15000</v>
      </c>
    </row>
    <row r="67" spans="1:5" x14ac:dyDescent="0.3">
      <c r="A67" s="1">
        <v>66</v>
      </c>
      <c r="B67" s="1" t="s">
        <v>279</v>
      </c>
      <c r="C67" s="1" t="s">
        <v>1050</v>
      </c>
      <c r="D67" s="1" t="s">
        <v>1051</v>
      </c>
      <c r="E67" s="2">
        <v>6000</v>
      </c>
    </row>
    <row r="68" spans="1:5" x14ac:dyDescent="0.3">
      <c r="A68" s="1">
        <v>67</v>
      </c>
      <c r="B68" s="1" t="s">
        <v>279</v>
      </c>
      <c r="C68" s="1" t="s">
        <v>1052</v>
      </c>
      <c r="D68" s="1" t="s">
        <v>1053</v>
      </c>
      <c r="E68" s="2">
        <v>18000</v>
      </c>
    </row>
    <row r="69" spans="1:5" x14ac:dyDescent="0.3">
      <c r="A69" s="1">
        <v>68</v>
      </c>
      <c r="B69" s="1" t="s">
        <v>279</v>
      </c>
      <c r="C69" s="1" t="s">
        <v>966</v>
      </c>
      <c r="D69" s="1" t="s">
        <v>1027</v>
      </c>
      <c r="E69" s="2">
        <v>2000</v>
      </c>
    </row>
    <row r="70" spans="1:5" x14ac:dyDescent="0.3">
      <c r="A70" s="1">
        <v>69</v>
      </c>
      <c r="B70" s="1" t="s">
        <v>284</v>
      </c>
      <c r="C70" s="1" t="s">
        <v>1028</v>
      </c>
      <c r="D70" s="1" t="s">
        <v>1029</v>
      </c>
      <c r="E70" s="2">
        <v>7000</v>
      </c>
    </row>
    <row r="71" spans="1:5" x14ac:dyDescent="0.3">
      <c r="A71" s="1">
        <v>70</v>
      </c>
      <c r="B71" s="1" t="s">
        <v>284</v>
      </c>
      <c r="C71" s="1" t="s">
        <v>1030</v>
      </c>
      <c r="D71" s="1" t="s">
        <v>1031</v>
      </c>
      <c r="E71" s="2">
        <v>8000</v>
      </c>
    </row>
    <row r="72" spans="1:5" x14ac:dyDescent="0.3">
      <c r="A72" s="1">
        <v>71</v>
      </c>
      <c r="B72" s="1" t="s">
        <v>284</v>
      </c>
      <c r="C72" s="1" t="s">
        <v>1036</v>
      </c>
      <c r="D72" s="1" t="s">
        <v>1037</v>
      </c>
      <c r="E72" s="2">
        <v>10000</v>
      </c>
    </row>
    <row r="73" spans="1:5" x14ac:dyDescent="0.3">
      <c r="A73" s="1">
        <v>72</v>
      </c>
      <c r="B73" s="1" t="s">
        <v>284</v>
      </c>
      <c r="C73" s="1" t="s">
        <v>1038</v>
      </c>
      <c r="D73" s="1" t="s">
        <v>1039</v>
      </c>
      <c r="E73" s="2">
        <v>4000</v>
      </c>
    </row>
    <row r="74" spans="1:5" x14ac:dyDescent="0.3">
      <c r="A74" s="1">
        <v>73</v>
      </c>
      <c r="B74" s="1" t="s">
        <v>284</v>
      </c>
      <c r="C74" s="1" t="s">
        <v>964</v>
      </c>
      <c r="D74" s="1" t="s">
        <v>1027</v>
      </c>
      <c r="E74" s="2">
        <v>2000</v>
      </c>
    </row>
    <row r="75" spans="1:5" x14ac:dyDescent="0.3">
      <c r="A75" s="1">
        <v>74</v>
      </c>
      <c r="B75" s="1" t="s">
        <v>289</v>
      </c>
      <c r="C75" s="1" t="s">
        <v>993</v>
      </c>
      <c r="D75" s="1" t="s">
        <v>1054</v>
      </c>
      <c r="E75" s="2">
        <v>5000</v>
      </c>
    </row>
    <row r="76" spans="1:5" x14ac:dyDescent="0.3">
      <c r="A76" s="1">
        <v>75</v>
      </c>
      <c r="B76" s="1" t="s">
        <v>289</v>
      </c>
      <c r="C76" s="1" t="s">
        <v>995</v>
      </c>
      <c r="D76" s="1" t="s">
        <v>996</v>
      </c>
      <c r="E76" s="2">
        <v>6000</v>
      </c>
    </row>
    <row r="77" spans="1:5" x14ac:dyDescent="0.3">
      <c r="A77" s="1">
        <v>76</v>
      </c>
      <c r="B77" s="1" t="s">
        <v>289</v>
      </c>
      <c r="C77" s="1" t="s">
        <v>997</v>
      </c>
      <c r="D77" s="1" t="s">
        <v>1055</v>
      </c>
      <c r="E77" s="2">
        <v>5500</v>
      </c>
    </row>
    <row r="78" spans="1:5" x14ac:dyDescent="0.3">
      <c r="A78" s="1">
        <v>77</v>
      </c>
      <c r="B78" s="1" t="s">
        <v>289</v>
      </c>
      <c r="C78" s="1" t="s">
        <v>999</v>
      </c>
      <c r="D78" s="1" t="s">
        <v>1000</v>
      </c>
      <c r="E78" s="2">
        <v>6000</v>
      </c>
    </row>
    <row r="79" spans="1:5" x14ac:dyDescent="0.3">
      <c r="A79" s="1">
        <v>78</v>
      </c>
      <c r="B79" s="1" t="s">
        <v>289</v>
      </c>
      <c r="C79" s="1" t="s">
        <v>1001</v>
      </c>
      <c r="D79" s="1" t="s">
        <v>1002</v>
      </c>
      <c r="E79" s="2">
        <v>4500</v>
      </c>
    </row>
    <row r="80" spans="1:5" x14ac:dyDescent="0.3">
      <c r="A80" s="1">
        <v>79</v>
      </c>
      <c r="B80" s="1" t="s">
        <v>289</v>
      </c>
      <c r="C80" s="1" t="s">
        <v>1003</v>
      </c>
      <c r="D80" s="1" t="s">
        <v>1056</v>
      </c>
      <c r="E80" s="2">
        <v>4000</v>
      </c>
    </row>
    <row r="81" spans="1:5" x14ac:dyDescent="0.3">
      <c r="A81" s="1">
        <v>80</v>
      </c>
      <c r="B81" s="1" t="s">
        <v>289</v>
      </c>
      <c r="C81" s="1" t="s">
        <v>1005</v>
      </c>
      <c r="D81" s="1" t="s">
        <v>1006</v>
      </c>
      <c r="E81" s="2">
        <v>3000</v>
      </c>
    </row>
    <row r="82" spans="1:5" x14ac:dyDescent="0.3">
      <c r="A82" s="1">
        <v>81</v>
      </c>
      <c r="B82" s="1" t="s">
        <v>289</v>
      </c>
      <c r="C82" s="1" t="s">
        <v>1007</v>
      </c>
      <c r="D82" s="1" t="s">
        <v>1008</v>
      </c>
      <c r="E82" s="2">
        <v>2500</v>
      </c>
    </row>
    <row r="83" spans="1:5" x14ac:dyDescent="0.3">
      <c r="A83" s="1">
        <v>82</v>
      </c>
      <c r="B83" s="1" t="s">
        <v>289</v>
      </c>
      <c r="C83" s="1" t="s">
        <v>1009</v>
      </c>
      <c r="D83" s="1" t="s">
        <v>1010</v>
      </c>
      <c r="E83" s="2">
        <v>8000</v>
      </c>
    </row>
    <row r="84" spans="1:5" x14ac:dyDescent="0.3">
      <c r="A84" s="1">
        <v>83</v>
      </c>
      <c r="B84" s="1" t="s">
        <v>289</v>
      </c>
      <c r="C84" s="1" t="s">
        <v>1057</v>
      </c>
      <c r="D84" s="1" t="s">
        <v>1058</v>
      </c>
      <c r="E84" s="2">
        <v>9000</v>
      </c>
    </row>
    <row r="85" spans="1:5" x14ac:dyDescent="0.3">
      <c r="A85" s="1">
        <v>84</v>
      </c>
      <c r="B85" s="1" t="s">
        <v>289</v>
      </c>
      <c r="C85" s="1" t="s">
        <v>1011</v>
      </c>
      <c r="D85" s="1" t="s">
        <v>1012</v>
      </c>
      <c r="E85" s="2">
        <v>8000</v>
      </c>
    </row>
    <row r="86" spans="1:5" x14ac:dyDescent="0.3">
      <c r="A86" s="1">
        <v>85</v>
      </c>
      <c r="B86" s="1" t="s">
        <v>289</v>
      </c>
      <c r="C86" s="1" t="s">
        <v>1013</v>
      </c>
      <c r="D86" s="1" t="s">
        <v>1014</v>
      </c>
      <c r="E86" s="2">
        <v>6000</v>
      </c>
    </row>
    <row r="87" spans="1:5" x14ac:dyDescent="0.3">
      <c r="A87" s="1">
        <v>86</v>
      </c>
      <c r="B87" s="1" t="s">
        <v>289</v>
      </c>
      <c r="C87" s="1" t="s">
        <v>964</v>
      </c>
      <c r="D87" s="1" t="s">
        <v>1027</v>
      </c>
      <c r="E87" s="2">
        <v>1500</v>
      </c>
    </row>
    <row r="88" spans="1:5" x14ac:dyDescent="0.3">
      <c r="A88" s="1">
        <v>87</v>
      </c>
      <c r="B88" s="1" t="s">
        <v>294</v>
      </c>
      <c r="C88" s="1" t="s">
        <v>1040</v>
      </c>
      <c r="D88" s="1" t="s">
        <v>1041</v>
      </c>
      <c r="E88" s="2">
        <v>4500</v>
      </c>
    </row>
    <row r="89" spans="1:5" x14ac:dyDescent="0.3">
      <c r="A89" s="1">
        <v>88</v>
      </c>
      <c r="B89" s="1" t="s">
        <v>294</v>
      </c>
      <c r="C89" s="1" t="s">
        <v>1042</v>
      </c>
      <c r="D89" s="1" t="s">
        <v>1043</v>
      </c>
      <c r="E89" s="2">
        <v>3000</v>
      </c>
    </row>
    <row r="90" spans="1:5" x14ac:dyDescent="0.3">
      <c r="A90" s="1">
        <v>89</v>
      </c>
      <c r="B90" s="1" t="s">
        <v>294</v>
      </c>
      <c r="C90" s="1" t="s">
        <v>1044</v>
      </c>
      <c r="D90" s="1" t="s">
        <v>1045</v>
      </c>
      <c r="E90" s="2">
        <v>2000</v>
      </c>
    </row>
    <row r="91" spans="1:5" x14ac:dyDescent="0.3">
      <c r="A91" s="1">
        <v>90</v>
      </c>
      <c r="B91" s="1" t="s">
        <v>294</v>
      </c>
      <c r="C91" s="1" t="s">
        <v>1059</v>
      </c>
      <c r="D91" s="1" t="s">
        <v>1060</v>
      </c>
      <c r="E91" s="1">
        <v>500</v>
      </c>
    </row>
    <row r="92" spans="1:5" x14ac:dyDescent="0.3">
      <c r="A92" s="1">
        <v>91</v>
      </c>
      <c r="B92" s="1" t="s">
        <v>294</v>
      </c>
      <c r="C92" s="1" t="s">
        <v>1046</v>
      </c>
      <c r="D92" s="1" t="s">
        <v>1047</v>
      </c>
      <c r="E92" s="1">
        <v>700</v>
      </c>
    </row>
    <row r="93" spans="1:5" x14ac:dyDescent="0.3">
      <c r="A93" s="1">
        <v>92</v>
      </c>
      <c r="B93" s="1" t="s">
        <v>294</v>
      </c>
      <c r="C93" s="1" t="s">
        <v>1048</v>
      </c>
      <c r="D93" s="1" t="s">
        <v>1049</v>
      </c>
      <c r="E93" s="1">
        <v>700</v>
      </c>
    </row>
    <row r="94" spans="1:5" x14ac:dyDescent="0.3">
      <c r="A94" s="1">
        <v>93</v>
      </c>
      <c r="B94" s="1" t="s">
        <v>294</v>
      </c>
      <c r="C94" s="1" t="s">
        <v>1061</v>
      </c>
      <c r="D94" s="1" t="s">
        <v>1062</v>
      </c>
      <c r="E94" s="2">
        <v>2500</v>
      </c>
    </row>
    <row r="95" spans="1:5" x14ac:dyDescent="0.3">
      <c r="A95" s="1">
        <v>94</v>
      </c>
      <c r="B95" s="1" t="s">
        <v>294</v>
      </c>
      <c r="C95" s="1" t="s">
        <v>1063</v>
      </c>
      <c r="D95" s="1" t="s">
        <v>1064</v>
      </c>
      <c r="E95" s="2">
        <v>3500</v>
      </c>
    </row>
    <row r="96" spans="1:5" x14ac:dyDescent="0.3">
      <c r="A96" s="1">
        <v>95</v>
      </c>
      <c r="B96" s="1" t="s">
        <v>294</v>
      </c>
      <c r="C96" s="1" t="s">
        <v>964</v>
      </c>
      <c r="D96" s="1" t="s">
        <v>1027</v>
      </c>
      <c r="E96" s="2">
        <v>1500</v>
      </c>
    </row>
    <row r="97" spans="1:5" x14ac:dyDescent="0.3">
      <c r="A97" s="1">
        <v>96</v>
      </c>
      <c r="B97" s="1" t="s">
        <v>294</v>
      </c>
      <c r="C97" s="1" t="s">
        <v>966</v>
      </c>
      <c r="D97" s="1" t="s">
        <v>1027</v>
      </c>
      <c r="E97" s="2">
        <v>1500</v>
      </c>
    </row>
    <row r="98" spans="1:5" x14ac:dyDescent="0.3">
      <c r="A98" s="1">
        <v>97</v>
      </c>
      <c r="B98" s="1" t="s">
        <v>299</v>
      </c>
      <c r="C98" s="1" t="s">
        <v>1028</v>
      </c>
      <c r="D98" s="1" t="s">
        <v>1029</v>
      </c>
      <c r="E98" s="2">
        <v>4000</v>
      </c>
    </row>
    <row r="99" spans="1:5" x14ac:dyDescent="0.3">
      <c r="A99" s="1">
        <v>98</v>
      </c>
      <c r="B99" s="1" t="s">
        <v>299</v>
      </c>
      <c r="C99" s="1" t="s">
        <v>1030</v>
      </c>
      <c r="D99" s="1" t="s">
        <v>1031</v>
      </c>
      <c r="E99" s="2">
        <v>5000</v>
      </c>
    </row>
    <row r="100" spans="1:5" x14ac:dyDescent="0.3">
      <c r="A100" s="1">
        <v>99</v>
      </c>
      <c r="B100" s="1" t="s">
        <v>299</v>
      </c>
      <c r="C100" s="1" t="s">
        <v>1032</v>
      </c>
      <c r="D100" s="1" t="s">
        <v>1033</v>
      </c>
      <c r="E100" s="2">
        <v>5000</v>
      </c>
    </row>
    <row r="101" spans="1:5" x14ac:dyDescent="0.3">
      <c r="A101" s="1">
        <v>100</v>
      </c>
      <c r="B101" s="1" t="s">
        <v>299</v>
      </c>
      <c r="C101" s="1" t="s">
        <v>1034</v>
      </c>
      <c r="D101" s="1" t="s">
        <v>1035</v>
      </c>
      <c r="E101" s="2">
        <v>6000</v>
      </c>
    </row>
    <row r="102" spans="1:5" x14ac:dyDescent="0.3">
      <c r="A102" s="1">
        <v>101</v>
      </c>
      <c r="B102" s="1" t="s">
        <v>299</v>
      </c>
      <c r="C102" s="1" t="s">
        <v>1036</v>
      </c>
      <c r="D102" s="1" t="s">
        <v>1037</v>
      </c>
      <c r="E102" s="2">
        <v>5000</v>
      </c>
    </row>
    <row r="103" spans="1:5" x14ac:dyDescent="0.3">
      <c r="A103" s="1">
        <v>102</v>
      </c>
      <c r="B103" s="1" t="s">
        <v>299</v>
      </c>
      <c r="C103" s="1" t="s">
        <v>1038</v>
      </c>
      <c r="D103" s="1" t="s">
        <v>1039</v>
      </c>
      <c r="E103" s="2">
        <v>2000</v>
      </c>
    </row>
    <row r="104" spans="1:5" x14ac:dyDescent="0.3">
      <c r="A104" s="1">
        <v>103</v>
      </c>
      <c r="B104" s="1" t="s">
        <v>299</v>
      </c>
      <c r="C104" s="1" t="s">
        <v>1065</v>
      </c>
      <c r="D104" s="1" t="s">
        <v>1066</v>
      </c>
      <c r="E104" s="2">
        <v>4000</v>
      </c>
    </row>
    <row r="105" spans="1:5" x14ac:dyDescent="0.3">
      <c r="A105" s="1">
        <v>104</v>
      </c>
      <c r="B105" s="1" t="s">
        <v>299</v>
      </c>
      <c r="C105" s="1" t="s">
        <v>1067</v>
      </c>
      <c r="D105" s="1" t="s">
        <v>1068</v>
      </c>
      <c r="E105" s="2">
        <v>6500</v>
      </c>
    </row>
    <row r="106" spans="1:5" x14ac:dyDescent="0.3">
      <c r="A106" s="1">
        <v>105</v>
      </c>
      <c r="B106" s="1" t="s">
        <v>299</v>
      </c>
      <c r="C106" s="1" t="s">
        <v>1069</v>
      </c>
      <c r="D106" s="1" t="s">
        <v>1070</v>
      </c>
      <c r="E106" s="2">
        <v>8000</v>
      </c>
    </row>
    <row r="107" spans="1:5" x14ac:dyDescent="0.3">
      <c r="A107" s="1">
        <v>106</v>
      </c>
      <c r="B107" s="1" t="s">
        <v>304</v>
      </c>
      <c r="C107" s="1" t="s">
        <v>1040</v>
      </c>
      <c r="D107" s="1" t="s">
        <v>1041</v>
      </c>
      <c r="E107" s="2">
        <v>4500</v>
      </c>
    </row>
    <row r="108" spans="1:5" x14ac:dyDescent="0.3">
      <c r="A108" s="1">
        <v>107</v>
      </c>
      <c r="B108" s="1" t="s">
        <v>304</v>
      </c>
      <c r="C108" s="1" t="s">
        <v>1042</v>
      </c>
      <c r="D108" s="1" t="s">
        <v>1043</v>
      </c>
      <c r="E108" s="2">
        <v>3000</v>
      </c>
    </row>
    <row r="109" spans="1:5" x14ac:dyDescent="0.3">
      <c r="A109" s="1">
        <v>108</v>
      </c>
      <c r="B109" s="1" t="s">
        <v>304</v>
      </c>
      <c r="C109" s="1" t="s">
        <v>1044</v>
      </c>
      <c r="D109" s="1" t="s">
        <v>1045</v>
      </c>
      <c r="E109" s="2">
        <v>2000</v>
      </c>
    </row>
    <row r="110" spans="1:5" x14ac:dyDescent="0.3">
      <c r="A110" s="1">
        <v>109</v>
      </c>
      <c r="B110" s="1" t="s">
        <v>304</v>
      </c>
      <c r="C110" s="1" t="s">
        <v>1059</v>
      </c>
      <c r="D110" s="1" t="s">
        <v>1071</v>
      </c>
      <c r="E110" s="1">
        <v>500</v>
      </c>
    </row>
    <row r="111" spans="1:5" x14ac:dyDescent="0.3">
      <c r="A111" s="1">
        <v>110</v>
      </c>
      <c r="B111" s="1" t="s">
        <v>304</v>
      </c>
      <c r="C111" s="1" t="s">
        <v>1046</v>
      </c>
      <c r="D111" s="1" t="s">
        <v>1047</v>
      </c>
      <c r="E111" s="1">
        <v>700</v>
      </c>
    </row>
    <row r="112" spans="1:5" x14ac:dyDescent="0.3">
      <c r="A112" s="1">
        <v>111</v>
      </c>
      <c r="B112" s="1" t="s">
        <v>304</v>
      </c>
      <c r="C112" s="1" t="s">
        <v>1048</v>
      </c>
      <c r="D112" s="1" t="s">
        <v>1072</v>
      </c>
      <c r="E112" s="1">
        <v>700</v>
      </c>
    </row>
    <row r="113" spans="1:5" x14ac:dyDescent="0.3">
      <c r="A113" s="1">
        <v>112</v>
      </c>
      <c r="B113" s="1" t="s">
        <v>304</v>
      </c>
      <c r="C113" s="1" t="s">
        <v>1061</v>
      </c>
      <c r="D113" s="1" t="s">
        <v>1062</v>
      </c>
      <c r="E113" s="2">
        <v>2500</v>
      </c>
    </row>
    <row r="114" spans="1:5" x14ac:dyDescent="0.3">
      <c r="A114" s="1">
        <v>113</v>
      </c>
      <c r="B114" s="1" t="s">
        <v>304</v>
      </c>
      <c r="C114" s="1" t="s">
        <v>1063</v>
      </c>
      <c r="D114" s="1" t="s">
        <v>1064</v>
      </c>
      <c r="E114" s="2">
        <v>3500</v>
      </c>
    </row>
    <row r="115" spans="1:5" x14ac:dyDescent="0.3">
      <c r="A115" s="1">
        <v>114</v>
      </c>
      <c r="B115" s="1" t="s">
        <v>309</v>
      </c>
      <c r="C115" s="1" t="s">
        <v>946</v>
      </c>
      <c r="D115" s="1" t="s">
        <v>947</v>
      </c>
      <c r="E115" s="2">
        <v>15000</v>
      </c>
    </row>
    <row r="116" spans="1:5" x14ac:dyDescent="0.3">
      <c r="A116" s="1">
        <v>115</v>
      </c>
      <c r="B116" s="1" t="s">
        <v>309</v>
      </c>
      <c r="C116" s="1" t="s">
        <v>948</v>
      </c>
      <c r="D116" s="1" t="s">
        <v>1073</v>
      </c>
      <c r="E116" s="2">
        <v>5000</v>
      </c>
    </row>
    <row r="117" spans="1:5" x14ac:dyDescent="0.3">
      <c r="A117" s="1">
        <v>116</v>
      </c>
      <c r="B117" s="1" t="s">
        <v>309</v>
      </c>
      <c r="C117" s="1" t="s">
        <v>950</v>
      </c>
      <c r="D117" s="1" t="s">
        <v>1074</v>
      </c>
      <c r="E117" s="2">
        <v>4000</v>
      </c>
    </row>
    <row r="118" spans="1:5" x14ac:dyDescent="0.3">
      <c r="A118" s="1">
        <v>117</v>
      </c>
      <c r="B118" s="1" t="s">
        <v>309</v>
      </c>
      <c r="C118" s="1" t="s">
        <v>952</v>
      </c>
      <c r="D118" s="1" t="s">
        <v>953</v>
      </c>
      <c r="E118" s="2">
        <v>17000</v>
      </c>
    </row>
    <row r="119" spans="1:5" x14ac:dyDescent="0.3">
      <c r="A119" s="1">
        <v>118</v>
      </c>
      <c r="B119" s="1" t="s">
        <v>309</v>
      </c>
      <c r="C119" s="1" t="s">
        <v>954</v>
      </c>
      <c r="D119" s="1" t="s">
        <v>955</v>
      </c>
      <c r="E119" s="2">
        <v>11000</v>
      </c>
    </row>
    <row r="120" spans="1:5" x14ac:dyDescent="0.3">
      <c r="A120" s="1">
        <v>119</v>
      </c>
      <c r="B120" s="1" t="s">
        <v>309</v>
      </c>
      <c r="C120" s="1" t="s">
        <v>956</v>
      </c>
      <c r="D120" s="1" t="s">
        <v>1075</v>
      </c>
      <c r="E120" s="2">
        <v>6000</v>
      </c>
    </row>
    <row r="121" spans="1:5" x14ac:dyDescent="0.3">
      <c r="A121" s="1">
        <v>120</v>
      </c>
      <c r="B121" s="1" t="s">
        <v>309</v>
      </c>
      <c r="C121" s="1" t="s">
        <v>958</v>
      </c>
      <c r="D121" s="1" t="s">
        <v>959</v>
      </c>
      <c r="E121" s="2">
        <v>4500</v>
      </c>
    </row>
    <row r="122" spans="1:5" x14ac:dyDescent="0.3">
      <c r="A122" s="1">
        <v>121</v>
      </c>
      <c r="B122" s="1" t="s">
        <v>309</v>
      </c>
      <c r="C122" s="1" t="s">
        <v>960</v>
      </c>
      <c r="D122" s="1" t="s">
        <v>961</v>
      </c>
      <c r="E122" s="2">
        <v>8500</v>
      </c>
    </row>
    <row r="123" spans="1:5" x14ac:dyDescent="0.3">
      <c r="A123" s="1">
        <v>122</v>
      </c>
      <c r="B123" s="1" t="s">
        <v>309</v>
      </c>
      <c r="C123" s="1" t="s">
        <v>962</v>
      </c>
      <c r="D123" s="1" t="s">
        <v>963</v>
      </c>
      <c r="E123" s="2">
        <v>2000</v>
      </c>
    </row>
    <row r="124" spans="1:5" x14ac:dyDescent="0.3">
      <c r="A124" s="1">
        <v>123</v>
      </c>
      <c r="B124" s="1" t="s">
        <v>314</v>
      </c>
      <c r="C124" s="1" t="s">
        <v>1076</v>
      </c>
      <c r="D124" s="1" t="s">
        <v>1077</v>
      </c>
      <c r="E124" s="2">
        <v>10000</v>
      </c>
    </row>
    <row r="125" spans="1:5" x14ac:dyDescent="0.3">
      <c r="A125" s="1">
        <v>124</v>
      </c>
      <c r="B125" s="1" t="s">
        <v>314</v>
      </c>
      <c r="C125" s="1" t="s">
        <v>1078</v>
      </c>
      <c r="D125" s="1" t="s">
        <v>1079</v>
      </c>
      <c r="E125" s="2">
        <v>10500</v>
      </c>
    </row>
    <row r="126" spans="1:5" x14ac:dyDescent="0.3">
      <c r="A126" s="1">
        <v>125</v>
      </c>
      <c r="B126" s="1" t="s">
        <v>314</v>
      </c>
      <c r="C126" s="1" t="s">
        <v>1080</v>
      </c>
      <c r="D126" s="1" t="s">
        <v>1081</v>
      </c>
      <c r="E126" s="2">
        <v>11000</v>
      </c>
    </row>
    <row r="127" spans="1:5" x14ac:dyDescent="0.3">
      <c r="A127" s="1">
        <v>126</v>
      </c>
      <c r="B127" s="1" t="s">
        <v>314</v>
      </c>
      <c r="C127" s="1" t="s">
        <v>1082</v>
      </c>
      <c r="D127" s="1" t="s">
        <v>1083</v>
      </c>
      <c r="E127" s="2">
        <v>11000</v>
      </c>
    </row>
    <row r="128" spans="1:5" x14ac:dyDescent="0.3">
      <c r="A128" s="1">
        <v>127</v>
      </c>
      <c r="B128" s="1" t="s">
        <v>314</v>
      </c>
      <c r="C128" s="1" t="s">
        <v>1084</v>
      </c>
      <c r="D128" s="1" t="s">
        <v>1085</v>
      </c>
      <c r="E128" s="2">
        <v>12000</v>
      </c>
    </row>
    <row r="129" spans="1:5" x14ac:dyDescent="0.3">
      <c r="A129" s="1">
        <v>128</v>
      </c>
      <c r="B129" s="1" t="s">
        <v>314</v>
      </c>
      <c r="C129" s="1" t="s">
        <v>1086</v>
      </c>
      <c r="D129" s="1" t="s">
        <v>1087</v>
      </c>
      <c r="E129" s="2">
        <v>12000</v>
      </c>
    </row>
    <row r="130" spans="1:5" x14ac:dyDescent="0.3">
      <c r="A130" s="1">
        <v>129</v>
      </c>
      <c r="B130" s="1" t="s">
        <v>314</v>
      </c>
      <c r="C130" s="1" t="s">
        <v>1088</v>
      </c>
      <c r="D130" s="1" t="s">
        <v>1089</v>
      </c>
      <c r="E130" s="2">
        <v>11000</v>
      </c>
    </row>
    <row r="131" spans="1:5" x14ac:dyDescent="0.3">
      <c r="A131" s="1">
        <v>130</v>
      </c>
      <c r="B131" s="1" t="s">
        <v>319</v>
      </c>
      <c r="C131" s="1" t="s">
        <v>993</v>
      </c>
      <c r="D131" s="1" t="s">
        <v>994</v>
      </c>
      <c r="E131" s="2">
        <v>5000</v>
      </c>
    </row>
    <row r="132" spans="1:5" x14ac:dyDescent="0.3">
      <c r="A132" s="1">
        <v>131</v>
      </c>
      <c r="B132" s="1" t="s">
        <v>319</v>
      </c>
      <c r="C132" s="1" t="s">
        <v>995</v>
      </c>
      <c r="D132" s="1" t="s">
        <v>1090</v>
      </c>
      <c r="E132" s="2">
        <v>6000</v>
      </c>
    </row>
    <row r="133" spans="1:5" x14ac:dyDescent="0.3">
      <c r="A133" s="1">
        <v>132</v>
      </c>
      <c r="B133" s="1" t="s">
        <v>319</v>
      </c>
      <c r="C133" s="1" t="s">
        <v>997</v>
      </c>
      <c r="D133" s="1" t="s">
        <v>998</v>
      </c>
      <c r="E133" s="2">
        <v>5500</v>
      </c>
    </row>
    <row r="134" spans="1:5" x14ac:dyDescent="0.3">
      <c r="A134" s="1">
        <v>133</v>
      </c>
      <c r="B134" s="1" t="s">
        <v>319</v>
      </c>
      <c r="C134" s="1" t="s">
        <v>999</v>
      </c>
      <c r="D134" s="1" t="s">
        <v>1000</v>
      </c>
      <c r="E134" s="2">
        <v>6000</v>
      </c>
    </row>
    <row r="135" spans="1:5" x14ac:dyDescent="0.3">
      <c r="A135" s="1">
        <v>134</v>
      </c>
      <c r="B135" s="1" t="s">
        <v>319</v>
      </c>
      <c r="C135" s="1" t="s">
        <v>1001</v>
      </c>
      <c r="D135" s="1" t="s">
        <v>1091</v>
      </c>
      <c r="E135" s="2">
        <v>4500</v>
      </c>
    </row>
    <row r="136" spans="1:5" x14ac:dyDescent="0.3">
      <c r="A136" s="1">
        <v>135</v>
      </c>
      <c r="B136" s="1" t="s">
        <v>319</v>
      </c>
      <c r="C136" s="1" t="s">
        <v>1003</v>
      </c>
      <c r="D136" s="1" t="s">
        <v>1004</v>
      </c>
      <c r="E136" s="2">
        <v>4000</v>
      </c>
    </row>
    <row r="137" spans="1:5" x14ac:dyDescent="0.3">
      <c r="A137" s="1">
        <v>136</v>
      </c>
      <c r="B137" s="1" t="s">
        <v>319</v>
      </c>
      <c r="C137" s="1" t="s">
        <v>1005</v>
      </c>
      <c r="D137" s="1" t="s">
        <v>1006</v>
      </c>
      <c r="E137" s="2">
        <v>3000</v>
      </c>
    </row>
    <row r="138" spans="1:5" x14ac:dyDescent="0.3">
      <c r="A138" s="1">
        <v>137</v>
      </c>
      <c r="B138" s="1" t="s">
        <v>319</v>
      </c>
      <c r="C138" s="1" t="s">
        <v>1007</v>
      </c>
      <c r="D138" s="1" t="s">
        <v>1008</v>
      </c>
      <c r="E138" s="2">
        <v>2500</v>
      </c>
    </row>
    <row r="139" spans="1:5" x14ac:dyDescent="0.3">
      <c r="A139" s="1">
        <v>138</v>
      </c>
      <c r="B139" s="1" t="s">
        <v>319</v>
      </c>
      <c r="C139" s="1" t="s">
        <v>1009</v>
      </c>
      <c r="D139" s="1" t="s">
        <v>1010</v>
      </c>
      <c r="E139" s="2">
        <v>8000</v>
      </c>
    </row>
    <row r="140" spans="1:5" x14ac:dyDescent="0.3">
      <c r="A140" s="1">
        <v>139</v>
      </c>
      <c r="B140" s="1" t="s">
        <v>319</v>
      </c>
      <c r="C140" s="1" t="s">
        <v>1057</v>
      </c>
      <c r="D140" s="1" t="s">
        <v>1058</v>
      </c>
      <c r="E140" s="2">
        <v>9000</v>
      </c>
    </row>
    <row r="141" spans="1:5" x14ac:dyDescent="0.3">
      <c r="A141" s="1">
        <v>140</v>
      </c>
      <c r="B141" s="1" t="s">
        <v>319</v>
      </c>
      <c r="C141" s="1" t="s">
        <v>1011</v>
      </c>
      <c r="D141" s="1" t="s">
        <v>1012</v>
      </c>
      <c r="E141" s="2">
        <v>8000</v>
      </c>
    </row>
    <row r="142" spans="1:5" x14ac:dyDescent="0.3">
      <c r="A142" s="1">
        <v>141</v>
      </c>
      <c r="B142" s="1" t="s">
        <v>319</v>
      </c>
      <c r="C142" s="1" t="s">
        <v>1013</v>
      </c>
      <c r="D142" s="1" t="s">
        <v>1014</v>
      </c>
      <c r="E142" s="2">
        <v>6000</v>
      </c>
    </row>
    <row r="143" spans="1:5" x14ac:dyDescent="0.3">
      <c r="A143" s="1">
        <v>142</v>
      </c>
      <c r="B143" s="1" t="s">
        <v>319</v>
      </c>
      <c r="C143" s="1" t="s">
        <v>966</v>
      </c>
      <c r="D143" s="1" t="s">
        <v>1027</v>
      </c>
      <c r="E143" s="2">
        <v>1500</v>
      </c>
    </row>
    <row r="144" spans="1:5" x14ac:dyDescent="0.3">
      <c r="A144" s="1">
        <v>143</v>
      </c>
      <c r="B144" s="1" t="s">
        <v>324</v>
      </c>
      <c r="C144" s="1" t="s">
        <v>1028</v>
      </c>
      <c r="D144" s="1" t="s">
        <v>1029</v>
      </c>
      <c r="E144" s="2">
        <v>4000</v>
      </c>
    </row>
    <row r="145" spans="1:5" x14ac:dyDescent="0.3">
      <c r="A145" s="1">
        <v>144</v>
      </c>
      <c r="B145" s="1" t="s">
        <v>324</v>
      </c>
      <c r="C145" s="1" t="s">
        <v>1030</v>
      </c>
      <c r="D145" s="1" t="s">
        <v>1031</v>
      </c>
      <c r="E145" s="2">
        <v>5000</v>
      </c>
    </row>
    <row r="146" spans="1:5" x14ac:dyDescent="0.3">
      <c r="A146" s="1">
        <v>145</v>
      </c>
      <c r="B146" s="1" t="s">
        <v>324</v>
      </c>
      <c r="C146" s="1" t="s">
        <v>1032</v>
      </c>
      <c r="D146" s="1" t="s">
        <v>1033</v>
      </c>
      <c r="E146" s="2">
        <v>5000</v>
      </c>
    </row>
    <row r="147" spans="1:5" x14ac:dyDescent="0.3">
      <c r="A147" s="1">
        <v>146</v>
      </c>
      <c r="B147" s="1" t="s">
        <v>324</v>
      </c>
      <c r="C147" s="1" t="s">
        <v>1034</v>
      </c>
      <c r="D147" s="1" t="s">
        <v>1035</v>
      </c>
      <c r="E147" s="2">
        <v>6000</v>
      </c>
    </row>
    <row r="148" spans="1:5" x14ac:dyDescent="0.3">
      <c r="A148" s="1">
        <v>147</v>
      </c>
      <c r="B148" s="1" t="s">
        <v>324</v>
      </c>
      <c r="C148" s="1" t="s">
        <v>1036</v>
      </c>
      <c r="D148" s="1" t="s">
        <v>1037</v>
      </c>
      <c r="E148" s="2">
        <v>5000</v>
      </c>
    </row>
    <row r="149" spans="1:5" x14ac:dyDescent="0.3">
      <c r="A149" s="1">
        <v>148</v>
      </c>
      <c r="B149" s="1" t="s">
        <v>324</v>
      </c>
      <c r="C149" s="1" t="s">
        <v>1038</v>
      </c>
      <c r="D149" s="1" t="s">
        <v>1039</v>
      </c>
      <c r="E149" s="2">
        <v>2000</v>
      </c>
    </row>
    <row r="150" spans="1:5" x14ac:dyDescent="0.3">
      <c r="A150" s="1">
        <v>149</v>
      </c>
      <c r="B150" s="1" t="s">
        <v>324</v>
      </c>
      <c r="C150" s="1" t="s">
        <v>1065</v>
      </c>
      <c r="D150" s="1" t="s">
        <v>1066</v>
      </c>
      <c r="E150" s="2">
        <v>4000</v>
      </c>
    </row>
    <row r="151" spans="1:5" x14ac:dyDescent="0.3">
      <c r="A151" s="1">
        <v>150</v>
      </c>
      <c r="B151" s="1" t="s">
        <v>324</v>
      </c>
      <c r="C151" s="1" t="s">
        <v>1067</v>
      </c>
      <c r="D151" s="1" t="s">
        <v>1068</v>
      </c>
      <c r="E151" s="2">
        <v>6500</v>
      </c>
    </row>
    <row r="152" spans="1:5" x14ac:dyDescent="0.3">
      <c r="A152" s="1">
        <v>151</v>
      </c>
      <c r="B152" s="1" t="s">
        <v>324</v>
      </c>
      <c r="C152" s="1" t="s">
        <v>1069</v>
      </c>
      <c r="D152" s="1" t="s">
        <v>1070</v>
      </c>
      <c r="E152" s="2">
        <v>8000</v>
      </c>
    </row>
    <row r="153" spans="1:5" x14ac:dyDescent="0.3">
      <c r="A153" s="1">
        <v>152</v>
      </c>
      <c r="B153" s="1" t="s">
        <v>329</v>
      </c>
      <c r="C153" s="1" t="s">
        <v>1028</v>
      </c>
      <c r="D153" s="1" t="s">
        <v>1029</v>
      </c>
      <c r="E153" s="2">
        <v>4000</v>
      </c>
    </row>
    <row r="154" spans="1:5" x14ac:dyDescent="0.3">
      <c r="A154" s="1">
        <v>153</v>
      </c>
      <c r="B154" s="1" t="s">
        <v>329</v>
      </c>
      <c r="C154" s="1" t="s">
        <v>1030</v>
      </c>
      <c r="D154" s="1" t="s">
        <v>1031</v>
      </c>
      <c r="E154" s="2">
        <v>5000</v>
      </c>
    </row>
    <row r="155" spans="1:5" x14ac:dyDescent="0.3">
      <c r="A155" s="1">
        <v>154</v>
      </c>
      <c r="B155" s="1" t="s">
        <v>329</v>
      </c>
      <c r="C155" s="1" t="s">
        <v>1032</v>
      </c>
      <c r="D155" s="1" t="s">
        <v>1033</v>
      </c>
      <c r="E155" s="2">
        <v>5000</v>
      </c>
    </row>
    <row r="156" spans="1:5" x14ac:dyDescent="0.3">
      <c r="A156" s="1">
        <v>155</v>
      </c>
      <c r="B156" s="1" t="s">
        <v>329</v>
      </c>
      <c r="C156" s="1" t="s">
        <v>1034</v>
      </c>
      <c r="D156" s="1" t="s">
        <v>1035</v>
      </c>
      <c r="E156" s="2">
        <v>6000</v>
      </c>
    </row>
    <row r="157" spans="1:5" x14ac:dyDescent="0.3">
      <c r="A157" s="1">
        <v>156</v>
      </c>
      <c r="B157" s="1" t="s">
        <v>329</v>
      </c>
      <c r="C157" s="1" t="s">
        <v>1036</v>
      </c>
      <c r="D157" s="1" t="s">
        <v>1037</v>
      </c>
      <c r="E157" s="2">
        <v>5000</v>
      </c>
    </row>
    <row r="158" spans="1:5" x14ac:dyDescent="0.3">
      <c r="A158" s="1">
        <v>157</v>
      </c>
      <c r="B158" s="1" t="s">
        <v>329</v>
      </c>
      <c r="C158" s="1" t="s">
        <v>1038</v>
      </c>
      <c r="D158" s="1" t="s">
        <v>1039</v>
      </c>
      <c r="E158" s="2">
        <v>2000</v>
      </c>
    </row>
    <row r="159" spans="1:5" x14ac:dyDescent="0.3">
      <c r="A159" s="1">
        <v>158</v>
      </c>
      <c r="B159" s="1" t="s">
        <v>329</v>
      </c>
      <c r="C159" s="1" t="s">
        <v>1065</v>
      </c>
      <c r="D159" s="1" t="s">
        <v>1066</v>
      </c>
      <c r="E159" s="2">
        <v>4000</v>
      </c>
    </row>
    <row r="160" spans="1:5" x14ac:dyDescent="0.3">
      <c r="A160" s="1">
        <v>159</v>
      </c>
      <c r="B160" s="1" t="s">
        <v>329</v>
      </c>
      <c r="C160" s="1" t="s">
        <v>1067</v>
      </c>
      <c r="D160" s="1" t="s">
        <v>1068</v>
      </c>
      <c r="E160" s="2">
        <v>6500</v>
      </c>
    </row>
    <row r="161" spans="1:5" x14ac:dyDescent="0.3">
      <c r="A161" s="1">
        <v>160</v>
      </c>
      <c r="B161" s="1" t="s">
        <v>329</v>
      </c>
      <c r="C161" s="1" t="s">
        <v>1069</v>
      </c>
      <c r="D161" s="1" t="s">
        <v>1070</v>
      </c>
      <c r="E161" s="2">
        <v>8000</v>
      </c>
    </row>
    <row r="162" spans="1:5" x14ac:dyDescent="0.3">
      <c r="A162" s="1">
        <v>161</v>
      </c>
      <c r="B162" s="1" t="s">
        <v>334</v>
      </c>
      <c r="C162" s="1" t="s">
        <v>993</v>
      </c>
      <c r="D162" s="1" t="s">
        <v>994</v>
      </c>
      <c r="E162" s="2">
        <v>5000</v>
      </c>
    </row>
    <row r="163" spans="1:5" x14ac:dyDescent="0.3">
      <c r="A163" s="1">
        <v>162</v>
      </c>
      <c r="B163" s="1" t="s">
        <v>334</v>
      </c>
      <c r="C163" s="1" t="s">
        <v>995</v>
      </c>
      <c r="D163" s="1" t="s">
        <v>996</v>
      </c>
      <c r="E163" s="2">
        <v>6000</v>
      </c>
    </row>
    <row r="164" spans="1:5" x14ac:dyDescent="0.3">
      <c r="A164" s="1">
        <v>163</v>
      </c>
      <c r="B164" s="1" t="s">
        <v>334</v>
      </c>
      <c r="C164" s="1" t="s">
        <v>997</v>
      </c>
      <c r="D164" s="1" t="s">
        <v>998</v>
      </c>
      <c r="E164" s="2">
        <v>5500</v>
      </c>
    </row>
    <row r="165" spans="1:5" x14ac:dyDescent="0.3">
      <c r="A165" s="1">
        <v>164</v>
      </c>
      <c r="B165" s="1" t="s">
        <v>334</v>
      </c>
      <c r="C165" s="1" t="s">
        <v>999</v>
      </c>
      <c r="D165" s="1" t="s">
        <v>1000</v>
      </c>
      <c r="E165" s="2">
        <v>6000</v>
      </c>
    </row>
    <row r="166" spans="1:5" x14ac:dyDescent="0.3">
      <c r="A166" s="1">
        <v>165</v>
      </c>
      <c r="B166" s="1" t="s">
        <v>334</v>
      </c>
      <c r="C166" s="1" t="s">
        <v>1001</v>
      </c>
      <c r="D166" s="1" t="s">
        <v>1002</v>
      </c>
      <c r="E166" s="2">
        <v>4500</v>
      </c>
    </row>
    <row r="167" spans="1:5" x14ac:dyDescent="0.3">
      <c r="A167" s="1">
        <v>166</v>
      </c>
      <c r="B167" s="1" t="s">
        <v>334</v>
      </c>
      <c r="C167" s="1" t="s">
        <v>1003</v>
      </c>
      <c r="D167" s="1" t="s">
        <v>1004</v>
      </c>
      <c r="E167" s="2">
        <v>4000</v>
      </c>
    </row>
    <row r="168" spans="1:5" x14ac:dyDescent="0.3">
      <c r="A168" s="1">
        <v>167</v>
      </c>
      <c r="B168" s="1" t="s">
        <v>334</v>
      </c>
      <c r="C168" s="1" t="s">
        <v>1005</v>
      </c>
      <c r="D168" s="1" t="s">
        <v>1006</v>
      </c>
      <c r="E168" s="2">
        <v>3000</v>
      </c>
    </row>
    <row r="169" spans="1:5" x14ac:dyDescent="0.3">
      <c r="A169" s="1">
        <v>168</v>
      </c>
      <c r="B169" s="1" t="s">
        <v>334</v>
      </c>
      <c r="C169" s="1" t="s">
        <v>1007</v>
      </c>
      <c r="D169" s="1" t="s">
        <v>1008</v>
      </c>
      <c r="E169" s="2">
        <v>2500</v>
      </c>
    </row>
    <row r="170" spans="1:5" x14ac:dyDescent="0.3">
      <c r="A170" s="1">
        <v>169</v>
      </c>
      <c r="B170" s="1" t="s">
        <v>334</v>
      </c>
      <c r="C170" s="1" t="s">
        <v>1009</v>
      </c>
      <c r="D170" s="1" t="s">
        <v>1010</v>
      </c>
      <c r="E170" s="2">
        <v>8000</v>
      </c>
    </row>
    <row r="171" spans="1:5" x14ac:dyDescent="0.3">
      <c r="A171" s="1">
        <v>170</v>
      </c>
      <c r="B171" s="1" t="s">
        <v>334</v>
      </c>
      <c r="C171" s="1" t="s">
        <v>1057</v>
      </c>
      <c r="D171" s="1" t="s">
        <v>1058</v>
      </c>
      <c r="E171" s="2">
        <v>9000</v>
      </c>
    </row>
    <row r="172" spans="1:5" x14ac:dyDescent="0.3">
      <c r="A172" s="1">
        <v>171</v>
      </c>
      <c r="B172" s="1" t="s">
        <v>334</v>
      </c>
      <c r="C172" s="1" t="s">
        <v>1011</v>
      </c>
      <c r="D172" s="1" t="s">
        <v>1012</v>
      </c>
      <c r="E172" s="2">
        <v>8000</v>
      </c>
    </row>
    <row r="173" spans="1:5" x14ac:dyDescent="0.3">
      <c r="A173" s="1">
        <v>172</v>
      </c>
      <c r="B173" s="1" t="s">
        <v>334</v>
      </c>
      <c r="C173" s="1" t="s">
        <v>1013</v>
      </c>
      <c r="D173" s="1" t="s">
        <v>1014</v>
      </c>
      <c r="E173" s="2">
        <v>6000</v>
      </c>
    </row>
    <row r="174" spans="1:5" x14ac:dyDescent="0.3">
      <c r="A174" s="1">
        <v>173</v>
      </c>
      <c r="B174" s="1" t="s">
        <v>334</v>
      </c>
      <c r="C174" s="1" t="s">
        <v>966</v>
      </c>
      <c r="D174" s="1" t="s">
        <v>1027</v>
      </c>
      <c r="E174" s="2">
        <v>1500</v>
      </c>
    </row>
    <row r="175" spans="1:5" x14ac:dyDescent="0.3">
      <c r="A175" s="1">
        <v>174</v>
      </c>
      <c r="B175" s="1" t="s">
        <v>339</v>
      </c>
      <c r="C175" s="1" t="s">
        <v>993</v>
      </c>
      <c r="D175" s="1" t="s">
        <v>994</v>
      </c>
      <c r="E175" s="2">
        <v>5000</v>
      </c>
    </row>
    <row r="176" spans="1:5" x14ac:dyDescent="0.3">
      <c r="A176" s="1">
        <v>175</v>
      </c>
      <c r="B176" s="1" t="s">
        <v>339</v>
      </c>
      <c r="C176" s="1" t="s">
        <v>995</v>
      </c>
      <c r="D176" s="1" t="s">
        <v>996</v>
      </c>
      <c r="E176" s="2">
        <v>6000</v>
      </c>
    </row>
    <row r="177" spans="1:5" x14ac:dyDescent="0.3">
      <c r="A177" s="1">
        <v>176</v>
      </c>
      <c r="B177" s="1" t="s">
        <v>339</v>
      </c>
      <c r="C177" s="1" t="s">
        <v>997</v>
      </c>
      <c r="D177" s="1" t="s">
        <v>998</v>
      </c>
      <c r="E177" s="2">
        <v>5500</v>
      </c>
    </row>
    <row r="178" spans="1:5" x14ac:dyDescent="0.3">
      <c r="A178" s="1">
        <v>177</v>
      </c>
      <c r="B178" s="1" t="s">
        <v>339</v>
      </c>
      <c r="C178" s="1" t="s">
        <v>999</v>
      </c>
      <c r="D178" s="1" t="s">
        <v>1000</v>
      </c>
      <c r="E178" s="2">
        <v>6000</v>
      </c>
    </row>
    <row r="179" spans="1:5" x14ac:dyDescent="0.3">
      <c r="A179" s="1">
        <v>178</v>
      </c>
      <c r="B179" s="1" t="s">
        <v>339</v>
      </c>
      <c r="C179" s="1" t="s">
        <v>1001</v>
      </c>
      <c r="D179" s="1" t="s">
        <v>1002</v>
      </c>
      <c r="E179" s="2">
        <v>4500</v>
      </c>
    </row>
    <row r="180" spans="1:5" x14ac:dyDescent="0.3">
      <c r="A180" s="1">
        <v>179</v>
      </c>
      <c r="B180" s="1" t="s">
        <v>339</v>
      </c>
      <c r="C180" s="1" t="s">
        <v>1003</v>
      </c>
      <c r="D180" s="1" t="s">
        <v>1004</v>
      </c>
      <c r="E180" s="2">
        <v>4000</v>
      </c>
    </row>
    <row r="181" spans="1:5" x14ac:dyDescent="0.3">
      <c r="A181" s="1">
        <v>180</v>
      </c>
      <c r="B181" s="1" t="s">
        <v>339</v>
      </c>
      <c r="C181" s="1" t="s">
        <v>1005</v>
      </c>
      <c r="D181" s="1" t="s">
        <v>1006</v>
      </c>
      <c r="E181" s="2">
        <v>3000</v>
      </c>
    </row>
    <row r="182" spans="1:5" x14ac:dyDescent="0.3">
      <c r="A182" s="1">
        <v>181</v>
      </c>
      <c r="B182" s="1" t="s">
        <v>339</v>
      </c>
      <c r="C182" s="1" t="s">
        <v>1007</v>
      </c>
      <c r="D182" s="1" t="s">
        <v>1008</v>
      </c>
      <c r="E182" s="2">
        <v>2500</v>
      </c>
    </row>
    <row r="183" spans="1:5" x14ac:dyDescent="0.3">
      <c r="A183" s="1">
        <v>182</v>
      </c>
      <c r="B183" s="1" t="s">
        <v>339</v>
      </c>
      <c r="C183" s="1" t="s">
        <v>1009</v>
      </c>
      <c r="D183" s="1" t="s">
        <v>1010</v>
      </c>
      <c r="E183" s="2">
        <v>8000</v>
      </c>
    </row>
    <row r="184" spans="1:5" x14ac:dyDescent="0.3">
      <c r="A184" s="1">
        <v>183</v>
      </c>
      <c r="B184" s="1" t="s">
        <v>339</v>
      </c>
      <c r="C184" s="1" t="s">
        <v>1057</v>
      </c>
      <c r="D184" s="1" t="s">
        <v>1058</v>
      </c>
      <c r="E184" s="2">
        <v>9000</v>
      </c>
    </row>
    <row r="185" spans="1:5" x14ac:dyDescent="0.3">
      <c r="A185" s="1">
        <v>184</v>
      </c>
      <c r="B185" s="1" t="s">
        <v>339</v>
      </c>
      <c r="C185" s="1" t="s">
        <v>1011</v>
      </c>
      <c r="D185" s="1" t="s">
        <v>1012</v>
      </c>
      <c r="E185" s="2">
        <v>8000</v>
      </c>
    </row>
    <row r="186" spans="1:5" x14ac:dyDescent="0.3">
      <c r="A186" s="1">
        <v>185</v>
      </c>
      <c r="B186" s="1" t="s">
        <v>339</v>
      </c>
      <c r="C186" s="1" t="s">
        <v>1013</v>
      </c>
      <c r="D186" s="1" t="s">
        <v>1014</v>
      </c>
      <c r="E186" s="2">
        <v>6000</v>
      </c>
    </row>
    <row r="187" spans="1:5" x14ac:dyDescent="0.3">
      <c r="A187" s="1">
        <v>186</v>
      </c>
      <c r="B187" s="1" t="s">
        <v>344</v>
      </c>
      <c r="C187" s="1" t="s">
        <v>1015</v>
      </c>
      <c r="D187" s="1" t="s">
        <v>1016</v>
      </c>
      <c r="E187" s="2">
        <v>4500</v>
      </c>
    </row>
    <row r="188" spans="1:5" x14ac:dyDescent="0.3">
      <c r="A188" s="1">
        <v>187</v>
      </c>
      <c r="B188" s="1" t="s">
        <v>344</v>
      </c>
      <c r="C188" s="1" t="s">
        <v>1017</v>
      </c>
      <c r="D188" s="1" t="s">
        <v>1018</v>
      </c>
      <c r="E188" s="2">
        <v>6000</v>
      </c>
    </row>
    <row r="189" spans="1:5" x14ac:dyDescent="0.3">
      <c r="A189" s="1">
        <v>188</v>
      </c>
      <c r="B189" s="1" t="s">
        <v>344</v>
      </c>
      <c r="C189" s="1" t="s">
        <v>1019</v>
      </c>
      <c r="D189" s="1" t="s">
        <v>1020</v>
      </c>
      <c r="E189" s="2">
        <v>7600</v>
      </c>
    </row>
    <row r="190" spans="1:5" x14ac:dyDescent="0.3">
      <c r="A190" s="1">
        <v>189</v>
      </c>
      <c r="B190" s="1" t="s">
        <v>344</v>
      </c>
      <c r="C190" s="1" t="s">
        <v>1021</v>
      </c>
      <c r="D190" s="1" t="s">
        <v>1022</v>
      </c>
      <c r="E190" s="2">
        <v>5000</v>
      </c>
    </row>
    <row r="191" spans="1:5" x14ac:dyDescent="0.3">
      <c r="A191" s="1">
        <v>190</v>
      </c>
      <c r="B191" s="1" t="s">
        <v>344</v>
      </c>
      <c r="C191" s="1" t="s">
        <v>1092</v>
      </c>
      <c r="D191" s="1" t="s">
        <v>1093</v>
      </c>
      <c r="E191" s="2">
        <v>6500</v>
      </c>
    </row>
    <row r="192" spans="1:5" x14ac:dyDescent="0.3">
      <c r="A192" s="1">
        <v>191</v>
      </c>
      <c r="B192" s="1" t="s">
        <v>344</v>
      </c>
      <c r="C192" s="1" t="s">
        <v>1094</v>
      </c>
      <c r="D192" s="1" t="s">
        <v>1095</v>
      </c>
      <c r="E192" s="2">
        <v>9000</v>
      </c>
    </row>
    <row r="193" spans="1:5" x14ac:dyDescent="0.3">
      <c r="A193" s="1">
        <v>192</v>
      </c>
      <c r="B193" s="1" t="s">
        <v>344</v>
      </c>
      <c r="C193" s="1" t="s">
        <v>1096</v>
      </c>
      <c r="D193" s="1" t="s">
        <v>1097</v>
      </c>
      <c r="E193" s="2">
        <v>2500</v>
      </c>
    </row>
    <row r="194" spans="1:5" x14ac:dyDescent="0.3">
      <c r="A194" s="1">
        <v>193</v>
      </c>
      <c r="B194" s="1" t="s">
        <v>344</v>
      </c>
      <c r="C194" s="1" t="s">
        <v>1023</v>
      </c>
      <c r="D194" s="1" t="s">
        <v>1024</v>
      </c>
      <c r="E194" s="2">
        <v>6000</v>
      </c>
    </row>
    <row r="195" spans="1:5" x14ac:dyDescent="0.3">
      <c r="A195" s="1">
        <v>194</v>
      </c>
      <c r="B195" s="1" t="s">
        <v>344</v>
      </c>
      <c r="C195" s="1" t="s">
        <v>1025</v>
      </c>
      <c r="D195" s="1" t="s">
        <v>1026</v>
      </c>
      <c r="E195" s="2">
        <v>5000</v>
      </c>
    </row>
    <row r="196" spans="1:5" x14ac:dyDescent="0.3">
      <c r="A196" s="1">
        <v>195</v>
      </c>
      <c r="B196" s="1" t="s">
        <v>344</v>
      </c>
      <c r="C196" s="1" t="s">
        <v>964</v>
      </c>
      <c r="D196" s="1" t="s">
        <v>1027</v>
      </c>
      <c r="E196" s="2">
        <v>1500</v>
      </c>
    </row>
    <row r="197" spans="1:5" x14ac:dyDescent="0.3">
      <c r="A197" s="1">
        <v>196</v>
      </c>
      <c r="B197" s="1" t="s">
        <v>349</v>
      </c>
      <c r="C197" s="1" t="s">
        <v>946</v>
      </c>
      <c r="D197" s="1" t="s">
        <v>1098</v>
      </c>
      <c r="E197" s="2">
        <v>15000</v>
      </c>
    </row>
    <row r="198" spans="1:5" x14ac:dyDescent="0.3">
      <c r="A198" s="1">
        <v>197</v>
      </c>
      <c r="B198" s="1" t="s">
        <v>349</v>
      </c>
      <c r="C198" s="1" t="s">
        <v>948</v>
      </c>
      <c r="D198" s="1" t="s">
        <v>949</v>
      </c>
      <c r="E198" s="2">
        <v>5000</v>
      </c>
    </row>
    <row r="199" spans="1:5" x14ac:dyDescent="0.3">
      <c r="A199" s="1">
        <v>198</v>
      </c>
      <c r="B199" s="1" t="s">
        <v>349</v>
      </c>
      <c r="C199" s="1" t="s">
        <v>950</v>
      </c>
      <c r="D199" s="1" t="s">
        <v>1074</v>
      </c>
      <c r="E199" s="2">
        <v>4000</v>
      </c>
    </row>
    <row r="200" spans="1:5" x14ac:dyDescent="0.3">
      <c r="A200" s="1">
        <v>199</v>
      </c>
      <c r="B200" s="1" t="s">
        <v>349</v>
      </c>
      <c r="C200" s="1" t="s">
        <v>952</v>
      </c>
      <c r="D200" s="1" t="s">
        <v>953</v>
      </c>
      <c r="E200" s="2">
        <v>17000</v>
      </c>
    </row>
    <row r="201" spans="1:5" x14ac:dyDescent="0.3">
      <c r="A201" s="1">
        <v>200</v>
      </c>
      <c r="B201" s="1" t="s">
        <v>349</v>
      </c>
      <c r="C201" s="1" t="s">
        <v>954</v>
      </c>
      <c r="D201" s="1" t="s">
        <v>955</v>
      </c>
      <c r="E201" s="2">
        <v>11000</v>
      </c>
    </row>
    <row r="202" spans="1:5" x14ac:dyDescent="0.3">
      <c r="A202" s="1">
        <v>201</v>
      </c>
      <c r="B202" s="1" t="s">
        <v>349</v>
      </c>
      <c r="C202" s="1" t="s">
        <v>956</v>
      </c>
      <c r="D202" s="1" t="s">
        <v>1075</v>
      </c>
      <c r="E202" s="2">
        <v>6000</v>
      </c>
    </row>
    <row r="203" spans="1:5" x14ac:dyDescent="0.3">
      <c r="A203" s="1">
        <v>202</v>
      </c>
      <c r="B203" s="1" t="s">
        <v>349</v>
      </c>
      <c r="C203" s="1" t="s">
        <v>958</v>
      </c>
      <c r="D203" s="1" t="s">
        <v>959</v>
      </c>
      <c r="E203" s="2">
        <v>4500</v>
      </c>
    </row>
    <row r="204" spans="1:5" x14ac:dyDescent="0.3">
      <c r="A204" s="1">
        <v>203</v>
      </c>
      <c r="B204" s="1" t="s">
        <v>349</v>
      </c>
      <c r="C204" s="1" t="s">
        <v>960</v>
      </c>
      <c r="D204" s="1" t="s">
        <v>961</v>
      </c>
      <c r="E204" s="2">
        <v>8500</v>
      </c>
    </row>
    <row r="205" spans="1:5" x14ac:dyDescent="0.3">
      <c r="A205" s="1">
        <v>204</v>
      </c>
      <c r="B205" s="1" t="s">
        <v>349</v>
      </c>
      <c r="C205" s="1" t="s">
        <v>962</v>
      </c>
      <c r="D205" s="1" t="s">
        <v>963</v>
      </c>
      <c r="E205" s="2">
        <v>2000</v>
      </c>
    </row>
    <row r="206" spans="1:5" x14ac:dyDescent="0.3">
      <c r="A206" s="1">
        <v>205</v>
      </c>
      <c r="B206" s="1" t="s">
        <v>354</v>
      </c>
      <c r="C206" s="1" t="s">
        <v>946</v>
      </c>
      <c r="D206" s="1" t="s">
        <v>1098</v>
      </c>
      <c r="E206" s="2">
        <v>15000</v>
      </c>
    </row>
    <row r="207" spans="1:5" x14ac:dyDescent="0.3">
      <c r="A207" s="1">
        <v>206</v>
      </c>
      <c r="B207" s="1" t="s">
        <v>354</v>
      </c>
      <c r="C207" s="1" t="s">
        <v>948</v>
      </c>
      <c r="D207" s="1" t="s">
        <v>949</v>
      </c>
      <c r="E207" s="2">
        <v>5000</v>
      </c>
    </row>
    <row r="208" spans="1:5" x14ac:dyDescent="0.3">
      <c r="A208" s="1">
        <v>207</v>
      </c>
      <c r="B208" s="1" t="s">
        <v>354</v>
      </c>
      <c r="C208" s="1" t="s">
        <v>950</v>
      </c>
      <c r="D208" s="1" t="s">
        <v>1074</v>
      </c>
      <c r="E208" s="2">
        <v>4000</v>
      </c>
    </row>
    <row r="209" spans="1:5" x14ac:dyDescent="0.3">
      <c r="A209" s="1">
        <v>208</v>
      </c>
      <c r="B209" s="1" t="s">
        <v>354</v>
      </c>
      <c r="C209" s="1" t="s">
        <v>952</v>
      </c>
      <c r="D209" s="1" t="s">
        <v>953</v>
      </c>
      <c r="E209" s="2">
        <v>17000</v>
      </c>
    </row>
    <row r="210" spans="1:5" x14ac:dyDescent="0.3">
      <c r="A210" s="1">
        <v>209</v>
      </c>
      <c r="B210" s="1" t="s">
        <v>354</v>
      </c>
      <c r="C210" s="1" t="s">
        <v>954</v>
      </c>
      <c r="D210" s="1" t="s">
        <v>955</v>
      </c>
      <c r="E210" s="2">
        <v>11000</v>
      </c>
    </row>
    <row r="211" spans="1:5" x14ac:dyDescent="0.3">
      <c r="A211" s="1">
        <v>210</v>
      </c>
      <c r="B211" s="1" t="s">
        <v>354</v>
      </c>
      <c r="C211" s="1" t="s">
        <v>956</v>
      </c>
      <c r="D211" s="1" t="s">
        <v>1075</v>
      </c>
      <c r="E211" s="2">
        <v>6000</v>
      </c>
    </row>
    <row r="212" spans="1:5" x14ac:dyDescent="0.3">
      <c r="A212" s="1">
        <v>211</v>
      </c>
      <c r="B212" s="1" t="s">
        <v>354</v>
      </c>
      <c r="C212" s="1" t="s">
        <v>958</v>
      </c>
      <c r="D212" s="1" t="s">
        <v>959</v>
      </c>
      <c r="E212" s="2">
        <v>4500</v>
      </c>
    </row>
    <row r="213" spans="1:5" x14ac:dyDescent="0.3">
      <c r="A213" s="1">
        <v>212</v>
      </c>
      <c r="B213" s="1" t="s">
        <v>354</v>
      </c>
      <c r="C213" s="1" t="s">
        <v>960</v>
      </c>
      <c r="D213" s="1" t="s">
        <v>961</v>
      </c>
      <c r="E213" s="2">
        <v>8500</v>
      </c>
    </row>
    <row r="214" spans="1:5" x14ac:dyDescent="0.3">
      <c r="A214" s="1">
        <v>213</v>
      </c>
      <c r="B214" s="1" t="s">
        <v>354</v>
      </c>
      <c r="C214" s="1" t="s">
        <v>962</v>
      </c>
      <c r="D214" s="1" t="s">
        <v>963</v>
      </c>
      <c r="E214" s="2">
        <v>2000</v>
      </c>
    </row>
    <row r="215" spans="1:5" x14ac:dyDescent="0.3">
      <c r="A215" s="1">
        <v>214</v>
      </c>
      <c r="B215" s="1" t="s">
        <v>359</v>
      </c>
      <c r="C215" s="1" t="s">
        <v>967</v>
      </c>
      <c r="D215" s="1" t="s">
        <v>968</v>
      </c>
      <c r="E215" s="2">
        <v>18000</v>
      </c>
    </row>
    <row r="216" spans="1:5" x14ac:dyDescent="0.3">
      <c r="A216" s="1">
        <v>215</v>
      </c>
      <c r="B216" s="1" t="s">
        <v>359</v>
      </c>
      <c r="C216" s="1" t="s">
        <v>969</v>
      </c>
      <c r="D216" s="1" t="s">
        <v>970</v>
      </c>
      <c r="E216" s="2">
        <v>4500</v>
      </c>
    </row>
    <row r="217" spans="1:5" x14ac:dyDescent="0.3">
      <c r="A217" s="1">
        <v>216</v>
      </c>
      <c r="B217" s="1" t="s">
        <v>359</v>
      </c>
      <c r="C217" s="1" t="s">
        <v>971</v>
      </c>
      <c r="D217" s="1" t="s">
        <v>972</v>
      </c>
      <c r="E217" s="2">
        <v>16000</v>
      </c>
    </row>
    <row r="218" spans="1:5" x14ac:dyDescent="0.3">
      <c r="A218" s="1">
        <v>217</v>
      </c>
      <c r="B218" s="1" t="s">
        <v>359</v>
      </c>
      <c r="C218" s="1" t="s">
        <v>973</v>
      </c>
      <c r="D218" s="1" t="s">
        <v>974</v>
      </c>
      <c r="E218" s="2">
        <v>9000</v>
      </c>
    </row>
    <row r="219" spans="1:5" x14ac:dyDescent="0.3">
      <c r="A219" s="1">
        <v>218</v>
      </c>
      <c r="B219" s="1" t="s">
        <v>359</v>
      </c>
      <c r="C219" s="1" t="s">
        <v>975</v>
      </c>
      <c r="D219" s="1" t="s">
        <v>976</v>
      </c>
      <c r="E219" s="2">
        <v>2500</v>
      </c>
    </row>
    <row r="220" spans="1:5" x14ac:dyDescent="0.3">
      <c r="A220" s="1">
        <v>219</v>
      </c>
      <c r="B220" s="1" t="s">
        <v>359</v>
      </c>
      <c r="C220" s="1" t="s">
        <v>977</v>
      </c>
      <c r="D220" s="1" t="s">
        <v>978</v>
      </c>
      <c r="E220" s="2">
        <v>5000</v>
      </c>
    </row>
    <row r="221" spans="1:5" x14ac:dyDescent="0.3">
      <c r="A221" s="1">
        <v>220</v>
      </c>
      <c r="B221" s="1" t="s">
        <v>359</v>
      </c>
      <c r="C221" s="1" t="s">
        <v>979</v>
      </c>
      <c r="D221" s="1" t="s">
        <v>980</v>
      </c>
      <c r="E221" s="2">
        <v>15000</v>
      </c>
    </row>
    <row r="222" spans="1:5" x14ac:dyDescent="0.3">
      <c r="A222" s="1">
        <v>221</v>
      </c>
      <c r="B222" s="1" t="s">
        <v>359</v>
      </c>
      <c r="C222" s="1" t="s">
        <v>981</v>
      </c>
      <c r="D222" s="1" t="s">
        <v>982</v>
      </c>
      <c r="E222" s="2">
        <v>9000</v>
      </c>
    </row>
    <row r="223" spans="1:5" x14ac:dyDescent="0.3">
      <c r="A223" s="1">
        <v>222</v>
      </c>
      <c r="B223" s="1" t="s">
        <v>359</v>
      </c>
      <c r="C223" s="1" t="s">
        <v>1050</v>
      </c>
      <c r="D223" s="1" t="s">
        <v>1051</v>
      </c>
      <c r="E223" s="2">
        <v>7000</v>
      </c>
    </row>
    <row r="224" spans="1:5" x14ac:dyDescent="0.3">
      <c r="A224" s="1">
        <v>223</v>
      </c>
      <c r="B224" s="1" t="s">
        <v>359</v>
      </c>
      <c r="C224" s="1" t="s">
        <v>1052</v>
      </c>
      <c r="D224" s="1" t="s">
        <v>1053</v>
      </c>
      <c r="E224" s="2">
        <v>12000</v>
      </c>
    </row>
    <row r="225" spans="1:5" x14ac:dyDescent="0.3">
      <c r="A225" s="1">
        <v>224</v>
      </c>
      <c r="B225" s="1" t="s">
        <v>364</v>
      </c>
      <c r="C225" s="1" t="s">
        <v>993</v>
      </c>
      <c r="D225" s="1" t="s">
        <v>994</v>
      </c>
      <c r="E225" s="2">
        <v>5000</v>
      </c>
    </row>
    <row r="226" spans="1:5" x14ac:dyDescent="0.3">
      <c r="A226" s="1">
        <v>225</v>
      </c>
      <c r="B226" s="1" t="s">
        <v>364</v>
      </c>
      <c r="C226" s="1" t="s">
        <v>995</v>
      </c>
      <c r="D226" s="1" t="s">
        <v>996</v>
      </c>
      <c r="E226" s="2">
        <v>6000</v>
      </c>
    </row>
    <row r="227" spans="1:5" x14ac:dyDescent="0.3">
      <c r="A227" s="1">
        <v>226</v>
      </c>
      <c r="B227" s="1" t="s">
        <v>364</v>
      </c>
      <c r="C227" s="1" t="s">
        <v>997</v>
      </c>
      <c r="D227" s="1" t="s">
        <v>998</v>
      </c>
      <c r="E227" s="2">
        <v>5500</v>
      </c>
    </row>
    <row r="228" spans="1:5" x14ac:dyDescent="0.3">
      <c r="A228" s="1">
        <v>227</v>
      </c>
      <c r="B228" s="1" t="s">
        <v>364</v>
      </c>
      <c r="C228" s="1" t="s">
        <v>999</v>
      </c>
      <c r="D228" s="1" t="s">
        <v>1000</v>
      </c>
      <c r="E228" s="2">
        <v>6000</v>
      </c>
    </row>
    <row r="229" spans="1:5" x14ac:dyDescent="0.3">
      <c r="A229" s="1">
        <v>228</v>
      </c>
      <c r="B229" s="1" t="s">
        <v>364</v>
      </c>
      <c r="C229" s="1" t="s">
        <v>1001</v>
      </c>
      <c r="D229" s="1" t="s">
        <v>1002</v>
      </c>
      <c r="E229" s="2">
        <v>4500</v>
      </c>
    </row>
    <row r="230" spans="1:5" x14ac:dyDescent="0.3">
      <c r="A230" s="1">
        <v>229</v>
      </c>
      <c r="B230" s="1" t="s">
        <v>364</v>
      </c>
      <c r="C230" s="1" t="s">
        <v>1003</v>
      </c>
      <c r="D230" s="1" t="s">
        <v>1004</v>
      </c>
      <c r="E230" s="2">
        <v>4000</v>
      </c>
    </row>
    <row r="231" spans="1:5" x14ac:dyDescent="0.3">
      <c r="A231" s="1">
        <v>230</v>
      </c>
      <c r="B231" s="1" t="s">
        <v>364</v>
      </c>
      <c r="C231" s="1" t="s">
        <v>1005</v>
      </c>
      <c r="D231" s="1" t="s">
        <v>1006</v>
      </c>
      <c r="E231" s="2">
        <v>3000</v>
      </c>
    </row>
    <row r="232" spans="1:5" x14ac:dyDescent="0.3">
      <c r="A232" s="1">
        <v>231</v>
      </c>
      <c r="B232" s="1" t="s">
        <v>364</v>
      </c>
      <c r="C232" s="1" t="s">
        <v>1007</v>
      </c>
      <c r="D232" s="1" t="s">
        <v>1008</v>
      </c>
      <c r="E232" s="2">
        <v>2500</v>
      </c>
    </row>
    <row r="233" spans="1:5" x14ac:dyDescent="0.3">
      <c r="A233" s="1">
        <v>232</v>
      </c>
      <c r="B233" s="1" t="s">
        <v>364</v>
      </c>
      <c r="C233" s="1" t="s">
        <v>1009</v>
      </c>
      <c r="D233" s="1" t="s">
        <v>1010</v>
      </c>
      <c r="E233" s="2">
        <v>8000</v>
      </c>
    </row>
    <row r="234" spans="1:5" x14ac:dyDescent="0.3">
      <c r="A234" s="1">
        <v>233</v>
      </c>
      <c r="B234" s="1" t="s">
        <v>364</v>
      </c>
      <c r="C234" s="1" t="s">
        <v>1057</v>
      </c>
      <c r="D234" s="1" t="s">
        <v>1058</v>
      </c>
      <c r="E234" s="2">
        <v>9000</v>
      </c>
    </row>
    <row r="235" spans="1:5" x14ac:dyDescent="0.3">
      <c r="A235" s="1">
        <v>234</v>
      </c>
      <c r="B235" s="1" t="s">
        <v>364</v>
      </c>
      <c r="C235" s="1" t="s">
        <v>1011</v>
      </c>
      <c r="D235" s="1" t="s">
        <v>1012</v>
      </c>
      <c r="E235" s="2">
        <v>8000</v>
      </c>
    </row>
    <row r="236" spans="1:5" x14ac:dyDescent="0.3">
      <c r="A236" s="1">
        <v>235</v>
      </c>
      <c r="B236" s="1" t="s">
        <v>364</v>
      </c>
      <c r="C236" s="1" t="s">
        <v>1013</v>
      </c>
      <c r="D236" s="1" t="s">
        <v>1014</v>
      </c>
      <c r="E236" s="2">
        <v>6000</v>
      </c>
    </row>
    <row r="237" spans="1:5" x14ac:dyDescent="0.3">
      <c r="A237" s="1">
        <v>236</v>
      </c>
      <c r="B237" s="1" t="s">
        <v>369</v>
      </c>
      <c r="C237" s="1" t="s">
        <v>1015</v>
      </c>
      <c r="D237" s="1" t="s">
        <v>1016</v>
      </c>
      <c r="E237" s="2">
        <v>4500</v>
      </c>
    </row>
    <row r="238" spans="1:5" x14ac:dyDescent="0.3">
      <c r="A238" s="1">
        <v>237</v>
      </c>
      <c r="B238" s="1" t="s">
        <v>369</v>
      </c>
      <c r="C238" s="1" t="s">
        <v>1017</v>
      </c>
      <c r="D238" s="1" t="s">
        <v>1018</v>
      </c>
      <c r="E238" s="2">
        <v>6000</v>
      </c>
    </row>
    <row r="239" spans="1:5" x14ac:dyDescent="0.3">
      <c r="A239" s="1">
        <v>238</v>
      </c>
      <c r="B239" s="1" t="s">
        <v>369</v>
      </c>
      <c r="C239" s="1" t="s">
        <v>1019</v>
      </c>
      <c r="D239" s="1" t="s">
        <v>1020</v>
      </c>
      <c r="E239" s="2">
        <v>7600</v>
      </c>
    </row>
    <row r="240" spans="1:5" x14ac:dyDescent="0.3">
      <c r="A240" s="1">
        <v>239</v>
      </c>
      <c r="B240" s="1" t="s">
        <v>369</v>
      </c>
      <c r="C240" s="1" t="s">
        <v>1021</v>
      </c>
      <c r="D240" s="1" t="s">
        <v>1022</v>
      </c>
      <c r="E240" s="2">
        <v>5000</v>
      </c>
    </row>
    <row r="241" spans="1:5" x14ac:dyDescent="0.3">
      <c r="A241" s="1">
        <v>240</v>
      </c>
      <c r="B241" s="1" t="s">
        <v>369</v>
      </c>
      <c r="C241" s="1" t="s">
        <v>1092</v>
      </c>
      <c r="D241" s="1" t="s">
        <v>1093</v>
      </c>
      <c r="E241" s="2">
        <v>6500</v>
      </c>
    </row>
    <row r="242" spans="1:5" x14ac:dyDescent="0.3">
      <c r="A242" s="1">
        <v>241</v>
      </c>
      <c r="B242" s="1" t="s">
        <v>369</v>
      </c>
      <c r="C242" s="1" t="s">
        <v>1094</v>
      </c>
      <c r="D242" s="1" t="s">
        <v>1095</v>
      </c>
      <c r="E242" s="2">
        <v>9000</v>
      </c>
    </row>
    <row r="243" spans="1:5" x14ac:dyDescent="0.3">
      <c r="A243" s="1">
        <v>242</v>
      </c>
      <c r="B243" s="1" t="s">
        <v>369</v>
      </c>
      <c r="C243" s="1" t="s">
        <v>1096</v>
      </c>
      <c r="D243" s="1" t="s">
        <v>1097</v>
      </c>
      <c r="E243" s="2">
        <v>2500</v>
      </c>
    </row>
    <row r="244" spans="1:5" x14ac:dyDescent="0.3">
      <c r="A244" s="1">
        <v>243</v>
      </c>
      <c r="B244" s="1" t="s">
        <v>369</v>
      </c>
      <c r="C244" s="1" t="s">
        <v>1023</v>
      </c>
      <c r="D244" s="1" t="s">
        <v>1024</v>
      </c>
      <c r="E244" s="2">
        <v>6000</v>
      </c>
    </row>
    <row r="245" spans="1:5" x14ac:dyDescent="0.3">
      <c r="A245" s="1">
        <v>244</v>
      </c>
      <c r="B245" s="1" t="s">
        <v>369</v>
      </c>
      <c r="C245" s="1" t="s">
        <v>1025</v>
      </c>
      <c r="D245" s="1" t="s">
        <v>1026</v>
      </c>
      <c r="E245" s="2">
        <v>5000</v>
      </c>
    </row>
    <row r="246" spans="1:5" x14ac:dyDescent="0.3">
      <c r="A246" s="1">
        <v>245</v>
      </c>
      <c r="B246" s="1" t="s">
        <v>374</v>
      </c>
      <c r="C246" s="1" t="s">
        <v>946</v>
      </c>
      <c r="D246" s="1" t="s">
        <v>1098</v>
      </c>
      <c r="E246" s="2">
        <v>15000</v>
      </c>
    </row>
    <row r="247" spans="1:5" x14ac:dyDescent="0.3">
      <c r="A247" s="1">
        <v>246</v>
      </c>
      <c r="B247" s="1" t="s">
        <v>374</v>
      </c>
      <c r="C247" s="1" t="s">
        <v>948</v>
      </c>
      <c r="D247" s="1" t="s">
        <v>949</v>
      </c>
      <c r="E247" s="2">
        <v>5000</v>
      </c>
    </row>
    <row r="248" spans="1:5" x14ac:dyDescent="0.3">
      <c r="A248" s="1">
        <v>247</v>
      </c>
      <c r="B248" s="1" t="s">
        <v>374</v>
      </c>
      <c r="C248" s="1" t="s">
        <v>950</v>
      </c>
      <c r="D248" s="1" t="s">
        <v>1074</v>
      </c>
      <c r="E248" s="2">
        <v>4000</v>
      </c>
    </row>
    <row r="249" spans="1:5" x14ac:dyDescent="0.3">
      <c r="A249" s="1">
        <v>248</v>
      </c>
      <c r="B249" s="1" t="s">
        <v>374</v>
      </c>
      <c r="C249" s="1" t="s">
        <v>952</v>
      </c>
      <c r="D249" s="1" t="s">
        <v>953</v>
      </c>
      <c r="E249" s="2">
        <v>17000</v>
      </c>
    </row>
    <row r="250" spans="1:5" x14ac:dyDescent="0.3">
      <c r="A250" s="1">
        <v>249</v>
      </c>
      <c r="B250" s="1" t="s">
        <v>374</v>
      </c>
      <c r="C250" s="1" t="s">
        <v>954</v>
      </c>
      <c r="D250" s="1" t="s">
        <v>955</v>
      </c>
      <c r="E250" s="2">
        <v>11000</v>
      </c>
    </row>
    <row r="251" spans="1:5" x14ac:dyDescent="0.3">
      <c r="A251" s="1">
        <v>250</v>
      </c>
      <c r="B251" s="1" t="s">
        <v>374</v>
      </c>
      <c r="C251" s="1" t="s">
        <v>956</v>
      </c>
      <c r="D251" s="1" t="s">
        <v>1075</v>
      </c>
      <c r="E251" s="2">
        <v>6000</v>
      </c>
    </row>
    <row r="252" spans="1:5" x14ac:dyDescent="0.3">
      <c r="A252" s="1">
        <v>251</v>
      </c>
      <c r="B252" s="1" t="s">
        <v>374</v>
      </c>
      <c r="C252" s="1" t="s">
        <v>958</v>
      </c>
      <c r="D252" s="1" t="s">
        <v>959</v>
      </c>
      <c r="E252" s="2">
        <v>4500</v>
      </c>
    </row>
    <row r="253" spans="1:5" x14ac:dyDescent="0.3">
      <c r="A253" s="1">
        <v>252</v>
      </c>
      <c r="B253" s="1" t="s">
        <v>374</v>
      </c>
      <c r="C253" s="1" t="s">
        <v>960</v>
      </c>
      <c r="D253" s="1" t="s">
        <v>961</v>
      </c>
      <c r="E253" s="2">
        <v>8500</v>
      </c>
    </row>
    <row r="254" spans="1:5" x14ac:dyDescent="0.3">
      <c r="A254" s="1">
        <v>253</v>
      </c>
      <c r="B254" s="1" t="s">
        <v>374</v>
      </c>
      <c r="C254" s="1" t="s">
        <v>962</v>
      </c>
      <c r="D254" s="1" t="s">
        <v>963</v>
      </c>
      <c r="E254" s="2">
        <v>2000</v>
      </c>
    </row>
    <row r="255" spans="1:5" x14ac:dyDescent="0.3">
      <c r="A255" s="1">
        <v>254</v>
      </c>
      <c r="B255" s="1" t="s">
        <v>379</v>
      </c>
      <c r="C255" s="1" t="s">
        <v>983</v>
      </c>
      <c r="D255" s="1" t="s">
        <v>984</v>
      </c>
      <c r="E255" s="2">
        <v>10000</v>
      </c>
    </row>
    <row r="256" spans="1:5" x14ac:dyDescent="0.3">
      <c r="A256" s="1">
        <v>255</v>
      </c>
      <c r="B256" s="1" t="s">
        <v>379</v>
      </c>
      <c r="C256" s="1" t="s">
        <v>1099</v>
      </c>
      <c r="D256" s="1" t="s">
        <v>1100</v>
      </c>
      <c r="E256" s="2">
        <v>11000</v>
      </c>
    </row>
    <row r="257" spans="1:5" x14ac:dyDescent="0.3">
      <c r="A257" s="1">
        <v>256</v>
      </c>
      <c r="B257" s="1" t="s">
        <v>379</v>
      </c>
      <c r="C257" s="1" t="s">
        <v>1101</v>
      </c>
      <c r="D257" s="1" t="s">
        <v>1102</v>
      </c>
      <c r="E257" s="2">
        <v>9000</v>
      </c>
    </row>
    <row r="258" spans="1:5" x14ac:dyDescent="0.3">
      <c r="A258" s="1">
        <v>257</v>
      </c>
      <c r="B258" s="1" t="s">
        <v>379</v>
      </c>
      <c r="C258" s="1" t="s">
        <v>985</v>
      </c>
      <c r="D258" s="1" t="s">
        <v>986</v>
      </c>
      <c r="E258" s="2">
        <v>6000</v>
      </c>
    </row>
    <row r="259" spans="1:5" x14ac:dyDescent="0.3">
      <c r="A259" s="1">
        <v>258</v>
      </c>
      <c r="B259" s="1" t="s">
        <v>379</v>
      </c>
      <c r="C259" s="1" t="s">
        <v>987</v>
      </c>
      <c r="D259" s="1" t="s">
        <v>988</v>
      </c>
      <c r="E259" s="2">
        <v>6500</v>
      </c>
    </row>
    <row r="260" spans="1:5" x14ac:dyDescent="0.3">
      <c r="A260" s="1">
        <v>259</v>
      </c>
      <c r="B260" s="1" t="s">
        <v>379</v>
      </c>
      <c r="C260" s="1" t="s">
        <v>989</v>
      </c>
      <c r="D260" s="1" t="s">
        <v>990</v>
      </c>
      <c r="E260" s="2">
        <v>13000</v>
      </c>
    </row>
    <row r="261" spans="1:5" x14ac:dyDescent="0.3">
      <c r="A261" s="1">
        <v>260</v>
      </c>
      <c r="B261" s="1" t="s">
        <v>379</v>
      </c>
      <c r="C261" s="1" t="s">
        <v>991</v>
      </c>
      <c r="D261" s="1" t="s">
        <v>992</v>
      </c>
      <c r="E261" s="2">
        <v>11000</v>
      </c>
    </row>
    <row r="262" spans="1:5" x14ac:dyDescent="0.3">
      <c r="A262" s="1">
        <v>261</v>
      </c>
      <c r="B262" s="1" t="s">
        <v>384</v>
      </c>
      <c r="C262" s="1" t="s">
        <v>946</v>
      </c>
      <c r="D262" s="1" t="s">
        <v>1098</v>
      </c>
      <c r="E262" s="2">
        <v>15000</v>
      </c>
    </row>
    <row r="263" spans="1:5" x14ac:dyDescent="0.3">
      <c r="A263" s="1">
        <v>262</v>
      </c>
      <c r="B263" s="1" t="s">
        <v>384</v>
      </c>
      <c r="C263" s="1" t="s">
        <v>948</v>
      </c>
      <c r="D263" s="1" t="s">
        <v>949</v>
      </c>
      <c r="E263" s="2">
        <v>5000</v>
      </c>
    </row>
    <row r="264" spans="1:5" x14ac:dyDescent="0.3">
      <c r="A264" s="1">
        <v>263</v>
      </c>
      <c r="B264" s="1" t="s">
        <v>384</v>
      </c>
      <c r="C264" s="1" t="s">
        <v>950</v>
      </c>
      <c r="D264" s="1" t="s">
        <v>1074</v>
      </c>
      <c r="E264" s="2">
        <v>4000</v>
      </c>
    </row>
    <row r="265" spans="1:5" x14ac:dyDescent="0.3">
      <c r="A265" s="1">
        <v>264</v>
      </c>
      <c r="B265" s="1" t="s">
        <v>384</v>
      </c>
      <c r="C265" s="1" t="s">
        <v>952</v>
      </c>
      <c r="D265" s="1" t="s">
        <v>953</v>
      </c>
      <c r="E265" s="2">
        <v>17000</v>
      </c>
    </row>
    <row r="266" spans="1:5" x14ac:dyDescent="0.3">
      <c r="A266" s="1">
        <v>265</v>
      </c>
      <c r="B266" s="1" t="s">
        <v>384</v>
      </c>
      <c r="C266" s="1" t="s">
        <v>954</v>
      </c>
      <c r="D266" s="1" t="s">
        <v>955</v>
      </c>
      <c r="E266" s="2">
        <v>11000</v>
      </c>
    </row>
    <row r="267" spans="1:5" x14ac:dyDescent="0.3">
      <c r="A267" s="1">
        <v>266</v>
      </c>
      <c r="B267" s="1" t="s">
        <v>384</v>
      </c>
      <c r="C267" s="1" t="s">
        <v>956</v>
      </c>
      <c r="D267" s="1" t="s">
        <v>1075</v>
      </c>
      <c r="E267" s="2">
        <v>6000</v>
      </c>
    </row>
    <row r="268" spans="1:5" x14ac:dyDescent="0.3">
      <c r="A268" s="1">
        <v>267</v>
      </c>
      <c r="B268" s="1" t="s">
        <v>384</v>
      </c>
      <c r="C268" s="1" t="s">
        <v>958</v>
      </c>
      <c r="D268" s="1" t="s">
        <v>959</v>
      </c>
      <c r="E268" s="2">
        <v>4500</v>
      </c>
    </row>
    <row r="269" spans="1:5" x14ac:dyDescent="0.3">
      <c r="A269" s="1">
        <v>268</v>
      </c>
      <c r="B269" s="1" t="s">
        <v>384</v>
      </c>
      <c r="C269" s="1" t="s">
        <v>960</v>
      </c>
      <c r="D269" s="1" t="s">
        <v>961</v>
      </c>
      <c r="E269" s="2">
        <v>8500</v>
      </c>
    </row>
    <row r="270" spans="1:5" x14ac:dyDescent="0.3">
      <c r="A270" s="1">
        <v>269</v>
      </c>
      <c r="B270" s="1" t="s">
        <v>384</v>
      </c>
      <c r="C270" s="1" t="s">
        <v>962</v>
      </c>
      <c r="D270" s="1" t="s">
        <v>963</v>
      </c>
      <c r="E270" s="2">
        <v>2000</v>
      </c>
    </row>
    <row r="271" spans="1:5" x14ac:dyDescent="0.3">
      <c r="A271" s="1">
        <v>270</v>
      </c>
      <c r="B271" s="1" t="s">
        <v>1103</v>
      </c>
      <c r="C271" s="1" t="s">
        <v>964</v>
      </c>
      <c r="D271" s="1" t="s">
        <v>1027</v>
      </c>
      <c r="E271" s="2">
        <v>1500</v>
      </c>
    </row>
    <row r="272" spans="1:5" x14ac:dyDescent="0.3">
      <c r="A272" s="1">
        <v>271</v>
      </c>
      <c r="B272" s="1" t="s">
        <v>389</v>
      </c>
      <c r="C272" s="1" t="s">
        <v>967</v>
      </c>
      <c r="D272" s="1" t="s">
        <v>968</v>
      </c>
      <c r="E272" s="2">
        <v>18000</v>
      </c>
    </row>
    <row r="273" spans="1:5" x14ac:dyDescent="0.3">
      <c r="A273" s="1">
        <v>272</v>
      </c>
      <c r="B273" s="1" t="s">
        <v>389</v>
      </c>
      <c r="C273" s="1" t="s">
        <v>969</v>
      </c>
      <c r="D273" s="1" t="s">
        <v>970</v>
      </c>
      <c r="E273" s="2">
        <v>4500</v>
      </c>
    </row>
    <row r="274" spans="1:5" x14ac:dyDescent="0.3">
      <c r="A274" s="1">
        <v>273</v>
      </c>
      <c r="B274" s="1" t="s">
        <v>389</v>
      </c>
      <c r="C274" s="1" t="s">
        <v>971</v>
      </c>
      <c r="D274" s="1" t="s">
        <v>972</v>
      </c>
      <c r="E274" s="2">
        <v>16000</v>
      </c>
    </row>
    <row r="275" spans="1:5" x14ac:dyDescent="0.3">
      <c r="A275" s="1">
        <v>274</v>
      </c>
      <c r="B275" s="1" t="s">
        <v>389</v>
      </c>
      <c r="C275" s="1" t="s">
        <v>973</v>
      </c>
      <c r="D275" s="1" t="s">
        <v>974</v>
      </c>
      <c r="E275" s="2">
        <v>9000</v>
      </c>
    </row>
    <row r="276" spans="1:5" x14ac:dyDescent="0.3">
      <c r="A276" s="1">
        <v>275</v>
      </c>
      <c r="B276" s="1" t="s">
        <v>389</v>
      </c>
      <c r="C276" s="1" t="s">
        <v>975</v>
      </c>
      <c r="D276" s="1" t="s">
        <v>976</v>
      </c>
      <c r="E276" s="2">
        <v>2500</v>
      </c>
    </row>
    <row r="277" spans="1:5" x14ac:dyDescent="0.3">
      <c r="A277" s="1">
        <v>276</v>
      </c>
      <c r="B277" s="1" t="s">
        <v>389</v>
      </c>
      <c r="C277" s="1" t="s">
        <v>977</v>
      </c>
      <c r="D277" s="1" t="s">
        <v>978</v>
      </c>
      <c r="E277" s="2">
        <v>5000</v>
      </c>
    </row>
    <row r="278" spans="1:5" x14ac:dyDescent="0.3">
      <c r="A278" s="1">
        <v>277</v>
      </c>
      <c r="B278" s="1" t="s">
        <v>389</v>
      </c>
      <c r="C278" s="1" t="s">
        <v>979</v>
      </c>
      <c r="D278" s="1" t="s">
        <v>980</v>
      </c>
      <c r="E278" s="2">
        <v>15000</v>
      </c>
    </row>
    <row r="279" spans="1:5" x14ac:dyDescent="0.3">
      <c r="A279" s="1">
        <v>278</v>
      </c>
      <c r="B279" s="1" t="s">
        <v>389</v>
      </c>
      <c r="C279" s="1" t="s">
        <v>981</v>
      </c>
      <c r="D279" s="1" t="s">
        <v>982</v>
      </c>
      <c r="E279" s="2">
        <v>9000</v>
      </c>
    </row>
    <row r="280" spans="1:5" x14ac:dyDescent="0.3">
      <c r="A280" s="1">
        <v>279</v>
      </c>
      <c r="B280" s="1" t="s">
        <v>389</v>
      </c>
      <c r="C280" s="1" t="s">
        <v>1050</v>
      </c>
      <c r="D280" s="1" t="s">
        <v>1051</v>
      </c>
      <c r="E280" s="2">
        <v>7000</v>
      </c>
    </row>
    <row r="281" spans="1:5" x14ac:dyDescent="0.3">
      <c r="A281" s="1">
        <v>280</v>
      </c>
      <c r="B281" s="1" t="s">
        <v>389</v>
      </c>
      <c r="C281" s="1" t="s">
        <v>1052</v>
      </c>
      <c r="D281" s="1" t="s">
        <v>1053</v>
      </c>
      <c r="E281" s="2">
        <v>12000</v>
      </c>
    </row>
    <row r="282" spans="1:5" x14ac:dyDescent="0.3">
      <c r="A282" s="1">
        <v>281</v>
      </c>
      <c r="B282" s="1" t="s">
        <v>394</v>
      </c>
      <c r="C282" s="1" t="s">
        <v>1104</v>
      </c>
      <c r="D282" s="1" t="s">
        <v>1105</v>
      </c>
      <c r="E282" s="2">
        <v>1500</v>
      </c>
    </row>
    <row r="283" spans="1:5" x14ac:dyDescent="0.3">
      <c r="A283" s="1">
        <v>282</v>
      </c>
      <c r="B283" s="1" t="s">
        <v>394</v>
      </c>
      <c r="C283" s="1" t="s">
        <v>1106</v>
      </c>
      <c r="D283" s="1" t="s">
        <v>1107</v>
      </c>
      <c r="E283" s="2">
        <v>2000</v>
      </c>
    </row>
    <row r="284" spans="1:5" x14ac:dyDescent="0.3">
      <c r="A284" s="1">
        <v>283</v>
      </c>
      <c r="B284" s="1" t="s">
        <v>394</v>
      </c>
      <c r="C284" s="1" t="s">
        <v>1108</v>
      </c>
      <c r="D284" s="1" t="s">
        <v>1109</v>
      </c>
      <c r="E284" s="2">
        <v>1500</v>
      </c>
    </row>
    <row r="285" spans="1:5" x14ac:dyDescent="0.3">
      <c r="A285" s="1">
        <v>284</v>
      </c>
      <c r="B285" s="1" t="s">
        <v>394</v>
      </c>
      <c r="C285" s="1" t="s">
        <v>1110</v>
      </c>
      <c r="D285" s="1" t="s">
        <v>1111</v>
      </c>
      <c r="E285" s="2">
        <v>2000</v>
      </c>
    </row>
    <row r="286" spans="1:5" x14ac:dyDescent="0.3">
      <c r="A286" s="1">
        <v>285</v>
      </c>
      <c r="B286" s="1" t="s">
        <v>394</v>
      </c>
      <c r="C286" s="1" t="s">
        <v>1112</v>
      </c>
      <c r="D286" s="1" t="s">
        <v>1113</v>
      </c>
      <c r="E286" s="2">
        <v>2000</v>
      </c>
    </row>
    <row r="287" spans="1:5" x14ac:dyDescent="0.3">
      <c r="A287" s="1">
        <v>286</v>
      </c>
      <c r="B287" s="1" t="s">
        <v>394</v>
      </c>
      <c r="C287" s="1" t="s">
        <v>1114</v>
      </c>
      <c r="D287" s="1" t="s">
        <v>1115</v>
      </c>
      <c r="E287" s="2">
        <v>2500</v>
      </c>
    </row>
    <row r="288" spans="1:5" x14ac:dyDescent="0.3">
      <c r="A288" s="1">
        <v>287</v>
      </c>
      <c r="B288" s="1" t="s">
        <v>394</v>
      </c>
      <c r="C288" s="1" t="s">
        <v>1116</v>
      </c>
      <c r="D288" s="1" t="s">
        <v>1117</v>
      </c>
      <c r="E288" s="2">
        <v>2000</v>
      </c>
    </row>
    <row r="289" spans="1:5" x14ac:dyDescent="0.3">
      <c r="A289" s="1">
        <v>288</v>
      </c>
      <c r="B289" s="1" t="s">
        <v>394</v>
      </c>
      <c r="C289" s="1" t="s">
        <v>1118</v>
      </c>
      <c r="D289" s="1" t="s">
        <v>1119</v>
      </c>
      <c r="E289" s="2">
        <v>2500</v>
      </c>
    </row>
    <row r="290" spans="1:5" x14ac:dyDescent="0.3">
      <c r="A290" s="1">
        <v>289</v>
      </c>
      <c r="B290" s="1" t="s">
        <v>394</v>
      </c>
      <c r="C290" s="1" t="s">
        <v>1120</v>
      </c>
      <c r="D290" s="1" t="s">
        <v>1121</v>
      </c>
      <c r="E290" s="2">
        <v>3000</v>
      </c>
    </row>
    <row r="291" spans="1:5" x14ac:dyDescent="0.3">
      <c r="A291" s="1">
        <v>290</v>
      </c>
      <c r="B291" s="1" t="s">
        <v>399</v>
      </c>
      <c r="C291" s="1" t="s">
        <v>1076</v>
      </c>
      <c r="D291" s="1" t="s">
        <v>1077</v>
      </c>
      <c r="E291" s="2">
        <v>10000</v>
      </c>
    </row>
    <row r="292" spans="1:5" x14ac:dyDescent="0.3">
      <c r="A292" s="1">
        <v>291</v>
      </c>
      <c r="B292" s="1" t="s">
        <v>399</v>
      </c>
      <c r="C292" s="1" t="s">
        <v>1078</v>
      </c>
      <c r="D292" s="1" t="s">
        <v>1079</v>
      </c>
      <c r="E292" s="2">
        <v>10500</v>
      </c>
    </row>
    <row r="293" spans="1:5" x14ac:dyDescent="0.3">
      <c r="A293" s="1">
        <v>292</v>
      </c>
      <c r="B293" s="1" t="s">
        <v>399</v>
      </c>
      <c r="C293" s="1" t="s">
        <v>1080</v>
      </c>
      <c r="D293" s="1" t="s">
        <v>1081</v>
      </c>
      <c r="E293" s="2">
        <v>11000</v>
      </c>
    </row>
    <row r="294" spans="1:5" x14ac:dyDescent="0.3">
      <c r="A294" s="1">
        <v>293</v>
      </c>
      <c r="B294" s="1" t="s">
        <v>399</v>
      </c>
      <c r="C294" s="1" t="s">
        <v>1082</v>
      </c>
      <c r="D294" s="1" t="s">
        <v>1083</v>
      </c>
      <c r="E294" s="2">
        <v>11000</v>
      </c>
    </row>
    <row r="295" spans="1:5" x14ac:dyDescent="0.3">
      <c r="A295" s="1">
        <v>294</v>
      </c>
      <c r="B295" s="1" t="s">
        <v>399</v>
      </c>
      <c r="C295" s="1" t="s">
        <v>1084</v>
      </c>
      <c r="D295" s="1" t="s">
        <v>1085</v>
      </c>
      <c r="E295" s="2">
        <v>12000</v>
      </c>
    </row>
    <row r="296" spans="1:5" x14ac:dyDescent="0.3">
      <c r="A296" s="1">
        <v>295</v>
      </c>
      <c r="B296" s="1" t="s">
        <v>399</v>
      </c>
      <c r="C296" s="1" t="s">
        <v>1086</v>
      </c>
      <c r="D296" s="1" t="s">
        <v>1087</v>
      </c>
      <c r="E296" s="2">
        <v>12000</v>
      </c>
    </row>
    <row r="297" spans="1:5" x14ac:dyDescent="0.3">
      <c r="A297" s="1">
        <v>296</v>
      </c>
      <c r="B297" s="1" t="s">
        <v>399</v>
      </c>
      <c r="C297" s="1" t="s">
        <v>1088</v>
      </c>
      <c r="D297" s="1" t="s">
        <v>1122</v>
      </c>
      <c r="E297" s="2">
        <v>11000</v>
      </c>
    </row>
    <row r="298" spans="1:5" x14ac:dyDescent="0.3">
      <c r="A298" s="1">
        <v>297</v>
      </c>
      <c r="B298" s="1" t="s">
        <v>404</v>
      </c>
      <c r="C298" s="1" t="s">
        <v>1104</v>
      </c>
      <c r="D298" s="1" t="s">
        <v>1105</v>
      </c>
      <c r="E298" s="2">
        <v>1500</v>
      </c>
    </row>
    <row r="299" spans="1:5" x14ac:dyDescent="0.3">
      <c r="A299" s="1">
        <v>298</v>
      </c>
      <c r="B299" s="1" t="s">
        <v>404</v>
      </c>
      <c r="C299" s="1" t="s">
        <v>1106</v>
      </c>
      <c r="D299" s="1" t="s">
        <v>1107</v>
      </c>
      <c r="E299" s="2">
        <v>2000</v>
      </c>
    </row>
    <row r="300" spans="1:5" x14ac:dyDescent="0.3">
      <c r="A300" s="1">
        <v>299</v>
      </c>
      <c r="B300" s="1" t="s">
        <v>404</v>
      </c>
      <c r="C300" s="1" t="s">
        <v>1108</v>
      </c>
      <c r="D300" s="1" t="s">
        <v>1109</v>
      </c>
      <c r="E300" s="2">
        <v>1500</v>
      </c>
    </row>
    <row r="301" spans="1:5" x14ac:dyDescent="0.3">
      <c r="A301" s="1">
        <v>300</v>
      </c>
      <c r="B301" s="1" t="s">
        <v>404</v>
      </c>
      <c r="C301" s="1" t="s">
        <v>1110</v>
      </c>
      <c r="D301" s="1" t="s">
        <v>1111</v>
      </c>
      <c r="E301" s="2">
        <v>2000</v>
      </c>
    </row>
    <row r="302" spans="1:5" x14ac:dyDescent="0.3">
      <c r="A302" s="1">
        <v>301</v>
      </c>
      <c r="B302" s="1" t="s">
        <v>404</v>
      </c>
      <c r="C302" s="1" t="s">
        <v>1112</v>
      </c>
      <c r="D302" s="1" t="s">
        <v>1113</v>
      </c>
      <c r="E302" s="2">
        <v>2000</v>
      </c>
    </row>
    <row r="303" spans="1:5" x14ac:dyDescent="0.3">
      <c r="A303" s="1">
        <v>302</v>
      </c>
      <c r="B303" s="1" t="s">
        <v>404</v>
      </c>
      <c r="C303" s="1" t="s">
        <v>1114</v>
      </c>
      <c r="D303" s="1" t="s">
        <v>1115</v>
      </c>
      <c r="E303" s="2">
        <v>2500</v>
      </c>
    </row>
    <row r="304" spans="1:5" x14ac:dyDescent="0.3">
      <c r="A304" s="1">
        <v>303</v>
      </c>
      <c r="B304" s="1" t="s">
        <v>404</v>
      </c>
      <c r="C304" s="1" t="s">
        <v>1116</v>
      </c>
      <c r="D304" s="1" t="s">
        <v>1117</v>
      </c>
      <c r="E304" s="2">
        <v>2000</v>
      </c>
    </row>
    <row r="305" spans="1:5" x14ac:dyDescent="0.3">
      <c r="A305" s="1">
        <v>304</v>
      </c>
      <c r="B305" s="1" t="s">
        <v>404</v>
      </c>
      <c r="C305" s="1" t="s">
        <v>1118</v>
      </c>
      <c r="D305" s="1" t="s">
        <v>1119</v>
      </c>
      <c r="E305" s="2">
        <v>2500</v>
      </c>
    </row>
    <row r="306" spans="1:5" x14ac:dyDescent="0.3">
      <c r="A306" s="1">
        <v>305</v>
      </c>
      <c r="B306" s="1" t="s">
        <v>404</v>
      </c>
      <c r="C306" s="1" t="s">
        <v>1120</v>
      </c>
      <c r="D306" s="1" t="s">
        <v>1121</v>
      </c>
      <c r="E306" s="2">
        <v>3000</v>
      </c>
    </row>
    <row r="307" spans="1:5" x14ac:dyDescent="0.3">
      <c r="A307" s="1">
        <v>306</v>
      </c>
      <c r="B307" s="1" t="s">
        <v>409</v>
      </c>
      <c r="C307" s="1" t="s">
        <v>1104</v>
      </c>
      <c r="D307" s="1" t="s">
        <v>1105</v>
      </c>
      <c r="E307" s="2">
        <v>1500</v>
      </c>
    </row>
    <row r="308" spans="1:5" x14ac:dyDescent="0.3">
      <c r="A308" s="1">
        <v>307</v>
      </c>
      <c r="B308" s="1" t="s">
        <v>409</v>
      </c>
      <c r="C308" s="1" t="s">
        <v>1106</v>
      </c>
      <c r="D308" s="1" t="s">
        <v>1107</v>
      </c>
      <c r="E308" s="2">
        <v>2000</v>
      </c>
    </row>
    <row r="309" spans="1:5" x14ac:dyDescent="0.3">
      <c r="A309" s="1">
        <v>308</v>
      </c>
      <c r="B309" s="1" t="s">
        <v>409</v>
      </c>
      <c r="C309" s="1" t="s">
        <v>1108</v>
      </c>
      <c r="D309" s="1" t="s">
        <v>1109</v>
      </c>
      <c r="E309" s="2">
        <v>1500</v>
      </c>
    </row>
    <row r="310" spans="1:5" x14ac:dyDescent="0.3">
      <c r="A310" s="1">
        <v>309</v>
      </c>
      <c r="B310" s="1" t="s">
        <v>409</v>
      </c>
      <c r="C310" s="1" t="s">
        <v>1110</v>
      </c>
      <c r="D310" s="1" t="s">
        <v>1111</v>
      </c>
      <c r="E310" s="2">
        <v>2000</v>
      </c>
    </row>
    <row r="311" spans="1:5" x14ac:dyDescent="0.3">
      <c r="A311" s="1">
        <v>310</v>
      </c>
      <c r="B311" s="1" t="s">
        <v>409</v>
      </c>
      <c r="C311" s="1" t="s">
        <v>1112</v>
      </c>
      <c r="D311" s="1" t="s">
        <v>1113</v>
      </c>
      <c r="E311" s="2">
        <v>2000</v>
      </c>
    </row>
    <row r="312" spans="1:5" x14ac:dyDescent="0.3">
      <c r="A312" s="1">
        <v>311</v>
      </c>
      <c r="B312" s="1" t="s">
        <v>409</v>
      </c>
      <c r="C312" s="1" t="s">
        <v>1114</v>
      </c>
      <c r="D312" s="1" t="s">
        <v>1115</v>
      </c>
      <c r="E312" s="2">
        <v>2500</v>
      </c>
    </row>
    <row r="313" spans="1:5" x14ac:dyDescent="0.3">
      <c r="A313" s="1">
        <v>312</v>
      </c>
      <c r="B313" s="1" t="s">
        <v>409</v>
      </c>
      <c r="C313" s="1" t="s">
        <v>1116</v>
      </c>
      <c r="D313" s="1" t="s">
        <v>1117</v>
      </c>
      <c r="E313" s="2">
        <v>2000</v>
      </c>
    </row>
    <row r="314" spans="1:5" x14ac:dyDescent="0.3">
      <c r="A314" s="1">
        <v>313</v>
      </c>
      <c r="B314" s="1" t="s">
        <v>409</v>
      </c>
      <c r="C314" s="1" t="s">
        <v>1118</v>
      </c>
      <c r="D314" s="1" t="s">
        <v>1119</v>
      </c>
      <c r="E314" s="2">
        <v>2500</v>
      </c>
    </row>
    <row r="315" spans="1:5" x14ac:dyDescent="0.3">
      <c r="A315" s="1">
        <v>314</v>
      </c>
      <c r="B315" s="1" t="s">
        <v>409</v>
      </c>
      <c r="C315" s="1" t="s">
        <v>1120</v>
      </c>
      <c r="D315" s="1" t="s">
        <v>1121</v>
      </c>
      <c r="E315" s="2">
        <v>3000</v>
      </c>
    </row>
    <row r="316" spans="1:5" x14ac:dyDescent="0.3">
      <c r="A316" s="1">
        <v>315</v>
      </c>
      <c r="B316" s="1" t="s">
        <v>414</v>
      </c>
      <c r="C316" s="1" t="s">
        <v>946</v>
      </c>
      <c r="D316" s="1" t="s">
        <v>1098</v>
      </c>
      <c r="E316" s="2">
        <v>15000</v>
      </c>
    </row>
    <row r="317" spans="1:5" x14ac:dyDescent="0.3">
      <c r="A317" s="1">
        <v>316</v>
      </c>
      <c r="B317" s="1" t="s">
        <v>414</v>
      </c>
      <c r="C317" s="1" t="s">
        <v>948</v>
      </c>
      <c r="D317" s="1" t="s">
        <v>949</v>
      </c>
      <c r="E317" s="2">
        <v>5000</v>
      </c>
    </row>
    <row r="318" spans="1:5" x14ac:dyDescent="0.3">
      <c r="A318" s="1">
        <v>317</v>
      </c>
      <c r="B318" s="1" t="s">
        <v>414</v>
      </c>
      <c r="C318" s="1" t="s">
        <v>950</v>
      </c>
      <c r="D318" s="1" t="s">
        <v>1074</v>
      </c>
      <c r="E318" s="2">
        <v>4000</v>
      </c>
    </row>
    <row r="319" spans="1:5" x14ac:dyDescent="0.3">
      <c r="A319" s="1">
        <v>318</v>
      </c>
      <c r="B319" s="1" t="s">
        <v>414</v>
      </c>
      <c r="C319" s="1" t="s">
        <v>952</v>
      </c>
      <c r="D319" s="1" t="s">
        <v>953</v>
      </c>
      <c r="E319" s="2">
        <v>17000</v>
      </c>
    </row>
    <row r="320" spans="1:5" x14ac:dyDescent="0.3">
      <c r="A320" s="1">
        <v>319</v>
      </c>
      <c r="B320" s="1" t="s">
        <v>414</v>
      </c>
      <c r="C320" s="1" t="s">
        <v>954</v>
      </c>
      <c r="D320" s="1" t="s">
        <v>955</v>
      </c>
      <c r="E320" s="2">
        <v>11000</v>
      </c>
    </row>
    <row r="321" spans="1:5" x14ac:dyDescent="0.3">
      <c r="A321" s="1">
        <v>320</v>
      </c>
      <c r="B321" s="1" t="s">
        <v>414</v>
      </c>
      <c r="C321" s="1" t="s">
        <v>956</v>
      </c>
      <c r="D321" s="1" t="s">
        <v>1075</v>
      </c>
      <c r="E321" s="2">
        <v>6000</v>
      </c>
    </row>
    <row r="322" spans="1:5" x14ac:dyDescent="0.3">
      <c r="A322" s="1">
        <v>321</v>
      </c>
      <c r="B322" s="1" t="s">
        <v>414</v>
      </c>
      <c r="C322" s="1" t="s">
        <v>958</v>
      </c>
      <c r="D322" s="1" t="s">
        <v>959</v>
      </c>
      <c r="E322" s="2">
        <v>4500</v>
      </c>
    </row>
    <row r="323" spans="1:5" x14ac:dyDescent="0.3">
      <c r="A323" s="1">
        <v>322</v>
      </c>
      <c r="B323" s="1" t="s">
        <v>414</v>
      </c>
      <c r="C323" s="1" t="s">
        <v>960</v>
      </c>
      <c r="D323" s="1" t="s">
        <v>961</v>
      </c>
      <c r="E323" s="2">
        <v>8500</v>
      </c>
    </row>
    <row r="324" spans="1:5" x14ac:dyDescent="0.3">
      <c r="A324" s="1">
        <v>323</v>
      </c>
      <c r="B324" s="1" t="s">
        <v>414</v>
      </c>
      <c r="C324" s="1" t="s">
        <v>962</v>
      </c>
      <c r="D324" s="1" t="s">
        <v>963</v>
      </c>
      <c r="E324" s="2">
        <v>2000</v>
      </c>
    </row>
    <row r="325" spans="1:5" x14ac:dyDescent="0.3">
      <c r="A325" s="1">
        <v>324</v>
      </c>
      <c r="B325" s="1" t="s">
        <v>419</v>
      </c>
      <c r="C325" s="1" t="s">
        <v>1028</v>
      </c>
      <c r="D325" s="1" t="s">
        <v>1029</v>
      </c>
      <c r="E325" s="2">
        <v>4000</v>
      </c>
    </row>
    <row r="326" spans="1:5" x14ac:dyDescent="0.3">
      <c r="A326" s="1">
        <v>325</v>
      </c>
      <c r="B326" s="1" t="s">
        <v>419</v>
      </c>
      <c r="C326" s="1" t="s">
        <v>1030</v>
      </c>
      <c r="D326" s="1" t="s">
        <v>1031</v>
      </c>
      <c r="E326" s="2">
        <v>5000</v>
      </c>
    </row>
    <row r="327" spans="1:5" x14ac:dyDescent="0.3">
      <c r="A327" s="1">
        <v>326</v>
      </c>
      <c r="B327" s="1" t="s">
        <v>419</v>
      </c>
      <c r="C327" s="1" t="s">
        <v>1032</v>
      </c>
      <c r="D327" s="1" t="s">
        <v>1033</v>
      </c>
      <c r="E327" s="2">
        <v>5000</v>
      </c>
    </row>
    <row r="328" spans="1:5" x14ac:dyDescent="0.3">
      <c r="A328" s="1">
        <v>327</v>
      </c>
      <c r="B328" s="1" t="s">
        <v>419</v>
      </c>
      <c r="C328" s="1" t="s">
        <v>1034</v>
      </c>
      <c r="D328" s="1" t="s">
        <v>1035</v>
      </c>
      <c r="E328" s="2">
        <v>6000</v>
      </c>
    </row>
    <row r="329" spans="1:5" x14ac:dyDescent="0.3">
      <c r="A329" s="1">
        <v>328</v>
      </c>
      <c r="B329" s="1" t="s">
        <v>419</v>
      </c>
      <c r="C329" s="1" t="s">
        <v>1036</v>
      </c>
      <c r="D329" s="1" t="s">
        <v>1037</v>
      </c>
      <c r="E329" s="2">
        <v>5000</v>
      </c>
    </row>
    <row r="330" spans="1:5" x14ac:dyDescent="0.3">
      <c r="A330" s="1">
        <v>329</v>
      </c>
      <c r="B330" s="1" t="s">
        <v>419</v>
      </c>
      <c r="C330" s="1" t="s">
        <v>1038</v>
      </c>
      <c r="D330" s="1" t="s">
        <v>1039</v>
      </c>
      <c r="E330" s="2">
        <v>2000</v>
      </c>
    </row>
    <row r="331" spans="1:5" x14ac:dyDescent="0.3">
      <c r="A331" s="1">
        <v>330</v>
      </c>
      <c r="B331" s="1" t="s">
        <v>419</v>
      </c>
      <c r="C331" s="1" t="s">
        <v>1065</v>
      </c>
      <c r="D331" s="1" t="s">
        <v>1066</v>
      </c>
      <c r="E331" s="2">
        <v>4000</v>
      </c>
    </row>
    <row r="332" spans="1:5" x14ac:dyDescent="0.3">
      <c r="A332" s="1">
        <v>331</v>
      </c>
      <c r="B332" s="1" t="s">
        <v>419</v>
      </c>
      <c r="C332" s="1" t="s">
        <v>1067</v>
      </c>
      <c r="D332" s="1" t="s">
        <v>1068</v>
      </c>
      <c r="E332" s="2">
        <v>6500</v>
      </c>
    </row>
    <row r="333" spans="1:5" x14ac:dyDescent="0.3">
      <c r="A333" s="1">
        <v>332</v>
      </c>
      <c r="B333" s="1" t="s">
        <v>419</v>
      </c>
      <c r="C333" s="1" t="s">
        <v>1069</v>
      </c>
      <c r="D333" s="1" t="s">
        <v>1070</v>
      </c>
      <c r="E333" s="2">
        <v>8000</v>
      </c>
    </row>
    <row r="334" spans="1:5" x14ac:dyDescent="0.3">
      <c r="A334" s="1">
        <v>333</v>
      </c>
      <c r="B334" s="1" t="s">
        <v>424</v>
      </c>
      <c r="C334" s="1" t="s">
        <v>1028</v>
      </c>
      <c r="D334" s="1" t="s">
        <v>1029</v>
      </c>
      <c r="E334" s="2">
        <v>4000</v>
      </c>
    </row>
    <row r="335" spans="1:5" x14ac:dyDescent="0.3">
      <c r="A335" s="1">
        <v>334</v>
      </c>
      <c r="B335" s="1" t="s">
        <v>424</v>
      </c>
      <c r="C335" s="1" t="s">
        <v>1030</v>
      </c>
      <c r="D335" s="1" t="s">
        <v>1031</v>
      </c>
      <c r="E335" s="2">
        <v>5000</v>
      </c>
    </row>
    <row r="336" spans="1:5" x14ac:dyDescent="0.3">
      <c r="A336" s="1">
        <v>335</v>
      </c>
      <c r="B336" s="1" t="s">
        <v>424</v>
      </c>
      <c r="C336" s="1" t="s">
        <v>1032</v>
      </c>
      <c r="D336" s="1" t="s">
        <v>1033</v>
      </c>
      <c r="E336" s="2">
        <v>5000</v>
      </c>
    </row>
    <row r="337" spans="1:5" x14ac:dyDescent="0.3">
      <c r="A337" s="1">
        <v>336</v>
      </c>
      <c r="B337" s="1" t="s">
        <v>424</v>
      </c>
      <c r="C337" s="1" t="s">
        <v>1034</v>
      </c>
      <c r="D337" s="1" t="s">
        <v>1035</v>
      </c>
      <c r="E337" s="2">
        <v>6000</v>
      </c>
    </row>
    <row r="338" spans="1:5" x14ac:dyDescent="0.3">
      <c r="A338" s="1">
        <v>337</v>
      </c>
      <c r="B338" s="1" t="s">
        <v>424</v>
      </c>
      <c r="C338" s="1" t="s">
        <v>1036</v>
      </c>
      <c r="D338" s="1" t="s">
        <v>1037</v>
      </c>
      <c r="E338" s="2">
        <v>5000</v>
      </c>
    </row>
    <row r="339" spans="1:5" x14ac:dyDescent="0.3">
      <c r="A339" s="1">
        <v>338</v>
      </c>
      <c r="B339" s="1" t="s">
        <v>424</v>
      </c>
      <c r="C339" s="1" t="s">
        <v>1038</v>
      </c>
      <c r="D339" s="1" t="s">
        <v>1039</v>
      </c>
      <c r="E339" s="2">
        <v>2000</v>
      </c>
    </row>
    <row r="340" spans="1:5" x14ac:dyDescent="0.3">
      <c r="A340" s="1">
        <v>339</v>
      </c>
      <c r="B340" s="1" t="s">
        <v>424</v>
      </c>
      <c r="C340" s="1" t="s">
        <v>1065</v>
      </c>
      <c r="D340" s="1" t="s">
        <v>1066</v>
      </c>
      <c r="E340" s="2">
        <v>4000</v>
      </c>
    </row>
    <row r="341" spans="1:5" x14ac:dyDescent="0.3">
      <c r="A341" s="1">
        <v>340</v>
      </c>
      <c r="B341" s="1" t="s">
        <v>424</v>
      </c>
      <c r="C341" s="1" t="s">
        <v>1067</v>
      </c>
      <c r="D341" s="1" t="s">
        <v>1068</v>
      </c>
      <c r="E341" s="2">
        <v>6500</v>
      </c>
    </row>
    <row r="342" spans="1:5" x14ac:dyDescent="0.3">
      <c r="A342" s="1">
        <v>341</v>
      </c>
      <c r="B342" s="1" t="s">
        <v>424</v>
      </c>
      <c r="C342" s="1" t="s">
        <v>1069</v>
      </c>
      <c r="D342" s="1" t="s">
        <v>1070</v>
      </c>
      <c r="E342" s="2">
        <v>8000</v>
      </c>
    </row>
    <row r="343" spans="1:5" x14ac:dyDescent="0.3">
      <c r="A343" s="1">
        <v>342</v>
      </c>
      <c r="B343" s="1" t="s">
        <v>429</v>
      </c>
      <c r="C343" s="1" t="s">
        <v>946</v>
      </c>
      <c r="D343" s="1" t="s">
        <v>1098</v>
      </c>
      <c r="E343" s="2">
        <v>15000</v>
      </c>
    </row>
    <row r="344" spans="1:5" x14ac:dyDescent="0.3">
      <c r="A344" s="1">
        <v>343</v>
      </c>
      <c r="B344" s="1" t="s">
        <v>429</v>
      </c>
      <c r="C344" s="1" t="s">
        <v>948</v>
      </c>
      <c r="D344" s="1" t="s">
        <v>949</v>
      </c>
      <c r="E344" s="2">
        <v>5000</v>
      </c>
    </row>
    <row r="345" spans="1:5" x14ac:dyDescent="0.3">
      <c r="A345" s="1">
        <v>344</v>
      </c>
      <c r="B345" s="1" t="s">
        <v>429</v>
      </c>
      <c r="C345" s="1" t="s">
        <v>950</v>
      </c>
      <c r="D345" s="1" t="s">
        <v>1074</v>
      </c>
      <c r="E345" s="2">
        <v>4000</v>
      </c>
    </row>
    <row r="346" spans="1:5" x14ac:dyDescent="0.3">
      <c r="A346" s="1">
        <v>345</v>
      </c>
      <c r="B346" s="1" t="s">
        <v>429</v>
      </c>
      <c r="C346" s="1" t="s">
        <v>952</v>
      </c>
      <c r="D346" s="1" t="s">
        <v>953</v>
      </c>
      <c r="E346" s="2">
        <v>17000</v>
      </c>
    </row>
    <row r="347" spans="1:5" x14ac:dyDescent="0.3">
      <c r="A347" s="1">
        <v>346</v>
      </c>
      <c r="B347" s="1" t="s">
        <v>429</v>
      </c>
      <c r="C347" s="1" t="s">
        <v>954</v>
      </c>
      <c r="D347" s="1" t="s">
        <v>955</v>
      </c>
      <c r="E347" s="2">
        <v>11000</v>
      </c>
    </row>
    <row r="348" spans="1:5" x14ac:dyDescent="0.3">
      <c r="A348" s="1">
        <v>347</v>
      </c>
      <c r="B348" s="1" t="s">
        <v>429</v>
      </c>
      <c r="C348" s="1" t="s">
        <v>956</v>
      </c>
      <c r="D348" s="1" t="s">
        <v>1075</v>
      </c>
      <c r="E348" s="2">
        <v>6000</v>
      </c>
    </row>
    <row r="349" spans="1:5" x14ac:dyDescent="0.3">
      <c r="A349" s="1">
        <v>348</v>
      </c>
      <c r="B349" s="1" t="s">
        <v>429</v>
      </c>
      <c r="C349" s="1" t="s">
        <v>958</v>
      </c>
      <c r="D349" s="1" t="s">
        <v>959</v>
      </c>
      <c r="E349" s="2">
        <v>4500</v>
      </c>
    </row>
    <row r="350" spans="1:5" x14ac:dyDescent="0.3">
      <c r="A350" s="1">
        <v>349</v>
      </c>
      <c r="B350" s="1" t="s">
        <v>429</v>
      </c>
      <c r="C350" s="1" t="s">
        <v>960</v>
      </c>
      <c r="D350" s="1" t="s">
        <v>961</v>
      </c>
      <c r="E350" s="2">
        <v>8500</v>
      </c>
    </row>
    <row r="351" spans="1:5" x14ac:dyDescent="0.3">
      <c r="A351" s="1">
        <v>350</v>
      </c>
      <c r="B351" s="1" t="s">
        <v>429</v>
      </c>
      <c r="C351" s="1" t="s">
        <v>962</v>
      </c>
      <c r="D351" s="1" t="s">
        <v>963</v>
      </c>
      <c r="E351" s="2">
        <v>2000</v>
      </c>
    </row>
    <row r="352" spans="1:5" x14ac:dyDescent="0.3">
      <c r="A352" s="1">
        <v>351</v>
      </c>
      <c r="B352" s="1" t="s">
        <v>434</v>
      </c>
      <c r="C352" s="1" t="s">
        <v>1028</v>
      </c>
      <c r="D352" s="1" t="s">
        <v>1029</v>
      </c>
      <c r="E352" s="2">
        <v>4000</v>
      </c>
    </row>
    <row r="353" spans="1:5" x14ac:dyDescent="0.3">
      <c r="A353" s="1">
        <v>352</v>
      </c>
      <c r="B353" s="1" t="s">
        <v>434</v>
      </c>
      <c r="C353" s="1" t="s">
        <v>1030</v>
      </c>
      <c r="D353" s="1" t="s">
        <v>1031</v>
      </c>
      <c r="E353" s="2">
        <v>5000</v>
      </c>
    </row>
    <row r="354" spans="1:5" x14ac:dyDescent="0.3">
      <c r="A354" s="1">
        <v>353</v>
      </c>
      <c r="B354" s="1" t="s">
        <v>434</v>
      </c>
      <c r="C354" s="1" t="s">
        <v>1032</v>
      </c>
      <c r="D354" s="1" t="s">
        <v>1033</v>
      </c>
      <c r="E354" s="2">
        <v>5000</v>
      </c>
    </row>
    <row r="355" spans="1:5" x14ac:dyDescent="0.3">
      <c r="A355" s="1">
        <v>354</v>
      </c>
      <c r="B355" s="1" t="s">
        <v>434</v>
      </c>
      <c r="C355" s="1" t="s">
        <v>1034</v>
      </c>
      <c r="D355" s="1" t="s">
        <v>1035</v>
      </c>
      <c r="E355" s="2">
        <v>6000</v>
      </c>
    </row>
    <row r="356" spans="1:5" x14ac:dyDescent="0.3">
      <c r="A356" s="1">
        <v>355</v>
      </c>
      <c r="B356" s="1" t="s">
        <v>434</v>
      </c>
      <c r="C356" s="1" t="s">
        <v>1036</v>
      </c>
      <c r="D356" s="1" t="s">
        <v>1037</v>
      </c>
      <c r="E356" s="2">
        <v>5000</v>
      </c>
    </row>
    <row r="357" spans="1:5" x14ac:dyDescent="0.3">
      <c r="A357" s="1">
        <v>356</v>
      </c>
      <c r="B357" s="1" t="s">
        <v>434</v>
      </c>
      <c r="C357" s="1" t="s">
        <v>1038</v>
      </c>
      <c r="D357" s="1" t="s">
        <v>1039</v>
      </c>
      <c r="E357" s="2">
        <v>2000</v>
      </c>
    </row>
    <row r="358" spans="1:5" x14ac:dyDescent="0.3">
      <c r="A358" s="1">
        <v>357</v>
      </c>
      <c r="B358" s="1" t="s">
        <v>434</v>
      </c>
      <c r="C358" s="1" t="s">
        <v>1065</v>
      </c>
      <c r="D358" s="1" t="s">
        <v>1066</v>
      </c>
      <c r="E358" s="2">
        <v>4000</v>
      </c>
    </row>
    <row r="359" spans="1:5" x14ac:dyDescent="0.3">
      <c r="A359" s="1">
        <v>358</v>
      </c>
      <c r="B359" s="1" t="s">
        <v>434</v>
      </c>
      <c r="C359" s="1" t="s">
        <v>1067</v>
      </c>
      <c r="D359" s="1" t="s">
        <v>1068</v>
      </c>
      <c r="E359" s="2">
        <v>6500</v>
      </c>
    </row>
    <row r="360" spans="1:5" x14ac:dyDescent="0.3">
      <c r="A360" s="1">
        <v>359</v>
      </c>
      <c r="B360" s="1" t="s">
        <v>434</v>
      </c>
      <c r="C360" s="1" t="s">
        <v>1069</v>
      </c>
      <c r="D360" s="1" t="s">
        <v>1070</v>
      </c>
      <c r="E360" s="2">
        <v>8000</v>
      </c>
    </row>
    <row r="361" spans="1:5" x14ac:dyDescent="0.3">
      <c r="A361" s="1">
        <v>360</v>
      </c>
      <c r="B361" s="1" t="s">
        <v>439</v>
      </c>
      <c r="C361" s="1" t="s">
        <v>1015</v>
      </c>
      <c r="D361" s="1" t="s">
        <v>1016</v>
      </c>
      <c r="E361" s="2">
        <v>4500</v>
      </c>
    </row>
    <row r="362" spans="1:5" x14ac:dyDescent="0.3">
      <c r="A362" s="1">
        <v>361</v>
      </c>
      <c r="B362" s="1" t="s">
        <v>439</v>
      </c>
      <c r="C362" s="1" t="s">
        <v>1017</v>
      </c>
      <c r="D362" s="1" t="s">
        <v>1018</v>
      </c>
      <c r="E362" s="2">
        <v>6000</v>
      </c>
    </row>
    <row r="363" spans="1:5" x14ac:dyDescent="0.3">
      <c r="A363" s="1">
        <v>362</v>
      </c>
      <c r="B363" s="1" t="s">
        <v>439</v>
      </c>
      <c r="C363" s="1" t="s">
        <v>1019</v>
      </c>
      <c r="D363" s="1" t="s">
        <v>1020</v>
      </c>
      <c r="E363" s="2">
        <v>7600</v>
      </c>
    </row>
    <row r="364" spans="1:5" x14ac:dyDescent="0.3">
      <c r="A364" s="1">
        <v>363</v>
      </c>
      <c r="B364" s="1" t="s">
        <v>439</v>
      </c>
      <c r="C364" s="1" t="s">
        <v>1021</v>
      </c>
      <c r="D364" s="1" t="s">
        <v>1022</v>
      </c>
      <c r="E364" s="2">
        <v>5000</v>
      </c>
    </row>
    <row r="365" spans="1:5" x14ac:dyDescent="0.3">
      <c r="A365" s="1">
        <v>364</v>
      </c>
      <c r="B365" s="1" t="s">
        <v>439</v>
      </c>
      <c r="C365" s="1" t="s">
        <v>1092</v>
      </c>
      <c r="D365" s="1" t="s">
        <v>1093</v>
      </c>
      <c r="E365" s="2">
        <v>6500</v>
      </c>
    </row>
    <row r="366" spans="1:5" x14ac:dyDescent="0.3">
      <c r="A366" s="1">
        <v>365</v>
      </c>
      <c r="B366" s="1" t="s">
        <v>439</v>
      </c>
      <c r="C366" s="1" t="s">
        <v>1094</v>
      </c>
      <c r="D366" s="1" t="s">
        <v>1095</v>
      </c>
      <c r="E366" s="2">
        <v>9000</v>
      </c>
    </row>
    <row r="367" spans="1:5" x14ac:dyDescent="0.3">
      <c r="A367" s="1">
        <v>366</v>
      </c>
      <c r="B367" s="1" t="s">
        <v>439</v>
      </c>
      <c r="C367" s="1" t="s">
        <v>1096</v>
      </c>
      <c r="D367" s="1" t="s">
        <v>1097</v>
      </c>
      <c r="E367" s="2">
        <v>2500</v>
      </c>
    </row>
    <row r="368" spans="1:5" x14ac:dyDescent="0.3">
      <c r="A368" s="1">
        <v>367</v>
      </c>
      <c r="B368" s="1" t="s">
        <v>439</v>
      </c>
      <c r="C368" s="1" t="s">
        <v>1023</v>
      </c>
      <c r="D368" s="1" t="s">
        <v>1024</v>
      </c>
      <c r="E368" s="2">
        <v>6000</v>
      </c>
    </row>
    <row r="369" spans="1:5" x14ac:dyDescent="0.3">
      <c r="A369" s="1">
        <v>368</v>
      </c>
      <c r="B369" s="1" t="s">
        <v>439</v>
      </c>
      <c r="C369" s="1" t="s">
        <v>1025</v>
      </c>
      <c r="D369" s="1" t="s">
        <v>1026</v>
      </c>
      <c r="E369" s="2">
        <v>5000</v>
      </c>
    </row>
    <row r="370" spans="1:5" x14ac:dyDescent="0.3">
      <c r="A370" s="1">
        <v>369</v>
      </c>
      <c r="B370" s="1" t="s">
        <v>439</v>
      </c>
      <c r="C370" s="1" t="s">
        <v>966</v>
      </c>
      <c r="D370" s="1" t="s">
        <v>1027</v>
      </c>
      <c r="E370" s="2">
        <v>1500</v>
      </c>
    </row>
    <row r="371" spans="1:5" x14ac:dyDescent="0.3">
      <c r="A371" s="1">
        <v>370</v>
      </c>
      <c r="B371" s="1" t="s">
        <v>444</v>
      </c>
      <c r="C371" s="1" t="s">
        <v>1028</v>
      </c>
      <c r="D371" s="1" t="s">
        <v>1029</v>
      </c>
      <c r="E371" s="2">
        <v>4000</v>
      </c>
    </row>
    <row r="372" spans="1:5" x14ac:dyDescent="0.3">
      <c r="A372" s="1">
        <v>371</v>
      </c>
      <c r="B372" s="1" t="s">
        <v>444</v>
      </c>
      <c r="C372" s="1" t="s">
        <v>1030</v>
      </c>
      <c r="D372" s="1" t="s">
        <v>1031</v>
      </c>
      <c r="E372" s="2">
        <v>5000</v>
      </c>
    </row>
    <row r="373" spans="1:5" x14ac:dyDescent="0.3">
      <c r="A373" s="1">
        <v>372</v>
      </c>
      <c r="B373" s="1" t="s">
        <v>444</v>
      </c>
      <c r="C373" s="1" t="s">
        <v>1032</v>
      </c>
      <c r="D373" s="1" t="s">
        <v>1033</v>
      </c>
      <c r="E373" s="2">
        <v>5000</v>
      </c>
    </row>
    <row r="374" spans="1:5" x14ac:dyDescent="0.3">
      <c r="A374" s="1">
        <v>373</v>
      </c>
      <c r="B374" s="1" t="s">
        <v>444</v>
      </c>
      <c r="C374" s="1" t="s">
        <v>1034</v>
      </c>
      <c r="D374" s="1" t="s">
        <v>1035</v>
      </c>
      <c r="E374" s="2">
        <v>6000</v>
      </c>
    </row>
    <row r="375" spans="1:5" x14ac:dyDescent="0.3">
      <c r="A375" s="1">
        <v>374</v>
      </c>
      <c r="B375" s="1" t="s">
        <v>444</v>
      </c>
      <c r="C375" s="1" t="s">
        <v>1036</v>
      </c>
      <c r="D375" s="1" t="s">
        <v>1037</v>
      </c>
      <c r="E375" s="2">
        <v>5000</v>
      </c>
    </row>
    <row r="376" spans="1:5" x14ac:dyDescent="0.3">
      <c r="A376" s="1">
        <v>375</v>
      </c>
      <c r="B376" s="1" t="s">
        <v>444</v>
      </c>
      <c r="C376" s="1" t="s">
        <v>1038</v>
      </c>
      <c r="D376" s="1" t="s">
        <v>1039</v>
      </c>
      <c r="E376" s="2">
        <v>2000</v>
      </c>
    </row>
    <row r="377" spans="1:5" x14ac:dyDescent="0.3">
      <c r="A377" s="1">
        <v>376</v>
      </c>
      <c r="B377" s="1" t="s">
        <v>444</v>
      </c>
      <c r="C377" s="1" t="s">
        <v>1065</v>
      </c>
      <c r="D377" s="1" t="s">
        <v>1066</v>
      </c>
      <c r="E377" s="2">
        <v>4000</v>
      </c>
    </row>
    <row r="378" spans="1:5" x14ac:dyDescent="0.3">
      <c r="A378" s="1">
        <v>377</v>
      </c>
      <c r="B378" s="1" t="s">
        <v>444</v>
      </c>
      <c r="C378" s="1" t="s">
        <v>1067</v>
      </c>
      <c r="D378" s="1" t="s">
        <v>1068</v>
      </c>
      <c r="E378" s="2">
        <v>6500</v>
      </c>
    </row>
    <row r="379" spans="1:5" x14ac:dyDescent="0.3">
      <c r="A379" s="1">
        <v>378</v>
      </c>
      <c r="B379" s="1" t="s">
        <v>444</v>
      </c>
      <c r="C379" s="1" t="s">
        <v>1069</v>
      </c>
      <c r="D379" s="1" t="s">
        <v>1070</v>
      </c>
      <c r="E379" s="2">
        <v>8000</v>
      </c>
    </row>
    <row r="380" spans="1:5" x14ac:dyDescent="0.3">
      <c r="A380" s="1">
        <v>379</v>
      </c>
      <c r="B380" s="1" t="s">
        <v>449</v>
      </c>
      <c r="C380" s="1" t="s">
        <v>993</v>
      </c>
      <c r="D380" s="1" t="s">
        <v>994</v>
      </c>
      <c r="E380" s="2">
        <v>5000</v>
      </c>
    </row>
    <row r="381" spans="1:5" x14ac:dyDescent="0.3">
      <c r="A381" s="1">
        <v>380</v>
      </c>
      <c r="B381" s="1" t="s">
        <v>449</v>
      </c>
      <c r="C381" s="1" t="s">
        <v>995</v>
      </c>
      <c r="D381" s="1" t="s">
        <v>996</v>
      </c>
      <c r="E381" s="2">
        <v>6000</v>
      </c>
    </row>
    <row r="382" spans="1:5" x14ac:dyDescent="0.3">
      <c r="A382" s="1">
        <v>381</v>
      </c>
      <c r="B382" s="1" t="s">
        <v>449</v>
      </c>
      <c r="C382" s="1" t="s">
        <v>997</v>
      </c>
      <c r="D382" s="1" t="s">
        <v>998</v>
      </c>
      <c r="E382" s="2">
        <v>5500</v>
      </c>
    </row>
    <row r="383" spans="1:5" x14ac:dyDescent="0.3">
      <c r="A383" s="1">
        <v>382</v>
      </c>
      <c r="B383" s="1" t="s">
        <v>449</v>
      </c>
      <c r="C383" s="1" t="s">
        <v>999</v>
      </c>
      <c r="D383" s="1" t="s">
        <v>1000</v>
      </c>
      <c r="E383" s="2">
        <v>6000</v>
      </c>
    </row>
    <row r="384" spans="1:5" x14ac:dyDescent="0.3">
      <c r="A384" s="1">
        <v>383</v>
      </c>
      <c r="B384" s="1" t="s">
        <v>449</v>
      </c>
      <c r="C384" s="1" t="s">
        <v>1001</v>
      </c>
      <c r="D384" s="1" t="s">
        <v>1002</v>
      </c>
      <c r="E384" s="2">
        <v>4500</v>
      </c>
    </row>
    <row r="385" spans="1:5" x14ac:dyDescent="0.3">
      <c r="A385" s="1">
        <v>384</v>
      </c>
      <c r="B385" s="1" t="s">
        <v>449</v>
      </c>
      <c r="C385" s="1" t="s">
        <v>1003</v>
      </c>
      <c r="D385" s="1" t="s">
        <v>1004</v>
      </c>
      <c r="E385" s="2">
        <v>4000</v>
      </c>
    </row>
    <row r="386" spans="1:5" x14ac:dyDescent="0.3">
      <c r="A386" s="1">
        <v>385</v>
      </c>
      <c r="B386" s="1" t="s">
        <v>449</v>
      </c>
      <c r="C386" s="1" t="s">
        <v>1005</v>
      </c>
      <c r="D386" s="1" t="s">
        <v>1006</v>
      </c>
      <c r="E386" s="2">
        <v>3000</v>
      </c>
    </row>
    <row r="387" spans="1:5" x14ac:dyDescent="0.3">
      <c r="A387" s="1">
        <v>386</v>
      </c>
      <c r="B387" s="1" t="s">
        <v>449</v>
      </c>
      <c r="C387" s="1" t="s">
        <v>1007</v>
      </c>
      <c r="D387" s="1" t="s">
        <v>1008</v>
      </c>
      <c r="E387" s="2">
        <v>2500</v>
      </c>
    </row>
    <row r="388" spans="1:5" x14ac:dyDescent="0.3">
      <c r="A388" s="1">
        <v>387</v>
      </c>
      <c r="B388" s="1" t="s">
        <v>449</v>
      </c>
      <c r="C388" s="1" t="s">
        <v>1009</v>
      </c>
      <c r="D388" s="1" t="s">
        <v>1010</v>
      </c>
      <c r="E388" s="2">
        <v>8000</v>
      </c>
    </row>
    <row r="389" spans="1:5" x14ac:dyDescent="0.3">
      <c r="A389" s="1">
        <v>388</v>
      </c>
      <c r="B389" s="1" t="s">
        <v>449</v>
      </c>
      <c r="C389" s="1" t="s">
        <v>1057</v>
      </c>
      <c r="D389" s="1" t="s">
        <v>1058</v>
      </c>
      <c r="E389" s="2">
        <v>9000</v>
      </c>
    </row>
    <row r="390" spans="1:5" x14ac:dyDescent="0.3">
      <c r="A390" s="1">
        <v>389</v>
      </c>
      <c r="B390" s="1" t="s">
        <v>449</v>
      </c>
      <c r="C390" s="1" t="s">
        <v>1011</v>
      </c>
      <c r="D390" s="1" t="s">
        <v>1012</v>
      </c>
      <c r="E390" s="2">
        <v>8000</v>
      </c>
    </row>
    <row r="391" spans="1:5" x14ac:dyDescent="0.3">
      <c r="A391" s="1">
        <v>390</v>
      </c>
      <c r="B391" s="1" t="s">
        <v>449</v>
      </c>
      <c r="C391" s="1" t="s">
        <v>1013</v>
      </c>
      <c r="D391" s="1" t="s">
        <v>1014</v>
      </c>
      <c r="E391" s="2">
        <v>6000</v>
      </c>
    </row>
    <row r="392" spans="1:5" x14ac:dyDescent="0.3">
      <c r="A392" s="1">
        <v>391</v>
      </c>
      <c r="B392" s="1" t="s">
        <v>449</v>
      </c>
      <c r="C392" s="1" t="s">
        <v>966</v>
      </c>
      <c r="D392" s="1" t="s">
        <v>1027</v>
      </c>
      <c r="E392" s="2">
        <v>1500</v>
      </c>
    </row>
    <row r="393" spans="1:5" x14ac:dyDescent="0.3">
      <c r="A393" s="1">
        <v>392</v>
      </c>
      <c r="B393" s="1" t="s">
        <v>454</v>
      </c>
      <c r="C393" s="1" t="s">
        <v>1104</v>
      </c>
      <c r="D393" s="1" t="s">
        <v>1105</v>
      </c>
      <c r="E393" s="2">
        <v>1500</v>
      </c>
    </row>
    <row r="394" spans="1:5" x14ac:dyDescent="0.3">
      <c r="A394" s="1">
        <v>393</v>
      </c>
      <c r="B394" s="1" t="s">
        <v>454</v>
      </c>
      <c r="C394" s="1" t="s">
        <v>1106</v>
      </c>
      <c r="D394" s="1" t="s">
        <v>1107</v>
      </c>
      <c r="E394" s="2">
        <v>2000</v>
      </c>
    </row>
    <row r="395" spans="1:5" x14ac:dyDescent="0.3">
      <c r="A395" s="1">
        <v>394</v>
      </c>
      <c r="B395" s="1" t="s">
        <v>454</v>
      </c>
      <c r="C395" s="1" t="s">
        <v>1108</v>
      </c>
      <c r="D395" s="1" t="s">
        <v>1109</v>
      </c>
      <c r="E395" s="2">
        <v>1500</v>
      </c>
    </row>
    <row r="396" spans="1:5" x14ac:dyDescent="0.3">
      <c r="A396" s="1">
        <v>395</v>
      </c>
      <c r="B396" s="1" t="s">
        <v>454</v>
      </c>
      <c r="C396" s="1" t="s">
        <v>1110</v>
      </c>
      <c r="D396" s="1" t="s">
        <v>1111</v>
      </c>
      <c r="E396" s="2">
        <v>2000</v>
      </c>
    </row>
    <row r="397" spans="1:5" x14ac:dyDescent="0.3">
      <c r="A397" s="1">
        <v>396</v>
      </c>
      <c r="B397" s="1" t="s">
        <v>454</v>
      </c>
      <c r="C397" s="1" t="s">
        <v>1112</v>
      </c>
      <c r="D397" s="1" t="s">
        <v>1113</v>
      </c>
      <c r="E397" s="2">
        <v>2000</v>
      </c>
    </row>
    <row r="398" spans="1:5" x14ac:dyDescent="0.3">
      <c r="A398" s="1">
        <v>397</v>
      </c>
      <c r="B398" s="1" t="s">
        <v>454</v>
      </c>
      <c r="C398" s="1" t="s">
        <v>1114</v>
      </c>
      <c r="D398" s="1" t="s">
        <v>1115</v>
      </c>
      <c r="E398" s="2">
        <v>2500</v>
      </c>
    </row>
    <row r="399" spans="1:5" x14ac:dyDescent="0.3">
      <c r="A399" s="1">
        <v>398</v>
      </c>
      <c r="B399" s="1" t="s">
        <v>454</v>
      </c>
      <c r="C399" s="1" t="s">
        <v>1116</v>
      </c>
      <c r="D399" s="1" t="s">
        <v>1117</v>
      </c>
      <c r="E399" s="2">
        <v>2000</v>
      </c>
    </row>
    <row r="400" spans="1:5" x14ac:dyDescent="0.3">
      <c r="A400" s="1">
        <v>399</v>
      </c>
      <c r="B400" s="1" t="s">
        <v>454</v>
      </c>
      <c r="C400" s="1" t="s">
        <v>1118</v>
      </c>
      <c r="D400" s="1" t="s">
        <v>1119</v>
      </c>
      <c r="E400" s="2">
        <v>2500</v>
      </c>
    </row>
    <row r="401" spans="1:5" x14ac:dyDescent="0.3">
      <c r="A401" s="1">
        <v>400</v>
      </c>
      <c r="B401" s="1" t="s">
        <v>454</v>
      </c>
      <c r="C401" s="1" t="s">
        <v>1120</v>
      </c>
      <c r="D401" s="1" t="s">
        <v>1121</v>
      </c>
      <c r="E401" s="2">
        <v>3000</v>
      </c>
    </row>
    <row r="402" spans="1:5" x14ac:dyDescent="0.3">
      <c r="A402" s="1">
        <v>401</v>
      </c>
      <c r="B402" s="1" t="s">
        <v>459</v>
      </c>
      <c r="C402" s="1" t="s">
        <v>946</v>
      </c>
      <c r="D402" s="1" t="s">
        <v>1098</v>
      </c>
      <c r="E402" s="2">
        <v>15000</v>
      </c>
    </row>
    <row r="403" spans="1:5" x14ac:dyDescent="0.3">
      <c r="A403" s="1">
        <v>402</v>
      </c>
      <c r="B403" s="1" t="s">
        <v>459</v>
      </c>
      <c r="C403" s="1" t="s">
        <v>948</v>
      </c>
      <c r="D403" s="1" t="s">
        <v>949</v>
      </c>
      <c r="E403" s="2">
        <v>5000</v>
      </c>
    </row>
    <row r="404" spans="1:5" x14ac:dyDescent="0.3">
      <c r="A404" s="1">
        <v>403</v>
      </c>
      <c r="B404" s="1" t="s">
        <v>459</v>
      </c>
      <c r="C404" s="1" t="s">
        <v>950</v>
      </c>
      <c r="D404" s="1" t="s">
        <v>1074</v>
      </c>
      <c r="E404" s="2">
        <v>4000</v>
      </c>
    </row>
    <row r="405" spans="1:5" x14ac:dyDescent="0.3">
      <c r="A405" s="1">
        <v>404</v>
      </c>
      <c r="B405" s="1" t="s">
        <v>459</v>
      </c>
      <c r="C405" s="1" t="s">
        <v>952</v>
      </c>
      <c r="D405" s="1" t="s">
        <v>953</v>
      </c>
      <c r="E405" s="2">
        <v>17000</v>
      </c>
    </row>
    <row r="406" spans="1:5" x14ac:dyDescent="0.3">
      <c r="A406" s="1">
        <v>405</v>
      </c>
      <c r="B406" s="1" t="s">
        <v>459</v>
      </c>
      <c r="C406" s="1" t="s">
        <v>954</v>
      </c>
      <c r="D406" s="1" t="s">
        <v>955</v>
      </c>
      <c r="E406" s="2">
        <v>11000</v>
      </c>
    </row>
    <row r="407" spans="1:5" x14ac:dyDescent="0.3">
      <c r="A407" s="1">
        <v>406</v>
      </c>
      <c r="B407" s="1" t="s">
        <v>459</v>
      </c>
      <c r="C407" s="1" t="s">
        <v>956</v>
      </c>
      <c r="D407" s="1" t="s">
        <v>1075</v>
      </c>
      <c r="E407" s="2">
        <v>6000</v>
      </c>
    </row>
    <row r="408" spans="1:5" x14ac:dyDescent="0.3">
      <c r="A408" s="1">
        <v>407</v>
      </c>
      <c r="B408" s="1" t="s">
        <v>459</v>
      </c>
      <c r="C408" s="1" t="s">
        <v>958</v>
      </c>
      <c r="D408" s="1" t="s">
        <v>959</v>
      </c>
      <c r="E408" s="2">
        <v>4500</v>
      </c>
    </row>
    <row r="409" spans="1:5" x14ac:dyDescent="0.3">
      <c r="A409" s="1">
        <v>408</v>
      </c>
      <c r="B409" s="1" t="s">
        <v>459</v>
      </c>
      <c r="C409" s="1" t="s">
        <v>960</v>
      </c>
      <c r="D409" s="1" t="s">
        <v>961</v>
      </c>
      <c r="E409" s="2">
        <v>8500</v>
      </c>
    </row>
    <row r="410" spans="1:5" x14ac:dyDescent="0.3">
      <c r="A410" s="1">
        <v>409</v>
      </c>
      <c r="B410" s="1" t="s">
        <v>459</v>
      </c>
      <c r="C410" s="1" t="s">
        <v>962</v>
      </c>
      <c r="D410" s="1" t="s">
        <v>963</v>
      </c>
      <c r="E410" s="2">
        <v>2000</v>
      </c>
    </row>
    <row r="411" spans="1:5" x14ac:dyDescent="0.3">
      <c r="A411" s="1">
        <v>410</v>
      </c>
      <c r="B411" s="1" t="s">
        <v>464</v>
      </c>
      <c r="C411" s="1" t="s">
        <v>946</v>
      </c>
      <c r="D411" s="1" t="s">
        <v>1098</v>
      </c>
      <c r="E411" s="2">
        <v>15000</v>
      </c>
    </row>
    <row r="412" spans="1:5" x14ac:dyDescent="0.3">
      <c r="A412" s="1">
        <v>411</v>
      </c>
      <c r="B412" s="1" t="s">
        <v>464</v>
      </c>
      <c r="C412" s="1" t="s">
        <v>948</v>
      </c>
      <c r="D412" s="1" t="s">
        <v>949</v>
      </c>
      <c r="E412" s="2">
        <v>5000</v>
      </c>
    </row>
    <row r="413" spans="1:5" x14ac:dyDescent="0.3">
      <c r="A413" s="1">
        <v>412</v>
      </c>
      <c r="B413" s="1" t="s">
        <v>464</v>
      </c>
      <c r="C413" s="1" t="s">
        <v>950</v>
      </c>
      <c r="D413" s="1" t="s">
        <v>1074</v>
      </c>
      <c r="E413" s="2">
        <v>4000</v>
      </c>
    </row>
    <row r="414" spans="1:5" x14ac:dyDescent="0.3">
      <c r="A414" s="1">
        <v>413</v>
      </c>
      <c r="B414" s="1" t="s">
        <v>464</v>
      </c>
      <c r="C414" s="1" t="s">
        <v>952</v>
      </c>
      <c r="D414" s="1" t="s">
        <v>953</v>
      </c>
      <c r="E414" s="2">
        <v>17000</v>
      </c>
    </row>
    <row r="415" spans="1:5" x14ac:dyDescent="0.3">
      <c r="A415" s="1">
        <v>414</v>
      </c>
      <c r="B415" s="1" t="s">
        <v>464</v>
      </c>
      <c r="C415" s="1" t="s">
        <v>954</v>
      </c>
      <c r="D415" s="1" t="s">
        <v>955</v>
      </c>
      <c r="E415" s="2">
        <v>11000</v>
      </c>
    </row>
    <row r="416" spans="1:5" x14ac:dyDescent="0.3">
      <c r="A416" s="1">
        <v>415</v>
      </c>
      <c r="B416" s="1" t="s">
        <v>464</v>
      </c>
      <c r="C416" s="1" t="s">
        <v>956</v>
      </c>
      <c r="D416" s="1" t="s">
        <v>1075</v>
      </c>
      <c r="E416" s="2">
        <v>6000</v>
      </c>
    </row>
    <row r="417" spans="1:5" x14ac:dyDescent="0.3">
      <c r="A417" s="1">
        <v>416</v>
      </c>
      <c r="B417" s="1" t="s">
        <v>464</v>
      </c>
      <c r="C417" s="1" t="s">
        <v>958</v>
      </c>
      <c r="D417" s="1" t="s">
        <v>959</v>
      </c>
      <c r="E417" s="2">
        <v>4500</v>
      </c>
    </row>
    <row r="418" spans="1:5" x14ac:dyDescent="0.3">
      <c r="A418" s="1">
        <v>417</v>
      </c>
      <c r="B418" s="1" t="s">
        <v>464</v>
      </c>
      <c r="C418" s="1" t="s">
        <v>960</v>
      </c>
      <c r="D418" s="1" t="s">
        <v>961</v>
      </c>
      <c r="E418" s="2">
        <v>8500</v>
      </c>
    </row>
    <row r="419" spans="1:5" x14ac:dyDescent="0.3">
      <c r="A419" s="1">
        <v>418</v>
      </c>
      <c r="B419" s="1" t="s">
        <v>464</v>
      </c>
      <c r="C419" s="1" t="s">
        <v>962</v>
      </c>
      <c r="D419" s="1" t="s">
        <v>963</v>
      </c>
      <c r="E419" s="2">
        <v>2000</v>
      </c>
    </row>
    <row r="420" spans="1:5" x14ac:dyDescent="0.3">
      <c r="A420" s="1">
        <v>419</v>
      </c>
      <c r="B420" s="1" t="s">
        <v>469</v>
      </c>
      <c r="C420" s="1" t="s">
        <v>946</v>
      </c>
      <c r="D420" s="1" t="s">
        <v>1098</v>
      </c>
      <c r="E420" s="2">
        <v>15000</v>
      </c>
    </row>
    <row r="421" spans="1:5" x14ac:dyDescent="0.3">
      <c r="A421" s="1">
        <v>420</v>
      </c>
      <c r="B421" s="1" t="s">
        <v>469</v>
      </c>
      <c r="C421" s="1" t="s">
        <v>948</v>
      </c>
      <c r="D421" s="1" t="s">
        <v>949</v>
      </c>
      <c r="E421" s="2">
        <v>5000</v>
      </c>
    </row>
    <row r="422" spans="1:5" x14ac:dyDescent="0.3">
      <c r="A422" s="1">
        <v>421</v>
      </c>
      <c r="B422" s="1" t="s">
        <v>469</v>
      </c>
      <c r="C422" s="1" t="s">
        <v>950</v>
      </c>
      <c r="D422" s="1" t="s">
        <v>1074</v>
      </c>
      <c r="E422" s="2">
        <v>4000</v>
      </c>
    </row>
    <row r="423" spans="1:5" x14ac:dyDescent="0.3">
      <c r="A423" s="1">
        <v>422</v>
      </c>
      <c r="B423" s="1" t="s">
        <v>469</v>
      </c>
      <c r="C423" s="1" t="s">
        <v>952</v>
      </c>
      <c r="D423" s="1" t="s">
        <v>953</v>
      </c>
      <c r="E423" s="2">
        <v>17000</v>
      </c>
    </row>
    <row r="424" spans="1:5" x14ac:dyDescent="0.3">
      <c r="A424" s="1">
        <v>423</v>
      </c>
      <c r="B424" s="1" t="s">
        <v>469</v>
      </c>
      <c r="C424" s="1" t="s">
        <v>954</v>
      </c>
      <c r="D424" s="1" t="s">
        <v>955</v>
      </c>
      <c r="E424" s="2">
        <v>11000</v>
      </c>
    </row>
    <row r="425" spans="1:5" x14ac:dyDescent="0.3">
      <c r="A425" s="1">
        <v>424</v>
      </c>
      <c r="B425" s="1" t="s">
        <v>469</v>
      </c>
      <c r="C425" s="1" t="s">
        <v>956</v>
      </c>
      <c r="D425" s="1" t="s">
        <v>1075</v>
      </c>
      <c r="E425" s="2">
        <v>6000</v>
      </c>
    </row>
    <row r="426" spans="1:5" x14ac:dyDescent="0.3">
      <c r="A426" s="1">
        <v>425</v>
      </c>
      <c r="B426" s="1" t="s">
        <v>469</v>
      </c>
      <c r="C426" s="1" t="s">
        <v>958</v>
      </c>
      <c r="D426" s="1" t="s">
        <v>959</v>
      </c>
      <c r="E426" s="2">
        <v>4500</v>
      </c>
    </row>
    <row r="427" spans="1:5" x14ac:dyDescent="0.3">
      <c r="A427" s="1">
        <v>426</v>
      </c>
      <c r="B427" s="1" t="s">
        <v>469</v>
      </c>
      <c r="C427" s="1" t="s">
        <v>960</v>
      </c>
      <c r="D427" s="1" t="s">
        <v>961</v>
      </c>
      <c r="E427" s="2">
        <v>8500</v>
      </c>
    </row>
    <row r="428" spans="1:5" x14ac:dyDescent="0.3">
      <c r="A428" s="1">
        <v>427</v>
      </c>
      <c r="B428" s="1" t="s">
        <v>469</v>
      </c>
      <c r="C428" s="1" t="s">
        <v>962</v>
      </c>
      <c r="D428" s="1" t="s">
        <v>963</v>
      </c>
      <c r="E428" s="2">
        <v>2000</v>
      </c>
    </row>
    <row r="429" spans="1:5" x14ac:dyDescent="0.3">
      <c r="A429" s="1">
        <v>428</v>
      </c>
      <c r="B429" s="1" t="s">
        <v>474</v>
      </c>
      <c r="C429" s="1" t="s">
        <v>946</v>
      </c>
      <c r="D429" s="1" t="s">
        <v>1098</v>
      </c>
      <c r="E429" s="2">
        <v>15000</v>
      </c>
    </row>
    <row r="430" spans="1:5" x14ac:dyDescent="0.3">
      <c r="A430" s="1">
        <v>429</v>
      </c>
      <c r="B430" s="1" t="s">
        <v>474</v>
      </c>
      <c r="C430" s="1" t="s">
        <v>948</v>
      </c>
      <c r="D430" s="1" t="s">
        <v>949</v>
      </c>
      <c r="E430" s="2">
        <v>5000</v>
      </c>
    </row>
    <row r="431" spans="1:5" x14ac:dyDescent="0.3">
      <c r="A431" s="1">
        <v>430</v>
      </c>
      <c r="B431" s="1" t="s">
        <v>474</v>
      </c>
      <c r="C431" s="1" t="s">
        <v>950</v>
      </c>
      <c r="D431" s="1" t="s">
        <v>1074</v>
      </c>
      <c r="E431" s="2">
        <v>4000</v>
      </c>
    </row>
    <row r="432" spans="1:5" x14ac:dyDescent="0.3">
      <c r="A432" s="1">
        <v>431</v>
      </c>
      <c r="B432" s="1" t="s">
        <v>474</v>
      </c>
      <c r="C432" s="1" t="s">
        <v>952</v>
      </c>
      <c r="D432" s="1" t="s">
        <v>953</v>
      </c>
      <c r="E432" s="2">
        <v>17000</v>
      </c>
    </row>
    <row r="433" spans="1:5" x14ac:dyDescent="0.3">
      <c r="A433" s="1">
        <v>432</v>
      </c>
      <c r="B433" s="1" t="s">
        <v>474</v>
      </c>
      <c r="C433" s="1" t="s">
        <v>954</v>
      </c>
      <c r="D433" s="1" t="s">
        <v>955</v>
      </c>
      <c r="E433" s="2">
        <v>11000</v>
      </c>
    </row>
    <row r="434" spans="1:5" x14ac:dyDescent="0.3">
      <c r="A434" s="1">
        <v>433</v>
      </c>
      <c r="B434" s="1" t="s">
        <v>474</v>
      </c>
      <c r="C434" s="1" t="s">
        <v>956</v>
      </c>
      <c r="D434" s="1" t="s">
        <v>1075</v>
      </c>
      <c r="E434" s="2">
        <v>6000</v>
      </c>
    </row>
    <row r="435" spans="1:5" x14ac:dyDescent="0.3">
      <c r="A435" s="1">
        <v>434</v>
      </c>
      <c r="B435" s="1" t="s">
        <v>474</v>
      </c>
      <c r="C435" s="1" t="s">
        <v>958</v>
      </c>
      <c r="D435" s="1" t="s">
        <v>959</v>
      </c>
      <c r="E435" s="2">
        <v>4500</v>
      </c>
    </row>
    <row r="436" spans="1:5" x14ac:dyDescent="0.3">
      <c r="A436" s="1">
        <v>435</v>
      </c>
      <c r="B436" s="1" t="s">
        <v>474</v>
      </c>
      <c r="C436" s="1" t="s">
        <v>960</v>
      </c>
      <c r="D436" s="1" t="s">
        <v>961</v>
      </c>
      <c r="E436" s="2">
        <v>8500</v>
      </c>
    </row>
    <row r="437" spans="1:5" x14ac:dyDescent="0.3">
      <c r="A437" s="1">
        <v>436</v>
      </c>
      <c r="B437" s="1" t="s">
        <v>474</v>
      </c>
      <c r="C437" s="1" t="s">
        <v>962</v>
      </c>
      <c r="D437" s="1" t="s">
        <v>963</v>
      </c>
      <c r="E437" s="2">
        <v>2000</v>
      </c>
    </row>
    <row r="438" spans="1:5" x14ac:dyDescent="0.3">
      <c r="A438" s="1">
        <v>437</v>
      </c>
      <c r="B438" s="1" t="s">
        <v>479</v>
      </c>
      <c r="C438" s="1" t="s">
        <v>946</v>
      </c>
      <c r="D438" s="1" t="s">
        <v>1098</v>
      </c>
      <c r="E438" s="2">
        <v>15000</v>
      </c>
    </row>
    <row r="439" spans="1:5" x14ac:dyDescent="0.3">
      <c r="A439" s="1">
        <v>438</v>
      </c>
      <c r="B439" s="1" t="s">
        <v>479</v>
      </c>
      <c r="C439" s="1" t="s">
        <v>948</v>
      </c>
      <c r="D439" s="1" t="s">
        <v>949</v>
      </c>
      <c r="E439" s="2">
        <v>5000</v>
      </c>
    </row>
    <row r="440" spans="1:5" x14ac:dyDescent="0.3">
      <c r="A440" s="1">
        <v>439</v>
      </c>
      <c r="B440" s="1" t="s">
        <v>479</v>
      </c>
      <c r="C440" s="1" t="s">
        <v>950</v>
      </c>
      <c r="D440" s="1" t="s">
        <v>1074</v>
      </c>
      <c r="E440" s="2">
        <v>4000</v>
      </c>
    </row>
    <row r="441" spans="1:5" x14ac:dyDescent="0.3">
      <c r="A441" s="1">
        <v>440</v>
      </c>
      <c r="B441" s="1" t="s">
        <v>479</v>
      </c>
      <c r="C441" s="1" t="s">
        <v>952</v>
      </c>
      <c r="D441" s="1" t="s">
        <v>953</v>
      </c>
      <c r="E441" s="2">
        <v>17000</v>
      </c>
    </row>
    <row r="442" spans="1:5" x14ac:dyDescent="0.3">
      <c r="A442" s="1">
        <v>441</v>
      </c>
      <c r="B442" s="1" t="s">
        <v>479</v>
      </c>
      <c r="C442" s="1" t="s">
        <v>954</v>
      </c>
      <c r="D442" s="1" t="s">
        <v>955</v>
      </c>
      <c r="E442" s="2">
        <v>11000</v>
      </c>
    </row>
    <row r="443" spans="1:5" x14ac:dyDescent="0.3">
      <c r="A443" s="1">
        <v>442</v>
      </c>
      <c r="B443" s="1" t="s">
        <v>479</v>
      </c>
      <c r="C443" s="1" t="s">
        <v>956</v>
      </c>
      <c r="D443" s="1" t="s">
        <v>1075</v>
      </c>
      <c r="E443" s="2">
        <v>6000</v>
      </c>
    </row>
    <row r="444" spans="1:5" x14ac:dyDescent="0.3">
      <c r="A444" s="1">
        <v>443</v>
      </c>
      <c r="B444" s="1" t="s">
        <v>479</v>
      </c>
      <c r="C444" s="1" t="s">
        <v>958</v>
      </c>
      <c r="D444" s="1" t="s">
        <v>959</v>
      </c>
      <c r="E444" s="2">
        <v>4500</v>
      </c>
    </row>
    <row r="445" spans="1:5" x14ac:dyDescent="0.3">
      <c r="A445" s="1">
        <v>444</v>
      </c>
      <c r="B445" s="1" t="s">
        <v>479</v>
      </c>
      <c r="C445" s="1" t="s">
        <v>960</v>
      </c>
      <c r="D445" s="1" t="s">
        <v>961</v>
      </c>
      <c r="E445" s="2">
        <v>8500</v>
      </c>
    </row>
    <row r="446" spans="1:5" x14ac:dyDescent="0.3">
      <c r="A446" s="1">
        <v>445</v>
      </c>
      <c r="B446" s="1" t="s">
        <v>479</v>
      </c>
      <c r="C446" s="1" t="s">
        <v>962</v>
      </c>
      <c r="D446" s="1" t="s">
        <v>963</v>
      </c>
      <c r="E446" s="2">
        <v>2000</v>
      </c>
    </row>
    <row r="447" spans="1:5" x14ac:dyDescent="0.3">
      <c r="A447" s="1">
        <v>446</v>
      </c>
      <c r="B447" s="1" t="s">
        <v>484</v>
      </c>
      <c r="C447" s="1" t="s">
        <v>946</v>
      </c>
      <c r="D447" s="1" t="s">
        <v>1098</v>
      </c>
      <c r="E447" s="2">
        <v>15000</v>
      </c>
    </row>
    <row r="448" spans="1:5" x14ac:dyDescent="0.3">
      <c r="A448" s="1">
        <v>447</v>
      </c>
      <c r="B448" s="1" t="s">
        <v>484</v>
      </c>
      <c r="C448" s="1" t="s">
        <v>948</v>
      </c>
      <c r="D448" s="1" t="s">
        <v>949</v>
      </c>
      <c r="E448" s="2">
        <v>5000</v>
      </c>
    </row>
    <row r="449" spans="1:5" x14ac:dyDescent="0.3">
      <c r="A449" s="1">
        <v>448</v>
      </c>
      <c r="B449" s="1" t="s">
        <v>484</v>
      </c>
      <c r="C449" s="1" t="s">
        <v>950</v>
      </c>
      <c r="D449" s="1" t="s">
        <v>1074</v>
      </c>
      <c r="E449" s="2">
        <v>4000</v>
      </c>
    </row>
    <row r="450" spans="1:5" x14ac:dyDescent="0.3">
      <c r="A450" s="1">
        <v>449</v>
      </c>
      <c r="B450" s="1" t="s">
        <v>484</v>
      </c>
      <c r="C450" s="1" t="s">
        <v>952</v>
      </c>
      <c r="D450" s="1" t="s">
        <v>953</v>
      </c>
      <c r="E450" s="2">
        <v>17000</v>
      </c>
    </row>
    <row r="451" spans="1:5" x14ac:dyDescent="0.3">
      <c r="A451" s="1">
        <v>450</v>
      </c>
      <c r="B451" s="1" t="s">
        <v>484</v>
      </c>
      <c r="C451" s="1" t="s">
        <v>954</v>
      </c>
      <c r="D451" s="1" t="s">
        <v>955</v>
      </c>
      <c r="E451" s="2">
        <v>11000</v>
      </c>
    </row>
    <row r="452" spans="1:5" x14ac:dyDescent="0.3">
      <c r="A452" s="1">
        <v>451</v>
      </c>
      <c r="B452" s="1" t="s">
        <v>484</v>
      </c>
      <c r="C452" s="1" t="s">
        <v>956</v>
      </c>
      <c r="D452" s="1" t="s">
        <v>1075</v>
      </c>
      <c r="E452" s="2">
        <v>6000</v>
      </c>
    </row>
    <row r="453" spans="1:5" x14ac:dyDescent="0.3">
      <c r="A453" s="1">
        <v>452</v>
      </c>
      <c r="B453" s="1" t="s">
        <v>484</v>
      </c>
      <c r="C453" s="1" t="s">
        <v>958</v>
      </c>
      <c r="D453" s="1" t="s">
        <v>959</v>
      </c>
      <c r="E453" s="2">
        <v>4500</v>
      </c>
    </row>
    <row r="454" spans="1:5" x14ac:dyDescent="0.3">
      <c r="A454" s="1">
        <v>453</v>
      </c>
      <c r="B454" s="1" t="s">
        <v>484</v>
      </c>
      <c r="C454" s="1" t="s">
        <v>960</v>
      </c>
      <c r="D454" s="1" t="s">
        <v>961</v>
      </c>
      <c r="E454" s="2">
        <v>8500</v>
      </c>
    </row>
    <row r="455" spans="1:5" x14ac:dyDescent="0.3">
      <c r="A455" s="1">
        <v>454</v>
      </c>
      <c r="B455" s="1" t="s">
        <v>484</v>
      </c>
      <c r="C455" s="1" t="s">
        <v>962</v>
      </c>
      <c r="D455" s="1" t="s">
        <v>963</v>
      </c>
      <c r="E455" s="2">
        <v>2000</v>
      </c>
    </row>
    <row r="456" spans="1:5" x14ac:dyDescent="0.3">
      <c r="A456" s="1">
        <v>455</v>
      </c>
      <c r="B456" s="1" t="s">
        <v>489</v>
      </c>
      <c r="C456" s="1" t="s">
        <v>993</v>
      </c>
      <c r="D456" s="1" t="s">
        <v>994</v>
      </c>
      <c r="E456" s="2">
        <v>5000</v>
      </c>
    </row>
    <row r="457" spans="1:5" x14ac:dyDescent="0.3">
      <c r="A457" s="1">
        <v>456</v>
      </c>
      <c r="B457" s="1" t="s">
        <v>489</v>
      </c>
      <c r="C457" s="1" t="s">
        <v>995</v>
      </c>
      <c r="D457" s="1" t="s">
        <v>996</v>
      </c>
      <c r="E457" s="2">
        <v>6000</v>
      </c>
    </row>
    <row r="458" spans="1:5" x14ac:dyDescent="0.3">
      <c r="A458" s="1">
        <v>457</v>
      </c>
      <c r="B458" s="1" t="s">
        <v>489</v>
      </c>
      <c r="C458" s="1" t="s">
        <v>997</v>
      </c>
      <c r="D458" s="1" t="s">
        <v>998</v>
      </c>
      <c r="E458" s="2">
        <v>5500</v>
      </c>
    </row>
    <row r="459" spans="1:5" x14ac:dyDescent="0.3">
      <c r="A459" s="1">
        <v>458</v>
      </c>
      <c r="B459" s="1" t="s">
        <v>489</v>
      </c>
      <c r="C459" s="1" t="s">
        <v>999</v>
      </c>
      <c r="D459" s="1" t="s">
        <v>1000</v>
      </c>
      <c r="E459" s="2">
        <v>6000</v>
      </c>
    </row>
    <row r="460" spans="1:5" x14ac:dyDescent="0.3">
      <c r="A460" s="1">
        <v>459</v>
      </c>
      <c r="B460" s="1" t="s">
        <v>489</v>
      </c>
      <c r="C460" s="1" t="s">
        <v>1001</v>
      </c>
      <c r="D460" s="1" t="s">
        <v>1002</v>
      </c>
      <c r="E460" s="2">
        <v>4500</v>
      </c>
    </row>
    <row r="461" spans="1:5" x14ac:dyDescent="0.3">
      <c r="A461" s="1">
        <v>460</v>
      </c>
      <c r="B461" s="1" t="s">
        <v>489</v>
      </c>
      <c r="C461" s="1" t="s">
        <v>1003</v>
      </c>
      <c r="D461" s="1" t="s">
        <v>1004</v>
      </c>
      <c r="E461" s="2">
        <v>4000</v>
      </c>
    </row>
    <row r="462" spans="1:5" x14ac:dyDescent="0.3">
      <c r="A462" s="1">
        <v>461</v>
      </c>
      <c r="B462" s="1" t="s">
        <v>489</v>
      </c>
      <c r="C462" s="1" t="s">
        <v>1005</v>
      </c>
      <c r="D462" s="1" t="s">
        <v>1006</v>
      </c>
      <c r="E462" s="2">
        <v>3000</v>
      </c>
    </row>
    <row r="463" spans="1:5" x14ac:dyDescent="0.3">
      <c r="A463" s="1">
        <v>462</v>
      </c>
      <c r="B463" s="1" t="s">
        <v>489</v>
      </c>
      <c r="C463" s="1" t="s">
        <v>1007</v>
      </c>
      <c r="D463" s="1" t="s">
        <v>1008</v>
      </c>
      <c r="E463" s="2">
        <v>2500</v>
      </c>
    </row>
    <row r="464" spans="1:5" x14ac:dyDescent="0.3">
      <c r="A464" s="1">
        <v>463</v>
      </c>
      <c r="B464" s="1" t="s">
        <v>489</v>
      </c>
      <c r="C464" s="1" t="s">
        <v>1009</v>
      </c>
      <c r="D464" s="1" t="s">
        <v>1010</v>
      </c>
      <c r="E464" s="2">
        <v>8000</v>
      </c>
    </row>
    <row r="465" spans="1:5" x14ac:dyDescent="0.3">
      <c r="A465" s="1">
        <v>464</v>
      </c>
      <c r="B465" s="1" t="s">
        <v>489</v>
      </c>
      <c r="C465" s="1" t="s">
        <v>1057</v>
      </c>
      <c r="D465" s="1" t="s">
        <v>1058</v>
      </c>
      <c r="E465" s="2">
        <v>9000</v>
      </c>
    </row>
    <row r="466" spans="1:5" x14ac:dyDescent="0.3">
      <c r="A466" s="1">
        <v>465</v>
      </c>
      <c r="B466" s="1" t="s">
        <v>489</v>
      </c>
      <c r="C466" s="1" t="s">
        <v>1011</v>
      </c>
      <c r="D466" s="1" t="s">
        <v>1012</v>
      </c>
      <c r="E466" s="2">
        <v>8000</v>
      </c>
    </row>
    <row r="467" spans="1:5" x14ac:dyDescent="0.3">
      <c r="A467" s="1">
        <v>466</v>
      </c>
      <c r="B467" s="1" t="s">
        <v>489</v>
      </c>
      <c r="C467" s="1" t="s">
        <v>1013</v>
      </c>
      <c r="D467" s="1" t="s">
        <v>1014</v>
      </c>
      <c r="E467" s="2">
        <v>6000</v>
      </c>
    </row>
    <row r="468" spans="1:5" x14ac:dyDescent="0.3">
      <c r="A468" s="1">
        <v>467</v>
      </c>
      <c r="B468" s="1" t="s">
        <v>494</v>
      </c>
      <c r="C468" s="1" t="s">
        <v>993</v>
      </c>
      <c r="D468" s="1" t="s">
        <v>994</v>
      </c>
      <c r="E468" s="2">
        <v>5000</v>
      </c>
    </row>
    <row r="469" spans="1:5" x14ac:dyDescent="0.3">
      <c r="A469" s="1">
        <v>468</v>
      </c>
      <c r="B469" s="1" t="s">
        <v>494</v>
      </c>
      <c r="C469" s="1" t="s">
        <v>995</v>
      </c>
      <c r="D469" s="1" t="s">
        <v>996</v>
      </c>
      <c r="E469" s="2">
        <v>6000</v>
      </c>
    </row>
    <row r="470" spans="1:5" x14ac:dyDescent="0.3">
      <c r="A470" s="1">
        <v>469</v>
      </c>
      <c r="B470" s="1" t="s">
        <v>494</v>
      </c>
      <c r="C470" s="1" t="s">
        <v>997</v>
      </c>
      <c r="D470" s="1" t="s">
        <v>998</v>
      </c>
      <c r="E470" s="2">
        <v>5500</v>
      </c>
    </row>
    <row r="471" spans="1:5" x14ac:dyDescent="0.3">
      <c r="A471" s="1">
        <v>470</v>
      </c>
      <c r="B471" s="1" t="s">
        <v>494</v>
      </c>
      <c r="C471" s="1" t="s">
        <v>999</v>
      </c>
      <c r="D471" s="1" t="s">
        <v>1000</v>
      </c>
      <c r="E471" s="2">
        <v>6000</v>
      </c>
    </row>
    <row r="472" spans="1:5" x14ac:dyDescent="0.3">
      <c r="A472" s="1">
        <v>471</v>
      </c>
      <c r="B472" s="1" t="s">
        <v>494</v>
      </c>
      <c r="C472" s="1" t="s">
        <v>1001</v>
      </c>
      <c r="D472" s="1" t="s">
        <v>1002</v>
      </c>
      <c r="E472" s="2">
        <v>4500</v>
      </c>
    </row>
    <row r="473" spans="1:5" x14ac:dyDescent="0.3">
      <c r="A473" s="1">
        <v>472</v>
      </c>
      <c r="B473" s="1" t="s">
        <v>494</v>
      </c>
      <c r="C473" s="1" t="s">
        <v>1003</v>
      </c>
      <c r="D473" s="1" t="s">
        <v>1004</v>
      </c>
      <c r="E473" s="2">
        <v>4000</v>
      </c>
    </row>
    <row r="474" spans="1:5" x14ac:dyDescent="0.3">
      <c r="A474" s="1">
        <v>473</v>
      </c>
      <c r="B474" s="1" t="s">
        <v>494</v>
      </c>
      <c r="C474" s="1" t="s">
        <v>1005</v>
      </c>
      <c r="D474" s="1" t="s">
        <v>1006</v>
      </c>
      <c r="E474" s="2">
        <v>3000</v>
      </c>
    </row>
    <row r="475" spans="1:5" x14ac:dyDescent="0.3">
      <c r="A475" s="1">
        <v>474</v>
      </c>
      <c r="B475" s="1" t="s">
        <v>494</v>
      </c>
      <c r="C475" s="1" t="s">
        <v>1007</v>
      </c>
      <c r="D475" s="1" t="s">
        <v>1008</v>
      </c>
      <c r="E475" s="2">
        <v>2500</v>
      </c>
    </row>
    <row r="476" spans="1:5" x14ac:dyDescent="0.3">
      <c r="A476" s="1">
        <v>475</v>
      </c>
      <c r="B476" s="1" t="s">
        <v>494</v>
      </c>
      <c r="C476" s="1" t="s">
        <v>1009</v>
      </c>
      <c r="D476" s="1" t="s">
        <v>1010</v>
      </c>
      <c r="E476" s="2">
        <v>8000</v>
      </c>
    </row>
    <row r="477" spans="1:5" x14ac:dyDescent="0.3">
      <c r="A477" s="1">
        <v>476</v>
      </c>
      <c r="B477" s="1" t="s">
        <v>494</v>
      </c>
      <c r="C477" s="1" t="s">
        <v>1057</v>
      </c>
      <c r="D477" s="1" t="s">
        <v>1058</v>
      </c>
      <c r="E477" s="2">
        <v>9000</v>
      </c>
    </row>
    <row r="478" spans="1:5" x14ac:dyDescent="0.3">
      <c r="A478" s="1">
        <v>477</v>
      </c>
      <c r="B478" s="1" t="s">
        <v>494</v>
      </c>
      <c r="C478" s="1" t="s">
        <v>1011</v>
      </c>
      <c r="D478" s="1" t="s">
        <v>1012</v>
      </c>
      <c r="E478" s="2">
        <v>8000</v>
      </c>
    </row>
    <row r="479" spans="1:5" x14ac:dyDescent="0.3">
      <c r="A479" s="1">
        <v>478</v>
      </c>
      <c r="B479" s="1" t="s">
        <v>494</v>
      </c>
      <c r="C479" s="1" t="s">
        <v>1013</v>
      </c>
      <c r="D479" s="1" t="s">
        <v>1014</v>
      </c>
      <c r="E479" s="2">
        <v>6000</v>
      </c>
    </row>
    <row r="480" spans="1:5" x14ac:dyDescent="0.3">
      <c r="A480" s="1">
        <v>479</v>
      </c>
      <c r="B480" s="1" t="s">
        <v>499</v>
      </c>
      <c r="C480" s="1" t="s">
        <v>946</v>
      </c>
      <c r="D480" s="1" t="s">
        <v>1098</v>
      </c>
      <c r="E480" s="2">
        <v>15000</v>
      </c>
    </row>
    <row r="481" spans="1:5" x14ac:dyDescent="0.3">
      <c r="A481" s="1">
        <v>480</v>
      </c>
      <c r="B481" s="1" t="s">
        <v>499</v>
      </c>
      <c r="C481" s="1" t="s">
        <v>948</v>
      </c>
      <c r="D481" s="1" t="s">
        <v>949</v>
      </c>
      <c r="E481" s="2">
        <v>5000</v>
      </c>
    </row>
    <row r="482" spans="1:5" x14ac:dyDescent="0.3">
      <c r="A482" s="1">
        <v>481</v>
      </c>
      <c r="B482" s="1" t="s">
        <v>499</v>
      </c>
      <c r="C482" s="1" t="s">
        <v>950</v>
      </c>
      <c r="D482" s="1" t="s">
        <v>1074</v>
      </c>
      <c r="E482" s="2">
        <v>4000</v>
      </c>
    </row>
    <row r="483" spans="1:5" x14ac:dyDescent="0.3">
      <c r="A483" s="1">
        <v>482</v>
      </c>
      <c r="B483" s="1" t="s">
        <v>499</v>
      </c>
      <c r="C483" s="1" t="s">
        <v>952</v>
      </c>
      <c r="D483" s="1" t="s">
        <v>953</v>
      </c>
      <c r="E483" s="2">
        <v>17000</v>
      </c>
    </row>
    <row r="484" spans="1:5" x14ac:dyDescent="0.3">
      <c r="A484" s="1">
        <v>483</v>
      </c>
      <c r="B484" s="1" t="s">
        <v>499</v>
      </c>
      <c r="C484" s="1" t="s">
        <v>954</v>
      </c>
      <c r="D484" s="1" t="s">
        <v>955</v>
      </c>
      <c r="E484" s="2">
        <v>11000</v>
      </c>
    </row>
    <row r="485" spans="1:5" x14ac:dyDescent="0.3">
      <c r="A485" s="1">
        <v>484</v>
      </c>
      <c r="B485" s="1" t="s">
        <v>499</v>
      </c>
      <c r="C485" s="1" t="s">
        <v>956</v>
      </c>
      <c r="D485" s="1" t="s">
        <v>1075</v>
      </c>
      <c r="E485" s="2">
        <v>6000</v>
      </c>
    </row>
    <row r="486" spans="1:5" x14ac:dyDescent="0.3">
      <c r="A486" s="1">
        <v>485</v>
      </c>
      <c r="B486" s="1" t="s">
        <v>499</v>
      </c>
      <c r="C486" s="1" t="s">
        <v>958</v>
      </c>
      <c r="D486" s="1" t="s">
        <v>959</v>
      </c>
      <c r="E486" s="2">
        <v>4500</v>
      </c>
    </row>
    <row r="487" spans="1:5" x14ac:dyDescent="0.3">
      <c r="A487" s="1">
        <v>486</v>
      </c>
      <c r="B487" s="1" t="s">
        <v>499</v>
      </c>
      <c r="C487" s="1" t="s">
        <v>960</v>
      </c>
      <c r="D487" s="1" t="s">
        <v>961</v>
      </c>
      <c r="E487" s="2">
        <v>8500</v>
      </c>
    </row>
    <row r="488" spans="1:5" x14ac:dyDescent="0.3">
      <c r="A488" s="1">
        <v>487</v>
      </c>
      <c r="B488" s="1" t="s">
        <v>499</v>
      </c>
      <c r="C488" s="1" t="s">
        <v>962</v>
      </c>
      <c r="D488" s="1" t="s">
        <v>963</v>
      </c>
      <c r="E488" s="2">
        <v>2000</v>
      </c>
    </row>
    <row r="489" spans="1:5" x14ac:dyDescent="0.3">
      <c r="A489" s="1">
        <v>488</v>
      </c>
      <c r="B489" s="1" t="s">
        <v>504</v>
      </c>
      <c r="C489" s="1" t="s">
        <v>1104</v>
      </c>
      <c r="D489" s="1" t="s">
        <v>1105</v>
      </c>
      <c r="E489" s="2">
        <v>1500</v>
      </c>
    </row>
    <row r="490" spans="1:5" x14ac:dyDescent="0.3">
      <c r="A490" s="1">
        <v>489</v>
      </c>
      <c r="B490" s="1" t="s">
        <v>504</v>
      </c>
      <c r="C490" s="1" t="s">
        <v>1106</v>
      </c>
      <c r="D490" s="1" t="s">
        <v>1107</v>
      </c>
      <c r="E490" s="2">
        <v>2000</v>
      </c>
    </row>
    <row r="491" spans="1:5" x14ac:dyDescent="0.3">
      <c r="A491" s="1">
        <v>490</v>
      </c>
      <c r="B491" s="1" t="s">
        <v>504</v>
      </c>
      <c r="C491" s="1" t="s">
        <v>1108</v>
      </c>
      <c r="D491" s="1" t="s">
        <v>1109</v>
      </c>
      <c r="E491" s="2">
        <v>1500</v>
      </c>
    </row>
    <row r="492" spans="1:5" x14ac:dyDescent="0.3">
      <c r="A492" s="1">
        <v>491</v>
      </c>
      <c r="B492" s="1" t="s">
        <v>504</v>
      </c>
      <c r="C492" s="1" t="s">
        <v>1110</v>
      </c>
      <c r="D492" s="1" t="s">
        <v>1111</v>
      </c>
      <c r="E492" s="2">
        <v>2000</v>
      </c>
    </row>
    <row r="493" spans="1:5" x14ac:dyDescent="0.3">
      <c r="A493" s="1">
        <v>492</v>
      </c>
      <c r="B493" s="1" t="s">
        <v>504</v>
      </c>
      <c r="C493" s="1" t="s">
        <v>1112</v>
      </c>
      <c r="D493" s="1" t="s">
        <v>1113</v>
      </c>
      <c r="E493" s="2">
        <v>2000</v>
      </c>
    </row>
    <row r="494" spans="1:5" x14ac:dyDescent="0.3">
      <c r="A494" s="1">
        <v>493</v>
      </c>
      <c r="B494" s="1" t="s">
        <v>504</v>
      </c>
      <c r="C494" s="1" t="s">
        <v>1114</v>
      </c>
      <c r="D494" s="1" t="s">
        <v>1115</v>
      </c>
      <c r="E494" s="2">
        <v>2500</v>
      </c>
    </row>
    <row r="495" spans="1:5" x14ac:dyDescent="0.3">
      <c r="A495" s="1">
        <v>494</v>
      </c>
      <c r="B495" s="1" t="s">
        <v>504</v>
      </c>
      <c r="C495" s="1" t="s">
        <v>1116</v>
      </c>
      <c r="D495" s="1" t="s">
        <v>1117</v>
      </c>
      <c r="E495" s="2">
        <v>2000</v>
      </c>
    </row>
    <row r="496" spans="1:5" x14ac:dyDescent="0.3">
      <c r="A496" s="1">
        <v>495</v>
      </c>
      <c r="B496" s="1" t="s">
        <v>504</v>
      </c>
      <c r="C496" s="1" t="s">
        <v>1118</v>
      </c>
      <c r="D496" s="1" t="s">
        <v>1119</v>
      </c>
      <c r="E496" s="2">
        <v>2500</v>
      </c>
    </row>
    <row r="497" spans="1:5" x14ac:dyDescent="0.3">
      <c r="A497" s="1">
        <v>496</v>
      </c>
      <c r="B497" s="1" t="s">
        <v>504</v>
      </c>
      <c r="C497" s="1" t="s">
        <v>1120</v>
      </c>
      <c r="D497" s="1" t="s">
        <v>1121</v>
      </c>
      <c r="E497" s="2">
        <v>3000</v>
      </c>
    </row>
    <row r="498" spans="1:5" x14ac:dyDescent="0.3">
      <c r="A498" s="1">
        <v>497</v>
      </c>
      <c r="B498" s="1" t="s">
        <v>509</v>
      </c>
      <c r="C498" s="1" t="s">
        <v>993</v>
      </c>
      <c r="D498" s="1" t="s">
        <v>994</v>
      </c>
      <c r="E498" s="2">
        <v>5000</v>
      </c>
    </row>
    <row r="499" spans="1:5" x14ac:dyDescent="0.3">
      <c r="A499" s="1">
        <v>498</v>
      </c>
      <c r="B499" s="1" t="s">
        <v>509</v>
      </c>
      <c r="C499" s="1" t="s">
        <v>995</v>
      </c>
      <c r="D499" s="1" t="s">
        <v>996</v>
      </c>
      <c r="E499" s="2">
        <v>6000</v>
      </c>
    </row>
    <row r="500" spans="1:5" x14ac:dyDescent="0.3">
      <c r="A500" s="1">
        <v>499</v>
      </c>
      <c r="B500" s="1" t="s">
        <v>509</v>
      </c>
      <c r="C500" s="1" t="s">
        <v>997</v>
      </c>
      <c r="D500" s="1" t="s">
        <v>998</v>
      </c>
      <c r="E500" s="2">
        <v>5500</v>
      </c>
    </row>
    <row r="501" spans="1:5" x14ac:dyDescent="0.3">
      <c r="A501" s="1">
        <v>500</v>
      </c>
      <c r="B501" s="1" t="s">
        <v>509</v>
      </c>
      <c r="C501" s="1" t="s">
        <v>999</v>
      </c>
      <c r="D501" s="1" t="s">
        <v>1000</v>
      </c>
      <c r="E501" s="2">
        <v>6000</v>
      </c>
    </row>
    <row r="502" spans="1:5" x14ac:dyDescent="0.3">
      <c r="A502" s="1">
        <v>501</v>
      </c>
      <c r="B502" s="1" t="s">
        <v>509</v>
      </c>
      <c r="C502" s="1" t="s">
        <v>1001</v>
      </c>
      <c r="D502" s="1" t="s">
        <v>1002</v>
      </c>
      <c r="E502" s="2">
        <v>4500</v>
      </c>
    </row>
    <row r="503" spans="1:5" x14ac:dyDescent="0.3">
      <c r="A503" s="1">
        <v>502</v>
      </c>
      <c r="B503" s="1" t="s">
        <v>509</v>
      </c>
      <c r="C503" s="1" t="s">
        <v>1003</v>
      </c>
      <c r="D503" s="1" t="s">
        <v>1004</v>
      </c>
      <c r="E503" s="2">
        <v>4000</v>
      </c>
    </row>
    <row r="504" spans="1:5" x14ac:dyDescent="0.3">
      <c r="A504" s="1">
        <v>503</v>
      </c>
      <c r="B504" s="1" t="s">
        <v>509</v>
      </c>
      <c r="C504" s="1" t="s">
        <v>1005</v>
      </c>
      <c r="D504" s="1" t="s">
        <v>1006</v>
      </c>
      <c r="E504" s="2">
        <v>3000</v>
      </c>
    </row>
    <row r="505" spans="1:5" x14ac:dyDescent="0.3">
      <c r="A505" s="1">
        <v>504</v>
      </c>
      <c r="B505" s="1" t="s">
        <v>509</v>
      </c>
      <c r="C505" s="1" t="s">
        <v>1007</v>
      </c>
      <c r="D505" s="1" t="s">
        <v>1008</v>
      </c>
      <c r="E505" s="2">
        <v>2500</v>
      </c>
    </row>
    <row r="506" spans="1:5" x14ac:dyDescent="0.3">
      <c r="A506" s="1">
        <v>505</v>
      </c>
      <c r="B506" s="1" t="s">
        <v>509</v>
      </c>
      <c r="C506" s="1" t="s">
        <v>1009</v>
      </c>
      <c r="D506" s="1" t="s">
        <v>1010</v>
      </c>
      <c r="E506" s="2">
        <v>8000</v>
      </c>
    </row>
    <row r="507" spans="1:5" x14ac:dyDescent="0.3">
      <c r="A507" s="1">
        <v>506</v>
      </c>
      <c r="B507" s="1" t="s">
        <v>509</v>
      </c>
      <c r="C507" s="1" t="s">
        <v>1057</v>
      </c>
      <c r="D507" s="1" t="s">
        <v>1058</v>
      </c>
      <c r="E507" s="2">
        <v>9000</v>
      </c>
    </row>
    <row r="508" spans="1:5" x14ac:dyDescent="0.3">
      <c r="A508" s="1">
        <v>507</v>
      </c>
      <c r="B508" s="1" t="s">
        <v>509</v>
      </c>
      <c r="C508" s="1" t="s">
        <v>1011</v>
      </c>
      <c r="D508" s="1" t="s">
        <v>1012</v>
      </c>
      <c r="E508" s="2">
        <v>8000</v>
      </c>
    </row>
    <row r="509" spans="1:5" x14ac:dyDescent="0.3">
      <c r="A509" s="1">
        <v>508</v>
      </c>
      <c r="B509" s="1" t="s">
        <v>509</v>
      </c>
      <c r="C509" s="1" t="s">
        <v>1013</v>
      </c>
      <c r="D509" s="1" t="s">
        <v>1014</v>
      </c>
      <c r="E509" s="2">
        <v>6000</v>
      </c>
    </row>
    <row r="510" spans="1:5" x14ac:dyDescent="0.3">
      <c r="A510" s="1">
        <v>509</v>
      </c>
      <c r="B510" s="1" t="s">
        <v>514</v>
      </c>
      <c r="C510" s="1" t="s">
        <v>1028</v>
      </c>
      <c r="D510" s="1" t="s">
        <v>1029</v>
      </c>
      <c r="E510" s="2">
        <v>4000</v>
      </c>
    </row>
    <row r="511" spans="1:5" x14ac:dyDescent="0.3">
      <c r="A511" s="1">
        <v>510</v>
      </c>
      <c r="B511" s="1" t="s">
        <v>514</v>
      </c>
      <c r="C511" s="1" t="s">
        <v>1030</v>
      </c>
      <c r="D511" s="1" t="s">
        <v>1031</v>
      </c>
      <c r="E511" s="2">
        <v>5000</v>
      </c>
    </row>
    <row r="512" spans="1:5" x14ac:dyDescent="0.3">
      <c r="A512" s="1">
        <v>511</v>
      </c>
      <c r="B512" s="1" t="s">
        <v>514</v>
      </c>
      <c r="C512" s="1" t="s">
        <v>1032</v>
      </c>
      <c r="D512" s="1" t="s">
        <v>1033</v>
      </c>
      <c r="E512" s="2">
        <v>5000</v>
      </c>
    </row>
    <row r="513" spans="1:5" x14ac:dyDescent="0.3">
      <c r="A513" s="1">
        <v>512</v>
      </c>
      <c r="B513" s="1" t="s">
        <v>514</v>
      </c>
      <c r="C513" s="1" t="s">
        <v>1034</v>
      </c>
      <c r="D513" s="1" t="s">
        <v>1035</v>
      </c>
      <c r="E513" s="2">
        <v>6000</v>
      </c>
    </row>
    <row r="514" spans="1:5" x14ac:dyDescent="0.3">
      <c r="A514" s="1">
        <v>513</v>
      </c>
      <c r="B514" s="1" t="s">
        <v>514</v>
      </c>
      <c r="C514" s="1" t="s">
        <v>1036</v>
      </c>
      <c r="D514" s="1" t="s">
        <v>1037</v>
      </c>
      <c r="E514" s="2">
        <v>5000</v>
      </c>
    </row>
    <row r="515" spans="1:5" x14ac:dyDescent="0.3">
      <c r="A515" s="1">
        <v>514</v>
      </c>
      <c r="B515" s="1" t="s">
        <v>514</v>
      </c>
      <c r="C515" s="1" t="s">
        <v>1038</v>
      </c>
      <c r="D515" s="1" t="s">
        <v>1039</v>
      </c>
      <c r="E515" s="2">
        <v>2000</v>
      </c>
    </row>
    <row r="516" spans="1:5" x14ac:dyDescent="0.3">
      <c r="A516" s="1">
        <v>515</v>
      </c>
      <c r="B516" s="1" t="s">
        <v>514</v>
      </c>
      <c r="C516" s="1" t="s">
        <v>1065</v>
      </c>
      <c r="D516" s="1" t="s">
        <v>1066</v>
      </c>
      <c r="E516" s="2">
        <v>4000</v>
      </c>
    </row>
    <row r="517" spans="1:5" x14ac:dyDescent="0.3">
      <c r="A517" s="1">
        <v>516</v>
      </c>
      <c r="B517" s="1" t="s">
        <v>514</v>
      </c>
      <c r="C517" s="1" t="s">
        <v>1067</v>
      </c>
      <c r="D517" s="1" t="s">
        <v>1068</v>
      </c>
      <c r="E517" s="2">
        <v>6500</v>
      </c>
    </row>
    <row r="518" spans="1:5" x14ac:dyDescent="0.3">
      <c r="A518" s="1">
        <v>517</v>
      </c>
      <c r="B518" s="1" t="s">
        <v>514</v>
      </c>
      <c r="C518" s="1" t="s">
        <v>1069</v>
      </c>
      <c r="D518" s="1" t="s">
        <v>1070</v>
      </c>
      <c r="E518" s="2">
        <v>8000</v>
      </c>
    </row>
    <row r="519" spans="1:5" x14ac:dyDescent="0.3">
      <c r="A519" s="1">
        <v>518</v>
      </c>
      <c r="B519" s="1" t="s">
        <v>519</v>
      </c>
      <c r="C519" s="1" t="s">
        <v>946</v>
      </c>
      <c r="D519" s="1" t="s">
        <v>1098</v>
      </c>
      <c r="E519" s="2">
        <v>15000</v>
      </c>
    </row>
    <row r="520" spans="1:5" x14ac:dyDescent="0.3">
      <c r="A520" s="1">
        <v>519</v>
      </c>
      <c r="B520" s="1" t="s">
        <v>519</v>
      </c>
      <c r="C520" s="1" t="s">
        <v>948</v>
      </c>
      <c r="D520" s="1" t="s">
        <v>949</v>
      </c>
      <c r="E520" s="2">
        <v>5000</v>
      </c>
    </row>
    <row r="521" spans="1:5" x14ac:dyDescent="0.3">
      <c r="A521" s="1">
        <v>520</v>
      </c>
      <c r="B521" s="1" t="s">
        <v>519</v>
      </c>
      <c r="C521" s="1" t="s">
        <v>950</v>
      </c>
      <c r="D521" s="1" t="s">
        <v>1074</v>
      </c>
      <c r="E521" s="2">
        <v>4000</v>
      </c>
    </row>
    <row r="522" spans="1:5" x14ac:dyDescent="0.3">
      <c r="A522" s="1">
        <v>521</v>
      </c>
      <c r="B522" s="1" t="s">
        <v>519</v>
      </c>
      <c r="C522" s="1" t="s">
        <v>952</v>
      </c>
      <c r="D522" s="1" t="s">
        <v>953</v>
      </c>
      <c r="E522" s="2">
        <v>17000</v>
      </c>
    </row>
    <row r="523" spans="1:5" x14ac:dyDescent="0.3">
      <c r="A523" s="1">
        <v>522</v>
      </c>
      <c r="B523" s="1" t="s">
        <v>519</v>
      </c>
      <c r="C523" s="1" t="s">
        <v>954</v>
      </c>
      <c r="D523" s="1" t="s">
        <v>955</v>
      </c>
      <c r="E523" s="2">
        <v>11000</v>
      </c>
    </row>
    <row r="524" spans="1:5" x14ac:dyDescent="0.3">
      <c r="A524" s="1">
        <v>523</v>
      </c>
      <c r="B524" s="1" t="s">
        <v>519</v>
      </c>
      <c r="C524" s="1" t="s">
        <v>956</v>
      </c>
      <c r="D524" s="1" t="s">
        <v>1075</v>
      </c>
      <c r="E524" s="2">
        <v>6000</v>
      </c>
    </row>
    <row r="525" spans="1:5" x14ac:dyDescent="0.3">
      <c r="A525" s="1">
        <v>524</v>
      </c>
      <c r="B525" s="1" t="s">
        <v>519</v>
      </c>
      <c r="C525" s="1" t="s">
        <v>958</v>
      </c>
      <c r="D525" s="1" t="s">
        <v>959</v>
      </c>
      <c r="E525" s="2">
        <v>4500</v>
      </c>
    </row>
    <row r="526" spans="1:5" x14ac:dyDescent="0.3">
      <c r="A526" s="1">
        <v>525</v>
      </c>
      <c r="B526" s="1" t="s">
        <v>519</v>
      </c>
      <c r="C526" s="1" t="s">
        <v>960</v>
      </c>
      <c r="D526" s="1" t="s">
        <v>961</v>
      </c>
      <c r="E526" s="2">
        <v>8500</v>
      </c>
    </row>
    <row r="527" spans="1:5" x14ac:dyDescent="0.3">
      <c r="A527" s="1">
        <v>526</v>
      </c>
      <c r="B527" s="1" t="s">
        <v>519</v>
      </c>
      <c r="C527" s="1" t="s">
        <v>962</v>
      </c>
      <c r="D527" s="1" t="s">
        <v>963</v>
      </c>
      <c r="E527" s="2">
        <v>2000</v>
      </c>
    </row>
    <row r="528" spans="1:5" x14ac:dyDescent="0.3">
      <c r="A528" s="1">
        <v>527</v>
      </c>
      <c r="B528" s="1" t="s">
        <v>524</v>
      </c>
      <c r="C528" s="1" t="s">
        <v>967</v>
      </c>
      <c r="D528" s="1" t="s">
        <v>968</v>
      </c>
      <c r="E528" s="2">
        <v>18000</v>
      </c>
    </row>
    <row r="529" spans="1:5" x14ac:dyDescent="0.3">
      <c r="A529" s="1">
        <v>528</v>
      </c>
      <c r="B529" s="1" t="s">
        <v>524</v>
      </c>
      <c r="C529" s="1" t="s">
        <v>969</v>
      </c>
      <c r="D529" s="1" t="s">
        <v>970</v>
      </c>
      <c r="E529" s="2">
        <v>4500</v>
      </c>
    </row>
    <row r="530" spans="1:5" x14ac:dyDescent="0.3">
      <c r="A530" s="1">
        <v>529</v>
      </c>
      <c r="B530" s="1" t="s">
        <v>524</v>
      </c>
      <c r="C530" s="1" t="s">
        <v>971</v>
      </c>
      <c r="D530" s="1" t="s">
        <v>972</v>
      </c>
      <c r="E530" s="2">
        <v>16000</v>
      </c>
    </row>
    <row r="531" spans="1:5" x14ac:dyDescent="0.3">
      <c r="A531" s="1">
        <v>530</v>
      </c>
      <c r="B531" s="1" t="s">
        <v>524</v>
      </c>
      <c r="C531" s="1" t="s">
        <v>973</v>
      </c>
      <c r="D531" s="1" t="s">
        <v>974</v>
      </c>
      <c r="E531" s="2">
        <v>9000</v>
      </c>
    </row>
    <row r="532" spans="1:5" x14ac:dyDescent="0.3">
      <c r="A532" s="1">
        <v>531</v>
      </c>
      <c r="B532" s="1" t="s">
        <v>524</v>
      </c>
      <c r="C532" s="1" t="s">
        <v>975</v>
      </c>
      <c r="D532" s="1" t="s">
        <v>976</v>
      </c>
      <c r="E532" s="2">
        <v>2500</v>
      </c>
    </row>
    <row r="533" spans="1:5" x14ac:dyDescent="0.3">
      <c r="A533" s="1">
        <v>532</v>
      </c>
      <c r="B533" s="1" t="s">
        <v>524</v>
      </c>
      <c r="C533" s="1" t="s">
        <v>977</v>
      </c>
      <c r="D533" s="1" t="s">
        <v>978</v>
      </c>
      <c r="E533" s="2">
        <v>5000</v>
      </c>
    </row>
    <row r="534" spans="1:5" x14ac:dyDescent="0.3">
      <c r="A534" s="1">
        <v>533</v>
      </c>
      <c r="B534" s="1" t="s">
        <v>524</v>
      </c>
      <c r="C534" s="1" t="s">
        <v>979</v>
      </c>
      <c r="D534" s="1" t="s">
        <v>980</v>
      </c>
      <c r="E534" s="2">
        <v>15000</v>
      </c>
    </row>
    <row r="535" spans="1:5" x14ac:dyDescent="0.3">
      <c r="A535" s="1">
        <v>534</v>
      </c>
      <c r="B535" s="1" t="s">
        <v>524</v>
      </c>
      <c r="C535" s="1" t="s">
        <v>981</v>
      </c>
      <c r="D535" s="1" t="s">
        <v>982</v>
      </c>
      <c r="E535" s="2">
        <v>9000</v>
      </c>
    </row>
    <row r="536" spans="1:5" x14ac:dyDescent="0.3">
      <c r="A536" s="1">
        <v>535</v>
      </c>
      <c r="B536" s="1" t="s">
        <v>524</v>
      </c>
      <c r="C536" s="1" t="s">
        <v>1050</v>
      </c>
      <c r="D536" s="1" t="s">
        <v>1051</v>
      </c>
      <c r="E536" s="2">
        <v>7000</v>
      </c>
    </row>
    <row r="537" spans="1:5" x14ac:dyDescent="0.3">
      <c r="A537" s="1">
        <v>536</v>
      </c>
      <c r="B537" s="1" t="s">
        <v>524</v>
      </c>
      <c r="C537" s="1" t="s">
        <v>1052</v>
      </c>
      <c r="D537" s="1" t="s">
        <v>1053</v>
      </c>
      <c r="E537" s="2">
        <v>12000</v>
      </c>
    </row>
    <row r="538" spans="1:5" x14ac:dyDescent="0.3">
      <c r="A538" s="1">
        <v>537</v>
      </c>
      <c r="B538" s="1" t="s">
        <v>524</v>
      </c>
      <c r="C538" s="1" t="s">
        <v>966</v>
      </c>
      <c r="D538" s="1" t="s">
        <v>1027</v>
      </c>
      <c r="E538" s="2">
        <v>1500</v>
      </c>
    </row>
    <row r="539" spans="1:5" x14ac:dyDescent="0.3">
      <c r="A539" s="1">
        <v>538</v>
      </c>
      <c r="B539" s="1" t="s">
        <v>529</v>
      </c>
      <c r="C539" s="1" t="s">
        <v>1104</v>
      </c>
      <c r="D539" s="1" t="s">
        <v>1105</v>
      </c>
      <c r="E539" s="2">
        <v>1500</v>
      </c>
    </row>
    <row r="540" spans="1:5" x14ac:dyDescent="0.3">
      <c r="A540" s="1">
        <v>539</v>
      </c>
      <c r="B540" s="1" t="s">
        <v>529</v>
      </c>
      <c r="C540" s="1" t="s">
        <v>1106</v>
      </c>
      <c r="D540" s="1" t="s">
        <v>1107</v>
      </c>
      <c r="E540" s="2">
        <v>2000</v>
      </c>
    </row>
    <row r="541" spans="1:5" x14ac:dyDescent="0.3">
      <c r="A541" s="1">
        <v>540</v>
      </c>
      <c r="B541" s="1" t="s">
        <v>529</v>
      </c>
      <c r="C541" s="1" t="s">
        <v>1108</v>
      </c>
      <c r="D541" s="1" t="s">
        <v>1109</v>
      </c>
      <c r="E541" s="2">
        <v>1500</v>
      </c>
    </row>
    <row r="542" spans="1:5" x14ac:dyDescent="0.3">
      <c r="A542" s="1">
        <v>541</v>
      </c>
      <c r="B542" s="1" t="s">
        <v>529</v>
      </c>
      <c r="C542" s="1" t="s">
        <v>1110</v>
      </c>
      <c r="D542" s="1" t="s">
        <v>1111</v>
      </c>
      <c r="E542" s="2">
        <v>2000</v>
      </c>
    </row>
    <row r="543" spans="1:5" x14ac:dyDescent="0.3">
      <c r="A543" s="1">
        <v>542</v>
      </c>
      <c r="B543" s="1" t="s">
        <v>529</v>
      </c>
      <c r="C543" s="1" t="s">
        <v>1112</v>
      </c>
      <c r="D543" s="1" t="s">
        <v>1113</v>
      </c>
      <c r="E543" s="2">
        <v>2000</v>
      </c>
    </row>
    <row r="544" spans="1:5" x14ac:dyDescent="0.3">
      <c r="A544" s="1">
        <v>543</v>
      </c>
      <c r="B544" s="1" t="s">
        <v>529</v>
      </c>
      <c r="C544" s="1" t="s">
        <v>1114</v>
      </c>
      <c r="D544" s="1" t="s">
        <v>1115</v>
      </c>
      <c r="E544" s="2">
        <v>2500</v>
      </c>
    </row>
    <row r="545" spans="1:5" x14ac:dyDescent="0.3">
      <c r="A545" s="1">
        <v>544</v>
      </c>
      <c r="B545" s="1" t="s">
        <v>529</v>
      </c>
      <c r="C545" s="1" t="s">
        <v>1116</v>
      </c>
      <c r="D545" s="1" t="s">
        <v>1117</v>
      </c>
      <c r="E545" s="2">
        <v>2000</v>
      </c>
    </row>
    <row r="546" spans="1:5" x14ac:dyDescent="0.3">
      <c r="A546" s="1">
        <v>545</v>
      </c>
      <c r="B546" s="1" t="s">
        <v>529</v>
      </c>
      <c r="C546" s="1" t="s">
        <v>1118</v>
      </c>
      <c r="D546" s="1" t="s">
        <v>1119</v>
      </c>
      <c r="E546" s="2">
        <v>2500</v>
      </c>
    </row>
    <row r="547" spans="1:5" x14ac:dyDescent="0.3">
      <c r="A547" s="1">
        <v>546</v>
      </c>
      <c r="B547" s="1" t="s">
        <v>529</v>
      </c>
      <c r="C547" s="1" t="s">
        <v>1120</v>
      </c>
      <c r="D547" s="1" t="s">
        <v>1121</v>
      </c>
      <c r="E547" s="2">
        <v>3000</v>
      </c>
    </row>
    <row r="548" spans="1:5" x14ac:dyDescent="0.3">
      <c r="A548" s="1">
        <v>547</v>
      </c>
      <c r="B548" s="1" t="s">
        <v>534</v>
      </c>
      <c r="C548" s="1" t="s">
        <v>946</v>
      </c>
      <c r="D548" s="1" t="s">
        <v>1098</v>
      </c>
      <c r="E548" s="2">
        <v>15000</v>
      </c>
    </row>
    <row r="549" spans="1:5" x14ac:dyDescent="0.3">
      <c r="A549" s="1">
        <v>548</v>
      </c>
      <c r="B549" s="1" t="s">
        <v>534</v>
      </c>
      <c r="C549" s="1" t="s">
        <v>948</v>
      </c>
      <c r="D549" s="1" t="s">
        <v>949</v>
      </c>
      <c r="E549" s="2">
        <v>5000</v>
      </c>
    </row>
    <row r="550" spans="1:5" x14ac:dyDescent="0.3">
      <c r="A550" s="1">
        <v>549</v>
      </c>
      <c r="B550" s="1" t="s">
        <v>534</v>
      </c>
      <c r="C550" s="1" t="s">
        <v>950</v>
      </c>
      <c r="D550" s="1" t="s">
        <v>1074</v>
      </c>
      <c r="E550" s="2">
        <v>4000</v>
      </c>
    </row>
    <row r="551" spans="1:5" x14ac:dyDescent="0.3">
      <c r="A551" s="1">
        <v>550</v>
      </c>
      <c r="B551" s="1" t="s">
        <v>534</v>
      </c>
      <c r="C551" s="1" t="s">
        <v>952</v>
      </c>
      <c r="D551" s="1" t="s">
        <v>953</v>
      </c>
      <c r="E551" s="2">
        <v>17000</v>
      </c>
    </row>
    <row r="552" spans="1:5" x14ac:dyDescent="0.3">
      <c r="A552" s="1">
        <v>551</v>
      </c>
      <c r="B552" s="1" t="s">
        <v>534</v>
      </c>
      <c r="C552" s="1" t="s">
        <v>954</v>
      </c>
      <c r="D552" s="1" t="s">
        <v>955</v>
      </c>
      <c r="E552" s="2">
        <v>11000</v>
      </c>
    </row>
    <row r="553" spans="1:5" x14ac:dyDescent="0.3">
      <c r="A553" s="1">
        <v>552</v>
      </c>
      <c r="B553" s="1" t="s">
        <v>534</v>
      </c>
      <c r="C553" s="1" t="s">
        <v>956</v>
      </c>
      <c r="D553" s="1" t="s">
        <v>1075</v>
      </c>
      <c r="E553" s="2">
        <v>6000</v>
      </c>
    </row>
    <row r="554" spans="1:5" x14ac:dyDescent="0.3">
      <c r="A554" s="1">
        <v>553</v>
      </c>
      <c r="B554" s="1" t="s">
        <v>534</v>
      </c>
      <c r="C554" s="1" t="s">
        <v>958</v>
      </c>
      <c r="D554" s="1" t="s">
        <v>959</v>
      </c>
      <c r="E554" s="2">
        <v>4500</v>
      </c>
    </row>
    <row r="555" spans="1:5" x14ac:dyDescent="0.3">
      <c r="A555" s="1">
        <v>554</v>
      </c>
      <c r="B555" s="1" t="s">
        <v>534</v>
      </c>
      <c r="C555" s="1" t="s">
        <v>960</v>
      </c>
      <c r="D555" s="1" t="s">
        <v>961</v>
      </c>
      <c r="E555" s="2">
        <v>8500</v>
      </c>
    </row>
    <row r="556" spans="1:5" x14ac:dyDescent="0.3">
      <c r="A556" s="1">
        <v>555</v>
      </c>
      <c r="B556" s="1" t="s">
        <v>534</v>
      </c>
      <c r="C556" s="1" t="s">
        <v>962</v>
      </c>
      <c r="D556" s="1" t="s">
        <v>963</v>
      </c>
      <c r="E556" s="2">
        <v>2000</v>
      </c>
    </row>
    <row r="557" spans="1:5" x14ac:dyDescent="0.3">
      <c r="A557" s="1">
        <v>556</v>
      </c>
      <c r="B557" s="1" t="s">
        <v>539</v>
      </c>
      <c r="C557" s="1" t="s">
        <v>993</v>
      </c>
      <c r="D557" s="1" t="s">
        <v>994</v>
      </c>
      <c r="E557" s="2">
        <v>5000</v>
      </c>
    </row>
    <row r="558" spans="1:5" x14ac:dyDescent="0.3">
      <c r="A558" s="1">
        <v>557</v>
      </c>
      <c r="B558" s="1" t="s">
        <v>539</v>
      </c>
      <c r="C558" s="1" t="s">
        <v>995</v>
      </c>
      <c r="D558" s="1" t="s">
        <v>996</v>
      </c>
      <c r="E558" s="2">
        <v>6000</v>
      </c>
    </row>
    <row r="559" spans="1:5" x14ac:dyDescent="0.3">
      <c r="A559" s="1">
        <v>558</v>
      </c>
      <c r="B559" s="1" t="s">
        <v>539</v>
      </c>
      <c r="C559" s="1" t="s">
        <v>997</v>
      </c>
      <c r="D559" s="1" t="s">
        <v>998</v>
      </c>
      <c r="E559" s="2">
        <v>5500</v>
      </c>
    </row>
    <row r="560" spans="1:5" x14ac:dyDescent="0.3">
      <c r="A560" s="1">
        <v>559</v>
      </c>
      <c r="B560" s="1" t="s">
        <v>539</v>
      </c>
      <c r="C560" s="1" t="s">
        <v>999</v>
      </c>
      <c r="D560" s="1" t="s">
        <v>1000</v>
      </c>
      <c r="E560" s="2">
        <v>6000</v>
      </c>
    </row>
    <row r="561" spans="1:5" x14ac:dyDescent="0.3">
      <c r="A561" s="1">
        <v>560</v>
      </c>
      <c r="B561" s="1" t="s">
        <v>539</v>
      </c>
      <c r="C561" s="1" t="s">
        <v>1001</v>
      </c>
      <c r="D561" s="1" t="s">
        <v>1002</v>
      </c>
      <c r="E561" s="2">
        <v>4500</v>
      </c>
    </row>
    <row r="562" spans="1:5" x14ac:dyDescent="0.3">
      <c r="A562" s="1">
        <v>561</v>
      </c>
      <c r="B562" s="1" t="s">
        <v>539</v>
      </c>
      <c r="C562" s="1" t="s">
        <v>1003</v>
      </c>
      <c r="D562" s="1" t="s">
        <v>1004</v>
      </c>
      <c r="E562" s="2">
        <v>4000</v>
      </c>
    </row>
    <row r="563" spans="1:5" x14ac:dyDescent="0.3">
      <c r="A563" s="1">
        <v>562</v>
      </c>
      <c r="B563" s="1" t="s">
        <v>539</v>
      </c>
      <c r="C563" s="1" t="s">
        <v>1005</v>
      </c>
      <c r="D563" s="1" t="s">
        <v>1006</v>
      </c>
      <c r="E563" s="2">
        <v>3000</v>
      </c>
    </row>
    <row r="564" spans="1:5" x14ac:dyDescent="0.3">
      <c r="A564" s="1">
        <v>563</v>
      </c>
      <c r="B564" s="1" t="s">
        <v>539</v>
      </c>
      <c r="C564" s="1" t="s">
        <v>1007</v>
      </c>
      <c r="D564" s="1" t="s">
        <v>1008</v>
      </c>
      <c r="E564" s="2">
        <v>2500</v>
      </c>
    </row>
    <row r="565" spans="1:5" x14ac:dyDescent="0.3">
      <c r="A565" s="1">
        <v>564</v>
      </c>
      <c r="B565" s="1" t="s">
        <v>539</v>
      </c>
      <c r="C565" s="1" t="s">
        <v>1009</v>
      </c>
      <c r="D565" s="1" t="s">
        <v>1010</v>
      </c>
      <c r="E565" s="2">
        <v>8000</v>
      </c>
    </row>
    <row r="566" spans="1:5" x14ac:dyDescent="0.3">
      <c r="A566" s="1">
        <v>565</v>
      </c>
      <c r="B566" s="1" t="s">
        <v>539</v>
      </c>
      <c r="C566" s="1" t="s">
        <v>1057</v>
      </c>
      <c r="D566" s="1" t="s">
        <v>1058</v>
      </c>
      <c r="E566" s="2">
        <v>9000</v>
      </c>
    </row>
    <row r="567" spans="1:5" x14ac:dyDescent="0.3">
      <c r="A567" s="1">
        <v>566</v>
      </c>
      <c r="B567" s="1" t="s">
        <v>539</v>
      </c>
      <c r="C567" s="1" t="s">
        <v>1011</v>
      </c>
      <c r="D567" s="1" t="s">
        <v>1012</v>
      </c>
      <c r="E567" s="2">
        <v>8000</v>
      </c>
    </row>
    <row r="568" spans="1:5" x14ac:dyDescent="0.3">
      <c r="A568" s="1">
        <v>567</v>
      </c>
      <c r="B568" s="1" t="s">
        <v>539</v>
      </c>
      <c r="C568" s="1" t="s">
        <v>1013</v>
      </c>
      <c r="D568" s="1" t="s">
        <v>1014</v>
      </c>
      <c r="E568" s="2">
        <v>6000</v>
      </c>
    </row>
    <row r="569" spans="1:5" x14ac:dyDescent="0.3">
      <c r="A569" s="1">
        <v>568</v>
      </c>
      <c r="B569" s="1" t="s">
        <v>544</v>
      </c>
      <c r="C569" s="1" t="s">
        <v>1028</v>
      </c>
      <c r="D569" s="1" t="s">
        <v>1029</v>
      </c>
      <c r="E569" s="2">
        <v>4000</v>
      </c>
    </row>
    <row r="570" spans="1:5" x14ac:dyDescent="0.3">
      <c r="A570" s="1">
        <v>569</v>
      </c>
      <c r="B570" s="1" t="s">
        <v>544</v>
      </c>
      <c r="C570" s="1" t="s">
        <v>1030</v>
      </c>
      <c r="D570" s="1" t="s">
        <v>1031</v>
      </c>
      <c r="E570" s="2">
        <v>5000</v>
      </c>
    </row>
    <row r="571" spans="1:5" x14ac:dyDescent="0.3">
      <c r="A571" s="1">
        <v>570</v>
      </c>
      <c r="B571" s="1" t="s">
        <v>544</v>
      </c>
      <c r="C571" s="1" t="s">
        <v>1032</v>
      </c>
      <c r="D571" s="1" t="s">
        <v>1033</v>
      </c>
      <c r="E571" s="2">
        <v>5000</v>
      </c>
    </row>
    <row r="572" spans="1:5" x14ac:dyDescent="0.3">
      <c r="A572" s="1">
        <v>571</v>
      </c>
      <c r="B572" s="1" t="s">
        <v>544</v>
      </c>
      <c r="C572" s="1" t="s">
        <v>1034</v>
      </c>
      <c r="D572" s="1" t="s">
        <v>1035</v>
      </c>
      <c r="E572" s="2">
        <v>6000</v>
      </c>
    </row>
    <row r="573" spans="1:5" x14ac:dyDescent="0.3">
      <c r="A573" s="1">
        <v>572</v>
      </c>
      <c r="B573" s="1" t="s">
        <v>544</v>
      </c>
      <c r="C573" s="1" t="s">
        <v>1036</v>
      </c>
      <c r="D573" s="1" t="s">
        <v>1037</v>
      </c>
      <c r="E573" s="2">
        <v>5000</v>
      </c>
    </row>
    <row r="574" spans="1:5" x14ac:dyDescent="0.3">
      <c r="A574" s="1">
        <v>573</v>
      </c>
      <c r="B574" s="1" t="s">
        <v>544</v>
      </c>
      <c r="C574" s="1" t="s">
        <v>1038</v>
      </c>
      <c r="D574" s="1" t="s">
        <v>1039</v>
      </c>
      <c r="E574" s="2">
        <v>2000</v>
      </c>
    </row>
    <row r="575" spans="1:5" x14ac:dyDescent="0.3">
      <c r="A575" s="1">
        <v>574</v>
      </c>
      <c r="B575" s="1" t="s">
        <v>544</v>
      </c>
      <c r="C575" s="1" t="s">
        <v>1065</v>
      </c>
      <c r="D575" s="1" t="s">
        <v>1066</v>
      </c>
      <c r="E575" s="2">
        <v>4000</v>
      </c>
    </row>
    <row r="576" spans="1:5" x14ac:dyDescent="0.3">
      <c r="A576" s="1">
        <v>575</v>
      </c>
      <c r="B576" s="1" t="s">
        <v>544</v>
      </c>
      <c r="C576" s="1" t="s">
        <v>1067</v>
      </c>
      <c r="D576" s="1" t="s">
        <v>1068</v>
      </c>
      <c r="E576" s="2">
        <v>6500</v>
      </c>
    </row>
    <row r="577" spans="1:5" x14ac:dyDescent="0.3">
      <c r="A577" s="1">
        <v>576</v>
      </c>
      <c r="B577" s="1" t="s">
        <v>544</v>
      </c>
      <c r="C577" s="1" t="s">
        <v>1069</v>
      </c>
      <c r="D577" s="1" t="s">
        <v>1070</v>
      </c>
      <c r="E577" s="2">
        <v>8000</v>
      </c>
    </row>
    <row r="578" spans="1:5" x14ac:dyDescent="0.3">
      <c r="A578" s="1">
        <v>577</v>
      </c>
      <c r="B578" s="1" t="s">
        <v>549</v>
      </c>
      <c r="C578" s="1" t="s">
        <v>993</v>
      </c>
      <c r="D578" s="1" t="s">
        <v>994</v>
      </c>
      <c r="E578" s="2">
        <v>5000</v>
      </c>
    </row>
    <row r="579" spans="1:5" x14ac:dyDescent="0.3">
      <c r="A579" s="1">
        <v>578</v>
      </c>
      <c r="B579" s="1" t="s">
        <v>549</v>
      </c>
      <c r="C579" s="1" t="s">
        <v>995</v>
      </c>
      <c r="D579" s="1" t="s">
        <v>996</v>
      </c>
      <c r="E579" s="2">
        <v>6000</v>
      </c>
    </row>
    <row r="580" spans="1:5" x14ac:dyDescent="0.3">
      <c r="A580" s="1">
        <v>579</v>
      </c>
      <c r="B580" s="1" t="s">
        <v>549</v>
      </c>
      <c r="C580" s="1" t="s">
        <v>997</v>
      </c>
      <c r="D580" s="1" t="s">
        <v>998</v>
      </c>
      <c r="E580" s="2">
        <v>5500</v>
      </c>
    </row>
    <row r="581" spans="1:5" x14ac:dyDescent="0.3">
      <c r="A581" s="1">
        <v>580</v>
      </c>
      <c r="B581" s="1" t="s">
        <v>549</v>
      </c>
      <c r="C581" s="1" t="s">
        <v>999</v>
      </c>
      <c r="D581" s="1" t="s">
        <v>1000</v>
      </c>
      <c r="E581" s="2">
        <v>6000</v>
      </c>
    </row>
    <row r="582" spans="1:5" x14ac:dyDescent="0.3">
      <c r="A582" s="1">
        <v>581</v>
      </c>
      <c r="B582" s="1" t="s">
        <v>549</v>
      </c>
      <c r="C582" s="1" t="s">
        <v>1001</v>
      </c>
      <c r="D582" s="1" t="s">
        <v>1002</v>
      </c>
      <c r="E582" s="2">
        <v>4500</v>
      </c>
    </row>
    <row r="583" spans="1:5" x14ac:dyDescent="0.3">
      <c r="A583" s="1">
        <v>582</v>
      </c>
      <c r="B583" s="1" t="s">
        <v>549</v>
      </c>
      <c r="C583" s="1" t="s">
        <v>1003</v>
      </c>
      <c r="D583" s="1" t="s">
        <v>1004</v>
      </c>
      <c r="E583" s="2">
        <v>4000</v>
      </c>
    </row>
    <row r="584" spans="1:5" x14ac:dyDescent="0.3">
      <c r="A584" s="1">
        <v>583</v>
      </c>
      <c r="B584" s="1" t="s">
        <v>549</v>
      </c>
      <c r="C584" s="1" t="s">
        <v>1005</v>
      </c>
      <c r="D584" s="1" t="s">
        <v>1006</v>
      </c>
      <c r="E584" s="2">
        <v>3000</v>
      </c>
    </row>
    <row r="585" spans="1:5" x14ac:dyDescent="0.3">
      <c r="A585" s="1">
        <v>584</v>
      </c>
      <c r="B585" s="1" t="s">
        <v>549</v>
      </c>
      <c r="C585" s="1" t="s">
        <v>1007</v>
      </c>
      <c r="D585" s="1" t="s">
        <v>1008</v>
      </c>
      <c r="E585" s="2">
        <v>2500</v>
      </c>
    </row>
    <row r="586" spans="1:5" x14ac:dyDescent="0.3">
      <c r="A586" s="1">
        <v>585</v>
      </c>
      <c r="B586" s="1" t="s">
        <v>549</v>
      </c>
      <c r="C586" s="1" t="s">
        <v>1009</v>
      </c>
      <c r="D586" s="1" t="s">
        <v>1010</v>
      </c>
      <c r="E586" s="2">
        <v>8000</v>
      </c>
    </row>
    <row r="587" spans="1:5" x14ac:dyDescent="0.3">
      <c r="A587" s="1">
        <v>586</v>
      </c>
      <c r="B587" s="1" t="s">
        <v>549</v>
      </c>
      <c r="C587" s="1" t="s">
        <v>1057</v>
      </c>
      <c r="D587" s="1" t="s">
        <v>1058</v>
      </c>
      <c r="E587" s="2">
        <v>9000</v>
      </c>
    </row>
    <row r="588" spans="1:5" x14ac:dyDescent="0.3">
      <c r="A588" s="1">
        <v>587</v>
      </c>
      <c r="B588" s="1" t="s">
        <v>549</v>
      </c>
      <c r="C588" s="1" t="s">
        <v>1011</v>
      </c>
      <c r="D588" s="1" t="s">
        <v>1012</v>
      </c>
      <c r="E588" s="2">
        <v>8000</v>
      </c>
    </row>
    <row r="589" spans="1:5" x14ac:dyDescent="0.3">
      <c r="A589" s="1">
        <v>588</v>
      </c>
      <c r="B589" s="1" t="s">
        <v>549</v>
      </c>
      <c r="C589" s="1" t="s">
        <v>1013</v>
      </c>
      <c r="D589" s="1" t="s">
        <v>1014</v>
      </c>
      <c r="E589" s="2">
        <v>6000</v>
      </c>
    </row>
    <row r="590" spans="1:5" x14ac:dyDescent="0.3">
      <c r="A590" s="1">
        <v>589</v>
      </c>
      <c r="B590" s="1" t="s">
        <v>554</v>
      </c>
      <c r="C590" s="1" t="s">
        <v>1040</v>
      </c>
      <c r="D590" s="1" t="s">
        <v>1041</v>
      </c>
      <c r="E590" s="2">
        <v>4500</v>
      </c>
    </row>
    <row r="591" spans="1:5" x14ac:dyDescent="0.3">
      <c r="A591" s="1">
        <v>590</v>
      </c>
      <c r="B591" s="1" t="s">
        <v>554</v>
      </c>
      <c r="C591" s="1" t="s">
        <v>1042</v>
      </c>
      <c r="D591" s="1" t="s">
        <v>1043</v>
      </c>
      <c r="E591" s="2">
        <v>3000</v>
      </c>
    </row>
    <row r="592" spans="1:5" x14ac:dyDescent="0.3">
      <c r="A592" s="1">
        <v>591</v>
      </c>
      <c r="B592" s="1" t="s">
        <v>554</v>
      </c>
      <c r="C592" s="1" t="s">
        <v>1044</v>
      </c>
      <c r="D592" s="1" t="s">
        <v>1045</v>
      </c>
      <c r="E592" s="2">
        <v>2000</v>
      </c>
    </row>
    <row r="593" spans="1:5" x14ac:dyDescent="0.3">
      <c r="A593" s="1">
        <v>592</v>
      </c>
      <c r="B593" s="1" t="s">
        <v>554</v>
      </c>
      <c r="C593" s="1" t="s">
        <v>1059</v>
      </c>
      <c r="D593" s="1" t="s">
        <v>1060</v>
      </c>
      <c r="E593" s="1">
        <v>500</v>
      </c>
    </row>
    <row r="594" spans="1:5" x14ac:dyDescent="0.3">
      <c r="A594" s="1">
        <v>593</v>
      </c>
      <c r="B594" s="1" t="s">
        <v>554</v>
      </c>
      <c r="C594" s="1" t="s">
        <v>1046</v>
      </c>
      <c r="D594" s="1" t="s">
        <v>1047</v>
      </c>
      <c r="E594" s="1">
        <v>700</v>
      </c>
    </row>
    <row r="595" spans="1:5" x14ac:dyDescent="0.3">
      <c r="A595" s="1">
        <v>594</v>
      </c>
      <c r="B595" s="1" t="s">
        <v>554</v>
      </c>
      <c r="C595" s="1" t="s">
        <v>1048</v>
      </c>
      <c r="D595" s="1" t="s">
        <v>1049</v>
      </c>
      <c r="E595" s="1">
        <v>700</v>
      </c>
    </row>
    <row r="596" spans="1:5" x14ac:dyDescent="0.3">
      <c r="A596" s="1">
        <v>595</v>
      </c>
      <c r="B596" s="1" t="s">
        <v>554</v>
      </c>
      <c r="C596" s="1" t="s">
        <v>1061</v>
      </c>
      <c r="D596" s="1" t="s">
        <v>1062</v>
      </c>
      <c r="E596" s="2">
        <v>2500</v>
      </c>
    </row>
    <row r="597" spans="1:5" x14ac:dyDescent="0.3">
      <c r="A597" s="1">
        <v>596</v>
      </c>
      <c r="B597" s="1" t="s">
        <v>554</v>
      </c>
      <c r="C597" s="1" t="s">
        <v>1063</v>
      </c>
      <c r="D597" s="1" t="s">
        <v>1064</v>
      </c>
      <c r="E597" s="2">
        <v>3500</v>
      </c>
    </row>
    <row r="598" spans="1:5" x14ac:dyDescent="0.3">
      <c r="A598" s="1">
        <v>597</v>
      </c>
      <c r="B598" s="1" t="s">
        <v>559</v>
      </c>
      <c r="C598" s="1" t="s">
        <v>946</v>
      </c>
      <c r="D598" s="1" t="s">
        <v>1098</v>
      </c>
      <c r="E598" s="2">
        <v>15000</v>
      </c>
    </row>
    <row r="599" spans="1:5" x14ac:dyDescent="0.3">
      <c r="A599" s="1">
        <v>598</v>
      </c>
      <c r="B599" s="1" t="s">
        <v>559</v>
      </c>
      <c r="C599" s="1" t="s">
        <v>948</v>
      </c>
      <c r="D599" s="1" t="s">
        <v>949</v>
      </c>
      <c r="E599" s="2">
        <v>5000</v>
      </c>
    </row>
    <row r="600" spans="1:5" x14ac:dyDescent="0.3">
      <c r="A600" s="1">
        <v>599</v>
      </c>
      <c r="B600" s="1" t="s">
        <v>559</v>
      </c>
      <c r="C600" s="1" t="s">
        <v>950</v>
      </c>
      <c r="D600" s="1" t="s">
        <v>1074</v>
      </c>
      <c r="E600" s="2">
        <v>4000</v>
      </c>
    </row>
    <row r="601" spans="1:5" x14ac:dyDescent="0.3">
      <c r="A601" s="1">
        <v>600</v>
      </c>
      <c r="B601" s="1" t="s">
        <v>559</v>
      </c>
      <c r="C601" s="1" t="s">
        <v>952</v>
      </c>
      <c r="D601" s="1" t="s">
        <v>953</v>
      </c>
      <c r="E601" s="2">
        <v>17000</v>
      </c>
    </row>
    <row r="602" spans="1:5" x14ac:dyDescent="0.3">
      <c r="A602" s="1">
        <v>601</v>
      </c>
      <c r="B602" s="1" t="s">
        <v>559</v>
      </c>
      <c r="C602" s="1" t="s">
        <v>954</v>
      </c>
      <c r="D602" s="1" t="s">
        <v>955</v>
      </c>
      <c r="E602" s="2">
        <v>11000</v>
      </c>
    </row>
    <row r="603" spans="1:5" x14ac:dyDescent="0.3">
      <c r="A603" s="1">
        <v>602</v>
      </c>
      <c r="B603" s="1" t="s">
        <v>559</v>
      </c>
      <c r="C603" s="1" t="s">
        <v>956</v>
      </c>
      <c r="D603" s="1" t="s">
        <v>1075</v>
      </c>
      <c r="E603" s="2">
        <v>6000</v>
      </c>
    </row>
    <row r="604" spans="1:5" x14ac:dyDescent="0.3">
      <c r="A604" s="1">
        <v>603</v>
      </c>
      <c r="B604" s="1" t="s">
        <v>559</v>
      </c>
      <c r="C604" s="1" t="s">
        <v>958</v>
      </c>
      <c r="D604" s="1" t="s">
        <v>959</v>
      </c>
      <c r="E604" s="2">
        <v>4500</v>
      </c>
    </row>
    <row r="605" spans="1:5" x14ac:dyDescent="0.3">
      <c r="A605" s="1">
        <v>604</v>
      </c>
      <c r="B605" s="1" t="s">
        <v>559</v>
      </c>
      <c r="C605" s="1" t="s">
        <v>960</v>
      </c>
      <c r="D605" s="1" t="s">
        <v>961</v>
      </c>
      <c r="E605" s="2">
        <v>8500</v>
      </c>
    </row>
    <row r="606" spans="1:5" x14ac:dyDescent="0.3">
      <c r="A606" s="1">
        <v>605</v>
      </c>
      <c r="B606" s="1" t="s">
        <v>559</v>
      </c>
      <c r="C606" s="1" t="s">
        <v>962</v>
      </c>
      <c r="D606" s="1" t="s">
        <v>963</v>
      </c>
      <c r="E606" s="2">
        <v>2000</v>
      </c>
    </row>
    <row r="607" spans="1:5" x14ac:dyDescent="0.3">
      <c r="A607" s="1">
        <v>606</v>
      </c>
      <c r="B607" s="1" t="s">
        <v>564</v>
      </c>
      <c r="C607" s="1" t="s">
        <v>993</v>
      </c>
      <c r="D607" s="1" t="s">
        <v>994</v>
      </c>
      <c r="E607" s="2">
        <v>5000</v>
      </c>
    </row>
    <row r="608" spans="1:5" x14ac:dyDescent="0.3">
      <c r="A608" s="1">
        <v>607</v>
      </c>
      <c r="B608" s="1" t="s">
        <v>564</v>
      </c>
      <c r="C608" s="1" t="s">
        <v>995</v>
      </c>
      <c r="D608" s="1" t="s">
        <v>996</v>
      </c>
      <c r="E608" s="2">
        <v>6000</v>
      </c>
    </row>
    <row r="609" spans="1:5" x14ac:dyDescent="0.3">
      <c r="A609" s="1">
        <v>608</v>
      </c>
      <c r="B609" s="1" t="s">
        <v>564</v>
      </c>
      <c r="C609" s="1" t="s">
        <v>997</v>
      </c>
      <c r="D609" s="1" t="s">
        <v>998</v>
      </c>
      <c r="E609" s="2">
        <v>5500</v>
      </c>
    </row>
    <row r="610" spans="1:5" x14ac:dyDescent="0.3">
      <c r="A610" s="1">
        <v>609</v>
      </c>
      <c r="B610" s="1" t="s">
        <v>564</v>
      </c>
      <c r="C610" s="1" t="s">
        <v>999</v>
      </c>
      <c r="D610" s="1" t="s">
        <v>1000</v>
      </c>
      <c r="E610" s="2">
        <v>6000</v>
      </c>
    </row>
    <row r="611" spans="1:5" x14ac:dyDescent="0.3">
      <c r="A611" s="1">
        <v>610</v>
      </c>
      <c r="B611" s="1" t="s">
        <v>564</v>
      </c>
      <c r="C611" s="1" t="s">
        <v>1001</v>
      </c>
      <c r="D611" s="1" t="s">
        <v>1002</v>
      </c>
      <c r="E611" s="2">
        <v>4500</v>
      </c>
    </row>
    <row r="612" spans="1:5" x14ac:dyDescent="0.3">
      <c r="A612" s="1">
        <v>611</v>
      </c>
      <c r="B612" s="1" t="s">
        <v>564</v>
      </c>
      <c r="C612" s="1" t="s">
        <v>1003</v>
      </c>
      <c r="D612" s="1" t="s">
        <v>1004</v>
      </c>
      <c r="E612" s="2">
        <v>4000</v>
      </c>
    </row>
    <row r="613" spans="1:5" x14ac:dyDescent="0.3">
      <c r="A613" s="1">
        <v>612</v>
      </c>
      <c r="B613" s="1" t="s">
        <v>564</v>
      </c>
      <c r="C613" s="1" t="s">
        <v>1005</v>
      </c>
      <c r="D613" s="1" t="s">
        <v>1006</v>
      </c>
      <c r="E613" s="2">
        <v>3000</v>
      </c>
    </row>
    <row r="614" spans="1:5" x14ac:dyDescent="0.3">
      <c r="A614" s="1">
        <v>613</v>
      </c>
      <c r="B614" s="1" t="s">
        <v>564</v>
      </c>
      <c r="C614" s="1" t="s">
        <v>1007</v>
      </c>
      <c r="D614" s="1" t="s">
        <v>1008</v>
      </c>
      <c r="E614" s="2">
        <v>2500</v>
      </c>
    </row>
    <row r="615" spans="1:5" x14ac:dyDescent="0.3">
      <c r="A615" s="1">
        <v>614</v>
      </c>
      <c r="B615" s="1" t="s">
        <v>564</v>
      </c>
      <c r="C615" s="1" t="s">
        <v>1009</v>
      </c>
      <c r="D615" s="1" t="s">
        <v>1010</v>
      </c>
      <c r="E615" s="2">
        <v>8000</v>
      </c>
    </row>
    <row r="616" spans="1:5" x14ac:dyDescent="0.3">
      <c r="A616" s="1">
        <v>615</v>
      </c>
      <c r="B616" s="1" t="s">
        <v>564</v>
      </c>
      <c r="C616" s="1" t="s">
        <v>1057</v>
      </c>
      <c r="D616" s="1" t="s">
        <v>1058</v>
      </c>
      <c r="E616" s="2">
        <v>9000</v>
      </c>
    </row>
    <row r="617" spans="1:5" x14ac:dyDescent="0.3">
      <c r="A617" s="1">
        <v>616</v>
      </c>
      <c r="B617" s="1" t="s">
        <v>564</v>
      </c>
      <c r="C617" s="1" t="s">
        <v>1011</v>
      </c>
      <c r="D617" s="1" t="s">
        <v>1012</v>
      </c>
      <c r="E617" s="2">
        <v>8000</v>
      </c>
    </row>
    <row r="618" spans="1:5" x14ac:dyDescent="0.3">
      <c r="A618" s="1">
        <v>617</v>
      </c>
      <c r="B618" s="1" t="s">
        <v>564</v>
      </c>
      <c r="C618" s="1" t="s">
        <v>1013</v>
      </c>
      <c r="D618" s="1" t="s">
        <v>1014</v>
      </c>
      <c r="E618" s="2">
        <v>6000</v>
      </c>
    </row>
    <row r="619" spans="1:5" x14ac:dyDescent="0.3">
      <c r="A619" s="1">
        <v>618</v>
      </c>
      <c r="B619" s="1" t="s">
        <v>569</v>
      </c>
      <c r="C619" s="1" t="s">
        <v>993</v>
      </c>
      <c r="D619" s="1" t="s">
        <v>994</v>
      </c>
      <c r="E619" s="2">
        <v>5000</v>
      </c>
    </row>
    <row r="620" spans="1:5" x14ac:dyDescent="0.3">
      <c r="A620" s="1">
        <v>619</v>
      </c>
      <c r="B620" s="1" t="s">
        <v>569</v>
      </c>
      <c r="C620" s="1" t="s">
        <v>995</v>
      </c>
      <c r="D620" s="1" t="s">
        <v>996</v>
      </c>
      <c r="E620" s="2">
        <v>6000</v>
      </c>
    </row>
    <row r="621" spans="1:5" x14ac:dyDescent="0.3">
      <c r="A621" s="1">
        <v>620</v>
      </c>
      <c r="B621" s="1" t="s">
        <v>569</v>
      </c>
      <c r="C621" s="1" t="s">
        <v>997</v>
      </c>
      <c r="D621" s="1" t="s">
        <v>998</v>
      </c>
      <c r="E621" s="2">
        <v>5500</v>
      </c>
    </row>
    <row r="622" spans="1:5" x14ac:dyDescent="0.3">
      <c r="A622" s="1">
        <v>621</v>
      </c>
      <c r="B622" s="1" t="s">
        <v>569</v>
      </c>
      <c r="C622" s="1" t="s">
        <v>999</v>
      </c>
      <c r="D622" s="1" t="s">
        <v>1000</v>
      </c>
      <c r="E622" s="2">
        <v>6000</v>
      </c>
    </row>
    <row r="623" spans="1:5" x14ac:dyDescent="0.3">
      <c r="A623" s="1">
        <v>622</v>
      </c>
      <c r="B623" s="1" t="s">
        <v>569</v>
      </c>
      <c r="C623" s="1" t="s">
        <v>1001</v>
      </c>
      <c r="D623" s="1" t="s">
        <v>1002</v>
      </c>
      <c r="E623" s="2">
        <v>4500</v>
      </c>
    </row>
    <row r="624" spans="1:5" x14ac:dyDescent="0.3">
      <c r="A624" s="1">
        <v>623</v>
      </c>
      <c r="B624" s="1" t="s">
        <v>569</v>
      </c>
      <c r="C624" s="1" t="s">
        <v>1003</v>
      </c>
      <c r="D624" s="1" t="s">
        <v>1004</v>
      </c>
      <c r="E624" s="2">
        <v>4000</v>
      </c>
    </row>
    <row r="625" spans="1:5" x14ac:dyDescent="0.3">
      <c r="A625" s="1">
        <v>624</v>
      </c>
      <c r="B625" s="1" t="s">
        <v>569</v>
      </c>
      <c r="C625" s="1" t="s">
        <v>1005</v>
      </c>
      <c r="D625" s="1" t="s">
        <v>1006</v>
      </c>
      <c r="E625" s="2">
        <v>3000</v>
      </c>
    </row>
    <row r="626" spans="1:5" x14ac:dyDescent="0.3">
      <c r="A626" s="1">
        <v>625</v>
      </c>
      <c r="B626" s="1" t="s">
        <v>569</v>
      </c>
      <c r="C626" s="1" t="s">
        <v>1007</v>
      </c>
      <c r="D626" s="1" t="s">
        <v>1008</v>
      </c>
      <c r="E626" s="2">
        <v>2500</v>
      </c>
    </row>
    <row r="627" spans="1:5" x14ac:dyDescent="0.3">
      <c r="A627" s="1">
        <v>626</v>
      </c>
      <c r="B627" s="1" t="s">
        <v>569</v>
      </c>
      <c r="C627" s="1" t="s">
        <v>1009</v>
      </c>
      <c r="D627" s="1" t="s">
        <v>1010</v>
      </c>
      <c r="E627" s="2">
        <v>8000</v>
      </c>
    </row>
    <row r="628" spans="1:5" x14ac:dyDescent="0.3">
      <c r="A628" s="1">
        <v>627</v>
      </c>
      <c r="B628" s="1" t="s">
        <v>569</v>
      </c>
      <c r="C628" s="1" t="s">
        <v>1057</v>
      </c>
      <c r="D628" s="1" t="s">
        <v>1058</v>
      </c>
      <c r="E628" s="2">
        <v>9000</v>
      </c>
    </row>
    <row r="629" spans="1:5" x14ac:dyDescent="0.3">
      <c r="A629" s="1">
        <v>628</v>
      </c>
      <c r="B629" s="1" t="s">
        <v>569</v>
      </c>
      <c r="C629" s="1" t="s">
        <v>1011</v>
      </c>
      <c r="D629" s="1" t="s">
        <v>1012</v>
      </c>
      <c r="E629" s="2">
        <v>8000</v>
      </c>
    </row>
    <row r="630" spans="1:5" x14ac:dyDescent="0.3">
      <c r="A630" s="1">
        <v>629</v>
      </c>
      <c r="B630" s="1" t="s">
        <v>569</v>
      </c>
      <c r="C630" s="1" t="s">
        <v>1013</v>
      </c>
      <c r="D630" s="1" t="s">
        <v>1014</v>
      </c>
      <c r="E630" s="2">
        <v>6000</v>
      </c>
    </row>
    <row r="631" spans="1:5" x14ac:dyDescent="0.3">
      <c r="A631" s="1">
        <v>630</v>
      </c>
      <c r="B631" s="1" t="s">
        <v>574</v>
      </c>
      <c r="C631" s="1" t="s">
        <v>993</v>
      </c>
      <c r="D631" s="1" t="s">
        <v>994</v>
      </c>
      <c r="E631" s="2">
        <v>5000</v>
      </c>
    </row>
    <row r="632" spans="1:5" x14ac:dyDescent="0.3">
      <c r="A632" s="1">
        <v>631</v>
      </c>
      <c r="B632" s="1" t="s">
        <v>574</v>
      </c>
      <c r="C632" s="1" t="s">
        <v>995</v>
      </c>
      <c r="D632" s="1" t="s">
        <v>996</v>
      </c>
      <c r="E632" s="2">
        <v>6000</v>
      </c>
    </row>
    <row r="633" spans="1:5" x14ac:dyDescent="0.3">
      <c r="A633" s="1">
        <v>632</v>
      </c>
      <c r="B633" s="1" t="s">
        <v>574</v>
      </c>
      <c r="C633" s="1" t="s">
        <v>997</v>
      </c>
      <c r="D633" s="1" t="s">
        <v>998</v>
      </c>
      <c r="E633" s="2">
        <v>5500</v>
      </c>
    </row>
    <row r="634" spans="1:5" x14ac:dyDescent="0.3">
      <c r="A634" s="1">
        <v>633</v>
      </c>
      <c r="B634" s="1" t="s">
        <v>574</v>
      </c>
      <c r="C634" s="1" t="s">
        <v>999</v>
      </c>
      <c r="D634" s="1" t="s">
        <v>1000</v>
      </c>
      <c r="E634" s="2">
        <v>6000</v>
      </c>
    </row>
    <row r="635" spans="1:5" x14ac:dyDescent="0.3">
      <c r="A635" s="1">
        <v>634</v>
      </c>
      <c r="B635" s="1" t="s">
        <v>574</v>
      </c>
      <c r="C635" s="1" t="s">
        <v>1001</v>
      </c>
      <c r="D635" s="1" t="s">
        <v>1002</v>
      </c>
      <c r="E635" s="2">
        <v>4500</v>
      </c>
    </row>
    <row r="636" spans="1:5" x14ac:dyDescent="0.3">
      <c r="A636" s="1">
        <v>635</v>
      </c>
      <c r="B636" s="1" t="s">
        <v>574</v>
      </c>
      <c r="C636" s="1" t="s">
        <v>1003</v>
      </c>
      <c r="D636" s="1" t="s">
        <v>1004</v>
      </c>
      <c r="E636" s="2">
        <v>4000</v>
      </c>
    </row>
    <row r="637" spans="1:5" x14ac:dyDescent="0.3">
      <c r="A637" s="1">
        <v>636</v>
      </c>
      <c r="B637" s="1" t="s">
        <v>574</v>
      </c>
      <c r="C637" s="1" t="s">
        <v>1005</v>
      </c>
      <c r="D637" s="1" t="s">
        <v>1006</v>
      </c>
      <c r="E637" s="2">
        <v>3000</v>
      </c>
    </row>
    <row r="638" spans="1:5" x14ac:dyDescent="0.3">
      <c r="A638" s="1">
        <v>637</v>
      </c>
      <c r="B638" s="1" t="s">
        <v>574</v>
      </c>
      <c r="C638" s="1" t="s">
        <v>1007</v>
      </c>
      <c r="D638" s="1" t="s">
        <v>1008</v>
      </c>
      <c r="E638" s="2">
        <v>2500</v>
      </c>
    </row>
    <row r="639" spans="1:5" x14ac:dyDescent="0.3">
      <c r="A639" s="1">
        <v>638</v>
      </c>
      <c r="B639" s="1" t="s">
        <v>574</v>
      </c>
      <c r="C639" s="1" t="s">
        <v>1009</v>
      </c>
      <c r="D639" s="1" t="s">
        <v>1010</v>
      </c>
      <c r="E639" s="2">
        <v>8000</v>
      </c>
    </row>
    <row r="640" spans="1:5" x14ac:dyDescent="0.3">
      <c r="A640" s="1">
        <v>639</v>
      </c>
      <c r="B640" s="1" t="s">
        <v>574</v>
      </c>
      <c r="C640" s="1" t="s">
        <v>1057</v>
      </c>
      <c r="D640" s="1" t="s">
        <v>1058</v>
      </c>
      <c r="E640" s="2">
        <v>9000</v>
      </c>
    </row>
    <row r="641" spans="1:5" x14ac:dyDescent="0.3">
      <c r="A641" s="1">
        <v>640</v>
      </c>
      <c r="B641" s="1" t="s">
        <v>574</v>
      </c>
      <c r="C641" s="1" t="s">
        <v>1011</v>
      </c>
      <c r="D641" s="1" t="s">
        <v>1012</v>
      </c>
      <c r="E641" s="2">
        <v>8000</v>
      </c>
    </row>
    <row r="642" spans="1:5" x14ac:dyDescent="0.3">
      <c r="A642" s="1">
        <v>641</v>
      </c>
      <c r="B642" s="1" t="s">
        <v>574</v>
      </c>
      <c r="C642" s="1" t="s">
        <v>1013</v>
      </c>
      <c r="D642" s="1" t="s">
        <v>1014</v>
      </c>
      <c r="E642" s="2">
        <v>6000</v>
      </c>
    </row>
    <row r="643" spans="1:5" x14ac:dyDescent="0.3">
      <c r="A643" s="1">
        <v>642</v>
      </c>
      <c r="B643" s="1" t="s">
        <v>579</v>
      </c>
      <c r="C643" s="1" t="s">
        <v>1028</v>
      </c>
      <c r="D643" s="1" t="s">
        <v>1029</v>
      </c>
      <c r="E643" s="2">
        <v>4000</v>
      </c>
    </row>
    <row r="644" spans="1:5" x14ac:dyDescent="0.3">
      <c r="A644" s="1">
        <v>643</v>
      </c>
      <c r="B644" s="1" t="s">
        <v>579</v>
      </c>
      <c r="C644" s="1" t="s">
        <v>1030</v>
      </c>
      <c r="D644" s="1" t="s">
        <v>1031</v>
      </c>
      <c r="E644" s="2">
        <v>5000</v>
      </c>
    </row>
    <row r="645" spans="1:5" x14ac:dyDescent="0.3">
      <c r="A645" s="1">
        <v>644</v>
      </c>
      <c r="B645" s="1" t="s">
        <v>579</v>
      </c>
      <c r="C645" s="1" t="s">
        <v>1032</v>
      </c>
      <c r="D645" s="1" t="s">
        <v>1033</v>
      </c>
      <c r="E645" s="2">
        <v>5000</v>
      </c>
    </row>
    <row r="646" spans="1:5" x14ac:dyDescent="0.3">
      <c r="A646" s="1">
        <v>645</v>
      </c>
      <c r="B646" s="1" t="s">
        <v>579</v>
      </c>
      <c r="C646" s="1" t="s">
        <v>1034</v>
      </c>
      <c r="D646" s="1" t="s">
        <v>1035</v>
      </c>
      <c r="E646" s="2">
        <v>6000</v>
      </c>
    </row>
    <row r="647" spans="1:5" x14ac:dyDescent="0.3">
      <c r="A647" s="1">
        <v>646</v>
      </c>
      <c r="B647" s="1" t="s">
        <v>579</v>
      </c>
      <c r="C647" s="1" t="s">
        <v>1036</v>
      </c>
      <c r="D647" s="1" t="s">
        <v>1037</v>
      </c>
      <c r="E647" s="2">
        <v>5000</v>
      </c>
    </row>
    <row r="648" spans="1:5" x14ac:dyDescent="0.3">
      <c r="A648" s="1">
        <v>647</v>
      </c>
      <c r="B648" s="1" t="s">
        <v>579</v>
      </c>
      <c r="C648" s="1" t="s">
        <v>1038</v>
      </c>
      <c r="D648" s="1" t="s">
        <v>1039</v>
      </c>
      <c r="E648" s="2">
        <v>2000</v>
      </c>
    </row>
    <row r="649" spans="1:5" x14ac:dyDescent="0.3">
      <c r="A649" s="1">
        <v>648</v>
      </c>
      <c r="B649" s="1" t="s">
        <v>579</v>
      </c>
      <c r="C649" s="1" t="s">
        <v>1065</v>
      </c>
      <c r="D649" s="1" t="s">
        <v>1066</v>
      </c>
      <c r="E649" s="2">
        <v>4000</v>
      </c>
    </row>
    <row r="650" spans="1:5" x14ac:dyDescent="0.3">
      <c r="A650" s="1">
        <v>649</v>
      </c>
      <c r="B650" s="1" t="s">
        <v>579</v>
      </c>
      <c r="C650" s="1" t="s">
        <v>1067</v>
      </c>
      <c r="D650" s="1" t="s">
        <v>1068</v>
      </c>
      <c r="E650" s="2">
        <v>6500</v>
      </c>
    </row>
    <row r="651" spans="1:5" x14ac:dyDescent="0.3">
      <c r="A651" s="1">
        <v>650</v>
      </c>
      <c r="B651" s="1" t="s">
        <v>579</v>
      </c>
      <c r="C651" s="1" t="s">
        <v>1069</v>
      </c>
      <c r="D651" s="1" t="s">
        <v>1070</v>
      </c>
      <c r="E651" s="2">
        <v>8000</v>
      </c>
    </row>
    <row r="652" spans="1:5" x14ac:dyDescent="0.3">
      <c r="A652" s="1">
        <v>651</v>
      </c>
      <c r="B652" s="1" t="s">
        <v>579</v>
      </c>
      <c r="C652" s="1" t="s">
        <v>966</v>
      </c>
      <c r="D652" s="1" t="s">
        <v>1027</v>
      </c>
      <c r="E652" s="2">
        <v>1500</v>
      </c>
    </row>
    <row r="653" spans="1:5" x14ac:dyDescent="0.3">
      <c r="A653" s="1">
        <v>652</v>
      </c>
      <c r="B653" s="1" t="s">
        <v>584</v>
      </c>
      <c r="C653" s="1" t="s">
        <v>946</v>
      </c>
      <c r="D653" s="1" t="s">
        <v>1098</v>
      </c>
      <c r="E653" s="2">
        <v>15000</v>
      </c>
    </row>
    <row r="654" spans="1:5" x14ac:dyDescent="0.3">
      <c r="A654" s="1">
        <v>653</v>
      </c>
      <c r="B654" s="1" t="s">
        <v>584</v>
      </c>
      <c r="C654" s="1" t="s">
        <v>948</v>
      </c>
      <c r="D654" s="1" t="s">
        <v>949</v>
      </c>
      <c r="E654" s="2">
        <v>5000</v>
      </c>
    </row>
    <row r="655" spans="1:5" x14ac:dyDescent="0.3">
      <c r="A655" s="1">
        <v>654</v>
      </c>
      <c r="B655" s="1" t="s">
        <v>584</v>
      </c>
      <c r="C655" s="1" t="s">
        <v>950</v>
      </c>
      <c r="D655" s="1" t="s">
        <v>1074</v>
      </c>
      <c r="E655" s="2">
        <v>4000</v>
      </c>
    </row>
    <row r="656" spans="1:5" x14ac:dyDescent="0.3">
      <c r="A656" s="1">
        <v>655</v>
      </c>
      <c r="B656" s="1" t="s">
        <v>584</v>
      </c>
      <c r="C656" s="1" t="s">
        <v>952</v>
      </c>
      <c r="D656" s="1" t="s">
        <v>953</v>
      </c>
      <c r="E656" s="2">
        <v>17000</v>
      </c>
    </row>
    <row r="657" spans="1:5" x14ac:dyDescent="0.3">
      <c r="A657" s="1">
        <v>656</v>
      </c>
      <c r="B657" s="1" t="s">
        <v>584</v>
      </c>
      <c r="C657" s="1" t="s">
        <v>954</v>
      </c>
      <c r="D657" s="1" t="s">
        <v>955</v>
      </c>
      <c r="E657" s="2">
        <v>11000</v>
      </c>
    </row>
    <row r="658" spans="1:5" x14ac:dyDescent="0.3">
      <c r="A658" s="1">
        <v>657</v>
      </c>
      <c r="B658" s="1" t="s">
        <v>584</v>
      </c>
      <c r="C658" s="1" t="s">
        <v>956</v>
      </c>
      <c r="D658" s="1" t="s">
        <v>1075</v>
      </c>
      <c r="E658" s="2">
        <v>6000</v>
      </c>
    </row>
    <row r="659" spans="1:5" x14ac:dyDescent="0.3">
      <c r="A659" s="1">
        <v>658</v>
      </c>
      <c r="B659" s="1" t="s">
        <v>584</v>
      </c>
      <c r="C659" s="1" t="s">
        <v>958</v>
      </c>
      <c r="D659" s="1" t="s">
        <v>959</v>
      </c>
      <c r="E659" s="2">
        <v>4500</v>
      </c>
    </row>
    <row r="660" spans="1:5" x14ac:dyDescent="0.3">
      <c r="A660" s="1">
        <v>659</v>
      </c>
      <c r="B660" s="1" t="s">
        <v>584</v>
      </c>
      <c r="C660" s="1" t="s">
        <v>960</v>
      </c>
      <c r="D660" s="1" t="s">
        <v>961</v>
      </c>
      <c r="E660" s="2">
        <v>8500</v>
      </c>
    </row>
    <row r="661" spans="1:5" x14ac:dyDescent="0.3">
      <c r="A661" s="1">
        <v>660</v>
      </c>
      <c r="B661" s="1" t="s">
        <v>584</v>
      </c>
      <c r="C661" s="1" t="s">
        <v>962</v>
      </c>
      <c r="D661" s="1" t="s">
        <v>963</v>
      </c>
      <c r="E661" s="2">
        <v>2000</v>
      </c>
    </row>
    <row r="662" spans="1:5" x14ac:dyDescent="0.3">
      <c r="A662" s="1">
        <v>661</v>
      </c>
      <c r="B662" s="1" t="s">
        <v>589</v>
      </c>
      <c r="C662" s="1" t="s">
        <v>1028</v>
      </c>
      <c r="D662" s="1" t="s">
        <v>1029</v>
      </c>
      <c r="E662" s="2">
        <v>4000</v>
      </c>
    </row>
    <row r="663" spans="1:5" x14ac:dyDescent="0.3">
      <c r="A663" s="1">
        <v>662</v>
      </c>
      <c r="B663" s="1" t="s">
        <v>589</v>
      </c>
      <c r="C663" s="1" t="s">
        <v>1030</v>
      </c>
      <c r="D663" s="1" t="s">
        <v>1031</v>
      </c>
      <c r="E663" s="2">
        <v>5000</v>
      </c>
    </row>
    <row r="664" spans="1:5" x14ac:dyDescent="0.3">
      <c r="A664" s="1">
        <v>663</v>
      </c>
      <c r="B664" s="1" t="s">
        <v>589</v>
      </c>
      <c r="C664" s="1" t="s">
        <v>1032</v>
      </c>
      <c r="D664" s="1" t="s">
        <v>1033</v>
      </c>
      <c r="E664" s="2">
        <v>5000</v>
      </c>
    </row>
    <row r="665" spans="1:5" x14ac:dyDescent="0.3">
      <c r="A665" s="1">
        <v>664</v>
      </c>
      <c r="B665" s="1" t="s">
        <v>589</v>
      </c>
      <c r="C665" s="1" t="s">
        <v>1034</v>
      </c>
      <c r="D665" s="1" t="s">
        <v>1035</v>
      </c>
      <c r="E665" s="2">
        <v>6000</v>
      </c>
    </row>
    <row r="666" spans="1:5" x14ac:dyDescent="0.3">
      <c r="A666" s="1">
        <v>665</v>
      </c>
      <c r="B666" s="1" t="s">
        <v>589</v>
      </c>
      <c r="C666" s="1" t="s">
        <v>1036</v>
      </c>
      <c r="D666" s="1" t="s">
        <v>1037</v>
      </c>
      <c r="E666" s="2">
        <v>5000</v>
      </c>
    </row>
    <row r="667" spans="1:5" x14ac:dyDescent="0.3">
      <c r="A667" s="1">
        <v>666</v>
      </c>
      <c r="B667" s="1" t="s">
        <v>589</v>
      </c>
      <c r="C667" s="1" t="s">
        <v>1038</v>
      </c>
      <c r="D667" s="1" t="s">
        <v>1039</v>
      </c>
      <c r="E667" s="2">
        <v>2000</v>
      </c>
    </row>
    <row r="668" spans="1:5" x14ac:dyDescent="0.3">
      <c r="A668" s="1">
        <v>667</v>
      </c>
      <c r="B668" s="1" t="s">
        <v>589</v>
      </c>
      <c r="C668" s="1" t="s">
        <v>1065</v>
      </c>
      <c r="D668" s="1" t="s">
        <v>1066</v>
      </c>
      <c r="E668" s="2">
        <v>4000</v>
      </c>
    </row>
    <row r="669" spans="1:5" x14ac:dyDescent="0.3">
      <c r="A669" s="1">
        <v>668</v>
      </c>
      <c r="B669" s="1" t="s">
        <v>589</v>
      </c>
      <c r="C669" s="1" t="s">
        <v>1067</v>
      </c>
      <c r="D669" s="1" t="s">
        <v>1068</v>
      </c>
      <c r="E669" s="2">
        <v>6500</v>
      </c>
    </row>
    <row r="670" spans="1:5" x14ac:dyDescent="0.3">
      <c r="A670" s="1">
        <v>669</v>
      </c>
      <c r="B670" s="1" t="s">
        <v>589</v>
      </c>
      <c r="C670" s="1" t="s">
        <v>1069</v>
      </c>
      <c r="D670" s="1" t="s">
        <v>1070</v>
      </c>
      <c r="E670" s="2">
        <v>8000</v>
      </c>
    </row>
    <row r="671" spans="1:5" x14ac:dyDescent="0.3">
      <c r="A671" s="1">
        <v>670</v>
      </c>
      <c r="B671" s="1" t="s">
        <v>594</v>
      </c>
      <c r="C671" s="1" t="s">
        <v>1028</v>
      </c>
      <c r="D671" s="1" t="s">
        <v>1029</v>
      </c>
      <c r="E671" s="2">
        <v>4000</v>
      </c>
    </row>
    <row r="672" spans="1:5" x14ac:dyDescent="0.3">
      <c r="A672" s="1">
        <v>671</v>
      </c>
      <c r="B672" s="1" t="s">
        <v>594</v>
      </c>
      <c r="C672" s="1" t="s">
        <v>1030</v>
      </c>
      <c r="D672" s="1" t="s">
        <v>1031</v>
      </c>
      <c r="E672" s="2">
        <v>5000</v>
      </c>
    </row>
    <row r="673" spans="1:5" x14ac:dyDescent="0.3">
      <c r="A673" s="1">
        <v>672</v>
      </c>
      <c r="B673" s="1" t="s">
        <v>594</v>
      </c>
      <c r="C673" s="1" t="s">
        <v>1032</v>
      </c>
      <c r="D673" s="1" t="s">
        <v>1033</v>
      </c>
      <c r="E673" s="2">
        <v>5000</v>
      </c>
    </row>
    <row r="674" spans="1:5" x14ac:dyDescent="0.3">
      <c r="A674" s="1">
        <v>673</v>
      </c>
      <c r="B674" s="1" t="s">
        <v>594</v>
      </c>
      <c r="C674" s="1" t="s">
        <v>1034</v>
      </c>
      <c r="D674" s="1" t="s">
        <v>1035</v>
      </c>
      <c r="E674" s="2">
        <v>6000</v>
      </c>
    </row>
    <row r="675" spans="1:5" x14ac:dyDescent="0.3">
      <c r="A675" s="1">
        <v>674</v>
      </c>
      <c r="B675" s="1" t="s">
        <v>594</v>
      </c>
      <c r="C675" s="1" t="s">
        <v>1036</v>
      </c>
      <c r="D675" s="1" t="s">
        <v>1037</v>
      </c>
      <c r="E675" s="2">
        <v>5000</v>
      </c>
    </row>
    <row r="676" spans="1:5" x14ac:dyDescent="0.3">
      <c r="A676" s="1">
        <v>675</v>
      </c>
      <c r="B676" s="1" t="s">
        <v>594</v>
      </c>
      <c r="C676" s="1" t="s">
        <v>1038</v>
      </c>
      <c r="D676" s="1" t="s">
        <v>1039</v>
      </c>
      <c r="E676" s="2">
        <v>2000</v>
      </c>
    </row>
    <row r="677" spans="1:5" x14ac:dyDescent="0.3">
      <c r="A677" s="1">
        <v>676</v>
      </c>
      <c r="B677" s="1" t="s">
        <v>594</v>
      </c>
      <c r="C677" s="1" t="s">
        <v>1065</v>
      </c>
      <c r="D677" s="1" t="s">
        <v>1066</v>
      </c>
      <c r="E677" s="2">
        <v>4000</v>
      </c>
    </row>
    <row r="678" spans="1:5" x14ac:dyDescent="0.3">
      <c r="A678" s="1">
        <v>677</v>
      </c>
      <c r="B678" s="1" t="s">
        <v>594</v>
      </c>
      <c r="C678" s="1" t="s">
        <v>1067</v>
      </c>
      <c r="D678" s="1" t="s">
        <v>1068</v>
      </c>
      <c r="E678" s="2">
        <v>6500</v>
      </c>
    </row>
    <row r="679" spans="1:5" x14ac:dyDescent="0.3">
      <c r="A679" s="1">
        <v>678</v>
      </c>
      <c r="B679" s="1" t="s">
        <v>594</v>
      </c>
      <c r="C679" s="1" t="s">
        <v>1069</v>
      </c>
      <c r="D679" s="1" t="s">
        <v>1070</v>
      </c>
      <c r="E679" s="2">
        <v>8000</v>
      </c>
    </row>
    <row r="680" spans="1:5" x14ac:dyDescent="0.3">
      <c r="A680" s="1">
        <v>679</v>
      </c>
      <c r="B680" s="1" t="s">
        <v>599</v>
      </c>
      <c r="C680" s="1" t="s">
        <v>946</v>
      </c>
      <c r="D680" s="1" t="s">
        <v>1098</v>
      </c>
      <c r="E680" s="2">
        <v>15000</v>
      </c>
    </row>
    <row r="681" spans="1:5" x14ac:dyDescent="0.3">
      <c r="A681" s="1">
        <v>680</v>
      </c>
      <c r="B681" s="1" t="s">
        <v>599</v>
      </c>
      <c r="C681" s="1" t="s">
        <v>948</v>
      </c>
      <c r="D681" s="1" t="s">
        <v>949</v>
      </c>
      <c r="E681" s="2">
        <v>5000</v>
      </c>
    </row>
    <row r="682" spans="1:5" x14ac:dyDescent="0.3">
      <c r="A682" s="1">
        <v>681</v>
      </c>
      <c r="B682" s="1" t="s">
        <v>599</v>
      </c>
      <c r="C682" s="1" t="s">
        <v>950</v>
      </c>
      <c r="D682" s="1" t="s">
        <v>1074</v>
      </c>
      <c r="E682" s="2">
        <v>4000</v>
      </c>
    </row>
    <row r="683" spans="1:5" x14ac:dyDescent="0.3">
      <c r="A683" s="1">
        <v>682</v>
      </c>
      <c r="B683" s="1" t="s">
        <v>599</v>
      </c>
      <c r="C683" s="1" t="s">
        <v>952</v>
      </c>
      <c r="D683" s="1" t="s">
        <v>953</v>
      </c>
      <c r="E683" s="2">
        <v>17000</v>
      </c>
    </row>
    <row r="684" spans="1:5" x14ac:dyDescent="0.3">
      <c r="A684" s="1">
        <v>683</v>
      </c>
      <c r="B684" s="1" t="s">
        <v>599</v>
      </c>
      <c r="C684" s="1" t="s">
        <v>954</v>
      </c>
      <c r="D684" s="1" t="s">
        <v>955</v>
      </c>
      <c r="E684" s="2">
        <v>11000</v>
      </c>
    </row>
    <row r="685" spans="1:5" x14ac:dyDescent="0.3">
      <c r="A685" s="1">
        <v>684</v>
      </c>
      <c r="B685" s="1" t="s">
        <v>599</v>
      </c>
      <c r="C685" s="1" t="s">
        <v>956</v>
      </c>
      <c r="D685" s="1" t="s">
        <v>1075</v>
      </c>
      <c r="E685" s="2">
        <v>6000</v>
      </c>
    </row>
    <row r="686" spans="1:5" x14ac:dyDescent="0.3">
      <c r="A686" s="1">
        <v>685</v>
      </c>
      <c r="B686" s="1" t="s">
        <v>599</v>
      </c>
      <c r="C686" s="1" t="s">
        <v>958</v>
      </c>
      <c r="D686" s="1" t="s">
        <v>959</v>
      </c>
      <c r="E686" s="2">
        <v>4500</v>
      </c>
    </row>
    <row r="687" spans="1:5" x14ac:dyDescent="0.3">
      <c r="A687" s="1">
        <v>686</v>
      </c>
      <c r="B687" s="1" t="s">
        <v>599</v>
      </c>
      <c r="C687" s="1" t="s">
        <v>960</v>
      </c>
      <c r="D687" s="1" t="s">
        <v>961</v>
      </c>
      <c r="E687" s="2">
        <v>8500</v>
      </c>
    </row>
    <row r="688" spans="1:5" x14ac:dyDescent="0.3">
      <c r="A688" s="1">
        <v>687</v>
      </c>
      <c r="B688" s="1" t="s">
        <v>599</v>
      </c>
      <c r="C688" s="1" t="s">
        <v>962</v>
      </c>
      <c r="D688" s="1" t="s">
        <v>963</v>
      </c>
      <c r="E688" s="2">
        <v>2000</v>
      </c>
    </row>
    <row r="689" spans="1:5" x14ac:dyDescent="0.3">
      <c r="A689" s="1">
        <v>688</v>
      </c>
      <c r="B689" s="1" t="s">
        <v>604</v>
      </c>
      <c r="C689" s="1" t="s">
        <v>993</v>
      </c>
      <c r="D689" s="1" t="s">
        <v>994</v>
      </c>
      <c r="E689" s="2">
        <v>5000</v>
      </c>
    </row>
    <row r="690" spans="1:5" x14ac:dyDescent="0.3">
      <c r="A690" s="1">
        <v>689</v>
      </c>
      <c r="B690" s="1" t="s">
        <v>604</v>
      </c>
      <c r="C690" s="1" t="s">
        <v>995</v>
      </c>
      <c r="D690" s="1" t="s">
        <v>996</v>
      </c>
      <c r="E690" s="2">
        <v>6000</v>
      </c>
    </row>
    <row r="691" spans="1:5" x14ac:dyDescent="0.3">
      <c r="A691" s="1">
        <v>690</v>
      </c>
      <c r="B691" s="1" t="s">
        <v>604</v>
      </c>
      <c r="C691" s="1" t="s">
        <v>997</v>
      </c>
      <c r="D691" s="1" t="s">
        <v>998</v>
      </c>
      <c r="E691" s="2">
        <v>5500</v>
      </c>
    </row>
    <row r="692" spans="1:5" x14ac:dyDescent="0.3">
      <c r="A692" s="1">
        <v>691</v>
      </c>
      <c r="B692" s="1" t="s">
        <v>604</v>
      </c>
      <c r="C692" s="1" t="s">
        <v>999</v>
      </c>
      <c r="D692" s="1" t="s">
        <v>1000</v>
      </c>
      <c r="E692" s="2">
        <v>6000</v>
      </c>
    </row>
    <row r="693" spans="1:5" x14ac:dyDescent="0.3">
      <c r="A693" s="1">
        <v>692</v>
      </c>
      <c r="B693" s="1" t="s">
        <v>604</v>
      </c>
      <c r="C693" s="1" t="s">
        <v>1001</v>
      </c>
      <c r="D693" s="1" t="s">
        <v>1002</v>
      </c>
      <c r="E693" s="2">
        <v>4500</v>
      </c>
    </row>
    <row r="694" spans="1:5" x14ac:dyDescent="0.3">
      <c r="A694" s="1">
        <v>693</v>
      </c>
      <c r="B694" s="1" t="s">
        <v>604</v>
      </c>
      <c r="C694" s="1" t="s">
        <v>1003</v>
      </c>
      <c r="D694" s="1" t="s">
        <v>1004</v>
      </c>
      <c r="E694" s="2">
        <v>4000</v>
      </c>
    </row>
    <row r="695" spans="1:5" x14ac:dyDescent="0.3">
      <c r="A695" s="1">
        <v>694</v>
      </c>
      <c r="B695" s="1" t="s">
        <v>604</v>
      </c>
      <c r="C695" s="1" t="s">
        <v>1005</v>
      </c>
      <c r="D695" s="1" t="s">
        <v>1006</v>
      </c>
      <c r="E695" s="2">
        <v>3000</v>
      </c>
    </row>
    <row r="696" spans="1:5" x14ac:dyDescent="0.3">
      <c r="A696" s="1">
        <v>695</v>
      </c>
      <c r="B696" s="1" t="s">
        <v>604</v>
      </c>
      <c r="C696" s="1" t="s">
        <v>1007</v>
      </c>
      <c r="D696" s="1" t="s">
        <v>1008</v>
      </c>
      <c r="E696" s="2">
        <v>2500</v>
      </c>
    </row>
    <row r="697" spans="1:5" x14ac:dyDescent="0.3">
      <c r="A697" s="1">
        <v>696</v>
      </c>
      <c r="B697" s="1" t="s">
        <v>604</v>
      </c>
      <c r="C697" s="1" t="s">
        <v>1009</v>
      </c>
      <c r="D697" s="1" t="s">
        <v>1010</v>
      </c>
      <c r="E697" s="2">
        <v>8000</v>
      </c>
    </row>
    <row r="698" spans="1:5" x14ac:dyDescent="0.3">
      <c r="A698" s="1">
        <v>697</v>
      </c>
      <c r="B698" s="1" t="s">
        <v>604</v>
      </c>
      <c r="C698" s="1" t="s">
        <v>1057</v>
      </c>
      <c r="D698" s="1" t="s">
        <v>1058</v>
      </c>
      <c r="E698" s="2">
        <v>9000</v>
      </c>
    </row>
    <row r="699" spans="1:5" x14ac:dyDescent="0.3">
      <c r="A699" s="1">
        <v>698</v>
      </c>
      <c r="B699" s="1" t="s">
        <v>604</v>
      </c>
      <c r="C699" s="1" t="s">
        <v>1011</v>
      </c>
      <c r="D699" s="1" t="s">
        <v>1012</v>
      </c>
      <c r="E699" s="2">
        <v>8000</v>
      </c>
    </row>
    <row r="700" spans="1:5" x14ac:dyDescent="0.3">
      <c r="A700" s="1">
        <v>699</v>
      </c>
      <c r="B700" s="1" t="s">
        <v>604</v>
      </c>
      <c r="C700" s="1" t="s">
        <v>1013</v>
      </c>
      <c r="D700" s="1" t="s">
        <v>1014</v>
      </c>
      <c r="E700" s="2">
        <v>6000</v>
      </c>
    </row>
    <row r="701" spans="1:5" x14ac:dyDescent="0.3">
      <c r="A701" s="1">
        <v>700</v>
      </c>
      <c r="B701" s="1" t="s">
        <v>609</v>
      </c>
      <c r="C701" s="1" t="s">
        <v>1104</v>
      </c>
      <c r="D701" s="1" t="s">
        <v>1105</v>
      </c>
      <c r="E701" s="2">
        <v>1500</v>
      </c>
    </row>
    <row r="702" spans="1:5" x14ac:dyDescent="0.3">
      <c r="A702" s="1">
        <v>701</v>
      </c>
      <c r="B702" s="1" t="s">
        <v>609</v>
      </c>
      <c r="C702" s="1" t="s">
        <v>1106</v>
      </c>
      <c r="D702" s="1" t="s">
        <v>1107</v>
      </c>
      <c r="E702" s="2">
        <v>2000</v>
      </c>
    </row>
    <row r="703" spans="1:5" x14ac:dyDescent="0.3">
      <c r="A703" s="1">
        <v>702</v>
      </c>
      <c r="B703" s="1" t="s">
        <v>609</v>
      </c>
      <c r="C703" s="1" t="s">
        <v>1108</v>
      </c>
      <c r="D703" s="1" t="s">
        <v>1109</v>
      </c>
      <c r="E703" s="2">
        <v>1500</v>
      </c>
    </row>
    <row r="704" spans="1:5" x14ac:dyDescent="0.3">
      <c r="A704" s="1">
        <v>703</v>
      </c>
      <c r="B704" s="1" t="s">
        <v>609</v>
      </c>
      <c r="C704" s="1" t="s">
        <v>1110</v>
      </c>
      <c r="D704" s="1" t="s">
        <v>1111</v>
      </c>
      <c r="E704" s="2">
        <v>2000</v>
      </c>
    </row>
    <row r="705" spans="1:5" x14ac:dyDescent="0.3">
      <c r="A705" s="1">
        <v>704</v>
      </c>
      <c r="B705" s="1" t="s">
        <v>609</v>
      </c>
      <c r="C705" s="1" t="s">
        <v>1112</v>
      </c>
      <c r="D705" s="1" t="s">
        <v>1113</v>
      </c>
      <c r="E705" s="2">
        <v>2000</v>
      </c>
    </row>
    <row r="706" spans="1:5" x14ac:dyDescent="0.3">
      <c r="A706" s="1">
        <v>705</v>
      </c>
      <c r="B706" s="1" t="s">
        <v>609</v>
      </c>
      <c r="C706" s="1" t="s">
        <v>1114</v>
      </c>
      <c r="D706" s="1" t="s">
        <v>1115</v>
      </c>
      <c r="E706" s="2">
        <v>2500</v>
      </c>
    </row>
    <row r="707" spans="1:5" x14ac:dyDescent="0.3">
      <c r="A707" s="1">
        <v>706</v>
      </c>
      <c r="B707" s="1" t="s">
        <v>609</v>
      </c>
      <c r="C707" s="1" t="s">
        <v>1116</v>
      </c>
      <c r="D707" s="1" t="s">
        <v>1117</v>
      </c>
      <c r="E707" s="2">
        <v>2000</v>
      </c>
    </row>
    <row r="708" spans="1:5" x14ac:dyDescent="0.3">
      <c r="A708" s="1">
        <v>707</v>
      </c>
      <c r="B708" s="1" t="s">
        <v>609</v>
      </c>
      <c r="C708" s="1" t="s">
        <v>1118</v>
      </c>
      <c r="D708" s="1" t="s">
        <v>1119</v>
      </c>
      <c r="E708" s="2">
        <v>2500</v>
      </c>
    </row>
    <row r="709" spans="1:5" x14ac:dyDescent="0.3">
      <c r="A709" s="1">
        <v>708</v>
      </c>
      <c r="B709" s="1" t="s">
        <v>609</v>
      </c>
      <c r="C709" s="1" t="s">
        <v>1120</v>
      </c>
      <c r="D709" s="1" t="s">
        <v>1121</v>
      </c>
      <c r="E709" s="2">
        <v>3000</v>
      </c>
    </row>
    <row r="710" spans="1:5" x14ac:dyDescent="0.3">
      <c r="A710" s="1">
        <v>709</v>
      </c>
      <c r="B710" s="1" t="s">
        <v>614</v>
      </c>
      <c r="C710" s="1" t="s">
        <v>946</v>
      </c>
      <c r="D710" s="1" t="s">
        <v>1098</v>
      </c>
      <c r="E710" s="2">
        <v>15000</v>
      </c>
    </row>
    <row r="711" spans="1:5" x14ac:dyDescent="0.3">
      <c r="A711" s="1">
        <v>710</v>
      </c>
      <c r="B711" s="1" t="s">
        <v>614</v>
      </c>
      <c r="C711" s="1" t="s">
        <v>948</v>
      </c>
      <c r="D711" s="1" t="s">
        <v>949</v>
      </c>
      <c r="E711" s="2">
        <v>5000</v>
      </c>
    </row>
    <row r="712" spans="1:5" x14ac:dyDescent="0.3">
      <c r="A712" s="1">
        <v>711</v>
      </c>
      <c r="B712" s="1" t="s">
        <v>614</v>
      </c>
      <c r="C712" s="1" t="s">
        <v>950</v>
      </c>
      <c r="D712" s="1" t="s">
        <v>1074</v>
      </c>
      <c r="E712" s="2">
        <v>4000</v>
      </c>
    </row>
    <row r="713" spans="1:5" x14ac:dyDescent="0.3">
      <c r="A713" s="1">
        <v>712</v>
      </c>
      <c r="B713" s="1" t="s">
        <v>614</v>
      </c>
      <c r="C713" s="1" t="s">
        <v>952</v>
      </c>
      <c r="D713" s="1" t="s">
        <v>953</v>
      </c>
      <c r="E713" s="2">
        <v>17000</v>
      </c>
    </row>
    <row r="714" spans="1:5" x14ac:dyDescent="0.3">
      <c r="A714" s="1">
        <v>713</v>
      </c>
      <c r="B714" s="1" t="s">
        <v>614</v>
      </c>
      <c r="C714" s="1" t="s">
        <v>954</v>
      </c>
      <c r="D714" s="1" t="s">
        <v>955</v>
      </c>
      <c r="E714" s="2">
        <v>11000</v>
      </c>
    </row>
    <row r="715" spans="1:5" x14ac:dyDescent="0.3">
      <c r="A715" s="1">
        <v>714</v>
      </c>
      <c r="B715" s="1" t="s">
        <v>614</v>
      </c>
      <c r="C715" s="1" t="s">
        <v>956</v>
      </c>
      <c r="D715" s="1" t="s">
        <v>1075</v>
      </c>
      <c r="E715" s="2">
        <v>6000</v>
      </c>
    </row>
    <row r="716" spans="1:5" x14ac:dyDescent="0.3">
      <c r="A716" s="1">
        <v>715</v>
      </c>
      <c r="B716" s="1" t="s">
        <v>614</v>
      </c>
      <c r="C716" s="1" t="s">
        <v>958</v>
      </c>
      <c r="D716" s="1" t="s">
        <v>959</v>
      </c>
      <c r="E716" s="2">
        <v>4500</v>
      </c>
    </row>
    <row r="717" spans="1:5" x14ac:dyDescent="0.3">
      <c r="A717" s="1">
        <v>716</v>
      </c>
      <c r="B717" s="1" t="s">
        <v>614</v>
      </c>
      <c r="C717" s="1" t="s">
        <v>960</v>
      </c>
      <c r="D717" s="1" t="s">
        <v>961</v>
      </c>
      <c r="E717" s="2">
        <v>8500</v>
      </c>
    </row>
    <row r="718" spans="1:5" x14ac:dyDescent="0.3">
      <c r="A718" s="1">
        <v>717</v>
      </c>
      <c r="B718" s="1" t="s">
        <v>614</v>
      </c>
      <c r="C718" s="1" t="s">
        <v>962</v>
      </c>
      <c r="D718" s="1" t="s">
        <v>963</v>
      </c>
      <c r="E718" s="2">
        <v>2000</v>
      </c>
    </row>
    <row r="719" spans="1:5" x14ac:dyDescent="0.3">
      <c r="A719" s="1">
        <v>718</v>
      </c>
      <c r="B719" s="1" t="s">
        <v>619</v>
      </c>
      <c r="C719" s="1" t="s">
        <v>946</v>
      </c>
      <c r="D719" s="1" t="s">
        <v>1098</v>
      </c>
      <c r="E719" s="2">
        <v>15000</v>
      </c>
    </row>
    <row r="720" spans="1:5" x14ac:dyDescent="0.3">
      <c r="A720" s="1">
        <v>719</v>
      </c>
      <c r="B720" s="1" t="s">
        <v>619</v>
      </c>
      <c r="C720" s="1" t="s">
        <v>948</v>
      </c>
      <c r="D720" s="1" t="s">
        <v>949</v>
      </c>
      <c r="E720" s="2">
        <v>5000</v>
      </c>
    </row>
    <row r="721" spans="1:5" x14ac:dyDescent="0.3">
      <c r="A721" s="1">
        <v>720</v>
      </c>
      <c r="B721" s="1" t="s">
        <v>619</v>
      </c>
      <c r="C721" s="1" t="s">
        <v>950</v>
      </c>
      <c r="D721" s="1" t="s">
        <v>1074</v>
      </c>
      <c r="E721" s="2">
        <v>4000</v>
      </c>
    </row>
    <row r="722" spans="1:5" x14ac:dyDescent="0.3">
      <c r="A722" s="1">
        <v>721</v>
      </c>
      <c r="B722" s="1" t="s">
        <v>619</v>
      </c>
      <c r="C722" s="1" t="s">
        <v>952</v>
      </c>
      <c r="D722" s="1" t="s">
        <v>953</v>
      </c>
      <c r="E722" s="2">
        <v>17000</v>
      </c>
    </row>
    <row r="723" spans="1:5" x14ac:dyDescent="0.3">
      <c r="A723" s="1">
        <v>722</v>
      </c>
      <c r="B723" s="1" t="s">
        <v>619</v>
      </c>
      <c r="C723" s="1" t="s">
        <v>954</v>
      </c>
      <c r="D723" s="1" t="s">
        <v>955</v>
      </c>
      <c r="E723" s="2">
        <v>11000</v>
      </c>
    </row>
    <row r="724" spans="1:5" x14ac:dyDescent="0.3">
      <c r="A724" s="1">
        <v>723</v>
      </c>
      <c r="B724" s="1" t="s">
        <v>619</v>
      </c>
      <c r="C724" s="1" t="s">
        <v>956</v>
      </c>
      <c r="D724" s="1" t="s">
        <v>1075</v>
      </c>
      <c r="E724" s="2">
        <v>6000</v>
      </c>
    </row>
    <row r="725" spans="1:5" x14ac:dyDescent="0.3">
      <c r="A725" s="1">
        <v>724</v>
      </c>
      <c r="B725" s="1" t="s">
        <v>619</v>
      </c>
      <c r="C725" s="1" t="s">
        <v>958</v>
      </c>
      <c r="D725" s="1" t="s">
        <v>959</v>
      </c>
      <c r="E725" s="2">
        <v>4500</v>
      </c>
    </row>
    <row r="726" spans="1:5" x14ac:dyDescent="0.3">
      <c r="A726" s="1">
        <v>725</v>
      </c>
      <c r="B726" s="1" t="s">
        <v>619</v>
      </c>
      <c r="C726" s="1" t="s">
        <v>960</v>
      </c>
      <c r="D726" s="1" t="s">
        <v>961</v>
      </c>
      <c r="E726" s="2">
        <v>8500</v>
      </c>
    </row>
    <row r="727" spans="1:5" x14ac:dyDescent="0.3">
      <c r="A727" s="1">
        <v>726</v>
      </c>
      <c r="B727" s="1" t="s">
        <v>619</v>
      </c>
      <c r="C727" s="1" t="s">
        <v>962</v>
      </c>
      <c r="D727" s="1" t="s">
        <v>963</v>
      </c>
      <c r="E727" s="2">
        <v>2000</v>
      </c>
    </row>
    <row r="728" spans="1:5" x14ac:dyDescent="0.3">
      <c r="A728" s="1">
        <v>727</v>
      </c>
      <c r="B728" s="1" t="s">
        <v>624</v>
      </c>
      <c r="C728" s="1" t="s">
        <v>946</v>
      </c>
      <c r="D728" s="1" t="s">
        <v>1098</v>
      </c>
      <c r="E728" s="2">
        <v>15000</v>
      </c>
    </row>
    <row r="729" spans="1:5" x14ac:dyDescent="0.3">
      <c r="A729" s="1">
        <v>728</v>
      </c>
      <c r="B729" s="1" t="s">
        <v>624</v>
      </c>
      <c r="C729" s="1" t="s">
        <v>948</v>
      </c>
      <c r="D729" s="1" t="s">
        <v>949</v>
      </c>
      <c r="E729" s="2">
        <v>5000</v>
      </c>
    </row>
    <row r="730" spans="1:5" x14ac:dyDescent="0.3">
      <c r="A730" s="1">
        <v>729</v>
      </c>
      <c r="B730" s="1" t="s">
        <v>624</v>
      </c>
      <c r="C730" s="1" t="s">
        <v>950</v>
      </c>
      <c r="D730" s="1" t="s">
        <v>1074</v>
      </c>
      <c r="E730" s="2">
        <v>4000</v>
      </c>
    </row>
    <row r="731" spans="1:5" x14ac:dyDescent="0.3">
      <c r="A731" s="1">
        <v>730</v>
      </c>
      <c r="B731" s="1" t="s">
        <v>624</v>
      </c>
      <c r="C731" s="1" t="s">
        <v>952</v>
      </c>
      <c r="D731" s="1" t="s">
        <v>953</v>
      </c>
      <c r="E731" s="2">
        <v>17000</v>
      </c>
    </row>
    <row r="732" spans="1:5" x14ac:dyDescent="0.3">
      <c r="A732" s="1">
        <v>731</v>
      </c>
      <c r="B732" s="1" t="s">
        <v>624</v>
      </c>
      <c r="C732" s="1" t="s">
        <v>954</v>
      </c>
      <c r="D732" s="1" t="s">
        <v>955</v>
      </c>
      <c r="E732" s="2">
        <v>11000</v>
      </c>
    </row>
    <row r="733" spans="1:5" x14ac:dyDescent="0.3">
      <c r="A733" s="1">
        <v>732</v>
      </c>
      <c r="B733" s="1" t="s">
        <v>624</v>
      </c>
      <c r="C733" s="1" t="s">
        <v>956</v>
      </c>
      <c r="D733" s="1" t="s">
        <v>1075</v>
      </c>
      <c r="E733" s="2">
        <v>6000</v>
      </c>
    </row>
    <row r="734" spans="1:5" x14ac:dyDescent="0.3">
      <c r="A734" s="1">
        <v>733</v>
      </c>
      <c r="B734" s="1" t="s">
        <v>624</v>
      </c>
      <c r="C734" s="1" t="s">
        <v>958</v>
      </c>
      <c r="D734" s="1" t="s">
        <v>959</v>
      </c>
      <c r="E734" s="2">
        <v>4500</v>
      </c>
    </row>
    <row r="735" spans="1:5" x14ac:dyDescent="0.3">
      <c r="A735" s="1">
        <v>734</v>
      </c>
      <c r="B735" s="1" t="s">
        <v>624</v>
      </c>
      <c r="C735" s="1" t="s">
        <v>960</v>
      </c>
      <c r="D735" s="1" t="s">
        <v>961</v>
      </c>
      <c r="E735" s="2">
        <v>8500</v>
      </c>
    </row>
    <row r="736" spans="1:5" x14ac:dyDescent="0.3">
      <c r="A736" s="1">
        <v>735</v>
      </c>
      <c r="B736" s="1" t="s">
        <v>624</v>
      </c>
      <c r="C736" s="1" t="s">
        <v>962</v>
      </c>
      <c r="D736" s="1" t="s">
        <v>963</v>
      </c>
      <c r="E736" s="2">
        <v>2000</v>
      </c>
    </row>
    <row r="737" spans="1:5" x14ac:dyDescent="0.3">
      <c r="A737" s="1">
        <v>736</v>
      </c>
      <c r="B737" s="1" t="s">
        <v>629</v>
      </c>
      <c r="C737" s="1" t="s">
        <v>983</v>
      </c>
      <c r="D737" s="1" t="s">
        <v>984</v>
      </c>
      <c r="E737" s="2">
        <v>10000</v>
      </c>
    </row>
    <row r="738" spans="1:5" x14ac:dyDescent="0.3">
      <c r="A738" s="1">
        <v>737</v>
      </c>
      <c r="B738" s="1" t="s">
        <v>629</v>
      </c>
      <c r="C738" s="1" t="s">
        <v>1099</v>
      </c>
      <c r="D738" s="1" t="s">
        <v>1100</v>
      </c>
      <c r="E738" s="2">
        <v>11000</v>
      </c>
    </row>
    <row r="739" spans="1:5" x14ac:dyDescent="0.3">
      <c r="A739" s="1">
        <v>738</v>
      </c>
      <c r="B739" s="1" t="s">
        <v>629</v>
      </c>
      <c r="C739" s="1" t="s">
        <v>1101</v>
      </c>
      <c r="D739" s="1" t="s">
        <v>1102</v>
      </c>
      <c r="E739" s="2">
        <v>9000</v>
      </c>
    </row>
    <row r="740" spans="1:5" x14ac:dyDescent="0.3">
      <c r="A740" s="1">
        <v>739</v>
      </c>
      <c r="B740" s="1" t="s">
        <v>629</v>
      </c>
      <c r="C740" s="1" t="s">
        <v>985</v>
      </c>
      <c r="D740" s="1" t="s">
        <v>986</v>
      </c>
      <c r="E740" s="2">
        <v>6000</v>
      </c>
    </row>
    <row r="741" spans="1:5" x14ac:dyDescent="0.3">
      <c r="A741" s="1">
        <v>740</v>
      </c>
      <c r="B741" s="1" t="s">
        <v>629</v>
      </c>
      <c r="C741" s="1" t="s">
        <v>987</v>
      </c>
      <c r="D741" s="1" t="s">
        <v>988</v>
      </c>
      <c r="E741" s="2">
        <v>6500</v>
      </c>
    </row>
    <row r="742" spans="1:5" x14ac:dyDescent="0.3">
      <c r="A742" s="1">
        <v>741</v>
      </c>
      <c r="B742" s="1" t="s">
        <v>629</v>
      </c>
      <c r="C742" s="1" t="s">
        <v>989</v>
      </c>
      <c r="D742" s="1" t="s">
        <v>990</v>
      </c>
      <c r="E742" s="2">
        <v>13000</v>
      </c>
    </row>
    <row r="743" spans="1:5" x14ac:dyDescent="0.3">
      <c r="A743" s="1">
        <v>742</v>
      </c>
      <c r="B743" s="1" t="s">
        <v>629</v>
      </c>
      <c r="C743" s="1" t="s">
        <v>991</v>
      </c>
      <c r="D743" s="1" t="s">
        <v>992</v>
      </c>
      <c r="E743" s="2">
        <v>11000</v>
      </c>
    </row>
    <row r="744" spans="1:5" x14ac:dyDescent="0.3">
      <c r="A744" s="1">
        <v>743</v>
      </c>
      <c r="B744" s="1" t="s">
        <v>634</v>
      </c>
      <c r="C744" s="1" t="s">
        <v>993</v>
      </c>
      <c r="D744" s="1" t="s">
        <v>994</v>
      </c>
      <c r="E744" s="2">
        <v>5000</v>
      </c>
    </row>
    <row r="745" spans="1:5" x14ac:dyDescent="0.3">
      <c r="A745" s="1">
        <v>744</v>
      </c>
      <c r="B745" s="1" t="s">
        <v>634</v>
      </c>
      <c r="C745" s="1" t="s">
        <v>995</v>
      </c>
      <c r="D745" s="1" t="s">
        <v>996</v>
      </c>
      <c r="E745" s="2">
        <v>6000</v>
      </c>
    </row>
    <row r="746" spans="1:5" x14ac:dyDescent="0.3">
      <c r="A746" s="1">
        <v>745</v>
      </c>
      <c r="B746" s="1" t="s">
        <v>634</v>
      </c>
      <c r="C746" s="1" t="s">
        <v>997</v>
      </c>
      <c r="D746" s="1" t="s">
        <v>998</v>
      </c>
      <c r="E746" s="2">
        <v>5500</v>
      </c>
    </row>
    <row r="747" spans="1:5" x14ac:dyDescent="0.3">
      <c r="A747" s="1">
        <v>746</v>
      </c>
      <c r="B747" s="1" t="s">
        <v>634</v>
      </c>
      <c r="C747" s="1" t="s">
        <v>999</v>
      </c>
      <c r="D747" s="1" t="s">
        <v>1000</v>
      </c>
      <c r="E747" s="2">
        <v>6000</v>
      </c>
    </row>
    <row r="748" spans="1:5" x14ac:dyDescent="0.3">
      <c r="A748" s="1">
        <v>747</v>
      </c>
      <c r="B748" s="1" t="s">
        <v>634</v>
      </c>
      <c r="C748" s="1" t="s">
        <v>1001</v>
      </c>
      <c r="D748" s="1" t="s">
        <v>1002</v>
      </c>
      <c r="E748" s="2">
        <v>4500</v>
      </c>
    </row>
    <row r="749" spans="1:5" x14ac:dyDescent="0.3">
      <c r="A749" s="1">
        <v>748</v>
      </c>
      <c r="B749" s="1" t="s">
        <v>634</v>
      </c>
      <c r="C749" s="1" t="s">
        <v>1003</v>
      </c>
      <c r="D749" s="1" t="s">
        <v>1004</v>
      </c>
      <c r="E749" s="2">
        <v>4000</v>
      </c>
    </row>
    <row r="750" spans="1:5" x14ac:dyDescent="0.3">
      <c r="A750" s="1">
        <v>749</v>
      </c>
      <c r="B750" s="1" t="s">
        <v>634</v>
      </c>
      <c r="C750" s="1" t="s">
        <v>1005</v>
      </c>
      <c r="D750" s="1" t="s">
        <v>1006</v>
      </c>
      <c r="E750" s="2">
        <v>3000</v>
      </c>
    </row>
    <row r="751" spans="1:5" x14ac:dyDescent="0.3">
      <c r="A751" s="1">
        <v>750</v>
      </c>
      <c r="B751" s="1" t="s">
        <v>634</v>
      </c>
      <c r="C751" s="1" t="s">
        <v>1007</v>
      </c>
      <c r="D751" s="1" t="s">
        <v>1008</v>
      </c>
      <c r="E751" s="2">
        <v>2500</v>
      </c>
    </row>
    <row r="752" spans="1:5" x14ac:dyDescent="0.3">
      <c r="A752" s="1">
        <v>751</v>
      </c>
      <c r="B752" s="1" t="s">
        <v>634</v>
      </c>
      <c r="C752" s="1" t="s">
        <v>1009</v>
      </c>
      <c r="D752" s="1" t="s">
        <v>1010</v>
      </c>
      <c r="E752" s="2">
        <v>8000</v>
      </c>
    </row>
    <row r="753" spans="1:5" x14ac:dyDescent="0.3">
      <c r="A753" s="1">
        <v>752</v>
      </c>
      <c r="B753" s="1" t="s">
        <v>634</v>
      </c>
      <c r="C753" s="1" t="s">
        <v>1057</v>
      </c>
      <c r="D753" s="1" t="s">
        <v>1058</v>
      </c>
      <c r="E753" s="2">
        <v>9000</v>
      </c>
    </row>
    <row r="754" spans="1:5" x14ac:dyDescent="0.3">
      <c r="A754" s="1">
        <v>753</v>
      </c>
      <c r="B754" s="1" t="s">
        <v>634</v>
      </c>
      <c r="C754" s="1" t="s">
        <v>1011</v>
      </c>
      <c r="D754" s="1" t="s">
        <v>1012</v>
      </c>
      <c r="E754" s="2">
        <v>8000</v>
      </c>
    </row>
    <row r="755" spans="1:5" x14ac:dyDescent="0.3">
      <c r="A755" s="1">
        <v>754</v>
      </c>
      <c r="B755" s="1" t="s">
        <v>634</v>
      </c>
      <c r="C755" s="1" t="s">
        <v>1013</v>
      </c>
      <c r="D755" s="1" t="s">
        <v>1014</v>
      </c>
      <c r="E755" s="2">
        <v>6000</v>
      </c>
    </row>
    <row r="756" spans="1:5" x14ac:dyDescent="0.3">
      <c r="A756" s="1">
        <v>755</v>
      </c>
      <c r="B756" s="1" t="s">
        <v>639</v>
      </c>
      <c r="C756" s="1" t="s">
        <v>946</v>
      </c>
      <c r="D756" s="1" t="s">
        <v>1098</v>
      </c>
      <c r="E756" s="2">
        <v>15000</v>
      </c>
    </row>
    <row r="757" spans="1:5" x14ac:dyDescent="0.3">
      <c r="A757" s="1">
        <v>756</v>
      </c>
      <c r="B757" s="1" t="s">
        <v>639</v>
      </c>
      <c r="C757" s="1" t="s">
        <v>948</v>
      </c>
      <c r="D757" s="1" t="s">
        <v>949</v>
      </c>
      <c r="E757" s="2">
        <v>5000</v>
      </c>
    </row>
    <row r="758" spans="1:5" x14ac:dyDescent="0.3">
      <c r="A758" s="1">
        <v>757</v>
      </c>
      <c r="B758" s="1" t="s">
        <v>639</v>
      </c>
      <c r="C758" s="1" t="s">
        <v>950</v>
      </c>
      <c r="D758" s="1" t="s">
        <v>1074</v>
      </c>
      <c r="E758" s="2">
        <v>4000</v>
      </c>
    </row>
    <row r="759" spans="1:5" x14ac:dyDescent="0.3">
      <c r="A759" s="1">
        <v>758</v>
      </c>
      <c r="B759" s="1" t="s">
        <v>639</v>
      </c>
      <c r="C759" s="1" t="s">
        <v>952</v>
      </c>
      <c r="D759" s="1" t="s">
        <v>953</v>
      </c>
      <c r="E759" s="2">
        <v>17000</v>
      </c>
    </row>
    <row r="760" spans="1:5" x14ac:dyDescent="0.3">
      <c r="A760" s="1">
        <v>759</v>
      </c>
      <c r="B760" s="1" t="s">
        <v>639</v>
      </c>
      <c r="C760" s="1" t="s">
        <v>954</v>
      </c>
      <c r="D760" s="1" t="s">
        <v>955</v>
      </c>
      <c r="E760" s="2">
        <v>11000</v>
      </c>
    </row>
    <row r="761" spans="1:5" x14ac:dyDescent="0.3">
      <c r="A761" s="1">
        <v>760</v>
      </c>
      <c r="B761" s="1" t="s">
        <v>639</v>
      </c>
      <c r="C761" s="1" t="s">
        <v>956</v>
      </c>
      <c r="D761" s="1" t="s">
        <v>1075</v>
      </c>
      <c r="E761" s="2">
        <v>6000</v>
      </c>
    </row>
    <row r="762" spans="1:5" x14ac:dyDescent="0.3">
      <c r="A762" s="1">
        <v>761</v>
      </c>
      <c r="B762" s="1" t="s">
        <v>639</v>
      </c>
      <c r="C762" s="1" t="s">
        <v>958</v>
      </c>
      <c r="D762" s="1" t="s">
        <v>959</v>
      </c>
      <c r="E762" s="2">
        <v>4500</v>
      </c>
    </row>
    <row r="763" spans="1:5" x14ac:dyDescent="0.3">
      <c r="A763" s="1">
        <v>762</v>
      </c>
      <c r="B763" s="1" t="s">
        <v>639</v>
      </c>
      <c r="C763" s="1" t="s">
        <v>960</v>
      </c>
      <c r="D763" s="1" t="s">
        <v>961</v>
      </c>
      <c r="E763" s="2">
        <v>8500</v>
      </c>
    </row>
    <row r="764" spans="1:5" x14ac:dyDescent="0.3">
      <c r="A764" s="1">
        <v>763</v>
      </c>
      <c r="B764" s="1" t="s">
        <v>639</v>
      </c>
      <c r="C764" s="1" t="s">
        <v>962</v>
      </c>
      <c r="D764" s="1" t="s">
        <v>963</v>
      </c>
      <c r="E764" s="2">
        <v>2000</v>
      </c>
    </row>
    <row r="765" spans="1:5" x14ac:dyDescent="0.3">
      <c r="A765" s="1">
        <v>764</v>
      </c>
      <c r="B765" s="1" t="s">
        <v>644</v>
      </c>
      <c r="C765" s="1" t="s">
        <v>1028</v>
      </c>
      <c r="D765" s="1" t="s">
        <v>1029</v>
      </c>
      <c r="E765" s="2">
        <v>4000</v>
      </c>
    </row>
    <row r="766" spans="1:5" x14ac:dyDescent="0.3">
      <c r="A766" s="1">
        <v>765</v>
      </c>
      <c r="B766" s="1" t="s">
        <v>644</v>
      </c>
      <c r="C766" s="1" t="s">
        <v>1030</v>
      </c>
      <c r="D766" s="1" t="s">
        <v>1031</v>
      </c>
      <c r="E766" s="2">
        <v>5000</v>
      </c>
    </row>
    <row r="767" spans="1:5" x14ac:dyDescent="0.3">
      <c r="A767" s="1">
        <v>766</v>
      </c>
      <c r="B767" s="1" t="s">
        <v>644</v>
      </c>
      <c r="C767" s="1" t="s">
        <v>1032</v>
      </c>
      <c r="D767" s="1" t="s">
        <v>1033</v>
      </c>
      <c r="E767" s="2">
        <v>5000</v>
      </c>
    </row>
    <row r="768" spans="1:5" x14ac:dyDescent="0.3">
      <c r="A768" s="1">
        <v>767</v>
      </c>
      <c r="B768" s="1" t="s">
        <v>644</v>
      </c>
      <c r="C768" s="1" t="s">
        <v>1034</v>
      </c>
      <c r="D768" s="1" t="s">
        <v>1035</v>
      </c>
      <c r="E768" s="2">
        <v>6000</v>
      </c>
    </row>
    <row r="769" spans="1:5" x14ac:dyDescent="0.3">
      <c r="A769" s="1">
        <v>768</v>
      </c>
      <c r="B769" s="1" t="s">
        <v>644</v>
      </c>
      <c r="C769" s="1" t="s">
        <v>1036</v>
      </c>
      <c r="D769" s="1" t="s">
        <v>1037</v>
      </c>
      <c r="E769" s="2">
        <v>5000</v>
      </c>
    </row>
    <row r="770" spans="1:5" x14ac:dyDescent="0.3">
      <c r="A770" s="1">
        <v>769</v>
      </c>
      <c r="B770" s="1" t="s">
        <v>644</v>
      </c>
      <c r="C770" s="1" t="s">
        <v>1038</v>
      </c>
      <c r="D770" s="1" t="s">
        <v>1039</v>
      </c>
      <c r="E770" s="2">
        <v>2000</v>
      </c>
    </row>
    <row r="771" spans="1:5" x14ac:dyDescent="0.3">
      <c r="A771" s="1">
        <v>770</v>
      </c>
      <c r="B771" s="1" t="s">
        <v>644</v>
      </c>
      <c r="C771" s="1" t="s">
        <v>1065</v>
      </c>
      <c r="D771" s="1" t="s">
        <v>1066</v>
      </c>
      <c r="E771" s="2">
        <v>4000</v>
      </c>
    </row>
    <row r="772" spans="1:5" x14ac:dyDescent="0.3">
      <c r="A772" s="1">
        <v>771</v>
      </c>
      <c r="B772" s="1" t="s">
        <v>644</v>
      </c>
      <c r="C772" s="1" t="s">
        <v>1067</v>
      </c>
      <c r="D772" s="1" t="s">
        <v>1068</v>
      </c>
      <c r="E772" s="2">
        <v>6500</v>
      </c>
    </row>
    <row r="773" spans="1:5" x14ac:dyDescent="0.3">
      <c r="A773" s="1">
        <v>772</v>
      </c>
      <c r="B773" s="1" t="s">
        <v>644</v>
      </c>
      <c r="C773" s="1" t="s">
        <v>1069</v>
      </c>
      <c r="D773" s="1" t="s">
        <v>1070</v>
      </c>
      <c r="E773" s="2">
        <v>8000</v>
      </c>
    </row>
    <row r="774" spans="1:5" x14ac:dyDescent="0.3">
      <c r="A774" s="1">
        <v>773</v>
      </c>
      <c r="B774" s="1" t="s">
        <v>649</v>
      </c>
      <c r="C774" s="1" t="s">
        <v>967</v>
      </c>
      <c r="D774" s="1" t="s">
        <v>968</v>
      </c>
      <c r="E774" s="2">
        <v>18000</v>
      </c>
    </row>
    <row r="775" spans="1:5" x14ac:dyDescent="0.3">
      <c r="A775" s="1">
        <v>774</v>
      </c>
      <c r="B775" s="1" t="s">
        <v>649</v>
      </c>
      <c r="C775" s="1" t="s">
        <v>969</v>
      </c>
      <c r="D775" s="1" t="s">
        <v>970</v>
      </c>
      <c r="E775" s="2">
        <v>4500</v>
      </c>
    </row>
    <row r="776" spans="1:5" x14ac:dyDescent="0.3">
      <c r="A776" s="1">
        <v>775</v>
      </c>
      <c r="B776" s="1" t="s">
        <v>649</v>
      </c>
      <c r="C776" s="1" t="s">
        <v>971</v>
      </c>
      <c r="D776" s="1" t="s">
        <v>972</v>
      </c>
      <c r="E776" s="2">
        <v>16000</v>
      </c>
    </row>
    <row r="777" spans="1:5" x14ac:dyDescent="0.3">
      <c r="A777" s="1">
        <v>776</v>
      </c>
      <c r="B777" s="1" t="s">
        <v>649</v>
      </c>
      <c r="C777" s="1" t="s">
        <v>973</v>
      </c>
      <c r="D777" s="1" t="s">
        <v>974</v>
      </c>
      <c r="E777" s="2">
        <v>9000</v>
      </c>
    </row>
    <row r="778" spans="1:5" x14ac:dyDescent="0.3">
      <c r="A778" s="1">
        <v>777</v>
      </c>
      <c r="B778" s="1" t="s">
        <v>649</v>
      </c>
      <c r="C778" s="1" t="s">
        <v>975</v>
      </c>
      <c r="D778" s="1" t="s">
        <v>976</v>
      </c>
      <c r="E778" s="2">
        <v>2500</v>
      </c>
    </row>
    <row r="779" spans="1:5" x14ac:dyDescent="0.3">
      <c r="A779" s="1">
        <v>778</v>
      </c>
      <c r="B779" s="1" t="s">
        <v>649</v>
      </c>
      <c r="C779" s="1" t="s">
        <v>977</v>
      </c>
      <c r="D779" s="1" t="s">
        <v>978</v>
      </c>
      <c r="E779" s="2">
        <v>5000</v>
      </c>
    </row>
    <row r="780" spans="1:5" x14ac:dyDescent="0.3">
      <c r="A780" s="1">
        <v>779</v>
      </c>
      <c r="B780" s="1" t="s">
        <v>649</v>
      </c>
      <c r="C780" s="1" t="s">
        <v>979</v>
      </c>
      <c r="D780" s="1" t="s">
        <v>980</v>
      </c>
      <c r="E780" s="2">
        <v>15000</v>
      </c>
    </row>
    <row r="781" spans="1:5" x14ac:dyDescent="0.3">
      <c r="A781" s="1">
        <v>780</v>
      </c>
      <c r="B781" s="1" t="s">
        <v>649</v>
      </c>
      <c r="C781" s="1" t="s">
        <v>981</v>
      </c>
      <c r="D781" s="1" t="s">
        <v>982</v>
      </c>
      <c r="E781" s="2">
        <v>9000</v>
      </c>
    </row>
    <row r="782" spans="1:5" x14ac:dyDescent="0.3">
      <c r="A782" s="1">
        <v>781</v>
      </c>
      <c r="B782" s="1" t="s">
        <v>649</v>
      </c>
      <c r="C782" s="1" t="s">
        <v>1050</v>
      </c>
      <c r="D782" s="1" t="s">
        <v>1051</v>
      </c>
      <c r="E782" s="2">
        <v>7000</v>
      </c>
    </row>
    <row r="783" spans="1:5" x14ac:dyDescent="0.3">
      <c r="A783" s="1">
        <v>782</v>
      </c>
      <c r="B783" s="1" t="s">
        <v>649</v>
      </c>
      <c r="C783" s="1" t="s">
        <v>1052</v>
      </c>
      <c r="D783" s="1" t="s">
        <v>1053</v>
      </c>
      <c r="E783" s="2">
        <v>12000</v>
      </c>
    </row>
    <row r="784" spans="1:5" x14ac:dyDescent="0.3">
      <c r="A784" s="1">
        <v>783</v>
      </c>
      <c r="B784" s="1" t="s">
        <v>654</v>
      </c>
      <c r="C784" s="1" t="s">
        <v>993</v>
      </c>
      <c r="D784" s="1" t="s">
        <v>994</v>
      </c>
      <c r="E784" s="2">
        <v>5000</v>
      </c>
    </row>
    <row r="785" spans="1:5" x14ac:dyDescent="0.3">
      <c r="A785" s="1">
        <v>784</v>
      </c>
      <c r="B785" s="1" t="s">
        <v>654</v>
      </c>
      <c r="C785" s="1" t="s">
        <v>995</v>
      </c>
      <c r="D785" s="1" t="s">
        <v>996</v>
      </c>
      <c r="E785" s="2">
        <v>6000</v>
      </c>
    </row>
    <row r="786" spans="1:5" x14ac:dyDescent="0.3">
      <c r="A786" s="1">
        <v>785</v>
      </c>
      <c r="B786" s="1" t="s">
        <v>654</v>
      </c>
      <c r="C786" s="1" t="s">
        <v>997</v>
      </c>
      <c r="D786" s="1" t="s">
        <v>998</v>
      </c>
      <c r="E786" s="2">
        <v>5500</v>
      </c>
    </row>
    <row r="787" spans="1:5" x14ac:dyDescent="0.3">
      <c r="A787" s="1">
        <v>786</v>
      </c>
      <c r="B787" s="1" t="s">
        <v>654</v>
      </c>
      <c r="C787" s="1" t="s">
        <v>999</v>
      </c>
      <c r="D787" s="1" t="s">
        <v>1000</v>
      </c>
      <c r="E787" s="2">
        <v>6000</v>
      </c>
    </row>
    <row r="788" spans="1:5" x14ac:dyDescent="0.3">
      <c r="A788" s="1">
        <v>787</v>
      </c>
      <c r="B788" s="1" t="s">
        <v>654</v>
      </c>
      <c r="C788" s="1" t="s">
        <v>1001</v>
      </c>
      <c r="D788" s="1" t="s">
        <v>1002</v>
      </c>
      <c r="E788" s="2">
        <v>4500</v>
      </c>
    </row>
    <row r="789" spans="1:5" x14ac:dyDescent="0.3">
      <c r="A789" s="1">
        <v>788</v>
      </c>
      <c r="B789" s="1" t="s">
        <v>654</v>
      </c>
      <c r="C789" s="1" t="s">
        <v>1003</v>
      </c>
      <c r="D789" s="1" t="s">
        <v>1004</v>
      </c>
      <c r="E789" s="2">
        <v>4000</v>
      </c>
    </row>
    <row r="790" spans="1:5" x14ac:dyDescent="0.3">
      <c r="A790" s="1">
        <v>789</v>
      </c>
      <c r="B790" s="1" t="s">
        <v>654</v>
      </c>
      <c r="C790" s="1" t="s">
        <v>1005</v>
      </c>
      <c r="D790" s="1" t="s">
        <v>1006</v>
      </c>
      <c r="E790" s="2">
        <v>3000</v>
      </c>
    </row>
    <row r="791" spans="1:5" x14ac:dyDescent="0.3">
      <c r="A791" s="1">
        <v>790</v>
      </c>
      <c r="B791" s="1" t="s">
        <v>654</v>
      </c>
      <c r="C791" s="1" t="s">
        <v>1007</v>
      </c>
      <c r="D791" s="1" t="s">
        <v>1008</v>
      </c>
      <c r="E791" s="2">
        <v>2500</v>
      </c>
    </row>
    <row r="792" spans="1:5" x14ac:dyDescent="0.3">
      <c r="A792" s="1">
        <v>791</v>
      </c>
      <c r="B792" s="1" t="s">
        <v>654</v>
      </c>
      <c r="C792" s="1" t="s">
        <v>1009</v>
      </c>
      <c r="D792" s="1" t="s">
        <v>1010</v>
      </c>
      <c r="E792" s="2">
        <v>8000</v>
      </c>
    </row>
    <row r="793" spans="1:5" x14ac:dyDescent="0.3">
      <c r="A793" s="1">
        <v>792</v>
      </c>
      <c r="B793" s="1" t="s">
        <v>654</v>
      </c>
      <c r="C793" s="1" t="s">
        <v>1057</v>
      </c>
      <c r="D793" s="1" t="s">
        <v>1058</v>
      </c>
      <c r="E793" s="2">
        <v>9000</v>
      </c>
    </row>
    <row r="794" spans="1:5" x14ac:dyDescent="0.3">
      <c r="A794" s="1">
        <v>793</v>
      </c>
      <c r="B794" s="1" t="s">
        <v>654</v>
      </c>
      <c r="C794" s="1" t="s">
        <v>1011</v>
      </c>
      <c r="D794" s="1" t="s">
        <v>1012</v>
      </c>
      <c r="E794" s="2">
        <v>8000</v>
      </c>
    </row>
    <row r="795" spans="1:5" x14ac:dyDescent="0.3">
      <c r="A795" s="1">
        <v>794</v>
      </c>
      <c r="B795" s="1" t="s">
        <v>654</v>
      </c>
      <c r="C795" s="1" t="s">
        <v>1013</v>
      </c>
      <c r="D795" s="1" t="s">
        <v>1014</v>
      </c>
      <c r="E795" s="2">
        <v>6000</v>
      </c>
    </row>
    <row r="796" spans="1:5" x14ac:dyDescent="0.3">
      <c r="A796" s="1">
        <v>795</v>
      </c>
      <c r="B796" s="1" t="s">
        <v>659</v>
      </c>
      <c r="C796" s="1" t="s">
        <v>1076</v>
      </c>
      <c r="D796" s="1" t="s">
        <v>1077</v>
      </c>
      <c r="E796" s="2">
        <v>10000</v>
      </c>
    </row>
    <row r="797" spans="1:5" x14ac:dyDescent="0.3">
      <c r="A797" s="1">
        <v>796</v>
      </c>
      <c r="B797" s="1" t="s">
        <v>659</v>
      </c>
      <c r="C797" s="1" t="s">
        <v>1078</v>
      </c>
      <c r="D797" s="1" t="s">
        <v>1079</v>
      </c>
      <c r="E797" s="2">
        <v>10500</v>
      </c>
    </row>
    <row r="798" spans="1:5" x14ac:dyDescent="0.3">
      <c r="A798" s="1">
        <v>797</v>
      </c>
      <c r="B798" s="1" t="s">
        <v>659</v>
      </c>
      <c r="C798" s="1" t="s">
        <v>1080</v>
      </c>
      <c r="D798" s="1" t="s">
        <v>1081</v>
      </c>
      <c r="E798" s="2">
        <v>11000</v>
      </c>
    </row>
    <row r="799" spans="1:5" x14ac:dyDescent="0.3">
      <c r="A799" s="1">
        <v>798</v>
      </c>
      <c r="B799" s="1" t="s">
        <v>659</v>
      </c>
      <c r="C799" s="1" t="s">
        <v>1082</v>
      </c>
      <c r="D799" s="1" t="s">
        <v>1083</v>
      </c>
      <c r="E799" s="2">
        <v>11000</v>
      </c>
    </row>
    <row r="800" spans="1:5" x14ac:dyDescent="0.3">
      <c r="A800" s="1">
        <v>799</v>
      </c>
      <c r="B800" s="1" t="s">
        <v>659</v>
      </c>
      <c r="C800" s="1" t="s">
        <v>1084</v>
      </c>
      <c r="D800" s="1" t="s">
        <v>1085</v>
      </c>
      <c r="E800" s="2">
        <v>12000</v>
      </c>
    </row>
    <row r="801" spans="1:5" x14ac:dyDescent="0.3">
      <c r="A801" s="1">
        <v>800</v>
      </c>
      <c r="B801" s="1" t="s">
        <v>659</v>
      </c>
      <c r="C801" s="1" t="s">
        <v>1086</v>
      </c>
      <c r="D801" s="1" t="s">
        <v>1087</v>
      </c>
      <c r="E801" s="2">
        <v>12000</v>
      </c>
    </row>
    <row r="802" spans="1:5" x14ac:dyDescent="0.3">
      <c r="A802" s="1">
        <v>801</v>
      </c>
      <c r="B802" s="1" t="s">
        <v>659</v>
      </c>
      <c r="C802" s="1" t="s">
        <v>1088</v>
      </c>
      <c r="D802" s="1" t="s">
        <v>1122</v>
      </c>
      <c r="E802" s="2">
        <v>11000</v>
      </c>
    </row>
    <row r="803" spans="1:5" x14ac:dyDescent="0.3">
      <c r="A803" s="1">
        <v>802</v>
      </c>
      <c r="B803" s="1" t="s">
        <v>664</v>
      </c>
      <c r="C803" s="1" t="s">
        <v>1028</v>
      </c>
      <c r="D803" s="1" t="s">
        <v>1029</v>
      </c>
      <c r="E803" s="2">
        <v>4000</v>
      </c>
    </row>
    <row r="804" spans="1:5" x14ac:dyDescent="0.3">
      <c r="A804" s="1">
        <v>803</v>
      </c>
      <c r="B804" s="1" t="s">
        <v>664</v>
      </c>
      <c r="C804" s="1" t="s">
        <v>1030</v>
      </c>
      <c r="D804" s="1" t="s">
        <v>1031</v>
      </c>
      <c r="E804" s="2">
        <v>5000</v>
      </c>
    </row>
    <row r="805" spans="1:5" x14ac:dyDescent="0.3">
      <c r="A805" s="1">
        <v>804</v>
      </c>
      <c r="B805" s="1" t="s">
        <v>664</v>
      </c>
      <c r="C805" s="1" t="s">
        <v>1032</v>
      </c>
      <c r="D805" s="1" t="s">
        <v>1033</v>
      </c>
      <c r="E805" s="2">
        <v>5000</v>
      </c>
    </row>
    <row r="806" spans="1:5" x14ac:dyDescent="0.3">
      <c r="A806" s="1">
        <v>805</v>
      </c>
      <c r="B806" s="1" t="s">
        <v>664</v>
      </c>
      <c r="C806" s="1" t="s">
        <v>1034</v>
      </c>
      <c r="D806" s="1" t="s">
        <v>1035</v>
      </c>
      <c r="E806" s="2">
        <v>6000</v>
      </c>
    </row>
    <row r="807" spans="1:5" x14ac:dyDescent="0.3">
      <c r="A807" s="1">
        <v>806</v>
      </c>
      <c r="B807" s="1" t="s">
        <v>664</v>
      </c>
      <c r="C807" s="1" t="s">
        <v>1036</v>
      </c>
      <c r="D807" s="1" t="s">
        <v>1037</v>
      </c>
      <c r="E807" s="2">
        <v>5000</v>
      </c>
    </row>
    <row r="808" spans="1:5" x14ac:dyDescent="0.3">
      <c r="A808" s="1">
        <v>807</v>
      </c>
      <c r="B808" s="1" t="s">
        <v>664</v>
      </c>
      <c r="C808" s="1" t="s">
        <v>1038</v>
      </c>
      <c r="D808" s="1" t="s">
        <v>1039</v>
      </c>
      <c r="E808" s="2">
        <v>2000</v>
      </c>
    </row>
    <row r="809" spans="1:5" x14ac:dyDescent="0.3">
      <c r="A809" s="1">
        <v>808</v>
      </c>
      <c r="B809" s="1" t="s">
        <v>664</v>
      </c>
      <c r="C809" s="1" t="s">
        <v>1065</v>
      </c>
      <c r="D809" s="1" t="s">
        <v>1066</v>
      </c>
      <c r="E809" s="2">
        <v>4000</v>
      </c>
    </row>
    <row r="810" spans="1:5" x14ac:dyDescent="0.3">
      <c r="A810" s="1">
        <v>809</v>
      </c>
      <c r="B810" s="1" t="s">
        <v>664</v>
      </c>
      <c r="C810" s="1" t="s">
        <v>1067</v>
      </c>
      <c r="D810" s="1" t="s">
        <v>1068</v>
      </c>
      <c r="E810" s="2">
        <v>6500</v>
      </c>
    </row>
    <row r="811" spans="1:5" x14ac:dyDescent="0.3">
      <c r="A811" s="1">
        <v>810</v>
      </c>
      <c r="B811" s="1" t="s">
        <v>664</v>
      </c>
      <c r="C811" s="1" t="s">
        <v>1069</v>
      </c>
      <c r="D811" s="1" t="s">
        <v>1070</v>
      </c>
      <c r="E811" s="2">
        <v>8000</v>
      </c>
    </row>
    <row r="812" spans="1:5" x14ac:dyDescent="0.3">
      <c r="A812" s="1">
        <v>811</v>
      </c>
      <c r="B812" s="1" t="s">
        <v>669</v>
      </c>
      <c r="C812" s="1" t="s">
        <v>946</v>
      </c>
      <c r="D812" s="1" t="s">
        <v>1098</v>
      </c>
      <c r="E812" s="2">
        <v>15000</v>
      </c>
    </row>
    <row r="813" spans="1:5" x14ac:dyDescent="0.3">
      <c r="A813" s="1">
        <v>812</v>
      </c>
      <c r="B813" s="1" t="s">
        <v>669</v>
      </c>
      <c r="C813" s="1" t="s">
        <v>948</v>
      </c>
      <c r="D813" s="1" t="s">
        <v>949</v>
      </c>
      <c r="E813" s="2">
        <v>5000</v>
      </c>
    </row>
    <row r="814" spans="1:5" x14ac:dyDescent="0.3">
      <c r="A814" s="1">
        <v>813</v>
      </c>
      <c r="B814" s="1" t="s">
        <v>669</v>
      </c>
      <c r="C814" s="1" t="s">
        <v>950</v>
      </c>
      <c r="D814" s="1" t="s">
        <v>1074</v>
      </c>
      <c r="E814" s="2">
        <v>4000</v>
      </c>
    </row>
    <row r="815" spans="1:5" x14ac:dyDescent="0.3">
      <c r="A815" s="1">
        <v>814</v>
      </c>
      <c r="B815" s="1" t="s">
        <v>669</v>
      </c>
      <c r="C815" s="1" t="s">
        <v>952</v>
      </c>
      <c r="D815" s="1" t="s">
        <v>953</v>
      </c>
      <c r="E815" s="2">
        <v>17000</v>
      </c>
    </row>
    <row r="816" spans="1:5" x14ac:dyDescent="0.3">
      <c r="A816" s="1">
        <v>815</v>
      </c>
      <c r="B816" s="1" t="s">
        <v>669</v>
      </c>
      <c r="C816" s="1" t="s">
        <v>954</v>
      </c>
      <c r="D816" s="1" t="s">
        <v>955</v>
      </c>
      <c r="E816" s="2">
        <v>11000</v>
      </c>
    </row>
    <row r="817" spans="1:5" x14ac:dyDescent="0.3">
      <c r="A817" s="1">
        <v>816</v>
      </c>
      <c r="B817" s="1" t="s">
        <v>669</v>
      </c>
      <c r="C817" s="1" t="s">
        <v>956</v>
      </c>
      <c r="D817" s="1" t="s">
        <v>1075</v>
      </c>
      <c r="E817" s="2">
        <v>6000</v>
      </c>
    </row>
    <row r="818" spans="1:5" x14ac:dyDescent="0.3">
      <c r="A818" s="1">
        <v>817</v>
      </c>
      <c r="B818" s="1" t="s">
        <v>669</v>
      </c>
      <c r="C818" s="1" t="s">
        <v>958</v>
      </c>
      <c r="D818" s="1" t="s">
        <v>959</v>
      </c>
      <c r="E818" s="2">
        <v>4500</v>
      </c>
    </row>
    <row r="819" spans="1:5" x14ac:dyDescent="0.3">
      <c r="A819" s="1">
        <v>818</v>
      </c>
      <c r="B819" s="1" t="s">
        <v>669</v>
      </c>
      <c r="C819" s="1" t="s">
        <v>960</v>
      </c>
      <c r="D819" s="1" t="s">
        <v>961</v>
      </c>
      <c r="E819" s="2">
        <v>8500</v>
      </c>
    </row>
    <row r="820" spans="1:5" x14ac:dyDescent="0.3">
      <c r="A820" s="1">
        <v>819</v>
      </c>
      <c r="B820" s="1" t="s">
        <v>669</v>
      </c>
      <c r="C820" s="1" t="s">
        <v>962</v>
      </c>
      <c r="D820" s="1" t="s">
        <v>963</v>
      </c>
      <c r="E820" s="2">
        <v>2000</v>
      </c>
    </row>
    <row r="821" spans="1:5" x14ac:dyDescent="0.3">
      <c r="A821" s="1">
        <v>820</v>
      </c>
      <c r="B821" s="1" t="s">
        <v>674</v>
      </c>
      <c r="C821" s="1" t="s">
        <v>967</v>
      </c>
      <c r="D821" s="1" t="s">
        <v>968</v>
      </c>
      <c r="E821" s="2">
        <v>18000</v>
      </c>
    </row>
    <row r="822" spans="1:5" x14ac:dyDescent="0.3">
      <c r="A822" s="1">
        <v>821</v>
      </c>
      <c r="B822" s="1" t="s">
        <v>674</v>
      </c>
      <c r="C822" s="1" t="s">
        <v>969</v>
      </c>
      <c r="D822" s="1" t="s">
        <v>970</v>
      </c>
      <c r="E822" s="2">
        <v>4500</v>
      </c>
    </row>
    <row r="823" spans="1:5" x14ac:dyDescent="0.3">
      <c r="A823" s="1">
        <v>822</v>
      </c>
      <c r="B823" s="1" t="s">
        <v>674</v>
      </c>
      <c r="C823" s="1" t="s">
        <v>971</v>
      </c>
      <c r="D823" s="1" t="s">
        <v>972</v>
      </c>
      <c r="E823" s="2">
        <v>16000</v>
      </c>
    </row>
    <row r="824" spans="1:5" x14ac:dyDescent="0.3">
      <c r="A824" s="1">
        <v>823</v>
      </c>
      <c r="B824" s="1" t="s">
        <v>674</v>
      </c>
      <c r="C824" s="1" t="s">
        <v>973</v>
      </c>
      <c r="D824" s="1" t="s">
        <v>974</v>
      </c>
      <c r="E824" s="2">
        <v>9000</v>
      </c>
    </row>
    <row r="825" spans="1:5" x14ac:dyDescent="0.3">
      <c r="A825" s="1">
        <v>824</v>
      </c>
      <c r="B825" s="1" t="s">
        <v>674</v>
      </c>
      <c r="C825" s="1" t="s">
        <v>975</v>
      </c>
      <c r="D825" s="1" t="s">
        <v>976</v>
      </c>
      <c r="E825" s="2">
        <v>2500</v>
      </c>
    </row>
    <row r="826" spans="1:5" x14ac:dyDescent="0.3">
      <c r="A826" s="1">
        <v>825</v>
      </c>
      <c r="B826" s="1" t="s">
        <v>674</v>
      </c>
      <c r="C826" s="1" t="s">
        <v>977</v>
      </c>
      <c r="D826" s="1" t="s">
        <v>978</v>
      </c>
      <c r="E826" s="2">
        <v>5000</v>
      </c>
    </row>
    <row r="827" spans="1:5" x14ac:dyDescent="0.3">
      <c r="A827" s="1">
        <v>826</v>
      </c>
      <c r="B827" s="1" t="s">
        <v>674</v>
      </c>
      <c r="C827" s="1" t="s">
        <v>979</v>
      </c>
      <c r="D827" s="1" t="s">
        <v>980</v>
      </c>
      <c r="E827" s="2">
        <v>15000</v>
      </c>
    </row>
    <row r="828" spans="1:5" x14ac:dyDescent="0.3">
      <c r="A828" s="1">
        <v>827</v>
      </c>
      <c r="B828" s="1" t="s">
        <v>674</v>
      </c>
      <c r="C828" s="1" t="s">
        <v>981</v>
      </c>
      <c r="D828" s="1" t="s">
        <v>982</v>
      </c>
      <c r="E828" s="2">
        <v>9000</v>
      </c>
    </row>
    <row r="829" spans="1:5" x14ac:dyDescent="0.3">
      <c r="A829" s="1">
        <v>828</v>
      </c>
      <c r="B829" s="1" t="s">
        <v>674</v>
      </c>
      <c r="C829" s="1" t="s">
        <v>1050</v>
      </c>
      <c r="D829" s="1" t="s">
        <v>1051</v>
      </c>
      <c r="E829" s="2">
        <v>7000</v>
      </c>
    </row>
    <row r="830" spans="1:5" x14ac:dyDescent="0.3">
      <c r="A830" s="1">
        <v>829</v>
      </c>
      <c r="B830" s="1" t="s">
        <v>674</v>
      </c>
      <c r="C830" s="1" t="s">
        <v>1052</v>
      </c>
      <c r="D830" s="1" t="s">
        <v>1053</v>
      </c>
      <c r="E830" s="2">
        <v>12000</v>
      </c>
    </row>
    <row r="831" spans="1:5" x14ac:dyDescent="0.3">
      <c r="A831" s="1">
        <v>830</v>
      </c>
      <c r="B831" s="1" t="s">
        <v>679</v>
      </c>
      <c r="C831" s="1" t="s">
        <v>1104</v>
      </c>
      <c r="D831" s="1" t="s">
        <v>1105</v>
      </c>
      <c r="E831" s="2">
        <v>1500</v>
      </c>
    </row>
    <row r="832" spans="1:5" x14ac:dyDescent="0.3">
      <c r="A832" s="1">
        <v>831</v>
      </c>
      <c r="B832" s="1" t="s">
        <v>679</v>
      </c>
      <c r="C832" s="1" t="s">
        <v>1106</v>
      </c>
      <c r="D832" s="1" t="s">
        <v>1107</v>
      </c>
      <c r="E832" s="2">
        <v>2000</v>
      </c>
    </row>
    <row r="833" spans="1:5" x14ac:dyDescent="0.3">
      <c r="A833" s="1">
        <v>832</v>
      </c>
      <c r="B833" s="1" t="s">
        <v>679</v>
      </c>
      <c r="C833" s="1" t="s">
        <v>1108</v>
      </c>
      <c r="D833" s="1" t="s">
        <v>1109</v>
      </c>
      <c r="E833" s="2">
        <v>1500</v>
      </c>
    </row>
    <row r="834" spans="1:5" x14ac:dyDescent="0.3">
      <c r="A834" s="1">
        <v>833</v>
      </c>
      <c r="B834" s="1" t="s">
        <v>679</v>
      </c>
      <c r="C834" s="1" t="s">
        <v>1110</v>
      </c>
      <c r="D834" s="1" t="s">
        <v>1111</v>
      </c>
      <c r="E834" s="2">
        <v>2000</v>
      </c>
    </row>
    <row r="835" spans="1:5" x14ac:dyDescent="0.3">
      <c r="A835" s="1">
        <v>834</v>
      </c>
      <c r="B835" s="1" t="s">
        <v>679</v>
      </c>
      <c r="C835" s="1" t="s">
        <v>1112</v>
      </c>
      <c r="D835" s="1" t="s">
        <v>1113</v>
      </c>
      <c r="E835" s="2">
        <v>2000</v>
      </c>
    </row>
    <row r="836" spans="1:5" x14ac:dyDescent="0.3">
      <c r="A836" s="1">
        <v>835</v>
      </c>
      <c r="B836" s="1" t="s">
        <v>679</v>
      </c>
      <c r="C836" s="1" t="s">
        <v>1114</v>
      </c>
      <c r="D836" s="1" t="s">
        <v>1115</v>
      </c>
      <c r="E836" s="2">
        <v>2500</v>
      </c>
    </row>
    <row r="837" spans="1:5" x14ac:dyDescent="0.3">
      <c r="A837" s="1">
        <v>836</v>
      </c>
      <c r="B837" s="1" t="s">
        <v>679</v>
      </c>
      <c r="C837" s="1" t="s">
        <v>1116</v>
      </c>
      <c r="D837" s="1" t="s">
        <v>1117</v>
      </c>
      <c r="E837" s="2">
        <v>2000</v>
      </c>
    </row>
    <row r="838" spans="1:5" x14ac:dyDescent="0.3">
      <c r="A838" s="1">
        <v>837</v>
      </c>
      <c r="B838" s="1" t="s">
        <v>679</v>
      </c>
      <c r="C838" s="1" t="s">
        <v>1118</v>
      </c>
      <c r="D838" s="1" t="s">
        <v>1119</v>
      </c>
      <c r="E838" s="2">
        <v>2500</v>
      </c>
    </row>
    <row r="839" spans="1:5" x14ac:dyDescent="0.3">
      <c r="A839" s="1">
        <v>838</v>
      </c>
      <c r="B839" s="1" t="s">
        <v>679</v>
      </c>
      <c r="C839" s="1" t="s">
        <v>1120</v>
      </c>
      <c r="D839" s="1" t="s">
        <v>1121</v>
      </c>
      <c r="E839" s="2">
        <v>3000</v>
      </c>
    </row>
    <row r="840" spans="1:5" x14ac:dyDescent="0.3">
      <c r="A840" s="1">
        <v>839</v>
      </c>
      <c r="B840" s="1" t="s">
        <v>684</v>
      </c>
      <c r="C840" s="1" t="s">
        <v>993</v>
      </c>
      <c r="D840" s="1" t="s">
        <v>994</v>
      </c>
      <c r="E840" s="2">
        <v>5000</v>
      </c>
    </row>
    <row r="841" spans="1:5" x14ac:dyDescent="0.3">
      <c r="A841" s="1">
        <v>840</v>
      </c>
      <c r="B841" s="1" t="s">
        <v>684</v>
      </c>
      <c r="C841" s="1" t="s">
        <v>995</v>
      </c>
      <c r="D841" s="1" t="s">
        <v>996</v>
      </c>
      <c r="E841" s="2">
        <v>6000</v>
      </c>
    </row>
    <row r="842" spans="1:5" x14ac:dyDescent="0.3">
      <c r="A842" s="1">
        <v>841</v>
      </c>
      <c r="B842" s="1" t="s">
        <v>684</v>
      </c>
      <c r="C842" s="1" t="s">
        <v>997</v>
      </c>
      <c r="D842" s="1" t="s">
        <v>998</v>
      </c>
      <c r="E842" s="2">
        <v>5500</v>
      </c>
    </row>
    <row r="843" spans="1:5" x14ac:dyDescent="0.3">
      <c r="A843" s="1">
        <v>842</v>
      </c>
      <c r="B843" s="1" t="s">
        <v>684</v>
      </c>
      <c r="C843" s="1" t="s">
        <v>999</v>
      </c>
      <c r="D843" s="1" t="s">
        <v>1000</v>
      </c>
      <c r="E843" s="2">
        <v>6000</v>
      </c>
    </row>
    <row r="844" spans="1:5" x14ac:dyDescent="0.3">
      <c r="A844" s="1">
        <v>843</v>
      </c>
      <c r="B844" s="1" t="s">
        <v>684</v>
      </c>
      <c r="C844" s="1" t="s">
        <v>1001</v>
      </c>
      <c r="D844" s="1" t="s">
        <v>1002</v>
      </c>
      <c r="E844" s="2">
        <v>4500</v>
      </c>
    </row>
    <row r="845" spans="1:5" x14ac:dyDescent="0.3">
      <c r="A845" s="1">
        <v>844</v>
      </c>
      <c r="B845" s="1" t="s">
        <v>684</v>
      </c>
      <c r="C845" s="1" t="s">
        <v>1003</v>
      </c>
      <c r="D845" s="1" t="s">
        <v>1004</v>
      </c>
      <c r="E845" s="2">
        <v>4000</v>
      </c>
    </row>
    <row r="846" spans="1:5" x14ac:dyDescent="0.3">
      <c r="A846" s="1">
        <v>845</v>
      </c>
      <c r="B846" s="1" t="s">
        <v>684</v>
      </c>
      <c r="C846" s="1" t="s">
        <v>1005</v>
      </c>
      <c r="D846" s="1" t="s">
        <v>1006</v>
      </c>
      <c r="E846" s="2">
        <v>3000</v>
      </c>
    </row>
    <row r="847" spans="1:5" x14ac:dyDescent="0.3">
      <c r="A847" s="1">
        <v>846</v>
      </c>
      <c r="B847" s="1" t="s">
        <v>684</v>
      </c>
      <c r="C847" s="1" t="s">
        <v>1007</v>
      </c>
      <c r="D847" s="1" t="s">
        <v>1008</v>
      </c>
      <c r="E847" s="2">
        <v>2500</v>
      </c>
    </row>
    <row r="848" spans="1:5" x14ac:dyDescent="0.3">
      <c r="A848" s="1">
        <v>847</v>
      </c>
      <c r="B848" s="1" t="s">
        <v>684</v>
      </c>
      <c r="C848" s="1" t="s">
        <v>1009</v>
      </c>
      <c r="D848" s="1" t="s">
        <v>1010</v>
      </c>
      <c r="E848" s="2">
        <v>8000</v>
      </c>
    </row>
    <row r="849" spans="1:5" x14ac:dyDescent="0.3">
      <c r="A849" s="1">
        <v>848</v>
      </c>
      <c r="B849" s="1" t="s">
        <v>684</v>
      </c>
      <c r="C849" s="1" t="s">
        <v>1057</v>
      </c>
      <c r="D849" s="1" t="s">
        <v>1058</v>
      </c>
      <c r="E849" s="2">
        <v>9000</v>
      </c>
    </row>
    <row r="850" spans="1:5" x14ac:dyDescent="0.3">
      <c r="A850" s="1">
        <v>849</v>
      </c>
      <c r="B850" s="1" t="s">
        <v>684</v>
      </c>
      <c r="C850" s="1" t="s">
        <v>1011</v>
      </c>
      <c r="D850" s="1" t="s">
        <v>1012</v>
      </c>
      <c r="E850" s="2">
        <v>8000</v>
      </c>
    </row>
    <row r="851" spans="1:5" x14ac:dyDescent="0.3">
      <c r="A851" s="1">
        <v>850</v>
      </c>
      <c r="B851" s="1" t="s">
        <v>684</v>
      </c>
      <c r="C851" s="1" t="s">
        <v>1013</v>
      </c>
      <c r="D851" s="1" t="s">
        <v>1014</v>
      </c>
      <c r="E851" s="2">
        <v>6000</v>
      </c>
    </row>
    <row r="852" spans="1:5" x14ac:dyDescent="0.3">
      <c r="A852" s="1">
        <v>851</v>
      </c>
      <c r="B852" s="1" t="s">
        <v>689</v>
      </c>
      <c r="C852" s="1" t="s">
        <v>993</v>
      </c>
      <c r="D852" s="1" t="s">
        <v>994</v>
      </c>
      <c r="E852" s="2">
        <v>5000</v>
      </c>
    </row>
    <row r="853" spans="1:5" x14ac:dyDescent="0.3">
      <c r="A853" s="1">
        <v>852</v>
      </c>
      <c r="B853" s="1" t="s">
        <v>689</v>
      </c>
      <c r="C853" s="1" t="s">
        <v>995</v>
      </c>
      <c r="D853" s="1" t="s">
        <v>996</v>
      </c>
      <c r="E853" s="2">
        <v>6000</v>
      </c>
    </row>
    <row r="854" spans="1:5" x14ac:dyDescent="0.3">
      <c r="A854" s="1">
        <v>853</v>
      </c>
      <c r="B854" s="1" t="s">
        <v>689</v>
      </c>
      <c r="C854" s="1" t="s">
        <v>997</v>
      </c>
      <c r="D854" s="1" t="s">
        <v>998</v>
      </c>
      <c r="E854" s="2">
        <v>5500</v>
      </c>
    </row>
    <row r="855" spans="1:5" x14ac:dyDescent="0.3">
      <c r="A855" s="1">
        <v>854</v>
      </c>
      <c r="B855" s="1" t="s">
        <v>689</v>
      </c>
      <c r="C855" s="1" t="s">
        <v>999</v>
      </c>
      <c r="D855" s="1" t="s">
        <v>1000</v>
      </c>
      <c r="E855" s="2">
        <v>6000</v>
      </c>
    </row>
    <row r="856" spans="1:5" x14ac:dyDescent="0.3">
      <c r="A856" s="1">
        <v>855</v>
      </c>
      <c r="B856" s="1" t="s">
        <v>689</v>
      </c>
      <c r="C856" s="1" t="s">
        <v>1001</v>
      </c>
      <c r="D856" s="1" t="s">
        <v>1002</v>
      </c>
      <c r="E856" s="2">
        <v>4500</v>
      </c>
    </row>
    <row r="857" spans="1:5" x14ac:dyDescent="0.3">
      <c r="A857" s="1">
        <v>856</v>
      </c>
      <c r="B857" s="1" t="s">
        <v>689</v>
      </c>
      <c r="C857" s="1" t="s">
        <v>1003</v>
      </c>
      <c r="D857" s="1" t="s">
        <v>1004</v>
      </c>
      <c r="E857" s="2">
        <v>4000</v>
      </c>
    </row>
    <row r="858" spans="1:5" x14ac:dyDescent="0.3">
      <c r="A858" s="1">
        <v>857</v>
      </c>
      <c r="B858" s="1" t="s">
        <v>689</v>
      </c>
      <c r="C858" s="1" t="s">
        <v>1005</v>
      </c>
      <c r="D858" s="1" t="s">
        <v>1006</v>
      </c>
      <c r="E858" s="2">
        <v>3000</v>
      </c>
    </row>
    <row r="859" spans="1:5" x14ac:dyDescent="0.3">
      <c r="A859" s="1">
        <v>858</v>
      </c>
      <c r="B859" s="1" t="s">
        <v>689</v>
      </c>
      <c r="C859" s="1" t="s">
        <v>1007</v>
      </c>
      <c r="D859" s="1" t="s">
        <v>1008</v>
      </c>
      <c r="E859" s="2">
        <v>2500</v>
      </c>
    </row>
    <row r="860" spans="1:5" x14ac:dyDescent="0.3">
      <c r="A860" s="1">
        <v>859</v>
      </c>
      <c r="B860" s="1" t="s">
        <v>689</v>
      </c>
      <c r="C860" s="1" t="s">
        <v>1009</v>
      </c>
      <c r="D860" s="1" t="s">
        <v>1010</v>
      </c>
      <c r="E860" s="2">
        <v>8000</v>
      </c>
    </row>
    <row r="861" spans="1:5" x14ac:dyDescent="0.3">
      <c r="A861" s="1">
        <v>860</v>
      </c>
      <c r="B861" s="1" t="s">
        <v>689</v>
      </c>
      <c r="C861" s="1" t="s">
        <v>1057</v>
      </c>
      <c r="D861" s="1" t="s">
        <v>1058</v>
      </c>
      <c r="E861" s="2">
        <v>9000</v>
      </c>
    </row>
    <row r="862" spans="1:5" x14ac:dyDescent="0.3">
      <c r="A862" s="1">
        <v>861</v>
      </c>
      <c r="B862" s="1" t="s">
        <v>689</v>
      </c>
      <c r="C862" s="1" t="s">
        <v>1011</v>
      </c>
      <c r="D862" s="1" t="s">
        <v>1012</v>
      </c>
      <c r="E862" s="2">
        <v>8000</v>
      </c>
    </row>
    <row r="863" spans="1:5" x14ac:dyDescent="0.3">
      <c r="A863" s="1">
        <v>862</v>
      </c>
      <c r="B863" s="1" t="s">
        <v>689</v>
      </c>
      <c r="C863" s="1" t="s">
        <v>1013</v>
      </c>
      <c r="D863" s="1" t="s">
        <v>1014</v>
      </c>
      <c r="E863" s="2">
        <v>6000</v>
      </c>
    </row>
    <row r="864" spans="1:5" x14ac:dyDescent="0.3">
      <c r="A864" s="1">
        <v>863</v>
      </c>
      <c r="B864" s="1" t="s">
        <v>694</v>
      </c>
      <c r="C864" s="1" t="s">
        <v>1028</v>
      </c>
      <c r="D864" s="1" t="s">
        <v>1029</v>
      </c>
      <c r="E864" s="2">
        <v>4000</v>
      </c>
    </row>
    <row r="865" spans="1:5" x14ac:dyDescent="0.3">
      <c r="A865" s="1">
        <v>864</v>
      </c>
      <c r="B865" s="1" t="s">
        <v>694</v>
      </c>
      <c r="C865" s="1" t="s">
        <v>1030</v>
      </c>
      <c r="D865" s="1" t="s">
        <v>1031</v>
      </c>
      <c r="E865" s="2">
        <v>5000</v>
      </c>
    </row>
    <row r="866" spans="1:5" x14ac:dyDescent="0.3">
      <c r="A866" s="1">
        <v>865</v>
      </c>
      <c r="B866" s="1" t="s">
        <v>694</v>
      </c>
      <c r="C866" s="1" t="s">
        <v>1032</v>
      </c>
      <c r="D866" s="1" t="s">
        <v>1033</v>
      </c>
      <c r="E866" s="2">
        <v>5000</v>
      </c>
    </row>
    <row r="867" spans="1:5" x14ac:dyDescent="0.3">
      <c r="A867" s="1">
        <v>866</v>
      </c>
      <c r="B867" s="1" t="s">
        <v>694</v>
      </c>
      <c r="C867" s="1" t="s">
        <v>1034</v>
      </c>
      <c r="D867" s="1" t="s">
        <v>1035</v>
      </c>
      <c r="E867" s="2">
        <v>6000</v>
      </c>
    </row>
    <row r="868" spans="1:5" x14ac:dyDescent="0.3">
      <c r="A868" s="1">
        <v>867</v>
      </c>
      <c r="B868" s="1" t="s">
        <v>694</v>
      </c>
      <c r="C868" s="1" t="s">
        <v>1036</v>
      </c>
      <c r="D868" s="1" t="s">
        <v>1037</v>
      </c>
      <c r="E868" s="2">
        <v>5000</v>
      </c>
    </row>
    <row r="869" spans="1:5" x14ac:dyDescent="0.3">
      <c r="A869" s="1">
        <v>868</v>
      </c>
      <c r="B869" s="1" t="s">
        <v>694</v>
      </c>
      <c r="C869" s="1" t="s">
        <v>1038</v>
      </c>
      <c r="D869" s="1" t="s">
        <v>1039</v>
      </c>
      <c r="E869" s="2">
        <v>2000</v>
      </c>
    </row>
    <row r="870" spans="1:5" x14ac:dyDescent="0.3">
      <c r="A870" s="1">
        <v>869</v>
      </c>
      <c r="B870" s="1" t="s">
        <v>694</v>
      </c>
      <c r="C870" s="1" t="s">
        <v>1065</v>
      </c>
      <c r="D870" s="1" t="s">
        <v>1066</v>
      </c>
      <c r="E870" s="2">
        <v>4000</v>
      </c>
    </row>
    <row r="871" spans="1:5" x14ac:dyDescent="0.3">
      <c r="A871" s="1">
        <v>870</v>
      </c>
      <c r="B871" s="1" t="s">
        <v>694</v>
      </c>
      <c r="C871" s="1" t="s">
        <v>1067</v>
      </c>
      <c r="D871" s="1" t="s">
        <v>1068</v>
      </c>
      <c r="E871" s="2">
        <v>6500</v>
      </c>
    </row>
    <row r="872" spans="1:5" x14ac:dyDescent="0.3">
      <c r="A872" s="1">
        <v>871</v>
      </c>
      <c r="B872" s="1" t="s">
        <v>694</v>
      </c>
      <c r="C872" s="1" t="s">
        <v>1069</v>
      </c>
      <c r="D872" s="1" t="s">
        <v>1070</v>
      </c>
      <c r="E872" s="2">
        <v>8000</v>
      </c>
    </row>
    <row r="873" spans="1:5" x14ac:dyDescent="0.3">
      <c r="A873" s="1">
        <v>872</v>
      </c>
      <c r="B873" s="1" t="s">
        <v>699</v>
      </c>
      <c r="C873" s="1" t="s">
        <v>1028</v>
      </c>
      <c r="D873" s="1" t="s">
        <v>1029</v>
      </c>
      <c r="E873" s="2">
        <v>4000</v>
      </c>
    </row>
    <row r="874" spans="1:5" x14ac:dyDescent="0.3">
      <c r="A874" s="1">
        <v>873</v>
      </c>
      <c r="B874" s="1" t="s">
        <v>699</v>
      </c>
      <c r="C874" s="1" t="s">
        <v>1030</v>
      </c>
      <c r="D874" s="1" t="s">
        <v>1031</v>
      </c>
      <c r="E874" s="2">
        <v>5000</v>
      </c>
    </row>
    <row r="875" spans="1:5" x14ac:dyDescent="0.3">
      <c r="A875" s="1">
        <v>874</v>
      </c>
      <c r="B875" s="1" t="s">
        <v>699</v>
      </c>
      <c r="C875" s="1" t="s">
        <v>1032</v>
      </c>
      <c r="D875" s="1" t="s">
        <v>1033</v>
      </c>
      <c r="E875" s="2">
        <v>5000</v>
      </c>
    </row>
    <row r="876" spans="1:5" x14ac:dyDescent="0.3">
      <c r="A876" s="1">
        <v>875</v>
      </c>
      <c r="B876" s="1" t="s">
        <v>699</v>
      </c>
      <c r="C876" s="1" t="s">
        <v>1034</v>
      </c>
      <c r="D876" s="1" t="s">
        <v>1035</v>
      </c>
      <c r="E876" s="2">
        <v>6000</v>
      </c>
    </row>
    <row r="877" spans="1:5" x14ac:dyDescent="0.3">
      <c r="A877" s="1">
        <v>876</v>
      </c>
      <c r="B877" s="1" t="s">
        <v>699</v>
      </c>
      <c r="C877" s="1" t="s">
        <v>1036</v>
      </c>
      <c r="D877" s="1" t="s">
        <v>1037</v>
      </c>
      <c r="E877" s="2">
        <v>5000</v>
      </c>
    </row>
    <row r="878" spans="1:5" x14ac:dyDescent="0.3">
      <c r="A878" s="1">
        <v>877</v>
      </c>
      <c r="B878" s="1" t="s">
        <v>699</v>
      </c>
      <c r="C878" s="1" t="s">
        <v>1038</v>
      </c>
      <c r="D878" s="1" t="s">
        <v>1039</v>
      </c>
      <c r="E878" s="2">
        <v>2000</v>
      </c>
    </row>
    <row r="879" spans="1:5" x14ac:dyDescent="0.3">
      <c r="A879" s="1">
        <v>878</v>
      </c>
      <c r="B879" s="1" t="s">
        <v>699</v>
      </c>
      <c r="C879" s="1" t="s">
        <v>1065</v>
      </c>
      <c r="D879" s="1" t="s">
        <v>1066</v>
      </c>
      <c r="E879" s="2">
        <v>4000</v>
      </c>
    </row>
    <row r="880" spans="1:5" x14ac:dyDescent="0.3">
      <c r="A880" s="1">
        <v>879</v>
      </c>
      <c r="B880" s="1" t="s">
        <v>699</v>
      </c>
      <c r="C880" s="1" t="s">
        <v>1067</v>
      </c>
      <c r="D880" s="1" t="s">
        <v>1068</v>
      </c>
      <c r="E880" s="2">
        <v>6500</v>
      </c>
    </row>
    <row r="881" spans="1:5" x14ac:dyDescent="0.3">
      <c r="A881" s="1">
        <v>880</v>
      </c>
      <c r="B881" s="1" t="s">
        <v>699</v>
      </c>
      <c r="C881" s="1" t="s">
        <v>1069</v>
      </c>
      <c r="D881" s="1" t="s">
        <v>1070</v>
      </c>
      <c r="E881" s="2">
        <v>8000</v>
      </c>
    </row>
    <row r="882" spans="1:5" x14ac:dyDescent="0.3">
      <c r="A882" s="1">
        <v>881</v>
      </c>
      <c r="B882" s="1" t="s">
        <v>704</v>
      </c>
      <c r="C882" s="1" t="s">
        <v>993</v>
      </c>
      <c r="D882" s="1" t="s">
        <v>994</v>
      </c>
      <c r="E882" s="2">
        <v>5000</v>
      </c>
    </row>
    <row r="883" spans="1:5" x14ac:dyDescent="0.3">
      <c r="A883" s="1">
        <v>882</v>
      </c>
      <c r="B883" s="1" t="s">
        <v>704</v>
      </c>
      <c r="C883" s="1" t="s">
        <v>995</v>
      </c>
      <c r="D883" s="1" t="s">
        <v>996</v>
      </c>
      <c r="E883" s="2">
        <v>6000</v>
      </c>
    </row>
    <row r="884" spans="1:5" x14ac:dyDescent="0.3">
      <c r="A884" s="1">
        <v>883</v>
      </c>
      <c r="B884" s="1" t="s">
        <v>704</v>
      </c>
      <c r="C884" s="1" t="s">
        <v>997</v>
      </c>
      <c r="D884" s="1" t="s">
        <v>998</v>
      </c>
      <c r="E884" s="2">
        <v>5500</v>
      </c>
    </row>
    <row r="885" spans="1:5" x14ac:dyDescent="0.3">
      <c r="A885" s="1">
        <v>884</v>
      </c>
      <c r="B885" s="1" t="s">
        <v>704</v>
      </c>
      <c r="C885" s="1" t="s">
        <v>999</v>
      </c>
      <c r="D885" s="1" t="s">
        <v>1000</v>
      </c>
      <c r="E885" s="2">
        <v>6000</v>
      </c>
    </row>
    <row r="886" spans="1:5" x14ac:dyDescent="0.3">
      <c r="A886" s="1">
        <v>885</v>
      </c>
      <c r="B886" s="1" t="s">
        <v>704</v>
      </c>
      <c r="C886" s="1" t="s">
        <v>1001</v>
      </c>
      <c r="D886" s="1" t="s">
        <v>1002</v>
      </c>
      <c r="E886" s="2">
        <v>4500</v>
      </c>
    </row>
    <row r="887" spans="1:5" x14ac:dyDescent="0.3">
      <c r="A887" s="1">
        <v>886</v>
      </c>
      <c r="B887" s="1" t="s">
        <v>704</v>
      </c>
      <c r="C887" s="1" t="s">
        <v>1003</v>
      </c>
      <c r="D887" s="1" t="s">
        <v>1004</v>
      </c>
      <c r="E887" s="2">
        <v>4000</v>
      </c>
    </row>
    <row r="888" spans="1:5" x14ac:dyDescent="0.3">
      <c r="A888" s="1">
        <v>887</v>
      </c>
      <c r="B888" s="1" t="s">
        <v>704</v>
      </c>
      <c r="C888" s="1" t="s">
        <v>1005</v>
      </c>
      <c r="D888" s="1" t="s">
        <v>1006</v>
      </c>
      <c r="E888" s="2">
        <v>3000</v>
      </c>
    </row>
    <row r="889" spans="1:5" x14ac:dyDescent="0.3">
      <c r="A889" s="1">
        <v>888</v>
      </c>
      <c r="B889" s="1" t="s">
        <v>704</v>
      </c>
      <c r="C889" s="1" t="s">
        <v>1007</v>
      </c>
      <c r="D889" s="1" t="s">
        <v>1008</v>
      </c>
      <c r="E889" s="2">
        <v>2500</v>
      </c>
    </row>
    <row r="890" spans="1:5" x14ac:dyDescent="0.3">
      <c r="A890" s="1">
        <v>889</v>
      </c>
      <c r="B890" s="1" t="s">
        <v>704</v>
      </c>
      <c r="C890" s="1" t="s">
        <v>1009</v>
      </c>
      <c r="D890" s="1" t="s">
        <v>1010</v>
      </c>
      <c r="E890" s="2">
        <v>8000</v>
      </c>
    </row>
    <row r="891" spans="1:5" x14ac:dyDescent="0.3">
      <c r="A891" s="1">
        <v>890</v>
      </c>
      <c r="B891" s="1" t="s">
        <v>704</v>
      </c>
      <c r="C891" s="1" t="s">
        <v>1057</v>
      </c>
      <c r="D891" s="1" t="s">
        <v>1058</v>
      </c>
      <c r="E891" s="2">
        <v>9000</v>
      </c>
    </row>
    <row r="892" spans="1:5" x14ac:dyDescent="0.3">
      <c r="A892" s="1">
        <v>891</v>
      </c>
      <c r="B892" s="1" t="s">
        <v>704</v>
      </c>
      <c r="C892" s="1" t="s">
        <v>1011</v>
      </c>
      <c r="D892" s="1" t="s">
        <v>1012</v>
      </c>
      <c r="E892" s="2">
        <v>8000</v>
      </c>
    </row>
    <row r="893" spans="1:5" x14ac:dyDescent="0.3">
      <c r="A893" s="1">
        <v>892</v>
      </c>
      <c r="B893" s="1" t="s">
        <v>704</v>
      </c>
      <c r="C893" s="1" t="s">
        <v>1013</v>
      </c>
      <c r="D893" s="1" t="s">
        <v>1014</v>
      </c>
      <c r="E893" s="2">
        <v>6000</v>
      </c>
    </row>
    <row r="894" spans="1:5" x14ac:dyDescent="0.3">
      <c r="A894" s="1">
        <v>893</v>
      </c>
      <c r="B894" s="1" t="s">
        <v>709</v>
      </c>
      <c r="C894" s="1" t="s">
        <v>946</v>
      </c>
      <c r="D894" s="1" t="s">
        <v>1098</v>
      </c>
      <c r="E894" s="2">
        <v>15000</v>
      </c>
    </row>
    <row r="895" spans="1:5" x14ac:dyDescent="0.3">
      <c r="A895" s="1">
        <v>894</v>
      </c>
      <c r="B895" s="1" t="s">
        <v>709</v>
      </c>
      <c r="C895" s="1" t="s">
        <v>948</v>
      </c>
      <c r="D895" s="1" t="s">
        <v>949</v>
      </c>
      <c r="E895" s="2">
        <v>5000</v>
      </c>
    </row>
    <row r="896" spans="1:5" x14ac:dyDescent="0.3">
      <c r="A896" s="1">
        <v>895</v>
      </c>
      <c r="B896" s="1" t="s">
        <v>709</v>
      </c>
      <c r="C896" s="1" t="s">
        <v>950</v>
      </c>
      <c r="D896" s="1" t="s">
        <v>1074</v>
      </c>
      <c r="E896" s="2">
        <v>4000</v>
      </c>
    </row>
    <row r="897" spans="1:5" x14ac:dyDescent="0.3">
      <c r="A897" s="1">
        <v>896</v>
      </c>
      <c r="B897" s="1" t="s">
        <v>709</v>
      </c>
      <c r="C897" s="1" t="s">
        <v>952</v>
      </c>
      <c r="D897" s="1" t="s">
        <v>953</v>
      </c>
      <c r="E897" s="2">
        <v>17000</v>
      </c>
    </row>
    <row r="898" spans="1:5" x14ac:dyDescent="0.3">
      <c r="A898" s="1">
        <v>897</v>
      </c>
      <c r="B898" s="1" t="s">
        <v>709</v>
      </c>
      <c r="C898" s="1" t="s">
        <v>954</v>
      </c>
      <c r="D898" s="1" t="s">
        <v>955</v>
      </c>
      <c r="E898" s="2">
        <v>11000</v>
      </c>
    </row>
    <row r="899" spans="1:5" x14ac:dyDescent="0.3">
      <c r="A899" s="1">
        <v>898</v>
      </c>
      <c r="B899" s="1" t="s">
        <v>709</v>
      </c>
      <c r="C899" s="1" t="s">
        <v>956</v>
      </c>
      <c r="D899" s="1" t="s">
        <v>1075</v>
      </c>
      <c r="E899" s="2">
        <v>6000</v>
      </c>
    </row>
    <row r="900" spans="1:5" x14ac:dyDescent="0.3">
      <c r="A900" s="1">
        <v>899</v>
      </c>
      <c r="B900" s="1" t="s">
        <v>709</v>
      </c>
      <c r="C900" s="1" t="s">
        <v>958</v>
      </c>
      <c r="D900" s="1" t="s">
        <v>959</v>
      </c>
      <c r="E900" s="2">
        <v>4500</v>
      </c>
    </row>
    <row r="901" spans="1:5" x14ac:dyDescent="0.3">
      <c r="A901" s="1">
        <v>900</v>
      </c>
      <c r="B901" s="1" t="s">
        <v>709</v>
      </c>
      <c r="C901" s="1" t="s">
        <v>960</v>
      </c>
      <c r="D901" s="1" t="s">
        <v>961</v>
      </c>
      <c r="E901" s="2">
        <v>8500</v>
      </c>
    </row>
    <row r="902" spans="1:5" x14ac:dyDescent="0.3">
      <c r="A902" s="1">
        <v>901</v>
      </c>
      <c r="B902" s="1" t="s">
        <v>709</v>
      </c>
      <c r="C902" s="1" t="s">
        <v>962</v>
      </c>
      <c r="D902" s="1" t="s">
        <v>963</v>
      </c>
      <c r="E902" s="2">
        <v>2000</v>
      </c>
    </row>
    <row r="903" spans="1:5" x14ac:dyDescent="0.3">
      <c r="A903" s="1">
        <v>902</v>
      </c>
      <c r="B903" s="1" t="s">
        <v>714</v>
      </c>
      <c r="C903" s="1" t="s">
        <v>1076</v>
      </c>
      <c r="D903" s="1" t="s">
        <v>1077</v>
      </c>
      <c r="E903" s="2">
        <v>10000</v>
      </c>
    </row>
    <row r="904" spans="1:5" x14ac:dyDescent="0.3">
      <c r="A904" s="1">
        <v>903</v>
      </c>
      <c r="B904" s="1" t="s">
        <v>714</v>
      </c>
      <c r="C904" s="1" t="s">
        <v>1078</v>
      </c>
      <c r="D904" s="1" t="s">
        <v>1079</v>
      </c>
      <c r="E904" s="2">
        <v>10500</v>
      </c>
    </row>
    <row r="905" spans="1:5" x14ac:dyDescent="0.3">
      <c r="A905" s="1">
        <v>904</v>
      </c>
      <c r="B905" s="1" t="s">
        <v>714</v>
      </c>
      <c r="C905" s="1" t="s">
        <v>1080</v>
      </c>
      <c r="D905" s="1" t="s">
        <v>1081</v>
      </c>
      <c r="E905" s="2">
        <v>11000</v>
      </c>
    </row>
    <row r="906" spans="1:5" x14ac:dyDescent="0.3">
      <c r="A906" s="1">
        <v>905</v>
      </c>
      <c r="B906" s="1" t="s">
        <v>714</v>
      </c>
      <c r="C906" s="1" t="s">
        <v>1082</v>
      </c>
      <c r="D906" s="1" t="s">
        <v>1083</v>
      </c>
      <c r="E906" s="2">
        <v>11000</v>
      </c>
    </row>
    <row r="907" spans="1:5" x14ac:dyDescent="0.3">
      <c r="A907" s="1">
        <v>906</v>
      </c>
      <c r="B907" s="1" t="s">
        <v>714</v>
      </c>
      <c r="C907" s="1" t="s">
        <v>1084</v>
      </c>
      <c r="D907" s="1" t="s">
        <v>1085</v>
      </c>
      <c r="E907" s="2">
        <v>12000</v>
      </c>
    </row>
    <row r="908" spans="1:5" x14ac:dyDescent="0.3">
      <c r="A908" s="1">
        <v>907</v>
      </c>
      <c r="B908" s="1" t="s">
        <v>714</v>
      </c>
      <c r="C908" s="1" t="s">
        <v>1086</v>
      </c>
      <c r="D908" s="1" t="s">
        <v>1087</v>
      </c>
      <c r="E908" s="2">
        <v>12000</v>
      </c>
    </row>
    <row r="909" spans="1:5" x14ac:dyDescent="0.3">
      <c r="A909" s="1">
        <v>908</v>
      </c>
      <c r="B909" s="1" t="s">
        <v>714</v>
      </c>
      <c r="C909" s="1" t="s">
        <v>1088</v>
      </c>
      <c r="D909" s="1" t="s">
        <v>1122</v>
      </c>
      <c r="E909" s="2">
        <v>11000</v>
      </c>
    </row>
    <row r="910" spans="1:5" x14ac:dyDescent="0.3">
      <c r="A910" s="1">
        <v>909</v>
      </c>
      <c r="B910" s="1" t="s">
        <v>719</v>
      </c>
      <c r="C910" s="1" t="s">
        <v>946</v>
      </c>
      <c r="D910" s="1" t="s">
        <v>1098</v>
      </c>
      <c r="E910" s="2">
        <v>15000</v>
      </c>
    </row>
    <row r="911" spans="1:5" x14ac:dyDescent="0.3">
      <c r="A911" s="1">
        <v>910</v>
      </c>
      <c r="B911" s="1" t="s">
        <v>719</v>
      </c>
      <c r="C911" s="1" t="s">
        <v>948</v>
      </c>
      <c r="D911" s="1" t="s">
        <v>949</v>
      </c>
      <c r="E911" s="2">
        <v>5000</v>
      </c>
    </row>
    <row r="912" spans="1:5" x14ac:dyDescent="0.3">
      <c r="A912" s="1">
        <v>911</v>
      </c>
      <c r="B912" s="1" t="s">
        <v>719</v>
      </c>
      <c r="C912" s="1" t="s">
        <v>950</v>
      </c>
      <c r="D912" s="1" t="s">
        <v>1074</v>
      </c>
      <c r="E912" s="2">
        <v>4000</v>
      </c>
    </row>
    <row r="913" spans="1:5" x14ac:dyDescent="0.3">
      <c r="A913" s="1">
        <v>912</v>
      </c>
      <c r="B913" s="1" t="s">
        <v>719</v>
      </c>
      <c r="C913" s="1" t="s">
        <v>952</v>
      </c>
      <c r="D913" s="1" t="s">
        <v>953</v>
      </c>
      <c r="E913" s="2">
        <v>17000</v>
      </c>
    </row>
    <row r="914" spans="1:5" x14ac:dyDescent="0.3">
      <c r="A914" s="1">
        <v>913</v>
      </c>
      <c r="B914" s="1" t="s">
        <v>719</v>
      </c>
      <c r="C914" s="1" t="s">
        <v>954</v>
      </c>
      <c r="D914" s="1" t="s">
        <v>955</v>
      </c>
      <c r="E914" s="2">
        <v>11000</v>
      </c>
    </row>
    <row r="915" spans="1:5" x14ac:dyDescent="0.3">
      <c r="A915" s="1">
        <v>914</v>
      </c>
      <c r="B915" s="1" t="s">
        <v>719</v>
      </c>
      <c r="C915" s="1" t="s">
        <v>956</v>
      </c>
      <c r="D915" s="1" t="s">
        <v>1075</v>
      </c>
      <c r="E915" s="2">
        <v>6000</v>
      </c>
    </row>
    <row r="916" spans="1:5" x14ac:dyDescent="0.3">
      <c r="A916" s="1">
        <v>915</v>
      </c>
      <c r="B916" s="1" t="s">
        <v>719</v>
      </c>
      <c r="C916" s="1" t="s">
        <v>958</v>
      </c>
      <c r="D916" s="1" t="s">
        <v>959</v>
      </c>
      <c r="E916" s="2">
        <v>4500</v>
      </c>
    </row>
    <row r="917" spans="1:5" x14ac:dyDescent="0.3">
      <c r="A917" s="1">
        <v>916</v>
      </c>
      <c r="B917" s="1" t="s">
        <v>719</v>
      </c>
      <c r="C917" s="1" t="s">
        <v>960</v>
      </c>
      <c r="D917" s="1" t="s">
        <v>961</v>
      </c>
      <c r="E917" s="2">
        <v>8500</v>
      </c>
    </row>
    <row r="918" spans="1:5" x14ac:dyDescent="0.3">
      <c r="A918" s="1">
        <v>917</v>
      </c>
      <c r="B918" s="1" t="s">
        <v>719</v>
      </c>
      <c r="C918" s="1" t="s">
        <v>962</v>
      </c>
      <c r="D918" s="1" t="s">
        <v>963</v>
      </c>
      <c r="E918" s="2">
        <v>2000</v>
      </c>
    </row>
    <row r="919" spans="1:5" x14ac:dyDescent="0.3">
      <c r="A919" s="1">
        <v>918</v>
      </c>
      <c r="B919" s="1" t="s">
        <v>724</v>
      </c>
      <c r="C919" s="1" t="s">
        <v>1028</v>
      </c>
      <c r="D919" s="1" t="s">
        <v>1029</v>
      </c>
      <c r="E919" s="2">
        <v>4000</v>
      </c>
    </row>
    <row r="920" spans="1:5" x14ac:dyDescent="0.3">
      <c r="A920" s="1">
        <v>919</v>
      </c>
      <c r="B920" s="1" t="s">
        <v>724</v>
      </c>
      <c r="C920" s="1" t="s">
        <v>1030</v>
      </c>
      <c r="D920" s="1" t="s">
        <v>1031</v>
      </c>
      <c r="E920" s="2">
        <v>5000</v>
      </c>
    </row>
    <row r="921" spans="1:5" x14ac:dyDescent="0.3">
      <c r="A921" s="1">
        <v>920</v>
      </c>
      <c r="B921" s="1" t="s">
        <v>724</v>
      </c>
      <c r="C921" s="1" t="s">
        <v>1032</v>
      </c>
      <c r="D921" s="1" t="s">
        <v>1033</v>
      </c>
      <c r="E921" s="2">
        <v>5000</v>
      </c>
    </row>
    <row r="922" spans="1:5" x14ac:dyDescent="0.3">
      <c r="A922" s="1">
        <v>921</v>
      </c>
      <c r="B922" s="1" t="s">
        <v>724</v>
      </c>
      <c r="C922" s="1" t="s">
        <v>1034</v>
      </c>
      <c r="D922" s="1" t="s">
        <v>1035</v>
      </c>
      <c r="E922" s="2">
        <v>6000</v>
      </c>
    </row>
    <row r="923" spans="1:5" x14ac:dyDescent="0.3">
      <c r="A923" s="1">
        <v>922</v>
      </c>
      <c r="B923" s="1" t="s">
        <v>724</v>
      </c>
      <c r="C923" s="1" t="s">
        <v>1036</v>
      </c>
      <c r="D923" s="1" t="s">
        <v>1037</v>
      </c>
      <c r="E923" s="2">
        <v>5000</v>
      </c>
    </row>
    <row r="924" spans="1:5" x14ac:dyDescent="0.3">
      <c r="A924" s="1">
        <v>923</v>
      </c>
      <c r="B924" s="1" t="s">
        <v>724</v>
      </c>
      <c r="C924" s="1" t="s">
        <v>1038</v>
      </c>
      <c r="D924" s="1" t="s">
        <v>1039</v>
      </c>
      <c r="E924" s="2">
        <v>2000</v>
      </c>
    </row>
    <row r="925" spans="1:5" x14ac:dyDescent="0.3">
      <c r="A925" s="1">
        <v>924</v>
      </c>
      <c r="B925" s="1" t="s">
        <v>724</v>
      </c>
      <c r="C925" s="1" t="s">
        <v>1065</v>
      </c>
      <c r="D925" s="1" t="s">
        <v>1066</v>
      </c>
      <c r="E925" s="2">
        <v>4000</v>
      </c>
    </row>
    <row r="926" spans="1:5" x14ac:dyDescent="0.3">
      <c r="A926" s="1">
        <v>925</v>
      </c>
      <c r="B926" s="1" t="s">
        <v>724</v>
      </c>
      <c r="C926" s="1" t="s">
        <v>1067</v>
      </c>
      <c r="D926" s="1" t="s">
        <v>1068</v>
      </c>
      <c r="E926" s="2">
        <v>6500</v>
      </c>
    </row>
    <row r="927" spans="1:5" x14ac:dyDescent="0.3">
      <c r="A927" s="1">
        <v>926</v>
      </c>
      <c r="B927" s="1" t="s">
        <v>724</v>
      </c>
      <c r="C927" s="1" t="s">
        <v>1069</v>
      </c>
      <c r="D927" s="1" t="s">
        <v>1070</v>
      </c>
      <c r="E927" s="2">
        <v>8000</v>
      </c>
    </row>
    <row r="928" spans="1:5" x14ac:dyDescent="0.3">
      <c r="A928" s="1">
        <v>927</v>
      </c>
      <c r="B928" s="1" t="s">
        <v>729</v>
      </c>
      <c r="C928" s="1" t="s">
        <v>946</v>
      </c>
      <c r="D928" s="1" t="s">
        <v>1098</v>
      </c>
      <c r="E928" s="2">
        <v>15000</v>
      </c>
    </row>
    <row r="929" spans="1:5" x14ac:dyDescent="0.3">
      <c r="A929" s="1">
        <v>928</v>
      </c>
      <c r="B929" s="1" t="s">
        <v>729</v>
      </c>
      <c r="C929" s="1" t="s">
        <v>948</v>
      </c>
      <c r="D929" s="1" t="s">
        <v>949</v>
      </c>
      <c r="E929" s="2">
        <v>5000</v>
      </c>
    </row>
    <row r="930" spans="1:5" x14ac:dyDescent="0.3">
      <c r="A930" s="1">
        <v>929</v>
      </c>
      <c r="B930" s="1" t="s">
        <v>729</v>
      </c>
      <c r="C930" s="1" t="s">
        <v>950</v>
      </c>
      <c r="D930" s="1" t="s">
        <v>1074</v>
      </c>
      <c r="E930" s="2">
        <v>4000</v>
      </c>
    </row>
    <row r="931" spans="1:5" x14ac:dyDescent="0.3">
      <c r="A931" s="1">
        <v>930</v>
      </c>
      <c r="B931" s="1" t="s">
        <v>729</v>
      </c>
      <c r="C931" s="1" t="s">
        <v>952</v>
      </c>
      <c r="D931" s="1" t="s">
        <v>953</v>
      </c>
      <c r="E931" s="2">
        <v>17000</v>
      </c>
    </row>
    <row r="932" spans="1:5" x14ac:dyDescent="0.3">
      <c r="A932" s="1">
        <v>931</v>
      </c>
      <c r="B932" s="1" t="s">
        <v>729</v>
      </c>
      <c r="C932" s="1" t="s">
        <v>954</v>
      </c>
      <c r="D932" s="1" t="s">
        <v>955</v>
      </c>
      <c r="E932" s="2">
        <v>11000</v>
      </c>
    </row>
    <row r="933" spans="1:5" x14ac:dyDescent="0.3">
      <c r="A933" s="1">
        <v>932</v>
      </c>
      <c r="B933" s="1" t="s">
        <v>729</v>
      </c>
      <c r="C933" s="1" t="s">
        <v>956</v>
      </c>
      <c r="D933" s="1" t="s">
        <v>1075</v>
      </c>
      <c r="E933" s="2">
        <v>6000</v>
      </c>
    </row>
    <row r="934" spans="1:5" x14ac:dyDescent="0.3">
      <c r="A934" s="1">
        <v>933</v>
      </c>
      <c r="B934" s="1" t="s">
        <v>729</v>
      </c>
      <c r="C934" s="1" t="s">
        <v>958</v>
      </c>
      <c r="D934" s="1" t="s">
        <v>959</v>
      </c>
      <c r="E934" s="2">
        <v>4500</v>
      </c>
    </row>
    <row r="935" spans="1:5" x14ac:dyDescent="0.3">
      <c r="A935" s="1">
        <v>934</v>
      </c>
      <c r="B935" s="1" t="s">
        <v>729</v>
      </c>
      <c r="C935" s="1" t="s">
        <v>960</v>
      </c>
      <c r="D935" s="1" t="s">
        <v>961</v>
      </c>
      <c r="E935" s="2">
        <v>8500</v>
      </c>
    </row>
    <row r="936" spans="1:5" x14ac:dyDescent="0.3">
      <c r="A936" s="1">
        <v>935</v>
      </c>
      <c r="B936" s="1" t="s">
        <v>729</v>
      </c>
      <c r="C936" s="1" t="s">
        <v>962</v>
      </c>
      <c r="D936" s="1" t="s">
        <v>963</v>
      </c>
      <c r="E936" s="2">
        <v>2000</v>
      </c>
    </row>
    <row r="937" spans="1:5" x14ac:dyDescent="0.3">
      <c r="A937" s="1">
        <v>936</v>
      </c>
      <c r="B937" s="1" t="s">
        <v>734</v>
      </c>
      <c r="C937" s="1" t="s">
        <v>1040</v>
      </c>
      <c r="D937" s="1" t="s">
        <v>1041</v>
      </c>
      <c r="E937" s="2">
        <v>4500</v>
      </c>
    </row>
    <row r="938" spans="1:5" x14ac:dyDescent="0.3">
      <c r="A938" s="1">
        <v>937</v>
      </c>
      <c r="B938" s="1" t="s">
        <v>734</v>
      </c>
      <c r="C938" s="1" t="s">
        <v>1042</v>
      </c>
      <c r="D938" s="1" t="s">
        <v>1043</v>
      </c>
      <c r="E938" s="2">
        <v>3000</v>
      </c>
    </row>
    <row r="939" spans="1:5" x14ac:dyDescent="0.3">
      <c r="A939" s="1">
        <v>938</v>
      </c>
      <c r="B939" s="1" t="s">
        <v>734</v>
      </c>
      <c r="C939" s="1" t="s">
        <v>1044</v>
      </c>
      <c r="D939" s="1" t="s">
        <v>1045</v>
      </c>
      <c r="E939" s="2">
        <v>2000</v>
      </c>
    </row>
    <row r="940" spans="1:5" x14ac:dyDescent="0.3">
      <c r="A940" s="1">
        <v>939</v>
      </c>
      <c r="B940" s="1" t="s">
        <v>734</v>
      </c>
      <c r="C940" s="1" t="s">
        <v>1059</v>
      </c>
      <c r="D940" s="1" t="s">
        <v>1060</v>
      </c>
      <c r="E940" s="1">
        <v>500</v>
      </c>
    </row>
    <row r="941" spans="1:5" x14ac:dyDescent="0.3">
      <c r="A941" s="1">
        <v>940</v>
      </c>
      <c r="B941" s="1" t="s">
        <v>734</v>
      </c>
      <c r="C941" s="1" t="s">
        <v>1046</v>
      </c>
      <c r="D941" s="1" t="s">
        <v>1047</v>
      </c>
      <c r="E941" s="1">
        <v>700</v>
      </c>
    </row>
    <row r="942" spans="1:5" x14ac:dyDescent="0.3">
      <c r="A942" s="1">
        <v>941</v>
      </c>
      <c r="B942" s="1" t="s">
        <v>734</v>
      </c>
      <c r="C942" s="1" t="s">
        <v>1048</v>
      </c>
      <c r="D942" s="1" t="s">
        <v>1049</v>
      </c>
      <c r="E942" s="1">
        <v>700</v>
      </c>
    </row>
    <row r="943" spans="1:5" x14ac:dyDescent="0.3">
      <c r="A943" s="1">
        <v>942</v>
      </c>
      <c r="B943" s="1" t="s">
        <v>734</v>
      </c>
      <c r="C943" s="1" t="s">
        <v>1061</v>
      </c>
      <c r="D943" s="1" t="s">
        <v>1062</v>
      </c>
      <c r="E943" s="2">
        <v>2500</v>
      </c>
    </row>
    <row r="944" spans="1:5" x14ac:dyDescent="0.3">
      <c r="A944" s="1">
        <v>943</v>
      </c>
      <c r="B944" s="1" t="s">
        <v>734</v>
      </c>
      <c r="C944" s="1" t="s">
        <v>1063</v>
      </c>
      <c r="D944" s="1" t="s">
        <v>1064</v>
      </c>
      <c r="E944" s="2">
        <v>3500</v>
      </c>
    </row>
    <row r="945" spans="1:5" x14ac:dyDescent="0.3">
      <c r="A945" s="1">
        <v>944</v>
      </c>
      <c r="B945" s="1" t="s">
        <v>739</v>
      </c>
      <c r="C945" s="1" t="s">
        <v>1028</v>
      </c>
      <c r="D945" s="1" t="s">
        <v>1029</v>
      </c>
      <c r="E945" s="2">
        <v>4000</v>
      </c>
    </row>
    <row r="946" spans="1:5" x14ac:dyDescent="0.3">
      <c r="A946" s="1">
        <v>945</v>
      </c>
      <c r="B946" s="1" t="s">
        <v>739</v>
      </c>
      <c r="C946" s="1" t="s">
        <v>1030</v>
      </c>
      <c r="D946" s="1" t="s">
        <v>1031</v>
      </c>
      <c r="E946" s="2">
        <v>5000</v>
      </c>
    </row>
    <row r="947" spans="1:5" x14ac:dyDescent="0.3">
      <c r="A947" s="1">
        <v>946</v>
      </c>
      <c r="B947" s="1" t="s">
        <v>739</v>
      </c>
      <c r="C947" s="1" t="s">
        <v>1032</v>
      </c>
      <c r="D947" s="1" t="s">
        <v>1033</v>
      </c>
      <c r="E947" s="2">
        <v>5000</v>
      </c>
    </row>
    <row r="948" spans="1:5" x14ac:dyDescent="0.3">
      <c r="A948" s="1">
        <v>947</v>
      </c>
      <c r="B948" s="1" t="s">
        <v>739</v>
      </c>
      <c r="C948" s="1" t="s">
        <v>1034</v>
      </c>
      <c r="D948" s="1" t="s">
        <v>1035</v>
      </c>
      <c r="E948" s="2">
        <v>6000</v>
      </c>
    </row>
    <row r="949" spans="1:5" x14ac:dyDescent="0.3">
      <c r="A949" s="1">
        <v>948</v>
      </c>
      <c r="B949" s="1" t="s">
        <v>739</v>
      </c>
      <c r="C949" s="1" t="s">
        <v>1036</v>
      </c>
      <c r="D949" s="1" t="s">
        <v>1037</v>
      </c>
      <c r="E949" s="2">
        <v>5000</v>
      </c>
    </row>
    <row r="950" spans="1:5" x14ac:dyDescent="0.3">
      <c r="A950" s="1">
        <v>949</v>
      </c>
      <c r="B950" s="1" t="s">
        <v>739</v>
      </c>
      <c r="C950" s="1" t="s">
        <v>1038</v>
      </c>
      <c r="D950" s="1" t="s">
        <v>1039</v>
      </c>
      <c r="E950" s="2">
        <v>2000</v>
      </c>
    </row>
    <row r="951" spans="1:5" x14ac:dyDescent="0.3">
      <c r="A951" s="1">
        <v>950</v>
      </c>
      <c r="B951" s="1" t="s">
        <v>739</v>
      </c>
      <c r="C951" s="1" t="s">
        <v>1065</v>
      </c>
      <c r="D951" s="1" t="s">
        <v>1066</v>
      </c>
      <c r="E951" s="2">
        <v>4000</v>
      </c>
    </row>
    <row r="952" spans="1:5" x14ac:dyDescent="0.3">
      <c r="A952" s="1">
        <v>951</v>
      </c>
      <c r="B952" s="1" t="s">
        <v>739</v>
      </c>
      <c r="C952" s="1" t="s">
        <v>1067</v>
      </c>
      <c r="D952" s="1" t="s">
        <v>1068</v>
      </c>
      <c r="E952" s="2">
        <v>6500</v>
      </c>
    </row>
    <row r="953" spans="1:5" x14ac:dyDescent="0.3">
      <c r="A953" s="1">
        <v>952</v>
      </c>
      <c r="B953" s="1" t="s">
        <v>739</v>
      </c>
      <c r="C953" s="1" t="s">
        <v>1069</v>
      </c>
      <c r="D953" s="1" t="s">
        <v>1070</v>
      </c>
      <c r="E953" s="2">
        <v>8000</v>
      </c>
    </row>
    <row r="954" spans="1:5" x14ac:dyDescent="0.3">
      <c r="A954" s="1">
        <v>953</v>
      </c>
      <c r="B954" s="1" t="s">
        <v>744</v>
      </c>
      <c r="C954" s="1" t="s">
        <v>1028</v>
      </c>
      <c r="D954" s="1" t="s">
        <v>1029</v>
      </c>
      <c r="E954" s="2">
        <v>4000</v>
      </c>
    </row>
    <row r="955" spans="1:5" x14ac:dyDescent="0.3">
      <c r="A955" s="1">
        <v>954</v>
      </c>
      <c r="B955" s="1" t="s">
        <v>744</v>
      </c>
      <c r="C955" s="1" t="s">
        <v>1030</v>
      </c>
      <c r="D955" s="1" t="s">
        <v>1031</v>
      </c>
      <c r="E955" s="2">
        <v>5000</v>
      </c>
    </row>
    <row r="956" spans="1:5" x14ac:dyDescent="0.3">
      <c r="A956" s="1">
        <v>955</v>
      </c>
      <c r="B956" s="1" t="s">
        <v>744</v>
      </c>
      <c r="C956" s="1" t="s">
        <v>1032</v>
      </c>
      <c r="D956" s="1" t="s">
        <v>1033</v>
      </c>
      <c r="E956" s="2">
        <v>5000</v>
      </c>
    </row>
    <row r="957" spans="1:5" x14ac:dyDescent="0.3">
      <c r="A957" s="1">
        <v>956</v>
      </c>
      <c r="B957" s="1" t="s">
        <v>744</v>
      </c>
      <c r="C957" s="1" t="s">
        <v>1034</v>
      </c>
      <c r="D957" s="1" t="s">
        <v>1035</v>
      </c>
      <c r="E957" s="2">
        <v>6000</v>
      </c>
    </row>
    <row r="958" spans="1:5" x14ac:dyDescent="0.3">
      <c r="A958" s="1">
        <v>957</v>
      </c>
      <c r="B958" s="1" t="s">
        <v>744</v>
      </c>
      <c r="C958" s="1" t="s">
        <v>1036</v>
      </c>
      <c r="D958" s="1" t="s">
        <v>1037</v>
      </c>
      <c r="E958" s="2">
        <v>5000</v>
      </c>
    </row>
    <row r="959" spans="1:5" x14ac:dyDescent="0.3">
      <c r="A959" s="1">
        <v>958</v>
      </c>
      <c r="B959" s="1" t="s">
        <v>744</v>
      </c>
      <c r="C959" s="1" t="s">
        <v>1038</v>
      </c>
      <c r="D959" s="1" t="s">
        <v>1039</v>
      </c>
      <c r="E959" s="2">
        <v>2000</v>
      </c>
    </row>
    <row r="960" spans="1:5" x14ac:dyDescent="0.3">
      <c r="A960" s="1">
        <v>959</v>
      </c>
      <c r="B960" s="1" t="s">
        <v>744</v>
      </c>
      <c r="C960" s="1" t="s">
        <v>1065</v>
      </c>
      <c r="D960" s="1" t="s">
        <v>1066</v>
      </c>
      <c r="E960" s="2">
        <v>4000</v>
      </c>
    </row>
    <row r="961" spans="1:5" x14ac:dyDescent="0.3">
      <c r="A961" s="1">
        <v>960</v>
      </c>
      <c r="B961" s="1" t="s">
        <v>744</v>
      </c>
      <c r="C961" s="1" t="s">
        <v>1067</v>
      </c>
      <c r="D961" s="1" t="s">
        <v>1068</v>
      </c>
      <c r="E961" s="2">
        <v>6500</v>
      </c>
    </row>
    <row r="962" spans="1:5" x14ac:dyDescent="0.3">
      <c r="A962" s="1">
        <v>961</v>
      </c>
      <c r="B962" s="1" t="s">
        <v>744</v>
      </c>
      <c r="C962" s="1" t="s">
        <v>1069</v>
      </c>
      <c r="D962" s="1" t="s">
        <v>1070</v>
      </c>
      <c r="E962" s="2">
        <v>8000</v>
      </c>
    </row>
    <row r="963" spans="1:5" x14ac:dyDescent="0.3">
      <c r="A963" s="1">
        <v>962</v>
      </c>
      <c r="B963" s="1" t="s">
        <v>749</v>
      </c>
      <c r="C963" s="1" t="s">
        <v>1028</v>
      </c>
      <c r="D963" s="1" t="s">
        <v>1029</v>
      </c>
      <c r="E963" s="2">
        <v>4000</v>
      </c>
    </row>
    <row r="964" spans="1:5" x14ac:dyDescent="0.3">
      <c r="A964" s="1">
        <v>963</v>
      </c>
      <c r="B964" s="1" t="s">
        <v>749</v>
      </c>
      <c r="C964" s="1" t="s">
        <v>1030</v>
      </c>
      <c r="D964" s="1" t="s">
        <v>1031</v>
      </c>
      <c r="E964" s="2">
        <v>5000</v>
      </c>
    </row>
    <row r="965" spans="1:5" x14ac:dyDescent="0.3">
      <c r="A965" s="1">
        <v>964</v>
      </c>
      <c r="B965" s="1" t="s">
        <v>749</v>
      </c>
      <c r="C965" s="1" t="s">
        <v>1032</v>
      </c>
      <c r="D965" s="1" t="s">
        <v>1033</v>
      </c>
      <c r="E965" s="2">
        <v>5000</v>
      </c>
    </row>
    <row r="966" spans="1:5" x14ac:dyDescent="0.3">
      <c r="A966" s="1">
        <v>965</v>
      </c>
      <c r="B966" s="1" t="s">
        <v>749</v>
      </c>
      <c r="C966" s="1" t="s">
        <v>1034</v>
      </c>
      <c r="D966" s="1" t="s">
        <v>1035</v>
      </c>
      <c r="E966" s="2">
        <v>6000</v>
      </c>
    </row>
    <row r="967" spans="1:5" x14ac:dyDescent="0.3">
      <c r="A967" s="1">
        <v>966</v>
      </c>
      <c r="B967" s="1" t="s">
        <v>749</v>
      </c>
      <c r="C967" s="1" t="s">
        <v>1036</v>
      </c>
      <c r="D967" s="1" t="s">
        <v>1037</v>
      </c>
      <c r="E967" s="2">
        <v>5000</v>
      </c>
    </row>
    <row r="968" spans="1:5" x14ac:dyDescent="0.3">
      <c r="A968" s="1">
        <v>967</v>
      </c>
      <c r="B968" s="1" t="s">
        <v>749</v>
      </c>
      <c r="C968" s="1" t="s">
        <v>1038</v>
      </c>
      <c r="D968" s="1" t="s">
        <v>1039</v>
      </c>
      <c r="E968" s="2">
        <v>2000</v>
      </c>
    </row>
    <row r="969" spans="1:5" x14ac:dyDescent="0.3">
      <c r="A969" s="1">
        <v>968</v>
      </c>
      <c r="B969" s="1" t="s">
        <v>749</v>
      </c>
      <c r="C969" s="1" t="s">
        <v>1065</v>
      </c>
      <c r="D969" s="1" t="s">
        <v>1066</v>
      </c>
      <c r="E969" s="2">
        <v>4000</v>
      </c>
    </row>
    <row r="970" spans="1:5" x14ac:dyDescent="0.3">
      <c r="A970" s="1">
        <v>969</v>
      </c>
      <c r="B970" s="1" t="s">
        <v>749</v>
      </c>
      <c r="C970" s="1" t="s">
        <v>1067</v>
      </c>
      <c r="D970" s="1" t="s">
        <v>1068</v>
      </c>
      <c r="E970" s="2">
        <v>6500</v>
      </c>
    </row>
    <row r="971" spans="1:5" x14ac:dyDescent="0.3">
      <c r="A971" s="1">
        <v>970</v>
      </c>
      <c r="B971" s="1" t="s">
        <v>749</v>
      </c>
      <c r="C971" s="1" t="s">
        <v>1069</v>
      </c>
      <c r="D971" s="1" t="s">
        <v>1070</v>
      </c>
      <c r="E971" s="2">
        <v>8000</v>
      </c>
    </row>
    <row r="972" spans="1:5" x14ac:dyDescent="0.3">
      <c r="A972" s="1">
        <v>971</v>
      </c>
      <c r="B972" s="1" t="s">
        <v>754</v>
      </c>
      <c r="C972" s="1" t="s">
        <v>1104</v>
      </c>
      <c r="D972" s="1" t="s">
        <v>1105</v>
      </c>
      <c r="E972" s="2">
        <v>1500</v>
      </c>
    </row>
    <row r="973" spans="1:5" x14ac:dyDescent="0.3">
      <c r="A973" s="1">
        <v>972</v>
      </c>
      <c r="B973" s="1" t="s">
        <v>754</v>
      </c>
      <c r="C973" s="1" t="s">
        <v>1106</v>
      </c>
      <c r="D973" s="1" t="s">
        <v>1107</v>
      </c>
      <c r="E973" s="2">
        <v>2000</v>
      </c>
    </row>
    <row r="974" spans="1:5" x14ac:dyDescent="0.3">
      <c r="A974" s="1">
        <v>973</v>
      </c>
      <c r="B974" s="1" t="s">
        <v>754</v>
      </c>
      <c r="C974" s="1" t="s">
        <v>1108</v>
      </c>
      <c r="D974" s="1" t="s">
        <v>1109</v>
      </c>
      <c r="E974" s="2">
        <v>1500</v>
      </c>
    </row>
    <row r="975" spans="1:5" x14ac:dyDescent="0.3">
      <c r="A975" s="1">
        <v>974</v>
      </c>
      <c r="B975" s="1" t="s">
        <v>754</v>
      </c>
      <c r="C975" s="1" t="s">
        <v>1110</v>
      </c>
      <c r="D975" s="1" t="s">
        <v>1111</v>
      </c>
      <c r="E975" s="2">
        <v>2000</v>
      </c>
    </row>
    <row r="976" spans="1:5" x14ac:dyDescent="0.3">
      <c r="A976" s="1">
        <v>975</v>
      </c>
      <c r="B976" s="1" t="s">
        <v>754</v>
      </c>
      <c r="C976" s="1" t="s">
        <v>1112</v>
      </c>
      <c r="D976" s="1" t="s">
        <v>1113</v>
      </c>
      <c r="E976" s="2">
        <v>2000</v>
      </c>
    </row>
    <row r="977" spans="1:5" x14ac:dyDescent="0.3">
      <c r="A977" s="1">
        <v>976</v>
      </c>
      <c r="B977" s="1" t="s">
        <v>754</v>
      </c>
      <c r="C977" s="1" t="s">
        <v>1114</v>
      </c>
      <c r="D977" s="1" t="s">
        <v>1115</v>
      </c>
      <c r="E977" s="2">
        <v>2500</v>
      </c>
    </row>
    <row r="978" spans="1:5" x14ac:dyDescent="0.3">
      <c r="A978" s="1">
        <v>977</v>
      </c>
      <c r="B978" s="1" t="s">
        <v>754</v>
      </c>
      <c r="C978" s="1" t="s">
        <v>1116</v>
      </c>
      <c r="D978" s="1" t="s">
        <v>1117</v>
      </c>
      <c r="E978" s="2">
        <v>2000</v>
      </c>
    </row>
    <row r="979" spans="1:5" x14ac:dyDescent="0.3">
      <c r="A979" s="1">
        <v>978</v>
      </c>
      <c r="B979" s="1" t="s">
        <v>754</v>
      </c>
      <c r="C979" s="1" t="s">
        <v>1118</v>
      </c>
      <c r="D979" s="1" t="s">
        <v>1119</v>
      </c>
      <c r="E979" s="2">
        <v>2500</v>
      </c>
    </row>
    <row r="980" spans="1:5" x14ac:dyDescent="0.3">
      <c r="A980" s="1">
        <v>979</v>
      </c>
      <c r="B980" s="1" t="s">
        <v>754</v>
      </c>
      <c r="C980" s="1" t="s">
        <v>1120</v>
      </c>
      <c r="D980" s="1" t="s">
        <v>1121</v>
      </c>
      <c r="E980" s="2">
        <v>3000</v>
      </c>
    </row>
    <row r="981" spans="1:5" x14ac:dyDescent="0.3">
      <c r="A981" s="1">
        <v>980</v>
      </c>
      <c r="B981" s="1" t="s">
        <v>759</v>
      </c>
      <c r="C981" s="1" t="s">
        <v>983</v>
      </c>
      <c r="D981" s="1" t="s">
        <v>984</v>
      </c>
      <c r="E981" s="2">
        <v>10000</v>
      </c>
    </row>
    <row r="982" spans="1:5" x14ac:dyDescent="0.3">
      <c r="A982" s="1">
        <v>981</v>
      </c>
      <c r="B982" s="1" t="s">
        <v>759</v>
      </c>
      <c r="C982" s="1" t="s">
        <v>1099</v>
      </c>
      <c r="D982" s="1" t="s">
        <v>1100</v>
      </c>
      <c r="E982" s="2">
        <v>11000</v>
      </c>
    </row>
    <row r="983" spans="1:5" x14ac:dyDescent="0.3">
      <c r="A983" s="1">
        <v>982</v>
      </c>
      <c r="B983" s="1" t="s">
        <v>759</v>
      </c>
      <c r="C983" s="1" t="s">
        <v>1101</v>
      </c>
      <c r="D983" s="1" t="s">
        <v>1102</v>
      </c>
      <c r="E983" s="2">
        <v>9000</v>
      </c>
    </row>
    <row r="984" spans="1:5" x14ac:dyDescent="0.3">
      <c r="A984" s="1">
        <v>983</v>
      </c>
      <c r="B984" s="1" t="s">
        <v>759</v>
      </c>
      <c r="C984" s="1" t="s">
        <v>985</v>
      </c>
      <c r="D984" s="1" t="s">
        <v>986</v>
      </c>
      <c r="E984" s="2">
        <v>6000</v>
      </c>
    </row>
    <row r="985" spans="1:5" x14ac:dyDescent="0.3">
      <c r="A985" s="1">
        <v>984</v>
      </c>
      <c r="B985" s="1" t="s">
        <v>759</v>
      </c>
      <c r="C985" s="1" t="s">
        <v>987</v>
      </c>
      <c r="D985" s="1" t="s">
        <v>988</v>
      </c>
      <c r="E985" s="2">
        <v>6500</v>
      </c>
    </row>
    <row r="986" spans="1:5" x14ac:dyDescent="0.3">
      <c r="A986" s="1">
        <v>985</v>
      </c>
      <c r="B986" s="1" t="s">
        <v>759</v>
      </c>
      <c r="C986" s="1" t="s">
        <v>989</v>
      </c>
      <c r="D986" s="1" t="s">
        <v>990</v>
      </c>
      <c r="E986" s="2">
        <v>13000</v>
      </c>
    </row>
    <row r="987" spans="1:5" x14ac:dyDescent="0.3">
      <c r="A987" s="1">
        <v>986</v>
      </c>
      <c r="B987" s="1" t="s">
        <v>759</v>
      </c>
      <c r="C987" s="1" t="s">
        <v>991</v>
      </c>
      <c r="D987" s="1" t="s">
        <v>992</v>
      </c>
      <c r="E987" s="2">
        <v>11000</v>
      </c>
    </row>
    <row r="988" spans="1:5" x14ac:dyDescent="0.3">
      <c r="A988" s="1">
        <v>987</v>
      </c>
      <c r="B988" s="1" t="s">
        <v>759</v>
      </c>
      <c r="C988" s="1" t="s">
        <v>964</v>
      </c>
      <c r="D988" s="1" t="s">
        <v>1027</v>
      </c>
      <c r="E988" s="2">
        <v>1500</v>
      </c>
    </row>
    <row r="989" spans="1:5" x14ac:dyDescent="0.3">
      <c r="A989" s="1">
        <v>988</v>
      </c>
      <c r="B989" s="1" t="s">
        <v>764</v>
      </c>
      <c r="C989" s="1" t="s">
        <v>1040</v>
      </c>
      <c r="D989" s="1" t="s">
        <v>1041</v>
      </c>
      <c r="E989" s="2">
        <v>4500</v>
      </c>
    </row>
    <row r="990" spans="1:5" x14ac:dyDescent="0.3">
      <c r="A990" s="1">
        <v>989</v>
      </c>
      <c r="B990" s="1" t="s">
        <v>764</v>
      </c>
      <c r="C990" s="1" t="s">
        <v>1042</v>
      </c>
      <c r="D990" s="1" t="s">
        <v>1043</v>
      </c>
      <c r="E990" s="2">
        <v>3000</v>
      </c>
    </row>
    <row r="991" spans="1:5" x14ac:dyDescent="0.3">
      <c r="A991" s="1">
        <v>990</v>
      </c>
      <c r="B991" s="1" t="s">
        <v>764</v>
      </c>
      <c r="C991" s="1" t="s">
        <v>1044</v>
      </c>
      <c r="D991" s="1" t="s">
        <v>1045</v>
      </c>
      <c r="E991" s="2">
        <v>2000</v>
      </c>
    </row>
    <row r="992" spans="1:5" x14ac:dyDescent="0.3">
      <c r="A992" s="1">
        <v>991</v>
      </c>
      <c r="B992" s="1" t="s">
        <v>764</v>
      </c>
      <c r="C992" s="1" t="s">
        <v>1059</v>
      </c>
      <c r="D992" s="1" t="s">
        <v>1060</v>
      </c>
      <c r="E992" s="1">
        <v>500</v>
      </c>
    </row>
    <row r="993" spans="1:5" x14ac:dyDescent="0.3">
      <c r="A993" s="1">
        <v>992</v>
      </c>
      <c r="B993" s="1" t="s">
        <v>764</v>
      </c>
      <c r="C993" s="1" t="s">
        <v>1046</v>
      </c>
      <c r="D993" s="1" t="s">
        <v>1047</v>
      </c>
      <c r="E993" s="1">
        <v>700</v>
      </c>
    </row>
    <row r="994" spans="1:5" x14ac:dyDescent="0.3">
      <c r="A994" s="1">
        <v>993</v>
      </c>
      <c r="B994" s="1" t="s">
        <v>764</v>
      </c>
      <c r="C994" s="1" t="s">
        <v>1048</v>
      </c>
      <c r="D994" s="1" t="s">
        <v>1049</v>
      </c>
      <c r="E994" s="1">
        <v>700</v>
      </c>
    </row>
    <row r="995" spans="1:5" x14ac:dyDescent="0.3">
      <c r="A995" s="1">
        <v>994</v>
      </c>
      <c r="B995" s="1" t="s">
        <v>764</v>
      </c>
      <c r="C995" s="1" t="s">
        <v>1061</v>
      </c>
      <c r="D995" s="1" t="s">
        <v>1062</v>
      </c>
      <c r="E995" s="2">
        <v>2500</v>
      </c>
    </row>
    <row r="996" spans="1:5" x14ac:dyDescent="0.3">
      <c r="A996" s="1">
        <v>995</v>
      </c>
      <c r="B996" s="1" t="s">
        <v>764</v>
      </c>
      <c r="C996" s="1" t="s">
        <v>1063</v>
      </c>
      <c r="D996" s="1" t="s">
        <v>1064</v>
      </c>
      <c r="E996" s="2">
        <v>3500</v>
      </c>
    </row>
    <row r="997" spans="1:5" x14ac:dyDescent="0.3">
      <c r="A997" s="1">
        <v>996</v>
      </c>
      <c r="B997" s="1" t="s">
        <v>769</v>
      </c>
      <c r="C997" s="1" t="s">
        <v>946</v>
      </c>
      <c r="D997" s="1" t="s">
        <v>1098</v>
      </c>
      <c r="E997" s="2">
        <v>15000</v>
      </c>
    </row>
    <row r="998" spans="1:5" x14ac:dyDescent="0.3">
      <c r="A998" s="1">
        <v>997</v>
      </c>
      <c r="B998" s="1" t="s">
        <v>769</v>
      </c>
      <c r="C998" s="1" t="s">
        <v>948</v>
      </c>
      <c r="D998" s="1" t="s">
        <v>949</v>
      </c>
      <c r="E998" s="2">
        <v>5000</v>
      </c>
    </row>
    <row r="999" spans="1:5" x14ac:dyDescent="0.3">
      <c r="A999" s="1">
        <v>998</v>
      </c>
      <c r="B999" s="1" t="s">
        <v>769</v>
      </c>
      <c r="C999" s="1" t="s">
        <v>950</v>
      </c>
      <c r="D999" s="1" t="s">
        <v>1074</v>
      </c>
      <c r="E999" s="2">
        <v>4000</v>
      </c>
    </row>
    <row r="1000" spans="1:5" x14ac:dyDescent="0.3">
      <c r="A1000" s="1">
        <v>999</v>
      </c>
      <c r="B1000" s="1" t="s">
        <v>769</v>
      </c>
      <c r="C1000" s="1" t="s">
        <v>952</v>
      </c>
      <c r="D1000" s="1" t="s">
        <v>953</v>
      </c>
      <c r="E1000" s="2">
        <v>17000</v>
      </c>
    </row>
    <row r="1001" spans="1:5" x14ac:dyDescent="0.3">
      <c r="A1001" s="1">
        <v>1000</v>
      </c>
      <c r="B1001" s="1" t="s">
        <v>769</v>
      </c>
      <c r="C1001" s="1" t="s">
        <v>954</v>
      </c>
      <c r="D1001" s="1" t="s">
        <v>955</v>
      </c>
      <c r="E1001" s="2">
        <v>11000</v>
      </c>
    </row>
    <row r="1002" spans="1:5" x14ac:dyDescent="0.3">
      <c r="A1002" s="1">
        <v>1001</v>
      </c>
      <c r="B1002" s="1" t="s">
        <v>769</v>
      </c>
      <c r="C1002" s="1" t="s">
        <v>956</v>
      </c>
      <c r="D1002" s="1" t="s">
        <v>1075</v>
      </c>
      <c r="E1002" s="2">
        <v>6000</v>
      </c>
    </row>
    <row r="1003" spans="1:5" x14ac:dyDescent="0.3">
      <c r="A1003" s="1">
        <v>1002</v>
      </c>
      <c r="B1003" s="1" t="s">
        <v>769</v>
      </c>
      <c r="C1003" s="1" t="s">
        <v>958</v>
      </c>
      <c r="D1003" s="1" t="s">
        <v>959</v>
      </c>
      <c r="E1003" s="2">
        <v>4500</v>
      </c>
    </row>
    <row r="1004" spans="1:5" x14ac:dyDescent="0.3">
      <c r="A1004" s="1">
        <v>1003</v>
      </c>
      <c r="B1004" s="1" t="s">
        <v>769</v>
      </c>
      <c r="C1004" s="1" t="s">
        <v>960</v>
      </c>
      <c r="D1004" s="1" t="s">
        <v>961</v>
      </c>
      <c r="E1004" s="2">
        <v>8500</v>
      </c>
    </row>
    <row r="1005" spans="1:5" x14ac:dyDescent="0.3">
      <c r="A1005" s="1">
        <v>1004</v>
      </c>
      <c r="B1005" s="1" t="s">
        <v>769</v>
      </c>
      <c r="C1005" s="1" t="s">
        <v>962</v>
      </c>
      <c r="D1005" s="1" t="s">
        <v>963</v>
      </c>
      <c r="E1005" s="2">
        <v>2000</v>
      </c>
    </row>
    <row r="1006" spans="1:5" x14ac:dyDescent="0.3">
      <c r="A1006" s="1">
        <v>1005</v>
      </c>
      <c r="B1006" s="1" t="s">
        <v>774</v>
      </c>
      <c r="C1006" s="1" t="s">
        <v>1028</v>
      </c>
      <c r="D1006" s="1" t="s">
        <v>1029</v>
      </c>
      <c r="E1006" s="2">
        <v>4000</v>
      </c>
    </row>
    <row r="1007" spans="1:5" x14ac:dyDescent="0.3">
      <c r="A1007" s="1">
        <v>1006</v>
      </c>
      <c r="B1007" s="1" t="s">
        <v>774</v>
      </c>
      <c r="C1007" s="1" t="s">
        <v>1030</v>
      </c>
      <c r="D1007" s="1" t="s">
        <v>1031</v>
      </c>
      <c r="E1007" s="2">
        <v>5000</v>
      </c>
    </row>
    <row r="1008" spans="1:5" x14ac:dyDescent="0.3">
      <c r="A1008" s="1">
        <v>1007</v>
      </c>
      <c r="B1008" s="1" t="s">
        <v>774</v>
      </c>
      <c r="C1008" s="1" t="s">
        <v>1032</v>
      </c>
      <c r="D1008" s="1" t="s">
        <v>1033</v>
      </c>
      <c r="E1008" s="2">
        <v>5000</v>
      </c>
    </row>
    <row r="1009" spans="1:5" x14ac:dyDescent="0.3">
      <c r="A1009" s="1">
        <v>1008</v>
      </c>
      <c r="B1009" s="1" t="s">
        <v>774</v>
      </c>
      <c r="C1009" s="1" t="s">
        <v>1034</v>
      </c>
      <c r="D1009" s="1" t="s">
        <v>1035</v>
      </c>
      <c r="E1009" s="2">
        <v>6000</v>
      </c>
    </row>
    <row r="1010" spans="1:5" x14ac:dyDescent="0.3">
      <c r="A1010" s="1">
        <v>1009</v>
      </c>
      <c r="B1010" s="1" t="s">
        <v>774</v>
      </c>
      <c r="C1010" s="1" t="s">
        <v>1036</v>
      </c>
      <c r="D1010" s="1" t="s">
        <v>1037</v>
      </c>
      <c r="E1010" s="2">
        <v>5000</v>
      </c>
    </row>
    <row r="1011" spans="1:5" x14ac:dyDescent="0.3">
      <c r="A1011" s="1">
        <v>1010</v>
      </c>
      <c r="B1011" s="1" t="s">
        <v>774</v>
      </c>
      <c r="C1011" s="1" t="s">
        <v>1038</v>
      </c>
      <c r="D1011" s="1" t="s">
        <v>1039</v>
      </c>
      <c r="E1011" s="2">
        <v>2000</v>
      </c>
    </row>
    <row r="1012" spans="1:5" x14ac:dyDescent="0.3">
      <c r="A1012" s="1">
        <v>1011</v>
      </c>
      <c r="B1012" s="1" t="s">
        <v>774</v>
      </c>
      <c r="C1012" s="1" t="s">
        <v>1065</v>
      </c>
      <c r="D1012" s="1" t="s">
        <v>1066</v>
      </c>
      <c r="E1012" s="2">
        <v>4000</v>
      </c>
    </row>
    <row r="1013" spans="1:5" x14ac:dyDescent="0.3">
      <c r="A1013" s="1">
        <v>1012</v>
      </c>
      <c r="B1013" s="1" t="s">
        <v>774</v>
      </c>
      <c r="C1013" s="1" t="s">
        <v>1067</v>
      </c>
      <c r="D1013" s="1" t="s">
        <v>1068</v>
      </c>
      <c r="E1013" s="2">
        <v>6500</v>
      </c>
    </row>
    <row r="1014" spans="1:5" x14ac:dyDescent="0.3">
      <c r="A1014" s="1">
        <v>1013</v>
      </c>
      <c r="B1014" s="1" t="s">
        <v>774</v>
      </c>
      <c r="C1014" s="1" t="s">
        <v>1069</v>
      </c>
      <c r="D1014" s="1" t="s">
        <v>1070</v>
      </c>
      <c r="E1014" s="2">
        <v>8000</v>
      </c>
    </row>
    <row r="1015" spans="1:5" x14ac:dyDescent="0.3">
      <c r="A1015" s="1">
        <v>1014</v>
      </c>
      <c r="B1015" s="1" t="s">
        <v>779</v>
      </c>
      <c r="C1015" s="1" t="s">
        <v>1028</v>
      </c>
      <c r="D1015" s="1" t="s">
        <v>1029</v>
      </c>
      <c r="E1015" s="2">
        <v>4000</v>
      </c>
    </row>
    <row r="1016" spans="1:5" x14ac:dyDescent="0.3">
      <c r="A1016" s="1">
        <v>1015</v>
      </c>
      <c r="B1016" s="1" t="s">
        <v>779</v>
      </c>
      <c r="C1016" s="1" t="s">
        <v>1030</v>
      </c>
      <c r="D1016" s="1" t="s">
        <v>1031</v>
      </c>
      <c r="E1016" s="2">
        <v>5000</v>
      </c>
    </row>
    <row r="1017" spans="1:5" x14ac:dyDescent="0.3">
      <c r="A1017" s="1">
        <v>1016</v>
      </c>
      <c r="B1017" s="1" t="s">
        <v>779</v>
      </c>
      <c r="C1017" s="1" t="s">
        <v>1032</v>
      </c>
      <c r="D1017" s="1" t="s">
        <v>1033</v>
      </c>
      <c r="E1017" s="2">
        <v>5000</v>
      </c>
    </row>
    <row r="1018" spans="1:5" x14ac:dyDescent="0.3">
      <c r="A1018" s="1">
        <v>1017</v>
      </c>
      <c r="B1018" s="1" t="s">
        <v>779</v>
      </c>
      <c r="C1018" s="1" t="s">
        <v>1034</v>
      </c>
      <c r="D1018" s="1" t="s">
        <v>1035</v>
      </c>
      <c r="E1018" s="2">
        <v>6000</v>
      </c>
    </row>
    <row r="1019" spans="1:5" x14ac:dyDescent="0.3">
      <c r="A1019" s="1">
        <v>1018</v>
      </c>
      <c r="B1019" s="1" t="s">
        <v>779</v>
      </c>
      <c r="C1019" s="1" t="s">
        <v>1036</v>
      </c>
      <c r="D1019" s="1" t="s">
        <v>1037</v>
      </c>
      <c r="E1019" s="2">
        <v>5000</v>
      </c>
    </row>
    <row r="1020" spans="1:5" x14ac:dyDescent="0.3">
      <c r="A1020" s="1">
        <v>1019</v>
      </c>
      <c r="B1020" s="1" t="s">
        <v>779</v>
      </c>
      <c r="C1020" s="1" t="s">
        <v>1038</v>
      </c>
      <c r="D1020" s="1" t="s">
        <v>1039</v>
      </c>
      <c r="E1020" s="2">
        <v>2000</v>
      </c>
    </row>
    <row r="1021" spans="1:5" x14ac:dyDescent="0.3">
      <c r="A1021" s="1">
        <v>1020</v>
      </c>
      <c r="B1021" s="1" t="s">
        <v>779</v>
      </c>
      <c r="C1021" s="1" t="s">
        <v>1065</v>
      </c>
      <c r="D1021" s="1" t="s">
        <v>1066</v>
      </c>
      <c r="E1021" s="2">
        <v>4000</v>
      </c>
    </row>
    <row r="1022" spans="1:5" x14ac:dyDescent="0.3">
      <c r="A1022" s="1">
        <v>1021</v>
      </c>
      <c r="B1022" s="1" t="s">
        <v>779</v>
      </c>
      <c r="C1022" s="1" t="s">
        <v>1067</v>
      </c>
      <c r="D1022" s="1" t="s">
        <v>1068</v>
      </c>
      <c r="E1022" s="2">
        <v>6500</v>
      </c>
    </row>
    <row r="1023" spans="1:5" x14ac:dyDescent="0.3">
      <c r="A1023" s="1">
        <v>1022</v>
      </c>
      <c r="B1023" s="1" t="s">
        <v>779</v>
      </c>
      <c r="C1023" s="1" t="s">
        <v>1069</v>
      </c>
      <c r="D1023" s="1" t="s">
        <v>1070</v>
      </c>
      <c r="E1023" s="2">
        <v>8000</v>
      </c>
    </row>
    <row r="1024" spans="1:5" x14ac:dyDescent="0.3">
      <c r="A1024" s="1">
        <v>1023</v>
      </c>
      <c r="B1024" s="1" t="s">
        <v>784</v>
      </c>
      <c r="C1024" s="1" t="s">
        <v>993</v>
      </c>
      <c r="D1024" s="1" t="s">
        <v>994</v>
      </c>
      <c r="E1024" s="2">
        <v>5000</v>
      </c>
    </row>
    <row r="1025" spans="1:5" x14ac:dyDescent="0.3">
      <c r="A1025" s="1">
        <v>1024</v>
      </c>
      <c r="B1025" s="1" t="s">
        <v>784</v>
      </c>
      <c r="C1025" s="1" t="s">
        <v>995</v>
      </c>
      <c r="D1025" s="1" t="s">
        <v>996</v>
      </c>
      <c r="E1025" s="2">
        <v>6000</v>
      </c>
    </row>
    <row r="1026" spans="1:5" x14ac:dyDescent="0.3">
      <c r="A1026" s="1">
        <v>1025</v>
      </c>
      <c r="B1026" s="1" t="s">
        <v>784</v>
      </c>
      <c r="C1026" s="1" t="s">
        <v>997</v>
      </c>
      <c r="D1026" s="1" t="s">
        <v>998</v>
      </c>
      <c r="E1026" s="2">
        <v>5500</v>
      </c>
    </row>
    <row r="1027" spans="1:5" x14ac:dyDescent="0.3">
      <c r="A1027" s="1">
        <v>1026</v>
      </c>
      <c r="B1027" s="1" t="s">
        <v>784</v>
      </c>
      <c r="C1027" s="1" t="s">
        <v>999</v>
      </c>
      <c r="D1027" s="1" t="s">
        <v>1000</v>
      </c>
      <c r="E1027" s="2">
        <v>6000</v>
      </c>
    </row>
    <row r="1028" spans="1:5" x14ac:dyDescent="0.3">
      <c r="A1028" s="1">
        <v>1027</v>
      </c>
      <c r="B1028" s="1" t="s">
        <v>784</v>
      </c>
      <c r="C1028" s="1" t="s">
        <v>1001</v>
      </c>
      <c r="D1028" s="1" t="s">
        <v>1002</v>
      </c>
      <c r="E1028" s="2">
        <v>4500</v>
      </c>
    </row>
    <row r="1029" spans="1:5" x14ac:dyDescent="0.3">
      <c r="A1029" s="1">
        <v>1028</v>
      </c>
      <c r="B1029" s="1" t="s">
        <v>784</v>
      </c>
      <c r="C1029" s="1" t="s">
        <v>1003</v>
      </c>
      <c r="D1029" s="1" t="s">
        <v>1004</v>
      </c>
      <c r="E1029" s="2">
        <v>4000</v>
      </c>
    </row>
    <row r="1030" spans="1:5" x14ac:dyDescent="0.3">
      <c r="A1030" s="1">
        <v>1029</v>
      </c>
      <c r="B1030" s="1" t="s">
        <v>784</v>
      </c>
      <c r="C1030" s="1" t="s">
        <v>1005</v>
      </c>
      <c r="D1030" s="1" t="s">
        <v>1006</v>
      </c>
      <c r="E1030" s="2">
        <v>3000</v>
      </c>
    </row>
    <row r="1031" spans="1:5" x14ac:dyDescent="0.3">
      <c r="A1031" s="1">
        <v>1030</v>
      </c>
      <c r="B1031" s="1" t="s">
        <v>784</v>
      </c>
      <c r="C1031" s="1" t="s">
        <v>1007</v>
      </c>
      <c r="D1031" s="1" t="s">
        <v>1008</v>
      </c>
      <c r="E1031" s="2">
        <v>2500</v>
      </c>
    </row>
    <row r="1032" spans="1:5" x14ac:dyDescent="0.3">
      <c r="A1032" s="1">
        <v>1031</v>
      </c>
      <c r="B1032" s="1" t="s">
        <v>784</v>
      </c>
      <c r="C1032" s="1" t="s">
        <v>1009</v>
      </c>
      <c r="D1032" s="1" t="s">
        <v>1010</v>
      </c>
      <c r="E1032" s="2">
        <v>8000</v>
      </c>
    </row>
    <row r="1033" spans="1:5" x14ac:dyDescent="0.3">
      <c r="A1033" s="1">
        <v>1032</v>
      </c>
      <c r="B1033" s="1" t="s">
        <v>784</v>
      </c>
      <c r="C1033" s="1" t="s">
        <v>1057</v>
      </c>
      <c r="D1033" s="1" t="s">
        <v>1058</v>
      </c>
      <c r="E1033" s="2">
        <v>9000</v>
      </c>
    </row>
    <row r="1034" spans="1:5" x14ac:dyDescent="0.3">
      <c r="A1034" s="1">
        <v>1033</v>
      </c>
      <c r="B1034" s="1" t="s">
        <v>784</v>
      </c>
      <c r="C1034" s="1" t="s">
        <v>1011</v>
      </c>
      <c r="D1034" s="1" t="s">
        <v>1012</v>
      </c>
      <c r="E1034" s="2">
        <v>8000</v>
      </c>
    </row>
    <row r="1035" spans="1:5" x14ac:dyDescent="0.3">
      <c r="A1035" s="1">
        <v>1034</v>
      </c>
      <c r="B1035" s="1" t="s">
        <v>784</v>
      </c>
      <c r="C1035" s="1" t="s">
        <v>1013</v>
      </c>
      <c r="D1035" s="1" t="s">
        <v>1014</v>
      </c>
      <c r="E1035" s="2">
        <v>6000</v>
      </c>
    </row>
    <row r="1036" spans="1:5" x14ac:dyDescent="0.3">
      <c r="A1036" s="1">
        <v>1035</v>
      </c>
      <c r="B1036" s="1" t="s">
        <v>789</v>
      </c>
      <c r="C1036" s="1" t="s">
        <v>946</v>
      </c>
      <c r="D1036" s="1" t="s">
        <v>1098</v>
      </c>
      <c r="E1036" s="2">
        <v>15000</v>
      </c>
    </row>
    <row r="1037" spans="1:5" x14ac:dyDescent="0.3">
      <c r="A1037" s="1">
        <v>1036</v>
      </c>
      <c r="B1037" s="1" t="s">
        <v>789</v>
      </c>
      <c r="C1037" s="1" t="s">
        <v>948</v>
      </c>
      <c r="D1037" s="1" t="s">
        <v>949</v>
      </c>
      <c r="E1037" s="2">
        <v>5000</v>
      </c>
    </row>
    <row r="1038" spans="1:5" x14ac:dyDescent="0.3">
      <c r="A1038" s="1">
        <v>1037</v>
      </c>
      <c r="B1038" s="1" t="s">
        <v>789</v>
      </c>
      <c r="C1038" s="1" t="s">
        <v>950</v>
      </c>
      <c r="D1038" s="1" t="s">
        <v>1074</v>
      </c>
      <c r="E1038" s="2">
        <v>4000</v>
      </c>
    </row>
    <row r="1039" spans="1:5" x14ac:dyDescent="0.3">
      <c r="A1039" s="1">
        <v>1038</v>
      </c>
      <c r="B1039" s="1" t="s">
        <v>789</v>
      </c>
      <c r="C1039" s="1" t="s">
        <v>952</v>
      </c>
      <c r="D1039" s="1" t="s">
        <v>953</v>
      </c>
      <c r="E1039" s="2">
        <v>17000</v>
      </c>
    </row>
    <row r="1040" spans="1:5" x14ac:dyDescent="0.3">
      <c r="A1040" s="1">
        <v>1039</v>
      </c>
      <c r="B1040" s="1" t="s">
        <v>789</v>
      </c>
      <c r="C1040" s="1" t="s">
        <v>954</v>
      </c>
      <c r="D1040" s="1" t="s">
        <v>955</v>
      </c>
      <c r="E1040" s="2">
        <v>11000</v>
      </c>
    </row>
    <row r="1041" spans="1:5" x14ac:dyDescent="0.3">
      <c r="A1041" s="1">
        <v>1040</v>
      </c>
      <c r="B1041" s="1" t="s">
        <v>789</v>
      </c>
      <c r="C1041" s="1" t="s">
        <v>956</v>
      </c>
      <c r="D1041" s="1" t="s">
        <v>1075</v>
      </c>
      <c r="E1041" s="2">
        <v>6000</v>
      </c>
    </row>
    <row r="1042" spans="1:5" x14ac:dyDescent="0.3">
      <c r="A1042" s="1">
        <v>1041</v>
      </c>
      <c r="B1042" s="1" t="s">
        <v>789</v>
      </c>
      <c r="C1042" s="1" t="s">
        <v>958</v>
      </c>
      <c r="D1042" s="1" t="s">
        <v>959</v>
      </c>
      <c r="E1042" s="2">
        <v>4500</v>
      </c>
    </row>
    <row r="1043" spans="1:5" x14ac:dyDescent="0.3">
      <c r="A1043" s="1">
        <v>1042</v>
      </c>
      <c r="B1043" s="1" t="s">
        <v>789</v>
      </c>
      <c r="C1043" s="1" t="s">
        <v>960</v>
      </c>
      <c r="D1043" s="1" t="s">
        <v>961</v>
      </c>
      <c r="E1043" s="2">
        <v>8500</v>
      </c>
    </row>
    <row r="1044" spans="1:5" x14ac:dyDescent="0.3">
      <c r="A1044" s="1">
        <v>1043</v>
      </c>
      <c r="B1044" s="1" t="s">
        <v>789</v>
      </c>
      <c r="C1044" s="1" t="s">
        <v>962</v>
      </c>
      <c r="D1044" s="1" t="s">
        <v>963</v>
      </c>
      <c r="E1044" s="2">
        <v>2000</v>
      </c>
    </row>
    <row r="1045" spans="1:5" x14ac:dyDescent="0.3">
      <c r="A1045" s="1">
        <v>1044</v>
      </c>
      <c r="B1045" s="1" t="s">
        <v>794</v>
      </c>
      <c r="C1045" s="1" t="s">
        <v>993</v>
      </c>
      <c r="D1045" s="1" t="s">
        <v>994</v>
      </c>
      <c r="E1045" s="2">
        <v>5000</v>
      </c>
    </row>
    <row r="1046" spans="1:5" x14ac:dyDescent="0.3">
      <c r="A1046" s="1">
        <v>1045</v>
      </c>
      <c r="B1046" s="1" t="s">
        <v>794</v>
      </c>
      <c r="C1046" s="1" t="s">
        <v>995</v>
      </c>
      <c r="D1046" s="1" t="s">
        <v>996</v>
      </c>
      <c r="E1046" s="2">
        <v>6000</v>
      </c>
    </row>
    <row r="1047" spans="1:5" x14ac:dyDescent="0.3">
      <c r="A1047" s="1">
        <v>1046</v>
      </c>
      <c r="B1047" s="1" t="s">
        <v>794</v>
      </c>
      <c r="C1047" s="1" t="s">
        <v>997</v>
      </c>
      <c r="D1047" s="1" t="s">
        <v>998</v>
      </c>
      <c r="E1047" s="2">
        <v>5500</v>
      </c>
    </row>
    <row r="1048" spans="1:5" x14ac:dyDescent="0.3">
      <c r="A1048" s="1">
        <v>1047</v>
      </c>
      <c r="B1048" s="1" t="s">
        <v>794</v>
      </c>
      <c r="C1048" s="1" t="s">
        <v>999</v>
      </c>
      <c r="D1048" s="1" t="s">
        <v>1000</v>
      </c>
      <c r="E1048" s="2">
        <v>6000</v>
      </c>
    </row>
    <row r="1049" spans="1:5" x14ac:dyDescent="0.3">
      <c r="A1049" s="1">
        <v>1048</v>
      </c>
      <c r="B1049" s="1" t="s">
        <v>794</v>
      </c>
      <c r="C1049" s="1" t="s">
        <v>1001</v>
      </c>
      <c r="D1049" s="1" t="s">
        <v>1002</v>
      </c>
      <c r="E1049" s="2">
        <v>4500</v>
      </c>
    </row>
    <row r="1050" spans="1:5" x14ac:dyDescent="0.3">
      <c r="A1050" s="1">
        <v>1049</v>
      </c>
      <c r="B1050" s="1" t="s">
        <v>794</v>
      </c>
      <c r="C1050" s="1" t="s">
        <v>1003</v>
      </c>
      <c r="D1050" s="1" t="s">
        <v>1004</v>
      </c>
      <c r="E1050" s="2">
        <v>4000</v>
      </c>
    </row>
    <row r="1051" spans="1:5" x14ac:dyDescent="0.3">
      <c r="A1051" s="1">
        <v>1050</v>
      </c>
      <c r="B1051" s="1" t="s">
        <v>794</v>
      </c>
      <c r="C1051" s="1" t="s">
        <v>1005</v>
      </c>
      <c r="D1051" s="1" t="s">
        <v>1006</v>
      </c>
      <c r="E1051" s="2">
        <v>3000</v>
      </c>
    </row>
    <row r="1052" spans="1:5" x14ac:dyDescent="0.3">
      <c r="A1052" s="1">
        <v>1051</v>
      </c>
      <c r="B1052" s="1" t="s">
        <v>794</v>
      </c>
      <c r="C1052" s="1" t="s">
        <v>1007</v>
      </c>
      <c r="D1052" s="1" t="s">
        <v>1008</v>
      </c>
      <c r="E1052" s="2">
        <v>2500</v>
      </c>
    </row>
    <row r="1053" spans="1:5" x14ac:dyDescent="0.3">
      <c r="A1053" s="1">
        <v>1052</v>
      </c>
      <c r="B1053" s="1" t="s">
        <v>794</v>
      </c>
      <c r="C1053" s="1" t="s">
        <v>1009</v>
      </c>
      <c r="D1053" s="1" t="s">
        <v>1010</v>
      </c>
      <c r="E1053" s="2">
        <v>8000</v>
      </c>
    </row>
    <row r="1054" spans="1:5" x14ac:dyDescent="0.3">
      <c r="A1054" s="1">
        <v>1053</v>
      </c>
      <c r="B1054" s="1" t="s">
        <v>794</v>
      </c>
      <c r="C1054" s="1" t="s">
        <v>1057</v>
      </c>
      <c r="D1054" s="1" t="s">
        <v>1058</v>
      </c>
      <c r="E1054" s="2">
        <v>9000</v>
      </c>
    </row>
    <row r="1055" spans="1:5" x14ac:dyDescent="0.3">
      <c r="A1055" s="1">
        <v>1054</v>
      </c>
      <c r="B1055" s="1" t="s">
        <v>794</v>
      </c>
      <c r="C1055" s="1" t="s">
        <v>1011</v>
      </c>
      <c r="D1055" s="1" t="s">
        <v>1012</v>
      </c>
      <c r="E1055" s="2">
        <v>8000</v>
      </c>
    </row>
    <row r="1056" spans="1:5" x14ac:dyDescent="0.3">
      <c r="A1056" s="1">
        <v>1055</v>
      </c>
      <c r="B1056" s="1" t="s">
        <v>794</v>
      </c>
      <c r="C1056" s="1" t="s">
        <v>1013</v>
      </c>
      <c r="D1056" s="1" t="s">
        <v>1014</v>
      </c>
      <c r="E1056" s="2">
        <v>6000</v>
      </c>
    </row>
    <row r="1057" spans="1:5" x14ac:dyDescent="0.3">
      <c r="A1057" s="1">
        <v>1056</v>
      </c>
      <c r="B1057" s="1" t="s">
        <v>799</v>
      </c>
      <c r="C1057" s="1" t="s">
        <v>1040</v>
      </c>
      <c r="D1057" s="1" t="s">
        <v>1041</v>
      </c>
      <c r="E1057" s="2">
        <v>4500</v>
      </c>
    </row>
    <row r="1058" spans="1:5" x14ac:dyDescent="0.3">
      <c r="A1058" s="1">
        <v>1057</v>
      </c>
      <c r="B1058" s="1" t="s">
        <v>799</v>
      </c>
      <c r="C1058" s="1" t="s">
        <v>1042</v>
      </c>
      <c r="D1058" s="1" t="s">
        <v>1043</v>
      </c>
      <c r="E1058" s="2">
        <v>3000</v>
      </c>
    </row>
    <row r="1059" spans="1:5" x14ac:dyDescent="0.3">
      <c r="A1059" s="1">
        <v>1058</v>
      </c>
      <c r="B1059" s="1" t="s">
        <v>799</v>
      </c>
      <c r="C1059" s="1" t="s">
        <v>1044</v>
      </c>
      <c r="D1059" s="1" t="s">
        <v>1045</v>
      </c>
      <c r="E1059" s="2">
        <v>2000</v>
      </c>
    </row>
    <row r="1060" spans="1:5" x14ac:dyDescent="0.3">
      <c r="A1060" s="1">
        <v>1059</v>
      </c>
      <c r="B1060" s="1" t="s">
        <v>799</v>
      </c>
      <c r="C1060" s="1" t="s">
        <v>1059</v>
      </c>
      <c r="D1060" s="1" t="s">
        <v>1060</v>
      </c>
      <c r="E1060" s="1">
        <v>500</v>
      </c>
    </row>
    <row r="1061" spans="1:5" x14ac:dyDescent="0.3">
      <c r="A1061" s="1">
        <v>1060</v>
      </c>
      <c r="B1061" s="1" t="s">
        <v>799</v>
      </c>
      <c r="C1061" s="1" t="s">
        <v>1046</v>
      </c>
      <c r="D1061" s="1" t="s">
        <v>1047</v>
      </c>
      <c r="E1061" s="1">
        <v>700</v>
      </c>
    </row>
    <row r="1062" spans="1:5" x14ac:dyDescent="0.3">
      <c r="A1062" s="1">
        <v>1061</v>
      </c>
      <c r="B1062" s="1" t="s">
        <v>799</v>
      </c>
      <c r="C1062" s="1" t="s">
        <v>1048</v>
      </c>
      <c r="D1062" s="1" t="s">
        <v>1049</v>
      </c>
      <c r="E1062" s="1">
        <v>700</v>
      </c>
    </row>
    <row r="1063" spans="1:5" x14ac:dyDescent="0.3">
      <c r="A1063" s="1">
        <v>1062</v>
      </c>
      <c r="B1063" s="1" t="s">
        <v>799</v>
      </c>
      <c r="C1063" s="1" t="s">
        <v>1061</v>
      </c>
      <c r="D1063" s="1" t="s">
        <v>1062</v>
      </c>
      <c r="E1063" s="2">
        <v>2500</v>
      </c>
    </row>
    <row r="1064" spans="1:5" x14ac:dyDescent="0.3">
      <c r="A1064" s="1">
        <v>1063</v>
      </c>
      <c r="B1064" s="1" t="s">
        <v>799</v>
      </c>
      <c r="C1064" s="1" t="s">
        <v>1063</v>
      </c>
      <c r="D1064" s="1" t="s">
        <v>1064</v>
      </c>
      <c r="E1064" s="2">
        <v>3500</v>
      </c>
    </row>
    <row r="1065" spans="1:5" x14ac:dyDescent="0.3">
      <c r="A1065" s="1">
        <v>1064</v>
      </c>
      <c r="B1065" s="1" t="s">
        <v>804</v>
      </c>
      <c r="C1065" s="1" t="s">
        <v>946</v>
      </c>
      <c r="D1065" s="1" t="s">
        <v>1098</v>
      </c>
      <c r="E1065" s="2">
        <v>15000</v>
      </c>
    </row>
    <row r="1066" spans="1:5" x14ac:dyDescent="0.3">
      <c r="A1066" s="1">
        <v>1065</v>
      </c>
      <c r="B1066" s="1" t="s">
        <v>804</v>
      </c>
      <c r="C1066" s="1" t="s">
        <v>948</v>
      </c>
      <c r="D1066" s="1" t="s">
        <v>949</v>
      </c>
      <c r="E1066" s="2">
        <v>5000</v>
      </c>
    </row>
    <row r="1067" spans="1:5" x14ac:dyDescent="0.3">
      <c r="A1067" s="1">
        <v>1066</v>
      </c>
      <c r="B1067" s="1" t="s">
        <v>804</v>
      </c>
      <c r="C1067" s="1" t="s">
        <v>950</v>
      </c>
      <c r="D1067" s="1" t="s">
        <v>1074</v>
      </c>
      <c r="E1067" s="2">
        <v>4000</v>
      </c>
    </row>
    <row r="1068" spans="1:5" x14ac:dyDescent="0.3">
      <c r="A1068" s="1">
        <v>1067</v>
      </c>
      <c r="B1068" s="1" t="s">
        <v>804</v>
      </c>
      <c r="C1068" s="1" t="s">
        <v>952</v>
      </c>
      <c r="D1068" s="1" t="s">
        <v>953</v>
      </c>
      <c r="E1068" s="2">
        <v>17000</v>
      </c>
    </row>
    <row r="1069" spans="1:5" x14ac:dyDescent="0.3">
      <c r="A1069" s="1">
        <v>1068</v>
      </c>
      <c r="B1069" s="1" t="s">
        <v>804</v>
      </c>
      <c r="C1069" s="1" t="s">
        <v>954</v>
      </c>
      <c r="D1069" s="1" t="s">
        <v>955</v>
      </c>
      <c r="E1069" s="2">
        <v>11000</v>
      </c>
    </row>
    <row r="1070" spans="1:5" x14ac:dyDescent="0.3">
      <c r="A1070" s="1">
        <v>1069</v>
      </c>
      <c r="B1070" s="1" t="s">
        <v>804</v>
      </c>
      <c r="C1070" s="1" t="s">
        <v>956</v>
      </c>
      <c r="D1070" s="1" t="s">
        <v>1075</v>
      </c>
      <c r="E1070" s="2">
        <v>6000</v>
      </c>
    </row>
    <row r="1071" spans="1:5" x14ac:dyDescent="0.3">
      <c r="A1071" s="1">
        <v>1070</v>
      </c>
      <c r="B1071" s="1" t="s">
        <v>804</v>
      </c>
      <c r="C1071" s="1" t="s">
        <v>958</v>
      </c>
      <c r="D1071" s="1" t="s">
        <v>959</v>
      </c>
      <c r="E1071" s="2">
        <v>4500</v>
      </c>
    </row>
    <row r="1072" spans="1:5" x14ac:dyDescent="0.3">
      <c r="A1072" s="1">
        <v>1071</v>
      </c>
      <c r="B1072" s="1" t="s">
        <v>804</v>
      </c>
      <c r="C1072" s="1" t="s">
        <v>960</v>
      </c>
      <c r="D1072" s="1" t="s">
        <v>961</v>
      </c>
      <c r="E1072" s="2">
        <v>8500</v>
      </c>
    </row>
    <row r="1073" spans="1:5" x14ac:dyDescent="0.3">
      <c r="A1073" s="1">
        <v>1072</v>
      </c>
      <c r="B1073" s="1" t="s">
        <v>804</v>
      </c>
      <c r="C1073" s="1" t="s">
        <v>962</v>
      </c>
      <c r="D1073" s="1" t="s">
        <v>963</v>
      </c>
      <c r="E1073" s="2">
        <v>2000</v>
      </c>
    </row>
    <row r="1074" spans="1:5" x14ac:dyDescent="0.3">
      <c r="A1074" s="1">
        <v>1073</v>
      </c>
      <c r="B1074" s="1" t="s">
        <v>809</v>
      </c>
      <c r="C1074" s="1" t="s">
        <v>1040</v>
      </c>
      <c r="D1074" s="1" t="s">
        <v>1041</v>
      </c>
      <c r="E1074" s="2">
        <v>4500</v>
      </c>
    </row>
    <row r="1075" spans="1:5" x14ac:dyDescent="0.3">
      <c r="A1075" s="1">
        <v>1074</v>
      </c>
      <c r="B1075" s="1" t="s">
        <v>809</v>
      </c>
      <c r="C1075" s="1" t="s">
        <v>1042</v>
      </c>
      <c r="D1075" s="1" t="s">
        <v>1043</v>
      </c>
      <c r="E1075" s="2">
        <v>3000</v>
      </c>
    </row>
    <row r="1076" spans="1:5" x14ac:dyDescent="0.3">
      <c r="A1076" s="1">
        <v>1075</v>
      </c>
      <c r="B1076" s="1" t="s">
        <v>809</v>
      </c>
      <c r="C1076" s="1" t="s">
        <v>1044</v>
      </c>
      <c r="D1076" s="1" t="s">
        <v>1045</v>
      </c>
      <c r="E1076" s="2">
        <v>2000</v>
      </c>
    </row>
    <row r="1077" spans="1:5" x14ac:dyDescent="0.3">
      <c r="A1077" s="1">
        <v>1076</v>
      </c>
      <c r="B1077" s="1" t="s">
        <v>809</v>
      </c>
      <c r="C1077" s="1" t="s">
        <v>1059</v>
      </c>
      <c r="D1077" s="1" t="s">
        <v>1060</v>
      </c>
      <c r="E1077" s="1">
        <v>500</v>
      </c>
    </row>
    <row r="1078" spans="1:5" x14ac:dyDescent="0.3">
      <c r="A1078" s="1">
        <v>1077</v>
      </c>
      <c r="B1078" s="1" t="s">
        <v>809</v>
      </c>
      <c r="C1078" s="1" t="s">
        <v>1046</v>
      </c>
      <c r="D1078" s="1" t="s">
        <v>1047</v>
      </c>
      <c r="E1078" s="1">
        <v>700</v>
      </c>
    </row>
    <row r="1079" spans="1:5" x14ac:dyDescent="0.3">
      <c r="A1079" s="1">
        <v>1078</v>
      </c>
      <c r="B1079" s="1" t="s">
        <v>809</v>
      </c>
      <c r="C1079" s="1" t="s">
        <v>1048</v>
      </c>
      <c r="D1079" s="1" t="s">
        <v>1049</v>
      </c>
      <c r="E1079" s="1">
        <v>700</v>
      </c>
    </row>
    <row r="1080" spans="1:5" x14ac:dyDescent="0.3">
      <c r="A1080" s="1">
        <v>1079</v>
      </c>
      <c r="B1080" s="1" t="s">
        <v>809</v>
      </c>
      <c r="C1080" s="1" t="s">
        <v>1061</v>
      </c>
      <c r="D1080" s="1" t="s">
        <v>1062</v>
      </c>
      <c r="E1080" s="2">
        <v>2500</v>
      </c>
    </row>
    <row r="1081" spans="1:5" x14ac:dyDescent="0.3">
      <c r="A1081" s="1">
        <v>1080</v>
      </c>
      <c r="B1081" s="1" t="s">
        <v>809</v>
      </c>
      <c r="C1081" s="1" t="s">
        <v>1063</v>
      </c>
      <c r="D1081" s="1" t="s">
        <v>1064</v>
      </c>
      <c r="E1081" s="2">
        <v>3500</v>
      </c>
    </row>
    <row r="1082" spans="1:5" x14ac:dyDescent="0.3">
      <c r="A1082" s="1">
        <v>1081</v>
      </c>
      <c r="B1082" s="1" t="s">
        <v>814</v>
      </c>
      <c r="C1082" s="1" t="s">
        <v>1040</v>
      </c>
      <c r="D1082" s="1" t="s">
        <v>1041</v>
      </c>
      <c r="E1082" s="2">
        <v>4500</v>
      </c>
    </row>
    <row r="1083" spans="1:5" x14ac:dyDescent="0.3">
      <c r="A1083" s="1">
        <v>1082</v>
      </c>
      <c r="B1083" s="1" t="s">
        <v>814</v>
      </c>
      <c r="C1083" s="1" t="s">
        <v>1042</v>
      </c>
      <c r="D1083" s="1" t="s">
        <v>1043</v>
      </c>
      <c r="E1083" s="2">
        <v>3000</v>
      </c>
    </row>
    <row r="1084" spans="1:5" x14ac:dyDescent="0.3">
      <c r="A1084" s="1">
        <v>1083</v>
      </c>
      <c r="B1084" s="1" t="s">
        <v>814</v>
      </c>
      <c r="C1084" s="1" t="s">
        <v>1044</v>
      </c>
      <c r="D1084" s="1" t="s">
        <v>1045</v>
      </c>
      <c r="E1084" s="2">
        <v>2000</v>
      </c>
    </row>
    <row r="1085" spans="1:5" x14ac:dyDescent="0.3">
      <c r="A1085" s="1">
        <v>1084</v>
      </c>
      <c r="B1085" s="1" t="s">
        <v>814</v>
      </c>
      <c r="C1085" s="1" t="s">
        <v>1059</v>
      </c>
      <c r="D1085" s="1" t="s">
        <v>1060</v>
      </c>
      <c r="E1085" s="1">
        <v>500</v>
      </c>
    </row>
    <row r="1086" spans="1:5" x14ac:dyDescent="0.3">
      <c r="A1086" s="1">
        <v>1085</v>
      </c>
      <c r="B1086" s="1" t="s">
        <v>814</v>
      </c>
      <c r="C1086" s="1" t="s">
        <v>1046</v>
      </c>
      <c r="D1086" s="1" t="s">
        <v>1047</v>
      </c>
      <c r="E1086" s="1">
        <v>700</v>
      </c>
    </row>
    <row r="1087" spans="1:5" x14ac:dyDescent="0.3">
      <c r="A1087" s="1">
        <v>1086</v>
      </c>
      <c r="B1087" s="1" t="s">
        <v>814</v>
      </c>
      <c r="C1087" s="1" t="s">
        <v>1048</v>
      </c>
      <c r="D1087" s="1" t="s">
        <v>1049</v>
      </c>
      <c r="E1087" s="1">
        <v>700</v>
      </c>
    </row>
    <row r="1088" spans="1:5" x14ac:dyDescent="0.3">
      <c r="A1088" s="1">
        <v>1087</v>
      </c>
      <c r="B1088" s="1" t="s">
        <v>814</v>
      </c>
      <c r="C1088" s="1" t="s">
        <v>1061</v>
      </c>
      <c r="D1088" s="1" t="s">
        <v>1062</v>
      </c>
      <c r="E1088" s="2">
        <v>2500</v>
      </c>
    </row>
    <row r="1089" spans="1:5" x14ac:dyDescent="0.3">
      <c r="A1089" s="1">
        <v>1088</v>
      </c>
      <c r="B1089" s="1" t="s">
        <v>814</v>
      </c>
      <c r="C1089" s="1" t="s">
        <v>1063</v>
      </c>
      <c r="D1089" s="1" t="s">
        <v>1064</v>
      </c>
      <c r="E1089" s="2">
        <v>3500</v>
      </c>
    </row>
    <row r="1090" spans="1:5" x14ac:dyDescent="0.3">
      <c r="A1090" s="1">
        <v>1089</v>
      </c>
      <c r="B1090" s="1" t="s">
        <v>819</v>
      </c>
      <c r="C1090" s="1" t="s">
        <v>946</v>
      </c>
      <c r="D1090" s="1" t="s">
        <v>1098</v>
      </c>
      <c r="E1090" s="2">
        <v>15000</v>
      </c>
    </row>
    <row r="1091" spans="1:5" x14ac:dyDescent="0.3">
      <c r="A1091" s="1">
        <v>1090</v>
      </c>
      <c r="B1091" s="1" t="s">
        <v>819</v>
      </c>
      <c r="C1091" s="1" t="s">
        <v>948</v>
      </c>
      <c r="D1091" s="1" t="s">
        <v>949</v>
      </c>
      <c r="E1091" s="2">
        <v>5000</v>
      </c>
    </row>
    <row r="1092" spans="1:5" x14ac:dyDescent="0.3">
      <c r="A1092" s="1">
        <v>1091</v>
      </c>
      <c r="B1092" s="1" t="s">
        <v>819</v>
      </c>
      <c r="C1092" s="1" t="s">
        <v>950</v>
      </c>
      <c r="D1092" s="1" t="s">
        <v>1074</v>
      </c>
      <c r="E1092" s="2">
        <v>4000</v>
      </c>
    </row>
    <row r="1093" spans="1:5" x14ac:dyDescent="0.3">
      <c r="A1093" s="1">
        <v>1092</v>
      </c>
      <c r="B1093" s="1" t="s">
        <v>819</v>
      </c>
      <c r="C1093" s="1" t="s">
        <v>952</v>
      </c>
      <c r="D1093" s="1" t="s">
        <v>953</v>
      </c>
      <c r="E1093" s="2">
        <v>17000</v>
      </c>
    </row>
    <row r="1094" spans="1:5" x14ac:dyDescent="0.3">
      <c r="A1094" s="1">
        <v>1093</v>
      </c>
      <c r="B1094" s="1" t="s">
        <v>819</v>
      </c>
      <c r="C1094" s="1" t="s">
        <v>954</v>
      </c>
      <c r="D1094" s="1" t="s">
        <v>955</v>
      </c>
      <c r="E1094" s="2">
        <v>11000</v>
      </c>
    </row>
    <row r="1095" spans="1:5" x14ac:dyDescent="0.3">
      <c r="A1095" s="1">
        <v>1094</v>
      </c>
      <c r="B1095" s="1" t="s">
        <v>819</v>
      </c>
      <c r="C1095" s="1" t="s">
        <v>956</v>
      </c>
      <c r="D1095" s="1" t="s">
        <v>1075</v>
      </c>
      <c r="E1095" s="2">
        <v>6000</v>
      </c>
    </row>
    <row r="1096" spans="1:5" x14ac:dyDescent="0.3">
      <c r="A1096" s="1">
        <v>1095</v>
      </c>
      <c r="B1096" s="1" t="s">
        <v>819</v>
      </c>
      <c r="C1096" s="1" t="s">
        <v>958</v>
      </c>
      <c r="D1096" s="1" t="s">
        <v>959</v>
      </c>
      <c r="E1096" s="2">
        <v>4500</v>
      </c>
    </row>
    <row r="1097" spans="1:5" x14ac:dyDescent="0.3">
      <c r="A1097" s="1">
        <v>1096</v>
      </c>
      <c r="B1097" s="1" t="s">
        <v>819</v>
      </c>
      <c r="C1097" s="1" t="s">
        <v>960</v>
      </c>
      <c r="D1097" s="1" t="s">
        <v>961</v>
      </c>
      <c r="E1097" s="2">
        <v>8500</v>
      </c>
    </row>
    <row r="1098" spans="1:5" x14ac:dyDescent="0.3">
      <c r="A1098" s="1">
        <v>1097</v>
      </c>
      <c r="B1098" s="1" t="s">
        <v>819</v>
      </c>
      <c r="C1098" s="1" t="s">
        <v>962</v>
      </c>
      <c r="D1098" s="1" t="s">
        <v>963</v>
      </c>
      <c r="E1098" s="2">
        <v>2000</v>
      </c>
    </row>
    <row r="1099" spans="1:5" x14ac:dyDescent="0.3">
      <c r="A1099" s="1">
        <v>1098</v>
      </c>
      <c r="B1099" s="1" t="s">
        <v>824</v>
      </c>
      <c r="C1099" s="1" t="s">
        <v>946</v>
      </c>
      <c r="D1099" s="1" t="s">
        <v>1098</v>
      </c>
      <c r="E1099" s="2">
        <v>15000</v>
      </c>
    </row>
    <row r="1100" spans="1:5" x14ac:dyDescent="0.3">
      <c r="A1100" s="1">
        <v>1099</v>
      </c>
      <c r="B1100" s="1" t="s">
        <v>824</v>
      </c>
      <c r="C1100" s="1" t="s">
        <v>948</v>
      </c>
      <c r="D1100" s="1" t="s">
        <v>949</v>
      </c>
      <c r="E1100" s="2">
        <v>5000</v>
      </c>
    </row>
    <row r="1101" spans="1:5" x14ac:dyDescent="0.3">
      <c r="A1101" s="1">
        <v>1100</v>
      </c>
      <c r="B1101" s="1" t="s">
        <v>824</v>
      </c>
      <c r="C1101" s="1" t="s">
        <v>950</v>
      </c>
      <c r="D1101" s="1" t="s">
        <v>1074</v>
      </c>
      <c r="E1101" s="2">
        <v>4000</v>
      </c>
    </row>
    <row r="1102" spans="1:5" x14ac:dyDescent="0.3">
      <c r="A1102" s="1">
        <v>1101</v>
      </c>
      <c r="B1102" s="1" t="s">
        <v>824</v>
      </c>
      <c r="C1102" s="1" t="s">
        <v>952</v>
      </c>
      <c r="D1102" s="1" t="s">
        <v>953</v>
      </c>
      <c r="E1102" s="2">
        <v>17000</v>
      </c>
    </row>
    <row r="1103" spans="1:5" x14ac:dyDescent="0.3">
      <c r="A1103" s="1">
        <v>1102</v>
      </c>
      <c r="B1103" s="1" t="s">
        <v>824</v>
      </c>
      <c r="C1103" s="1" t="s">
        <v>954</v>
      </c>
      <c r="D1103" s="1" t="s">
        <v>955</v>
      </c>
      <c r="E1103" s="2">
        <v>11000</v>
      </c>
    </row>
    <row r="1104" spans="1:5" x14ac:dyDescent="0.3">
      <c r="A1104" s="1">
        <v>1103</v>
      </c>
      <c r="B1104" s="1" t="s">
        <v>824</v>
      </c>
      <c r="C1104" s="1" t="s">
        <v>956</v>
      </c>
      <c r="D1104" s="1" t="s">
        <v>1075</v>
      </c>
      <c r="E1104" s="2">
        <v>6000</v>
      </c>
    </row>
    <row r="1105" spans="1:5" x14ac:dyDescent="0.3">
      <c r="A1105" s="1">
        <v>1104</v>
      </c>
      <c r="B1105" s="1" t="s">
        <v>824</v>
      </c>
      <c r="C1105" s="1" t="s">
        <v>958</v>
      </c>
      <c r="D1105" s="1" t="s">
        <v>959</v>
      </c>
      <c r="E1105" s="2">
        <v>4500</v>
      </c>
    </row>
    <row r="1106" spans="1:5" x14ac:dyDescent="0.3">
      <c r="A1106" s="1">
        <v>1105</v>
      </c>
      <c r="B1106" s="1" t="s">
        <v>824</v>
      </c>
      <c r="C1106" s="1" t="s">
        <v>960</v>
      </c>
      <c r="D1106" s="1" t="s">
        <v>961</v>
      </c>
      <c r="E1106" s="2">
        <v>8500</v>
      </c>
    </row>
    <row r="1107" spans="1:5" x14ac:dyDescent="0.3">
      <c r="A1107" s="1">
        <v>1106</v>
      </c>
      <c r="B1107" s="1" t="s">
        <v>824</v>
      </c>
      <c r="C1107" s="1" t="s">
        <v>962</v>
      </c>
      <c r="D1107" s="1" t="s">
        <v>963</v>
      </c>
      <c r="E1107" s="2">
        <v>2000</v>
      </c>
    </row>
    <row r="1108" spans="1:5" x14ac:dyDescent="0.3">
      <c r="A1108" s="1">
        <v>1107</v>
      </c>
      <c r="B1108" s="1" t="s">
        <v>829</v>
      </c>
      <c r="C1108" s="1" t="s">
        <v>993</v>
      </c>
      <c r="D1108" s="1" t="s">
        <v>994</v>
      </c>
      <c r="E1108" s="2">
        <v>5000</v>
      </c>
    </row>
    <row r="1109" spans="1:5" x14ac:dyDescent="0.3">
      <c r="A1109" s="1">
        <v>1108</v>
      </c>
      <c r="B1109" s="1" t="s">
        <v>829</v>
      </c>
      <c r="C1109" s="1" t="s">
        <v>995</v>
      </c>
      <c r="D1109" s="1" t="s">
        <v>996</v>
      </c>
      <c r="E1109" s="2">
        <v>6000</v>
      </c>
    </row>
    <row r="1110" spans="1:5" x14ac:dyDescent="0.3">
      <c r="A1110" s="1">
        <v>1109</v>
      </c>
      <c r="B1110" s="1" t="s">
        <v>829</v>
      </c>
      <c r="C1110" s="1" t="s">
        <v>997</v>
      </c>
      <c r="D1110" s="1" t="s">
        <v>998</v>
      </c>
      <c r="E1110" s="2">
        <v>5500</v>
      </c>
    </row>
    <row r="1111" spans="1:5" x14ac:dyDescent="0.3">
      <c r="A1111" s="1">
        <v>1110</v>
      </c>
      <c r="B1111" s="1" t="s">
        <v>829</v>
      </c>
      <c r="C1111" s="1" t="s">
        <v>999</v>
      </c>
      <c r="D1111" s="1" t="s">
        <v>1000</v>
      </c>
      <c r="E1111" s="2">
        <v>6000</v>
      </c>
    </row>
    <row r="1112" spans="1:5" x14ac:dyDescent="0.3">
      <c r="A1112" s="1">
        <v>1111</v>
      </c>
      <c r="B1112" s="1" t="s">
        <v>829</v>
      </c>
      <c r="C1112" s="1" t="s">
        <v>1001</v>
      </c>
      <c r="D1112" s="1" t="s">
        <v>1002</v>
      </c>
      <c r="E1112" s="2">
        <v>4500</v>
      </c>
    </row>
    <row r="1113" spans="1:5" x14ac:dyDescent="0.3">
      <c r="A1113" s="1">
        <v>1112</v>
      </c>
      <c r="B1113" s="1" t="s">
        <v>829</v>
      </c>
      <c r="C1113" s="1" t="s">
        <v>1003</v>
      </c>
      <c r="D1113" s="1" t="s">
        <v>1004</v>
      </c>
      <c r="E1113" s="2">
        <v>4000</v>
      </c>
    </row>
    <row r="1114" spans="1:5" x14ac:dyDescent="0.3">
      <c r="A1114" s="1">
        <v>1113</v>
      </c>
      <c r="B1114" s="1" t="s">
        <v>829</v>
      </c>
      <c r="C1114" s="1" t="s">
        <v>1005</v>
      </c>
      <c r="D1114" s="1" t="s">
        <v>1006</v>
      </c>
      <c r="E1114" s="2">
        <v>3000</v>
      </c>
    </row>
    <row r="1115" spans="1:5" x14ac:dyDescent="0.3">
      <c r="A1115" s="1">
        <v>1114</v>
      </c>
      <c r="B1115" s="1" t="s">
        <v>829</v>
      </c>
      <c r="C1115" s="1" t="s">
        <v>1007</v>
      </c>
      <c r="D1115" s="1" t="s">
        <v>1008</v>
      </c>
      <c r="E1115" s="2">
        <v>2500</v>
      </c>
    </row>
    <row r="1116" spans="1:5" x14ac:dyDescent="0.3">
      <c r="A1116" s="1">
        <v>1115</v>
      </c>
      <c r="B1116" s="1" t="s">
        <v>829</v>
      </c>
      <c r="C1116" s="1" t="s">
        <v>1009</v>
      </c>
      <c r="D1116" s="1" t="s">
        <v>1010</v>
      </c>
      <c r="E1116" s="2">
        <v>8000</v>
      </c>
    </row>
    <row r="1117" spans="1:5" x14ac:dyDescent="0.3">
      <c r="A1117" s="1">
        <v>1116</v>
      </c>
      <c r="B1117" s="1" t="s">
        <v>829</v>
      </c>
      <c r="C1117" s="1" t="s">
        <v>1057</v>
      </c>
      <c r="D1117" s="1" t="s">
        <v>1058</v>
      </c>
      <c r="E1117" s="2">
        <v>9000</v>
      </c>
    </row>
    <row r="1118" spans="1:5" x14ac:dyDescent="0.3">
      <c r="A1118" s="1">
        <v>1117</v>
      </c>
      <c r="B1118" s="1" t="s">
        <v>829</v>
      </c>
      <c r="C1118" s="1" t="s">
        <v>1011</v>
      </c>
      <c r="D1118" s="1" t="s">
        <v>1012</v>
      </c>
      <c r="E1118" s="2">
        <v>8000</v>
      </c>
    </row>
    <row r="1119" spans="1:5" x14ac:dyDescent="0.3">
      <c r="A1119" s="1">
        <v>1118</v>
      </c>
      <c r="B1119" s="1" t="s">
        <v>829</v>
      </c>
      <c r="C1119" s="1" t="s">
        <v>1013</v>
      </c>
      <c r="D1119" s="1" t="s">
        <v>1014</v>
      </c>
      <c r="E1119" s="2">
        <v>6000</v>
      </c>
    </row>
    <row r="1120" spans="1:5" x14ac:dyDescent="0.3">
      <c r="A1120" s="1">
        <v>1119</v>
      </c>
      <c r="B1120" s="1" t="s">
        <v>834</v>
      </c>
      <c r="C1120" s="1" t="s">
        <v>1028</v>
      </c>
      <c r="D1120" s="1" t="s">
        <v>1029</v>
      </c>
      <c r="E1120" s="2">
        <v>4000</v>
      </c>
    </row>
    <row r="1121" spans="1:5" x14ac:dyDescent="0.3">
      <c r="A1121" s="1">
        <v>1120</v>
      </c>
      <c r="B1121" s="1" t="s">
        <v>834</v>
      </c>
      <c r="C1121" s="1" t="s">
        <v>1030</v>
      </c>
      <c r="D1121" s="1" t="s">
        <v>1031</v>
      </c>
      <c r="E1121" s="2">
        <v>5000</v>
      </c>
    </row>
    <row r="1122" spans="1:5" x14ac:dyDescent="0.3">
      <c r="A1122" s="1">
        <v>1121</v>
      </c>
      <c r="B1122" s="1" t="s">
        <v>834</v>
      </c>
      <c r="C1122" s="1" t="s">
        <v>1032</v>
      </c>
      <c r="D1122" s="1" t="s">
        <v>1033</v>
      </c>
      <c r="E1122" s="2">
        <v>5000</v>
      </c>
    </row>
    <row r="1123" spans="1:5" x14ac:dyDescent="0.3">
      <c r="A1123" s="1">
        <v>1122</v>
      </c>
      <c r="B1123" s="1" t="s">
        <v>834</v>
      </c>
      <c r="C1123" s="1" t="s">
        <v>1034</v>
      </c>
      <c r="D1123" s="1" t="s">
        <v>1035</v>
      </c>
      <c r="E1123" s="2">
        <v>6000</v>
      </c>
    </row>
    <row r="1124" spans="1:5" x14ac:dyDescent="0.3">
      <c r="A1124" s="1">
        <v>1123</v>
      </c>
      <c r="B1124" s="1" t="s">
        <v>834</v>
      </c>
      <c r="C1124" s="1" t="s">
        <v>1036</v>
      </c>
      <c r="D1124" s="1" t="s">
        <v>1037</v>
      </c>
      <c r="E1124" s="2">
        <v>5000</v>
      </c>
    </row>
    <row r="1125" spans="1:5" x14ac:dyDescent="0.3">
      <c r="A1125" s="1">
        <v>1124</v>
      </c>
      <c r="B1125" s="1" t="s">
        <v>834</v>
      </c>
      <c r="C1125" s="1" t="s">
        <v>1038</v>
      </c>
      <c r="D1125" s="1" t="s">
        <v>1039</v>
      </c>
      <c r="E1125" s="2">
        <v>2000</v>
      </c>
    </row>
    <row r="1126" spans="1:5" x14ac:dyDescent="0.3">
      <c r="A1126" s="1">
        <v>1125</v>
      </c>
      <c r="B1126" s="1" t="s">
        <v>834</v>
      </c>
      <c r="C1126" s="1" t="s">
        <v>1065</v>
      </c>
      <c r="D1126" s="1" t="s">
        <v>1066</v>
      </c>
      <c r="E1126" s="2">
        <v>4000</v>
      </c>
    </row>
    <row r="1127" spans="1:5" x14ac:dyDescent="0.3">
      <c r="A1127" s="1">
        <v>1126</v>
      </c>
      <c r="B1127" s="1" t="s">
        <v>834</v>
      </c>
      <c r="C1127" s="1" t="s">
        <v>1067</v>
      </c>
      <c r="D1127" s="1" t="s">
        <v>1068</v>
      </c>
      <c r="E1127" s="2">
        <v>6500</v>
      </c>
    </row>
    <row r="1128" spans="1:5" x14ac:dyDescent="0.3">
      <c r="A1128" s="1">
        <v>1127</v>
      </c>
      <c r="B1128" s="1" t="s">
        <v>834</v>
      </c>
      <c r="C1128" s="1" t="s">
        <v>1069</v>
      </c>
      <c r="D1128" s="1" t="s">
        <v>1070</v>
      </c>
      <c r="E1128" s="2">
        <v>8000</v>
      </c>
    </row>
    <row r="1129" spans="1:5" x14ac:dyDescent="0.3">
      <c r="A1129" s="1">
        <v>1128</v>
      </c>
      <c r="B1129" s="1" t="s">
        <v>839</v>
      </c>
      <c r="C1129" s="1" t="s">
        <v>1104</v>
      </c>
      <c r="D1129" s="1" t="s">
        <v>1105</v>
      </c>
      <c r="E1129" s="2">
        <v>1500</v>
      </c>
    </row>
    <row r="1130" spans="1:5" x14ac:dyDescent="0.3">
      <c r="A1130" s="1">
        <v>1129</v>
      </c>
      <c r="B1130" s="1" t="s">
        <v>839</v>
      </c>
      <c r="C1130" s="1" t="s">
        <v>1106</v>
      </c>
      <c r="D1130" s="1" t="s">
        <v>1107</v>
      </c>
      <c r="E1130" s="2">
        <v>2000</v>
      </c>
    </row>
    <row r="1131" spans="1:5" x14ac:dyDescent="0.3">
      <c r="A1131" s="1">
        <v>1130</v>
      </c>
      <c r="B1131" s="1" t="s">
        <v>839</v>
      </c>
      <c r="C1131" s="1" t="s">
        <v>1108</v>
      </c>
      <c r="D1131" s="1" t="s">
        <v>1109</v>
      </c>
      <c r="E1131" s="2">
        <v>1500</v>
      </c>
    </row>
    <row r="1132" spans="1:5" x14ac:dyDescent="0.3">
      <c r="A1132" s="1">
        <v>1131</v>
      </c>
      <c r="B1132" s="1" t="s">
        <v>839</v>
      </c>
      <c r="C1132" s="1" t="s">
        <v>1110</v>
      </c>
      <c r="D1132" s="1" t="s">
        <v>1111</v>
      </c>
      <c r="E1132" s="2">
        <v>2000</v>
      </c>
    </row>
    <row r="1133" spans="1:5" x14ac:dyDescent="0.3">
      <c r="A1133" s="1">
        <v>1132</v>
      </c>
      <c r="B1133" s="1" t="s">
        <v>839</v>
      </c>
      <c r="C1133" s="1" t="s">
        <v>1112</v>
      </c>
      <c r="D1133" s="1" t="s">
        <v>1113</v>
      </c>
      <c r="E1133" s="2">
        <v>2000</v>
      </c>
    </row>
    <row r="1134" spans="1:5" x14ac:dyDescent="0.3">
      <c r="A1134" s="1">
        <v>1133</v>
      </c>
      <c r="B1134" s="1" t="s">
        <v>839</v>
      </c>
      <c r="C1134" s="1" t="s">
        <v>1114</v>
      </c>
      <c r="D1134" s="1" t="s">
        <v>1115</v>
      </c>
      <c r="E1134" s="2">
        <v>2500</v>
      </c>
    </row>
    <row r="1135" spans="1:5" x14ac:dyDescent="0.3">
      <c r="A1135" s="1">
        <v>1134</v>
      </c>
      <c r="B1135" s="1" t="s">
        <v>839</v>
      </c>
      <c r="C1135" s="1" t="s">
        <v>1116</v>
      </c>
      <c r="D1135" s="1" t="s">
        <v>1117</v>
      </c>
      <c r="E1135" s="2">
        <v>2000</v>
      </c>
    </row>
    <row r="1136" spans="1:5" x14ac:dyDescent="0.3">
      <c r="A1136" s="1">
        <v>1135</v>
      </c>
      <c r="B1136" s="1" t="s">
        <v>839</v>
      </c>
      <c r="C1136" s="1" t="s">
        <v>1118</v>
      </c>
      <c r="D1136" s="1" t="s">
        <v>1119</v>
      </c>
      <c r="E1136" s="2">
        <v>2500</v>
      </c>
    </row>
    <row r="1137" spans="1:5" x14ac:dyDescent="0.3">
      <c r="A1137" s="1">
        <v>1136</v>
      </c>
      <c r="B1137" s="1" t="s">
        <v>839</v>
      </c>
      <c r="C1137" s="1" t="s">
        <v>1120</v>
      </c>
      <c r="D1137" s="1" t="s">
        <v>1121</v>
      </c>
      <c r="E1137" s="2">
        <v>3000</v>
      </c>
    </row>
    <row r="1138" spans="1:5" x14ac:dyDescent="0.3">
      <c r="A1138" s="1">
        <v>1137</v>
      </c>
      <c r="B1138" s="1" t="s">
        <v>844</v>
      </c>
      <c r="C1138" s="1" t="s">
        <v>946</v>
      </c>
      <c r="D1138" s="1" t="s">
        <v>1098</v>
      </c>
      <c r="E1138" s="2">
        <v>15000</v>
      </c>
    </row>
    <row r="1139" spans="1:5" x14ac:dyDescent="0.3">
      <c r="A1139" s="1">
        <v>1138</v>
      </c>
      <c r="B1139" s="1" t="s">
        <v>844</v>
      </c>
      <c r="C1139" s="1" t="s">
        <v>948</v>
      </c>
      <c r="D1139" s="1" t="s">
        <v>949</v>
      </c>
      <c r="E1139" s="2">
        <v>5000</v>
      </c>
    </row>
    <row r="1140" spans="1:5" x14ac:dyDescent="0.3">
      <c r="A1140" s="1">
        <v>1139</v>
      </c>
      <c r="B1140" s="1" t="s">
        <v>844</v>
      </c>
      <c r="C1140" s="1" t="s">
        <v>950</v>
      </c>
      <c r="D1140" s="1" t="s">
        <v>1074</v>
      </c>
      <c r="E1140" s="2">
        <v>4000</v>
      </c>
    </row>
    <row r="1141" spans="1:5" x14ac:dyDescent="0.3">
      <c r="A1141" s="1">
        <v>1140</v>
      </c>
      <c r="B1141" s="1" t="s">
        <v>844</v>
      </c>
      <c r="C1141" s="1" t="s">
        <v>952</v>
      </c>
      <c r="D1141" s="1" t="s">
        <v>953</v>
      </c>
      <c r="E1141" s="2">
        <v>17000</v>
      </c>
    </row>
    <row r="1142" spans="1:5" x14ac:dyDescent="0.3">
      <c r="A1142" s="1">
        <v>1141</v>
      </c>
      <c r="B1142" s="1" t="s">
        <v>844</v>
      </c>
      <c r="C1142" s="1" t="s">
        <v>954</v>
      </c>
      <c r="D1142" s="1" t="s">
        <v>955</v>
      </c>
      <c r="E1142" s="2">
        <v>11000</v>
      </c>
    </row>
    <row r="1143" spans="1:5" x14ac:dyDescent="0.3">
      <c r="A1143" s="1">
        <v>1142</v>
      </c>
      <c r="B1143" s="1" t="s">
        <v>844</v>
      </c>
      <c r="C1143" s="1" t="s">
        <v>956</v>
      </c>
      <c r="D1143" s="1" t="s">
        <v>1075</v>
      </c>
      <c r="E1143" s="2">
        <v>6000</v>
      </c>
    </row>
    <row r="1144" spans="1:5" x14ac:dyDescent="0.3">
      <c r="A1144" s="1">
        <v>1143</v>
      </c>
      <c r="B1144" s="1" t="s">
        <v>844</v>
      </c>
      <c r="C1144" s="1" t="s">
        <v>958</v>
      </c>
      <c r="D1144" s="1" t="s">
        <v>959</v>
      </c>
      <c r="E1144" s="2">
        <v>4500</v>
      </c>
    </row>
    <row r="1145" spans="1:5" x14ac:dyDescent="0.3">
      <c r="A1145" s="1">
        <v>1144</v>
      </c>
      <c r="B1145" s="1" t="s">
        <v>844</v>
      </c>
      <c r="C1145" s="1" t="s">
        <v>960</v>
      </c>
      <c r="D1145" s="1" t="s">
        <v>961</v>
      </c>
      <c r="E1145" s="2">
        <v>8500</v>
      </c>
    </row>
    <row r="1146" spans="1:5" x14ac:dyDescent="0.3">
      <c r="A1146" s="1">
        <v>1145</v>
      </c>
      <c r="B1146" s="1" t="s">
        <v>844</v>
      </c>
      <c r="C1146" s="1" t="s">
        <v>962</v>
      </c>
      <c r="D1146" s="1" t="s">
        <v>963</v>
      </c>
      <c r="E1146" s="2">
        <v>2000</v>
      </c>
    </row>
    <row r="1147" spans="1:5" x14ac:dyDescent="0.3">
      <c r="A1147" s="1">
        <v>1146</v>
      </c>
      <c r="B1147" s="1" t="s">
        <v>849</v>
      </c>
      <c r="C1147" s="1" t="s">
        <v>1104</v>
      </c>
      <c r="D1147" s="1" t="s">
        <v>1105</v>
      </c>
      <c r="E1147" s="2">
        <v>1500</v>
      </c>
    </row>
    <row r="1148" spans="1:5" x14ac:dyDescent="0.3">
      <c r="A1148" s="1">
        <v>1147</v>
      </c>
      <c r="B1148" s="1" t="s">
        <v>849</v>
      </c>
      <c r="C1148" s="1" t="s">
        <v>1106</v>
      </c>
      <c r="D1148" s="1" t="s">
        <v>1107</v>
      </c>
      <c r="E1148" s="2">
        <v>2000</v>
      </c>
    </row>
    <row r="1149" spans="1:5" x14ac:dyDescent="0.3">
      <c r="A1149" s="1">
        <v>1148</v>
      </c>
      <c r="B1149" s="1" t="s">
        <v>849</v>
      </c>
      <c r="C1149" s="1" t="s">
        <v>1108</v>
      </c>
      <c r="D1149" s="1" t="s">
        <v>1109</v>
      </c>
      <c r="E1149" s="2">
        <v>1500</v>
      </c>
    </row>
    <row r="1150" spans="1:5" x14ac:dyDescent="0.3">
      <c r="A1150" s="1">
        <v>1149</v>
      </c>
      <c r="B1150" s="1" t="s">
        <v>849</v>
      </c>
      <c r="C1150" s="1" t="s">
        <v>1110</v>
      </c>
      <c r="D1150" s="1" t="s">
        <v>1111</v>
      </c>
      <c r="E1150" s="2">
        <v>2000</v>
      </c>
    </row>
    <row r="1151" spans="1:5" x14ac:dyDescent="0.3">
      <c r="A1151" s="1">
        <v>1150</v>
      </c>
      <c r="B1151" s="1" t="s">
        <v>849</v>
      </c>
      <c r="C1151" s="1" t="s">
        <v>1112</v>
      </c>
      <c r="D1151" s="1" t="s">
        <v>1113</v>
      </c>
      <c r="E1151" s="2">
        <v>2000</v>
      </c>
    </row>
    <row r="1152" spans="1:5" x14ac:dyDescent="0.3">
      <c r="A1152" s="1">
        <v>1151</v>
      </c>
      <c r="B1152" s="1" t="s">
        <v>849</v>
      </c>
      <c r="C1152" s="1" t="s">
        <v>1114</v>
      </c>
      <c r="D1152" s="1" t="s">
        <v>1115</v>
      </c>
      <c r="E1152" s="2">
        <v>2500</v>
      </c>
    </row>
    <row r="1153" spans="1:5" x14ac:dyDescent="0.3">
      <c r="A1153" s="1">
        <v>1152</v>
      </c>
      <c r="B1153" s="1" t="s">
        <v>849</v>
      </c>
      <c r="C1153" s="1" t="s">
        <v>1116</v>
      </c>
      <c r="D1153" s="1" t="s">
        <v>1117</v>
      </c>
      <c r="E1153" s="2">
        <v>2000</v>
      </c>
    </row>
    <row r="1154" spans="1:5" x14ac:dyDescent="0.3">
      <c r="A1154" s="1">
        <v>1153</v>
      </c>
      <c r="B1154" s="1" t="s">
        <v>849</v>
      </c>
      <c r="C1154" s="1" t="s">
        <v>1118</v>
      </c>
      <c r="D1154" s="1" t="s">
        <v>1119</v>
      </c>
      <c r="E1154" s="2">
        <v>2500</v>
      </c>
    </row>
    <row r="1155" spans="1:5" x14ac:dyDescent="0.3">
      <c r="A1155" s="1">
        <v>1154</v>
      </c>
      <c r="B1155" s="1" t="s">
        <v>849</v>
      </c>
      <c r="C1155" s="1" t="s">
        <v>1120</v>
      </c>
      <c r="D1155" s="1" t="s">
        <v>1121</v>
      </c>
      <c r="E1155" s="2">
        <v>3000</v>
      </c>
    </row>
    <row r="1156" spans="1:5" x14ac:dyDescent="0.3">
      <c r="A1156" s="1">
        <v>1155</v>
      </c>
      <c r="B1156" s="1" t="s">
        <v>854</v>
      </c>
      <c r="C1156" s="1" t="s">
        <v>1015</v>
      </c>
      <c r="D1156" s="1" t="s">
        <v>1016</v>
      </c>
      <c r="E1156" s="2">
        <v>4500</v>
      </c>
    </row>
    <row r="1157" spans="1:5" x14ac:dyDescent="0.3">
      <c r="A1157" s="1">
        <v>1156</v>
      </c>
      <c r="B1157" s="1" t="s">
        <v>854</v>
      </c>
      <c r="C1157" s="1" t="s">
        <v>1017</v>
      </c>
      <c r="D1157" s="1" t="s">
        <v>1018</v>
      </c>
      <c r="E1157" s="2">
        <v>6000</v>
      </c>
    </row>
    <row r="1158" spans="1:5" x14ac:dyDescent="0.3">
      <c r="A1158" s="1">
        <v>1157</v>
      </c>
      <c r="B1158" s="1" t="s">
        <v>854</v>
      </c>
      <c r="C1158" s="1" t="s">
        <v>1019</v>
      </c>
      <c r="D1158" s="1" t="s">
        <v>1020</v>
      </c>
      <c r="E1158" s="2">
        <v>7600</v>
      </c>
    </row>
    <row r="1159" spans="1:5" x14ac:dyDescent="0.3">
      <c r="A1159" s="1">
        <v>1158</v>
      </c>
      <c r="B1159" s="1" t="s">
        <v>854</v>
      </c>
      <c r="C1159" s="1" t="s">
        <v>1021</v>
      </c>
      <c r="D1159" s="1" t="s">
        <v>1022</v>
      </c>
      <c r="E1159" s="2">
        <v>5000</v>
      </c>
    </row>
    <row r="1160" spans="1:5" x14ac:dyDescent="0.3">
      <c r="A1160" s="1">
        <v>1159</v>
      </c>
      <c r="B1160" s="1" t="s">
        <v>854</v>
      </c>
      <c r="C1160" s="1" t="s">
        <v>1092</v>
      </c>
      <c r="D1160" s="1" t="s">
        <v>1093</v>
      </c>
      <c r="E1160" s="2">
        <v>6500</v>
      </c>
    </row>
    <row r="1161" spans="1:5" x14ac:dyDescent="0.3">
      <c r="A1161" s="1">
        <v>1160</v>
      </c>
      <c r="B1161" s="1" t="s">
        <v>854</v>
      </c>
      <c r="C1161" s="1" t="s">
        <v>1094</v>
      </c>
      <c r="D1161" s="1" t="s">
        <v>1095</v>
      </c>
      <c r="E1161" s="2">
        <v>9000</v>
      </c>
    </row>
    <row r="1162" spans="1:5" x14ac:dyDescent="0.3">
      <c r="A1162" s="1">
        <v>1161</v>
      </c>
      <c r="B1162" s="1" t="s">
        <v>854</v>
      </c>
      <c r="C1162" s="1" t="s">
        <v>1096</v>
      </c>
      <c r="D1162" s="1" t="s">
        <v>1097</v>
      </c>
      <c r="E1162" s="2">
        <v>2500</v>
      </c>
    </row>
    <row r="1163" spans="1:5" x14ac:dyDescent="0.3">
      <c r="A1163" s="1">
        <v>1162</v>
      </c>
      <c r="B1163" s="1" t="s">
        <v>854</v>
      </c>
      <c r="C1163" s="1" t="s">
        <v>1023</v>
      </c>
      <c r="D1163" s="1" t="s">
        <v>1024</v>
      </c>
      <c r="E1163" s="2">
        <v>6000</v>
      </c>
    </row>
    <row r="1164" spans="1:5" x14ac:dyDescent="0.3">
      <c r="A1164" s="1">
        <v>1163</v>
      </c>
      <c r="B1164" s="1" t="s">
        <v>854</v>
      </c>
      <c r="C1164" s="1" t="s">
        <v>1025</v>
      </c>
      <c r="D1164" s="1" t="s">
        <v>1026</v>
      </c>
      <c r="E1164" s="2">
        <v>5000</v>
      </c>
    </row>
    <row r="1165" spans="1:5" x14ac:dyDescent="0.3">
      <c r="A1165" s="1">
        <v>1164</v>
      </c>
      <c r="B1165" s="1" t="s">
        <v>859</v>
      </c>
      <c r="C1165" s="1" t="s">
        <v>1040</v>
      </c>
      <c r="D1165" s="1" t="s">
        <v>1041</v>
      </c>
      <c r="E1165" s="2">
        <v>4500</v>
      </c>
    </row>
    <row r="1166" spans="1:5" x14ac:dyDescent="0.3">
      <c r="A1166" s="1">
        <v>1165</v>
      </c>
      <c r="B1166" s="1" t="s">
        <v>859</v>
      </c>
      <c r="C1166" s="1" t="s">
        <v>1042</v>
      </c>
      <c r="D1166" s="1" t="s">
        <v>1043</v>
      </c>
      <c r="E1166" s="2">
        <v>3000</v>
      </c>
    </row>
    <row r="1167" spans="1:5" x14ac:dyDescent="0.3">
      <c r="A1167" s="1">
        <v>1166</v>
      </c>
      <c r="B1167" s="1" t="s">
        <v>859</v>
      </c>
      <c r="C1167" s="1" t="s">
        <v>1044</v>
      </c>
      <c r="D1167" s="1" t="s">
        <v>1045</v>
      </c>
      <c r="E1167" s="2">
        <v>2000</v>
      </c>
    </row>
    <row r="1168" spans="1:5" x14ac:dyDescent="0.3">
      <c r="A1168" s="1">
        <v>1167</v>
      </c>
      <c r="B1168" s="1" t="s">
        <v>859</v>
      </c>
      <c r="C1168" s="1" t="s">
        <v>1059</v>
      </c>
      <c r="D1168" s="1" t="s">
        <v>1060</v>
      </c>
      <c r="E1168" s="1">
        <v>500</v>
      </c>
    </row>
    <row r="1169" spans="1:5" x14ac:dyDescent="0.3">
      <c r="A1169" s="1">
        <v>1168</v>
      </c>
      <c r="B1169" s="1" t="s">
        <v>859</v>
      </c>
      <c r="C1169" s="1" t="s">
        <v>1046</v>
      </c>
      <c r="D1169" s="1" t="s">
        <v>1047</v>
      </c>
      <c r="E1169" s="1">
        <v>700</v>
      </c>
    </row>
    <row r="1170" spans="1:5" x14ac:dyDescent="0.3">
      <c r="A1170" s="1">
        <v>1169</v>
      </c>
      <c r="B1170" s="1" t="s">
        <v>859</v>
      </c>
      <c r="C1170" s="1" t="s">
        <v>1048</v>
      </c>
      <c r="D1170" s="1" t="s">
        <v>1049</v>
      </c>
      <c r="E1170" s="1">
        <v>700</v>
      </c>
    </row>
    <row r="1171" spans="1:5" x14ac:dyDescent="0.3">
      <c r="A1171" s="1">
        <v>1170</v>
      </c>
      <c r="B1171" s="1" t="s">
        <v>859</v>
      </c>
      <c r="C1171" s="1" t="s">
        <v>1061</v>
      </c>
      <c r="D1171" s="1" t="s">
        <v>1062</v>
      </c>
      <c r="E1171" s="2">
        <v>2500</v>
      </c>
    </row>
    <row r="1172" spans="1:5" x14ac:dyDescent="0.3">
      <c r="A1172" s="1">
        <v>1171</v>
      </c>
      <c r="B1172" s="1" t="s">
        <v>859</v>
      </c>
      <c r="C1172" s="1" t="s">
        <v>1063</v>
      </c>
      <c r="D1172" s="1" t="s">
        <v>1064</v>
      </c>
      <c r="E1172" s="2">
        <v>3500</v>
      </c>
    </row>
    <row r="1173" spans="1:5" x14ac:dyDescent="0.3">
      <c r="A1173" s="1">
        <v>1172</v>
      </c>
      <c r="B1173" s="1" t="s">
        <v>864</v>
      </c>
      <c r="C1173" s="1" t="s">
        <v>1015</v>
      </c>
      <c r="D1173" s="1" t="s">
        <v>1016</v>
      </c>
      <c r="E1173" s="2">
        <v>4500</v>
      </c>
    </row>
    <row r="1174" spans="1:5" x14ac:dyDescent="0.3">
      <c r="A1174" s="1">
        <v>1173</v>
      </c>
      <c r="B1174" s="1" t="s">
        <v>864</v>
      </c>
      <c r="C1174" s="1" t="s">
        <v>1017</v>
      </c>
      <c r="D1174" s="1" t="s">
        <v>1018</v>
      </c>
      <c r="E1174" s="2">
        <v>6000</v>
      </c>
    </row>
    <row r="1175" spans="1:5" x14ac:dyDescent="0.3">
      <c r="A1175" s="1">
        <v>1174</v>
      </c>
      <c r="B1175" s="1" t="s">
        <v>864</v>
      </c>
      <c r="C1175" s="1" t="s">
        <v>1019</v>
      </c>
      <c r="D1175" s="1" t="s">
        <v>1020</v>
      </c>
      <c r="E1175" s="2">
        <v>7600</v>
      </c>
    </row>
    <row r="1176" spans="1:5" x14ac:dyDescent="0.3">
      <c r="A1176" s="1">
        <v>1175</v>
      </c>
      <c r="B1176" s="1" t="s">
        <v>864</v>
      </c>
      <c r="C1176" s="1" t="s">
        <v>1021</v>
      </c>
      <c r="D1176" s="1" t="s">
        <v>1022</v>
      </c>
      <c r="E1176" s="2">
        <v>5000</v>
      </c>
    </row>
    <row r="1177" spans="1:5" x14ac:dyDescent="0.3">
      <c r="A1177" s="1">
        <v>1176</v>
      </c>
      <c r="B1177" s="1" t="s">
        <v>864</v>
      </c>
      <c r="C1177" s="1" t="s">
        <v>1092</v>
      </c>
      <c r="D1177" s="1" t="s">
        <v>1093</v>
      </c>
      <c r="E1177" s="2">
        <v>6500</v>
      </c>
    </row>
    <row r="1178" spans="1:5" x14ac:dyDescent="0.3">
      <c r="A1178" s="1">
        <v>1177</v>
      </c>
      <c r="B1178" s="1" t="s">
        <v>864</v>
      </c>
      <c r="C1178" s="1" t="s">
        <v>1094</v>
      </c>
      <c r="D1178" s="1" t="s">
        <v>1095</v>
      </c>
      <c r="E1178" s="2">
        <v>9000</v>
      </c>
    </row>
    <row r="1179" spans="1:5" x14ac:dyDescent="0.3">
      <c r="A1179" s="1">
        <v>1178</v>
      </c>
      <c r="B1179" s="1" t="s">
        <v>864</v>
      </c>
      <c r="C1179" s="1" t="s">
        <v>1096</v>
      </c>
      <c r="D1179" s="1" t="s">
        <v>1097</v>
      </c>
      <c r="E1179" s="2">
        <v>2500</v>
      </c>
    </row>
    <row r="1180" spans="1:5" x14ac:dyDescent="0.3">
      <c r="A1180" s="1">
        <v>1179</v>
      </c>
      <c r="B1180" s="1" t="s">
        <v>864</v>
      </c>
      <c r="C1180" s="1" t="s">
        <v>1023</v>
      </c>
      <c r="D1180" s="1" t="s">
        <v>1024</v>
      </c>
      <c r="E1180" s="2">
        <v>6000</v>
      </c>
    </row>
    <row r="1181" spans="1:5" x14ac:dyDescent="0.3">
      <c r="A1181" s="1">
        <v>1180</v>
      </c>
      <c r="B1181" s="1" t="s">
        <v>864</v>
      </c>
      <c r="C1181" s="1" t="s">
        <v>1025</v>
      </c>
      <c r="D1181" s="1" t="s">
        <v>1026</v>
      </c>
      <c r="E1181" s="2">
        <v>5000</v>
      </c>
    </row>
    <row r="1182" spans="1:5" x14ac:dyDescent="0.3">
      <c r="A1182" s="1">
        <v>1181</v>
      </c>
      <c r="B1182" s="1" t="s">
        <v>869</v>
      </c>
      <c r="C1182" s="1" t="s">
        <v>993</v>
      </c>
      <c r="D1182" s="1" t="s">
        <v>994</v>
      </c>
      <c r="E1182" s="2">
        <v>5000</v>
      </c>
    </row>
    <row r="1183" spans="1:5" x14ac:dyDescent="0.3">
      <c r="A1183" s="1">
        <v>1182</v>
      </c>
      <c r="B1183" s="1" t="s">
        <v>869</v>
      </c>
      <c r="C1183" s="1" t="s">
        <v>995</v>
      </c>
      <c r="D1183" s="1" t="s">
        <v>996</v>
      </c>
      <c r="E1183" s="2">
        <v>6000</v>
      </c>
    </row>
    <row r="1184" spans="1:5" x14ac:dyDescent="0.3">
      <c r="A1184" s="1">
        <v>1183</v>
      </c>
      <c r="B1184" s="1" t="s">
        <v>869</v>
      </c>
      <c r="C1184" s="1" t="s">
        <v>997</v>
      </c>
      <c r="D1184" s="1" t="s">
        <v>998</v>
      </c>
      <c r="E1184" s="2">
        <v>5500</v>
      </c>
    </row>
    <row r="1185" spans="1:5" x14ac:dyDescent="0.3">
      <c r="A1185" s="1">
        <v>1184</v>
      </c>
      <c r="B1185" s="1" t="s">
        <v>869</v>
      </c>
      <c r="C1185" s="1" t="s">
        <v>999</v>
      </c>
      <c r="D1185" s="1" t="s">
        <v>1000</v>
      </c>
      <c r="E1185" s="2">
        <v>6000</v>
      </c>
    </row>
    <row r="1186" spans="1:5" x14ac:dyDescent="0.3">
      <c r="A1186" s="1">
        <v>1185</v>
      </c>
      <c r="B1186" s="1" t="s">
        <v>869</v>
      </c>
      <c r="C1186" s="1" t="s">
        <v>1001</v>
      </c>
      <c r="D1186" s="1" t="s">
        <v>1002</v>
      </c>
      <c r="E1186" s="2">
        <v>4500</v>
      </c>
    </row>
    <row r="1187" spans="1:5" x14ac:dyDescent="0.3">
      <c r="A1187" s="1">
        <v>1186</v>
      </c>
      <c r="B1187" s="1" t="s">
        <v>869</v>
      </c>
      <c r="C1187" s="1" t="s">
        <v>1003</v>
      </c>
      <c r="D1187" s="1" t="s">
        <v>1004</v>
      </c>
      <c r="E1187" s="2">
        <v>4000</v>
      </c>
    </row>
    <row r="1188" spans="1:5" x14ac:dyDescent="0.3">
      <c r="A1188" s="1">
        <v>1187</v>
      </c>
      <c r="B1188" s="1" t="s">
        <v>869</v>
      </c>
      <c r="C1188" s="1" t="s">
        <v>1005</v>
      </c>
      <c r="D1188" s="1" t="s">
        <v>1006</v>
      </c>
      <c r="E1188" s="2">
        <v>3000</v>
      </c>
    </row>
    <row r="1189" spans="1:5" x14ac:dyDescent="0.3">
      <c r="A1189" s="1">
        <v>1188</v>
      </c>
      <c r="B1189" s="1" t="s">
        <v>869</v>
      </c>
      <c r="C1189" s="1" t="s">
        <v>1007</v>
      </c>
      <c r="D1189" s="1" t="s">
        <v>1008</v>
      </c>
      <c r="E1189" s="2">
        <v>2500</v>
      </c>
    </row>
    <row r="1190" spans="1:5" x14ac:dyDescent="0.3">
      <c r="A1190" s="1">
        <v>1189</v>
      </c>
      <c r="B1190" s="1" t="s">
        <v>869</v>
      </c>
      <c r="C1190" s="1" t="s">
        <v>1009</v>
      </c>
      <c r="D1190" s="1" t="s">
        <v>1010</v>
      </c>
      <c r="E1190" s="2">
        <v>8000</v>
      </c>
    </row>
    <row r="1191" spans="1:5" x14ac:dyDescent="0.3">
      <c r="A1191" s="1">
        <v>1190</v>
      </c>
      <c r="B1191" s="1" t="s">
        <v>869</v>
      </c>
      <c r="C1191" s="1" t="s">
        <v>1057</v>
      </c>
      <c r="D1191" s="1" t="s">
        <v>1058</v>
      </c>
      <c r="E1191" s="2">
        <v>9000</v>
      </c>
    </row>
    <row r="1192" spans="1:5" x14ac:dyDescent="0.3">
      <c r="A1192" s="1">
        <v>1191</v>
      </c>
      <c r="B1192" s="1" t="s">
        <v>869</v>
      </c>
      <c r="C1192" s="1" t="s">
        <v>1011</v>
      </c>
      <c r="D1192" s="1" t="s">
        <v>1012</v>
      </c>
      <c r="E1192" s="2">
        <v>8000</v>
      </c>
    </row>
    <row r="1193" spans="1:5" x14ac:dyDescent="0.3">
      <c r="A1193" s="1">
        <v>1192</v>
      </c>
      <c r="B1193" s="1" t="s">
        <v>869</v>
      </c>
      <c r="C1193" s="1" t="s">
        <v>1013</v>
      </c>
      <c r="D1193" s="1" t="s">
        <v>1014</v>
      </c>
      <c r="E1193" s="2">
        <v>6000</v>
      </c>
    </row>
    <row r="1194" spans="1:5" x14ac:dyDescent="0.3">
      <c r="A1194" s="1">
        <v>1193</v>
      </c>
      <c r="B1194" s="1" t="s">
        <v>874</v>
      </c>
      <c r="C1194" s="1" t="s">
        <v>967</v>
      </c>
      <c r="D1194" s="1" t="s">
        <v>968</v>
      </c>
      <c r="E1194" s="2">
        <v>18000</v>
      </c>
    </row>
    <row r="1195" spans="1:5" x14ac:dyDescent="0.3">
      <c r="A1195" s="1">
        <v>1194</v>
      </c>
      <c r="B1195" s="1" t="s">
        <v>874</v>
      </c>
      <c r="C1195" s="1" t="s">
        <v>969</v>
      </c>
      <c r="D1195" s="1" t="s">
        <v>970</v>
      </c>
      <c r="E1195" s="2">
        <v>4500</v>
      </c>
    </row>
    <row r="1196" spans="1:5" x14ac:dyDescent="0.3">
      <c r="A1196" s="1">
        <v>1195</v>
      </c>
      <c r="B1196" s="1" t="s">
        <v>874</v>
      </c>
      <c r="C1196" s="1" t="s">
        <v>971</v>
      </c>
      <c r="D1196" s="1" t="s">
        <v>972</v>
      </c>
      <c r="E1196" s="2">
        <v>16000</v>
      </c>
    </row>
    <row r="1197" spans="1:5" x14ac:dyDescent="0.3">
      <c r="A1197" s="1">
        <v>1196</v>
      </c>
      <c r="B1197" s="1" t="s">
        <v>874</v>
      </c>
      <c r="C1197" s="1" t="s">
        <v>973</v>
      </c>
      <c r="D1197" s="1" t="s">
        <v>974</v>
      </c>
      <c r="E1197" s="2">
        <v>9000</v>
      </c>
    </row>
    <row r="1198" spans="1:5" x14ac:dyDescent="0.3">
      <c r="A1198" s="1">
        <v>1197</v>
      </c>
      <c r="B1198" s="1" t="s">
        <v>874</v>
      </c>
      <c r="C1198" s="1" t="s">
        <v>975</v>
      </c>
      <c r="D1198" s="1" t="s">
        <v>976</v>
      </c>
      <c r="E1198" s="2">
        <v>2500</v>
      </c>
    </row>
    <row r="1199" spans="1:5" x14ac:dyDescent="0.3">
      <c r="A1199" s="1">
        <v>1198</v>
      </c>
      <c r="B1199" s="1" t="s">
        <v>874</v>
      </c>
      <c r="C1199" s="1" t="s">
        <v>977</v>
      </c>
      <c r="D1199" s="1" t="s">
        <v>978</v>
      </c>
      <c r="E1199" s="2">
        <v>5000</v>
      </c>
    </row>
    <row r="1200" spans="1:5" x14ac:dyDescent="0.3">
      <c r="A1200" s="1">
        <v>1199</v>
      </c>
      <c r="B1200" s="1" t="s">
        <v>874</v>
      </c>
      <c r="C1200" s="1" t="s">
        <v>979</v>
      </c>
      <c r="D1200" s="1" t="s">
        <v>980</v>
      </c>
      <c r="E1200" s="2">
        <v>15000</v>
      </c>
    </row>
    <row r="1201" spans="1:5" x14ac:dyDescent="0.3">
      <c r="A1201" s="1">
        <v>1200</v>
      </c>
      <c r="B1201" s="1" t="s">
        <v>874</v>
      </c>
      <c r="C1201" s="1" t="s">
        <v>981</v>
      </c>
      <c r="D1201" s="1" t="s">
        <v>982</v>
      </c>
      <c r="E1201" s="2">
        <v>9000</v>
      </c>
    </row>
    <row r="1202" spans="1:5" x14ac:dyDescent="0.3">
      <c r="A1202" s="1">
        <v>1201</v>
      </c>
      <c r="B1202" s="1" t="s">
        <v>874</v>
      </c>
      <c r="C1202" s="1" t="s">
        <v>1050</v>
      </c>
      <c r="D1202" s="1" t="s">
        <v>1051</v>
      </c>
      <c r="E1202" s="2">
        <v>7000</v>
      </c>
    </row>
    <row r="1203" spans="1:5" x14ac:dyDescent="0.3">
      <c r="A1203" s="1">
        <v>1202</v>
      </c>
      <c r="B1203" s="1" t="s">
        <v>874</v>
      </c>
      <c r="C1203" s="1" t="s">
        <v>1052</v>
      </c>
      <c r="D1203" s="1" t="s">
        <v>1053</v>
      </c>
      <c r="E1203" s="2">
        <v>12000</v>
      </c>
    </row>
    <row r="1204" spans="1:5" x14ac:dyDescent="0.3">
      <c r="A1204" s="1">
        <v>1203</v>
      </c>
      <c r="B1204" s="1" t="s">
        <v>879</v>
      </c>
      <c r="C1204" s="1" t="s">
        <v>1015</v>
      </c>
      <c r="D1204" s="1" t="s">
        <v>1016</v>
      </c>
      <c r="E1204" s="2">
        <v>4500</v>
      </c>
    </row>
    <row r="1205" spans="1:5" x14ac:dyDescent="0.3">
      <c r="A1205" s="1">
        <v>1204</v>
      </c>
      <c r="B1205" s="1" t="s">
        <v>879</v>
      </c>
      <c r="C1205" s="1" t="s">
        <v>1017</v>
      </c>
      <c r="D1205" s="1" t="s">
        <v>1018</v>
      </c>
      <c r="E1205" s="2">
        <v>6000</v>
      </c>
    </row>
    <row r="1206" spans="1:5" x14ac:dyDescent="0.3">
      <c r="A1206" s="1">
        <v>1205</v>
      </c>
      <c r="B1206" s="1" t="s">
        <v>879</v>
      </c>
      <c r="C1206" s="1" t="s">
        <v>1019</v>
      </c>
      <c r="D1206" s="1" t="s">
        <v>1020</v>
      </c>
      <c r="E1206" s="2">
        <v>7600</v>
      </c>
    </row>
    <row r="1207" spans="1:5" x14ac:dyDescent="0.3">
      <c r="A1207" s="1">
        <v>1206</v>
      </c>
      <c r="B1207" s="1" t="s">
        <v>879</v>
      </c>
      <c r="C1207" s="1" t="s">
        <v>1021</v>
      </c>
      <c r="D1207" s="1" t="s">
        <v>1022</v>
      </c>
      <c r="E1207" s="2">
        <v>5000</v>
      </c>
    </row>
    <row r="1208" spans="1:5" x14ac:dyDescent="0.3">
      <c r="A1208" s="1">
        <v>1207</v>
      </c>
      <c r="B1208" s="1" t="s">
        <v>879</v>
      </c>
      <c r="C1208" s="1" t="s">
        <v>1092</v>
      </c>
      <c r="D1208" s="1" t="s">
        <v>1093</v>
      </c>
      <c r="E1208" s="2">
        <v>6500</v>
      </c>
    </row>
    <row r="1209" spans="1:5" x14ac:dyDescent="0.3">
      <c r="A1209" s="1">
        <v>1208</v>
      </c>
      <c r="B1209" s="1" t="s">
        <v>879</v>
      </c>
      <c r="C1209" s="1" t="s">
        <v>1094</v>
      </c>
      <c r="D1209" s="1" t="s">
        <v>1095</v>
      </c>
      <c r="E1209" s="2">
        <v>9000</v>
      </c>
    </row>
    <row r="1210" spans="1:5" x14ac:dyDescent="0.3">
      <c r="A1210" s="1">
        <v>1209</v>
      </c>
      <c r="B1210" s="1" t="s">
        <v>879</v>
      </c>
      <c r="C1210" s="1" t="s">
        <v>1096</v>
      </c>
      <c r="D1210" s="1" t="s">
        <v>1097</v>
      </c>
      <c r="E1210" s="2">
        <v>2500</v>
      </c>
    </row>
    <row r="1211" spans="1:5" x14ac:dyDescent="0.3">
      <c r="A1211" s="1">
        <v>1210</v>
      </c>
      <c r="B1211" s="1" t="s">
        <v>879</v>
      </c>
      <c r="C1211" s="1" t="s">
        <v>1023</v>
      </c>
      <c r="D1211" s="1" t="s">
        <v>1024</v>
      </c>
      <c r="E1211" s="2">
        <v>6000</v>
      </c>
    </row>
    <row r="1212" spans="1:5" x14ac:dyDescent="0.3">
      <c r="A1212" s="1">
        <v>1211</v>
      </c>
      <c r="B1212" s="1" t="s">
        <v>879</v>
      </c>
      <c r="C1212" s="1" t="s">
        <v>1025</v>
      </c>
      <c r="D1212" s="1" t="s">
        <v>1026</v>
      </c>
      <c r="E1212" s="2">
        <v>5000</v>
      </c>
    </row>
    <row r="1213" spans="1:5" x14ac:dyDescent="0.3">
      <c r="A1213" s="1">
        <v>1212</v>
      </c>
      <c r="B1213" s="1" t="s">
        <v>884</v>
      </c>
      <c r="C1213" s="1" t="s">
        <v>993</v>
      </c>
      <c r="D1213" s="1" t="s">
        <v>994</v>
      </c>
      <c r="E1213" s="2">
        <v>5000</v>
      </c>
    </row>
    <row r="1214" spans="1:5" x14ac:dyDescent="0.3">
      <c r="A1214" s="1">
        <v>1213</v>
      </c>
      <c r="B1214" s="1" t="s">
        <v>884</v>
      </c>
      <c r="C1214" s="1" t="s">
        <v>995</v>
      </c>
      <c r="D1214" s="1" t="s">
        <v>996</v>
      </c>
      <c r="E1214" s="2">
        <v>6000</v>
      </c>
    </row>
    <row r="1215" spans="1:5" x14ac:dyDescent="0.3">
      <c r="A1215" s="1">
        <v>1214</v>
      </c>
      <c r="B1215" s="1" t="s">
        <v>884</v>
      </c>
      <c r="C1215" s="1" t="s">
        <v>997</v>
      </c>
      <c r="D1215" s="1" t="s">
        <v>998</v>
      </c>
      <c r="E1215" s="2">
        <v>5500</v>
      </c>
    </row>
    <row r="1216" spans="1:5" x14ac:dyDescent="0.3">
      <c r="A1216" s="1">
        <v>1215</v>
      </c>
      <c r="B1216" s="1" t="s">
        <v>884</v>
      </c>
      <c r="C1216" s="1" t="s">
        <v>999</v>
      </c>
      <c r="D1216" s="1" t="s">
        <v>1000</v>
      </c>
      <c r="E1216" s="2">
        <v>6000</v>
      </c>
    </row>
    <row r="1217" spans="1:5" x14ac:dyDescent="0.3">
      <c r="A1217" s="1">
        <v>1216</v>
      </c>
      <c r="B1217" s="1" t="s">
        <v>884</v>
      </c>
      <c r="C1217" s="1" t="s">
        <v>1001</v>
      </c>
      <c r="D1217" s="1" t="s">
        <v>1002</v>
      </c>
      <c r="E1217" s="2">
        <v>4500</v>
      </c>
    </row>
    <row r="1218" spans="1:5" x14ac:dyDescent="0.3">
      <c r="A1218" s="1">
        <v>1217</v>
      </c>
      <c r="B1218" s="1" t="s">
        <v>884</v>
      </c>
      <c r="C1218" s="1" t="s">
        <v>1003</v>
      </c>
      <c r="D1218" s="1" t="s">
        <v>1004</v>
      </c>
      <c r="E1218" s="2">
        <v>4000</v>
      </c>
    </row>
    <row r="1219" spans="1:5" x14ac:dyDescent="0.3">
      <c r="A1219" s="1">
        <v>1218</v>
      </c>
      <c r="B1219" s="1" t="s">
        <v>884</v>
      </c>
      <c r="C1219" s="1" t="s">
        <v>1005</v>
      </c>
      <c r="D1219" s="1" t="s">
        <v>1006</v>
      </c>
      <c r="E1219" s="2">
        <v>3000</v>
      </c>
    </row>
    <row r="1220" spans="1:5" x14ac:dyDescent="0.3">
      <c r="A1220" s="1">
        <v>1219</v>
      </c>
      <c r="B1220" s="1" t="s">
        <v>884</v>
      </c>
      <c r="C1220" s="1" t="s">
        <v>1007</v>
      </c>
      <c r="D1220" s="1" t="s">
        <v>1008</v>
      </c>
      <c r="E1220" s="2">
        <v>2500</v>
      </c>
    </row>
    <row r="1221" spans="1:5" x14ac:dyDescent="0.3">
      <c r="A1221" s="1">
        <v>1220</v>
      </c>
      <c r="B1221" s="1" t="s">
        <v>884</v>
      </c>
      <c r="C1221" s="1" t="s">
        <v>1009</v>
      </c>
      <c r="D1221" s="1" t="s">
        <v>1010</v>
      </c>
      <c r="E1221" s="2">
        <v>8000</v>
      </c>
    </row>
    <row r="1222" spans="1:5" x14ac:dyDescent="0.3">
      <c r="A1222" s="1">
        <v>1221</v>
      </c>
      <c r="B1222" s="1" t="s">
        <v>884</v>
      </c>
      <c r="C1222" s="1" t="s">
        <v>1057</v>
      </c>
      <c r="D1222" s="1" t="s">
        <v>1058</v>
      </c>
      <c r="E1222" s="2">
        <v>9000</v>
      </c>
    </row>
    <row r="1223" spans="1:5" x14ac:dyDescent="0.3">
      <c r="A1223" s="1">
        <v>1222</v>
      </c>
      <c r="B1223" s="1" t="s">
        <v>884</v>
      </c>
      <c r="C1223" s="1" t="s">
        <v>1011</v>
      </c>
      <c r="D1223" s="1" t="s">
        <v>1012</v>
      </c>
      <c r="E1223" s="2">
        <v>8000</v>
      </c>
    </row>
    <row r="1224" spans="1:5" x14ac:dyDescent="0.3">
      <c r="A1224" s="1">
        <v>1223</v>
      </c>
      <c r="B1224" s="1" t="s">
        <v>884</v>
      </c>
      <c r="C1224" s="1" t="s">
        <v>1013</v>
      </c>
      <c r="D1224" s="1" t="s">
        <v>1014</v>
      </c>
      <c r="E1224" s="2">
        <v>6000</v>
      </c>
    </row>
    <row r="1225" spans="1:5" x14ac:dyDescent="0.3">
      <c r="A1225" s="1">
        <v>1224</v>
      </c>
      <c r="B1225" s="1" t="s">
        <v>889</v>
      </c>
      <c r="C1225" s="1" t="s">
        <v>993</v>
      </c>
      <c r="D1225" s="1" t="s">
        <v>994</v>
      </c>
      <c r="E1225" s="2">
        <v>5000</v>
      </c>
    </row>
    <row r="1226" spans="1:5" x14ac:dyDescent="0.3">
      <c r="A1226" s="1">
        <v>1225</v>
      </c>
      <c r="B1226" s="1" t="s">
        <v>889</v>
      </c>
      <c r="C1226" s="1" t="s">
        <v>995</v>
      </c>
      <c r="D1226" s="1" t="s">
        <v>996</v>
      </c>
      <c r="E1226" s="2">
        <v>6000</v>
      </c>
    </row>
    <row r="1227" spans="1:5" x14ac:dyDescent="0.3">
      <c r="A1227" s="1">
        <v>1226</v>
      </c>
      <c r="B1227" s="1" t="s">
        <v>889</v>
      </c>
      <c r="C1227" s="1" t="s">
        <v>997</v>
      </c>
      <c r="D1227" s="1" t="s">
        <v>998</v>
      </c>
      <c r="E1227" s="2">
        <v>5500</v>
      </c>
    </row>
    <row r="1228" spans="1:5" x14ac:dyDescent="0.3">
      <c r="A1228" s="1">
        <v>1227</v>
      </c>
      <c r="B1228" s="1" t="s">
        <v>889</v>
      </c>
      <c r="C1228" s="1" t="s">
        <v>999</v>
      </c>
      <c r="D1228" s="1" t="s">
        <v>1000</v>
      </c>
      <c r="E1228" s="2">
        <v>6000</v>
      </c>
    </row>
    <row r="1229" spans="1:5" x14ac:dyDescent="0.3">
      <c r="A1229" s="1">
        <v>1228</v>
      </c>
      <c r="B1229" s="1" t="s">
        <v>889</v>
      </c>
      <c r="C1229" s="1" t="s">
        <v>1001</v>
      </c>
      <c r="D1229" s="1" t="s">
        <v>1002</v>
      </c>
      <c r="E1229" s="2">
        <v>4500</v>
      </c>
    </row>
    <row r="1230" spans="1:5" x14ac:dyDescent="0.3">
      <c r="A1230" s="1">
        <v>1229</v>
      </c>
      <c r="B1230" s="1" t="s">
        <v>889</v>
      </c>
      <c r="C1230" s="1" t="s">
        <v>1003</v>
      </c>
      <c r="D1230" s="1" t="s">
        <v>1004</v>
      </c>
      <c r="E1230" s="2">
        <v>4000</v>
      </c>
    </row>
    <row r="1231" spans="1:5" x14ac:dyDescent="0.3">
      <c r="A1231" s="1">
        <v>1230</v>
      </c>
      <c r="B1231" s="1" t="s">
        <v>889</v>
      </c>
      <c r="C1231" s="1" t="s">
        <v>1005</v>
      </c>
      <c r="D1231" s="1" t="s">
        <v>1006</v>
      </c>
      <c r="E1231" s="2">
        <v>3000</v>
      </c>
    </row>
    <row r="1232" spans="1:5" x14ac:dyDescent="0.3">
      <c r="A1232" s="1">
        <v>1231</v>
      </c>
      <c r="B1232" s="1" t="s">
        <v>889</v>
      </c>
      <c r="C1232" s="1" t="s">
        <v>1007</v>
      </c>
      <c r="D1232" s="1" t="s">
        <v>1008</v>
      </c>
      <c r="E1232" s="2">
        <v>2500</v>
      </c>
    </row>
    <row r="1233" spans="1:5" x14ac:dyDescent="0.3">
      <c r="A1233" s="1">
        <v>1232</v>
      </c>
      <c r="B1233" s="1" t="s">
        <v>889</v>
      </c>
      <c r="C1233" s="1" t="s">
        <v>1009</v>
      </c>
      <c r="D1233" s="1" t="s">
        <v>1010</v>
      </c>
      <c r="E1233" s="2">
        <v>8000</v>
      </c>
    </row>
    <row r="1234" spans="1:5" x14ac:dyDescent="0.3">
      <c r="A1234" s="1">
        <v>1233</v>
      </c>
      <c r="B1234" s="1" t="s">
        <v>889</v>
      </c>
      <c r="C1234" s="1" t="s">
        <v>1057</v>
      </c>
      <c r="D1234" s="1" t="s">
        <v>1058</v>
      </c>
      <c r="E1234" s="2">
        <v>9000</v>
      </c>
    </row>
    <row r="1235" spans="1:5" x14ac:dyDescent="0.3">
      <c r="A1235" s="1">
        <v>1234</v>
      </c>
      <c r="B1235" s="1" t="s">
        <v>889</v>
      </c>
      <c r="C1235" s="1" t="s">
        <v>1011</v>
      </c>
      <c r="D1235" s="1" t="s">
        <v>1012</v>
      </c>
      <c r="E1235" s="2">
        <v>8000</v>
      </c>
    </row>
    <row r="1236" spans="1:5" x14ac:dyDescent="0.3">
      <c r="A1236" s="1">
        <v>1235</v>
      </c>
      <c r="B1236" s="1" t="s">
        <v>889</v>
      </c>
      <c r="C1236" s="1" t="s">
        <v>1013</v>
      </c>
      <c r="D1236" s="1" t="s">
        <v>1014</v>
      </c>
      <c r="E1236" s="2">
        <v>6000</v>
      </c>
    </row>
    <row r="1237" spans="1:5" x14ac:dyDescent="0.3">
      <c r="A1237" s="1">
        <v>1236</v>
      </c>
      <c r="B1237" s="1" t="s">
        <v>894</v>
      </c>
      <c r="C1237" s="1" t="s">
        <v>993</v>
      </c>
      <c r="D1237" s="1" t="s">
        <v>994</v>
      </c>
      <c r="E1237" s="2">
        <v>5000</v>
      </c>
    </row>
    <row r="1238" spans="1:5" x14ac:dyDescent="0.3">
      <c r="A1238" s="1">
        <v>1237</v>
      </c>
      <c r="B1238" s="1" t="s">
        <v>894</v>
      </c>
      <c r="C1238" s="1" t="s">
        <v>995</v>
      </c>
      <c r="D1238" s="1" t="s">
        <v>996</v>
      </c>
      <c r="E1238" s="2">
        <v>6000</v>
      </c>
    </row>
    <row r="1239" spans="1:5" x14ac:dyDescent="0.3">
      <c r="A1239" s="1">
        <v>1238</v>
      </c>
      <c r="B1239" s="1" t="s">
        <v>894</v>
      </c>
      <c r="C1239" s="1" t="s">
        <v>997</v>
      </c>
      <c r="D1239" s="1" t="s">
        <v>998</v>
      </c>
      <c r="E1239" s="2">
        <v>5500</v>
      </c>
    </row>
    <row r="1240" spans="1:5" x14ac:dyDescent="0.3">
      <c r="A1240" s="1">
        <v>1239</v>
      </c>
      <c r="B1240" s="1" t="s">
        <v>894</v>
      </c>
      <c r="C1240" s="1" t="s">
        <v>999</v>
      </c>
      <c r="D1240" s="1" t="s">
        <v>1000</v>
      </c>
      <c r="E1240" s="2">
        <v>6000</v>
      </c>
    </row>
    <row r="1241" spans="1:5" x14ac:dyDescent="0.3">
      <c r="A1241" s="1">
        <v>1240</v>
      </c>
      <c r="B1241" s="1" t="s">
        <v>894</v>
      </c>
      <c r="C1241" s="1" t="s">
        <v>1001</v>
      </c>
      <c r="D1241" s="1" t="s">
        <v>1002</v>
      </c>
      <c r="E1241" s="2">
        <v>4500</v>
      </c>
    </row>
    <row r="1242" spans="1:5" x14ac:dyDescent="0.3">
      <c r="A1242" s="1">
        <v>1241</v>
      </c>
      <c r="B1242" s="1" t="s">
        <v>894</v>
      </c>
      <c r="C1242" s="1" t="s">
        <v>1003</v>
      </c>
      <c r="D1242" s="1" t="s">
        <v>1004</v>
      </c>
      <c r="E1242" s="2">
        <v>4000</v>
      </c>
    </row>
    <row r="1243" spans="1:5" x14ac:dyDescent="0.3">
      <c r="A1243" s="1">
        <v>1242</v>
      </c>
      <c r="B1243" s="1" t="s">
        <v>894</v>
      </c>
      <c r="C1243" s="1" t="s">
        <v>1005</v>
      </c>
      <c r="D1243" s="1" t="s">
        <v>1006</v>
      </c>
      <c r="E1243" s="2">
        <v>3000</v>
      </c>
    </row>
    <row r="1244" spans="1:5" x14ac:dyDescent="0.3">
      <c r="A1244" s="1">
        <v>1243</v>
      </c>
      <c r="B1244" s="1" t="s">
        <v>894</v>
      </c>
      <c r="C1244" s="1" t="s">
        <v>1007</v>
      </c>
      <c r="D1244" s="1" t="s">
        <v>1008</v>
      </c>
      <c r="E1244" s="2">
        <v>2500</v>
      </c>
    </row>
    <row r="1245" spans="1:5" x14ac:dyDescent="0.3">
      <c r="A1245" s="1">
        <v>1244</v>
      </c>
      <c r="B1245" s="1" t="s">
        <v>894</v>
      </c>
      <c r="C1245" s="1" t="s">
        <v>1009</v>
      </c>
      <c r="D1245" s="1" t="s">
        <v>1010</v>
      </c>
      <c r="E1245" s="2">
        <v>8000</v>
      </c>
    </row>
    <row r="1246" spans="1:5" x14ac:dyDescent="0.3">
      <c r="A1246" s="1">
        <v>1245</v>
      </c>
      <c r="B1246" s="1" t="s">
        <v>894</v>
      </c>
      <c r="C1246" s="1" t="s">
        <v>1057</v>
      </c>
      <c r="D1246" s="1" t="s">
        <v>1058</v>
      </c>
      <c r="E1246" s="2">
        <v>9000</v>
      </c>
    </row>
    <row r="1247" spans="1:5" x14ac:dyDescent="0.3">
      <c r="A1247" s="1">
        <v>1246</v>
      </c>
      <c r="B1247" s="1" t="s">
        <v>894</v>
      </c>
      <c r="C1247" s="1" t="s">
        <v>1011</v>
      </c>
      <c r="D1247" s="1" t="s">
        <v>1012</v>
      </c>
      <c r="E1247" s="2">
        <v>8000</v>
      </c>
    </row>
    <row r="1248" spans="1:5" x14ac:dyDescent="0.3">
      <c r="A1248" s="1">
        <v>1247</v>
      </c>
      <c r="B1248" s="1" t="s">
        <v>894</v>
      </c>
      <c r="C1248" s="1" t="s">
        <v>1013</v>
      </c>
      <c r="D1248" s="1" t="s">
        <v>1014</v>
      </c>
      <c r="E1248" s="2">
        <v>6000</v>
      </c>
    </row>
    <row r="1249" spans="1:5" x14ac:dyDescent="0.3">
      <c r="A1249" s="1">
        <v>1248</v>
      </c>
      <c r="B1249" s="1" t="s">
        <v>899</v>
      </c>
      <c r="C1249" s="1" t="s">
        <v>993</v>
      </c>
      <c r="D1249" s="1" t="s">
        <v>994</v>
      </c>
      <c r="E1249" s="2">
        <v>5000</v>
      </c>
    </row>
    <row r="1250" spans="1:5" x14ac:dyDescent="0.3">
      <c r="A1250" s="1">
        <v>1249</v>
      </c>
      <c r="B1250" s="1" t="s">
        <v>899</v>
      </c>
      <c r="C1250" s="1" t="s">
        <v>995</v>
      </c>
      <c r="D1250" s="1" t="s">
        <v>996</v>
      </c>
      <c r="E1250" s="2">
        <v>6000</v>
      </c>
    </row>
    <row r="1251" spans="1:5" x14ac:dyDescent="0.3">
      <c r="A1251" s="1">
        <v>1250</v>
      </c>
      <c r="B1251" s="1" t="s">
        <v>899</v>
      </c>
      <c r="C1251" s="1" t="s">
        <v>997</v>
      </c>
      <c r="D1251" s="1" t="s">
        <v>998</v>
      </c>
      <c r="E1251" s="2">
        <v>5500</v>
      </c>
    </row>
    <row r="1252" spans="1:5" x14ac:dyDescent="0.3">
      <c r="A1252" s="1">
        <v>1251</v>
      </c>
      <c r="B1252" s="1" t="s">
        <v>899</v>
      </c>
      <c r="C1252" s="1" t="s">
        <v>999</v>
      </c>
      <c r="D1252" s="1" t="s">
        <v>1000</v>
      </c>
      <c r="E1252" s="2">
        <v>6000</v>
      </c>
    </row>
    <row r="1253" spans="1:5" x14ac:dyDescent="0.3">
      <c r="A1253" s="1">
        <v>1252</v>
      </c>
      <c r="B1253" s="1" t="s">
        <v>899</v>
      </c>
      <c r="C1253" s="1" t="s">
        <v>1001</v>
      </c>
      <c r="D1253" s="1" t="s">
        <v>1002</v>
      </c>
      <c r="E1253" s="2">
        <v>4500</v>
      </c>
    </row>
    <row r="1254" spans="1:5" x14ac:dyDescent="0.3">
      <c r="A1254" s="1">
        <v>1253</v>
      </c>
      <c r="B1254" s="1" t="s">
        <v>899</v>
      </c>
      <c r="C1254" s="1" t="s">
        <v>1003</v>
      </c>
      <c r="D1254" s="1" t="s">
        <v>1004</v>
      </c>
      <c r="E1254" s="2">
        <v>4000</v>
      </c>
    </row>
    <row r="1255" spans="1:5" x14ac:dyDescent="0.3">
      <c r="A1255" s="1">
        <v>1254</v>
      </c>
      <c r="B1255" s="1" t="s">
        <v>899</v>
      </c>
      <c r="C1255" s="1" t="s">
        <v>1005</v>
      </c>
      <c r="D1255" s="1" t="s">
        <v>1006</v>
      </c>
      <c r="E1255" s="2">
        <v>3000</v>
      </c>
    </row>
    <row r="1256" spans="1:5" x14ac:dyDescent="0.3">
      <c r="A1256" s="1">
        <v>1255</v>
      </c>
      <c r="B1256" s="1" t="s">
        <v>899</v>
      </c>
      <c r="C1256" s="1" t="s">
        <v>1007</v>
      </c>
      <c r="D1256" s="1" t="s">
        <v>1008</v>
      </c>
      <c r="E1256" s="2">
        <v>2500</v>
      </c>
    </row>
    <row r="1257" spans="1:5" x14ac:dyDescent="0.3">
      <c r="A1257" s="1">
        <v>1256</v>
      </c>
      <c r="B1257" s="1" t="s">
        <v>899</v>
      </c>
      <c r="C1257" s="1" t="s">
        <v>1009</v>
      </c>
      <c r="D1257" s="1" t="s">
        <v>1010</v>
      </c>
      <c r="E1257" s="2">
        <v>8000</v>
      </c>
    </row>
    <row r="1258" spans="1:5" x14ac:dyDescent="0.3">
      <c r="A1258" s="1">
        <v>1257</v>
      </c>
      <c r="B1258" s="1" t="s">
        <v>899</v>
      </c>
      <c r="C1258" s="1" t="s">
        <v>1057</v>
      </c>
      <c r="D1258" s="1" t="s">
        <v>1058</v>
      </c>
      <c r="E1258" s="2">
        <v>9000</v>
      </c>
    </row>
    <row r="1259" spans="1:5" x14ac:dyDescent="0.3">
      <c r="A1259" s="1">
        <v>1258</v>
      </c>
      <c r="B1259" s="1" t="s">
        <v>899</v>
      </c>
      <c r="C1259" s="1" t="s">
        <v>1011</v>
      </c>
      <c r="D1259" s="1" t="s">
        <v>1012</v>
      </c>
      <c r="E1259" s="2">
        <v>8000</v>
      </c>
    </row>
    <row r="1260" spans="1:5" x14ac:dyDescent="0.3">
      <c r="A1260" s="1">
        <v>1259</v>
      </c>
      <c r="B1260" s="1" t="s">
        <v>899</v>
      </c>
      <c r="C1260" s="1" t="s">
        <v>1013</v>
      </c>
      <c r="D1260" s="1" t="s">
        <v>1014</v>
      </c>
      <c r="E1260" s="2">
        <v>6000</v>
      </c>
    </row>
    <row r="1261" spans="1:5" x14ac:dyDescent="0.3">
      <c r="A1261" s="1">
        <v>1260</v>
      </c>
      <c r="B1261" s="1" t="s">
        <v>904</v>
      </c>
      <c r="C1261" s="1" t="s">
        <v>993</v>
      </c>
      <c r="D1261" s="1" t="s">
        <v>994</v>
      </c>
      <c r="E1261" s="2">
        <v>5000</v>
      </c>
    </row>
    <row r="1262" spans="1:5" x14ac:dyDescent="0.3">
      <c r="A1262" s="1">
        <v>1261</v>
      </c>
      <c r="B1262" s="1" t="s">
        <v>904</v>
      </c>
      <c r="C1262" s="1" t="s">
        <v>995</v>
      </c>
      <c r="D1262" s="1" t="s">
        <v>996</v>
      </c>
      <c r="E1262" s="2">
        <v>6000</v>
      </c>
    </row>
    <row r="1263" spans="1:5" x14ac:dyDescent="0.3">
      <c r="A1263" s="1">
        <v>1262</v>
      </c>
      <c r="B1263" s="1" t="s">
        <v>904</v>
      </c>
      <c r="C1263" s="1" t="s">
        <v>997</v>
      </c>
      <c r="D1263" s="1" t="s">
        <v>998</v>
      </c>
      <c r="E1263" s="2">
        <v>5500</v>
      </c>
    </row>
    <row r="1264" spans="1:5" x14ac:dyDescent="0.3">
      <c r="A1264" s="1">
        <v>1263</v>
      </c>
      <c r="B1264" s="1" t="s">
        <v>904</v>
      </c>
      <c r="C1264" s="1" t="s">
        <v>999</v>
      </c>
      <c r="D1264" s="1" t="s">
        <v>1000</v>
      </c>
      <c r="E1264" s="2">
        <v>6000</v>
      </c>
    </row>
    <row r="1265" spans="1:5" x14ac:dyDescent="0.3">
      <c r="A1265" s="1">
        <v>1264</v>
      </c>
      <c r="B1265" s="1" t="s">
        <v>904</v>
      </c>
      <c r="C1265" s="1" t="s">
        <v>1001</v>
      </c>
      <c r="D1265" s="1" t="s">
        <v>1002</v>
      </c>
      <c r="E1265" s="2">
        <v>4500</v>
      </c>
    </row>
    <row r="1266" spans="1:5" x14ac:dyDescent="0.3">
      <c r="A1266" s="1">
        <v>1265</v>
      </c>
      <c r="B1266" s="1" t="s">
        <v>904</v>
      </c>
      <c r="C1266" s="1" t="s">
        <v>1003</v>
      </c>
      <c r="D1266" s="1" t="s">
        <v>1004</v>
      </c>
      <c r="E1266" s="2">
        <v>4000</v>
      </c>
    </row>
    <row r="1267" spans="1:5" x14ac:dyDescent="0.3">
      <c r="A1267" s="1">
        <v>1266</v>
      </c>
      <c r="B1267" s="1" t="s">
        <v>904</v>
      </c>
      <c r="C1267" s="1" t="s">
        <v>1005</v>
      </c>
      <c r="D1267" s="1" t="s">
        <v>1006</v>
      </c>
      <c r="E1267" s="2">
        <v>3000</v>
      </c>
    </row>
    <row r="1268" spans="1:5" x14ac:dyDescent="0.3">
      <c r="A1268" s="1">
        <v>1267</v>
      </c>
      <c r="B1268" s="1" t="s">
        <v>904</v>
      </c>
      <c r="C1268" s="1" t="s">
        <v>1007</v>
      </c>
      <c r="D1268" s="1" t="s">
        <v>1008</v>
      </c>
      <c r="E1268" s="2">
        <v>2500</v>
      </c>
    </row>
    <row r="1269" spans="1:5" x14ac:dyDescent="0.3">
      <c r="A1269" s="1">
        <v>1268</v>
      </c>
      <c r="B1269" s="1" t="s">
        <v>904</v>
      </c>
      <c r="C1269" s="1" t="s">
        <v>1009</v>
      </c>
      <c r="D1269" s="1" t="s">
        <v>1010</v>
      </c>
      <c r="E1269" s="2">
        <v>8000</v>
      </c>
    </row>
    <row r="1270" spans="1:5" x14ac:dyDescent="0.3">
      <c r="A1270" s="1">
        <v>1269</v>
      </c>
      <c r="B1270" s="1" t="s">
        <v>904</v>
      </c>
      <c r="C1270" s="1" t="s">
        <v>1057</v>
      </c>
      <c r="D1270" s="1" t="s">
        <v>1058</v>
      </c>
      <c r="E1270" s="2">
        <v>9000</v>
      </c>
    </row>
    <row r="1271" spans="1:5" x14ac:dyDescent="0.3">
      <c r="A1271" s="1">
        <v>1270</v>
      </c>
      <c r="B1271" s="1" t="s">
        <v>904</v>
      </c>
      <c r="C1271" s="1" t="s">
        <v>1011</v>
      </c>
      <c r="D1271" s="1" t="s">
        <v>1012</v>
      </c>
      <c r="E1271" s="2">
        <v>8000</v>
      </c>
    </row>
    <row r="1272" spans="1:5" x14ac:dyDescent="0.3">
      <c r="A1272" s="1">
        <v>1271</v>
      </c>
      <c r="B1272" s="1" t="s">
        <v>904</v>
      </c>
      <c r="C1272" s="1" t="s">
        <v>1013</v>
      </c>
      <c r="D1272" s="1" t="s">
        <v>1014</v>
      </c>
      <c r="E1272" s="2">
        <v>6000</v>
      </c>
    </row>
    <row r="1273" spans="1:5" x14ac:dyDescent="0.3">
      <c r="A1273" s="1">
        <v>1272</v>
      </c>
      <c r="B1273" s="1" t="s">
        <v>909</v>
      </c>
      <c r="C1273" s="1" t="s">
        <v>993</v>
      </c>
      <c r="D1273" s="1" t="s">
        <v>994</v>
      </c>
      <c r="E1273" s="2">
        <v>5000</v>
      </c>
    </row>
    <row r="1274" spans="1:5" x14ac:dyDescent="0.3">
      <c r="A1274" s="1">
        <v>1273</v>
      </c>
      <c r="B1274" s="1" t="s">
        <v>909</v>
      </c>
      <c r="C1274" s="1" t="s">
        <v>995</v>
      </c>
      <c r="D1274" s="1" t="s">
        <v>996</v>
      </c>
      <c r="E1274" s="2">
        <v>6000</v>
      </c>
    </row>
    <row r="1275" spans="1:5" x14ac:dyDescent="0.3">
      <c r="A1275" s="1">
        <v>1274</v>
      </c>
      <c r="B1275" s="1" t="s">
        <v>909</v>
      </c>
      <c r="C1275" s="1" t="s">
        <v>997</v>
      </c>
      <c r="D1275" s="1" t="s">
        <v>998</v>
      </c>
      <c r="E1275" s="2">
        <v>5500</v>
      </c>
    </row>
    <row r="1276" spans="1:5" x14ac:dyDescent="0.3">
      <c r="A1276" s="1">
        <v>1275</v>
      </c>
      <c r="B1276" s="1" t="s">
        <v>909</v>
      </c>
      <c r="C1276" s="1" t="s">
        <v>999</v>
      </c>
      <c r="D1276" s="1" t="s">
        <v>1000</v>
      </c>
      <c r="E1276" s="2">
        <v>6000</v>
      </c>
    </row>
    <row r="1277" spans="1:5" x14ac:dyDescent="0.3">
      <c r="A1277" s="1">
        <v>1276</v>
      </c>
      <c r="B1277" s="1" t="s">
        <v>909</v>
      </c>
      <c r="C1277" s="1" t="s">
        <v>1001</v>
      </c>
      <c r="D1277" s="1" t="s">
        <v>1002</v>
      </c>
      <c r="E1277" s="2">
        <v>4500</v>
      </c>
    </row>
    <row r="1278" spans="1:5" x14ac:dyDescent="0.3">
      <c r="A1278" s="1">
        <v>1277</v>
      </c>
      <c r="B1278" s="1" t="s">
        <v>909</v>
      </c>
      <c r="C1278" s="1" t="s">
        <v>1003</v>
      </c>
      <c r="D1278" s="1" t="s">
        <v>1004</v>
      </c>
      <c r="E1278" s="2">
        <v>4000</v>
      </c>
    </row>
    <row r="1279" spans="1:5" x14ac:dyDescent="0.3">
      <c r="A1279" s="1">
        <v>1278</v>
      </c>
      <c r="B1279" s="1" t="s">
        <v>909</v>
      </c>
      <c r="C1279" s="1" t="s">
        <v>1005</v>
      </c>
      <c r="D1279" s="1" t="s">
        <v>1006</v>
      </c>
      <c r="E1279" s="2">
        <v>3000</v>
      </c>
    </row>
    <row r="1280" spans="1:5" x14ac:dyDescent="0.3">
      <c r="A1280" s="1">
        <v>1279</v>
      </c>
      <c r="B1280" s="1" t="s">
        <v>909</v>
      </c>
      <c r="C1280" s="1" t="s">
        <v>1007</v>
      </c>
      <c r="D1280" s="1" t="s">
        <v>1008</v>
      </c>
      <c r="E1280" s="2">
        <v>2500</v>
      </c>
    </row>
    <row r="1281" spans="1:5" x14ac:dyDescent="0.3">
      <c r="A1281" s="1">
        <v>1280</v>
      </c>
      <c r="B1281" s="1" t="s">
        <v>909</v>
      </c>
      <c r="C1281" s="1" t="s">
        <v>1009</v>
      </c>
      <c r="D1281" s="1" t="s">
        <v>1010</v>
      </c>
      <c r="E1281" s="2">
        <v>8000</v>
      </c>
    </row>
    <row r="1282" spans="1:5" x14ac:dyDescent="0.3">
      <c r="A1282" s="1">
        <v>1281</v>
      </c>
      <c r="B1282" s="1" t="s">
        <v>909</v>
      </c>
      <c r="C1282" s="1" t="s">
        <v>1057</v>
      </c>
      <c r="D1282" s="1" t="s">
        <v>1058</v>
      </c>
      <c r="E1282" s="2">
        <v>9000</v>
      </c>
    </row>
    <row r="1283" spans="1:5" x14ac:dyDescent="0.3">
      <c r="A1283" s="1">
        <v>1282</v>
      </c>
      <c r="B1283" s="1" t="s">
        <v>909</v>
      </c>
      <c r="C1283" s="1" t="s">
        <v>1011</v>
      </c>
      <c r="D1283" s="1" t="s">
        <v>1012</v>
      </c>
      <c r="E1283" s="2">
        <v>8000</v>
      </c>
    </row>
    <row r="1284" spans="1:5" x14ac:dyDescent="0.3">
      <c r="A1284" s="1">
        <v>1283</v>
      </c>
      <c r="B1284" s="1" t="s">
        <v>909</v>
      </c>
      <c r="C1284" s="1" t="s">
        <v>1013</v>
      </c>
      <c r="D1284" s="1" t="s">
        <v>1014</v>
      </c>
      <c r="E1284" s="2">
        <v>6000</v>
      </c>
    </row>
    <row r="1285" spans="1:5" x14ac:dyDescent="0.3">
      <c r="A1285" s="1">
        <v>1284</v>
      </c>
      <c r="B1285" s="1" t="s">
        <v>914</v>
      </c>
      <c r="C1285" s="1" t="s">
        <v>946</v>
      </c>
      <c r="D1285" s="1" t="s">
        <v>1098</v>
      </c>
      <c r="E1285" s="2">
        <v>15000</v>
      </c>
    </row>
    <row r="1286" spans="1:5" x14ac:dyDescent="0.3">
      <c r="A1286" s="1">
        <v>1285</v>
      </c>
      <c r="B1286" s="1" t="s">
        <v>914</v>
      </c>
      <c r="C1286" s="1" t="s">
        <v>948</v>
      </c>
      <c r="D1286" s="1" t="s">
        <v>949</v>
      </c>
      <c r="E1286" s="2">
        <v>5000</v>
      </c>
    </row>
    <row r="1287" spans="1:5" x14ac:dyDescent="0.3">
      <c r="A1287" s="1">
        <v>1286</v>
      </c>
      <c r="B1287" s="1" t="s">
        <v>914</v>
      </c>
      <c r="C1287" s="1" t="s">
        <v>950</v>
      </c>
      <c r="D1287" s="1" t="s">
        <v>1074</v>
      </c>
      <c r="E1287" s="2">
        <v>4000</v>
      </c>
    </row>
    <row r="1288" spans="1:5" x14ac:dyDescent="0.3">
      <c r="A1288" s="1">
        <v>1287</v>
      </c>
      <c r="B1288" s="1" t="s">
        <v>914</v>
      </c>
      <c r="C1288" s="1" t="s">
        <v>952</v>
      </c>
      <c r="D1288" s="1" t="s">
        <v>953</v>
      </c>
      <c r="E1288" s="2">
        <v>17000</v>
      </c>
    </row>
    <row r="1289" spans="1:5" x14ac:dyDescent="0.3">
      <c r="A1289" s="1">
        <v>1288</v>
      </c>
      <c r="B1289" s="1" t="s">
        <v>914</v>
      </c>
      <c r="C1289" s="1" t="s">
        <v>954</v>
      </c>
      <c r="D1289" s="1" t="s">
        <v>955</v>
      </c>
      <c r="E1289" s="2">
        <v>11000</v>
      </c>
    </row>
    <row r="1290" spans="1:5" x14ac:dyDescent="0.3">
      <c r="A1290" s="1">
        <v>1289</v>
      </c>
      <c r="B1290" s="1" t="s">
        <v>914</v>
      </c>
      <c r="C1290" s="1" t="s">
        <v>956</v>
      </c>
      <c r="D1290" s="1" t="s">
        <v>1075</v>
      </c>
      <c r="E1290" s="2">
        <v>6000</v>
      </c>
    </row>
    <row r="1291" spans="1:5" x14ac:dyDescent="0.3">
      <c r="A1291" s="1">
        <v>1290</v>
      </c>
      <c r="B1291" s="1" t="s">
        <v>914</v>
      </c>
      <c r="C1291" s="1" t="s">
        <v>958</v>
      </c>
      <c r="D1291" s="1" t="s">
        <v>959</v>
      </c>
      <c r="E1291" s="2">
        <v>4500</v>
      </c>
    </row>
    <row r="1292" spans="1:5" x14ac:dyDescent="0.3">
      <c r="A1292" s="1">
        <v>1291</v>
      </c>
      <c r="B1292" s="1" t="s">
        <v>914</v>
      </c>
      <c r="C1292" s="1" t="s">
        <v>960</v>
      </c>
      <c r="D1292" s="1" t="s">
        <v>961</v>
      </c>
      <c r="E1292" s="2">
        <v>8500</v>
      </c>
    </row>
    <row r="1293" spans="1:5" x14ac:dyDescent="0.3">
      <c r="A1293" s="1">
        <v>1292</v>
      </c>
      <c r="B1293" s="1" t="s">
        <v>914</v>
      </c>
      <c r="C1293" s="1" t="s">
        <v>962</v>
      </c>
      <c r="D1293" s="1" t="s">
        <v>963</v>
      </c>
      <c r="E1293" s="2">
        <v>2000</v>
      </c>
    </row>
    <row r="1294" spans="1:5" x14ac:dyDescent="0.3">
      <c r="A1294" s="1">
        <v>1293</v>
      </c>
      <c r="B1294" s="1" t="s">
        <v>919</v>
      </c>
      <c r="C1294" s="1" t="s">
        <v>1028</v>
      </c>
      <c r="D1294" s="1" t="s">
        <v>1029</v>
      </c>
      <c r="E1294" s="2">
        <v>4000</v>
      </c>
    </row>
    <row r="1295" spans="1:5" x14ac:dyDescent="0.3">
      <c r="A1295" s="1">
        <v>1294</v>
      </c>
      <c r="B1295" s="1" t="s">
        <v>919</v>
      </c>
      <c r="C1295" s="1" t="s">
        <v>1030</v>
      </c>
      <c r="D1295" s="1" t="s">
        <v>1031</v>
      </c>
      <c r="E1295" s="2">
        <v>5000</v>
      </c>
    </row>
    <row r="1296" spans="1:5" x14ac:dyDescent="0.3">
      <c r="A1296" s="1">
        <v>1295</v>
      </c>
      <c r="B1296" s="1" t="s">
        <v>919</v>
      </c>
      <c r="C1296" s="1" t="s">
        <v>1032</v>
      </c>
      <c r="D1296" s="1" t="s">
        <v>1033</v>
      </c>
      <c r="E1296" s="2">
        <v>5000</v>
      </c>
    </row>
    <row r="1297" spans="1:5" x14ac:dyDescent="0.3">
      <c r="A1297" s="1">
        <v>1296</v>
      </c>
      <c r="B1297" s="1" t="s">
        <v>919</v>
      </c>
      <c r="C1297" s="1" t="s">
        <v>1034</v>
      </c>
      <c r="D1297" s="1" t="s">
        <v>1035</v>
      </c>
      <c r="E1297" s="2">
        <v>6000</v>
      </c>
    </row>
    <row r="1298" spans="1:5" x14ac:dyDescent="0.3">
      <c r="A1298" s="1">
        <v>1297</v>
      </c>
      <c r="B1298" s="1" t="s">
        <v>919</v>
      </c>
      <c r="C1298" s="1" t="s">
        <v>1036</v>
      </c>
      <c r="D1298" s="1" t="s">
        <v>1037</v>
      </c>
      <c r="E1298" s="2">
        <v>5000</v>
      </c>
    </row>
    <row r="1299" spans="1:5" x14ac:dyDescent="0.3">
      <c r="A1299" s="1">
        <v>1298</v>
      </c>
      <c r="B1299" s="1" t="s">
        <v>919</v>
      </c>
      <c r="C1299" s="1" t="s">
        <v>1038</v>
      </c>
      <c r="D1299" s="1" t="s">
        <v>1039</v>
      </c>
      <c r="E1299" s="2">
        <v>2000</v>
      </c>
    </row>
    <row r="1300" spans="1:5" x14ac:dyDescent="0.3">
      <c r="A1300" s="1">
        <v>1299</v>
      </c>
      <c r="B1300" s="1" t="s">
        <v>919</v>
      </c>
      <c r="C1300" s="1" t="s">
        <v>1065</v>
      </c>
      <c r="D1300" s="1" t="s">
        <v>1066</v>
      </c>
      <c r="E1300" s="2">
        <v>4000</v>
      </c>
    </row>
    <row r="1301" spans="1:5" x14ac:dyDescent="0.3">
      <c r="A1301" s="1">
        <v>1300</v>
      </c>
      <c r="B1301" s="1" t="s">
        <v>919</v>
      </c>
      <c r="C1301" s="1" t="s">
        <v>1067</v>
      </c>
      <c r="D1301" s="1" t="s">
        <v>1068</v>
      </c>
      <c r="E1301" s="2">
        <v>6500</v>
      </c>
    </row>
    <row r="1302" spans="1:5" x14ac:dyDescent="0.3">
      <c r="A1302" s="1">
        <v>1301</v>
      </c>
      <c r="B1302" s="1" t="s">
        <v>919</v>
      </c>
      <c r="C1302" s="1" t="s">
        <v>1069</v>
      </c>
      <c r="D1302" s="1" t="s">
        <v>1070</v>
      </c>
      <c r="E1302" s="2">
        <v>8000</v>
      </c>
    </row>
    <row r="1303" spans="1:5" x14ac:dyDescent="0.3">
      <c r="A1303" s="1">
        <v>1302</v>
      </c>
      <c r="B1303" s="1" t="s">
        <v>924</v>
      </c>
      <c r="C1303" s="1" t="s">
        <v>1028</v>
      </c>
      <c r="D1303" s="1" t="s">
        <v>1029</v>
      </c>
      <c r="E1303" s="2">
        <v>4000</v>
      </c>
    </row>
    <row r="1304" spans="1:5" x14ac:dyDescent="0.3">
      <c r="A1304" s="1">
        <v>1303</v>
      </c>
      <c r="B1304" s="1" t="s">
        <v>924</v>
      </c>
      <c r="C1304" s="1" t="s">
        <v>1030</v>
      </c>
      <c r="D1304" s="1" t="s">
        <v>1031</v>
      </c>
      <c r="E1304" s="2">
        <v>5000</v>
      </c>
    </row>
    <row r="1305" spans="1:5" x14ac:dyDescent="0.3">
      <c r="A1305" s="1">
        <v>1304</v>
      </c>
      <c r="B1305" s="1" t="s">
        <v>924</v>
      </c>
      <c r="C1305" s="1" t="s">
        <v>1032</v>
      </c>
      <c r="D1305" s="1" t="s">
        <v>1033</v>
      </c>
      <c r="E1305" s="2">
        <v>5000</v>
      </c>
    </row>
    <row r="1306" spans="1:5" x14ac:dyDescent="0.3">
      <c r="A1306" s="1">
        <v>1305</v>
      </c>
      <c r="B1306" s="1" t="s">
        <v>924</v>
      </c>
      <c r="C1306" s="1" t="s">
        <v>1034</v>
      </c>
      <c r="D1306" s="1" t="s">
        <v>1035</v>
      </c>
      <c r="E1306" s="2">
        <v>6000</v>
      </c>
    </row>
    <row r="1307" spans="1:5" x14ac:dyDescent="0.3">
      <c r="A1307" s="1">
        <v>1306</v>
      </c>
      <c r="B1307" s="1" t="s">
        <v>924</v>
      </c>
      <c r="C1307" s="1" t="s">
        <v>1036</v>
      </c>
      <c r="D1307" s="1" t="s">
        <v>1037</v>
      </c>
      <c r="E1307" s="2">
        <v>5000</v>
      </c>
    </row>
    <row r="1308" spans="1:5" x14ac:dyDescent="0.3">
      <c r="A1308" s="1">
        <v>1307</v>
      </c>
      <c r="B1308" s="1" t="s">
        <v>924</v>
      </c>
      <c r="C1308" s="1" t="s">
        <v>1038</v>
      </c>
      <c r="D1308" s="1" t="s">
        <v>1039</v>
      </c>
      <c r="E1308" s="2">
        <v>2000</v>
      </c>
    </row>
    <row r="1309" spans="1:5" x14ac:dyDescent="0.3">
      <c r="A1309" s="1">
        <v>1308</v>
      </c>
      <c r="B1309" s="1" t="s">
        <v>924</v>
      </c>
      <c r="C1309" s="1" t="s">
        <v>1065</v>
      </c>
      <c r="D1309" s="1" t="s">
        <v>1066</v>
      </c>
      <c r="E1309" s="2">
        <v>4000</v>
      </c>
    </row>
    <row r="1310" spans="1:5" x14ac:dyDescent="0.3">
      <c r="A1310" s="1">
        <v>1309</v>
      </c>
      <c r="B1310" s="1" t="s">
        <v>924</v>
      </c>
      <c r="C1310" s="1" t="s">
        <v>1067</v>
      </c>
      <c r="D1310" s="1" t="s">
        <v>1068</v>
      </c>
      <c r="E1310" s="2">
        <v>6500</v>
      </c>
    </row>
    <row r="1311" spans="1:5" x14ac:dyDescent="0.3">
      <c r="A1311" s="1">
        <v>1310</v>
      </c>
      <c r="B1311" s="1" t="s">
        <v>924</v>
      </c>
      <c r="C1311" s="1" t="s">
        <v>1069</v>
      </c>
      <c r="D1311" s="1" t="s">
        <v>1070</v>
      </c>
      <c r="E1311" s="2">
        <v>8000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01"/>
  <sheetViews>
    <sheetView topLeftCell="A987" workbookViewId="0">
      <selection activeCell="F1001" sqref="F1001"/>
    </sheetView>
  </sheetViews>
  <sheetFormatPr defaultRowHeight="16.5" x14ac:dyDescent="0.3"/>
  <sheetData>
    <row r="1" spans="1:2" x14ac:dyDescent="0.3">
      <c r="A1" s="1" t="s">
        <v>1</v>
      </c>
      <c r="B1" s="1" t="s">
        <v>3</v>
      </c>
    </row>
    <row r="2" spans="1:2" x14ac:dyDescent="0.3">
      <c r="A2" s="1" t="s">
        <v>1123</v>
      </c>
      <c r="B2" s="1" t="s">
        <v>1124</v>
      </c>
    </row>
    <row r="3" spans="1:2" x14ac:dyDescent="0.3">
      <c r="A3" s="1" t="s">
        <v>1125</v>
      </c>
      <c r="B3" s="1" t="s">
        <v>1126</v>
      </c>
    </row>
    <row r="4" spans="1:2" x14ac:dyDescent="0.3">
      <c r="A4" s="1" t="s">
        <v>1127</v>
      </c>
      <c r="B4" s="1" t="s">
        <v>1128</v>
      </c>
    </row>
    <row r="5" spans="1:2" x14ac:dyDescent="0.3">
      <c r="A5" s="1" t="s">
        <v>1129</v>
      </c>
      <c r="B5" s="1" t="s">
        <v>1130</v>
      </c>
    </row>
    <row r="6" spans="1:2" x14ac:dyDescent="0.3">
      <c r="A6" s="1" t="s">
        <v>1131</v>
      </c>
      <c r="B6" s="1" t="s">
        <v>1132</v>
      </c>
    </row>
    <row r="7" spans="1:2" x14ac:dyDescent="0.3">
      <c r="A7" s="1" t="s">
        <v>1133</v>
      </c>
      <c r="B7" s="1" t="s">
        <v>1134</v>
      </c>
    </row>
    <row r="8" spans="1:2" x14ac:dyDescent="0.3">
      <c r="A8" s="1" t="s">
        <v>1135</v>
      </c>
      <c r="B8" s="1" t="s">
        <v>1136</v>
      </c>
    </row>
    <row r="9" spans="1:2" x14ac:dyDescent="0.3">
      <c r="A9" s="1" t="s">
        <v>1137</v>
      </c>
      <c r="B9" s="1" t="s">
        <v>1138</v>
      </c>
    </row>
    <row r="10" spans="1:2" x14ac:dyDescent="0.3">
      <c r="A10" s="1" t="s">
        <v>1139</v>
      </c>
      <c r="B10" s="1" t="s">
        <v>1140</v>
      </c>
    </row>
    <row r="11" spans="1:2" x14ac:dyDescent="0.3">
      <c r="A11" s="1" t="s">
        <v>1141</v>
      </c>
      <c r="B11" s="1" t="s">
        <v>1142</v>
      </c>
    </row>
    <row r="12" spans="1:2" x14ac:dyDescent="0.3">
      <c r="A12" s="1" t="s">
        <v>1143</v>
      </c>
      <c r="B12" s="1" t="s">
        <v>1144</v>
      </c>
    </row>
    <row r="13" spans="1:2" x14ac:dyDescent="0.3">
      <c r="A13" s="1" t="s">
        <v>1145</v>
      </c>
      <c r="B13" s="1" t="s">
        <v>1146</v>
      </c>
    </row>
    <row r="14" spans="1:2" x14ac:dyDescent="0.3">
      <c r="A14" s="1" t="s">
        <v>1147</v>
      </c>
      <c r="B14" s="1" t="s">
        <v>1148</v>
      </c>
    </row>
    <row r="15" spans="1:2" x14ac:dyDescent="0.3">
      <c r="A15" s="1" t="s">
        <v>1149</v>
      </c>
      <c r="B15" s="1" t="s">
        <v>1150</v>
      </c>
    </row>
    <row r="16" spans="1:2" x14ac:dyDescent="0.3">
      <c r="A16" s="1" t="s">
        <v>1151</v>
      </c>
      <c r="B16" s="1" t="s">
        <v>1152</v>
      </c>
    </row>
    <row r="17" spans="1:2" x14ac:dyDescent="0.3">
      <c r="A17" s="1" t="s">
        <v>1153</v>
      </c>
      <c r="B17" s="1" t="s">
        <v>1154</v>
      </c>
    </row>
    <row r="18" spans="1:2" x14ac:dyDescent="0.3">
      <c r="A18" s="1" t="s">
        <v>1155</v>
      </c>
      <c r="B18" s="1" t="s">
        <v>1156</v>
      </c>
    </row>
    <row r="19" spans="1:2" x14ac:dyDescent="0.3">
      <c r="A19" s="1" t="s">
        <v>1157</v>
      </c>
      <c r="B19" s="1" t="s">
        <v>1158</v>
      </c>
    </row>
    <row r="20" spans="1:2" x14ac:dyDescent="0.3">
      <c r="A20" s="1" t="s">
        <v>1159</v>
      </c>
      <c r="B20" s="1" t="s">
        <v>1160</v>
      </c>
    </row>
    <row r="21" spans="1:2" x14ac:dyDescent="0.3">
      <c r="A21" s="1" t="s">
        <v>1161</v>
      </c>
      <c r="B21" s="1" t="s">
        <v>1162</v>
      </c>
    </row>
    <row r="22" spans="1:2" x14ac:dyDescent="0.3">
      <c r="A22" s="1" t="s">
        <v>1163</v>
      </c>
      <c r="B22" s="1" t="s">
        <v>1164</v>
      </c>
    </row>
    <row r="23" spans="1:2" x14ac:dyDescent="0.3">
      <c r="A23" s="1" t="s">
        <v>1165</v>
      </c>
      <c r="B23" s="1" t="s">
        <v>1166</v>
      </c>
    </row>
    <row r="24" spans="1:2" x14ac:dyDescent="0.3">
      <c r="A24" s="1" t="s">
        <v>1167</v>
      </c>
      <c r="B24" s="1" t="s">
        <v>1168</v>
      </c>
    </row>
    <row r="25" spans="1:2" x14ac:dyDescent="0.3">
      <c r="A25" s="1" t="s">
        <v>1169</v>
      </c>
      <c r="B25" s="1" t="s">
        <v>1170</v>
      </c>
    </row>
    <row r="26" spans="1:2" x14ac:dyDescent="0.3">
      <c r="A26" s="1" t="s">
        <v>1171</v>
      </c>
      <c r="B26" s="1" t="s">
        <v>1172</v>
      </c>
    </row>
    <row r="27" spans="1:2" x14ac:dyDescent="0.3">
      <c r="A27" s="1" t="s">
        <v>1173</v>
      </c>
      <c r="B27" s="1" t="s">
        <v>1174</v>
      </c>
    </row>
    <row r="28" spans="1:2" x14ac:dyDescent="0.3">
      <c r="A28" s="1" t="s">
        <v>1175</v>
      </c>
      <c r="B28" s="1" t="s">
        <v>1176</v>
      </c>
    </row>
    <row r="29" spans="1:2" x14ac:dyDescent="0.3">
      <c r="A29" s="1" t="s">
        <v>1177</v>
      </c>
      <c r="B29" s="1" t="s">
        <v>1178</v>
      </c>
    </row>
    <row r="30" spans="1:2" x14ac:dyDescent="0.3">
      <c r="A30" s="1" t="s">
        <v>1179</v>
      </c>
      <c r="B30" s="1" t="s">
        <v>1180</v>
      </c>
    </row>
    <row r="31" spans="1:2" x14ac:dyDescent="0.3">
      <c r="A31" s="1" t="s">
        <v>1181</v>
      </c>
      <c r="B31" s="1" t="s">
        <v>1182</v>
      </c>
    </row>
    <row r="32" spans="1:2" x14ac:dyDescent="0.3">
      <c r="A32" s="1" t="s">
        <v>1183</v>
      </c>
      <c r="B32" s="1" t="s">
        <v>1184</v>
      </c>
    </row>
    <row r="33" spans="1:2" x14ac:dyDescent="0.3">
      <c r="A33" s="1" t="s">
        <v>1185</v>
      </c>
      <c r="B33" s="1" t="s">
        <v>1186</v>
      </c>
    </row>
    <row r="34" spans="1:2" x14ac:dyDescent="0.3">
      <c r="A34" s="1" t="s">
        <v>1187</v>
      </c>
      <c r="B34" s="1" t="s">
        <v>1188</v>
      </c>
    </row>
    <row r="35" spans="1:2" x14ac:dyDescent="0.3">
      <c r="A35" s="1" t="s">
        <v>1189</v>
      </c>
      <c r="B35" s="1" t="s">
        <v>1190</v>
      </c>
    </row>
    <row r="36" spans="1:2" x14ac:dyDescent="0.3">
      <c r="A36" s="1" t="s">
        <v>1191</v>
      </c>
      <c r="B36" s="1" t="s">
        <v>1192</v>
      </c>
    </row>
    <row r="37" spans="1:2" x14ac:dyDescent="0.3">
      <c r="A37" s="1" t="s">
        <v>1193</v>
      </c>
      <c r="B37" s="1" t="s">
        <v>1194</v>
      </c>
    </row>
    <row r="38" spans="1:2" x14ac:dyDescent="0.3">
      <c r="A38" s="1" t="s">
        <v>1195</v>
      </c>
      <c r="B38" s="1" t="s">
        <v>1196</v>
      </c>
    </row>
    <row r="39" spans="1:2" x14ac:dyDescent="0.3">
      <c r="A39" s="1" t="s">
        <v>1197</v>
      </c>
      <c r="B39" s="1" t="s">
        <v>1198</v>
      </c>
    </row>
    <row r="40" spans="1:2" x14ac:dyDescent="0.3">
      <c r="A40" s="1" t="s">
        <v>1199</v>
      </c>
      <c r="B40" s="1" t="s">
        <v>1200</v>
      </c>
    </row>
    <row r="41" spans="1:2" x14ac:dyDescent="0.3">
      <c r="A41" s="1" t="s">
        <v>1201</v>
      </c>
      <c r="B41" s="1" t="s">
        <v>1202</v>
      </c>
    </row>
    <row r="42" spans="1:2" x14ac:dyDescent="0.3">
      <c r="A42" s="1" t="s">
        <v>1203</v>
      </c>
      <c r="B42" s="1" t="s">
        <v>1204</v>
      </c>
    </row>
    <row r="43" spans="1:2" x14ac:dyDescent="0.3">
      <c r="A43" s="1" t="s">
        <v>1205</v>
      </c>
      <c r="B43" s="1" t="s">
        <v>1206</v>
      </c>
    </row>
    <row r="44" spans="1:2" x14ac:dyDescent="0.3">
      <c r="A44" s="1" t="s">
        <v>1207</v>
      </c>
      <c r="B44" s="1" t="s">
        <v>1208</v>
      </c>
    </row>
    <row r="45" spans="1:2" x14ac:dyDescent="0.3">
      <c r="A45" s="1" t="s">
        <v>1209</v>
      </c>
      <c r="B45" s="1" t="s">
        <v>1210</v>
      </c>
    </row>
    <row r="46" spans="1:2" x14ac:dyDescent="0.3">
      <c r="A46" s="1" t="s">
        <v>1211</v>
      </c>
      <c r="B46" s="1" t="s">
        <v>1212</v>
      </c>
    </row>
    <row r="47" spans="1:2" x14ac:dyDescent="0.3">
      <c r="A47" s="1" t="s">
        <v>1213</v>
      </c>
      <c r="B47" s="1" t="s">
        <v>1214</v>
      </c>
    </row>
    <row r="48" spans="1:2" x14ac:dyDescent="0.3">
      <c r="A48" s="1" t="s">
        <v>1215</v>
      </c>
      <c r="B48" s="1" t="s">
        <v>1216</v>
      </c>
    </row>
    <row r="49" spans="1:2" x14ac:dyDescent="0.3">
      <c r="A49" s="1" t="s">
        <v>1217</v>
      </c>
      <c r="B49" s="1" t="s">
        <v>1218</v>
      </c>
    </row>
    <row r="50" spans="1:2" x14ac:dyDescent="0.3">
      <c r="A50" s="1" t="s">
        <v>1219</v>
      </c>
      <c r="B50" s="1" t="s">
        <v>1220</v>
      </c>
    </row>
    <row r="51" spans="1:2" x14ac:dyDescent="0.3">
      <c r="A51" s="1" t="s">
        <v>1221</v>
      </c>
      <c r="B51" s="1" t="s">
        <v>1222</v>
      </c>
    </row>
    <row r="52" spans="1:2" x14ac:dyDescent="0.3">
      <c r="A52" s="1" t="s">
        <v>1223</v>
      </c>
      <c r="B52" s="1" t="s">
        <v>1224</v>
      </c>
    </row>
    <row r="53" spans="1:2" x14ac:dyDescent="0.3">
      <c r="A53" s="1" t="s">
        <v>1225</v>
      </c>
      <c r="B53" s="1" t="s">
        <v>1226</v>
      </c>
    </row>
    <row r="54" spans="1:2" x14ac:dyDescent="0.3">
      <c r="A54" s="1" t="s">
        <v>1227</v>
      </c>
      <c r="B54" s="1" t="s">
        <v>1228</v>
      </c>
    </row>
    <row r="55" spans="1:2" x14ac:dyDescent="0.3">
      <c r="A55" s="1" t="s">
        <v>1229</v>
      </c>
      <c r="B55" s="1" t="s">
        <v>1230</v>
      </c>
    </row>
    <row r="56" spans="1:2" x14ac:dyDescent="0.3">
      <c r="A56" s="1" t="s">
        <v>1231</v>
      </c>
      <c r="B56" s="1" t="s">
        <v>1232</v>
      </c>
    </row>
    <row r="57" spans="1:2" x14ac:dyDescent="0.3">
      <c r="A57" s="1" t="s">
        <v>1233</v>
      </c>
      <c r="B57" s="1" t="s">
        <v>1234</v>
      </c>
    </row>
    <row r="58" spans="1:2" x14ac:dyDescent="0.3">
      <c r="A58" s="1" t="s">
        <v>1235</v>
      </c>
      <c r="B58" s="1" t="s">
        <v>1236</v>
      </c>
    </row>
    <row r="59" spans="1:2" x14ac:dyDescent="0.3">
      <c r="A59" s="1" t="s">
        <v>1237</v>
      </c>
      <c r="B59" s="1" t="s">
        <v>1238</v>
      </c>
    </row>
    <row r="60" spans="1:2" x14ac:dyDescent="0.3">
      <c r="A60" s="1" t="s">
        <v>1239</v>
      </c>
      <c r="B60" s="1" t="s">
        <v>1240</v>
      </c>
    </row>
    <row r="61" spans="1:2" x14ac:dyDescent="0.3">
      <c r="A61" s="1" t="s">
        <v>1241</v>
      </c>
      <c r="B61" s="1" t="s">
        <v>1242</v>
      </c>
    </row>
    <row r="62" spans="1:2" x14ac:dyDescent="0.3">
      <c r="A62" s="1" t="s">
        <v>1243</v>
      </c>
      <c r="B62" s="1" t="s">
        <v>1244</v>
      </c>
    </row>
    <row r="63" spans="1:2" x14ac:dyDescent="0.3">
      <c r="A63" s="1" t="s">
        <v>1245</v>
      </c>
      <c r="B63" s="1" t="s">
        <v>1246</v>
      </c>
    </row>
    <row r="64" spans="1:2" x14ac:dyDescent="0.3">
      <c r="A64" s="1" t="s">
        <v>1247</v>
      </c>
      <c r="B64" s="1" t="s">
        <v>1248</v>
      </c>
    </row>
    <row r="65" spans="1:2" x14ac:dyDescent="0.3">
      <c r="A65" s="1" t="s">
        <v>1249</v>
      </c>
      <c r="B65" s="1" t="s">
        <v>1250</v>
      </c>
    </row>
    <row r="66" spans="1:2" x14ac:dyDescent="0.3">
      <c r="A66" s="1" t="s">
        <v>1251</v>
      </c>
      <c r="B66" s="1" t="s">
        <v>1252</v>
      </c>
    </row>
    <row r="67" spans="1:2" x14ac:dyDescent="0.3">
      <c r="A67" s="1" t="s">
        <v>1253</v>
      </c>
      <c r="B67" s="1" t="s">
        <v>1254</v>
      </c>
    </row>
    <row r="68" spans="1:2" x14ac:dyDescent="0.3">
      <c r="A68" s="1" t="s">
        <v>1255</v>
      </c>
      <c r="B68" s="1" t="s">
        <v>1256</v>
      </c>
    </row>
    <row r="69" spans="1:2" x14ac:dyDescent="0.3">
      <c r="A69" s="1" t="s">
        <v>1257</v>
      </c>
      <c r="B69" s="1" t="s">
        <v>1258</v>
      </c>
    </row>
    <row r="70" spans="1:2" x14ac:dyDescent="0.3">
      <c r="A70" s="1" t="s">
        <v>1259</v>
      </c>
      <c r="B70" s="1" t="s">
        <v>1260</v>
      </c>
    </row>
    <row r="71" spans="1:2" x14ac:dyDescent="0.3">
      <c r="A71" s="1" t="s">
        <v>1261</v>
      </c>
      <c r="B71" s="1" t="s">
        <v>1262</v>
      </c>
    </row>
    <row r="72" spans="1:2" x14ac:dyDescent="0.3">
      <c r="A72" s="1" t="s">
        <v>1263</v>
      </c>
      <c r="B72" s="1" t="s">
        <v>1264</v>
      </c>
    </row>
    <row r="73" spans="1:2" x14ac:dyDescent="0.3">
      <c r="A73" s="1" t="s">
        <v>1265</v>
      </c>
      <c r="B73" s="1" t="s">
        <v>1266</v>
      </c>
    </row>
    <row r="74" spans="1:2" x14ac:dyDescent="0.3">
      <c r="A74" s="1" t="s">
        <v>1267</v>
      </c>
      <c r="B74" s="1" t="s">
        <v>1268</v>
      </c>
    </row>
    <row r="75" spans="1:2" x14ac:dyDescent="0.3">
      <c r="A75" s="1" t="s">
        <v>1269</v>
      </c>
      <c r="B75" s="1" t="s">
        <v>1270</v>
      </c>
    </row>
    <row r="76" spans="1:2" x14ac:dyDescent="0.3">
      <c r="A76" s="1" t="s">
        <v>1271</v>
      </c>
      <c r="B76" s="1" t="s">
        <v>1272</v>
      </c>
    </row>
    <row r="77" spans="1:2" x14ac:dyDescent="0.3">
      <c r="A77" s="1" t="s">
        <v>1273</v>
      </c>
      <c r="B77" s="1" t="s">
        <v>1274</v>
      </c>
    </row>
    <row r="78" spans="1:2" x14ac:dyDescent="0.3">
      <c r="A78" s="1" t="s">
        <v>1275</v>
      </c>
      <c r="B78" s="1" t="s">
        <v>1276</v>
      </c>
    </row>
    <row r="79" spans="1:2" x14ac:dyDescent="0.3">
      <c r="A79" s="1" t="s">
        <v>1277</v>
      </c>
      <c r="B79" s="1" t="s">
        <v>1278</v>
      </c>
    </row>
    <row r="80" spans="1:2" x14ac:dyDescent="0.3">
      <c r="A80" s="1" t="s">
        <v>1279</v>
      </c>
      <c r="B80" s="1" t="s">
        <v>1280</v>
      </c>
    </row>
    <row r="81" spans="1:2" x14ac:dyDescent="0.3">
      <c r="A81" s="1" t="s">
        <v>1281</v>
      </c>
      <c r="B81" s="1" t="s">
        <v>1282</v>
      </c>
    </row>
    <row r="82" spans="1:2" x14ac:dyDescent="0.3">
      <c r="A82" s="1" t="s">
        <v>1283</v>
      </c>
      <c r="B82" s="1" t="s">
        <v>1284</v>
      </c>
    </row>
    <row r="83" spans="1:2" x14ac:dyDescent="0.3">
      <c r="A83" s="1" t="s">
        <v>1285</v>
      </c>
      <c r="B83" s="1" t="s">
        <v>1286</v>
      </c>
    </row>
    <row r="84" spans="1:2" x14ac:dyDescent="0.3">
      <c r="A84" s="1" t="s">
        <v>1287</v>
      </c>
      <c r="B84" s="1" t="s">
        <v>1288</v>
      </c>
    </row>
    <row r="85" spans="1:2" x14ac:dyDescent="0.3">
      <c r="A85" s="1" t="s">
        <v>1289</v>
      </c>
      <c r="B85" s="1" t="s">
        <v>1290</v>
      </c>
    </row>
    <row r="86" spans="1:2" x14ac:dyDescent="0.3">
      <c r="A86" s="1" t="s">
        <v>1291</v>
      </c>
      <c r="B86" s="1" t="s">
        <v>1292</v>
      </c>
    </row>
    <row r="87" spans="1:2" x14ac:dyDescent="0.3">
      <c r="A87" s="1" t="s">
        <v>1293</v>
      </c>
      <c r="B87" s="1" t="s">
        <v>1294</v>
      </c>
    </row>
    <row r="88" spans="1:2" x14ac:dyDescent="0.3">
      <c r="A88" s="1" t="s">
        <v>1295</v>
      </c>
      <c r="B88" s="1" t="s">
        <v>1296</v>
      </c>
    </row>
    <row r="89" spans="1:2" x14ac:dyDescent="0.3">
      <c r="A89" s="1" t="s">
        <v>1297</v>
      </c>
      <c r="B89" s="1" t="s">
        <v>1298</v>
      </c>
    </row>
    <row r="90" spans="1:2" x14ac:dyDescent="0.3">
      <c r="A90" s="1" t="s">
        <v>1299</v>
      </c>
      <c r="B90" s="1" t="s">
        <v>1300</v>
      </c>
    </row>
    <row r="91" spans="1:2" x14ac:dyDescent="0.3">
      <c r="A91" s="1" t="s">
        <v>1301</v>
      </c>
      <c r="B91" s="1" t="s">
        <v>1302</v>
      </c>
    </row>
    <row r="92" spans="1:2" x14ac:dyDescent="0.3">
      <c r="A92" s="1" t="s">
        <v>1303</v>
      </c>
      <c r="B92" s="1" t="s">
        <v>1304</v>
      </c>
    </row>
    <row r="93" spans="1:2" x14ac:dyDescent="0.3">
      <c r="A93" s="1" t="s">
        <v>1305</v>
      </c>
      <c r="B93" s="1" t="s">
        <v>1306</v>
      </c>
    </row>
    <row r="94" spans="1:2" x14ac:dyDescent="0.3">
      <c r="A94" s="1" t="s">
        <v>1307</v>
      </c>
      <c r="B94" s="1" t="s">
        <v>1308</v>
      </c>
    </row>
    <row r="95" spans="1:2" x14ac:dyDescent="0.3">
      <c r="A95" s="1" t="s">
        <v>1309</v>
      </c>
      <c r="B95" s="1" t="s">
        <v>1310</v>
      </c>
    </row>
    <row r="96" spans="1:2" x14ac:dyDescent="0.3">
      <c r="A96" s="1" t="s">
        <v>1311</v>
      </c>
      <c r="B96" s="1" t="s">
        <v>1312</v>
      </c>
    </row>
    <row r="97" spans="1:2" x14ac:dyDescent="0.3">
      <c r="A97" s="1" t="s">
        <v>1313</v>
      </c>
      <c r="B97" s="1" t="s">
        <v>1314</v>
      </c>
    </row>
    <row r="98" spans="1:2" x14ac:dyDescent="0.3">
      <c r="A98" s="1" t="s">
        <v>1315</v>
      </c>
      <c r="B98" s="1" t="s">
        <v>1316</v>
      </c>
    </row>
    <row r="99" spans="1:2" x14ac:dyDescent="0.3">
      <c r="A99" s="1" t="s">
        <v>1317</v>
      </c>
      <c r="B99" s="1" t="s">
        <v>1318</v>
      </c>
    </row>
    <row r="100" spans="1:2" x14ac:dyDescent="0.3">
      <c r="A100" s="1" t="s">
        <v>1319</v>
      </c>
      <c r="B100" s="1" t="s">
        <v>1320</v>
      </c>
    </row>
    <row r="101" spans="1:2" x14ac:dyDescent="0.3">
      <c r="A101" s="1" t="s">
        <v>1321</v>
      </c>
      <c r="B101" s="1" t="s">
        <v>1322</v>
      </c>
    </row>
    <row r="102" spans="1:2" x14ac:dyDescent="0.3">
      <c r="A102" s="1" t="s">
        <v>1323</v>
      </c>
      <c r="B102" s="1" t="s">
        <v>1324</v>
      </c>
    </row>
    <row r="103" spans="1:2" x14ac:dyDescent="0.3">
      <c r="A103" s="1" t="s">
        <v>1325</v>
      </c>
      <c r="B103" s="1" t="s">
        <v>1326</v>
      </c>
    </row>
    <row r="104" spans="1:2" x14ac:dyDescent="0.3">
      <c r="A104" s="1" t="s">
        <v>1327</v>
      </c>
      <c r="B104" s="1" t="s">
        <v>1328</v>
      </c>
    </row>
    <row r="105" spans="1:2" x14ac:dyDescent="0.3">
      <c r="A105" s="1" t="s">
        <v>1329</v>
      </c>
      <c r="B105" s="1" t="s">
        <v>1330</v>
      </c>
    </row>
    <row r="106" spans="1:2" x14ac:dyDescent="0.3">
      <c r="A106" s="1" t="s">
        <v>1331</v>
      </c>
      <c r="B106" s="1" t="s">
        <v>1332</v>
      </c>
    </row>
    <row r="107" spans="1:2" x14ac:dyDescent="0.3">
      <c r="A107" s="1" t="s">
        <v>1333</v>
      </c>
      <c r="B107" s="1" t="s">
        <v>1334</v>
      </c>
    </row>
    <row r="108" spans="1:2" x14ac:dyDescent="0.3">
      <c r="A108" s="1" t="s">
        <v>1335</v>
      </c>
      <c r="B108" s="1" t="s">
        <v>1336</v>
      </c>
    </row>
    <row r="109" spans="1:2" x14ac:dyDescent="0.3">
      <c r="A109" s="1" t="s">
        <v>1337</v>
      </c>
      <c r="B109" s="1" t="s">
        <v>1338</v>
      </c>
    </row>
    <row r="110" spans="1:2" x14ac:dyDescent="0.3">
      <c r="A110" s="1" t="s">
        <v>1339</v>
      </c>
      <c r="B110" s="1" t="s">
        <v>1340</v>
      </c>
    </row>
    <row r="111" spans="1:2" x14ac:dyDescent="0.3">
      <c r="A111" s="1" t="s">
        <v>1341</v>
      </c>
      <c r="B111" s="1" t="s">
        <v>1342</v>
      </c>
    </row>
    <row r="112" spans="1:2" x14ac:dyDescent="0.3">
      <c r="A112" s="1" t="s">
        <v>1343</v>
      </c>
      <c r="B112" s="1" t="s">
        <v>1344</v>
      </c>
    </row>
    <row r="113" spans="1:2" x14ac:dyDescent="0.3">
      <c r="A113" s="1" t="s">
        <v>1345</v>
      </c>
      <c r="B113" s="1" t="s">
        <v>1346</v>
      </c>
    </row>
    <row r="114" spans="1:2" x14ac:dyDescent="0.3">
      <c r="A114" s="1" t="s">
        <v>1347</v>
      </c>
      <c r="B114" s="1" t="s">
        <v>1348</v>
      </c>
    </row>
    <row r="115" spans="1:2" x14ac:dyDescent="0.3">
      <c r="A115" s="1" t="s">
        <v>1349</v>
      </c>
      <c r="B115" s="1" t="s">
        <v>1350</v>
      </c>
    </row>
    <row r="116" spans="1:2" x14ac:dyDescent="0.3">
      <c r="A116" s="1" t="s">
        <v>1351</v>
      </c>
      <c r="B116" s="1" t="s">
        <v>1352</v>
      </c>
    </row>
    <row r="117" spans="1:2" x14ac:dyDescent="0.3">
      <c r="A117" s="1" t="s">
        <v>1353</v>
      </c>
      <c r="B117" s="1" t="s">
        <v>1354</v>
      </c>
    </row>
    <row r="118" spans="1:2" x14ac:dyDescent="0.3">
      <c r="A118" s="1" t="s">
        <v>1355</v>
      </c>
      <c r="B118" s="1" t="s">
        <v>1356</v>
      </c>
    </row>
    <row r="119" spans="1:2" x14ac:dyDescent="0.3">
      <c r="A119" s="1" t="s">
        <v>1357</v>
      </c>
      <c r="B119" s="1" t="s">
        <v>1358</v>
      </c>
    </row>
    <row r="120" spans="1:2" x14ac:dyDescent="0.3">
      <c r="A120" s="1" t="s">
        <v>1359</v>
      </c>
      <c r="B120" s="1" t="s">
        <v>1360</v>
      </c>
    </row>
    <row r="121" spans="1:2" x14ac:dyDescent="0.3">
      <c r="A121" s="1" t="s">
        <v>1361</v>
      </c>
      <c r="B121" s="1" t="s">
        <v>1362</v>
      </c>
    </row>
    <row r="122" spans="1:2" x14ac:dyDescent="0.3">
      <c r="A122" s="1" t="s">
        <v>1363</v>
      </c>
      <c r="B122" s="1" t="s">
        <v>1364</v>
      </c>
    </row>
    <row r="123" spans="1:2" x14ac:dyDescent="0.3">
      <c r="A123" s="1" t="s">
        <v>1365</v>
      </c>
      <c r="B123" s="1" t="s">
        <v>1366</v>
      </c>
    </row>
    <row r="124" spans="1:2" x14ac:dyDescent="0.3">
      <c r="A124" s="1" t="s">
        <v>1367</v>
      </c>
      <c r="B124" s="1" t="s">
        <v>1368</v>
      </c>
    </row>
    <row r="125" spans="1:2" x14ac:dyDescent="0.3">
      <c r="A125" s="1" t="s">
        <v>1369</v>
      </c>
      <c r="B125" s="1" t="s">
        <v>1370</v>
      </c>
    </row>
    <row r="126" spans="1:2" x14ac:dyDescent="0.3">
      <c r="A126" s="1" t="s">
        <v>1371</v>
      </c>
      <c r="B126" s="1" t="s">
        <v>1372</v>
      </c>
    </row>
    <row r="127" spans="1:2" x14ac:dyDescent="0.3">
      <c r="A127" s="1" t="s">
        <v>1373</v>
      </c>
      <c r="B127" s="1" t="s">
        <v>1374</v>
      </c>
    </row>
    <row r="128" spans="1:2" x14ac:dyDescent="0.3">
      <c r="A128" s="1" t="s">
        <v>1375</v>
      </c>
      <c r="B128" s="1" t="s">
        <v>1376</v>
      </c>
    </row>
    <row r="129" spans="1:2" x14ac:dyDescent="0.3">
      <c r="A129" s="1" t="s">
        <v>1377</v>
      </c>
      <c r="B129" s="1" t="s">
        <v>1378</v>
      </c>
    </row>
    <row r="130" spans="1:2" x14ac:dyDescent="0.3">
      <c r="A130" s="1" t="s">
        <v>1379</v>
      </c>
      <c r="B130" s="1" t="s">
        <v>1380</v>
      </c>
    </row>
    <row r="131" spans="1:2" x14ac:dyDescent="0.3">
      <c r="A131" s="1" t="s">
        <v>1381</v>
      </c>
      <c r="B131" s="1" t="s">
        <v>1382</v>
      </c>
    </row>
    <row r="132" spans="1:2" x14ac:dyDescent="0.3">
      <c r="A132" s="1" t="s">
        <v>1383</v>
      </c>
      <c r="B132" s="1" t="s">
        <v>1384</v>
      </c>
    </row>
    <row r="133" spans="1:2" x14ac:dyDescent="0.3">
      <c r="A133" s="1" t="s">
        <v>1385</v>
      </c>
      <c r="B133" s="1" t="s">
        <v>1386</v>
      </c>
    </row>
    <row r="134" spans="1:2" x14ac:dyDescent="0.3">
      <c r="A134" s="1" t="s">
        <v>1387</v>
      </c>
      <c r="B134" s="1" t="s">
        <v>1388</v>
      </c>
    </row>
    <row r="135" spans="1:2" x14ac:dyDescent="0.3">
      <c r="A135" s="1" t="s">
        <v>1389</v>
      </c>
      <c r="B135" s="1" t="s">
        <v>1390</v>
      </c>
    </row>
    <row r="136" spans="1:2" x14ac:dyDescent="0.3">
      <c r="A136" s="1" t="s">
        <v>1391</v>
      </c>
      <c r="B136" s="1" t="s">
        <v>1392</v>
      </c>
    </row>
    <row r="137" spans="1:2" x14ac:dyDescent="0.3">
      <c r="A137" s="1" t="s">
        <v>1393</v>
      </c>
      <c r="B137" s="1" t="s">
        <v>1394</v>
      </c>
    </row>
    <row r="138" spans="1:2" x14ac:dyDescent="0.3">
      <c r="A138" s="1" t="s">
        <v>1395</v>
      </c>
      <c r="B138" s="1" t="s">
        <v>1396</v>
      </c>
    </row>
    <row r="139" spans="1:2" x14ac:dyDescent="0.3">
      <c r="A139" s="1" t="s">
        <v>1397</v>
      </c>
      <c r="B139" s="1" t="s">
        <v>1398</v>
      </c>
    </row>
    <row r="140" spans="1:2" x14ac:dyDescent="0.3">
      <c r="A140" s="1" t="s">
        <v>1399</v>
      </c>
      <c r="B140" s="1" t="s">
        <v>1400</v>
      </c>
    </row>
    <row r="141" spans="1:2" x14ac:dyDescent="0.3">
      <c r="A141" s="1" t="s">
        <v>1401</v>
      </c>
      <c r="B141" s="1" t="s">
        <v>1402</v>
      </c>
    </row>
    <row r="142" spans="1:2" x14ac:dyDescent="0.3">
      <c r="A142" s="1" t="s">
        <v>1403</v>
      </c>
      <c r="B142" s="1" t="s">
        <v>1404</v>
      </c>
    </row>
    <row r="143" spans="1:2" x14ac:dyDescent="0.3">
      <c r="A143" s="1" t="s">
        <v>1405</v>
      </c>
      <c r="B143" s="1" t="s">
        <v>1406</v>
      </c>
    </row>
    <row r="144" spans="1:2" x14ac:dyDescent="0.3">
      <c r="A144" s="1" t="s">
        <v>1407</v>
      </c>
      <c r="B144" s="1" t="s">
        <v>1408</v>
      </c>
    </row>
    <row r="145" spans="1:2" x14ac:dyDescent="0.3">
      <c r="A145" s="1" t="s">
        <v>1409</v>
      </c>
      <c r="B145" s="1" t="s">
        <v>1410</v>
      </c>
    </row>
    <row r="146" spans="1:2" x14ac:dyDescent="0.3">
      <c r="A146" s="1" t="s">
        <v>1411</v>
      </c>
      <c r="B146" s="1" t="s">
        <v>1412</v>
      </c>
    </row>
    <row r="147" spans="1:2" x14ac:dyDescent="0.3">
      <c r="A147" s="1" t="s">
        <v>1413</v>
      </c>
      <c r="B147" s="1" t="s">
        <v>1414</v>
      </c>
    </row>
    <row r="148" spans="1:2" x14ac:dyDescent="0.3">
      <c r="A148" s="1" t="s">
        <v>1415</v>
      </c>
      <c r="B148" s="1" t="s">
        <v>1416</v>
      </c>
    </row>
    <row r="149" spans="1:2" x14ac:dyDescent="0.3">
      <c r="A149" s="1" t="s">
        <v>1417</v>
      </c>
      <c r="B149" s="1" t="s">
        <v>1418</v>
      </c>
    </row>
    <row r="150" spans="1:2" x14ac:dyDescent="0.3">
      <c r="A150" s="1" t="s">
        <v>1419</v>
      </c>
      <c r="B150" s="1" t="s">
        <v>1420</v>
      </c>
    </row>
    <row r="151" spans="1:2" x14ac:dyDescent="0.3">
      <c r="A151" s="1" t="s">
        <v>1421</v>
      </c>
      <c r="B151" s="1" t="s">
        <v>1422</v>
      </c>
    </row>
    <row r="152" spans="1:2" x14ac:dyDescent="0.3">
      <c r="A152" s="1" t="s">
        <v>1423</v>
      </c>
      <c r="B152" s="1" t="s">
        <v>1424</v>
      </c>
    </row>
    <row r="153" spans="1:2" x14ac:dyDescent="0.3">
      <c r="A153" s="1" t="s">
        <v>1425</v>
      </c>
      <c r="B153" s="1" t="s">
        <v>1426</v>
      </c>
    </row>
    <row r="154" spans="1:2" x14ac:dyDescent="0.3">
      <c r="A154" s="1" t="s">
        <v>1427</v>
      </c>
      <c r="B154" s="1" t="s">
        <v>1428</v>
      </c>
    </row>
    <row r="155" spans="1:2" x14ac:dyDescent="0.3">
      <c r="A155" s="1" t="s">
        <v>1429</v>
      </c>
      <c r="B155" s="1" t="s">
        <v>1430</v>
      </c>
    </row>
    <row r="156" spans="1:2" x14ac:dyDescent="0.3">
      <c r="A156" s="1" t="s">
        <v>1431</v>
      </c>
      <c r="B156" s="1" t="s">
        <v>1432</v>
      </c>
    </row>
    <row r="157" spans="1:2" x14ac:dyDescent="0.3">
      <c r="A157" s="1" t="s">
        <v>1433</v>
      </c>
      <c r="B157" s="1" t="s">
        <v>1434</v>
      </c>
    </row>
    <row r="158" spans="1:2" x14ac:dyDescent="0.3">
      <c r="A158" s="1" t="s">
        <v>1435</v>
      </c>
      <c r="B158" s="1" t="s">
        <v>1436</v>
      </c>
    </row>
    <row r="159" spans="1:2" x14ac:dyDescent="0.3">
      <c r="A159" s="1" t="s">
        <v>1437</v>
      </c>
      <c r="B159" s="1" t="s">
        <v>1438</v>
      </c>
    </row>
    <row r="160" spans="1:2" x14ac:dyDescent="0.3">
      <c r="A160" s="1" t="s">
        <v>1439</v>
      </c>
      <c r="B160" s="1" t="s">
        <v>1440</v>
      </c>
    </row>
    <row r="161" spans="1:2" x14ac:dyDescent="0.3">
      <c r="A161" s="1" t="s">
        <v>1441</v>
      </c>
      <c r="B161" s="1" t="s">
        <v>1442</v>
      </c>
    </row>
    <row r="162" spans="1:2" x14ac:dyDescent="0.3">
      <c r="A162" s="1" t="s">
        <v>1443</v>
      </c>
      <c r="B162" s="1" t="s">
        <v>1444</v>
      </c>
    </row>
    <row r="163" spans="1:2" x14ac:dyDescent="0.3">
      <c r="A163" s="1" t="s">
        <v>1445</v>
      </c>
      <c r="B163" s="1" t="s">
        <v>1446</v>
      </c>
    </row>
    <row r="164" spans="1:2" x14ac:dyDescent="0.3">
      <c r="A164" s="1" t="s">
        <v>1447</v>
      </c>
      <c r="B164" s="1" t="s">
        <v>1448</v>
      </c>
    </row>
    <row r="165" spans="1:2" x14ac:dyDescent="0.3">
      <c r="A165" s="1" t="s">
        <v>1449</v>
      </c>
      <c r="B165" s="1" t="s">
        <v>1450</v>
      </c>
    </row>
    <row r="166" spans="1:2" x14ac:dyDescent="0.3">
      <c r="A166" s="1" t="s">
        <v>1451</v>
      </c>
      <c r="B166" s="1" t="s">
        <v>1452</v>
      </c>
    </row>
    <row r="167" spans="1:2" x14ac:dyDescent="0.3">
      <c r="A167" s="1" t="s">
        <v>1453</v>
      </c>
      <c r="B167" s="1" t="s">
        <v>1454</v>
      </c>
    </row>
    <row r="168" spans="1:2" x14ac:dyDescent="0.3">
      <c r="A168" s="1" t="s">
        <v>1455</v>
      </c>
      <c r="B168" s="1" t="s">
        <v>1456</v>
      </c>
    </row>
    <row r="169" spans="1:2" x14ac:dyDescent="0.3">
      <c r="A169" s="1" t="s">
        <v>1457</v>
      </c>
      <c r="B169" s="1" t="s">
        <v>1458</v>
      </c>
    </row>
    <row r="170" spans="1:2" x14ac:dyDescent="0.3">
      <c r="A170" s="1" t="s">
        <v>1459</v>
      </c>
      <c r="B170" s="1" t="s">
        <v>1460</v>
      </c>
    </row>
    <row r="171" spans="1:2" x14ac:dyDescent="0.3">
      <c r="A171" s="1" t="s">
        <v>1461</v>
      </c>
      <c r="B171" s="1" t="s">
        <v>1462</v>
      </c>
    </row>
    <row r="172" spans="1:2" x14ac:dyDescent="0.3">
      <c r="A172" s="1" t="s">
        <v>1463</v>
      </c>
      <c r="B172" s="1" t="s">
        <v>1464</v>
      </c>
    </row>
    <row r="173" spans="1:2" x14ac:dyDescent="0.3">
      <c r="A173" s="1" t="s">
        <v>1465</v>
      </c>
      <c r="B173" s="1" t="s">
        <v>1466</v>
      </c>
    </row>
    <row r="174" spans="1:2" x14ac:dyDescent="0.3">
      <c r="A174" s="1" t="s">
        <v>1467</v>
      </c>
      <c r="B174" s="1" t="s">
        <v>1468</v>
      </c>
    </row>
    <row r="175" spans="1:2" x14ac:dyDescent="0.3">
      <c r="A175" s="1" t="s">
        <v>1469</v>
      </c>
      <c r="B175" s="1" t="s">
        <v>1470</v>
      </c>
    </row>
    <row r="176" spans="1:2" x14ac:dyDescent="0.3">
      <c r="A176" s="1" t="s">
        <v>1471</v>
      </c>
      <c r="B176" s="1" t="s">
        <v>1472</v>
      </c>
    </row>
    <row r="177" spans="1:2" x14ac:dyDescent="0.3">
      <c r="A177" s="1" t="s">
        <v>1473</v>
      </c>
      <c r="B177" s="1" t="s">
        <v>1474</v>
      </c>
    </row>
    <row r="178" spans="1:2" x14ac:dyDescent="0.3">
      <c r="A178" s="1" t="s">
        <v>1475</v>
      </c>
      <c r="B178" s="1" t="s">
        <v>1476</v>
      </c>
    </row>
    <row r="179" spans="1:2" x14ac:dyDescent="0.3">
      <c r="A179" s="1" t="s">
        <v>1477</v>
      </c>
      <c r="B179" s="1" t="s">
        <v>1478</v>
      </c>
    </row>
    <row r="180" spans="1:2" x14ac:dyDescent="0.3">
      <c r="A180" s="1" t="s">
        <v>1479</v>
      </c>
      <c r="B180" s="1" t="s">
        <v>1480</v>
      </c>
    </row>
    <row r="181" spans="1:2" x14ac:dyDescent="0.3">
      <c r="A181" s="1" t="s">
        <v>1481</v>
      </c>
      <c r="B181" s="1" t="s">
        <v>1482</v>
      </c>
    </row>
    <row r="182" spans="1:2" x14ac:dyDescent="0.3">
      <c r="A182" s="1" t="s">
        <v>1483</v>
      </c>
      <c r="B182" s="1" t="s">
        <v>1484</v>
      </c>
    </row>
    <row r="183" spans="1:2" x14ac:dyDescent="0.3">
      <c r="A183" s="1" t="s">
        <v>1485</v>
      </c>
      <c r="B183" s="1" t="s">
        <v>1486</v>
      </c>
    </row>
    <row r="184" spans="1:2" x14ac:dyDescent="0.3">
      <c r="A184" s="1" t="s">
        <v>1487</v>
      </c>
      <c r="B184" s="1" t="s">
        <v>1488</v>
      </c>
    </row>
    <row r="185" spans="1:2" x14ac:dyDescent="0.3">
      <c r="A185" s="1" t="s">
        <v>1489</v>
      </c>
      <c r="B185" s="1" t="s">
        <v>1490</v>
      </c>
    </row>
    <row r="186" spans="1:2" x14ac:dyDescent="0.3">
      <c r="A186" s="1" t="s">
        <v>1491</v>
      </c>
      <c r="B186" s="1" t="s">
        <v>1492</v>
      </c>
    </row>
    <row r="187" spans="1:2" x14ac:dyDescent="0.3">
      <c r="A187" s="1" t="s">
        <v>1493</v>
      </c>
      <c r="B187" s="1" t="s">
        <v>1494</v>
      </c>
    </row>
    <row r="188" spans="1:2" x14ac:dyDescent="0.3">
      <c r="A188" s="1" t="s">
        <v>1495</v>
      </c>
      <c r="B188" s="1" t="s">
        <v>1496</v>
      </c>
    </row>
    <row r="189" spans="1:2" x14ac:dyDescent="0.3">
      <c r="A189" s="1" t="s">
        <v>1497</v>
      </c>
      <c r="B189" s="1" t="s">
        <v>1498</v>
      </c>
    </row>
    <row r="190" spans="1:2" x14ac:dyDescent="0.3">
      <c r="A190" s="1" t="s">
        <v>1499</v>
      </c>
      <c r="B190" s="1" t="s">
        <v>1500</v>
      </c>
    </row>
    <row r="191" spans="1:2" x14ac:dyDescent="0.3">
      <c r="A191" s="1" t="s">
        <v>1501</v>
      </c>
      <c r="B191" s="1" t="s">
        <v>1502</v>
      </c>
    </row>
    <row r="192" spans="1:2" x14ac:dyDescent="0.3">
      <c r="A192" s="1" t="s">
        <v>1503</v>
      </c>
      <c r="B192" s="1" t="s">
        <v>1504</v>
      </c>
    </row>
    <row r="193" spans="1:2" x14ac:dyDescent="0.3">
      <c r="A193" s="1" t="s">
        <v>1505</v>
      </c>
      <c r="B193" s="1" t="s">
        <v>1506</v>
      </c>
    </row>
    <row r="194" spans="1:2" x14ac:dyDescent="0.3">
      <c r="A194" s="1" t="s">
        <v>1507</v>
      </c>
      <c r="B194" s="1" t="s">
        <v>1508</v>
      </c>
    </row>
    <row r="195" spans="1:2" x14ac:dyDescent="0.3">
      <c r="A195" s="1" t="s">
        <v>1509</v>
      </c>
      <c r="B195" s="1" t="s">
        <v>1510</v>
      </c>
    </row>
    <row r="196" spans="1:2" x14ac:dyDescent="0.3">
      <c r="A196" s="1" t="s">
        <v>1511</v>
      </c>
      <c r="B196" s="1" t="s">
        <v>1512</v>
      </c>
    </row>
    <row r="197" spans="1:2" x14ac:dyDescent="0.3">
      <c r="A197" s="1" t="s">
        <v>1513</v>
      </c>
      <c r="B197" s="1" t="s">
        <v>1514</v>
      </c>
    </row>
    <row r="198" spans="1:2" x14ac:dyDescent="0.3">
      <c r="A198" s="1" t="s">
        <v>1515</v>
      </c>
      <c r="B198" s="1" t="s">
        <v>1516</v>
      </c>
    </row>
    <row r="199" spans="1:2" x14ac:dyDescent="0.3">
      <c r="A199" s="1" t="s">
        <v>1517</v>
      </c>
      <c r="B199" s="1" t="s">
        <v>1518</v>
      </c>
    </row>
    <row r="200" spans="1:2" x14ac:dyDescent="0.3">
      <c r="A200" s="1" t="s">
        <v>1519</v>
      </c>
      <c r="B200" s="1" t="s">
        <v>1520</v>
      </c>
    </row>
    <row r="201" spans="1:2" x14ac:dyDescent="0.3">
      <c r="A201" s="1" t="s">
        <v>1521</v>
      </c>
      <c r="B201" s="1" t="s">
        <v>1522</v>
      </c>
    </row>
    <row r="202" spans="1:2" x14ac:dyDescent="0.3">
      <c r="A202" s="1" t="s">
        <v>1523</v>
      </c>
      <c r="B202" s="1" t="s">
        <v>1524</v>
      </c>
    </row>
    <row r="203" spans="1:2" x14ac:dyDescent="0.3">
      <c r="A203" s="1" t="s">
        <v>1525</v>
      </c>
      <c r="B203" s="1" t="s">
        <v>1526</v>
      </c>
    </row>
    <row r="204" spans="1:2" x14ac:dyDescent="0.3">
      <c r="A204" s="1" t="s">
        <v>1527</v>
      </c>
      <c r="B204" s="1" t="s">
        <v>1528</v>
      </c>
    </row>
    <row r="205" spans="1:2" x14ac:dyDescent="0.3">
      <c r="A205" s="1" t="s">
        <v>1529</v>
      </c>
      <c r="B205" s="1" t="s">
        <v>1530</v>
      </c>
    </row>
    <row r="206" spans="1:2" x14ac:dyDescent="0.3">
      <c r="A206" s="1" t="s">
        <v>1531</v>
      </c>
      <c r="B206" s="1" t="s">
        <v>1532</v>
      </c>
    </row>
    <row r="207" spans="1:2" x14ac:dyDescent="0.3">
      <c r="A207" s="1" t="s">
        <v>1533</v>
      </c>
      <c r="B207" s="1" t="s">
        <v>1534</v>
      </c>
    </row>
    <row r="208" spans="1:2" x14ac:dyDescent="0.3">
      <c r="A208" s="1" t="s">
        <v>1535</v>
      </c>
      <c r="B208" s="1" t="s">
        <v>1536</v>
      </c>
    </row>
    <row r="209" spans="1:2" x14ac:dyDescent="0.3">
      <c r="A209" s="1" t="s">
        <v>1537</v>
      </c>
      <c r="B209" s="1" t="s">
        <v>1538</v>
      </c>
    </row>
    <row r="210" spans="1:2" x14ac:dyDescent="0.3">
      <c r="A210" s="1" t="s">
        <v>1539</v>
      </c>
      <c r="B210" s="1" t="s">
        <v>1540</v>
      </c>
    </row>
    <row r="211" spans="1:2" x14ac:dyDescent="0.3">
      <c r="A211" s="1" t="s">
        <v>1541</v>
      </c>
      <c r="B211" s="1" t="s">
        <v>1542</v>
      </c>
    </row>
    <row r="212" spans="1:2" x14ac:dyDescent="0.3">
      <c r="A212" s="1" t="s">
        <v>1543</v>
      </c>
      <c r="B212" s="1" t="s">
        <v>1544</v>
      </c>
    </row>
    <row r="213" spans="1:2" x14ac:dyDescent="0.3">
      <c r="A213" s="1" t="s">
        <v>1545</v>
      </c>
      <c r="B213" s="1" t="s">
        <v>1546</v>
      </c>
    </row>
    <row r="214" spans="1:2" x14ac:dyDescent="0.3">
      <c r="A214" s="1" t="s">
        <v>1547</v>
      </c>
      <c r="B214" s="1" t="s">
        <v>1548</v>
      </c>
    </row>
    <row r="215" spans="1:2" x14ac:dyDescent="0.3">
      <c r="A215" s="1" t="s">
        <v>1549</v>
      </c>
      <c r="B215" s="1" t="s">
        <v>1550</v>
      </c>
    </row>
    <row r="216" spans="1:2" x14ac:dyDescent="0.3">
      <c r="A216" s="1" t="s">
        <v>1551</v>
      </c>
      <c r="B216" s="1" t="s">
        <v>1552</v>
      </c>
    </row>
    <row r="217" spans="1:2" x14ac:dyDescent="0.3">
      <c r="A217" s="1" t="s">
        <v>1553</v>
      </c>
      <c r="B217" s="1" t="s">
        <v>1554</v>
      </c>
    </row>
    <row r="218" spans="1:2" x14ac:dyDescent="0.3">
      <c r="A218" s="1" t="s">
        <v>1555</v>
      </c>
      <c r="B218" s="1" t="s">
        <v>1556</v>
      </c>
    </row>
    <row r="219" spans="1:2" x14ac:dyDescent="0.3">
      <c r="A219" s="1" t="s">
        <v>1557</v>
      </c>
      <c r="B219" s="1" t="s">
        <v>1558</v>
      </c>
    </row>
    <row r="220" spans="1:2" x14ac:dyDescent="0.3">
      <c r="A220" s="1" t="s">
        <v>1559</v>
      </c>
      <c r="B220" s="1" t="s">
        <v>1560</v>
      </c>
    </row>
    <row r="221" spans="1:2" x14ac:dyDescent="0.3">
      <c r="A221" s="1" t="s">
        <v>1561</v>
      </c>
      <c r="B221" s="1" t="s">
        <v>1562</v>
      </c>
    </row>
    <row r="222" spans="1:2" x14ac:dyDescent="0.3">
      <c r="A222" s="1" t="s">
        <v>1563</v>
      </c>
      <c r="B222" s="1" t="s">
        <v>1564</v>
      </c>
    </row>
    <row r="223" spans="1:2" x14ac:dyDescent="0.3">
      <c r="A223" s="1" t="s">
        <v>1565</v>
      </c>
      <c r="B223" s="1" t="s">
        <v>1566</v>
      </c>
    </row>
    <row r="224" spans="1:2" x14ac:dyDescent="0.3">
      <c r="A224" s="1" t="s">
        <v>1567</v>
      </c>
      <c r="B224" s="1" t="s">
        <v>1568</v>
      </c>
    </row>
    <row r="225" spans="1:2" x14ac:dyDescent="0.3">
      <c r="A225" s="1" t="s">
        <v>1569</v>
      </c>
      <c r="B225" s="1" t="s">
        <v>1570</v>
      </c>
    </row>
    <row r="226" spans="1:2" x14ac:dyDescent="0.3">
      <c r="A226" s="1" t="s">
        <v>1571</v>
      </c>
      <c r="B226" s="1" t="s">
        <v>1572</v>
      </c>
    </row>
    <row r="227" spans="1:2" x14ac:dyDescent="0.3">
      <c r="A227" s="1" t="s">
        <v>1573</v>
      </c>
      <c r="B227" s="1" t="s">
        <v>1574</v>
      </c>
    </row>
    <row r="228" spans="1:2" x14ac:dyDescent="0.3">
      <c r="A228" s="1" t="s">
        <v>1575</v>
      </c>
      <c r="B228" s="1" t="s">
        <v>1576</v>
      </c>
    </row>
    <row r="229" spans="1:2" x14ac:dyDescent="0.3">
      <c r="A229" s="1" t="s">
        <v>1577</v>
      </c>
      <c r="B229" s="1" t="s">
        <v>1578</v>
      </c>
    </row>
    <row r="230" spans="1:2" x14ac:dyDescent="0.3">
      <c r="A230" s="1" t="s">
        <v>1579</v>
      </c>
      <c r="B230" s="1" t="s">
        <v>1580</v>
      </c>
    </row>
    <row r="231" spans="1:2" x14ac:dyDescent="0.3">
      <c r="A231" s="1" t="s">
        <v>1581</v>
      </c>
      <c r="B231" s="1" t="s">
        <v>1582</v>
      </c>
    </row>
    <row r="232" spans="1:2" x14ac:dyDescent="0.3">
      <c r="A232" s="1" t="s">
        <v>1583</v>
      </c>
      <c r="B232" s="1" t="s">
        <v>1584</v>
      </c>
    </row>
    <row r="233" spans="1:2" x14ac:dyDescent="0.3">
      <c r="A233" s="1" t="s">
        <v>1585</v>
      </c>
      <c r="B233" s="1" t="s">
        <v>1586</v>
      </c>
    </row>
    <row r="234" spans="1:2" x14ac:dyDescent="0.3">
      <c r="A234" s="1" t="s">
        <v>1587</v>
      </c>
      <c r="B234" s="1" t="s">
        <v>1588</v>
      </c>
    </row>
    <row r="235" spans="1:2" x14ac:dyDescent="0.3">
      <c r="A235" s="1" t="s">
        <v>1589</v>
      </c>
      <c r="B235" s="1" t="s">
        <v>1590</v>
      </c>
    </row>
    <row r="236" spans="1:2" x14ac:dyDescent="0.3">
      <c r="A236" s="1" t="s">
        <v>1591</v>
      </c>
      <c r="B236" s="1" t="s">
        <v>1592</v>
      </c>
    </row>
    <row r="237" spans="1:2" x14ac:dyDescent="0.3">
      <c r="A237" s="1" t="s">
        <v>1593</v>
      </c>
      <c r="B237" s="1" t="s">
        <v>1594</v>
      </c>
    </row>
    <row r="238" spans="1:2" x14ac:dyDescent="0.3">
      <c r="A238" s="1" t="s">
        <v>1595</v>
      </c>
      <c r="B238" s="1" t="s">
        <v>1596</v>
      </c>
    </row>
    <row r="239" spans="1:2" x14ac:dyDescent="0.3">
      <c r="A239" s="1" t="s">
        <v>1597</v>
      </c>
      <c r="B239" s="1" t="s">
        <v>1598</v>
      </c>
    </row>
    <row r="240" spans="1:2" x14ac:dyDescent="0.3">
      <c r="A240" s="1" t="s">
        <v>1599</v>
      </c>
      <c r="B240" s="1" t="s">
        <v>1600</v>
      </c>
    </row>
    <row r="241" spans="1:2" x14ac:dyDescent="0.3">
      <c r="A241" s="1" t="s">
        <v>1601</v>
      </c>
      <c r="B241" s="1" t="s">
        <v>1602</v>
      </c>
    </row>
    <row r="242" spans="1:2" x14ac:dyDescent="0.3">
      <c r="A242" s="1" t="s">
        <v>1603</v>
      </c>
      <c r="B242" s="1" t="s">
        <v>1604</v>
      </c>
    </row>
    <row r="243" spans="1:2" x14ac:dyDescent="0.3">
      <c r="A243" s="1" t="s">
        <v>1605</v>
      </c>
      <c r="B243" s="1" t="s">
        <v>1606</v>
      </c>
    </row>
    <row r="244" spans="1:2" x14ac:dyDescent="0.3">
      <c r="A244" s="1" t="s">
        <v>1607</v>
      </c>
      <c r="B244" s="1" t="s">
        <v>1608</v>
      </c>
    </row>
    <row r="245" spans="1:2" x14ac:dyDescent="0.3">
      <c r="A245" s="1" t="s">
        <v>1609</v>
      </c>
      <c r="B245" s="1" t="s">
        <v>1610</v>
      </c>
    </row>
    <row r="246" spans="1:2" x14ac:dyDescent="0.3">
      <c r="A246" s="1" t="s">
        <v>1611</v>
      </c>
      <c r="B246" s="1" t="s">
        <v>1612</v>
      </c>
    </row>
    <row r="247" spans="1:2" x14ac:dyDescent="0.3">
      <c r="A247" s="1" t="s">
        <v>1613</v>
      </c>
      <c r="B247" s="1" t="s">
        <v>1614</v>
      </c>
    </row>
    <row r="248" spans="1:2" x14ac:dyDescent="0.3">
      <c r="A248" s="1" t="s">
        <v>1615</v>
      </c>
      <c r="B248" s="1" t="s">
        <v>1616</v>
      </c>
    </row>
    <row r="249" spans="1:2" x14ac:dyDescent="0.3">
      <c r="A249" s="1" t="s">
        <v>1617</v>
      </c>
      <c r="B249" s="1" t="s">
        <v>1618</v>
      </c>
    </row>
    <row r="250" spans="1:2" x14ac:dyDescent="0.3">
      <c r="A250" s="1" t="s">
        <v>1619</v>
      </c>
      <c r="B250" s="1" t="s">
        <v>1620</v>
      </c>
    </row>
    <row r="251" spans="1:2" x14ac:dyDescent="0.3">
      <c r="A251" s="1" t="s">
        <v>1621</v>
      </c>
      <c r="B251" s="1" t="s">
        <v>1622</v>
      </c>
    </row>
    <row r="252" spans="1:2" x14ac:dyDescent="0.3">
      <c r="A252" s="1" t="s">
        <v>1623</v>
      </c>
      <c r="B252" s="1" t="s">
        <v>1624</v>
      </c>
    </row>
    <row r="253" spans="1:2" x14ac:dyDescent="0.3">
      <c r="A253" s="1" t="s">
        <v>1625</v>
      </c>
      <c r="B253" s="1" t="s">
        <v>1626</v>
      </c>
    </row>
    <row r="254" spans="1:2" x14ac:dyDescent="0.3">
      <c r="A254" s="1" t="s">
        <v>1627</v>
      </c>
      <c r="B254" s="1" t="s">
        <v>1628</v>
      </c>
    </row>
    <row r="255" spans="1:2" x14ac:dyDescent="0.3">
      <c r="A255" s="1" t="s">
        <v>1629</v>
      </c>
      <c r="B255" s="1" t="s">
        <v>1630</v>
      </c>
    </row>
    <row r="256" spans="1:2" x14ac:dyDescent="0.3">
      <c r="A256" s="1" t="s">
        <v>1631</v>
      </c>
      <c r="B256" s="1" t="s">
        <v>1632</v>
      </c>
    </row>
    <row r="257" spans="1:2" x14ac:dyDescent="0.3">
      <c r="A257" s="1" t="s">
        <v>1633</v>
      </c>
      <c r="B257" s="1" t="s">
        <v>1634</v>
      </c>
    </row>
    <row r="258" spans="1:2" x14ac:dyDescent="0.3">
      <c r="A258" s="1" t="s">
        <v>1635</v>
      </c>
      <c r="B258" s="1" t="s">
        <v>1636</v>
      </c>
    </row>
    <row r="259" spans="1:2" x14ac:dyDescent="0.3">
      <c r="A259" s="1" t="s">
        <v>1637</v>
      </c>
      <c r="B259" s="1" t="s">
        <v>1638</v>
      </c>
    </row>
    <row r="260" spans="1:2" x14ac:dyDescent="0.3">
      <c r="A260" s="1" t="s">
        <v>1639</v>
      </c>
      <c r="B260" s="1" t="s">
        <v>1640</v>
      </c>
    </row>
    <row r="261" spans="1:2" x14ac:dyDescent="0.3">
      <c r="A261" s="1" t="s">
        <v>1641</v>
      </c>
      <c r="B261" s="1" t="s">
        <v>1642</v>
      </c>
    </row>
    <row r="262" spans="1:2" x14ac:dyDescent="0.3">
      <c r="A262" s="1" t="s">
        <v>1643</v>
      </c>
      <c r="B262" s="1" t="s">
        <v>1644</v>
      </c>
    </row>
    <row r="263" spans="1:2" x14ac:dyDescent="0.3">
      <c r="A263" s="1" t="s">
        <v>1645</v>
      </c>
      <c r="B263" s="1" t="s">
        <v>1646</v>
      </c>
    </row>
    <row r="264" spans="1:2" x14ac:dyDescent="0.3">
      <c r="A264" s="1" t="s">
        <v>1647</v>
      </c>
      <c r="B264" s="1" t="s">
        <v>1648</v>
      </c>
    </row>
    <row r="265" spans="1:2" x14ac:dyDescent="0.3">
      <c r="A265" s="1" t="s">
        <v>1649</v>
      </c>
      <c r="B265" s="1" t="s">
        <v>1650</v>
      </c>
    </row>
    <row r="266" spans="1:2" x14ac:dyDescent="0.3">
      <c r="A266" s="1" t="s">
        <v>1651</v>
      </c>
      <c r="B266" s="1" t="s">
        <v>1652</v>
      </c>
    </row>
    <row r="267" spans="1:2" x14ac:dyDescent="0.3">
      <c r="A267" s="1" t="s">
        <v>1653</v>
      </c>
      <c r="B267" s="1" t="s">
        <v>1654</v>
      </c>
    </row>
    <row r="268" spans="1:2" x14ac:dyDescent="0.3">
      <c r="A268" s="1" t="s">
        <v>1655</v>
      </c>
      <c r="B268" s="1" t="s">
        <v>1656</v>
      </c>
    </row>
    <row r="269" spans="1:2" x14ac:dyDescent="0.3">
      <c r="A269" s="1" t="s">
        <v>1657</v>
      </c>
      <c r="B269" s="1" t="s">
        <v>1658</v>
      </c>
    </row>
    <row r="270" spans="1:2" x14ac:dyDescent="0.3">
      <c r="A270" s="1" t="s">
        <v>1659</v>
      </c>
      <c r="B270" s="1" t="s">
        <v>1660</v>
      </c>
    </row>
    <row r="271" spans="1:2" x14ac:dyDescent="0.3">
      <c r="A271" s="1" t="s">
        <v>1661</v>
      </c>
      <c r="B271" s="1" t="s">
        <v>1662</v>
      </c>
    </row>
    <row r="272" spans="1:2" x14ac:dyDescent="0.3">
      <c r="A272" s="1" t="s">
        <v>1663</v>
      </c>
      <c r="B272" s="1" t="s">
        <v>1664</v>
      </c>
    </row>
    <row r="273" spans="1:2" x14ac:dyDescent="0.3">
      <c r="A273" s="1" t="s">
        <v>1665</v>
      </c>
      <c r="B273" s="1" t="s">
        <v>1666</v>
      </c>
    </row>
    <row r="274" spans="1:2" x14ac:dyDescent="0.3">
      <c r="A274" s="1" t="s">
        <v>1667</v>
      </c>
      <c r="B274" s="1" t="s">
        <v>1668</v>
      </c>
    </row>
    <row r="275" spans="1:2" x14ac:dyDescent="0.3">
      <c r="A275" s="1" t="s">
        <v>1669</v>
      </c>
      <c r="B275" s="1" t="s">
        <v>1670</v>
      </c>
    </row>
    <row r="276" spans="1:2" x14ac:dyDescent="0.3">
      <c r="A276" s="1" t="s">
        <v>1671</v>
      </c>
      <c r="B276" s="1" t="s">
        <v>1672</v>
      </c>
    </row>
    <row r="277" spans="1:2" x14ac:dyDescent="0.3">
      <c r="A277" s="1" t="s">
        <v>1673</v>
      </c>
      <c r="B277" s="1" t="s">
        <v>1674</v>
      </c>
    </row>
    <row r="278" spans="1:2" x14ac:dyDescent="0.3">
      <c r="A278" s="1" t="s">
        <v>1675</v>
      </c>
      <c r="B278" s="1" t="s">
        <v>1676</v>
      </c>
    </row>
    <row r="279" spans="1:2" x14ac:dyDescent="0.3">
      <c r="A279" s="1" t="s">
        <v>1677</v>
      </c>
      <c r="B279" s="1" t="s">
        <v>1678</v>
      </c>
    </row>
    <row r="280" spans="1:2" x14ac:dyDescent="0.3">
      <c r="A280" s="1" t="s">
        <v>1679</v>
      </c>
      <c r="B280" s="1" t="s">
        <v>1680</v>
      </c>
    </row>
    <row r="281" spans="1:2" x14ac:dyDescent="0.3">
      <c r="A281" s="1" t="s">
        <v>1681</v>
      </c>
      <c r="B281" s="1" t="s">
        <v>1682</v>
      </c>
    </row>
    <row r="282" spans="1:2" x14ac:dyDescent="0.3">
      <c r="A282" s="1" t="s">
        <v>1683</v>
      </c>
      <c r="B282" s="1" t="s">
        <v>1684</v>
      </c>
    </row>
    <row r="283" spans="1:2" x14ac:dyDescent="0.3">
      <c r="A283" s="1" t="s">
        <v>1685</v>
      </c>
      <c r="B283" s="1" t="s">
        <v>1686</v>
      </c>
    </row>
    <row r="284" spans="1:2" x14ac:dyDescent="0.3">
      <c r="A284" s="1" t="s">
        <v>1687</v>
      </c>
      <c r="B284" s="1" t="s">
        <v>1688</v>
      </c>
    </row>
    <row r="285" spans="1:2" x14ac:dyDescent="0.3">
      <c r="A285" s="1" t="s">
        <v>1689</v>
      </c>
      <c r="B285" s="1" t="s">
        <v>1690</v>
      </c>
    </row>
    <row r="286" spans="1:2" x14ac:dyDescent="0.3">
      <c r="A286" s="1" t="s">
        <v>1691</v>
      </c>
      <c r="B286" s="1" t="s">
        <v>1692</v>
      </c>
    </row>
    <row r="287" spans="1:2" x14ac:dyDescent="0.3">
      <c r="A287" s="1" t="s">
        <v>1693</v>
      </c>
      <c r="B287" s="1" t="s">
        <v>1694</v>
      </c>
    </row>
    <row r="288" spans="1:2" x14ac:dyDescent="0.3">
      <c r="A288" s="1" t="s">
        <v>1695</v>
      </c>
      <c r="B288" s="1" t="s">
        <v>1696</v>
      </c>
    </row>
    <row r="289" spans="1:2" x14ac:dyDescent="0.3">
      <c r="A289" s="1" t="s">
        <v>1697</v>
      </c>
      <c r="B289" s="1" t="s">
        <v>1698</v>
      </c>
    </row>
    <row r="290" spans="1:2" x14ac:dyDescent="0.3">
      <c r="A290" s="1" t="s">
        <v>1699</v>
      </c>
      <c r="B290" s="1" t="s">
        <v>1700</v>
      </c>
    </row>
    <row r="291" spans="1:2" x14ac:dyDescent="0.3">
      <c r="A291" s="1" t="s">
        <v>1701</v>
      </c>
      <c r="B291" s="1" t="s">
        <v>1702</v>
      </c>
    </row>
    <row r="292" spans="1:2" x14ac:dyDescent="0.3">
      <c r="A292" s="1" t="s">
        <v>1703</v>
      </c>
      <c r="B292" s="1" t="s">
        <v>1704</v>
      </c>
    </row>
    <row r="293" spans="1:2" x14ac:dyDescent="0.3">
      <c r="A293" s="1" t="s">
        <v>1705</v>
      </c>
      <c r="B293" s="1" t="s">
        <v>1706</v>
      </c>
    </row>
    <row r="294" spans="1:2" x14ac:dyDescent="0.3">
      <c r="A294" s="1" t="s">
        <v>1707</v>
      </c>
      <c r="B294" s="1" t="s">
        <v>1708</v>
      </c>
    </row>
    <row r="295" spans="1:2" x14ac:dyDescent="0.3">
      <c r="A295" s="1" t="s">
        <v>1709</v>
      </c>
      <c r="B295" s="1" t="s">
        <v>1710</v>
      </c>
    </row>
    <row r="296" spans="1:2" x14ac:dyDescent="0.3">
      <c r="A296" s="1" t="s">
        <v>1711</v>
      </c>
      <c r="B296" s="1" t="s">
        <v>1712</v>
      </c>
    </row>
    <row r="297" spans="1:2" x14ac:dyDescent="0.3">
      <c r="A297" s="1" t="s">
        <v>1713</v>
      </c>
      <c r="B297" s="1" t="s">
        <v>1714</v>
      </c>
    </row>
    <row r="298" spans="1:2" x14ac:dyDescent="0.3">
      <c r="A298" s="1" t="s">
        <v>1715</v>
      </c>
      <c r="B298" s="1" t="s">
        <v>1716</v>
      </c>
    </row>
    <row r="299" spans="1:2" x14ac:dyDescent="0.3">
      <c r="A299" s="1" t="s">
        <v>1717</v>
      </c>
      <c r="B299" s="1" t="s">
        <v>1718</v>
      </c>
    </row>
    <row r="300" spans="1:2" x14ac:dyDescent="0.3">
      <c r="A300" s="1" t="s">
        <v>1719</v>
      </c>
      <c r="B300" s="1" t="s">
        <v>1720</v>
      </c>
    </row>
    <row r="301" spans="1:2" x14ac:dyDescent="0.3">
      <c r="A301" s="1" t="s">
        <v>1721</v>
      </c>
      <c r="B301" s="1" t="s">
        <v>1722</v>
      </c>
    </row>
    <row r="302" spans="1:2" x14ac:dyDescent="0.3">
      <c r="A302" s="1" t="s">
        <v>1723</v>
      </c>
      <c r="B302" s="1" t="s">
        <v>1724</v>
      </c>
    </row>
    <row r="303" spans="1:2" x14ac:dyDescent="0.3">
      <c r="A303" s="1" t="s">
        <v>1725</v>
      </c>
      <c r="B303" s="1" t="s">
        <v>1726</v>
      </c>
    </row>
    <row r="304" spans="1:2" x14ac:dyDescent="0.3">
      <c r="A304" s="1" t="s">
        <v>1727</v>
      </c>
      <c r="B304" s="1" t="s">
        <v>1728</v>
      </c>
    </row>
    <row r="305" spans="1:2" x14ac:dyDescent="0.3">
      <c r="A305" s="1" t="s">
        <v>1729</v>
      </c>
      <c r="B305" s="1" t="s">
        <v>1730</v>
      </c>
    </row>
    <row r="306" spans="1:2" x14ac:dyDescent="0.3">
      <c r="A306" s="1" t="s">
        <v>1731</v>
      </c>
      <c r="B306" s="1" t="s">
        <v>1732</v>
      </c>
    </row>
    <row r="307" spans="1:2" x14ac:dyDescent="0.3">
      <c r="A307" s="1" t="s">
        <v>1733</v>
      </c>
      <c r="B307" s="1" t="s">
        <v>1734</v>
      </c>
    </row>
    <row r="308" spans="1:2" x14ac:dyDescent="0.3">
      <c r="A308" s="1" t="s">
        <v>1735</v>
      </c>
      <c r="B308" s="1" t="s">
        <v>1736</v>
      </c>
    </row>
    <row r="309" spans="1:2" x14ac:dyDescent="0.3">
      <c r="A309" s="1" t="s">
        <v>1737</v>
      </c>
      <c r="B309" s="1" t="s">
        <v>1738</v>
      </c>
    </row>
    <row r="310" spans="1:2" x14ac:dyDescent="0.3">
      <c r="A310" s="1" t="s">
        <v>1739</v>
      </c>
      <c r="B310" s="1" t="s">
        <v>1740</v>
      </c>
    </row>
    <row r="311" spans="1:2" x14ac:dyDescent="0.3">
      <c r="A311" s="1" t="s">
        <v>1741</v>
      </c>
      <c r="B311" s="1" t="s">
        <v>1742</v>
      </c>
    </row>
    <row r="312" spans="1:2" x14ac:dyDescent="0.3">
      <c r="A312" s="1" t="s">
        <v>1743</v>
      </c>
      <c r="B312" s="1" t="s">
        <v>1744</v>
      </c>
    </row>
    <row r="313" spans="1:2" x14ac:dyDescent="0.3">
      <c r="A313" s="1" t="s">
        <v>1745</v>
      </c>
      <c r="B313" s="1" t="s">
        <v>1746</v>
      </c>
    </row>
    <row r="314" spans="1:2" x14ac:dyDescent="0.3">
      <c r="A314" s="1" t="s">
        <v>1747</v>
      </c>
      <c r="B314" s="1" t="s">
        <v>1748</v>
      </c>
    </row>
    <row r="315" spans="1:2" x14ac:dyDescent="0.3">
      <c r="A315" s="1" t="s">
        <v>1749</v>
      </c>
      <c r="B315" s="1" t="s">
        <v>1750</v>
      </c>
    </row>
    <row r="316" spans="1:2" x14ac:dyDescent="0.3">
      <c r="A316" s="1" t="s">
        <v>1751</v>
      </c>
      <c r="B316" s="1" t="s">
        <v>1752</v>
      </c>
    </row>
    <row r="317" spans="1:2" x14ac:dyDescent="0.3">
      <c r="A317" s="1" t="s">
        <v>1753</v>
      </c>
      <c r="B317" s="1" t="s">
        <v>1754</v>
      </c>
    </row>
    <row r="318" spans="1:2" x14ac:dyDescent="0.3">
      <c r="A318" s="1" t="s">
        <v>1755</v>
      </c>
      <c r="B318" s="1" t="s">
        <v>1756</v>
      </c>
    </row>
    <row r="319" spans="1:2" x14ac:dyDescent="0.3">
      <c r="A319" s="1" t="s">
        <v>1757</v>
      </c>
      <c r="B319" s="1" t="s">
        <v>1758</v>
      </c>
    </row>
    <row r="320" spans="1:2" x14ac:dyDescent="0.3">
      <c r="A320" s="1" t="s">
        <v>1759</v>
      </c>
      <c r="B320" s="1" t="s">
        <v>1760</v>
      </c>
    </row>
    <row r="321" spans="1:2" x14ac:dyDescent="0.3">
      <c r="A321" s="1" t="s">
        <v>1761</v>
      </c>
      <c r="B321" s="1" t="s">
        <v>1762</v>
      </c>
    </row>
    <row r="322" spans="1:2" x14ac:dyDescent="0.3">
      <c r="A322" s="1" t="s">
        <v>1763</v>
      </c>
      <c r="B322" s="1" t="s">
        <v>1764</v>
      </c>
    </row>
    <row r="323" spans="1:2" x14ac:dyDescent="0.3">
      <c r="A323" s="1" t="s">
        <v>1765</v>
      </c>
      <c r="B323" s="1" t="s">
        <v>1766</v>
      </c>
    </row>
    <row r="324" spans="1:2" x14ac:dyDescent="0.3">
      <c r="A324" s="1" t="s">
        <v>1767</v>
      </c>
      <c r="B324" s="1" t="s">
        <v>1768</v>
      </c>
    </row>
    <row r="325" spans="1:2" x14ac:dyDescent="0.3">
      <c r="A325" s="1" t="s">
        <v>1769</v>
      </c>
      <c r="B325" s="1" t="s">
        <v>1770</v>
      </c>
    </row>
    <row r="326" spans="1:2" x14ac:dyDescent="0.3">
      <c r="A326" s="1" t="s">
        <v>1771</v>
      </c>
      <c r="B326" s="1" t="s">
        <v>1772</v>
      </c>
    </row>
    <row r="327" spans="1:2" x14ac:dyDescent="0.3">
      <c r="A327" s="1" t="s">
        <v>1773</v>
      </c>
      <c r="B327" s="1" t="s">
        <v>1774</v>
      </c>
    </row>
    <row r="328" spans="1:2" x14ac:dyDescent="0.3">
      <c r="A328" s="1" t="s">
        <v>1775</v>
      </c>
      <c r="B328" s="1" t="s">
        <v>1776</v>
      </c>
    </row>
    <row r="329" spans="1:2" x14ac:dyDescent="0.3">
      <c r="A329" s="1" t="s">
        <v>1777</v>
      </c>
      <c r="B329" s="1" t="s">
        <v>1778</v>
      </c>
    </row>
    <row r="330" spans="1:2" x14ac:dyDescent="0.3">
      <c r="A330" s="1" t="s">
        <v>1779</v>
      </c>
      <c r="B330" s="1" t="s">
        <v>1780</v>
      </c>
    </row>
    <row r="331" spans="1:2" x14ac:dyDescent="0.3">
      <c r="A331" s="1" t="s">
        <v>1781</v>
      </c>
      <c r="B331" s="1" t="s">
        <v>1782</v>
      </c>
    </row>
    <row r="332" spans="1:2" x14ac:dyDescent="0.3">
      <c r="A332" s="1" t="s">
        <v>1783</v>
      </c>
      <c r="B332" s="1" t="s">
        <v>1784</v>
      </c>
    </row>
    <row r="333" spans="1:2" x14ac:dyDescent="0.3">
      <c r="A333" s="1" t="s">
        <v>1785</v>
      </c>
      <c r="B333" s="1" t="s">
        <v>1786</v>
      </c>
    </row>
    <row r="334" spans="1:2" x14ac:dyDescent="0.3">
      <c r="A334" s="1" t="s">
        <v>1787</v>
      </c>
      <c r="B334" s="1" t="s">
        <v>1788</v>
      </c>
    </row>
    <row r="335" spans="1:2" x14ac:dyDescent="0.3">
      <c r="A335" s="1" t="s">
        <v>1789</v>
      </c>
      <c r="B335" s="1" t="s">
        <v>1790</v>
      </c>
    </row>
    <row r="336" spans="1:2" x14ac:dyDescent="0.3">
      <c r="A336" s="1" t="s">
        <v>1791</v>
      </c>
      <c r="B336" s="1" t="s">
        <v>1792</v>
      </c>
    </row>
    <row r="337" spans="1:2" x14ac:dyDescent="0.3">
      <c r="A337" s="1" t="s">
        <v>1793</v>
      </c>
      <c r="B337" s="1" t="s">
        <v>1794</v>
      </c>
    </row>
    <row r="338" spans="1:2" x14ac:dyDescent="0.3">
      <c r="A338" s="1" t="s">
        <v>1795</v>
      </c>
      <c r="B338" s="1" t="s">
        <v>1796</v>
      </c>
    </row>
    <row r="339" spans="1:2" x14ac:dyDescent="0.3">
      <c r="A339" s="1" t="s">
        <v>1797</v>
      </c>
      <c r="B339" s="1" t="s">
        <v>1798</v>
      </c>
    </row>
    <row r="340" spans="1:2" x14ac:dyDescent="0.3">
      <c r="A340" s="1" t="s">
        <v>1799</v>
      </c>
      <c r="B340" s="1" t="s">
        <v>1800</v>
      </c>
    </row>
    <row r="341" spans="1:2" x14ac:dyDescent="0.3">
      <c r="A341" s="1" t="s">
        <v>1801</v>
      </c>
      <c r="B341" s="1" t="s">
        <v>1802</v>
      </c>
    </row>
    <row r="342" spans="1:2" x14ac:dyDescent="0.3">
      <c r="A342" s="1" t="s">
        <v>1803</v>
      </c>
      <c r="B342" s="1" t="s">
        <v>1804</v>
      </c>
    </row>
    <row r="343" spans="1:2" x14ac:dyDescent="0.3">
      <c r="A343" s="1" t="s">
        <v>1805</v>
      </c>
      <c r="B343" s="1" t="s">
        <v>1806</v>
      </c>
    </row>
    <row r="344" spans="1:2" x14ac:dyDescent="0.3">
      <c r="A344" s="1" t="s">
        <v>1807</v>
      </c>
      <c r="B344" s="1" t="s">
        <v>1808</v>
      </c>
    </row>
    <row r="345" spans="1:2" x14ac:dyDescent="0.3">
      <c r="A345" s="1" t="s">
        <v>1809</v>
      </c>
      <c r="B345" s="1" t="s">
        <v>1810</v>
      </c>
    </row>
    <row r="346" spans="1:2" x14ac:dyDescent="0.3">
      <c r="A346" s="1" t="s">
        <v>1811</v>
      </c>
      <c r="B346" s="1" t="s">
        <v>1812</v>
      </c>
    </row>
    <row r="347" spans="1:2" x14ac:dyDescent="0.3">
      <c r="A347" s="1" t="s">
        <v>1813</v>
      </c>
      <c r="B347" s="1" t="s">
        <v>1814</v>
      </c>
    </row>
    <row r="348" spans="1:2" x14ac:dyDescent="0.3">
      <c r="A348" s="1" t="s">
        <v>1815</v>
      </c>
      <c r="B348" s="1" t="s">
        <v>1816</v>
      </c>
    </row>
    <row r="349" spans="1:2" x14ac:dyDescent="0.3">
      <c r="A349" s="1" t="s">
        <v>1817</v>
      </c>
      <c r="B349" s="1" t="s">
        <v>1818</v>
      </c>
    </row>
    <row r="350" spans="1:2" x14ac:dyDescent="0.3">
      <c r="A350" s="1" t="s">
        <v>1819</v>
      </c>
      <c r="B350" s="1" t="s">
        <v>1820</v>
      </c>
    </row>
    <row r="351" spans="1:2" x14ac:dyDescent="0.3">
      <c r="A351" s="1" t="s">
        <v>1821</v>
      </c>
      <c r="B351" s="1" t="s">
        <v>1822</v>
      </c>
    </row>
    <row r="352" spans="1:2" x14ac:dyDescent="0.3">
      <c r="A352" s="1" t="s">
        <v>1823</v>
      </c>
      <c r="B352" s="1" t="s">
        <v>1824</v>
      </c>
    </row>
    <row r="353" spans="1:2" x14ac:dyDescent="0.3">
      <c r="A353" s="1" t="s">
        <v>1825</v>
      </c>
      <c r="B353" s="1" t="s">
        <v>1826</v>
      </c>
    </row>
    <row r="354" spans="1:2" x14ac:dyDescent="0.3">
      <c r="A354" s="1" t="s">
        <v>1827</v>
      </c>
      <c r="B354" s="1" t="s">
        <v>1828</v>
      </c>
    </row>
    <row r="355" spans="1:2" x14ac:dyDescent="0.3">
      <c r="A355" s="1" t="s">
        <v>1829</v>
      </c>
      <c r="B355" s="1" t="s">
        <v>1830</v>
      </c>
    </row>
    <row r="356" spans="1:2" x14ac:dyDescent="0.3">
      <c r="A356" s="1" t="s">
        <v>1831</v>
      </c>
      <c r="B356" s="1" t="s">
        <v>1832</v>
      </c>
    </row>
    <row r="357" spans="1:2" x14ac:dyDescent="0.3">
      <c r="A357" s="1" t="s">
        <v>1833</v>
      </c>
      <c r="B357" s="1" t="s">
        <v>1834</v>
      </c>
    </row>
    <row r="358" spans="1:2" x14ac:dyDescent="0.3">
      <c r="A358" s="1" t="s">
        <v>1835</v>
      </c>
      <c r="B358" s="1" t="s">
        <v>1836</v>
      </c>
    </row>
    <row r="359" spans="1:2" x14ac:dyDescent="0.3">
      <c r="A359" s="1" t="s">
        <v>1837</v>
      </c>
      <c r="B359" s="1" t="s">
        <v>1838</v>
      </c>
    </row>
    <row r="360" spans="1:2" x14ac:dyDescent="0.3">
      <c r="A360" s="1" t="s">
        <v>1839</v>
      </c>
      <c r="B360" s="1" t="s">
        <v>1840</v>
      </c>
    </row>
    <row r="361" spans="1:2" x14ac:dyDescent="0.3">
      <c r="A361" s="1" t="s">
        <v>1841</v>
      </c>
      <c r="B361" s="1" t="s">
        <v>1842</v>
      </c>
    </row>
    <row r="362" spans="1:2" x14ac:dyDescent="0.3">
      <c r="A362" s="1" t="s">
        <v>1843</v>
      </c>
      <c r="B362" s="1" t="s">
        <v>1844</v>
      </c>
    </row>
    <row r="363" spans="1:2" x14ac:dyDescent="0.3">
      <c r="A363" s="1" t="s">
        <v>1845</v>
      </c>
      <c r="B363" s="1" t="s">
        <v>1846</v>
      </c>
    </row>
    <row r="364" spans="1:2" x14ac:dyDescent="0.3">
      <c r="A364" s="1" t="s">
        <v>1847</v>
      </c>
      <c r="B364" s="1" t="s">
        <v>1848</v>
      </c>
    </row>
    <row r="365" spans="1:2" x14ac:dyDescent="0.3">
      <c r="A365" s="1" t="s">
        <v>1849</v>
      </c>
      <c r="B365" s="1" t="s">
        <v>1850</v>
      </c>
    </row>
    <row r="366" spans="1:2" x14ac:dyDescent="0.3">
      <c r="A366" s="1" t="s">
        <v>1851</v>
      </c>
      <c r="B366" s="1" t="s">
        <v>1852</v>
      </c>
    </row>
    <row r="367" spans="1:2" x14ac:dyDescent="0.3">
      <c r="A367" s="1" t="s">
        <v>1853</v>
      </c>
      <c r="B367" s="1" t="s">
        <v>1854</v>
      </c>
    </row>
    <row r="368" spans="1:2" x14ac:dyDescent="0.3">
      <c r="A368" s="1" t="s">
        <v>1855</v>
      </c>
      <c r="B368" s="1" t="s">
        <v>1856</v>
      </c>
    </row>
    <row r="369" spans="1:2" x14ac:dyDescent="0.3">
      <c r="A369" s="1" t="s">
        <v>1857</v>
      </c>
      <c r="B369" s="1" t="s">
        <v>1858</v>
      </c>
    </row>
    <row r="370" spans="1:2" x14ac:dyDescent="0.3">
      <c r="A370" s="1" t="s">
        <v>1859</v>
      </c>
      <c r="B370" s="1" t="s">
        <v>1860</v>
      </c>
    </row>
    <row r="371" spans="1:2" x14ac:dyDescent="0.3">
      <c r="A371" s="1" t="s">
        <v>1861</v>
      </c>
      <c r="B371" s="1" t="s">
        <v>1862</v>
      </c>
    </row>
    <row r="372" spans="1:2" x14ac:dyDescent="0.3">
      <c r="A372" s="1" t="s">
        <v>1863</v>
      </c>
      <c r="B372" s="1" t="s">
        <v>1864</v>
      </c>
    </row>
    <row r="373" spans="1:2" x14ac:dyDescent="0.3">
      <c r="A373" s="1" t="s">
        <v>1865</v>
      </c>
      <c r="B373" s="1" t="s">
        <v>1866</v>
      </c>
    </row>
    <row r="374" spans="1:2" x14ac:dyDescent="0.3">
      <c r="A374" s="1" t="s">
        <v>1867</v>
      </c>
      <c r="B374" s="1" t="s">
        <v>1868</v>
      </c>
    </row>
    <row r="375" spans="1:2" x14ac:dyDescent="0.3">
      <c r="A375" s="1" t="s">
        <v>1869</v>
      </c>
      <c r="B375" s="1" t="s">
        <v>1870</v>
      </c>
    </row>
    <row r="376" spans="1:2" x14ac:dyDescent="0.3">
      <c r="A376" s="1" t="s">
        <v>1871</v>
      </c>
      <c r="B376" s="1" t="s">
        <v>1872</v>
      </c>
    </row>
    <row r="377" spans="1:2" x14ac:dyDescent="0.3">
      <c r="A377" s="1" t="s">
        <v>1873</v>
      </c>
      <c r="B377" s="1" t="s">
        <v>1874</v>
      </c>
    </row>
    <row r="378" spans="1:2" x14ac:dyDescent="0.3">
      <c r="A378" s="1" t="s">
        <v>1875</v>
      </c>
      <c r="B378" s="1" t="s">
        <v>1876</v>
      </c>
    </row>
    <row r="379" spans="1:2" x14ac:dyDescent="0.3">
      <c r="A379" s="1" t="s">
        <v>1877</v>
      </c>
      <c r="B379" s="1" t="s">
        <v>1878</v>
      </c>
    </row>
    <row r="380" spans="1:2" x14ac:dyDescent="0.3">
      <c r="A380" s="1" t="s">
        <v>1879</v>
      </c>
      <c r="B380" s="1" t="s">
        <v>1880</v>
      </c>
    </row>
    <row r="381" spans="1:2" x14ac:dyDescent="0.3">
      <c r="A381" s="1" t="s">
        <v>1881</v>
      </c>
      <c r="B381" s="1" t="s">
        <v>1882</v>
      </c>
    </row>
    <row r="382" spans="1:2" x14ac:dyDescent="0.3">
      <c r="A382" s="1" t="s">
        <v>1883</v>
      </c>
      <c r="B382" s="1" t="s">
        <v>1884</v>
      </c>
    </row>
    <row r="383" spans="1:2" x14ac:dyDescent="0.3">
      <c r="A383" s="1" t="s">
        <v>1885</v>
      </c>
      <c r="B383" s="1" t="s">
        <v>1886</v>
      </c>
    </row>
    <row r="384" spans="1:2" x14ac:dyDescent="0.3">
      <c r="A384" s="1" t="s">
        <v>1887</v>
      </c>
      <c r="B384" s="1" t="s">
        <v>1888</v>
      </c>
    </row>
    <row r="385" spans="1:2" x14ac:dyDescent="0.3">
      <c r="A385" s="1" t="s">
        <v>1889</v>
      </c>
      <c r="B385" s="1" t="s">
        <v>1890</v>
      </c>
    </row>
    <row r="386" spans="1:2" x14ac:dyDescent="0.3">
      <c r="A386" s="1" t="s">
        <v>1891</v>
      </c>
      <c r="B386" s="1" t="s">
        <v>1892</v>
      </c>
    </row>
    <row r="387" spans="1:2" x14ac:dyDescent="0.3">
      <c r="A387" s="1" t="s">
        <v>1893</v>
      </c>
      <c r="B387" s="1" t="s">
        <v>1894</v>
      </c>
    </row>
    <row r="388" spans="1:2" x14ac:dyDescent="0.3">
      <c r="A388" s="1" t="s">
        <v>1895</v>
      </c>
      <c r="B388" s="1" t="s">
        <v>1896</v>
      </c>
    </row>
    <row r="389" spans="1:2" x14ac:dyDescent="0.3">
      <c r="A389" s="1" t="s">
        <v>1897</v>
      </c>
      <c r="B389" s="1" t="s">
        <v>1898</v>
      </c>
    </row>
    <row r="390" spans="1:2" x14ac:dyDescent="0.3">
      <c r="A390" s="1" t="s">
        <v>1899</v>
      </c>
      <c r="B390" s="1" t="s">
        <v>1900</v>
      </c>
    </row>
    <row r="391" spans="1:2" x14ac:dyDescent="0.3">
      <c r="A391" s="1" t="s">
        <v>1901</v>
      </c>
      <c r="B391" s="1" t="s">
        <v>1902</v>
      </c>
    </row>
    <row r="392" spans="1:2" x14ac:dyDescent="0.3">
      <c r="A392" s="1" t="s">
        <v>1903</v>
      </c>
      <c r="B392" s="1" t="s">
        <v>1904</v>
      </c>
    </row>
    <row r="393" spans="1:2" x14ac:dyDescent="0.3">
      <c r="A393" s="1" t="s">
        <v>1905</v>
      </c>
      <c r="B393" s="1" t="s">
        <v>1906</v>
      </c>
    </row>
    <row r="394" spans="1:2" x14ac:dyDescent="0.3">
      <c r="A394" s="1" t="s">
        <v>1907</v>
      </c>
      <c r="B394" s="1" t="s">
        <v>1908</v>
      </c>
    </row>
    <row r="395" spans="1:2" x14ac:dyDescent="0.3">
      <c r="A395" s="1" t="s">
        <v>1909</v>
      </c>
      <c r="B395" s="1" t="s">
        <v>1910</v>
      </c>
    </row>
    <row r="396" spans="1:2" x14ac:dyDescent="0.3">
      <c r="A396" s="1" t="s">
        <v>1911</v>
      </c>
      <c r="B396" s="1" t="s">
        <v>1912</v>
      </c>
    </row>
    <row r="397" spans="1:2" x14ac:dyDescent="0.3">
      <c r="A397" s="1" t="s">
        <v>1913</v>
      </c>
      <c r="B397" s="1" t="s">
        <v>1914</v>
      </c>
    </row>
    <row r="398" spans="1:2" x14ac:dyDescent="0.3">
      <c r="A398" s="1" t="s">
        <v>1915</v>
      </c>
      <c r="B398" s="1" t="s">
        <v>1916</v>
      </c>
    </row>
    <row r="399" spans="1:2" x14ac:dyDescent="0.3">
      <c r="A399" s="1" t="s">
        <v>1917</v>
      </c>
      <c r="B399" s="1" t="s">
        <v>1918</v>
      </c>
    </row>
    <row r="400" spans="1:2" x14ac:dyDescent="0.3">
      <c r="A400" s="1" t="s">
        <v>1919</v>
      </c>
      <c r="B400" s="1" t="s">
        <v>1920</v>
      </c>
    </row>
    <row r="401" spans="1:2" x14ac:dyDescent="0.3">
      <c r="A401" s="1" t="s">
        <v>1921</v>
      </c>
      <c r="B401" s="1" t="s">
        <v>1922</v>
      </c>
    </row>
    <row r="402" spans="1:2" x14ac:dyDescent="0.3">
      <c r="A402" s="1" t="s">
        <v>1923</v>
      </c>
      <c r="B402" s="1" t="s">
        <v>1924</v>
      </c>
    </row>
    <row r="403" spans="1:2" x14ac:dyDescent="0.3">
      <c r="A403" s="1" t="s">
        <v>1925</v>
      </c>
      <c r="B403" s="1" t="s">
        <v>1926</v>
      </c>
    </row>
    <row r="404" spans="1:2" x14ac:dyDescent="0.3">
      <c r="A404" s="1" t="s">
        <v>1927</v>
      </c>
      <c r="B404" s="1" t="s">
        <v>1928</v>
      </c>
    </row>
    <row r="405" spans="1:2" x14ac:dyDescent="0.3">
      <c r="A405" s="1" t="s">
        <v>1929</v>
      </c>
      <c r="B405" s="1" t="s">
        <v>1930</v>
      </c>
    </row>
    <row r="406" spans="1:2" x14ac:dyDescent="0.3">
      <c r="A406" s="1" t="s">
        <v>1931</v>
      </c>
      <c r="B406" s="1" t="s">
        <v>1932</v>
      </c>
    </row>
    <row r="407" spans="1:2" x14ac:dyDescent="0.3">
      <c r="A407" s="1" t="s">
        <v>1933</v>
      </c>
      <c r="B407" s="1" t="s">
        <v>1934</v>
      </c>
    </row>
    <row r="408" spans="1:2" x14ac:dyDescent="0.3">
      <c r="A408" s="1" t="s">
        <v>1935</v>
      </c>
      <c r="B408" s="1" t="s">
        <v>1936</v>
      </c>
    </row>
    <row r="409" spans="1:2" x14ac:dyDescent="0.3">
      <c r="A409" s="1" t="s">
        <v>1937</v>
      </c>
      <c r="B409" s="1" t="s">
        <v>1938</v>
      </c>
    </row>
    <row r="410" spans="1:2" x14ac:dyDescent="0.3">
      <c r="A410" s="1" t="s">
        <v>1939</v>
      </c>
      <c r="B410" s="1" t="s">
        <v>1940</v>
      </c>
    </row>
    <row r="411" spans="1:2" x14ac:dyDescent="0.3">
      <c r="A411" s="1" t="s">
        <v>1941</v>
      </c>
      <c r="B411" s="1" t="s">
        <v>1942</v>
      </c>
    </row>
    <row r="412" spans="1:2" x14ac:dyDescent="0.3">
      <c r="A412" s="1" t="s">
        <v>1943</v>
      </c>
      <c r="B412" s="1" t="s">
        <v>1944</v>
      </c>
    </row>
    <row r="413" spans="1:2" x14ac:dyDescent="0.3">
      <c r="A413" s="1" t="s">
        <v>1945</v>
      </c>
      <c r="B413" s="1" t="s">
        <v>1946</v>
      </c>
    </row>
    <row r="414" spans="1:2" x14ac:dyDescent="0.3">
      <c r="A414" s="1" t="s">
        <v>1947</v>
      </c>
      <c r="B414" s="1" t="s">
        <v>1948</v>
      </c>
    </row>
    <row r="415" spans="1:2" x14ac:dyDescent="0.3">
      <c r="A415" s="1" t="s">
        <v>1949</v>
      </c>
      <c r="B415" s="1" t="s">
        <v>1950</v>
      </c>
    </row>
    <row r="416" spans="1:2" x14ac:dyDescent="0.3">
      <c r="A416" s="1" t="s">
        <v>1951</v>
      </c>
      <c r="B416" s="1" t="s">
        <v>1952</v>
      </c>
    </row>
    <row r="417" spans="1:2" x14ac:dyDescent="0.3">
      <c r="A417" s="1" t="s">
        <v>1953</v>
      </c>
      <c r="B417" s="1" t="s">
        <v>1954</v>
      </c>
    </row>
    <row r="418" spans="1:2" x14ac:dyDescent="0.3">
      <c r="A418" s="1" t="s">
        <v>1955</v>
      </c>
      <c r="B418" s="1" t="s">
        <v>1956</v>
      </c>
    </row>
    <row r="419" spans="1:2" x14ac:dyDescent="0.3">
      <c r="A419" s="1" t="s">
        <v>1957</v>
      </c>
      <c r="B419" s="1" t="s">
        <v>1958</v>
      </c>
    </row>
    <row r="420" spans="1:2" x14ac:dyDescent="0.3">
      <c r="A420" s="1" t="s">
        <v>1959</v>
      </c>
      <c r="B420" s="1" t="s">
        <v>1960</v>
      </c>
    </row>
    <row r="421" spans="1:2" x14ac:dyDescent="0.3">
      <c r="A421" s="1" t="s">
        <v>1961</v>
      </c>
      <c r="B421" s="1" t="s">
        <v>1962</v>
      </c>
    </row>
    <row r="422" spans="1:2" x14ac:dyDescent="0.3">
      <c r="A422" s="1" t="s">
        <v>1963</v>
      </c>
      <c r="B422" s="1" t="s">
        <v>1964</v>
      </c>
    </row>
    <row r="423" spans="1:2" x14ac:dyDescent="0.3">
      <c r="A423" s="1" t="s">
        <v>1965</v>
      </c>
      <c r="B423" s="1" t="s">
        <v>1966</v>
      </c>
    </row>
    <row r="424" spans="1:2" x14ac:dyDescent="0.3">
      <c r="A424" s="1" t="s">
        <v>1967</v>
      </c>
      <c r="B424" s="1" t="s">
        <v>1968</v>
      </c>
    </row>
    <row r="425" spans="1:2" x14ac:dyDescent="0.3">
      <c r="A425" s="1" t="s">
        <v>1969</v>
      </c>
      <c r="B425" s="1" t="s">
        <v>1970</v>
      </c>
    </row>
    <row r="426" spans="1:2" x14ac:dyDescent="0.3">
      <c r="A426" s="1" t="s">
        <v>1971</v>
      </c>
      <c r="B426" s="1" t="s">
        <v>1972</v>
      </c>
    </row>
    <row r="427" spans="1:2" x14ac:dyDescent="0.3">
      <c r="A427" s="1" t="s">
        <v>1973</v>
      </c>
      <c r="B427" s="1" t="s">
        <v>1974</v>
      </c>
    </row>
    <row r="428" spans="1:2" x14ac:dyDescent="0.3">
      <c r="A428" s="1" t="s">
        <v>1975</v>
      </c>
      <c r="B428" s="1" t="s">
        <v>1976</v>
      </c>
    </row>
    <row r="429" spans="1:2" x14ac:dyDescent="0.3">
      <c r="A429" s="1" t="s">
        <v>1977</v>
      </c>
      <c r="B429" s="1" t="s">
        <v>1978</v>
      </c>
    </row>
    <row r="430" spans="1:2" x14ac:dyDescent="0.3">
      <c r="A430" s="1" t="s">
        <v>1979</v>
      </c>
      <c r="B430" s="1" t="s">
        <v>1980</v>
      </c>
    </row>
    <row r="431" spans="1:2" x14ac:dyDescent="0.3">
      <c r="A431" s="1" t="s">
        <v>1981</v>
      </c>
      <c r="B431" s="1" t="s">
        <v>1982</v>
      </c>
    </row>
    <row r="432" spans="1:2" x14ac:dyDescent="0.3">
      <c r="A432" s="1" t="s">
        <v>1983</v>
      </c>
      <c r="B432" s="1" t="s">
        <v>1984</v>
      </c>
    </row>
    <row r="433" spans="1:2" x14ac:dyDescent="0.3">
      <c r="A433" s="1" t="s">
        <v>1985</v>
      </c>
      <c r="B433" s="1" t="s">
        <v>1986</v>
      </c>
    </row>
    <row r="434" spans="1:2" x14ac:dyDescent="0.3">
      <c r="A434" s="1" t="s">
        <v>1987</v>
      </c>
      <c r="B434" s="1" t="s">
        <v>1988</v>
      </c>
    </row>
    <row r="435" spans="1:2" x14ac:dyDescent="0.3">
      <c r="A435" s="1" t="s">
        <v>1989</v>
      </c>
      <c r="B435" s="1" t="s">
        <v>1990</v>
      </c>
    </row>
    <row r="436" spans="1:2" x14ac:dyDescent="0.3">
      <c r="A436" s="1" t="s">
        <v>1991</v>
      </c>
      <c r="B436" s="1" t="s">
        <v>1992</v>
      </c>
    </row>
    <row r="437" spans="1:2" x14ac:dyDescent="0.3">
      <c r="A437" s="1" t="s">
        <v>1993</v>
      </c>
      <c r="B437" s="1" t="s">
        <v>1994</v>
      </c>
    </row>
    <row r="438" spans="1:2" x14ac:dyDescent="0.3">
      <c r="A438" s="1" t="s">
        <v>1995</v>
      </c>
      <c r="B438" s="1" t="s">
        <v>1996</v>
      </c>
    </row>
    <row r="439" spans="1:2" x14ac:dyDescent="0.3">
      <c r="A439" s="1" t="s">
        <v>1997</v>
      </c>
      <c r="B439" s="1" t="s">
        <v>1998</v>
      </c>
    </row>
    <row r="440" spans="1:2" x14ac:dyDescent="0.3">
      <c r="A440" s="1" t="s">
        <v>1999</v>
      </c>
      <c r="B440" s="1" t="s">
        <v>2000</v>
      </c>
    </row>
    <row r="441" spans="1:2" x14ac:dyDescent="0.3">
      <c r="A441" s="1" t="s">
        <v>2001</v>
      </c>
      <c r="B441" s="1" t="s">
        <v>2002</v>
      </c>
    </row>
    <row r="442" spans="1:2" x14ac:dyDescent="0.3">
      <c r="A442" s="1" t="s">
        <v>2003</v>
      </c>
      <c r="B442" s="1" t="s">
        <v>2004</v>
      </c>
    </row>
    <row r="443" spans="1:2" x14ac:dyDescent="0.3">
      <c r="A443" s="1" t="s">
        <v>2005</v>
      </c>
      <c r="B443" s="1" t="s">
        <v>2006</v>
      </c>
    </row>
    <row r="444" spans="1:2" x14ac:dyDescent="0.3">
      <c r="A444" s="1" t="s">
        <v>2007</v>
      </c>
      <c r="B444" s="1" t="s">
        <v>2008</v>
      </c>
    </row>
    <row r="445" spans="1:2" x14ac:dyDescent="0.3">
      <c r="A445" s="1" t="s">
        <v>2009</v>
      </c>
      <c r="B445" s="1" t="s">
        <v>2010</v>
      </c>
    </row>
    <row r="446" spans="1:2" x14ac:dyDescent="0.3">
      <c r="A446" s="1" t="s">
        <v>2011</v>
      </c>
      <c r="B446" s="1" t="s">
        <v>2012</v>
      </c>
    </row>
    <row r="447" spans="1:2" x14ac:dyDescent="0.3">
      <c r="A447" s="1" t="s">
        <v>2013</v>
      </c>
      <c r="B447" s="1" t="s">
        <v>2014</v>
      </c>
    </row>
    <row r="448" spans="1:2" x14ac:dyDescent="0.3">
      <c r="A448" s="1" t="s">
        <v>2015</v>
      </c>
      <c r="B448" s="1" t="s">
        <v>2016</v>
      </c>
    </row>
    <row r="449" spans="1:2" x14ac:dyDescent="0.3">
      <c r="A449" s="1" t="s">
        <v>2017</v>
      </c>
      <c r="B449" s="1" t="s">
        <v>2018</v>
      </c>
    </row>
    <row r="450" spans="1:2" x14ac:dyDescent="0.3">
      <c r="A450" s="1" t="s">
        <v>2019</v>
      </c>
      <c r="B450" s="1" t="s">
        <v>2020</v>
      </c>
    </row>
    <row r="451" spans="1:2" x14ac:dyDescent="0.3">
      <c r="A451" s="1" t="s">
        <v>2021</v>
      </c>
      <c r="B451" s="1" t="s">
        <v>2022</v>
      </c>
    </row>
    <row r="452" spans="1:2" x14ac:dyDescent="0.3">
      <c r="A452" s="1" t="s">
        <v>2023</v>
      </c>
      <c r="B452" s="1" t="s">
        <v>2024</v>
      </c>
    </row>
    <row r="453" spans="1:2" x14ac:dyDescent="0.3">
      <c r="A453" s="1" t="s">
        <v>2025</v>
      </c>
      <c r="B453" s="1" t="s">
        <v>2026</v>
      </c>
    </row>
    <row r="454" spans="1:2" x14ac:dyDescent="0.3">
      <c r="A454" s="1" t="s">
        <v>2027</v>
      </c>
      <c r="B454" s="1" t="s">
        <v>2028</v>
      </c>
    </row>
    <row r="455" spans="1:2" x14ac:dyDescent="0.3">
      <c r="A455" s="1" t="s">
        <v>2029</v>
      </c>
      <c r="B455" s="1" t="s">
        <v>2030</v>
      </c>
    </row>
    <row r="456" spans="1:2" x14ac:dyDescent="0.3">
      <c r="A456" s="1" t="s">
        <v>2031</v>
      </c>
      <c r="B456" s="1" t="s">
        <v>2032</v>
      </c>
    </row>
    <row r="457" spans="1:2" x14ac:dyDescent="0.3">
      <c r="A457" s="1" t="s">
        <v>2033</v>
      </c>
      <c r="B457" s="1" t="s">
        <v>2034</v>
      </c>
    </row>
    <row r="458" spans="1:2" x14ac:dyDescent="0.3">
      <c r="A458" s="1" t="s">
        <v>2035</v>
      </c>
      <c r="B458" s="1" t="s">
        <v>2036</v>
      </c>
    </row>
    <row r="459" spans="1:2" x14ac:dyDescent="0.3">
      <c r="A459" s="1" t="s">
        <v>2037</v>
      </c>
      <c r="B459" s="1" t="s">
        <v>2038</v>
      </c>
    </row>
    <row r="460" spans="1:2" x14ac:dyDescent="0.3">
      <c r="A460" s="1" t="s">
        <v>2039</v>
      </c>
      <c r="B460" s="1" t="s">
        <v>2040</v>
      </c>
    </row>
    <row r="461" spans="1:2" x14ac:dyDescent="0.3">
      <c r="A461" s="1" t="s">
        <v>2041</v>
      </c>
      <c r="B461" s="1" t="s">
        <v>2042</v>
      </c>
    </row>
    <row r="462" spans="1:2" x14ac:dyDescent="0.3">
      <c r="A462" s="1" t="s">
        <v>2043</v>
      </c>
      <c r="B462" s="1" t="s">
        <v>2044</v>
      </c>
    </row>
    <row r="463" spans="1:2" x14ac:dyDescent="0.3">
      <c r="A463" s="1" t="s">
        <v>2045</v>
      </c>
      <c r="B463" s="1" t="s">
        <v>2046</v>
      </c>
    </row>
    <row r="464" spans="1:2" x14ac:dyDescent="0.3">
      <c r="A464" s="1" t="s">
        <v>2047</v>
      </c>
      <c r="B464" s="1" t="s">
        <v>2048</v>
      </c>
    </row>
    <row r="465" spans="1:2" x14ac:dyDescent="0.3">
      <c r="A465" s="1" t="s">
        <v>2049</v>
      </c>
      <c r="B465" s="1" t="s">
        <v>2050</v>
      </c>
    </row>
    <row r="466" spans="1:2" x14ac:dyDescent="0.3">
      <c r="A466" s="1" t="s">
        <v>2051</v>
      </c>
      <c r="B466" s="1" t="s">
        <v>2052</v>
      </c>
    </row>
    <row r="467" spans="1:2" x14ac:dyDescent="0.3">
      <c r="A467" s="1" t="s">
        <v>2053</v>
      </c>
      <c r="B467" s="1" t="s">
        <v>2054</v>
      </c>
    </row>
    <row r="468" spans="1:2" x14ac:dyDescent="0.3">
      <c r="A468" s="1" t="s">
        <v>2055</v>
      </c>
      <c r="B468" s="1" t="s">
        <v>2056</v>
      </c>
    </row>
    <row r="469" spans="1:2" x14ac:dyDescent="0.3">
      <c r="A469" s="1" t="s">
        <v>2057</v>
      </c>
      <c r="B469" s="1" t="s">
        <v>2058</v>
      </c>
    </row>
    <row r="470" spans="1:2" x14ac:dyDescent="0.3">
      <c r="A470" s="1" t="s">
        <v>2059</v>
      </c>
      <c r="B470" s="1" t="s">
        <v>2060</v>
      </c>
    </row>
    <row r="471" spans="1:2" x14ac:dyDescent="0.3">
      <c r="A471" s="1" t="s">
        <v>2061</v>
      </c>
      <c r="B471" s="1" t="s">
        <v>2062</v>
      </c>
    </row>
    <row r="472" spans="1:2" x14ac:dyDescent="0.3">
      <c r="A472" s="1" t="s">
        <v>2063</v>
      </c>
      <c r="B472" s="1" t="s">
        <v>2064</v>
      </c>
    </row>
    <row r="473" spans="1:2" x14ac:dyDescent="0.3">
      <c r="A473" s="1" t="s">
        <v>2065</v>
      </c>
      <c r="B473" s="1" t="s">
        <v>2066</v>
      </c>
    </row>
    <row r="474" spans="1:2" x14ac:dyDescent="0.3">
      <c r="A474" s="1" t="s">
        <v>2067</v>
      </c>
      <c r="B474" s="1" t="s">
        <v>2068</v>
      </c>
    </row>
    <row r="475" spans="1:2" x14ac:dyDescent="0.3">
      <c r="A475" s="1" t="s">
        <v>2069</v>
      </c>
      <c r="B475" s="1" t="s">
        <v>2070</v>
      </c>
    </row>
    <row r="476" spans="1:2" x14ac:dyDescent="0.3">
      <c r="A476" s="1" t="s">
        <v>2071</v>
      </c>
      <c r="B476" s="1" t="s">
        <v>2072</v>
      </c>
    </row>
    <row r="477" spans="1:2" x14ac:dyDescent="0.3">
      <c r="A477" s="1" t="s">
        <v>2073</v>
      </c>
      <c r="B477" s="1" t="s">
        <v>2074</v>
      </c>
    </row>
    <row r="478" spans="1:2" x14ac:dyDescent="0.3">
      <c r="A478" s="1" t="s">
        <v>2075</v>
      </c>
      <c r="B478" s="1" t="s">
        <v>2076</v>
      </c>
    </row>
    <row r="479" spans="1:2" x14ac:dyDescent="0.3">
      <c r="A479" s="1" t="s">
        <v>2077</v>
      </c>
      <c r="B479" s="1" t="s">
        <v>2078</v>
      </c>
    </row>
    <row r="480" spans="1:2" x14ac:dyDescent="0.3">
      <c r="A480" s="1" t="s">
        <v>2079</v>
      </c>
      <c r="B480" s="1" t="s">
        <v>2080</v>
      </c>
    </row>
    <row r="481" spans="1:2" x14ac:dyDescent="0.3">
      <c r="A481" s="1" t="s">
        <v>2081</v>
      </c>
      <c r="B481" s="1" t="s">
        <v>2082</v>
      </c>
    </row>
    <row r="482" spans="1:2" x14ac:dyDescent="0.3">
      <c r="A482" s="1" t="s">
        <v>2083</v>
      </c>
      <c r="B482" s="1" t="s">
        <v>2084</v>
      </c>
    </row>
    <row r="483" spans="1:2" x14ac:dyDescent="0.3">
      <c r="A483" s="1" t="s">
        <v>2085</v>
      </c>
      <c r="B483" s="1" t="s">
        <v>2086</v>
      </c>
    </row>
    <row r="484" spans="1:2" x14ac:dyDescent="0.3">
      <c r="A484" s="1" t="s">
        <v>2087</v>
      </c>
      <c r="B484" s="1" t="s">
        <v>2088</v>
      </c>
    </row>
    <row r="485" spans="1:2" x14ac:dyDescent="0.3">
      <c r="A485" s="1" t="s">
        <v>2089</v>
      </c>
      <c r="B485" s="1" t="s">
        <v>2090</v>
      </c>
    </row>
    <row r="486" spans="1:2" x14ac:dyDescent="0.3">
      <c r="A486" s="1" t="s">
        <v>2091</v>
      </c>
      <c r="B486" s="1" t="s">
        <v>2092</v>
      </c>
    </row>
    <row r="487" spans="1:2" x14ac:dyDescent="0.3">
      <c r="A487" s="1" t="s">
        <v>2093</v>
      </c>
      <c r="B487" s="1" t="s">
        <v>2094</v>
      </c>
    </row>
    <row r="488" spans="1:2" x14ac:dyDescent="0.3">
      <c r="A488" s="1" t="s">
        <v>2095</v>
      </c>
      <c r="B488" s="1" t="s">
        <v>2096</v>
      </c>
    </row>
    <row r="489" spans="1:2" x14ac:dyDescent="0.3">
      <c r="A489" s="1" t="s">
        <v>2097</v>
      </c>
      <c r="B489" s="1" t="s">
        <v>2098</v>
      </c>
    </row>
    <row r="490" spans="1:2" x14ac:dyDescent="0.3">
      <c r="A490" s="1" t="s">
        <v>2099</v>
      </c>
      <c r="B490" s="1" t="s">
        <v>2100</v>
      </c>
    </row>
    <row r="491" spans="1:2" x14ac:dyDescent="0.3">
      <c r="A491" s="1" t="s">
        <v>2101</v>
      </c>
      <c r="B491" s="1" t="s">
        <v>2102</v>
      </c>
    </row>
    <row r="492" spans="1:2" x14ac:dyDescent="0.3">
      <c r="A492" s="1" t="s">
        <v>2103</v>
      </c>
      <c r="B492" s="1" t="s">
        <v>2104</v>
      </c>
    </row>
    <row r="493" spans="1:2" x14ac:dyDescent="0.3">
      <c r="A493" s="1" t="s">
        <v>2105</v>
      </c>
      <c r="B493" s="1" t="s">
        <v>2106</v>
      </c>
    </row>
    <row r="494" spans="1:2" x14ac:dyDescent="0.3">
      <c r="A494" s="1" t="s">
        <v>2107</v>
      </c>
      <c r="B494" s="1" t="s">
        <v>2108</v>
      </c>
    </row>
    <row r="495" spans="1:2" x14ac:dyDescent="0.3">
      <c r="A495" s="1" t="s">
        <v>2109</v>
      </c>
      <c r="B495" s="1" t="s">
        <v>2110</v>
      </c>
    </row>
    <row r="496" spans="1:2" x14ac:dyDescent="0.3">
      <c r="A496" s="1" t="s">
        <v>2111</v>
      </c>
      <c r="B496" s="1" t="s">
        <v>2112</v>
      </c>
    </row>
    <row r="497" spans="1:2" x14ac:dyDescent="0.3">
      <c r="A497" s="1" t="s">
        <v>2113</v>
      </c>
      <c r="B497" s="1" t="s">
        <v>2114</v>
      </c>
    </row>
    <row r="498" spans="1:2" x14ac:dyDescent="0.3">
      <c r="A498" s="1" t="s">
        <v>2115</v>
      </c>
      <c r="B498" s="1" t="s">
        <v>2116</v>
      </c>
    </row>
    <row r="499" spans="1:2" x14ac:dyDescent="0.3">
      <c r="A499" s="1" t="s">
        <v>2117</v>
      </c>
      <c r="B499" s="1" t="s">
        <v>2118</v>
      </c>
    </row>
    <row r="500" spans="1:2" x14ac:dyDescent="0.3">
      <c r="A500" s="1" t="s">
        <v>2119</v>
      </c>
      <c r="B500" s="1" t="s">
        <v>2120</v>
      </c>
    </row>
    <row r="501" spans="1:2" x14ac:dyDescent="0.3">
      <c r="A501" s="1" t="s">
        <v>2121</v>
      </c>
      <c r="B501" s="1" t="s">
        <v>2122</v>
      </c>
    </row>
    <row r="502" spans="1:2" x14ac:dyDescent="0.3">
      <c r="A502" s="1" t="s">
        <v>2123</v>
      </c>
      <c r="B502" s="1" t="s">
        <v>2124</v>
      </c>
    </row>
    <row r="503" spans="1:2" x14ac:dyDescent="0.3">
      <c r="A503" s="1" t="s">
        <v>2125</v>
      </c>
      <c r="B503" s="1" t="s">
        <v>2126</v>
      </c>
    </row>
    <row r="504" spans="1:2" x14ac:dyDescent="0.3">
      <c r="A504" s="1" t="s">
        <v>2127</v>
      </c>
      <c r="B504" s="1" t="s">
        <v>2128</v>
      </c>
    </row>
    <row r="505" spans="1:2" x14ac:dyDescent="0.3">
      <c r="A505" s="1" t="s">
        <v>2129</v>
      </c>
      <c r="B505" s="1" t="s">
        <v>2130</v>
      </c>
    </row>
    <row r="506" spans="1:2" x14ac:dyDescent="0.3">
      <c r="A506" s="1" t="s">
        <v>2131</v>
      </c>
      <c r="B506" s="1" t="s">
        <v>2132</v>
      </c>
    </row>
    <row r="507" spans="1:2" x14ac:dyDescent="0.3">
      <c r="A507" s="1" t="s">
        <v>2133</v>
      </c>
      <c r="B507" s="1" t="s">
        <v>2134</v>
      </c>
    </row>
    <row r="508" spans="1:2" x14ac:dyDescent="0.3">
      <c r="A508" s="1" t="s">
        <v>2135</v>
      </c>
      <c r="B508" s="1" t="s">
        <v>2136</v>
      </c>
    </row>
    <row r="509" spans="1:2" x14ac:dyDescent="0.3">
      <c r="A509" s="1" t="s">
        <v>2137</v>
      </c>
      <c r="B509" s="1" t="s">
        <v>2138</v>
      </c>
    </row>
    <row r="510" spans="1:2" x14ac:dyDescent="0.3">
      <c r="A510" s="1" t="s">
        <v>2139</v>
      </c>
      <c r="B510" s="1" t="s">
        <v>2140</v>
      </c>
    </row>
    <row r="511" spans="1:2" x14ac:dyDescent="0.3">
      <c r="A511" s="1" t="s">
        <v>2141</v>
      </c>
      <c r="B511" s="1" t="s">
        <v>2142</v>
      </c>
    </row>
    <row r="512" spans="1:2" x14ac:dyDescent="0.3">
      <c r="A512" s="1" t="s">
        <v>2143</v>
      </c>
      <c r="B512" s="1" t="s">
        <v>2144</v>
      </c>
    </row>
    <row r="513" spans="1:2" x14ac:dyDescent="0.3">
      <c r="A513" s="1" t="s">
        <v>2145</v>
      </c>
      <c r="B513" s="1" t="s">
        <v>2146</v>
      </c>
    </row>
    <row r="514" spans="1:2" x14ac:dyDescent="0.3">
      <c r="A514" s="1" t="s">
        <v>2147</v>
      </c>
      <c r="B514" s="1" t="s">
        <v>2148</v>
      </c>
    </row>
    <row r="515" spans="1:2" x14ac:dyDescent="0.3">
      <c r="A515" s="1" t="s">
        <v>2149</v>
      </c>
      <c r="B515" s="1" t="s">
        <v>2150</v>
      </c>
    </row>
    <row r="516" spans="1:2" x14ac:dyDescent="0.3">
      <c r="A516" s="1" t="s">
        <v>2151</v>
      </c>
      <c r="B516" s="1" t="s">
        <v>2152</v>
      </c>
    </row>
    <row r="517" spans="1:2" x14ac:dyDescent="0.3">
      <c r="A517" s="1" t="s">
        <v>2153</v>
      </c>
      <c r="B517" s="1" t="s">
        <v>2154</v>
      </c>
    </row>
    <row r="518" spans="1:2" x14ac:dyDescent="0.3">
      <c r="A518" s="1" t="s">
        <v>2155</v>
      </c>
      <c r="B518" s="1" t="s">
        <v>2156</v>
      </c>
    </row>
    <row r="519" spans="1:2" x14ac:dyDescent="0.3">
      <c r="A519" s="1" t="s">
        <v>2157</v>
      </c>
      <c r="B519" s="1" t="s">
        <v>2158</v>
      </c>
    </row>
    <row r="520" spans="1:2" x14ac:dyDescent="0.3">
      <c r="A520" s="1" t="s">
        <v>2159</v>
      </c>
      <c r="B520" s="1" t="s">
        <v>2160</v>
      </c>
    </row>
    <row r="521" spans="1:2" x14ac:dyDescent="0.3">
      <c r="A521" s="1" t="s">
        <v>2161</v>
      </c>
      <c r="B521" s="1" t="s">
        <v>2162</v>
      </c>
    </row>
    <row r="522" spans="1:2" x14ac:dyDescent="0.3">
      <c r="A522" s="1" t="s">
        <v>2163</v>
      </c>
      <c r="B522" s="1" t="s">
        <v>2164</v>
      </c>
    </row>
    <row r="523" spans="1:2" x14ac:dyDescent="0.3">
      <c r="A523" s="1" t="s">
        <v>2165</v>
      </c>
      <c r="B523" s="1" t="s">
        <v>2166</v>
      </c>
    </row>
    <row r="524" spans="1:2" x14ac:dyDescent="0.3">
      <c r="A524" s="1" t="s">
        <v>2167</v>
      </c>
      <c r="B524" s="1" t="s">
        <v>2168</v>
      </c>
    </row>
    <row r="525" spans="1:2" x14ac:dyDescent="0.3">
      <c r="A525" s="1" t="s">
        <v>2169</v>
      </c>
      <c r="B525" s="1" t="s">
        <v>2170</v>
      </c>
    </row>
    <row r="526" spans="1:2" x14ac:dyDescent="0.3">
      <c r="A526" s="1" t="s">
        <v>2171</v>
      </c>
      <c r="B526" s="1" t="s">
        <v>2172</v>
      </c>
    </row>
    <row r="527" spans="1:2" x14ac:dyDescent="0.3">
      <c r="A527" s="1" t="s">
        <v>2173</v>
      </c>
      <c r="B527" s="1" t="s">
        <v>2174</v>
      </c>
    </row>
    <row r="528" spans="1:2" x14ac:dyDescent="0.3">
      <c r="A528" s="1" t="s">
        <v>2175</v>
      </c>
      <c r="B528" s="1" t="s">
        <v>2176</v>
      </c>
    </row>
    <row r="529" spans="1:2" x14ac:dyDescent="0.3">
      <c r="A529" s="1" t="s">
        <v>2177</v>
      </c>
      <c r="B529" s="1" t="s">
        <v>2178</v>
      </c>
    </row>
    <row r="530" spans="1:2" x14ac:dyDescent="0.3">
      <c r="A530" s="1" t="s">
        <v>2179</v>
      </c>
      <c r="B530" s="1" t="s">
        <v>2180</v>
      </c>
    </row>
    <row r="531" spans="1:2" x14ac:dyDescent="0.3">
      <c r="A531" s="1" t="s">
        <v>2181</v>
      </c>
      <c r="B531" s="1" t="s">
        <v>2182</v>
      </c>
    </row>
    <row r="532" spans="1:2" x14ac:dyDescent="0.3">
      <c r="A532" s="1" t="s">
        <v>2183</v>
      </c>
      <c r="B532" s="1" t="s">
        <v>2184</v>
      </c>
    </row>
    <row r="533" spans="1:2" x14ac:dyDescent="0.3">
      <c r="A533" s="1" t="s">
        <v>2185</v>
      </c>
      <c r="B533" s="1" t="s">
        <v>2186</v>
      </c>
    </row>
    <row r="534" spans="1:2" x14ac:dyDescent="0.3">
      <c r="A534" s="1" t="s">
        <v>2187</v>
      </c>
      <c r="B534" s="1" t="s">
        <v>2188</v>
      </c>
    </row>
    <row r="535" spans="1:2" x14ac:dyDescent="0.3">
      <c r="A535" s="1" t="s">
        <v>2189</v>
      </c>
      <c r="B535" s="1" t="s">
        <v>2190</v>
      </c>
    </row>
    <row r="536" spans="1:2" x14ac:dyDescent="0.3">
      <c r="A536" s="1" t="s">
        <v>2191</v>
      </c>
      <c r="B536" s="1" t="s">
        <v>2192</v>
      </c>
    </row>
    <row r="537" spans="1:2" x14ac:dyDescent="0.3">
      <c r="A537" s="1" t="s">
        <v>2193</v>
      </c>
      <c r="B537" s="1" t="s">
        <v>2194</v>
      </c>
    </row>
    <row r="538" spans="1:2" x14ac:dyDescent="0.3">
      <c r="A538" s="1" t="s">
        <v>2195</v>
      </c>
      <c r="B538" s="1" t="s">
        <v>2196</v>
      </c>
    </row>
    <row r="539" spans="1:2" x14ac:dyDescent="0.3">
      <c r="A539" s="1" t="s">
        <v>2197</v>
      </c>
      <c r="B539" s="1" t="s">
        <v>2198</v>
      </c>
    </row>
    <row r="540" spans="1:2" x14ac:dyDescent="0.3">
      <c r="A540" s="1" t="s">
        <v>2199</v>
      </c>
      <c r="B540" s="1" t="s">
        <v>2200</v>
      </c>
    </row>
    <row r="541" spans="1:2" x14ac:dyDescent="0.3">
      <c r="A541" s="1" t="s">
        <v>2201</v>
      </c>
      <c r="B541" s="1" t="s">
        <v>2202</v>
      </c>
    </row>
    <row r="542" spans="1:2" x14ac:dyDescent="0.3">
      <c r="A542" s="1" t="s">
        <v>2203</v>
      </c>
      <c r="B542" s="1" t="s">
        <v>2204</v>
      </c>
    </row>
    <row r="543" spans="1:2" x14ac:dyDescent="0.3">
      <c r="A543" s="1" t="s">
        <v>2205</v>
      </c>
      <c r="B543" s="1" t="s">
        <v>2206</v>
      </c>
    </row>
    <row r="544" spans="1:2" x14ac:dyDescent="0.3">
      <c r="A544" s="1" t="s">
        <v>2207</v>
      </c>
      <c r="B544" s="1" t="s">
        <v>2208</v>
      </c>
    </row>
    <row r="545" spans="1:2" x14ac:dyDescent="0.3">
      <c r="A545" s="1" t="s">
        <v>2209</v>
      </c>
      <c r="B545" s="1" t="s">
        <v>2210</v>
      </c>
    </row>
    <row r="546" spans="1:2" x14ac:dyDescent="0.3">
      <c r="A546" s="1" t="s">
        <v>2211</v>
      </c>
      <c r="B546" s="1" t="s">
        <v>2212</v>
      </c>
    </row>
    <row r="547" spans="1:2" x14ac:dyDescent="0.3">
      <c r="A547" s="1" t="s">
        <v>2213</v>
      </c>
      <c r="B547" s="1" t="s">
        <v>2214</v>
      </c>
    </row>
    <row r="548" spans="1:2" x14ac:dyDescent="0.3">
      <c r="A548" s="1" t="s">
        <v>2215</v>
      </c>
      <c r="B548" s="1" t="s">
        <v>2216</v>
      </c>
    </row>
    <row r="549" spans="1:2" x14ac:dyDescent="0.3">
      <c r="A549" s="1" t="s">
        <v>2217</v>
      </c>
      <c r="B549" s="1" t="s">
        <v>2218</v>
      </c>
    </row>
    <row r="550" spans="1:2" x14ac:dyDescent="0.3">
      <c r="A550" s="1" t="s">
        <v>2219</v>
      </c>
      <c r="B550" s="1" t="s">
        <v>2220</v>
      </c>
    </row>
    <row r="551" spans="1:2" x14ac:dyDescent="0.3">
      <c r="A551" s="1" t="s">
        <v>2221</v>
      </c>
      <c r="B551" s="1" t="s">
        <v>2222</v>
      </c>
    </row>
    <row r="552" spans="1:2" x14ac:dyDescent="0.3">
      <c r="A552" s="1" t="s">
        <v>2223</v>
      </c>
      <c r="B552" s="1" t="s">
        <v>2224</v>
      </c>
    </row>
    <row r="553" spans="1:2" x14ac:dyDescent="0.3">
      <c r="A553" s="1" t="s">
        <v>2225</v>
      </c>
      <c r="B553" s="1" t="s">
        <v>2226</v>
      </c>
    </row>
    <row r="554" spans="1:2" x14ac:dyDescent="0.3">
      <c r="A554" s="1" t="s">
        <v>2227</v>
      </c>
      <c r="B554" s="1" t="s">
        <v>2228</v>
      </c>
    </row>
    <row r="555" spans="1:2" x14ac:dyDescent="0.3">
      <c r="A555" s="1" t="s">
        <v>2229</v>
      </c>
      <c r="B555" s="1" t="s">
        <v>2230</v>
      </c>
    </row>
    <row r="556" spans="1:2" x14ac:dyDescent="0.3">
      <c r="A556" s="1" t="s">
        <v>2231</v>
      </c>
      <c r="B556" s="1" t="s">
        <v>2232</v>
      </c>
    </row>
    <row r="557" spans="1:2" x14ac:dyDescent="0.3">
      <c r="A557" s="1" t="s">
        <v>2233</v>
      </c>
      <c r="B557" s="1" t="s">
        <v>2234</v>
      </c>
    </row>
    <row r="558" spans="1:2" x14ac:dyDescent="0.3">
      <c r="A558" s="1" t="s">
        <v>2235</v>
      </c>
      <c r="B558" s="1" t="s">
        <v>2236</v>
      </c>
    </row>
    <row r="559" spans="1:2" x14ac:dyDescent="0.3">
      <c r="A559" s="1" t="s">
        <v>2237</v>
      </c>
      <c r="B559" s="1" t="s">
        <v>2238</v>
      </c>
    </row>
    <row r="560" spans="1:2" x14ac:dyDescent="0.3">
      <c r="A560" s="1" t="s">
        <v>2239</v>
      </c>
      <c r="B560" s="1" t="s">
        <v>2240</v>
      </c>
    </row>
    <row r="561" spans="1:2" x14ac:dyDescent="0.3">
      <c r="A561" s="1" t="s">
        <v>2241</v>
      </c>
      <c r="B561" s="1" t="s">
        <v>2242</v>
      </c>
    </row>
    <row r="562" spans="1:2" x14ac:dyDescent="0.3">
      <c r="A562" s="1" t="s">
        <v>2243</v>
      </c>
      <c r="B562" s="1" t="s">
        <v>2244</v>
      </c>
    </row>
    <row r="563" spans="1:2" x14ac:dyDescent="0.3">
      <c r="A563" s="1" t="s">
        <v>2245</v>
      </c>
      <c r="B563" s="1" t="s">
        <v>2246</v>
      </c>
    </row>
    <row r="564" spans="1:2" x14ac:dyDescent="0.3">
      <c r="A564" s="1" t="s">
        <v>2247</v>
      </c>
      <c r="B564" s="1" t="s">
        <v>2248</v>
      </c>
    </row>
    <row r="565" spans="1:2" x14ac:dyDescent="0.3">
      <c r="A565" s="1" t="s">
        <v>2249</v>
      </c>
      <c r="B565" s="1" t="s">
        <v>2250</v>
      </c>
    </row>
    <row r="566" spans="1:2" x14ac:dyDescent="0.3">
      <c r="A566" s="1" t="s">
        <v>2251</v>
      </c>
      <c r="B566" s="1" t="s">
        <v>2252</v>
      </c>
    </row>
    <row r="567" spans="1:2" x14ac:dyDescent="0.3">
      <c r="A567" s="1" t="s">
        <v>2253</v>
      </c>
      <c r="B567" s="1" t="s">
        <v>2254</v>
      </c>
    </row>
    <row r="568" spans="1:2" x14ac:dyDescent="0.3">
      <c r="A568" s="1" t="s">
        <v>2255</v>
      </c>
      <c r="B568" s="1" t="s">
        <v>2256</v>
      </c>
    </row>
    <row r="569" spans="1:2" x14ac:dyDescent="0.3">
      <c r="A569" s="1" t="s">
        <v>2257</v>
      </c>
      <c r="B569" s="1" t="s">
        <v>2258</v>
      </c>
    </row>
    <row r="570" spans="1:2" x14ac:dyDescent="0.3">
      <c r="A570" s="1" t="s">
        <v>2259</v>
      </c>
      <c r="B570" s="1" t="s">
        <v>2260</v>
      </c>
    </row>
    <row r="571" spans="1:2" x14ac:dyDescent="0.3">
      <c r="A571" s="1" t="s">
        <v>2261</v>
      </c>
      <c r="B571" s="1" t="s">
        <v>2262</v>
      </c>
    </row>
    <row r="572" spans="1:2" x14ac:dyDescent="0.3">
      <c r="A572" s="1" t="s">
        <v>2263</v>
      </c>
      <c r="B572" s="1" t="s">
        <v>2264</v>
      </c>
    </row>
    <row r="573" spans="1:2" x14ac:dyDescent="0.3">
      <c r="A573" s="1" t="s">
        <v>2265</v>
      </c>
      <c r="B573" s="1" t="s">
        <v>2266</v>
      </c>
    </row>
    <row r="574" spans="1:2" x14ac:dyDescent="0.3">
      <c r="A574" s="1" t="s">
        <v>2267</v>
      </c>
      <c r="B574" s="1" t="s">
        <v>2268</v>
      </c>
    </row>
    <row r="575" spans="1:2" x14ac:dyDescent="0.3">
      <c r="A575" s="1" t="s">
        <v>2269</v>
      </c>
      <c r="B575" s="1" t="s">
        <v>2270</v>
      </c>
    </row>
    <row r="576" spans="1:2" x14ac:dyDescent="0.3">
      <c r="A576" s="1" t="s">
        <v>2271</v>
      </c>
      <c r="B576" s="1" t="s">
        <v>2272</v>
      </c>
    </row>
    <row r="577" spans="1:2" x14ac:dyDescent="0.3">
      <c r="A577" s="1" t="s">
        <v>2273</v>
      </c>
      <c r="B577" s="1" t="s">
        <v>2274</v>
      </c>
    </row>
    <row r="578" spans="1:2" x14ac:dyDescent="0.3">
      <c r="A578" s="1" t="s">
        <v>2275</v>
      </c>
      <c r="B578" s="1" t="s">
        <v>2276</v>
      </c>
    </row>
    <row r="579" spans="1:2" x14ac:dyDescent="0.3">
      <c r="A579" s="1" t="s">
        <v>2277</v>
      </c>
      <c r="B579" s="1" t="s">
        <v>2278</v>
      </c>
    </row>
    <row r="580" spans="1:2" x14ac:dyDescent="0.3">
      <c r="A580" s="1" t="s">
        <v>2279</v>
      </c>
      <c r="B580" s="1" t="s">
        <v>2280</v>
      </c>
    </row>
    <row r="581" spans="1:2" x14ac:dyDescent="0.3">
      <c r="A581" s="1" t="s">
        <v>2281</v>
      </c>
      <c r="B581" s="1" t="s">
        <v>2282</v>
      </c>
    </row>
    <row r="582" spans="1:2" x14ac:dyDescent="0.3">
      <c r="A582" s="1" t="s">
        <v>2283</v>
      </c>
      <c r="B582" s="1" t="s">
        <v>2284</v>
      </c>
    </row>
    <row r="583" spans="1:2" x14ac:dyDescent="0.3">
      <c r="A583" s="1" t="s">
        <v>2285</v>
      </c>
      <c r="B583" s="1" t="s">
        <v>2286</v>
      </c>
    </row>
    <row r="584" spans="1:2" x14ac:dyDescent="0.3">
      <c r="A584" s="1" t="s">
        <v>2287</v>
      </c>
      <c r="B584" s="1" t="s">
        <v>2288</v>
      </c>
    </row>
    <row r="585" spans="1:2" x14ac:dyDescent="0.3">
      <c r="A585" s="1" t="s">
        <v>2289</v>
      </c>
      <c r="B585" s="1" t="s">
        <v>2290</v>
      </c>
    </row>
    <row r="586" spans="1:2" x14ac:dyDescent="0.3">
      <c r="A586" s="1" t="s">
        <v>2291</v>
      </c>
      <c r="B586" s="1" t="s">
        <v>2292</v>
      </c>
    </row>
    <row r="587" spans="1:2" x14ac:dyDescent="0.3">
      <c r="A587" s="1" t="s">
        <v>2293</v>
      </c>
      <c r="B587" s="1" t="s">
        <v>2294</v>
      </c>
    </row>
    <row r="588" spans="1:2" x14ac:dyDescent="0.3">
      <c r="A588" s="1" t="s">
        <v>2295</v>
      </c>
      <c r="B588" s="1" t="s">
        <v>2296</v>
      </c>
    </row>
    <row r="589" spans="1:2" x14ac:dyDescent="0.3">
      <c r="A589" s="1" t="s">
        <v>2297</v>
      </c>
      <c r="B589" s="1" t="s">
        <v>2298</v>
      </c>
    </row>
    <row r="590" spans="1:2" x14ac:dyDescent="0.3">
      <c r="A590" s="1" t="s">
        <v>2299</v>
      </c>
      <c r="B590" s="1" t="s">
        <v>2300</v>
      </c>
    </row>
    <row r="591" spans="1:2" x14ac:dyDescent="0.3">
      <c r="A591" s="1" t="s">
        <v>2301</v>
      </c>
      <c r="B591" s="1" t="s">
        <v>2302</v>
      </c>
    </row>
    <row r="592" spans="1:2" x14ac:dyDescent="0.3">
      <c r="A592" s="1" t="s">
        <v>2303</v>
      </c>
      <c r="B592" s="1" t="s">
        <v>2304</v>
      </c>
    </row>
    <row r="593" spans="1:2" x14ac:dyDescent="0.3">
      <c r="A593" s="1" t="s">
        <v>2305</v>
      </c>
      <c r="B593" s="1" t="s">
        <v>2306</v>
      </c>
    </row>
    <row r="594" spans="1:2" x14ac:dyDescent="0.3">
      <c r="A594" s="1" t="s">
        <v>2307</v>
      </c>
      <c r="B594" s="1" t="s">
        <v>2308</v>
      </c>
    </row>
    <row r="595" spans="1:2" x14ac:dyDescent="0.3">
      <c r="A595" s="1" t="s">
        <v>2309</v>
      </c>
      <c r="B595" s="1" t="s">
        <v>2310</v>
      </c>
    </row>
    <row r="596" spans="1:2" x14ac:dyDescent="0.3">
      <c r="A596" s="1" t="s">
        <v>2311</v>
      </c>
      <c r="B596" s="1" t="s">
        <v>2312</v>
      </c>
    </row>
    <row r="597" spans="1:2" x14ac:dyDescent="0.3">
      <c r="A597" s="1" t="s">
        <v>2313</v>
      </c>
      <c r="B597" s="1" t="s">
        <v>2314</v>
      </c>
    </row>
    <row r="598" spans="1:2" x14ac:dyDescent="0.3">
      <c r="A598" s="1" t="s">
        <v>2315</v>
      </c>
      <c r="B598" s="1" t="s">
        <v>2316</v>
      </c>
    </row>
    <row r="599" spans="1:2" x14ac:dyDescent="0.3">
      <c r="A599" s="1" t="s">
        <v>2317</v>
      </c>
      <c r="B599" s="1" t="s">
        <v>2318</v>
      </c>
    </row>
    <row r="600" spans="1:2" x14ac:dyDescent="0.3">
      <c r="A600" s="1" t="s">
        <v>2319</v>
      </c>
      <c r="B600" s="1" t="s">
        <v>2320</v>
      </c>
    </row>
    <row r="601" spans="1:2" x14ac:dyDescent="0.3">
      <c r="A601" s="1" t="s">
        <v>2321</v>
      </c>
      <c r="B601" s="1" t="s">
        <v>2322</v>
      </c>
    </row>
    <row r="602" spans="1:2" x14ac:dyDescent="0.3">
      <c r="A602" s="1" t="s">
        <v>2323</v>
      </c>
      <c r="B602" s="1" t="s">
        <v>2324</v>
      </c>
    </row>
    <row r="603" spans="1:2" x14ac:dyDescent="0.3">
      <c r="A603" s="1" t="s">
        <v>2325</v>
      </c>
      <c r="B603" s="1" t="s">
        <v>2326</v>
      </c>
    </row>
    <row r="604" spans="1:2" x14ac:dyDescent="0.3">
      <c r="A604" s="1" t="s">
        <v>2327</v>
      </c>
      <c r="B604" s="1" t="s">
        <v>2328</v>
      </c>
    </row>
    <row r="605" spans="1:2" x14ac:dyDescent="0.3">
      <c r="A605" s="1" t="s">
        <v>2329</v>
      </c>
      <c r="B605" s="1" t="s">
        <v>2330</v>
      </c>
    </row>
    <row r="606" spans="1:2" x14ac:dyDescent="0.3">
      <c r="A606" s="1" t="s">
        <v>2331</v>
      </c>
      <c r="B606" s="1" t="s">
        <v>2332</v>
      </c>
    </row>
    <row r="607" spans="1:2" x14ac:dyDescent="0.3">
      <c r="A607" s="1" t="s">
        <v>2333</v>
      </c>
      <c r="B607" s="1" t="s">
        <v>2334</v>
      </c>
    </row>
    <row r="608" spans="1:2" x14ac:dyDescent="0.3">
      <c r="A608" s="1" t="s">
        <v>2335</v>
      </c>
      <c r="B608" s="1" t="s">
        <v>2336</v>
      </c>
    </row>
    <row r="609" spans="1:2" x14ac:dyDescent="0.3">
      <c r="A609" s="1" t="s">
        <v>2337</v>
      </c>
      <c r="B609" s="1" t="s">
        <v>2338</v>
      </c>
    </row>
    <row r="610" spans="1:2" x14ac:dyDescent="0.3">
      <c r="A610" s="1" t="s">
        <v>2339</v>
      </c>
      <c r="B610" s="1" t="s">
        <v>2340</v>
      </c>
    </row>
    <row r="611" spans="1:2" x14ac:dyDescent="0.3">
      <c r="A611" s="1" t="s">
        <v>2341</v>
      </c>
      <c r="B611" s="1" t="s">
        <v>2342</v>
      </c>
    </row>
    <row r="612" spans="1:2" x14ac:dyDescent="0.3">
      <c r="A612" s="1" t="s">
        <v>2343</v>
      </c>
      <c r="B612" s="1" t="s">
        <v>2344</v>
      </c>
    </row>
    <row r="613" spans="1:2" x14ac:dyDescent="0.3">
      <c r="A613" s="1" t="s">
        <v>2345</v>
      </c>
      <c r="B613" s="1" t="s">
        <v>2346</v>
      </c>
    </row>
    <row r="614" spans="1:2" x14ac:dyDescent="0.3">
      <c r="A614" s="1" t="s">
        <v>2347</v>
      </c>
      <c r="B614" s="1" t="s">
        <v>2348</v>
      </c>
    </row>
    <row r="615" spans="1:2" x14ac:dyDescent="0.3">
      <c r="A615" s="1" t="s">
        <v>2349</v>
      </c>
      <c r="B615" s="1" t="s">
        <v>2350</v>
      </c>
    </row>
    <row r="616" spans="1:2" x14ac:dyDescent="0.3">
      <c r="A616" s="1" t="s">
        <v>2351</v>
      </c>
      <c r="B616" s="1" t="s">
        <v>2352</v>
      </c>
    </row>
    <row r="617" spans="1:2" x14ac:dyDescent="0.3">
      <c r="A617" s="1" t="s">
        <v>2353</v>
      </c>
      <c r="B617" s="1" t="s">
        <v>2354</v>
      </c>
    </row>
    <row r="618" spans="1:2" x14ac:dyDescent="0.3">
      <c r="A618" s="1" t="s">
        <v>2355</v>
      </c>
      <c r="B618" s="1" t="s">
        <v>2356</v>
      </c>
    </row>
    <row r="619" spans="1:2" x14ac:dyDescent="0.3">
      <c r="A619" s="1" t="s">
        <v>2357</v>
      </c>
      <c r="B619" s="1" t="s">
        <v>2358</v>
      </c>
    </row>
    <row r="620" spans="1:2" x14ac:dyDescent="0.3">
      <c r="A620" s="1" t="s">
        <v>2359</v>
      </c>
      <c r="B620" s="1" t="s">
        <v>2360</v>
      </c>
    </row>
    <row r="621" spans="1:2" x14ac:dyDescent="0.3">
      <c r="A621" s="1" t="s">
        <v>2361</v>
      </c>
      <c r="B621" s="1" t="s">
        <v>2362</v>
      </c>
    </row>
    <row r="622" spans="1:2" x14ac:dyDescent="0.3">
      <c r="A622" s="1" t="s">
        <v>2363</v>
      </c>
      <c r="B622" s="1" t="s">
        <v>2364</v>
      </c>
    </row>
    <row r="623" spans="1:2" x14ac:dyDescent="0.3">
      <c r="A623" s="1" t="s">
        <v>2365</v>
      </c>
      <c r="B623" s="1" t="s">
        <v>2366</v>
      </c>
    </row>
    <row r="624" spans="1:2" x14ac:dyDescent="0.3">
      <c r="A624" s="1" t="s">
        <v>2367</v>
      </c>
      <c r="B624" s="1" t="s">
        <v>2368</v>
      </c>
    </row>
    <row r="625" spans="1:2" x14ac:dyDescent="0.3">
      <c r="A625" s="1" t="s">
        <v>2369</v>
      </c>
      <c r="B625" s="1" t="s">
        <v>2370</v>
      </c>
    </row>
    <row r="626" spans="1:2" x14ac:dyDescent="0.3">
      <c r="A626" s="1" t="s">
        <v>2371</v>
      </c>
      <c r="B626" s="1" t="s">
        <v>2372</v>
      </c>
    </row>
    <row r="627" spans="1:2" x14ac:dyDescent="0.3">
      <c r="A627" s="1" t="s">
        <v>2373</v>
      </c>
      <c r="B627" s="1" t="s">
        <v>2374</v>
      </c>
    </row>
    <row r="628" spans="1:2" x14ac:dyDescent="0.3">
      <c r="A628" s="1" t="s">
        <v>2375</v>
      </c>
      <c r="B628" s="1" t="s">
        <v>2376</v>
      </c>
    </row>
    <row r="629" spans="1:2" x14ac:dyDescent="0.3">
      <c r="A629" s="1" t="s">
        <v>2377</v>
      </c>
      <c r="B629" s="1" t="s">
        <v>2378</v>
      </c>
    </row>
    <row r="630" spans="1:2" x14ac:dyDescent="0.3">
      <c r="A630" s="1" t="s">
        <v>2379</v>
      </c>
      <c r="B630" s="1" t="s">
        <v>2380</v>
      </c>
    </row>
    <row r="631" spans="1:2" x14ac:dyDescent="0.3">
      <c r="A631" s="1" t="s">
        <v>2381</v>
      </c>
      <c r="B631" s="1" t="s">
        <v>2382</v>
      </c>
    </row>
    <row r="632" spans="1:2" x14ac:dyDescent="0.3">
      <c r="A632" s="1" t="s">
        <v>2383</v>
      </c>
      <c r="B632" s="1" t="s">
        <v>2384</v>
      </c>
    </row>
    <row r="633" spans="1:2" x14ac:dyDescent="0.3">
      <c r="A633" s="1" t="s">
        <v>2385</v>
      </c>
      <c r="B633" s="1" t="s">
        <v>2386</v>
      </c>
    </row>
    <row r="634" spans="1:2" x14ac:dyDescent="0.3">
      <c r="A634" s="1" t="s">
        <v>2387</v>
      </c>
      <c r="B634" s="1" t="s">
        <v>2388</v>
      </c>
    </row>
    <row r="635" spans="1:2" x14ac:dyDescent="0.3">
      <c r="A635" s="1" t="s">
        <v>2389</v>
      </c>
      <c r="B635" s="1" t="s">
        <v>2390</v>
      </c>
    </row>
    <row r="636" spans="1:2" x14ac:dyDescent="0.3">
      <c r="A636" s="1" t="s">
        <v>2391</v>
      </c>
      <c r="B636" s="1" t="s">
        <v>2392</v>
      </c>
    </row>
    <row r="637" spans="1:2" x14ac:dyDescent="0.3">
      <c r="A637" s="1" t="s">
        <v>2393</v>
      </c>
      <c r="B637" s="1" t="s">
        <v>2394</v>
      </c>
    </row>
    <row r="638" spans="1:2" x14ac:dyDescent="0.3">
      <c r="A638" s="1" t="s">
        <v>2395</v>
      </c>
      <c r="B638" s="1" t="s">
        <v>2396</v>
      </c>
    </row>
    <row r="639" spans="1:2" x14ac:dyDescent="0.3">
      <c r="A639" s="1" t="s">
        <v>2397</v>
      </c>
      <c r="B639" s="1" t="s">
        <v>2398</v>
      </c>
    </row>
    <row r="640" spans="1:2" x14ac:dyDescent="0.3">
      <c r="A640" s="1" t="s">
        <v>2399</v>
      </c>
      <c r="B640" s="1" t="s">
        <v>2400</v>
      </c>
    </row>
    <row r="641" spans="1:2" x14ac:dyDescent="0.3">
      <c r="A641" s="1" t="s">
        <v>2401</v>
      </c>
      <c r="B641" s="1" t="s">
        <v>2402</v>
      </c>
    </row>
    <row r="642" spans="1:2" x14ac:dyDescent="0.3">
      <c r="A642" s="1" t="s">
        <v>2403</v>
      </c>
      <c r="B642" s="1" t="s">
        <v>2404</v>
      </c>
    </row>
    <row r="643" spans="1:2" x14ac:dyDescent="0.3">
      <c r="A643" s="1" t="s">
        <v>2405</v>
      </c>
      <c r="B643" s="1" t="s">
        <v>2406</v>
      </c>
    </row>
    <row r="644" spans="1:2" x14ac:dyDescent="0.3">
      <c r="A644" s="1" t="s">
        <v>2407</v>
      </c>
      <c r="B644" s="1" t="s">
        <v>2408</v>
      </c>
    </row>
    <row r="645" spans="1:2" x14ac:dyDescent="0.3">
      <c r="A645" s="1" t="s">
        <v>2409</v>
      </c>
      <c r="B645" s="1" t="s">
        <v>2410</v>
      </c>
    </row>
    <row r="646" spans="1:2" x14ac:dyDescent="0.3">
      <c r="A646" s="1" t="s">
        <v>2411</v>
      </c>
      <c r="B646" s="1" t="s">
        <v>2412</v>
      </c>
    </row>
    <row r="647" spans="1:2" x14ac:dyDescent="0.3">
      <c r="A647" s="1" t="s">
        <v>2413</v>
      </c>
      <c r="B647" s="1" t="s">
        <v>2414</v>
      </c>
    </row>
    <row r="648" spans="1:2" x14ac:dyDescent="0.3">
      <c r="A648" s="1" t="s">
        <v>2415</v>
      </c>
      <c r="B648" s="1" t="s">
        <v>2416</v>
      </c>
    </row>
    <row r="649" spans="1:2" x14ac:dyDescent="0.3">
      <c r="A649" s="1" t="s">
        <v>2417</v>
      </c>
      <c r="B649" s="1" t="s">
        <v>2418</v>
      </c>
    </row>
    <row r="650" spans="1:2" x14ac:dyDescent="0.3">
      <c r="A650" s="1" t="s">
        <v>2419</v>
      </c>
      <c r="B650" s="1" t="s">
        <v>2420</v>
      </c>
    </row>
    <row r="651" spans="1:2" x14ac:dyDescent="0.3">
      <c r="A651" s="1" t="s">
        <v>2421</v>
      </c>
      <c r="B651" s="1" t="s">
        <v>2422</v>
      </c>
    </row>
    <row r="652" spans="1:2" x14ac:dyDescent="0.3">
      <c r="A652" s="1" t="s">
        <v>2423</v>
      </c>
      <c r="B652" s="1" t="s">
        <v>2424</v>
      </c>
    </row>
    <row r="653" spans="1:2" x14ac:dyDescent="0.3">
      <c r="A653" s="1" t="s">
        <v>2425</v>
      </c>
      <c r="B653" s="1" t="s">
        <v>2426</v>
      </c>
    </row>
    <row r="654" spans="1:2" x14ac:dyDescent="0.3">
      <c r="A654" s="1" t="s">
        <v>2427</v>
      </c>
      <c r="B654" s="1" t="s">
        <v>2428</v>
      </c>
    </row>
    <row r="655" spans="1:2" x14ac:dyDescent="0.3">
      <c r="A655" s="1" t="s">
        <v>2429</v>
      </c>
      <c r="B655" s="1" t="s">
        <v>2430</v>
      </c>
    </row>
    <row r="656" spans="1:2" x14ac:dyDescent="0.3">
      <c r="A656" s="1" t="s">
        <v>2431</v>
      </c>
      <c r="B656" s="1" t="s">
        <v>2432</v>
      </c>
    </row>
    <row r="657" spans="1:2" x14ac:dyDescent="0.3">
      <c r="A657" s="1" t="s">
        <v>2433</v>
      </c>
      <c r="B657" s="1" t="s">
        <v>2434</v>
      </c>
    </row>
    <row r="658" spans="1:2" x14ac:dyDescent="0.3">
      <c r="A658" s="1" t="s">
        <v>2435</v>
      </c>
      <c r="B658" s="1" t="s">
        <v>2436</v>
      </c>
    </row>
    <row r="659" spans="1:2" x14ac:dyDescent="0.3">
      <c r="A659" s="1" t="s">
        <v>2437</v>
      </c>
      <c r="B659" s="1" t="s">
        <v>2438</v>
      </c>
    </row>
    <row r="660" spans="1:2" x14ac:dyDescent="0.3">
      <c r="A660" s="1" t="s">
        <v>2439</v>
      </c>
      <c r="B660" s="1" t="s">
        <v>2440</v>
      </c>
    </row>
    <row r="661" spans="1:2" x14ac:dyDescent="0.3">
      <c r="A661" s="1" t="s">
        <v>2441</v>
      </c>
      <c r="B661" s="1" t="s">
        <v>2442</v>
      </c>
    </row>
    <row r="662" spans="1:2" x14ac:dyDescent="0.3">
      <c r="A662" s="1" t="s">
        <v>2443</v>
      </c>
      <c r="B662" s="1" t="s">
        <v>2444</v>
      </c>
    </row>
    <row r="663" spans="1:2" x14ac:dyDescent="0.3">
      <c r="A663" s="1" t="s">
        <v>2445</v>
      </c>
      <c r="B663" s="1" t="s">
        <v>2446</v>
      </c>
    </row>
    <row r="664" spans="1:2" x14ac:dyDescent="0.3">
      <c r="A664" s="1" t="s">
        <v>2447</v>
      </c>
      <c r="B664" s="1" t="s">
        <v>2448</v>
      </c>
    </row>
    <row r="665" spans="1:2" x14ac:dyDescent="0.3">
      <c r="A665" s="1" t="s">
        <v>2449</v>
      </c>
      <c r="B665" s="1" t="s">
        <v>2450</v>
      </c>
    </row>
    <row r="666" spans="1:2" x14ac:dyDescent="0.3">
      <c r="A666" s="1" t="s">
        <v>2451</v>
      </c>
      <c r="B666" s="1" t="s">
        <v>2452</v>
      </c>
    </row>
    <row r="667" spans="1:2" x14ac:dyDescent="0.3">
      <c r="A667" s="1" t="s">
        <v>2453</v>
      </c>
      <c r="B667" s="1" t="s">
        <v>2454</v>
      </c>
    </row>
    <row r="668" spans="1:2" x14ac:dyDescent="0.3">
      <c r="A668" s="1" t="s">
        <v>2455</v>
      </c>
      <c r="B668" s="1" t="s">
        <v>2456</v>
      </c>
    </row>
    <row r="669" spans="1:2" x14ac:dyDescent="0.3">
      <c r="A669" s="1" t="s">
        <v>2457</v>
      </c>
      <c r="B669" s="1" t="s">
        <v>2458</v>
      </c>
    </row>
    <row r="670" spans="1:2" x14ac:dyDescent="0.3">
      <c r="A670" s="1" t="s">
        <v>2459</v>
      </c>
      <c r="B670" s="1" t="s">
        <v>2460</v>
      </c>
    </row>
    <row r="671" spans="1:2" x14ac:dyDescent="0.3">
      <c r="A671" s="1" t="s">
        <v>2461</v>
      </c>
      <c r="B671" s="1" t="s">
        <v>2462</v>
      </c>
    </row>
    <row r="672" spans="1:2" x14ac:dyDescent="0.3">
      <c r="A672" s="1" t="s">
        <v>2463</v>
      </c>
      <c r="B672" s="1" t="s">
        <v>2464</v>
      </c>
    </row>
    <row r="673" spans="1:2" x14ac:dyDescent="0.3">
      <c r="A673" s="1" t="s">
        <v>2465</v>
      </c>
      <c r="B673" s="1" t="s">
        <v>2466</v>
      </c>
    </row>
    <row r="674" spans="1:2" x14ac:dyDescent="0.3">
      <c r="A674" s="1" t="s">
        <v>2467</v>
      </c>
      <c r="B674" s="1" t="s">
        <v>2468</v>
      </c>
    </row>
    <row r="675" spans="1:2" x14ac:dyDescent="0.3">
      <c r="A675" s="1" t="s">
        <v>2469</v>
      </c>
      <c r="B675" s="1" t="s">
        <v>2470</v>
      </c>
    </row>
    <row r="676" spans="1:2" x14ac:dyDescent="0.3">
      <c r="A676" s="1" t="s">
        <v>2471</v>
      </c>
      <c r="B676" s="1" t="s">
        <v>2472</v>
      </c>
    </row>
    <row r="677" spans="1:2" x14ac:dyDescent="0.3">
      <c r="A677" s="1" t="s">
        <v>2473</v>
      </c>
      <c r="B677" s="1" t="s">
        <v>2474</v>
      </c>
    </row>
    <row r="678" spans="1:2" x14ac:dyDescent="0.3">
      <c r="A678" s="1" t="s">
        <v>2475</v>
      </c>
      <c r="B678" s="1" t="s">
        <v>2476</v>
      </c>
    </row>
    <row r="679" spans="1:2" x14ac:dyDescent="0.3">
      <c r="A679" s="1" t="s">
        <v>2477</v>
      </c>
      <c r="B679" s="1" t="s">
        <v>2478</v>
      </c>
    </row>
    <row r="680" spans="1:2" x14ac:dyDescent="0.3">
      <c r="A680" s="1" t="s">
        <v>2479</v>
      </c>
      <c r="B680" s="1" t="s">
        <v>2480</v>
      </c>
    </row>
    <row r="681" spans="1:2" x14ac:dyDescent="0.3">
      <c r="A681" s="1" t="s">
        <v>2481</v>
      </c>
      <c r="B681" s="1" t="s">
        <v>2482</v>
      </c>
    </row>
    <row r="682" spans="1:2" x14ac:dyDescent="0.3">
      <c r="A682" s="1" t="s">
        <v>2483</v>
      </c>
      <c r="B682" s="1" t="s">
        <v>2484</v>
      </c>
    </row>
    <row r="683" spans="1:2" x14ac:dyDescent="0.3">
      <c r="A683" s="1" t="s">
        <v>2485</v>
      </c>
      <c r="B683" s="1" t="s">
        <v>2486</v>
      </c>
    </row>
    <row r="684" spans="1:2" x14ac:dyDescent="0.3">
      <c r="A684" s="1" t="s">
        <v>2487</v>
      </c>
      <c r="B684" s="1" t="s">
        <v>2488</v>
      </c>
    </row>
    <row r="685" spans="1:2" x14ac:dyDescent="0.3">
      <c r="A685" s="1" t="s">
        <v>2489</v>
      </c>
      <c r="B685" s="1" t="s">
        <v>2490</v>
      </c>
    </row>
    <row r="686" spans="1:2" x14ac:dyDescent="0.3">
      <c r="A686" s="1" t="s">
        <v>2491</v>
      </c>
      <c r="B686" s="1" t="s">
        <v>2492</v>
      </c>
    </row>
    <row r="687" spans="1:2" x14ac:dyDescent="0.3">
      <c r="A687" s="1" t="s">
        <v>2493</v>
      </c>
      <c r="B687" s="1" t="s">
        <v>2494</v>
      </c>
    </row>
    <row r="688" spans="1:2" x14ac:dyDescent="0.3">
      <c r="A688" s="1" t="s">
        <v>2495</v>
      </c>
      <c r="B688" s="1" t="s">
        <v>2496</v>
      </c>
    </row>
    <row r="689" spans="1:2" x14ac:dyDescent="0.3">
      <c r="A689" s="1" t="s">
        <v>2497</v>
      </c>
      <c r="B689" s="1" t="s">
        <v>2498</v>
      </c>
    </row>
    <row r="690" spans="1:2" x14ac:dyDescent="0.3">
      <c r="A690" s="1" t="s">
        <v>2499</v>
      </c>
      <c r="B690" s="1" t="s">
        <v>2500</v>
      </c>
    </row>
    <row r="691" spans="1:2" x14ac:dyDescent="0.3">
      <c r="A691" s="1" t="s">
        <v>2501</v>
      </c>
      <c r="B691" s="1" t="s">
        <v>2502</v>
      </c>
    </row>
    <row r="692" spans="1:2" x14ac:dyDescent="0.3">
      <c r="A692" s="1" t="s">
        <v>2503</v>
      </c>
      <c r="B692" s="1" t="s">
        <v>2504</v>
      </c>
    </row>
    <row r="693" spans="1:2" x14ac:dyDescent="0.3">
      <c r="A693" s="1" t="s">
        <v>2505</v>
      </c>
      <c r="B693" s="1" t="s">
        <v>2506</v>
      </c>
    </row>
    <row r="694" spans="1:2" x14ac:dyDescent="0.3">
      <c r="A694" s="1" t="s">
        <v>2507</v>
      </c>
      <c r="B694" s="1" t="s">
        <v>2508</v>
      </c>
    </row>
    <row r="695" spans="1:2" x14ac:dyDescent="0.3">
      <c r="A695" s="1" t="s">
        <v>2509</v>
      </c>
      <c r="B695" s="1" t="s">
        <v>2510</v>
      </c>
    </row>
    <row r="696" spans="1:2" x14ac:dyDescent="0.3">
      <c r="A696" s="1" t="s">
        <v>2511</v>
      </c>
      <c r="B696" s="1" t="s">
        <v>2512</v>
      </c>
    </row>
    <row r="697" spans="1:2" x14ac:dyDescent="0.3">
      <c r="A697" s="1" t="s">
        <v>2513</v>
      </c>
      <c r="B697" s="1" t="s">
        <v>2514</v>
      </c>
    </row>
    <row r="698" spans="1:2" x14ac:dyDescent="0.3">
      <c r="A698" s="1" t="s">
        <v>2515</v>
      </c>
      <c r="B698" s="1" t="s">
        <v>2516</v>
      </c>
    </row>
    <row r="699" spans="1:2" x14ac:dyDescent="0.3">
      <c r="A699" s="1" t="s">
        <v>2517</v>
      </c>
      <c r="B699" s="1" t="s">
        <v>2518</v>
      </c>
    </row>
    <row r="700" spans="1:2" x14ac:dyDescent="0.3">
      <c r="A700" s="1" t="s">
        <v>2519</v>
      </c>
      <c r="B700" s="1" t="s">
        <v>2520</v>
      </c>
    </row>
    <row r="701" spans="1:2" x14ac:dyDescent="0.3">
      <c r="A701" s="1" t="s">
        <v>2521</v>
      </c>
      <c r="B701" s="1" t="s">
        <v>2522</v>
      </c>
    </row>
    <row r="702" spans="1:2" x14ac:dyDescent="0.3">
      <c r="A702" s="1" t="s">
        <v>2523</v>
      </c>
      <c r="B702" s="1" t="s">
        <v>2524</v>
      </c>
    </row>
    <row r="703" spans="1:2" x14ac:dyDescent="0.3">
      <c r="A703" s="1" t="s">
        <v>2525</v>
      </c>
      <c r="B703" s="1" t="s">
        <v>2526</v>
      </c>
    </row>
    <row r="704" spans="1:2" x14ac:dyDescent="0.3">
      <c r="A704" s="1" t="s">
        <v>2527</v>
      </c>
      <c r="B704" s="1" t="s">
        <v>2528</v>
      </c>
    </row>
    <row r="705" spans="1:2" x14ac:dyDescent="0.3">
      <c r="A705" s="1" t="s">
        <v>2529</v>
      </c>
      <c r="B705" s="1" t="s">
        <v>2530</v>
      </c>
    </row>
    <row r="706" spans="1:2" x14ac:dyDescent="0.3">
      <c r="A706" s="1" t="s">
        <v>2531</v>
      </c>
      <c r="B706" s="1" t="s">
        <v>2532</v>
      </c>
    </row>
    <row r="707" spans="1:2" x14ac:dyDescent="0.3">
      <c r="A707" s="1" t="s">
        <v>2533</v>
      </c>
      <c r="B707" s="1" t="s">
        <v>2534</v>
      </c>
    </row>
    <row r="708" spans="1:2" x14ac:dyDescent="0.3">
      <c r="A708" s="1" t="s">
        <v>2535</v>
      </c>
      <c r="B708" s="1" t="s">
        <v>2536</v>
      </c>
    </row>
    <row r="709" spans="1:2" x14ac:dyDescent="0.3">
      <c r="A709" s="1" t="s">
        <v>2537</v>
      </c>
      <c r="B709" s="1" t="s">
        <v>2538</v>
      </c>
    </row>
    <row r="710" spans="1:2" x14ac:dyDescent="0.3">
      <c r="A710" s="1" t="s">
        <v>2539</v>
      </c>
      <c r="B710" s="1" t="s">
        <v>2540</v>
      </c>
    </row>
    <row r="711" spans="1:2" x14ac:dyDescent="0.3">
      <c r="A711" s="1" t="s">
        <v>2541</v>
      </c>
      <c r="B711" s="1" t="s">
        <v>2542</v>
      </c>
    </row>
    <row r="712" spans="1:2" x14ac:dyDescent="0.3">
      <c r="A712" s="1" t="s">
        <v>2543</v>
      </c>
      <c r="B712" s="1" t="s">
        <v>2544</v>
      </c>
    </row>
    <row r="713" spans="1:2" x14ac:dyDescent="0.3">
      <c r="A713" s="1" t="s">
        <v>2545</v>
      </c>
      <c r="B713" s="1" t="s">
        <v>2546</v>
      </c>
    </row>
    <row r="714" spans="1:2" x14ac:dyDescent="0.3">
      <c r="A714" s="1" t="s">
        <v>2547</v>
      </c>
      <c r="B714" s="1" t="s">
        <v>2548</v>
      </c>
    </row>
    <row r="715" spans="1:2" x14ac:dyDescent="0.3">
      <c r="A715" s="1" t="s">
        <v>2549</v>
      </c>
      <c r="B715" s="1" t="s">
        <v>2550</v>
      </c>
    </row>
    <row r="716" spans="1:2" x14ac:dyDescent="0.3">
      <c r="A716" s="1" t="s">
        <v>2551</v>
      </c>
      <c r="B716" s="1" t="s">
        <v>2552</v>
      </c>
    </row>
    <row r="717" spans="1:2" x14ac:dyDescent="0.3">
      <c r="A717" s="1" t="s">
        <v>2553</v>
      </c>
      <c r="B717" s="1" t="s">
        <v>2554</v>
      </c>
    </row>
    <row r="718" spans="1:2" x14ac:dyDescent="0.3">
      <c r="A718" s="1" t="s">
        <v>2555</v>
      </c>
      <c r="B718" s="1" t="s">
        <v>2556</v>
      </c>
    </row>
    <row r="719" spans="1:2" x14ac:dyDescent="0.3">
      <c r="A719" s="1" t="s">
        <v>2557</v>
      </c>
      <c r="B719" s="1" t="s">
        <v>2558</v>
      </c>
    </row>
    <row r="720" spans="1:2" x14ac:dyDescent="0.3">
      <c r="A720" s="1" t="s">
        <v>2559</v>
      </c>
      <c r="B720" s="1" t="s">
        <v>2560</v>
      </c>
    </row>
    <row r="721" spans="1:2" x14ac:dyDescent="0.3">
      <c r="A721" s="1" t="s">
        <v>2561</v>
      </c>
      <c r="B721" s="1" t="s">
        <v>2562</v>
      </c>
    </row>
    <row r="722" spans="1:2" x14ac:dyDescent="0.3">
      <c r="A722" s="1" t="s">
        <v>2563</v>
      </c>
      <c r="B722" s="1" t="s">
        <v>2564</v>
      </c>
    </row>
    <row r="723" spans="1:2" x14ac:dyDescent="0.3">
      <c r="A723" s="1" t="s">
        <v>2565</v>
      </c>
      <c r="B723" s="1" t="s">
        <v>2566</v>
      </c>
    </row>
    <row r="724" spans="1:2" x14ac:dyDescent="0.3">
      <c r="A724" s="1" t="s">
        <v>2567</v>
      </c>
      <c r="B724" s="1" t="s">
        <v>2568</v>
      </c>
    </row>
    <row r="725" spans="1:2" x14ac:dyDescent="0.3">
      <c r="A725" s="1" t="s">
        <v>2569</v>
      </c>
      <c r="B725" s="1" t="s">
        <v>2570</v>
      </c>
    </row>
    <row r="726" spans="1:2" x14ac:dyDescent="0.3">
      <c r="A726" s="1" t="s">
        <v>2571</v>
      </c>
      <c r="B726" s="1" t="s">
        <v>2572</v>
      </c>
    </row>
    <row r="727" spans="1:2" x14ac:dyDescent="0.3">
      <c r="A727" s="1" t="s">
        <v>2573</v>
      </c>
      <c r="B727" s="1" t="s">
        <v>2574</v>
      </c>
    </row>
    <row r="728" spans="1:2" x14ac:dyDescent="0.3">
      <c r="A728" s="1" t="s">
        <v>2575</v>
      </c>
      <c r="B728" s="1" t="s">
        <v>2576</v>
      </c>
    </row>
    <row r="729" spans="1:2" x14ac:dyDescent="0.3">
      <c r="A729" s="1" t="s">
        <v>2577</v>
      </c>
      <c r="B729" s="1" t="s">
        <v>2578</v>
      </c>
    </row>
    <row r="730" spans="1:2" x14ac:dyDescent="0.3">
      <c r="A730" s="1" t="s">
        <v>2579</v>
      </c>
      <c r="B730" s="1" t="s">
        <v>2580</v>
      </c>
    </row>
    <row r="731" spans="1:2" x14ac:dyDescent="0.3">
      <c r="A731" s="1" t="s">
        <v>2581</v>
      </c>
      <c r="B731" s="1" t="s">
        <v>2582</v>
      </c>
    </row>
    <row r="732" spans="1:2" x14ac:dyDescent="0.3">
      <c r="A732" s="1" t="s">
        <v>2583</v>
      </c>
      <c r="B732" s="1" t="s">
        <v>2584</v>
      </c>
    </row>
    <row r="733" spans="1:2" x14ac:dyDescent="0.3">
      <c r="A733" s="1" t="s">
        <v>2585</v>
      </c>
      <c r="B733" s="1" t="s">
        <v>2586</v>
      </c>
    </row>
    <row r="734" spans="1:2" x14ac:dyDescent="0.3">
      <c r="A734" s="1" t="s">
        <v>2587</v>
      </c>
      <c r="B734" s="1" t="s">
        <v>2588</v>
      </c>
    </row>
    <row r="735" spans="1:2" x14ac:dyDescent="0.3">
      <c r="A735" s="1" t="s">
        <v>2589</v>
      </c>
      <c r="B735" s="1" t="s">
        <v>2590</v>
      </c>
    </row>
    <row r="736" spans="1:2" x14ac:dyDescent="0.3">
      <c r="A736" s="1" t="s">
        <v>2591</v>
      </c>
      <c r="B736" s="1" t="s">
        <v>2592</v>
      </c>
    </row>
    <row r="737" spans="1:2" x14ac:dyDescent="0.3">
      <c r="A737" s="1" t="s">
        <v>2593</v>
      </c>
      <c r="B737" s="1" t="s">
        <v>2594</v>
      </c>
    </row>
    <row r="738" spans="1:2" x14ac:dyDescent="0.3">
      <c r="A738" s="1" t="s">
        <v>2595</v>
      </c>
      <c r="B738" s="1" t="s">
        <v>2596</v>
      </c>
    </row>
    <row r="739" spans="1:2" x14ac:dyDescent="0.3">
      <c r="A739" s="1" t="s">
        <v>2597</v>
      </c>
      <c r="B739" s="1" t="s">
        <v>2598</v>
      </c>
    </row>
    <row r="740" spans="1:2" x14ac:dyDescent="0.3">
      <c r="A740" s="1" t="s">
        <v>2599</v>
      </c>
      <c r="B740" s="1" t="s">
        <v>2600</v>
      </c>
    </row>
    <row r="741" spans="1:2" x14ac:dyDescent="0.3">
      <c r="A741" s="1" t="s">
        <v>2601</v>
      </c>
      <c r="B741" s="1" t="s">
        <v>2602</v>
      </c>
    </row>
    <row r="742" spans="1:2" x14ac:dyDescent="0.3">
      <c r="A742" s="1" t="s">
        <v>2603</v>
      </c>
      <c r="B742" s="1" t="s">
        <v>2604</v>
      </c>
    </row>
    <row r="743" spans="1:2" x14ac:dyDescent="0.3">
      <c r="A743" s="1" t="s">
        <v>2605</v>
      </c>
      <c r="B743" s="1" t="s">
        <v>2606</v>
      </c>
    </row>
    <row r="744" spans="1:2" x14ac:dyDescent="0.3">
      <c r="A744" s="1" t="s">
        <v>2607</v>
      </c>
      <c r="B744" s="1" t="s">
        <v>2608</v>
      </c>
    </row>
    <row r="745" spans="1:2" x14ac:dyDescent="0.3">
      <c r="A745" s="1" t="s">
        <v>2609</v>
      </c>
      <c r="B745" s="1" t="s">
        <v>2610</v>
      </c>
    </row>
    <row r="746" spans="1:2" x14ac:dyDescent="0.3">
      <c r="A746" s="1" t="s">
        <v>2611</v>
      </c>
      <c r="B746" s="1" t="s">
        <v>2612</v>
      </c>
    </row>
    <row r="747" spans="1:2" x14ac:dyDescent="0.3">
      <c r="A747" s="1" t="s">
        <v>2613</v>
      </c>
      <c r="B747" s="1" t="s">
        <v>2614</v>
      </c>
    </row>
    <row r="748" spans="1:2" x14ac:dyDescent="0.3">
      <c r="A748" s="1" t="s">
        <v>2615</v>
      </c>
      <c r="B748" s="1" t="s">
        <v>2616</v>
      </c>
    </row>
    <row r="749" spans="1:2" x14ac:dyDescent="0.3">
      <c r="A749" s="1" t="s">
        <v>2617</v>
      </c>
      <c r="B749" s="1" t="s">
        <v>2618</v>
      </c>
    </row>
    <row r="750" spans="1:2" x14ac:dyDescent="0.3">
      <c r="A750" s="1" t="s">
        <v>2619</v>
      </c>
      <c r="B750" s="1" t="s">
        <v>2620</v>
      </c>
    </row>
    <row r="751" spans="1:2" x14ac:dyDescent="0.3">
      <c r="A751" s="1" t="s">
        <v>2621</v>
      </c>
      <c r="B751" s="1" t="s">
        <v>2622</v>
      </c>
    </row>
    <row r="752" spans="1:2" x14ac:dyDescent="0.3">
      <c r="A752" s="1" t="s">
        <v>2623</v>
      </c>
      <c r="B752" s="1" t="s">
        <v>2624</v>
      </c>
    </row>
    <row r="753" spans="1:2" x14ac:dyDescent="0.3">
      <c r="A753" s="1" t="s">
        <v>2625</v>
      </c>
      <c r="B753" s="1" t="s">
        <v>2626</v>
      </c>
    </row>
    <row r="754" spans="1:2" x14ac:dyDescent="0.3">
      <c r="A754" s="1" t="s">
        <v>2627</v>
      </c>
      <c r="B754" s="1" t="s">
        <v>2628</v>
      </c>
    </row>
    <row r="755" spans="1:2" x14ac:dyDescent="0.3">
      <c r="A755" s="1" t="s">
        <v>2629</v>
      </c>
      <c r="B755" s="1" t="s">
        <v>2630</v>
      </c>
    </row>
    <row r="756" spans="1:2" x14ac:dyDescent="0.3">
      <c r="A756" s="1" t="s">
        <v>2631</v>
      </c>
      <c r="B756" s="1" t="s">
        <v>2632</v>
      </c>
    </row>
    <row r="757" spans="1:2" x14ac:dyDescent="0.3">
      <c r="A757" s="1" t="s">
        <v>2633</v>
      </c>
      <c r="B757" s="1" t="s">
        <v>2634</v>
      </c>
    </row>
    <row r="758" spans="1:2" x14ac:dyDescent="0.3">
      <c r="A758" s="1" t="s">
        <v>2635</v>
      </c>
      <c r="B758" s="1" t="s">
        <v>2636</v>
      </c>
    </row>
    <row r="759" spans="1:2" x14ac:dyDescent="0.3">
      <c r="A759" s="1" t="s">
        <v>2637</v>
      </c>
      <c r="B759" s="1" t="s">
        <v>2638</v>
      </c>
    </row>
    <row r="760" spans="1:2" x14ac:dyDescent="0.3">
      <c r="A760" s="1" t="s">
        <v>2639</v>
      </c>
      <c r="B760" s="1" t="s">
        <v>2640</v>
      </c>
    </row>
    <row r="761" spans="1:2" x14ac:dyDescent="0.3">
      <c r="A761" s="1" t="s">
        <v>2641</v>
      </c>
      <c r="B761" s="1" t="s">
        <v>2642</v>
      </c>
    </row>
    <row r="762" spans="1:2" x14ac:dyDescent="0.3">
      <c r="A762" s="1" t="s">
        <v>2643</v>
      </c>
      <c r="B762" s="1" t="s">
        <v>2644</v>
      </c>
    </row>
    <row r="763" spans="1:2" x14ac:dyDescent="0.3">
      <c r="A763" s="1" t="s">
        <v>2645</v>
      </c>
      <c r="B763" s="1" t="s">
        <v>2646</v>
      </c>
    </row>
    <row r="764" spans="1:2" x14ac:dyDescent="0.3">
      <c r="A764" s="1" t="s">
        <v>2647</v>
      </c>
      <c r="B764" s="1" t="s">
        <v>2648</v>
      </c>
    </row>
    <row r="765" spans="1:2" x14ac:dyDescent="0.3">
      <c r="A765" s="1" t="s">
        <v>2649</v>
      </c>
      <c r="B765" s="1" t="s">
        <v>2650</v>
      </c>
    </row>
    <row r="766" spans="1:2" x14ac:dyDescent="0.3">
      <c r="A766" s="1" t="s">
        <v>2651</v>
      </c>
      <c r="B766" s="1" t="s">
        <v>2652</v>
      </c>
    </row>
    <row r="767" spans="1:2" x14ac:dyDescent="0.3">
      <c r="A767" s="1" t="s">
        <v>2653</v>
      </c>
      <c r="B767" s="1" t="s">
        <v>2654</v>
      </c>
    </row>
    <row r="768" spans="1:2" x14ac:dyDescent="0.3">
      <c r="A768" s="1" t="s">
        <v>2655</v>
      </c>
      <c r="B768" s="1" t="s">
        <v>2656</v>
      </c>
    </row>
    <row r="769" spans="1:2" x14ac:dyDescent="0.3">
      <c r="A769" s="1" t="s">
        <v>2657</v>
      </c>
      <c r="B769" s="1" t="s">
        <v>2658</v>
      </c>
    </row>
    <row r="770" spans="1:2" x14ac:dyDescent="0.3">
      <c r="A770" s="1" t="s">
        <v>2659</v>
      </c>
      <c r="B770" s="1" t="s">
        <v>2660</v>
      </c>
    </row>
    <row r="771" spans="1:2" x14ac:dyDescent="0.3">
      <c r="A771" s="1" t="s">
        <v>2661</v>
      </c>
      <c r="B771" s="1" t="s">
        <v>2662</v>
      </c>
    </row>
    <row r="772" spans="1:2" x14ac:dyDescent="0.3">
      <c r="A772" s="1" t="s">
        <v>2663</v>
      </c>
      <c r="B772" s="1" t="s">
        <v>2664</v>
      </c>
    </row>
    <row r="773" spans="1:2" x14ac:dyDescent="0.3">
      <c r="A773" s="1" t="s">
        <v>2665</v>
      </c>
      <c r="B773" s="1" t="s">
        <v>2666</v>
      </c>
    </row>
    <row r="774" spans="1:2" x14ac:dyDescent="0.3">
      <c r="A774" s="1" t="s">
        <v>2667</v>
      </c>
      <c r="B774" s="1" t="s">
        <v>2668</v>
      </c>
    </row>
    <row r="775" spans="1:2" x14ac:dyDescent="0.3">
      <c r="A775" s="1" t="s">
        <v>2669</v>
      </c>
      <c r="B775" s="1" t="s">
        <v>2670</v>
      </c>
    </row>
    <row r="776" spans="1:2" x14ac:dyDescent="0.3">
      <c r="A776" s="1" t="s">
        <v>2671</v>
      </c>
      <c r="B776" s="1" t="s">
        <v>2672</v>
      </c>
    </row>
    <row r="777" spans="1:2" x14ac:dyDescent="0.3">
      <c r="A777" s="1" t="s">
        <v>2673</v>
      </c>
      <c r="B777" s="1" t="s">
        <v>2674</v>
      </c>
    </row>
    <row r="778" spans="1:2" x14ac:dyDescent="0.3">
      <c r="A778" s="1" t="s">
        <v>2675</v>
      </c>
      <c r="B778" s="1" t="s">
        <v>2676</v>
      </c>
    </row>
    <row r="779" spans="1:2" x14ac:dyDescent="0.3">
      <c r="A779" s="1" t="s">
        <v>2677</v>
      </c>
      <c r="B779" s="1" t="s">
        <v>2678</v>
      </c>
    </row>
    <row r="780" spans="1:2" x14ac:dyDescent="0.3">
      <c r="A780" s="1" t="s">
        <v>2679</v>
      </c>
      <c r="B780" s="1" t="s">
        <v>2680</v>
      </c>
    </row>
    <row r="781" spans="1:2" x14ac:dyDescent="0.3">
      <c r="A781" s="1" t="s">
        <v>2681</v>
      </c>
      <c r="B781" s="1" t="s">
        <v>2682</v>
      </c>
    </row>
    <row r="782" spans="1:2" x14ac:dyDescent="0.3">
      <c r="A782" s="1" t="s">
        <v>2683</v>
      </c>
      <c r="B782" s="1" t="s">
        <v>2684</v>
      </c>
    </row>
    <row r="783" spans="1:2" x14ac:dyDescent="0.3">
      <c r="A783" s="1" t="s">
        <v>2685</v>
      </c>
      <c r="B783" s="1" t="s">
        <v>2686</v>
      </c>
    </row>
    <row r="784" spans="1:2" x14ac:dyDescent="0.3">
      <c r="A784" s="1" t="s">
        <v>2687</v>
      </c>
      <c r="B784" s="1" t="s">
        <v>2688</v>
      </c>
    </row>
    <row r="785" spans="1:2" x14ac:dyDescent="0.3">
      <c r="A785" s="1" t="s">
        <v>2689</v>
      </c>
      <c r="B785" s="1" t="s">
        <v>2690</v>
      </c>
    </row>
    <row r="786" spans="1:2" x14ac:dyDescent="0.3">
      <c r="A786" s="1" t="s">
        <v>2691</v>
      </c>
      <c r="B786" s="1" t="s">
        <v>2692</v>
      </c>
    </row>
    <row r="787" spans="1:2" x14ac:dyDescent="0.3">
      <c r="A787" s="1" t="s">
        <v>2693</v>
      </c>
      <c r="B787" s="1" t="s">
        <v>2694</v>
      </c>
    </row>
    <row r="788" spans="1:2" x14ac:dyDescent="0.3">
      <c r="A788" s="1" t="s">
        <v>2695</v>
      </c>
      <c r="B788" s="1" t="s">
        <v>2696</v>
      </c>
    </row>
    <row r="789" spans="1:2" x14ac:dyDescent="0.3">
      <c r="A789" s="1" t="s">
        <v>2697</v>
      </c>
      <c r="B789" s="1" t="s">
        <v>2698</v>
      </c>
    </row>
    <row r="790" spans="1:2" x14ac:dyDescent="0.3">
      <c r="A790" s="1" t="s">
        <v>2699</v>
      </c>
      <c r="B790" s="1" t="s">
        <v>2700</v>
      </c>
    </row>
    <row r="791" spans="1:2" x14ac:dyDescent="0.3">
      <c r="A791" s="1" t="s">
        <v>2701</v>
      </c>
      <c r="B791" s="1" t="s">
        <v>2702</v>
      </c>
    </row>
    <row r="792" spans="1:2" x14ac:dyDescent="0.3">
      <c r="A792" s="1" t="s">
        <v>2703</v>
      </c>
      <c r="B792" s="1" t="s">
        <v>2704</v>
      </c>
    </row>
    <row r="793" spans="1:2" x14ac:dyDescent="0.3">
      <c r="A793" s="1" t="s">
        <v>2705</v>
      </c>
      <c r="B793" s="1" t="s">
        <v>2706</v>
      </c>
    </row>
    <row r="794" spans="1:2" x14ac:dyDescent="0.3">
      <c r="A794" s="1" t="s">
        <v>2707</v>
      </c>
      <c r="B794" s="1" t="s">
        <v>2708</v>
      </c>
    </row>
    <row r="795" spans="1:2" x14ac:dyDescent="0.3">
      <c r="A795" s="1" t="s">
        <v>2709</v>
      </c>
      <c r="B795" s="1" t="s">
        <v>2710</v>
      </c>
    </row>
    <row r="796" spans="1:2" x14ac:dyDescent="0.3">
      <c r="A796" s="1" t="s">
        <v>2711</v>
      </c>
      <c r="B796" s="1" t="s">
        <v>2712</v>
      </c>
    </row>
    <row r="797" spans="1:2" x14ac:dyDescent="0.3">
      <c r="A797" s="1" t="s">
        <v>2713</v>
      </c>
      <c r="B797" s="1" t="s">
        <v>2714</v>
      </c>
    </row>
    <row r="798" spans="1:2" x14ac:dyDescent="0.3">
      <c r="A798" s="1" t="s">
        <v>2715</v>
      </c>
      <c r="B798" s="1" t="s">
        <v>2716</v>
      </c>
    </row>
    <row r="799" spans="1:2" x14ac:dyDescent="0.3">
      <c r="A799" s="1" t="s">
        <v>2717</v>
      </c>
      <c r="B799" s="1" t="s">
        <v>2718</v>
      </c>
    </row>
    <row r="800" spans="1:2" x14ac:dyDescent="0.3">
      <c r="A800" s="1" t="s">
        <v>2719</v>
      </c>
      <c r="B800" s="1" t="s">
        <v>2720</v>
      </c>
    </row>
    <row r="801" spans="1:2" x14ac:dyDescent="0.3">
      <c r="A801" s="1" t="s">
        <v>2721</v>
      </c>
      <c r="B801" s="1" t="s">
        <v>2722</v>
      </c>
    </row>
    <row r="802" spans="1:2" x14ac:dyDescent="0.3">
      <c r="A802" s="1" t="s">
        <v>2723</v>
      </c>
      <c r="B802" s="1" t="s">
        <v>2724</v>
      </c>
    </row>
    <row r="803" spans="1:2" x14ac:dyDescent="0.3">
      <c r="A803" s="1" t="s">
        <v>2725</v>
      </c>
      <c r="B803" s="1" t="s">
        <v>2726</v>
      </c>
    </row>
    <row r="804" spans="1:2" x14ac:dyDescent="0.3">
      <c r="A804" s="1" t="s">
        <v>2727</v>
      </c>
      <c r="B804" s="1" t="s">
        <v>2728</v>
      </c>
    </row>
    <row r="805" spans="1:2" x14ac:dyDescent="0.3">
      <c r="A805" s="1" t="s">
        <v>2729</v>
      </c>
      <c r="B805" s="1" t="s">
        <v>2730</v>
      </c>
    </row>
    <row r="806" spans="1:2" x14ac:dyDescent="0.3">
      <c r="A806" s="1" t="s">
        <v>2731</v>
      </c>
      <c r="B806" s="1" t="s">
        <v>2732</v>
      </c>
    </row>
    <row r="807" spans="1:2" x14ac:dyDescent="0.3">
      <c r="A807" s="1" t="s">
        <v>2733</v>
      </c>
      <c r="B807" s="1" t="s">
        <v>2734</v>
      </c>
    </row>
    <row r="808" spans="1:2" x14ac:dyDescent="0.3">
      <c r="A808" s="1" t="s">
        <v>2735</v>
      </c>
      <c r="B808" s="1" t="s">
        <v>2736</v>
      </c>
    </row>
    <row r="809" spans="1:2" x14ac:dyDescent="0.3">
      <c r="A809" s="1" t="s">
        <v>2737</v>
      </c>
      <c r="B809" s="1" t="s">
        <v>2738</v>
      </c>
    </row>
    <row r="810" spans="1:2" x14ac:dyDescent="0.3">
      <c r="A810" s="1" t="s">
        <v>2739</v>
      </c>
      <c r="B810" s="1" t="s">
        <v>2740</v>
      </c>
    </row>
    <row r="811" spans="1:2" x14ac:dyDescent="0.3">
      <c r="A811" s="1" t="s">
        <v>2741</v>
      </c>
      <c r="B811" s="1" t="s">
        <v>2742</v>
      </c>
    </row>
    <row r="812" spans="1:2" x14ac:dyDescent="0.3">
      <c r="A812" s="1" t="s">
        <v>2743</v>
      </c>
      <c r="B812" s="1" t="s">
        <v>2744</v>
      </c>
    </row>
    <row r="813" spans="1:2" x14ac:dyDescent="0.3">
      <c r="A813" s="1" t="s">
        <v>2745</v>
      </c>
      <c r="B813" s="1" t="s">
        <v>2746</v>
      </c>
    </row>
    <row r="814" spans="1:2" x14ac:dyDescent="0.3">
      <c r="A814" s="1" t="s">
        <v>2747</v>
      </c>
      <c r="B814" s="1" t="s">
        <v>2748</v>
      </c>
    </row>
    <row r="815" spans="1:2" x14ac:dyDescent="0.3">
      <c r="A815" s="1" t="s">
        <v>2749</v>
      </c>
      <c r="B815" s="1" t="s">
        <v>2750</v>
      </c>
    </row>
    <row r="816" spans="1:2" x14ac:dyDescent="0.3">
      <c r="A816" s="1" t="s">
        <v>2751</v>
      </c>
      <c r="B816" s="1" t="s">
        <v>2752</v>
      </c>
    </row>
    <row r="817" spans="1:2" x14ac:dyDescent="0.3">
      <c r="A817" s="1" t="s">
        <v>2753</v>
      </c>
      <c r="B817" s="1" t="s">
        <v>2754</v>
      </c>
    </row>
    <row r="818" spans="1:2" x14ac:dyDescent="0.3">
      <c r="A818" s="1" t="s">
        <v>2755</v>
      </c>
      <c r="B818" s="1" t="s">
        <v>2756</v>
      </c>
    </row>
    <row r="819" spans="1:2" x14ac:dyDescent="0.3">
      <c r="A819" s="1" t="s">
        <v>2757</v>
      </c>
      <c r="B819" s="1" t="s">
        <v>2758</v>
      </c>
    </row>
    <row r="820" spans="1:2" x14ac:dyDescent="0.3">
      <c r="A820" s="1" t="s">
        <v>2759</v>
      </c>
      <c r="B820" s="1" t="s">
        <v>2760</v>
      </c>
    </row>
    <row r="821" spans="1:2" x14ac:dyDescent="0.3">
      <c r="A821" s="1" t="s">
        <v>2761</v>
      </c>
      <c r="B821" s="1" t="s">
        <v>2762</v>
      </c>
    </row>
    <row r="822" spans="1:2" x14ac:dyDescent="0.3">
      <c r="A822" s="1" t="s">
        <v>2763</v>
      </c>
      <c r="B822" s="1" t="s">
        <v>2764</v>
      </c>
    </row>
    <row r="823" spans="1:2" x14ac:dyDescent="0.3">
      <c r="A823" s="1" t="s">
        <v>2765</v>
      </c>
      <c r="B823" s="1" t="s">
        <v>2766</v>
      </c>
    </row>
    <row r="824" spans="1:2" x14ac:dyDescent="0.3">
      <c r="A824" s="1" t="s">
        <v>2767</v>
      </c>
      <c r="B824" s="1" t="s">
        <v>2768</v>
      </c>
    </row>
    <row r="825" spans="1:2" x14ac:dyDescent="0.3">
      <c r="A825" s="1" t="s">
        <v>2769</v>
      </c>
      <c r="B825" s="1" t="s">
        <v>2770</v>
      </c>
    </row>
    <row r="826" spans="1:2" x14ac:dyDescent="0.3">
      <c r="A826" s="1" t="s">
        <v>2771</v>
      </c>
      <c r="B826" s="1" t="s">
        <v>2772</v>
      </c>
    </row>
    <row r="827" spans="1:2" x14ac:dyDescent="0.3">
      <c r="A827" s="1" t="s">
        <v>2773</v>
      </c>
      <c r="B827" s="1" t="s">
        <v>2774</v>
      </c>
    </row>
    <row r="828" spans="1:2" x14ac:dyDescent="0.3">
      <c r="A828" s="1" t="s">
        <v>2775</v>
      </c>
      <c r="B828" s="1" t="s">
        <v>2776</v>
      </c>
    </row>
    <row r="829" spans="1:2" x14ac:dyDescent="0.3">
      <c r="A829" s="1" t="s">
        <v>2777</v>
      </c>
      <c r="B829" s="1" t="s">
        <v>2778</v>
      </c>
    </row>
    <row r="830" spans="1:2" x14ac:dyDescent="0.3">
      <c r="A830" s="1" t="s">
        <v>2779</v>
      </c>
      <c r="B830" s="1" t="s">
        <v>2780</v>
      </c>
    </row>
    <row r="831" spans="1:2" x14ac:dyDescent="0.3">
      <c r="A831" s="1" t="s">
        <v>2781</v>
      </c>
      <c r="B831" s="1" t="s">
        <v>2782</v>
      </c>
    </row>
    <row r="832" spans="1:2" x14ac:dyDescent="0.3">
      <c r="A832" s="1" t="s">
        <v>2783</v>
      </c>
      <c r="B832" s="1" t="s">
        <v>2784</v>
      </c>
    </row>
    <row r="833" spans="1:2" x14ac:dyDescent="0.3">
      <c r="A833" s="1" t="s">
        <v>2785</v>
      </c>
      <c r="B833" s="1" t="s">
        <v>2786</v>
      </c>
    </row>
    <row r="834" spans="1:2" x14ac:dyDescent="0.3">
      <c r="A834" s="1" t="s">
        <v>2787</v>
      </c>
      <c r="B834" s="1" t="s">
        <v>2788</v>
      </c>
    </row>
    <row r="835" spans="1:2" x14ac:dyDescent="0.3">
      <c r="A835" s="1" t="s">
        <v>2789</v>
      </c>
      <c r="B835" s="1" t="s">
        <v>2790</v>
      </c>
    </row>
    <row r="836" spans="1:2" x14ac:dyDescent="0.3">
      <c r="A836" s="1" t="s">
        <v>2791</v>
      </c>
      <c r="B836" s="1" t="s">
        <v>2792</v>
      </c>
    </row>
    <row r="837" spans="1:2" x14ac:dyDescent="0.3">
      <c r="A837" s="1" t="s">
        <v>2793</v>
      </c>
      <c r="B837" s="1" t="s">
        <v>2794</v>
      </c>
    </row>
    <row r="838" spans="1:2" x14ac:dyDescent="0.3">
      <c r="A838" s="1" t="s">
        <v>2795</v>
      </c>
      <c r="B838" s="1" t="s">
        <v>2796</v>
      </c>
    </row>
    <row r="839" spans="1:2" x14ac:dyDescent="0.3">
      <c r="A839" s="1" t="s">
        <v>2797</v>
      </c>
      <c r="B839" s="1" t="s">
        <v>2798</v>
      </c>
    </row>
    <row r="840" spans="1:2" x14ac:dyDescent="0.3">
      <c r="A840" s="1" t="s">
        <v>2799</v>
      </c>
      <c r="B840" s="1" t="s">
        <v>2800</v>
      </c>
    </row>
    <row r="841" spans="1:2" x14ac:dyDescent="0.3">
      <c r="A841" s="1" t="s">
        <v>2801</v>
      </c>
      <c r="B841" s="1" t="s">
        <v>2802</v>
      </c>
    </row>
    <row r="842" spans="1:2" x14ac:dyDescent="0.3">
      <c r="A842" s="1" t="s">
        <v>2803</v>
      </c>
      <c r="B842" s="1" t="s">
        <v>2804</v>
      </c>
    </row>
    <row r="843" spans="1:2" x14ac:dyDescent="0.3">
      <c r="A843" s="1" t="s">
        <v>2805</v>
      </c>
      <c r="B843" s="1" t="s">
        <v>2806</v>
      </c>
    </row>
    <row r="844" spans="1:2" x14ac:dyDescent="0.3">
      <c r="A844" s="1" t="s">
        <v>2807</v>
      </c>
      <c r="B844" s="1" t="s">
        <v>2808</v>
      </c>
    </row>
    <row r="845" spans="1:2" x14ac:dyDescent="0.3">
      <c r="A845" s="1" t="s">
        <v>2809</v>
      </c>
      <c r="B845" s="1" t="s">
        <v>2810</v>
      </c>
    </row>
    <row r="846" spans="1:2" x14ac:dyDescent="0.3">
      <c r="A846" s="1" t="s">
        <v>2811</v>
      </c>
      <c r="B846" s="1" t="s">
        <v>2812</v>
      </c>
    </row>
    <row r="847" spans="1:2" x14ac:dyDescent="0.3">
      <c r="A847" s="1" t="s">
        <v>2813</v>
      </c>
      <c r="B847" s="1" t="s">
        <v>2814</v>
      </c>
    </row>
    <row r="848" spans="1:2" x14ac:dyDescent="0.3">
      <c r="A848" s="1" t="s">
        <v>2815</v>
      </c>
      <c r="B848" s="1" t="s">
        <v>2816</v>
      </c>
    </row>
    <row r="849" spans="1:2" x14ac:dyDescent="0.3">
      <c r="A849" s="1" t="s">
        <v>2817</v>
      </c>
      <c r="B849" s="1" t="s">
        <v>2818</v>
      </c>
    </row>
    <row r="850" spans="1:2" x14ac:dyDescent="0.3">
      <c r="A850" s="1" t="s">
        <v>2819</v>
      </c>
      <c r="B850" s="1" t="s">
        <v>2820</v>
      </c>
    </row>
    <row r="851" spans="1:2" x14ac:dyDescent="0.3">
      <c r="A851" s="1" t="s">
        <v>2821</v>
      </c>
      <c r="B851" s="1" t="s">
        <v>2822</v>
      </c>
    </row>
    <row r="852" spans="1:2" x14ac:dyDescent="0.3">
      <c r="A852" s="1" t="s">
        <v>2823</v>
      </c>
      <c r="B852" s="1" t="s">
        <v>2824</v>
      </c>
    </row>
    <row r="853" spans="1:2" x14ac:dyDescent="0.3">
      <c r="A853" s="1" t="s">
        <v>2825</v>
      </c>
      <c r="B853" s="1" t="s">
        <v>2826</v>
      </c>
    </row>
    <row r="854" spans="1:2" x14ac:dyDescent="0.3">
      <c r="A854" s="1" t="s">
        <v>2827</v>
      </c>
      <c r="B854" s="1" t="s">
        <v>2828</v>
      </c>
    </row>
    <row r="855" spans="1:2" x14ac:dyDescent="0.3">
      <c r="A855" s="1" t="s">
        <v>2829</v>
      </c>
      <c r="B855" s="1" t="s">
        <v>2830</v>
      </c>
    </row>
    <row r="856" spans="1:2" x14ac:dyDescent="0.3">
      <c r="A856" s="1" t="s">
        <v>2831</v>
      </c>
      <c r="B856" s="1" t="s">
        <v>2832</v>
      </c>
    </row>
    <row r="857" spans="1:2" x14ac:dyDescent="0.3">
      <c r="A857" s="1" t="s">
        <v>2833</v>
      </c>
      <c r="B857" s="1" t="s">
        <v>2834</v>
      </c>
    </row>
    <row r="858" spans="1:2" x14ac:dyDescent="0.3">
      <c r="A858" s="1" t="s">
        <v>2835</v>
      </c>
      <c r="B858" s="1" t="s">
        <v>2836</v>
      </c>
    </row>
    <row r="859" spans="1:2" x14ac:dyDescent="0.3">
      <c r="A859" s="1" t="s">
        <v>2837</v>
      </c>
      <c r="B859" s="1" t="s">
        <v>2838</v>
      </c>
    </row>
    <row r="860" spans="1:2" x14ac:dyDescent="0.3">
      <c r="A860" s="1" t="s">
        <v>2839</v>
      </c>
      <c r="B860" s="1" t="s">
        <v>2840</v>
      </c>
    </row>
    <row r="861" spans="1:2" x14ac:dyDescent="0.3">
      <c r="A861" s="1" t="s">
        <v>2841</v>
      </c>
      <c r="B861" s="1" t="s">
        <v>2842</v>
      </c>
    </row>
    <row r="862" spans="1:2" x14ac:dyDescent="0.3">
      <c r="A862" s="1" t="s">
        <v>2843</v>
      </c>
      <c r="B862" s="1" t="s">
        <v>2844</v>
      </c>
    </row>
    <row r="863" spans="1:2" x14ac:dyDescent="0.3">
      <c r="A863" s="1" t="s">
        <v>2845</v>
      </c>
      <c r="B863" s="1" t="s">
        <v>2846</v>
      </c>
    </row>
    <row r="864" spans="1:2" x14ac:dyDescent="0.3">
      <c r="A864" s="1" t="s">
        <v>2847</v>
      </c>
      <c r="B864" s="1" t="s">
        <v>2848</v>
      </c>
    </row>
    <row r="865" spans="1:2" x14ac:dyDescent="0.3">
      <c r="A865" s="1" t="s">
        <v>2849</v>
      </c>
      <c r="B865" s="1" t="s">
        <v>2850</v>
      </c>
    </row>
    <row r="866" spans="1:2" x14ac:dyDescent="0.3">
      <c r="A866" s="1" t="s">
        <v>2851</v>
      </c>
      <c r="B866" s="1" t="s">
        <v>2852</v>
      </c>
    </row>
    <row r="867" spans="1:2" x14ac:dyDescent="0.3">
      <c r="A867" s="1" t="s">
        <v>2853</v>
      </c>
      <c r="B867" s="1" t="s">
        <v>2854</v>
      </c>
    </row>
    <row r="868" spans="1:2" x14ac:dyDescent="0.3">
      <c r="A868" s="1" t="s">
        <v>2855</v>
      </c>
      <c r="B868" s="1" t="s">
        <v>2856</v>
      </c>
    </row>
    <row r="869" spans="1:2" x14ac:dyDescent="0.3">
      <c r="A869" s="1" t="s">
        <v>2857</v>
      </c>
      <c r="B869" s="1" t="s">
        <v>2858</v>
      </c>
    </row>
    <row r="870" spans="1:2" x14ac:dyDescent="0.3">
      <c r="A870" s="1" t="s">
        <v>2859</v>
      </c>
      <c r="B870" s="1" t="s">
        <v>2860</v>
      </c>
    </row>
    <row r="871" spans="1:2" x14ac:dyDescent="0.3">
      <c r="A871" s="1" t="s">
        <v>2861</v>
      </c>
      <c r="B871" s="1" t="s">
        <v>2862</v>
      </c>
    </row>
    <row r="872" spans="1:2" x14ac:dyDescent="0.3">
      <c r="A872" s="1" t="s">
        <v>2863</v>
      </c>
      <c r="B872" s="1" t="s">
        <v>2864</v>
      </c>
    </row>
    <row r="873" spans="1:2" x14ac:dyDescent="0.3">
      <c r="A873" s="1" t="s">
        <v>2865</v>
      </c>
      <c r="B873" s="1" t="s">
        <v>2866</v>
      </c>
    </row>
    <row r="874" spans="1:2" x14ac:dyDescent="0.3">
      <c r="A874" s="1" t="s">
        <v>2867</v>
      </c>
      <c r="B874" s="1" t="s">
        <v>2868</v>
      </c>
    </row>
    <row r="875" spans="1:2" x14ac:dyDescent="0.3">
      <c r="A875" s="1" t="s">
        <v>2869</v>
      </c>
      <c r="B875" s="1" t="s">
        <v>2870</v>
      </c>
    </row>
    <row r="876" spans="1:2" x14ac:dyDescent="0.3">
      <c r="A876" s="1" t="s">
        <v>2871</v>
      </c>
      <c r="B876" s="1" t="s">
        <v>2872</v>
      </c>
    </row>
    <row r="877" spans="1:2" x14ac:dyDescent="0.3">
      <c r="A877" s="1" t="s">
        <v>2873</v>
      </c>
      <c r="B877" s="1" t="s">
        <v>2874</v>
      </c>
    </row>
    <row r="878" spans="1:2" x14ac:dyDescent="0.3">
      <c r="A878" s="1" t="s">
        <v>2875</v>
      </c>
      <c r="B878" s="1" t="s">
        <v>2876</v>
      </c>
    </row>
    <row r="879" spans="1:2" x14ac:dyDescent="0.3">
      <c r="A879" s="1" t="s">
        <v>2877</v>
      </c>
      <c r="B879" s="1" t="s">
        <v>2878</v>
      </c>
    </row>
    <row r="880" spans="1:2" x14ac:dyDescent="0.3">
      <c r="A880" s="1" t="s">
        <v>2879</v>
      </c>
      <c r="B880" s="1" t="s">
        <v>2880</v>
      </c>
    </row>
    <row r="881" spans="1:2" x14ac:dyDescent="0.3">
      <c r="A881" s="1" t="s">
        <v>2881</v>
      </c>
      <c r="B881" s="1" t="s">
        <v>2882</v>
      </c>
    </row>
    <row r="882" spans="1:2" x14ac:dyDescent="0.3">
      <c r="A882" s="1" t="s">
        <v>2883</v>
      </c>
      <c r="B882" s="1" t="s">
        <v>2884</v>
      </c>
    </row>
    <row r="883" spans="1:2" x14ac:dyDescent="0.3">
      <c r="A883" s="1" t="s">
        <v>2885</v>
      </c>
      <c r="B883" s="1" t="s">
        <v>2886</v>
      </c>
    </row>
    <row r="884" spans="1:2" x14ac:dyDescent="0.3">
      <c r="A884" s="1" t="s">
        <v>2887</v>
      </c>
      <c r="B884" s="1" t="s">
        <v>2888</v>
      </c>
    </row>
    <row r="885" spans="1:2" x14ac:dyDescent="0.3">
      <c r="A885" s="1" t="s">
        <v>2889</v>
      </c>
      <c r="B885" s="1" t="s">
        <v>2890</v>
      </c>
    </row>
    <row r="886" spans="1:2" x14ac:dyDescent="0.3">
      <c r="A886" s="1" t="s">
        <v>2891</v>
      </c>
      <c r="B886" s="1" t="s">
        <v>2892</v>
      </c>
    </row>
    <row r="887" spans="1:2" x14ac:dyDescent="0.3">
      <c r="A887" s="1" t="s">
        <v>2893</v>
      </c>
      <c r="B887" s="1" t="s">
        <v>2894</v>
      </c>
    </row>
    <row r="888" spans="1:2" x14ac:dyDescent="0.3">
      <c r="A888" s="1" t="s">
        <v>2895</v>
      </c>
      <c r="B888" s="1" t="s">
        <v>2896</v>
      </c>
    </row>
    <row r="889" spans="1:2" x14ac:dyDescent="0.3">
      <c r="A889" s="1" t="s">
        <v>2897</v>
      </c>
      <c r="B889" s="1" t="s">
        <v>2898</v>
      </c>
    </row>
    <row r="890" spans="1:2" x14ac:dyDescent="0.3">
      <c r="A890" s="1" t="s">
        <v>2899</v>
      </c>
      <c r="B890" s="1" t="s">
        <v>2900</v>
      </c>
    </row>
    <row r="891" spans="1:2" x14ac:dyDescent="0.3">
      <c r="A891" s="1" t="s">
        <v>2901</v>
      </c>
      <c r="B891" s="1" t="s">
        <v>2902</v>
      </c>
    </row>
    <row r="892" spans="1:2" x14ac:dyDescent="0.3">
      <c r="A892" s="1" t="s">
        <v>2903</v>
      </c>
      <c r="B892" s="1" t="s">
        <v>2904</v>
      </c>
    </row>
    <row r="893" spans="1:2" x14ac:dyDescent="0.3">
      <c r="A893" s="1" t="s">
        <v>2905</v>
      </c>
      <c r="B893" s="1" t="s">
        <v>2906</v>
      </c>
    </row>
    <row r="894" spans="1:2" x14ac:dyDescent="0.3">
      <c r="A894" s="1" t="s">
        <v>2907</v>
      </c>
      <c r="B894" s="1" t="s">
        <v>2908</v>
      </c>
    </row>
    <row r="895" spans="1:2" x14ac:dyDescent="0.3">
      <c r="A895" s="1" t="s">
        <v>2909</v>
      </c>
      <c r="B895" s="1" t="s">
        <v>2910</v>
      </c>
    </row>
    <row r="896" spans="1:2" x14ac:dyDescent="0.3">
      <c r="A896" s="1" t="s">
        <v>2911</v>
      </c>
      <c r="B896" s="1" t="s">
        <v>2912</v>
      </c>
    </row>
    <row r="897" spans="1:2" x14ac:dyDescent="0.3">
      <c r="A897" s="1" t="s">
        <v>2913</v>
      </c>
      <c r="B897" s="1" t="s">
        <v>2914</v>
      </c>
    </row>
    <row r="898" spans="1:2" x14ac:dyDescent="0.3">
      <c r="A898" s="1" t="s">
        <v>2915</v>
      </c>
      <c r="B898" s="1" t="s">
        <v>2916</v>
      </c>
    </row>
    <row r="899" spans="1:2" x14ac:dyDescent="0.3">
      <c r="A899" s="1" t="s">
        <v>2917</v>
      </c>
      <c r="B899" s="1" t="s">
        <v>2918</v>
      </c>
    </row>
    <row r="900" spans="1:2" x14ac:dyDescent="0.3">
      <c r="A900" s="1" t="s">
        <v>2919</v>
      </c>
      <c r="B900" s="1" t="s">
        <v>2920</v>
      </c>
    </row>
    <row r="901" spans="1:2" x14ac:dyDescent="0.3">
      <c r="A901" s="1" t="s">
        <v>2921</v>
      </c>
      <c r="B901" s="1" t="s">
        <v>2922</v>
      </c>
    </row>
    <row r="902" spans="1:2" x14ac:dyDescent="0.3">
      <c r="A902" s="1" t="s">
        <v>2923</v>
      </c>
      <c r="B902" s="1" t="s">
        <v>2924</v>
      </c>
    </row>
    <row r="903" spans="1:2" x14ac:dyDescent="0.3">
      <c r="A903" s="1" t="s">
        <v>2925</v>
      </c>
      <c r="B903" s="1" t="s">
        <v>2926</v>
      </c>
    </row>
    <row r="904" spans="1:2" x14ac:dyDescent="0.3">
      <c r="A904" s="1" t="s">
        <v>2927</v>
      </c>
      <c r="B904" s="1" t="s">
        <v>2928</v>
      </c>
    </row>
    <row r="905" spans="1:2" x14ac:dyDescent="0.3">
      <c r="A905" s="1" t="s">
        <v>2929</v>
      </c>
      <c r="B905" s="1" t="s">
        <v>2930</v>
      </c>
    </row>
    <row r="906" spans="1:2" x14ac:dyDescent="0.3">
      <c r="A906" s="1" t="s">
        <v>2931</v>
      </c>
      <c r="B906" s="1" t="s">
        <v>2932</v>
      </c>
    </row>
    <row r="907" spans="1:2" x14ac:dyDescent="0.3">
      <c r="A907" s="1" t="s">
        <v>2933</v>
      </c>
      <c r="B907" s="1" t="s">
        <v>2934</v>
      </c>
    </row>
    <row r="908" spans="1:2" x14ac:dyDescent="0.3">
      <c r="A908" s="1" t="s">
        <v>2935</v>
      </c>
      <c r="B908" s="1" t="s">
        <v>2936</v>
      </c>
    </row>
    <row r="909" spans="1:2" x14ac:dyDescent="0.3">
      <c r="A909" s="1" t="s">
        <v>2937</v>
      </c>
      <c r="B909" s="1" t="s">
        <v>2938</v>
      </c>
    </row>
    <row r="910" spans="1:2" x14ac:dyDescent="0.3">
      <c r="A910" s="1" t="s">
        <v>2939</v>
      </c>
      <c r="B910" s="1" t="s">
        <v>2940</v>
      </c>
    </row>
    <row r="911" spans="1:2" x14ac:dyDescent="0.3">
      <c r="A911" s="1" t="s">
        <v>2941</v>
      </c>
      <c r="B911" s="1" t="s">
        <v>2942</v>
      </c>
    </row>
    <row r="912" spans="1:2" x14ac:dyDescent="0.3">
      <c r="A912" s="1" t="s">
        <v>2943</v>
      </c>
      <c r="B912" s="1" t="s">
        <v>2944</v>
      </c>
    </row>
    <row r="913" spans="1:2" x14ac:dyDescent="0.3">
      <c r="A913" s="1" t="s">
        <v>2945</v>
      </c>
      <c r="B913" s="1" t="s">
        <v>2946</v>
      </c>
    </row>
    <row r="914" spans="1:2" x14ac:dyDescent="0.3">
      <c r="A914" s="1" t="s">
        <v>2947</v>
      </c>
      <c r="B914" s="1" t="s">
        <v>2948</v>
      </c>
    </row>
    <row r="915" spans="1:2" x14ac:dyDescent="0.3">
      <c r="A915" s="1" t="s">
        <v>2949</v>
      </c>
      <c r="B915" s="1" t="s">
        <v>2950</v>
      </c>
    </row>
    <row r="916" spans="1:2" x14ac:dyDescent="0.3">
      <c r="A916" s="1" t="s">
        <v>2951</v>
      </c>
      <c r="B916" s="1" t="s">
        <v>2952</v>
      </c>
    </row>
    <row r="917" spans="1:2" x14ac:dyDescent="0.3">
      <c r="A917" s="1" t="s">
        <v>2953</v>
      </c>
      <c r="B917" s="1" t="s">
        <v>2954</v>
      </c>
    </row>
    <row r="918" spans="1:2" x14ac:dyDescent="0.3">
      <c r="A918" s="1" t="s">
        <v>2955</v>
      </c>
      <c r="B918" s="1" t="s">
        <v>2956</v>
      </c>
    </row>
    <row r="919" spans="1:2" x14ac:dyDescent="0.3">
      <c r="A919" s="1" t="s">
        <v>2957</v>
      </c>
      <c r="B919" s="1" t="s">
        <v>2958</v>
      </c>
    </row>
    <row r="920" spans="1:2" x14ac:dyDescent="0.3">
      <c r="A920" s="1" t="s">
        <v>2959</v>
      </c>
      <c r="B920" s="1" t="s">
        <v>2960</v>
      </c>
    </row>
    <row r="921" spans="1:2" x14ac:dyDescent="0.3">
      <c r="A921" s="1" t="s">
        <v>2961</v>
      </c>
      <c r="B921" s="1" t="s">
        <v>2962</v>
      </c>
    </row>
    <row r="922" spans="1:2" x14ac:dyDescent="0.3">
      <c r="A922" s="1" t="s">
        <v>2963</v>
      </c>
      <c r="B922" s="1" t="s">
        <v>2964</v>
      </c>
    </row>
    <row r="923" spans="1:2" x14ac:dyDescent="0.3">
      <c r="A923" s="1" t="s">
        <v>2965</v>
      </c>
      <c r="B923" s="1" t="s">
        <v>2966</v>
      </c>
    </row>
    <row r="924" spans="1:2" x14ac:dyDescent="0.3">
      <c r="A924" s="1" t="s">
        <v>2967</v>
      </c>
      <c r="B924" s="1" t="s">
        <v>2968</v>
      </c>
    </row>
    <row r="925" spans="1:2" x14ac:dyDescent="0.3">
      <c r="A925" s="1" t="s">
        <v>2969</v>
      </c>
      <c r="B925" s="1" t="s">
        <v>2970</v>
      </c>
    </row>
    <row r="926" spans="1:2" x14ac:dyDescent="0.3">
      <c r="A926" s="1" t="s">
        <v>2971</v>
      </c>
      <c r="B926" s="1" t="s">
        <v>2972</v>
      </c>
    </row>
    <row r="927" spans="1:2" x14ac:dyDescent="0.3">
      <c r="A927" s="1" t="s">
        <v>2973</v>
      </c>
      <c r="B927" s="1" t="s">
        <v>2974</v>
      </c>
    </row>
    <row r="928" spans="1:2" x14ac:dyDescent="0.3">
      <c r="A928" s="1" t="s">
        <v>2975</v>
      </c>
      <c r="B928" s="1" t="s">
        <v>2976</v>
      </c>
    </row>
    <row r="929" spans="1:2" x14ac:dyDescent="0.3">
      <c r="A929" s="1" t="s">
        <v>2977</v>
      </c>
      <c r="B929" s="1" t="s">
        <v>2978</v>
      </c>
    </row>
    <row r="930" spans="1:2" x14ac:dyDescent="0.3">
      <c r="A930" s="1" t="s">
        <v>2979</v>
      </c>
      <c r="B930" s="1" t="s">
        <v>2980</v>
      </c>
    </row>
    <row r="931" spans="1:2" x14ac:dyDescent="0.3">
      <c r="A931" s="1" t="s">
        <v>2981</v>
      </c>
      <c r="B931" s="1" t="s">
        <v>2982</v>
      </c>
    </row>
    <row r="932" spans="1:2" x14ac:dyDescent="0.3">
      <c r="A932" s="1" t="s">
        <v>2983</v>
      </c>
      <c r="B932" s="1" t="s">
        <v>2984</v>
      </c>
    </row>
    <row r="933" spans="1:2" x14ac:dyDescent="0.3">
      <c r="A933" s="1" t="s">
        <v>2985</v>
      </c>
      <c r="B933" s="1" t="s">
        <v>2986</v>
      </c>
    </row>
    <row r="934" spans="1:2" x14ac:dyDescent="0.3">
      <c r="A934" s="1" t="s">
        <v>2987</v>
      </c>
      <c r="B934" s="1" t="s">
        <v>2988</v>
      </c>
    </row>
    <row r="935" spans="1:2" x14ac:dyDescent="0.3">
      <c r="A935" s="1" t="s">
        <v>2989</v>
      </c>
      <c r="B935" s="1" t="s">
        <v>2990</v>
      </c>
    </row>
    <row r="936" spans="1:2" x14ac:dyDescent="0.3">
      <c r="A936" s="1" t="s">
        <v>2991</v>
      </c>
      <c r="B936" s="1" t="s">
        <v>2992</v>
      </c>
    </row>
    <row r="937" spans="1:2" x14ac:dyDescent="0.3">
      <c r="A937" s="1" t="s">
        <v>2993</v>
      </c>
      <c r="B937" s="1" t="s">
        <v>2994</v>
      </c>
    </row>
    <row r="938" spans="1:2" x14ac:dyDescent="0.3">
      <c r="A938" s="1" t="s">
        <v>2995</v>
      </c>
      <c r="B938" s="1" t="s">
        <v>2996</v>
      </c>
    </row>
    <row r="939" spans="1:2" x14ac:dyDescent="0.3">
      <c r="A939" s="1" t="s">
        <v>2997</v>
      </c>
      <c r="B939" s="1" t="s">
        <v>2998</v>
      </c>
    </row>
    <row r="940" spans="1:2" x14ac:dyDescent="0.3">
      <c r="A940" s="1" t="s">
        <v>2999</v>
      </c>
      <c r="B940" s="1" t="s">
        <v>3000</v>
      </c>
    </row>
    <row r="941" spans="1:2" x14ac:dyDescent="0.3">
      <c r="A941" s="1" t="s">
        <v>3001</v>
      </c>
      <c r="B941" s="1" t="s">
        <v>3002</v>
      </c>
    </row>
    <row r="942" spans="1:2" x14ac:dyDescent="0.3">
      <c r="A942" s="1" t="s">
        <v>3003</v>
      </c>
      <c r="B942" s="1" t="s">
        <v>3004</v>
      </c>
    </row>
    <row r="943" spans="1:2" x14ac:dyDescent="0.3">
      <c r="A943" s="1" t="s">
        <v>3005</v>
      </c>
      <c r="B943" s="1" t="s">
        <v>3006</v>
      </c>
    </row>
    <row r="944" spans="1:2" x14ac:dyDescent="0.3">
      <c r="A944" s="1" t="s">
        <v>3007</v>
      </c>
      <c r="B944" s="1" t="s">
        <v>3008</v>
      </c>
    </row>
    <row r="945" spans="1:2" x14ac:dyDescent="0.3">
      <c r="A945" s="1" t="s">
        <v>3009</v>
      </c>
      <c r="B945" s="1" t="s">
        <v>3010</v>
      </c>
    </row>
    <row r="946" spans="1:2" x14ac:dyDescent="0.3">
      <c r="A946" s="1" t="s">
        <v>3011</v>
      </c>
      <c r="B946" s="1" t="s">
        <v>3012</v>
      </c>
    </row>
    <row r="947" spans="1:2" x14ac:dyDescent="0.3">
      <c r="A947" s="1" t="s">
        <v>3013</v>
      </c>
      <c r="B947" s="1" t="s">
        <v>3014</v>
      </c>
    </row>
    <row r="948" spans="1:2" x14ac:dyDescent="0.3">
      <c r="A948" s="1" t="s">
        <v>3015</v>
      </c>
      <c r="B948" s="1" t="s">
        <v>3016</v>
      </c>
    </row>
    <row r="949" spans="1:2" x14ac:dyDescent="0.3">
      <c r="A949" s="1" t="s">
        <v>3017</v>
      </c>
      <c r="B949" s="1" t="s">
        <v>3018</v>
      </c>
    </row>
    <row r="950" spans="1:2" x14ac:dyDescent="0.3">
      <c r="A950" s="1" t="s">
        <v>3019</v>
      </c>
      <c r="B950" s="1" t="s">
        <v>3020</v>
      </c>
    </row>
    <row r="951" spans="1:2" x14ac:dyDescent="0.3">
      <c r="A951" s="1" t="s">
        <v>3021</v>
      </c>
      <c r="B951" s="1" t="s">
        <v>3022</v>
      </c>
    </row>
    <row r="952" spans="1:2" x14ac:dyDescent="0.3">
      <c r="A952" s="1" t="s">
        <v>3023</v>
      </c>
      <c r="B952" s="1" t="s">
        <v>3024</v>
      </c>
    </row>
    <row r="953" spans="1:2" x14ac:dyDescent="0.3">
      <c r="A953" s="1" t="s">
        <v>3025</v>
      </c>
      <c r="B953" s="1" t="s">
        <v>3026</v>
      </c>
    </row>
    <row r="954" spans="1:2" x14ac:dyDescent="0.3">
      <c r="A954" s="1" t="s">
        <v>3027</v>
      </c>
      <c r="B954" s="1" t="s">
        <v>3028</v>
      </c>
    </row>
    <row r="955" spans="1:2" x14ac:dyDescent="0.3">
      <c r="A955" s="1" t="s">
        <v>3029</v>
      </c>
      <c r="B955" s="1" t="s">
        <v>3030</v>
      </c>
    </row>
    <row r="956" spans="1:2" x14ac:dyDescent="0.3">
      <c r="A956" s="1" t="s">
        <v>3031</v>
      </c>
      <c r="B956" s="1" t="s">
        <v>3032</v>
      </c>
    </row>
    <row r="957" spans="1:2" x14ac:dyDescent="0.3">
      <c r="A957" s="1" t="s">
        <v>3033</v>
      </c>
      <c r="B957" s="1" t="s">
        <v>3034</v>
      </c>
    </row>
    <row r="958" spans="1:2" x14ac:dyDescent="0.3">
      <c r="A958" s="1" t="s">
        <v>3035</v>
      </c>
      <c r="B958" s="1" t="s">
        <v>3036</v>
      </c>
    </row>
    <row r="959" spans="1:2" x14ac:dyDescent="0.3">
      <c r="A959" s="1" t="s">
        <v>3037</v>
      </c>
      <c r="B959" s="1" t="s">
        <v>3038</v>
      </c>
    </row>
    <row r="960" spans="1:2" x14ac:dyDescent="0.3">
      <c r="A960" s="1" t="s">
        <v>3039</v>
      </c>
      <c r="B960" s="1" t="s">
        <v>3040</v>
      </c>
    </row>
    <row r="961" spans="1:2" x14ac:dyDescent="0.3">
      <c r="A961" s="1" t="s">
        <v>3041</v>
      </c>
      <c r="B961" s="1" t="s">
        <v>3042</v>
      </c>
    </row>
    <row r="962" spans="1:2" x14ac:dyDescent="0.3">
      <c r="A962" s="1" t="s">
        <v>3043</v>
      </c>
      <c r="B962" s="1" t="s">
        <v>3044</v>
      </c>
    </row>
    <row r="963" spans="1:2" x14ac:dyDescent="0.3">
      <c r="A963" s="1" t="s">
        <v>3045</v>
      </c>
      <c r="B963" s="1" t="s">
        <v>3046</v>
      </c>
    </row>
    <row r="964" spans="1:2" x14ac:dyDescent="0.3">
      <c r="A964" s="1" t="s">
        <v>3047</v>
      </c>
      <c r="B964" s="1" t="s">
        <v>3048</v>
      </c>
    </row>
    <row r="965" spans="1:2" x14ac:dyDescent="0.3">
      <c r="A965" s="1" t="s">
        <v>3049</v>
      </c>
      <c r="B965" s="1" t="s">
        <v>3050</v>
      </c>
    </row>
    <row r="966" spans="1:2" x14ac:dyDescent="0.3">
      <c r="A966" s="1" t="s">
        <v>3051</v>
      </c>
      <c r="B966" s="1" t="s">
        <v>3052</v>
      </c>
    </row>
    <row r="967" spans="1:2" x14ac:dyDescent="0.3">
      <c r="A967" s="1" t="s">
        <v>3053</v>
      </c>
      <c r="B967" s="1" t="s">
        <v>3054</v>
      </c>
    </row>
    <row r="968" spans="1:2" x14ac:dyDescent="0.3">
      <c r="A968" s="1" t="s">
        <v>3055</v>
      </c>
      <c r="B968" s="1" t="s">
        <v>3056</v>
      </c>
    </row>
    <row r="969" spans="1:2" x14ac:dyDescent="0.3">
      <c r="A969" s="1" t="s">
        <v>3057</v>
      </c>
      <c r="B969" s="1" t="s">
        <v>3058</v>
      </c>
    </row>
    <row r="970" spans="1:2" x14ac:dyDescent="0.3">
      <c r="A970" s="1" t="s">
        <v>3059</v>
      </c>
      <c r="B970" s="1" t="s">
        <v>3060</v>
      </c>
    </row>
    <row r="971" spans="1:2" x14ac:dyDescent="0.3">
      <c r="A971" s="1" t="s">
        <v>3061</v>
      </c>
      <c r="B971" s="1" t="s">
        <v>3062</v>
      </c>
    </row>
    <row r="972" spans="1:2" x14ac:dyDescent="0.3">
      <c r="A972" s="1" t="s">
        <v>3063</v>
      </c>
      <c r="B972" s="1" t="s">
        <v>3064</v>
      </c>
    </row>
    <row r="973" spans="1:2" x14ac:dyDescent="0.3">
      <c r="A973" s="1" t="s">
        <v>3065</v>
      </c>
      <c r="B973" s="1" t="s">
        <v>3066</v>
      </c>
    </row>
    <row r="974" spans="1:2" x14ac:dyDescent="0.3">
      <c r="A974" s="1" t="s">
        <v>3067</v>
      </c>
      <c r="B974" s="1" t="s">
        <v>3068</v>
      </c>
    </row>
    <row r="975" spans="1:2" x14ac:dyDescent="0.3">
      <c r="A975" s="1" t="s">
        <v>3069</v>
      </c>
      <c r="B975" s="1" t="s">
        <v>3070</v>
      </c>
    </row>
    <row r="976" spans="1:2" x14ac:dyDescent="0.3">
      <c r="A976" s="1" t="s">
        <v>3071</v>
      </c>
      <c r="B976" s="1" t="s">
        <v>3072</v>
      </c>
    </row>
    <row r="977" spans="1:2" x14ac:dyDescent="0.3">
      <c r="A977" s="1" t="s">
        <v>3073</v>
      </c>
      <c r="B977" s="1" t="s">
        <v>3074</v>
      </c>
    </row>
    <row r="978" spans="1:2" x14ac:dyDescent="0.3">
      <c r="A978" s="1" t="s">
        <v>3075</v>
      </c>
      <c r="B978" s="1" t="s">
        <v>3076</v>
      </c>
    </row>
    <row r="979" spans="1:2" x14ac:dyDescent="0.3">
      <c r="A979" s="1" t="s">
        <v>3077</v>
      </c>
      <c r="B979" s="1" t="s">
        <v>3078</v>
      </c>
    </row>
    <row r="980" spans="1:2" x14ac:dyDescent="0.3">
      <c r="A980" s="1" t="s">
        <v>3079</v>
      </c>
      <c r="B980" s="1" t="s">
        <v>3080</v>
      </c>
    </row>
    <row r="981" spans="1:2" x14ac:dyDescent="0.3">
      <c r="A981" s="1" t="s">
        <v>3081</v>
      </c>
      <c r="B981" s="1" t="s">
        <v>3082</v>
      </c>
    </row>
    <row r="982" spans="1:2" x14ac:dyDescent="0.3">
      <c r="A982" s="1" t="s">
        <v>3083</v>
      </c>
      <c r="B982" s="1" t="s">
        <v>3084</v>
      </c>
    </row>
    <row r="983" spans="1:2" x14ac:dyDescent="0.3">
      <c r="A983" s="1" t="s">
        <v>3085</v>
      </c>
      <c r="B983" s="1" t="s">
        <v>3086</v>
      </c>
    </row>
    <row r="984" spans="1:2" x14ac:dyDescent="0.3">
      <c r="A984" s="1" t="s">
        <v>3087</v>
      </c>
      <c r="B984" s="1" t="s">
        <v>3088</v>
      </c>
    </row>
    <row r="985" spans="1:2" x14ac:dyDescent="0.3">
      <c r="A985" s="1" t="s">
        <v>3089</v>
      </c>
      <c r="B985" s="1" t="s">
        <v>3090</v>
      </c>
    </row>
    <row r="986" spans="1:2" x14ac:dyDescent="0.3">
      <c r="A986" s="1" t="s">
        <v>3091</v>
      </c>
      <c r="B986" s="1" t="s">
        <v>3092</v>
      </c>
    </row>
    <row r="987" spans="1:2" x14ac:dyDescent="0.3">
      <c r="A987" s="1" t="s">
        <v>3093</v>
      </c>
      <c r="B987" s="1" t="s">
        <v>3094</v>
      </c>
    </row>
    <row r="988" spans="1:2" x14ac:dyDescent="0.3">
      <c r="A988" s="1" t="s">
        <v>3095</v>
      </c>
      <c r="B988" s="1" t="s">
        <v>3096</v>
      </c>
    </row>
    <row r="989" spans="1:2" x14ac:dyDescent="0.3">
      <c r="A989" s="1" t="s">
        <v>3097</v>
      </c>
      <c r="B989" s="1" t="s">
        <v>3098</v>
      </c>
    </row>
    <row r="990" spans="1:2" x14ac:dyDescent="0.3">
      <c r="A990" s="1" t="s">
        <v>3099</v>
      </c>
      <c r="B990" s="1" t="s">
        <v>3100</v>
      </c>
    </row>
    <row r="991" spans="1:2" x14ac:dyDescent="0.3">
      <c r="A991" s="1" t="s">
        <v>3101</v>
      </c>
      <c r="B991" s="1" t="s">
        <v>3102</v>
      </c>
    </row>
    <row r="992" spans="1:2" x14ac:dyDescent="0.3">
      <c r="A992" s="1" t="s">
        <v>3103</v>
      </c>
      <c r="B992" s="1" t="s">
        <v>3104</v>
      </c>
    </row>
    <row r="993" spans="1:2" x14ac:dyDescent="0.3">
      <c r="A993" s="1" t="s">
        <v>3105</v>
      </c>
      <c r="B993" s="1" t="s">
        <v>3106</v>
      </c>
    </row>
    <row r="994" spans="1:2" x14ac:dyDescent="0.3">
      <c r="A994" s="1" t="s">
        <v>3107</v>
      </c>
      <c r="B994" s="1" t="s">
        <v>3108</v>
      </c>
    </row>
    <row r="995" spans="1:2" x14ac:dyDescent="0.3">
      <c r="A995" s="1" t="s">
        <v>3109</v>
      </c>
      <c r="B995" s="1" t="s">
        <v>3110</v>
      </c>
    </row>
    <row r="996" spans="1:2" x14ac:dyDescent="0.3">
      <c r="A996" s="1" t="s">
        <v>3111</v>
      </c>
      <c r="B996" s="1" t="s">
        <v>3112</v>
      </c>
    </row>
    <row r="997" spans="1:2" x14ac:dyDescent="0.3">
      <c r="A997" s="1" t="s">
        <v>3113</v>
      </c>
      <c r="B997" s="1" t="s">
        <v>3114</v>
      </c>
    </row>
    <row r="998" spans="1:2" x14ac:dyDescent="0.3">
      <c r="A998" s="1" t="s">
        <v>3115</v>
      </c>
      <c r="B998" s="1" t="s">
        <v>3116</v>
      </c>
    </row>
    <row r="999" spans="1:2" x14ac:dyDescent="0.3">
      <c r="A999" s="1" t="s">
        <v>3117</v>
      </c>
      <c r="B999" s="1" t="s">
        <v>3118</v>
      </c>
    </row>
    <row r="1000" spans="1:2" x14ac:dyDescent="0.3">
      <c r="A1000" s="1" t="s">
        <v>3119</v>
      </c>
      <c r="B1000" s="1" t="s">
        <v>3120</v>
      </c>
    </row>
    <row r="1001" spans="1:2" x14ac:dyDescent="0.3">
      <c r="A1001" s="1" t="s">
        <v>3121</v>
      </c>
      <c r="B1001" s="1" t="s">
        <v>3122</v>
      </c>
    </row>
  </sheetData>
  <phoneticPr fontId="1" type="noConversion"/>
  <dataValidations count="1">
    <dataValidation type="custom" allowBlank="1" showInputMessage="1" showErrorMessage="1" sqref="B2:B1001">
      <formula1>AND(OR(COUNTIF(회원좌표, B2)=1, COUNTIF(금지좌표, B2) =1), LEN(B2)-LEN(SUBSTITUTE(B2, ",", "")),INT(MID(B2, FIND(",",B2)+1, 10))&lt;100, INT(LEFT(B2, FIND(",",B2)-1))&lt;100, ISNUMBER(INT(SUBSTITUTE(B2,",",""))))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299"/>
  <sheetViews>
    <sheetView topLeftCell="A264" zoomScale="70" zoomScaleNormal="70" workbookViewId="0">
      <selection activeCell="G301" sqref="G301"/>
    </sheetView>
  </sheetViews>
  <sheetFormatPr defaultRowHeight="16.5" x14ac:dyDescent="0.3"/>
  <cols>
    <col min="1" max="1" width="9" style="1"/>
    <col min="2" max="2" width="10.25" style="1" customWidth="1"/>
    <col min="3" max="3" width="22" style="1" bestFit="1" customWidth="1"/>
    <col min="4" max="4" width="78.5" style="1" bestFit="1" customWidth="1"/>
    <col min="5" max="5" width="9" style="1"/>
    <col min="6" max="6" width="11.125" style="1" bestFit="1" customWidth="1"/>
    <col min="7" max="7" width="9" style="1"/>
    <col min="8" max="8" width="12.125" style="1" customWidth="1"/>
    <col min="10" max="10" width="9" style="1"/>
    <col min="15" max="15" width="78.5" bestFit="1" customWidth="1"/>
    <col min="17" max="17" width="11.125" bestFit="1" customWidth="1"/>
  </cols>
  <sheetData>
    <row r="1" spans="1:21" x14ac:dyDescent="0.3">
      <c r="A1" s="1" t="s">
        <v>3639</v>
      </c>
      <c r="B1" s="1" t="s">
        <v>3123</v>
      </c>
      <c r="C1" s="1" t="s">
        <v>3124</v>
      </c>
      <c r="D1" s="1" t="s">
        <v>3125</v>
      </c>
      <c r="E1" s="1" t="s">
        <v>3126</v>
      </c>
      <c r="F1" s="1" t="s">
        <v>3127</v>
      </c>
      <c r="G1" s="1" t="s">
        <v>3128</v>
      </c>
      <c r="H1" s="1" t="s">
        <v>3129</v>
      </c>
      <c r="J1" t="s">
        <v>3644</v>
      </c>
      <c r="L1" s="1" t="s">
        <v>3639</v>
      </c>
      <c r="M1" s="1" t="s">
        <v>3123</v>
      </c>
      <c r="N1" s="1" t="s">
        <v>3124</v>
      </c>
      <c r="O1" s="1" t="s">
        <v>3125</v>
      </c>
      <c r="P1" s="1" t="s">
        <v>3126</v>
      </c>
      <c r="Q1" s="1" t="s">
        <v>3127</v>
      </c>
      <c r="R1" s="1" t="s">
        <v>3128</v>
      </c>
      <c r="S1" s="1" t="s">
        <v>3129</v>
      </c>
    </row>
    <row r="2" spans="1:21" x14ac:dyDescent="0.3">
      <c r="A2" s="1">
        <v>1</v>
      </c>
      <c r="B2" s="1" t="s">
        <v>6</v>
      </c>
      <c r="C2" s="1" t="s">
        <v>240</v>
      </c>
      <c r="D2" s="1" t="s">
        <v>946</v>
      </c>
      <c r="E2" s="1">
        <v>1</v>
      </c>
      <c r="F2" s="3">
        <v>44409</v>
      </c>
      <c r="G2" s="1">
        <v>0</v>
      </c>
      <c r="H2" s="2">
        <v>14000</v>
      </c>
      <c r="J2" t="s">
        <v>3643</v>
      </c>
      <c r="L2" s="1">
        <v>1</v>
      </c>
      <c r="M2" s="1" t="s">
        <v>6</v>
      </c>
      <c r="N2" s="1" t="s">
        <v>240</v>
      </c>
      <c r="O2" s="1" t="s">
        <v>946</v>
      </c>
      <c r="P2" s="1">
        <v>1</v>
      </c>
      <c r="Q2" s="3">
        <v>44409</v>
      </c>
      <c r="R2" s="1">
        <v>0</v>
      </c>
      <c r="S2" s="2">
        <v>14000</v>
      </c>
      <c r="U2" s="4"/>
    </row>
    <row r="3" spans="1:21" x14ac:dyDescent="0.3">
      <c r="A3" s="1">
        <v>2</v>
      </c>
      <c r="B3" s="1" t="s">
        <v>15</v>
      </c>
      <c r="C3" s="1" t="s">
        <v>240</v>
      </c>
      <c r="D3" s="1" t="s">
        <v>3130</v>
      </c>
      <c r="E3" s="1" t="s">
        <v>3131</v>
      </c>
      <c r="F3" s="3">
        <v>44409</v>
      </c>
      <c r="G3" s="1">
        <v>0</v>
      </c>
      <c r="H3" s="2">
        <v>68000</v>
      </c>
      <c r="L3" s="1">
        <v>5</v>
      </c>
      <c r="M3" s="1" t="s">
        <v>6</v>
      </c>
      <c r="N3" s="1" t="s">
        <v>880</v>
      </c>
      <c r="O3" s="1" t="s">
        <v>3136</v>
      </c>
      <c r="P3" s="1" t="s">
        <v>3137</v>
      </c>
      <c r="Q3" s="3">
        <v>44413</v>
      </c>
      <c r="R3" s="1">
        <v>0</v>
      </c>
      <c r="S3" s="2">
        <v>30500</v>
      </c>
    </row>
    <row r="4" spans="1:21" x14ac:dyDescent="0.3">
      <c r="A4" s="1">
        <v>3</v>
      </c>
      <c r="B4" s="1" t="s">
        <v>55</v>
      </c>
      <c r="C4" s="1" t="s">
        <v>330</v>
      </c>
      <c r="D4" s="1" t="s">
        <v>3132</v>
      </c>
      <c r="E4" s="1" t="s">
        <v>3133</v>
      </c>
      <c r="F4" s="3">
        <v>44410</v>
      </c>
      <c r="G4" s="2">
        <v>3000</v>
      </c>
      <c r="H4" s="2">
        <v>46000</v>
      </c>
      <c r="L4" s="1">
        <v>34</v>
      </c>
      <c r="M4" s="1" t="s">
        <v>6</v>
      </c>
      <c r="N4" s="1" t="s">
        <v>255</v>
      </c>
      <c r="O4" s="1" t="s">
        <v>3172</v>
      </c>
      <c r="P4" s="1" t="s">
        <v>3173</v>
      </c>
      <c r="Q4" s="3">
        <v>44429</v>
      </c>
      <c r="R4" s="1">
        <v>0</v>
      </c>
      <c r="S4" s="2">
        <v>136000</v>
      </c>
    </row>
    <row r="5" spans="1:21" x14ac:dyDescent="0.3">
      <c r="A5" s="1">
        <v>4</v>
      </c>
      <c r="B5" s="1" t="s">
        <v>55</v>
      </c>
      <c r="C5" s="1" t="s">
        <v>440</v>
      </c>
      <c r="D5" s="1" t="s">
        <v>3134</v>
      </c>
      <c r="E5" s="1" t="s">
        <v>3135</v>
      </c>
      <c r="F5" s="3">
        <v>44412</v>
      </c>
      <c r="G5" s="2">
        <v>3000</v>
      </c>
      <c r="H5" s="2">
        <v>48700</v>
      </c>
      <c r="L5" s="1">
        <v>42</v>
      </c>
      <c r="M5" s="1" t="s">
        <v>6</v>
      </c>
      <c r="N5" s="1" t="s">
        <v>650</v>
      </c>
      <c r="O5" s="1" t="s">
        <v>3183</v>
      </c>
      <c r="P5" s="1" t="s">
        <v>3184</v>
      </c>
      <c r="Q5" s="3">
        <v>44433</v>
      </c>
      <c r="R5" s="2">
        <v>3000</v>
      </c>
      <c r="S5" s="2">
        <v>122000</v>
      </c>
    </row>
    <row r="6" spans="1:21" x14ac:dyDescent="0.3">
      <c r="A6" s="1">
        <v>5</v>
      </c>
      <c r="B6" s="1" t="s">
        <v>6</v>
      </c>
      <c r="C6" s="1" t="s">
        <v>880</v>
      </c>
      <c r="D6" s="1" t="s">
        <v>3136</v>
      </c>
      <c r="E6" s="1" t="s">
        <v>3137</v>
      </c>
      <c r="F6" s="3">
        <v>44413</v>
      </c>
      <c r="G6" s="1">
        <v>0</v>
      </c>
      <c r="H6" s="2">
        <v>30500</v>
      </c>
      <c r="L6" s="1">
        <v>66</v>
      </c>
      <c r="M6" s="1" t="s">
        <v>6</v>
      </c>
      <c r="N6" s="1" t="s">
        <v>805</v>
      </c>
      <c r="O6" s="1" t="s">
        <v>3223</v>
      </c>
      <c r="P6" s="1" t="s">
        <v>3224</v>
      </c>
      <c r="Q6" s="3">
        <v>44445</v>
      </c>
      <c r="R6" s="1">
        <v>0</v>
      </c>
      <c r="S6" s="2">
        <v>95000</v>
      </c>
    </row>
    <row r="7" spans="1:21" x14ac:dyDescent="0.3">
      <c r="A7" s="1">
        <v>6</v>
      </c>
      <c r="B7" s="1" t="s">
        <v>80</v>
      </c>
      <c r="C7" s="1" t="s">
        <v>415</v>
      </c>
      <c r="D7" s="1" t="s">
        <v>950</v>
      </c>
      <c r="E7" s="1">
        <v>2</v>
      </c>
      <c r="F7" s="3">
        <v>44413</v>
      </c>
      <c r="G7" s="2">
        <v>3000</v>
      </c>
      <c r="H7" s="2">
        <v>8000</v>
      </c>
      <c r="L7" s="1">
        <v>69</v>
      </c>
      <c r="M7" s="1" t="s">
        <v>6</v>
      </c>
      <c r="N7" s="1" t="s">
        <v>740</v>
      </c>
      <c r="O7" s="1" t="s">
        <v>3229</v>
      </c>
      <c r="P7" s="1" t="s">
        <v>3230</v>
      </c>
      <c r="Q7" s="3">
        <v>44446</v>
      </c>
      <c r="R7" s="1">
        <v>0</v>
      </c>
      <c r="S7" s="2">
        <v>47000</v>
      </c>
    </row>
    <row r="8" spans="1:21" x14ac:dyDescent="0.3">
      <c r="A8" s="1">
        <v>7</v>
      </c>
      <c r="B8" s="1" t="s">
        <v>190</v>
      </c>
      <c r="C8" s="1" t="s">
        <v>690</v>
      </c>
      <c r="D8" s="1" t="s">
        <v>3138</v>
      </c>
      <c r="E8" s="1" t="s">
        <v>3139</v>
      </c>
      <c r="F8" s="3">
        <v>44413</v>
      </c>
      <c r="G8" s="2">
        <v>3000</v>
      </c>
      <c r="H8" s="2">
        <v>41500</v>
      </c>
      <c r="L8" s="1">
        <v>91</v>
      </c>
      <c r="M8" s="1" t="s">
        <v>6</v>
      </c>
      <c r="N8" s="1" t="s">
        <v>365</v>
      </c>
      <c r="O8" s="1" t="s">
        <v>1001</v>
      </c>
      <c r="P8" s="1">
        <v>2</v>
      </c>
      <c r="Q8" s="3">
        <v>44455</v>
      </c>
      <c r="R8" s="1">
        <v>0</v>
      </c>
      <c r="S8" s="2">
        <v>9000</v>
      </c>
    </row>
    <row r="9" spans="1:21" x14ac:dyDescent="0.3">
      <c r="A9" s="1">
        <v>8</v>
      </c>
      <c r="B9" s="1" t="s">
        <v>190</v>
      </c>
      <c r="C9" s="1" t="s">
        <v>525</v>
      </c>
      <c r="D9" s="1" t="s">
        <v>3140</v>
      </c>
      <c r="E9" s="1" t="s">
        <v>3141</v>
      </c>
      <c r="F9" s="3">
        <v>44414</v>
      </c>
      <c r="G9" s="2">
        <v>3000</v>
      </c>
      <c r="H9" s="2">
        <v>45500</v>
      </c>
      <c r="L9" s="1">
        <v>104</v>
      </c>
      <c r="M9" s="1" t="s">
        <v>6</v>
      </c>
      <c r="N9" s="1" t="s">
        <v>905</v>
      </c>
      <c r="O9" s="1" t="s">
        <v>3280</v>
      </c>
      <c r="P9" s="1" t="s">
        <v>3281</v>
      </c>
      <c r="Q9" s="3">
        <v>44460</v>
      </c>
      <c r="R9" s="1">
        <v>0</v>
      </c>
      <c r="S9" s="2">
        <v>70000</v>
      </c>
    </row>
    <row r="10" spans="1:21" x14ac:dyDescent="0.3">
      <c r="A10" s="1">
        <v>9</v>
      </c>
      <c r="B10" s="1" t="s">
        <v>215</v>
      </c>
      <c r="C10" s="1" t="s">
        <v>730</v>
      </c>
      <c r="D10" s="1" t="s">
        <v>960</v>
      </c>
      <c r="E10" s="1">
        <v>3</v>
      </c>
      <c r="F10" s="3">
        <v>44417</v>
      </c>
      <c r="G10" s="2">
        <v>3000</v>
      </c>
      <c r="H10" s="2">
        <v>25500</v>
      </c>
      <c r="L10" s="1">
        <v>109</v>
      </c>
      <c r="M10" s="1" t="s">
        <v>6</v>
      </c>
      <c r="N10" s="1" t="s">
        <v>650</v>
      </c>
      <c r="O10" s="1" t="s">
        <v>3288</v>
      </c>
      <c r="P10" s="1" t="s">
        <v>3289</v>
      </c>
      <c r="Q10" s="3">
        <v>44461</v>
      </c>
      <c r="R10" s="1">
        <v>0</v>
      </c>
      <c r="S10" s="2">
        <v>71000</v>
      </c>
    </row>
    <row r="11" spans="1:21" x14ac:dyDescent="0.3">
      <c r="A11" s="1">
        <v>10</v>
      </c>
      <c r="B11" s="1" t="s">
        <v>25</v>
      </c>
      <c r="C11" s="1" t="s">
        <v>790</v>
      </c>
      <c r="D11" s="1" t="s">
        <v>3142</v>
      </c>
      <c r="E11" s="1" t="s">
        <v>3143</v>
      </c>
      <c r="F11" s="3">
        <v>44417</v>
      </c>
      <c r="G11" s="2">
        <v>3000</v>
      </c>
      <c r="H11" s="2">
        <v>29500</v>
      </c>
      <c r="L11" s="1">
        <v>110</v>
      </c>
      <c r="M11" s="1" t="s">
        <v>6</v>
      </c>
      <c r="N11" s="1" t="s">
        <v>440</v>
      </c>
      <c r="O11" s="1" t="s">
        <v>1096</v>
      </c>
      <c r="P11" s="1">
        <v>3</v>
      </c>
      <c r="Q11" s="3">
        <v>44412</v>
      </c>
      <c r="R11" s="1">
        <v>0</v>
      </c>
      <c r="S11" s="2">
        <v>7500</v>
      </c>
    </row>
    <row r="12" spans="1:21" x14ac:dyDescent="0.3">
      <c r="A12" s="1">
        <v>11</v>
      </c>
      <c r="B12" s="1" t="s">
        <v>140</v>
      </c>
      <c r="C12" s="1" t="s">
        <v>720</v>
      </c>
      <c r="D12" s="1" t="s">
        <v>3144</v>
      </c>
      <c r="E12" s="1" t="s">
        <v>1390</v>
      </c>
      <c r="F12" s="3">
        <v>44417</v>
      </c>
      <c r="G12" s="2">
        <v>3000</v>
      </c>
      <c r="H12" s="2">
        <v>13000</v>
      </c>
      <c r="L12" s="1">
        <v>120</v>
      </c>
      <c r="M12" s="1" t="s">
        <v>6</v>
      </c>
      <c r="N12" s="1" t="s">
        <v>780</v>
      </c>
      <c r="O12" s="1" t="s">
        <v>1032</v>
      </c>
      <c r="P12" s="1">
        <v>2</v>
      </c>
      <c r="Q12" s="3">
        <v>44465</v>
      </c>
      <c r="R12" s="1">
        <v>0</v>
      </c>
      <c r="S12" s="2">
        <v>10000</v>
      </c>
    </row>
    <row r="13" spans="1:21" x14ac:dyDescent="0.3">
      <c r="A13" s="1">
        <v>12</v>
      </c>
      <c r="B13" s="1" t="s">
        <v>11</v>
      </c>
      <c r="C13" s="1" t="s">
        <v>540</v>
      </c>
      <c r="D13" s="1" t="s">
        <v>999</v>
      </c>
      <c r="E13" s="1">
        <v>2</v>
      </c>
      <c r="F13" s="3">
        <v>44418</v>
      </c>
      <c r="G13" s="2">
        <v>3000</v>
      </c>
      <c r="H13" s="2">
        <v>12000</v>
      </c>
      <c r="L13" s="1">
        <v>124</v>
      </c>
      <c r="M13" s="1" t="s">
        <v>6</v>
      </c>
      <c r="N13" s="1" t="s">
        <v>365</v>
      </c>
      <c r="O13" s="1" t="s">
        <v>3310</v>
      </c>
      <c r="P13" s="1" t="s">
        <v>3311</v>
      </c>
      <c r="Q13" s="3">
        <v>44468</v>
      </c>
      <c r="R13" s="1">
        <v>0</v>
      </c>
      <c r="S13" s="2">
        <v>76000</v>
      </c>
    </row>
    <row r="14" spans="1:21" x14ac:dyDescent="0.3">
      <c r="A14" s="1">
        <v>13</v>
      </c>
      <c r="B14" s="1" t="s">
        <v>11</v>
      </c>
      <c r="C14" s="1" t="s">
        <v>560</v>
      </c>
      <c r="D14" s="1" t="s">
        <v>3145</v>
      </c>
      <c r="E14" s="1" t="s">
        <v>3143</v>
      </c>
      <c r="F14" s="3">
        <v>44420</v>
      </c>
      <c r="G14" s="2">
        <v>3000</v>
      </c>
      <c r="H14" s="2">
        <v>28500</v>
      </c>
      <c r="L14" s="1">
        <v>171</v>
      </c>
      <c r="M14" s="1" t="s">
        <v>6</v>
      </c>
      <c r="N14" s="1" t="s">
        <v>915</v>
      </c>
      <c r="O14" s="1" t="s">
        <v>3370</v>
      </c>
      <c r="P14" s="1" t="s">
        <v>3151</v>
      </c>
      <c r="Q14" s="3">
        <v>44488</v>
      </c>
      <c r="R14" s="1">
        <v>0</v>
      </c>
      <c r="S14" s="2">
        <v>69500</v>
      </c>
    </row>
    <row r="15" spans="1:21" x14ac:dyDescent="0.3">
      <c r="A15" s="1">
        <v>14</v>
      </c>
      <c r="B15" s="1" t="s">
        <v>225</v>
      </c>
      <c r="C15" s="1" t="s">
        <v>270</v>
      </c>
      <c r="D15" s="1" t="s">
        <v>3146</v>
      </c>
      <c r="E15" s="1" t="s">
        <v>3147</v>
      </c>
      <c r="F15" s="3">
        <v>44420</v>
      </c>
      <c r="G15" s="2">
        <v>3000</v>
      </c>
      <c r="H15" s="2">
        <v>51000</v>
      </c>
      <c r="L15" s="1">
        <v>179</v>
      </c>
      <c r="M15" s="1" t="s">
        <v>6</v>
      </c>
      <c r="N15" s="1" t="s">
        <v>860</v>
      </c>
      <c r="O15" s="1" t="s">
        <v>3379</v>
      </c>
      <c r="P15" s="1" t="s">
        <v>3272</v>
      </c>
      <c r="Q15" s="3">
        <v>44494</v>
      </c>
      <c r="R15" s="1">
        <v>0</v>
      </c>
      <c r="S15" s="2">
        <v>21400</v>
      </c>
    </row>
    <row r="16" spans="1:21" x14ac:dyDescent="0.3">
      <c r="A16" s="1">
        <v>15</v>
      </c>
      <c r="B16" s="1" t="s">
        <v>180</v>
      </c>
      <c r="C16" s="1" t="s">
        <v>890</v>
      </c>
      <c r="D16" s="1" t="s">
        <v>3148</v>
      </c>
      <c r="E16" s="1" t="s">
        <v>3149</v>
      </c>
      <c r="F16" s="3">
        <v>44421</v>
      </c>
      <c r="G16" s="2">
        <v>3000</v>
      </c>
      <c r="H16" s="2">
        <v>15000</v>
      </c>
      <c r="L16" s="1">
        <v>187</v>
      </c>
      <c r="M16" s="1" t="s">
        <v>6</v>
      </c>
      <c r="N16" s="1" t="s">
        <v>315</v>
      </c>
      <c r="O16" s="1" t="s">
        <v>3386</v>
      </c>
      <c r="P16" s="1" t="s">
        <v>3387</v>
      </c>
      <c r="Q16" s="3">
        <v>44499</v>
      </c>
      <c r="R16" s="1">
        <v>0</v>
      </c>
      <c r="S16" s="2">
        <v>94500</v>
      </c>
    </row>
    <row r="17" spans="1:19" x14ac:dyDescent="0.3">
      <c r="A17" s="1">
        <v>16</v>
      </c>
      <c r="B17" s="1" t="s">
        <v>60</v>
      </c>
      <c r="C17" s="1" t="s">
        <v>310</v>
      </c>
      <c r="D17" s="1" t="s">
        <v>3150</v>
      </c>
      <c r="E17" s="1" t="s">
        <v>3151</v>
      </c>
      <c r="F17" s="3">
        <v>44421</v>
      </c>
      <c r="G17" s="2">
        <v>3000</v>
      </c>
      <c r="H17" s="2">
        <v>110000</v>
      </c>
      <c r="L17" s="1">
        <v>194</v>
      </c>
      <c r="M17" s="1" t="s">
        <v>6</v>
      </c>
      <c r="N17" s="1" t="s">
        <v>660</v>
      </c>
      <c r="O17" s="1" t="s">
        <v>3393</v>
      </c>
      <c r="P17" s="1" t="s">
        <v>3394</v>
      </c>
      <c r="Q17" s="3">
        <v>44503</v>
      </c>
      <c r="R17" s="1">
        <v>0</v>
      </c>
      <c r="S17" s="2">
        <v>114000</v>
      </c>
    </row>
    <row r="18" spans="1:19" x14ac:dyDescent="0.3">
      <c r="A18" s="1">
        <v>17</v>
      </c>
      <c r="B18" s="1" t="s">
        <v>195</v>
      </c>
      <c r="C18" s="1" t="s">
        <v>710</v>
      </c>
      <c r="D18" s="1" t="s">
        <v>3152</v>
      </c>
      <c r="E18" s="1" t="s">
        <v>3153</v>
      </c>
      <c r="F18" s="3">
        <v>44421</v>
      </c>
      <c r="G18" s="2">
        <v>3000</v>
      </c>
      <c r="H18" s="2">
        <v>36000</v>
      </c>
    </row>
    <row r="19" spans="1:19" x14ac:dyDescent="0.3">
      <c r="A19" s="1">
        <v>18</v>
      </c>
      <c r="B19" s="1" t="s">
        <v>175</v>
      </c>
      <c r="C19" s="1" t="s">
        <v>620</v>
      </c>
      <c r="D19" s="1" t="s">
        <v>3154</v>
      </c>
      <c r="E19" s="1" t="s">
        <v>3155</v>
      </c>
      <c r="F19" s="3">
        <v>44422</v>
      </c>
      <c r="G19" s="2">
        <v>3000</v>
      </c>
      <c r="H19" s="2">
        <v>48000</v>
      </c>
    </row>
    <row r="20" spans="1:19" x14ac:dyDescent="0.3">
      <c r="A20" s="1">
        <v>19</v>
      </c>
      <c r="B20" s="1" t="s">
        <v>15</v>
      </c>
      <c r="C20" s="1" t="s">
        <v>290</v>
      </c>
      <c r="D20" s="1" t="s">
        <v>1011</v>
      </c>
      <c r="E20" s="1">
        <v>3</v>
      </c>
      <c r="F20" s="3">
        <v>44422</v>
      </c>
      <c r="G20" s="1">
        <v>0</v>
      </c>
      <c r="H20" s="2">
        <v>24000</v>
      </c>
    </row>
    <row r="21" spans="1:19" x14ac:dyDescent="0.3">
      <c r="A21" s="1">
        <v>20</v>
      </c>
      <c r="B21" s="1" t="s">
        <v>100</v>
      </c>
      <c r="C21" s="1" t="s">
        <v>910</v>
      </c>
      <c r="D21" s="1" t="s">
        <v>3156</v>
      </c>
      <c r="E21" s="1" t="s">
        <v>3157</v>
      </c>
      <c r="F21" s="3">
        <v>44423</v>
      </c>
      <c r="G21" s="2">
        <v>3000</v>
      </c>
      <c r="H21" s="2">
        <v>41000</v>
      </c>
    </row>
    <row r="22" spans="1:19" x14ac:dyDescent="0.3">
      <c r="A22" s="1">
        <v>21</v>
      </c>
      <c r="B22" s="1" t="s">
        <v>75</v>
      </c>
      <c r="C22" s="1" t="s">
        <v>575</v>
      </c>
      <c r="D22" s="1" t="s">
        <v>3158</v>
      </c>
      <c r="E22" s="1" t="s">
        <v>3159</v>
      </c>
      <c r="F22" s="3">
        <v>44424</v>
      </c>
      <c r="G22" s="2">
        <v>3000</v>
      </c>
      <c r="H22" s="2">
        <v>59500</v>
      </c>
    </row>
    <row r="23" spans="1:19" x14ac:dyDescent="0.3">
      <c r="A23" s="1">
        <v>22</v>
      </c>
      <c r="B23" s="1" t="s">
        <v>135</v>
      </c>
      <c r="C23" s="1" t="s">
        <v>530</v>
      </c>
      <c r="D23" s="1" t="s">
        <v>1114</v>
      </c>
      <c r="E23" s="1">
        <v>2</v>
      </c>
      <c r="F23" s="3">
        <v>44424</v>
      </c>
      <c r="G23" s="2">
        <v>3000</v>
      </c>
      <c r="H23" s="2">
        <v>5000</v>
      </c>
    </row>
    <row r="24" spans="1:19" x14ac:dyDescent="0.3">
      <c r="A24" s="1">
        <v>23</v>
      </c>
      <c r="B24" s="1" t="s">
        <v>25</v>
      </c>
      <c r="C24" s="1" t="s">
        <v>545</v>
      </c>
      <c r="D24" s="1" t="s">
        <v>3160</v>
      </c>
      <c r="E24" s="1" t="s">
        <v>3161</v>
      </c>
      <c r="F24" s="3">
        <v>44425</v>
      </c>
      <c r="G24" s="2">
        <v>3000</v>
      </c>
      <c r="H24" s="2">
        <v>63000</v>
      </c>
    </row>
    <row r="25" spans="1:19" x14ac:dyDescent="0.3">
      <c r="A25" s="1">
        <v>24</v>
      </c>
      <c r="B25" s="1" t="s">
        <v>15</v>
      </c>
      <c r="C25" s="1" t="s">
        <v>735</v>
      </c>
      <c r="D25" s="1" t="s">
        <v>3162</v>
      </c>
      <c r="E25" s="1" t="s">
        <v>3163</v>
      </c>
      <c r="F25" s="3">
        <v>44425</v>
      </c>
      <c r="G25" s="1">
        <v>0</v>
      </c>
      <c r="H25" s="2">
        <v>15600</v>
      </c>
    </row>
    <row r="26" spans="1:19" x14ac:dyDescent="0.3">
      <c r="A26" s="1">
        <v>25</v>
      </c>
      <c r="B26" s="1" t="s">
        <v>215</v>
      </c>
      <c r="C26" s="1" t="s">
        <v>815</v>
      </c>
      <c r="D26" s="1" t="s">
        <v>1063</v>
      </c>
      <c r="E26" s="1">
        <v>3</v>
      </c>
      <c r="F26" s="3">
        <v>44426</v>
      </c>
      <c r="G26" s="2">
        <v>3000</v>
      </c>
      <c r="H26" s="2">
        <v>10500</v>
      </c>
    </row>
    <row r="27" spans="1:19" x14ac:dyDescent="0.3">
      <c r="A27" s="1">
        <v>26</v>
      </c>
      <c r="B27" s="1" t="s">
        <v>70</v>
      </c>
      <c r="C27" s="1" t="s">
        <v>590</v>
      </c>
      <c r="D27" s="1" t="s">
        <v>3164</v>
      </c>
      <c r="E27" s="1" t="s">
        <v>3165</v>
      </c>
      <c r="F27" s="3">
        <v>44427</v>
      </c>
      <c r="G27" s="2">
        <v>3000</v>
      </c>
      <c r="H27" s="2">
        <v>33000</v>
      </c>
    </row>
    <row r="28" spans="1:19" x14ac:dyDescent="0.3">
      <c r="A28" s="1">
        <v>27</v>
      </c>
      <c r="B28" s="1" t="s">
        <v>15</v>
      </c>
      <c r="C28" s="1" t="s">
        <v>240</v>
      </c>
      <c r="D28" s="1" t="s">
        <v>946</v>
      </c>
      <c r="E28" s="1">
        <v>2</v>
      </c>
      <c r="F28" s="3">
        <v>44443</v>
      </c>
      <c r="G28" s="1">
        <v>0</v>
      </c>
      <c r="H28" s="2">
        <v>15000</v>
      </c>
    </row>
    <row r="29" spans="1:19" x14ac:dyDescent="0.3">
      <c r="A29" s="1">
        <v>28</v>
      </c>
      <c r="B29" s="1" t="s">
        <v>195</v>
      </c>
      <c r="C29" s="1" t="s">
        <v>690</v>
      </c>
      <c r="D29" s="1" t="s">
        <v>3166</v>
      </c>
      <c r="E29" s="1" t="s">
        <v>3167</v>
      </c>
      <c r="F29" s="3">
        <v>44427</v>
      </c>
      <c r="G29" s="2">
        <v>3000</v>
      </c>
      <c r="H29" s="2">
        <v>52000</v>
      </c>
    </row>
    <row r="30" spans="1:19" x14ac:dyDescent="0.3">
      <c r="A30" s="1">
        <v>29</v>
      </c>
      <c r="B30" s="1" t="s">
        <v>160</v>
      </c>
      <c r="C30" s="1" t="s">
        <v>735</v>
      </c>
      <c r="D30" s="1" t="s">
        <v>1040</v>
      </c>
      <c r="E30" s="1">
        <v>2</v>
      </c>
      <c r="F30" s="3">
        <v>44425</v>
      </c>
      <c r="G30" s="2">
        <v>3000</v>
      </c>
      <c r="H30" s="2">
        <v>9000</v>
      </c>
    </row>
    <row r="31" spans="1:19" x14ac:dyDescent="0.3">
      <c r="A31" s="1">
        <v>30</v>
      </c>
      <c r="B31" s="1" t="s">
        <v>165</v>
      </c>
      <c r="C31" s="1" t="s">
        <v>595</v>
      </c>
      <c r="D31" s="1" t="s">
        <v>1067</v>
      </c>
      <c r="E31" s="1">
        <v>3</v>
      </c>
      <c r="F31" s="3">
        <v>44428</v>
      </c>
      <c r="G31" s="2">
        <v>3000</v>
      </c>
      <c r="H31" s="2">
        <v>19500</v>
      </c>
    </row>
    <row r="32" spans="1:19" x14ac:dyDescent="0.3">
      <c r="A32" s="1">
        <v>31</v>
      </c>
      <c r="B32" s="1" t="s">
        <v>15</v>
      </c>
      <c r="C32" s="1" t="s">
        <v>645</v>
      </c>
      <c r="D32" s="1" t="s">
        <v>3168</v>
      </c>
      <c r="E32" s="1" t="s">
        <v>3169</v>
      </c>
      <c r="F32" s="3">
        <v>44428</v>
      </c>
      <c r="G32" s="1">
        <v>0</v>
      </c>
      <c r="H32" s="2">
        <v>18500</v>
      </c>
    </row>
    <row r="33" spans="1:8" x14ac:dyDescent="0.3">
      <c r="A33" s="1">
        <v>32</v>
      </c>
      <c r="B33" s="1" t="s">
        <v>135</v>
      </c>
      <c r="C33" s="1" t="s">
        <v>375</v>
      </c>
      <c r="D33" s="1" t="s">
        <v>954</v>
      </c>
      <c r="E33" s="1">
        <v>2</v>
      </c>
      <c r="F33" s="3">
        <v>44428</v>
      </c>
      <c r="G33" s="2">
        <v>3000</v>
      </c>
      <c r="H33" s="2">
        <v>22000</v>
      </c>
    </row>
    <row r="34" spans="1:8" x14ac:dyDescent="0.3">
      <c r="A34" s="1">
        <v>33</v>
      </c>
      <c r="B34" s="1" t="s">
        <v>210</v>
      </c>
      <c r="C34" s="1" t="s">
        <v>765</v>
      </c>
      <c r="D34" s="1" t="s">
        <v>3170</v>
      </c>
      <c r="E34" s="1" t="s">
        <v>3171</v>
      </c>
      <c r="F34" s="3">
        <v>44429</v>
      </c>
      <c r="G34" s="2">
        <v>3000</v>
      </c>
      <c r="H34" s="2">
        <v>17000</v>
      </c>
    </row>
    <row r="35" spans="1:8" x14ac:dyDescent="0.3">
      <c r="A35" s="1">
        <v>34</v>
      </c>
      <c r="B35" s="1" t="s">
        <v>6</v>
      </c>
      <c r="C35" s="1" t="s">
        <v>255</v>
      </c>
      <c r="D35" s="1" t="s">
        <v>3172</v>
      </c>
      <c r="E35" s="1" t="s">
        <v>3173</v>
      </c>
      <c r="F35" s="3">
        <v>44429</v>
      </c>
      <c r="G35" s="1">
        <v>0</v>
      </c>
      <c r="H35" s="2">
        <v>136000</v>
      </c>
    </row>
    <row r="36" spans="1:8" x14ac:dyDescent="0.3">
      <c r="A36" s="1">
        <v>35</v>
      </c>
      <c r="B36" s="1" t="s">
        <v>145</v>
      </c>
      <c r="C36" s="1" t="s">
        <v>555</v>
      </c>
      <c r="D36" s="1" t="s">
        <v>1048</v>
      </c>
      <c r="E36" s="1">
        <v>3</v>
      </c>
      <c r="F36" s="3">
        <v>44430</v>
      </c>
      <c r="G36" s="2">
        <v>3000</v>
      </c>
      <c r="H36" s="2">
        <v>2100</v>
      </c>
    </row>
    <row r="37" spans="1:8" x14ac:dyDescent="0.3">
      <c r="A37" s="1">
        <v>36</v>
      </c>
      <c r="B37" s="1" t="s">
        <v>11</v>
      </c>
      <c r="C37" s="1" t="s">
        <v>920</v>
      </c>
      <c r="D37" s="1" t="s">
        <v>3174</v>
      </c>
      <c r="E37" s="1" t="s">
        <v>3175</v>
      </c>
      <c r="F37" s="3">
        <v>44430</v>
      </c>
      <c r="G37" s="2">
        <v>3000</v>
      </c>
      <c r="H37" s="2">
        <v>68000</v>
      </c>
    </row>
    <row r="38" spans="1:8" x14ac:dyDescent="0.3">
      <c r="A38" s="1">
        <v>37</v>
      </c>
      <c r="B38" s="1" t="s">
        <v>70</v>
      </c>
      <c r="C38" s="1" t="s">
        <v>300</v>
      </c>
      <c r="D38" s="1" t="s">
        <v>3176</v>
      </c>
      <c r="E38" s="1" t="s">
        <v>3177</v>
      </c>
      <c r="F38" s="3">
        <v>44430</v>
      </c>
      <c r="G38" s="2">
        <v>3000</v>
      </c>
      <c r="H38" s="2">
        <v>37000</v>
      </c>
    </row>
    <row r="39" spans="1:8" x14ac:dyDescent="0.3">
      <c r="A39" s="1">
        <v>38</v>
      </c>
      <c r="B39" s="1" t="s">
        <v>45</v>
      </c>
      <c r="C39" s="1" t="s">
        <v>500</v>
      </c>
      <c r="D39" s="1" t="s">
        <v>3178</v>
      </c>
      <c r="E39" s="1" t="s">
        <v>3131</v>
      </c>
      <c r="F39" s="3">
        <v>44431</v>
      </c>
      <c r="G39" s="1">
        <v>0</v>
      </c>
      <c r="H39" s="2">
        <v>52000</v>
      </c>
    </row>
    <row r="40" spans="1:8" x14ac:dyDescent="0.3">
      <c r="A40" s="1">
        <v>39</v>
      </c>
      <c r="B40" s="1" t="s">
        <v>230</v>
      </c>
      <c r="C40" s="1" t="s">
        <v>535</v>
      </c>
      <c r="D40" s="1" t="s">
        <v>3179</v>
      </c>
      <c r="E40" s="1" t="s">
        <v>3180</v>
      </c>
      <c r="F40" s="3">
        <v>44432</v>
      </c>
      <c r="G40" s="2">
        <v>3000</v>
      </c>
      <c r="H40" s="2">
        <v>67000</v>
      </c>
    </row>
    <row r="41" spans="1:8" x14ac:dyDescent="0.3">
      <c r="A41" s="1">
        <v>40</v>
      </c>
      <c r="B41" s="1" t="s">
        <v>225</v>
      </c>
      <c r="C41" s="1" t="s">
        <v>465</v>
      </c>
      <c r="D41" s="1" t="s">
        <v>3142</v>
      </c>
      <c r="E41" s="1" t="s">
        <v>3143</v>
      </c>
      <c r="F41" s="3">
        <v>44432</v>
      </c>
      <c r="G41" s="2">
        <v>3000</v>
      </c>
      <c r="H41" s="2">
        <v>29500</v>
      </c>
    </row>
    <row r="42" spans="1:8" x14ac:dyDescent="0.3">
      <c r="A42" s="1">
        <v>41</v>
      </c>
      <c r="B42" s="1" t="s">
        <v>150</v>
      </c>
      <c r="C42" s="1" t="s">
        <v>460</v>
      </c>
      <c r="D42" s="1" t="s">
        <v>3181</v>
      </c>
      <c r="E42" s="1" t="s">
        <v>3182</v>
      </c>
      <c r="F42" s="3">
        <v>44432</v>
      </c>
      <c r="G42" s="2">
        <v>3000</v>
      </c>
      <c r="H42" s="2">
        <v>22500</v>
      </c>
    </row>
    <row r="43" spans="1:8" x14ac:dyDescent="0.3">
      <c r="A43" s="1">
        <v>42</v>
      </c>
      <c r="B43" s="1" t="s">
        <v>6</v>
      </c>
      <c r="C43" s="1" t="s">
        <v>650</v>
      </c>
      <c r="D43" s="1" t="s">
        <v>3183</v>
      </c>
      <c r="E43" s="1" t="s">
        <v>3184</v>
      </c>
      <c r="F43" s="3">
        <v>44433</v>
      </c>
      <c r="G43" s="2">
        <v>3000</v>
      </c>
      <c r="H43" s="2">
        <v>122000</v>
      </c>
    </row>
    <row r="44" spans="1:8" x14ac:dyDescent="0.3">
      <c r="A44" s="1">
        <v>43</v>
      </c>
      <c r="B44" s="1" t="s">
        <v>225</v>
      </c>
      <c r="C44" s="1" t="s">
        <v>670</v>
      </c>
      <c r="D44" s="1" t="s">
        <v>3185</v>
      </c>
      <c r="E44" s="1" t="s">
        <v>3186</v>
      </c>
      <c r="F44" s="3">
        <v>44433</v>
      </c>
      <c r="G44" s="2">
        <v>3000</v>
      </c>
      <c r="H44" s="2">
        <v>91000</v>
      </c>
    </row>
    <row r="45" spans="1:8" x14ac:dyDescent="0.3">
      <c r="A45" s="1">
        <v>44</v>
      </c>
      <c r="B45" s="1" t="s">
        <v>55</v>
      </c>
      <c r="C45" s="1" t="s">
        <v>585</v>
      </c>
      <c r="D45" s="1" t="s">
        <v>3187</v>
      </c>
      <c r="E45" s="1" t="s">
        <v>3188</v>
      </c>
      <c r="F45" s="3">
        <v>44435</v>
      </c>
      <c r="G45" s="2">
        <v>3000</v>
      </c>
      <c r="H45" s="2">
        <v>73500</v>
      </c>
    </row>
    <row r="46" spans="1:8" x14ac:dyDescent="0.3">
      <c r="A46" s="1">
        <v>45</v>
      </c>
      <c r="B46" s="1" t="s">
        <v>70</v>
      </c>
      <c r="C46" s="1" t="s">
        <v>520</v>
      </c>
      <c r="D46" s="1" t="s">
        <v>3189</v>
      </c>
      <c r="E46" s="1" t="s">
        <v>3182</v>
      </c>
      <c r="F46" s="3">
        <v>44464</v>
      </c>
      <c r="G46" s="2">
        <v>3000</v>
      </c>
      <c r="H46" s="2">
        <v>31500</v>
      </c>
    </row>
    <row r="47" spans="1:8" x14ac:dyDescent="0.3">
      <c r="A47" s="1">
        <v>46</v>
      </c>
      <c r="B47" s="1" t="s">
        <v>180</v>
      </c>
      <c r="C47" s="1" t="s">
        <v>455</v>
      </c>
      <c r="D47" s="1" t="s">
        <v>3190</v>
      </c>
      <c r="E47" s="1" t="s">
        <v>1390</v>
      </c>
      <c r="F47" s="3">
        <v>44436</v>
      </c>
      <c r="G47" s="2">
        <v>3000</v>
      </c>
      <c r="H47" s="2">
        <v>5000</v>
      </c>
    </row>
    <row r="48" spans="1:8" x14ac:dyDescent="0.3">
      <c r="A48" s="1">
        <v>47</v>
      </c>
      <c r="B48" s="1" t="s">
        <v>205</v>
      </c>
      <c r="C48" s="1" t="s">
        <v>855</v>
      </c>
      <c r="D48" s="1" t="s">
        <v>3191</v>
      </c>
      <c r="E48" s="1" t="s">
        <v>3192</v>
      </c>
      <c r="F48" s="3">
        <v>44437</v>
      </c>
      <c r="G48" s="2">
        <v>3000</v>
      </c>
      <c r="H48" s="2">
        <v>31000</v>
      </c>
    </row>
    <row r="49" spans="1:8" x14ac:dyDescent="0.3">
      <c r="A49" s="1">
        <v>48</v>
      </c>
      <c r="B49" s="1" t="s">
        <v>220</v>
      </c>
      <c r="C49" s="1" t="s">
        <v>590</v>
      </c>
      <c r="D49" s="1" t="s">
        <v>3193</v>
      </c>
      <c r="E49" s="1" t="s">
        <v>3194</v>
      </c>
      <c r="F49" s="3">
        <v>44437</v>
      </c>
      <c r="G49" s="2">
        <v>3000</v>
      </c>
      <c r="H49" s="2">
        <v>69000</v>
      </c>
    </row>
    <row r="50" spans="1:8" x14ac:dyDescent="0.3">
      <c r="A50" s="1">
        <v>49</v>
      </c>
      <c r="B50" s="1" t="s">
        <v>145</v>
      </c>
      <c r="C50" s="1" t="s">
        <v>570</v>
      </c>
      <c r="D50" s="1" t="s">
        <v>3195</v>
      </c>
      <c r="E50" s="1" t="s">
        <v>3196</v>
      </c>
      <c r="F50" s="3">
        <v>44438</v>
      </c>
      <c r="G50" s="2">
        <v>3000</v>
      </c>
      <c r="H50" s="2">
        <v>53500</v>
      </c>
    </row>
    <row r="51" spans="1:8" x14ac:dyDescent="0.3">
      <c r="A51" s="1">
        <v>50</v>
      </c>
      <c r="B51" s="1" t="s">
        <v>20</v>
      </c>
      <c r="C51" s="1" t="s">
        <v>435</v>
      </c>
      <c r="D51" s="1" t="s">
        <v>3197</v>
      </c>
      <c r="E51" s="1" t="s">
        <v>3198</v>
      </c>
      <c r="F51" s="3">
        <v>44438</v>
      </c>
      <c r="G51" s="2">
        <v>3000</v>
      </c>
      <c r="H51" s="2">
        <v>54000</v>
      </c>
    </row>
    <row r="52" spans="1:8" x14ac:dyDescent="0.3">
      <c r="A52" s="1">
        <v>51</v>
      </c>
      <c r="B52" s="1" t="s">
        <v>145</v>
      </c>
      <c r="C52" s="1" t="s">
        <v>655</v>
      </c>
      <c r="D52" s="1" t="s">
        <v>1057</v>
      </c>
      <c r="E52" s="1">
        <v>2</v>
      </c>
      <c r="F52" s="3">
        <v>44439</v>
      </c>
      <c r="G52" s="2">
        <v>3000</v>
      </c>
      <c r="H52" s="2">
        <v>18000</v>
      </c>
    </row>
    <row r="53" spans="1:8" x14ac:dyDescent="0.3">
      <c r="A53" s="1">
        <v>52</v>
      </c>
      <c r="B53" s="1" t="s">
        <v>25</v>
      </c>
      <c r="C53" s="1" t="s">
        <v>670</v>
      </c>
      <c r="D53" s="1" t="s">
        <v>3199</v>
      </c>
      <c r="E53" s="1" t="s">
        <v>3153</v>
      </c>
      <c r="F53" s="3">
        <v>44440</v>
      </c>
      <c r="G53" s="2">
        <v>3000</v>
      </c>
      <c r="H53" s="2">
        <v>39500</v>
      </c>
    </row>
    <row r="54" spans="1:8" x14ac:dyDescent="0.3">
      <c r="A54" s="1">
        <v>53</v>
      </c>
      <c r="B54" s="1" t="s">
        <v>215</v>
      </c>
      <c r="C54" s="1" t="s">
        <v>600</v>
      </c>
      <c r="D54" s="1" t="s">
        <v>3200</v>
      </c>
      <c r="E54" s="1" t="s">
        <v>3201</v>
      </c>
      <c r="F54" s="3">
        <v>44441</v>
      </c>
      <c r="G54" s="2">
        <v>3000</v>
      </c>
      <c r="H54" s="2">
        <v>55500</v>
      </c>
    </row>
    <row r="55" spans="1:8" x14ac:dyDescent="0.3">
      <c r="A55" s="1">
        <v>54</v>
      </c>
      <c r="B55" s="1" t="s">
        <v>100</v>
      </c>
      <c r="C55" s="1" t="s">
        <v>610</v>
      </c>
      <c r="D55" s="1" t="s">
        <v>3202</v>
      </c>
      <c r="E55" s="1" t="s">
        <v>3203</v>
      </c>
      <c r="F55" s="3">
        <v>44441</v>
      </c>
      <c r="G55" s="2">
        <v>3000</v>
      </c>
      <c r="H55" s="2">
        <v>13000</v>
      </c>
    </row>
    <row r="56" spans="1:8" x14ac:dyDescent="0.3">
      <c r="A56" s="1">
        <v>55</v>
      </c>
      <c r="B56" s="1" t="s">
        <v>50</v>
      </c>
      <c r="C56" s="1" t="s">
        <v>405</v>
      </c>
      <c r="D56" s="1" t="s">
        <v>3204</v>
      </c>
      <c r="E56" s="1" t="s">
        <v>3205</v>
      </c>
      <c r="F56" s="3">
        <v>44441</v>
      </c>
      <c r="G56" s="2">
        <v>3000</v>
      </c>
      <c r="H56" s="2">
        <v>21500</v>
      </c>
    </row>
    <row r="57" spans="1:8" x14ac:dyDescent="0.3">
      <c r="A57" s="1">
        <v>56</v>
      </c>
      <c r="B57" s="1" t="s">
        <v>115</v>
      </c>
      <c r="C57" s="1" t="s">
        <v>430</v>
      </c>
      <c r="D57" s="1" t="s">
        <v>3206</v>
      </c>
      <c r="E57" s="1" t="s">
        <v>3207</v>
      </c>
      <c r="F57" s="3">
        <v>44441</v>
      </c>
      <c r="G57" s="2">
        <v>3000</v>
      </c>
      <c r="H57" s="2">
        <v>51000</v>
      </c>
    </row>
    <row r="58" spans="1:8" x14ac:dyDescent="0.3">
      <c r="A58" s="1">
        <v>57</v>
      </c>
      <c r="B58" s="1" t="s">
        <v>200</v>
      </c>
      <c r="C58" s="1" t="s">
        <v>715</v>
      </c>
      <c r="D58" s="1" t="s">
        <v>3208</v>
      </c>
      <c r="E58" s="1" t="s">
        <v>3209</v>
      </c>
      <c r="F58" s="3">
        <v>44441</v>
      </c>
      <c r="G58" s="2">
        <v>3000</v>
      </c>
      <c r="H58" s="2">
        <v>45000</v>
      </c>
    </row>
    <row r="59" spans="1:8" x14ac:dyDescent="0.3">
      <c r="A59" s="1">
        <v>58</v>
      </c>
      <c r="B59" s="1" t="s">
        <v>11</v>
      </c>
      <c r="C59" s="1" t="s">
        <v>455</v>
      </c>
      <c r="D59" s="1" t="s">
        <v>3210</v>
      </c>
      <c r="E59" s="1" t="s">
        <v>3211</v>
      </c>
      <c r="F59" s="3">
        <v>44442</v>
      </c>
      <c r="G59" s="2">
        <v>3000</v>
      </c>
      <c r="H59" s="2">
        <v>23000</v>
      </c>
    </row>
    <row r="60" spans="1:8" x14ac:dyDescent="0.3">
      <c r="A60" s="1">
        <v>59</v>
      </c>
      <c r="B60" s="1" t="s">
        <v>100</v>
      </c>
      <c r="C60" s="1" t="s">
        <v>300</v>
      </c>
      <c r="D60" s="1" t="s">
        <v>3212</v>
      </c>
      <c r="E60" s="1" t="s">
        <v>3213</v>
      </c>
      <c r="F60" s="3">
        <v>44442</v>
      </c>
      <c r="G60" s="2">
        <v>3000</v>
      </c>
      <c r="H60" s="2">
        <v>26000</v>
      </c>
    </row>
    <row r="61" spans="1:8" x14ac:dyDescent="0.3">
      <c r="A61" s="1">
        <v>60</v>
      </c>
      <c r="B61" s="1" t="s">
        <v>55</v>
      </c>
      <c r="C61" s="1" t="s">
        <v>345</v>
      </c>
      <c r="D61" s="1" t="s">
        <v>3214</v>
      </c>
      <c r="E61" s="1" t="s">
        <v>3215</v>
      </c>
      <c r="F61" s="3">
        <v>44442</v>
      </c>
      <c r="G61" s="2">
        <v>3000</v>
      </c>
      <c r="H61" s="2">
        <v>25000</v>
      </c>
    </row>
    <row r="62" spans="1:8" x14ac:dyDescent="0.3">
      <c r="A62" s="1">
        <v>61</v>
      </c>
      <c r="B62" s="1" t="s">
        <v>20</v>
      </c>
      <c r="C62" s="1" t="s">
        <v>440</v>
      </c>
      <c r="D62" s="1" t="s">
        <v>3216</v>
      </c>
      <c r="E62" s="1" t="s">
        <v>3141</v>
      </c>
      <c r="F62" s="3">
        <v>44442</v>
      </c>
      <c r="G62" s="2">
        <v>3000</v>
      </c>
      <c r="H62" s="2">
        <v>16500</v>
      </c>
    </row>
    <row r="63" spans="1:8" x14ac:dyDescent="0.3">
      <c r="A63" s="1">
        <v>62</v>
      </c>
      <c r="B63" s="1" t="s">
        <v>30</v>
      </c>
      <c r="C63" s="1" t="s">
        <v>450</v>
      </c>
      <c r="D63" s="1" t="s">
        <v>3217</v>
      </c>
      <c r="E63" s="1" t="s">
        <v>3218</v>
      </c>
      <c r="F63" s="3">
        <v>44442</v>
      </c>
      <c r="G63" s="2">
        <v>3000</v>
      </c>
      <c r="H63" s="2">
        <v>25000</v>
      </c>
    </row>
    <row r="64" spans="1:8" x14ac:dyDescent="0.3">
      <c r="A64" s="1">
        <v>63</v>
      </c>
      <c r="B64" s="1" t="s">
        <v>20</v>
      </c>
      <c r="C64" s="1" t="s">
        <v>240</v>
      </c>
      <c r="D64" s="1" t="s">
        <v>952</v>
      </c>
      <c r="E64" s="1">
        <v>3</v>
      </c>
      <c r="F64" s="3">
        <v>44443</v>
      </c>
      <c r="G64" s="2">
        <v>3000</v>
      </c>
      <c r="H64" s="2">
        <v>24000</v>
      </c>
    </row>
    <row r="65" spans="1:8" x14ac:dyDescent="0.3">
      <c r="A65" s="1">
        <v>64</v>
      </c>
      <c r="B65" s="1" t="s">
        <v>135</v>
      </c>
      <c r="C65" s="1" t="s">
        <v>710</v>
      </c>
      <c r="D65" s="1" t="s">
        <v>3219</v>
      </c>
      <c r="E65" s="1" t="s">
        <v>3220</v>
      </c>
      <c r="F65" s="3">
        <v>44444</v>
      </c>
      <c r="G65" s="2">
        <v>3000</v>
      </c>
      <c r="H65" s="2">
        <v>63500</v>
      </c>
    </row>
    <row r="66" spans="1:8" x14ac:dyDescent="0.3">
      <c r="A66" s="1">
        <v>65</v>
      </c>
      <c r="B66" s="1" t="s">
        <v>210</v>
      </c>
      <c r="C66" s="1" t="s">
        <v>245</v>
      </c>
      <c r="D66" s="1" t="s">
        <v>3221</v>
      </c>
      <c r="E66" s="1" t="s">
        <v>3222</v>
      </c>
      <c r="F66" s="3">
        <v>44445</v>
      </c>
      <c r="G66" s="2">
        <v>3000</v>
      </c>
      <c r="H66" s="2">
        <v>51000</v>
      </c>
    </row>
    <row r="67" spans="1:8" x14ac:dyDescent="0.3">
      <c r="A67" s="1">
        <v>66</v>
      </c>
      <c r="B67" s="1" t="s">
        <v>6</v>
      </c>
      <c r="C67" s="1" t="s">
        <v>805</v>
      </c>
      <c r="D67" s="1" t="s">
        <v>3223</v>
      </c>
      <c r="E67" s="1" t="s">
        <v>3224</v>
      </c>
      <c r="F67" s="3">
        <v>44445</v>
      </c>
      <c r="G67" s="1">
        <v>0</v>
      </c>
      <c r="H67" s="2">
        <v>95000</v>
      </c>
    </row>
    <row r="68" spans="1:8" x14ac:dyDescent="0.3">
      <c r="A68" s="1">
        <v>67</v>
      </c>
      <c r="B68" s="1" t="s">
        <v>11</v>
      </c>
      <c r="C68" s="1" t="s">
        <v>575</v>
      </c>
      <c r="D68" s="1" t="s">
        <v>3225</v>
      </c>
      <c r="E68" s="1" t="s">
        <v>3226</v>
      </c>
      <c r="F68" s="3">
        <v>44445</v>
      </c>
      <c r="G68" s="2">
        <v>3000</v>
      </c>
      <c r="H68" s="2">
        <v>64000</v>
      </c>
    </row>
    <row r="69" spans="1:8" x14ac:dyDescent="0.3">
      <c r="A69" s="1">
        <v>68</v>
      </c>
      <c r="B69" s="1" t="s">
        <v>30</v>
      </c>
      <c r="C69" s="1" t="s">
        <v>650</v>
      </c>
      <c r="D69" s="1" t="s">
        <v>3227</v>
      </c>
      <c r="E69" s="1" t="s">
        <v>3228</v>
      </c>
      <c r="F69" s="3">
        <v>44446</v>
      </c>
      <c r="G69" s="2">
        <v>3000</v>
      </c>
      <c r="H69" s="2">
        <v>55500</v>
      </c>
    </row>
    <row r="70" spans="1:8" x14ac:dyDescent="0.3">
      <c r="A70" s="1">
        <v>69</v>
      </c>
      <c r="B70" s="1" t="s">
        <v>6</v>
      </c>
      <c r="C70" s="1" t="s">
        <v>740</v>
      </c>
      <c r="D70" s="1" t="s">
        <v>3229</v>
      </c>
      <c r="E70" s="1" t="s">
        <v>3230</v>
      </c>
      <c r="F70" s="3">
        <v>44446</v>
      </c>
      <c r="G70" s="1">
        <v>0</v>
      </c>
      <c r="H70" s="2">
        <v>47000</v>
      </c>
    </row>
    <row r="71" spans="1:8" x14ac:dyDescent="0.3">
      <c r="A71" s="1">
        <v>70</v>
      </c>
      <c r="B71" s="1" t="s">
        <v>150</v>
      </c>
      <c r="C71" s="1" t="s">
        <v>590</v>
      </c>
      <c r="D71" s="1" t="s">
        <v>3231</v>
      </c>
      <c r="E71" s="1" t="s">
        <v>3232</v>
      </c>
      <c r="F71" s="3">
        <v>44446</v>
      </c>
      <c r="G71" s="2">
        <v>3000</v>
      </c>
      <c r="H71" s="2">
        <v>52000</v>
      </c>
    </row>
    <row r="72" spans="1:8" x14ac:dyDescent="0.3">
      <c r="A72" s="1">
        <v>71</v>
      </c>
      <c r="B72" s="1" t="s">
        <v>95</v>
      </c>
      <c r="C72" s="1" t="s">
        <v>240</v>
      </c>
      <c r="D72" s="1" t="s">
        <v>946</v>
      </c>
      <c r="E72" s="1">
        <v>3</v>
      </c>
      <c r="F72" s="3">
        <v>44446</v>
      </c>
      <c r="G72" s="2">
        <v>3000</v>
      </c>
      <c r="H72" s="2">
        <v>42000</v>
      </c>
    </row>
    <row r="73" spans="1:8" x14ac:dyDescent="0.3">
      <c r="A73" s="1">
        <v>72</v>
      </c>
      <c r="B73" s="1" t="s">
        <v>215</v>
      </c>
      <c r="C73" s="1" t="s">
        <v>510</v>
      </c>
      <c r="D73" s="1" t="s">
        <v>1013</v>
      </c>
      <c r="E73" s="1">
        <v>3</v>
      </c>
      <c r="F73" s="3">
        <v>44446</v>
      </c>
      <c r="G73" s="2">
        <v>3000</v>
      </c>
      <c r="H73" s="2">
        <v>18000</v>
      </c>
    </row>
    <row r="74" spans="1:8" x14ac:dyDescent="0.3">
      <c r="A74" s="1">
        <v>73</v>
      </c>
      <c r="B74" s="1" t="s">
        <v>70</v>
      </c>
      <c r="C74" s="1" t="s">
        <v>585</v>
      </c>
      <c r="D74" s="1" t="s">
        <v>3233</v>
      </c>
      <c r="E74" s="1" t="s">
        <v>3234</v>
      </c>
      <c r="F74" s="3">
        <v>44447</v>
      </c>
      <c r="G74" s="2">
        <v>3000</v>
      </c>
      <c r="H74" s="2">
        <v>30500</v>
      </c>
    </row>
    <row r="75" spans="1:8" x14ac:dyDescent="0.3">
      <c r="A75" s="1">
        <v>74</v>
      </c>
      <c r="B75" s="1" t="s">
        <v>195</v>
      </c>
      <c r="C75" s="1" t="s">
        <v>780</v>
      </c>
      <c r="D75" s="1" t="s">
        <v>3235</v>
      </c>
      <c r="E75" s="1" t="s">
        <v>3236</v>
      </c>
      <c r="F75" s="3">
        <v>44447</v>
      </c>
      <c r="G75" s="2">
        <v>3000</v>
      </c>
      <c r="H75" s="2">
        <v>39000</v>
      </c>
    </row>
    <row r="76" spans="1:8" x14ac:dyDescent="0.3">
      <c r="A76" s="1">
        <v>75</v>
      </c>
      <c r="B76" s="1" t="s">
        <v>175</v>
      </c>
      <c r="C76" s="1" t="s">
        <v>455</v>
      </c>
      <c r="D76" s="1" t="s">
        <v>3237</v>
      </c>
      <c r="E76" s="1" t="s">
        <v>3238</v>
      </c>
      <c r="F76" s="3">
        <v>44449</v>
      </c>
      <c r="G76" s="2">
        <v>3000</v>
      </c>
      <c r="H76" s="2">
        <v>14000</v>
      </c>
    </row>
    <row r="77" spans="1:8" x14ac:dyDescent="0.3">
      <c r="A77" s="1">
        <v>76</v>
      </c>
      <c r="B77" s="1" t="s">
        <v>45</v>
      </c>
      <c r="C77" s="1" t="s">
        <v>890</v>
      </c>
      <c r="D77" s="1" t="s">
        <v>3239</v>
      </c>
      <c r="E77" s="1" t="s">
        <v>3240</v>
      </c>
      <c r="F77" s="3">
        <v>44449</v>
      </c>
      <c r="G77" s="1">
        <v>0</v>
      </c>
      <c r="H77" s="2">
        <v>43000</v>
      </c>
    </row>
    <row r="78" spans="1:8" x14ac:dyDescent="0.3">
      <c r="A78" s="1">
        <v>77</v>
      </c>
      <c r="B78" s="1" t="s">
        <v>45</v>
      </c>
      <c r="C78" s="1" t="s">
        <v>660</v>
      </c>
      <c r="D78" s="1" t="s">
        <v>3241</v>
      </c>
      <c r="E78" s="1" t="s">
        <v>3169</v>
      </c>
      <c r="F78" s="3">
        <v>44449</v>
      </c>
      <c r="G78" s="1">
        <v>0</v>
      </c>
      <c r="H78" s="2">
        <v>58500</v>
      </c>
    </row>
    <row r="79" spans="1:8" x14ac:dyDescent="0.3">
      <c r="A79" s="1">
        <v>78</v>
      </c>
      <c r="B79" s="1" t="s">
        <v>110</v>
      </c>
      <c r="C79" s="1" t="s">
        <v>470</v>
      </c>
      <c r="D79" s="1" t="s">
        <v>3242</v>
      </c>
      <c r="E79" s="1" t="s">
        <v>3169</v>
      </c>
      <c r="F79" s="3">
        <v>44449</v>
      </c>
      <c r="G79" s="2">
        <v>3000</v>
      </c>
      <c r="H79" s="2">
        <v>33500</v>
      </c>
    </row>
    <row r="80" spans="1:8" x14ac:dyDescent="0.3">
      <c r="A80" s="1">
        <v>79</v>
      </c>
      <c r="B80" s="1" t="s">
        <v>180</v>
      </c>
      <c r="C80" s="1" t="s">
        <v>725</v>
      </c>
      <c r="D80" s="1" t="s">
        <v>3243</v>
      </c>
      <c r="E80" s="1" t="s">
        <v>3244</v>
      </c>
      <c r="F80" s="3">
        <v>44449</v>
      </c>
      <c r="G80" s="2">
        <v>3000</v>
      </c>
      <c r="H80" s="2">
        <v>28000</v>
      </c>
    </row>
    <row r="81" spans="1:8" x14ac:dyDescent="0.3">
      <c r="A81" s="1">
        <v>80</v>
      </c>
      <c r="B81" s="1" t="s">
        <v>50</v>
      </c>
      <c r="C81" s="1" t="s">
        <v>720</v>
      </c>
      <c r="D81" s="1" t="s">
        <v>3245</v>
      </c>
      <c r="E81" s="1" t="s">
        <v>3141</v>
      </c>
      <c r="F81" s="3">
        <v>44450</v>
      </c>
      <c r="G81" s="2">
        <v>3000</v>
      </c>
      <c r="H81" s="2">
        <v>67000</v>
      </c>
    </row>
    <row r="82" spans="1:8" x14ac:dyDescent="0.3">
      <c r="A82" s="1">
        <v>81</v>
      </c>
      <c r="B82" s="1" t="s">
        <v>15</v>
      </c>
      <c r="C82" s="1" t="s">
        <v>570</v>
      </c>
      <c r="D82" s="1" t="s">
        <v>3246</v>
      </c>
      <c r="E82" s="1" t="s">
        <v>3220</v>
      </c>
      <c r="F82" s="3">
        <v>44450</v>
      </c>
      <c r="G82" s="1">
        <v>0</v>
      </c>
      <c r="H82" s="2">
        <v>26500</v>
      </c>
    </row>
    <row r="83" spans="1:8" x14ac:dyDescent="0.3">
      <c r="A83" s="1">
        <v>82</v>
      </c>
      <c r="B83" s="1" t="s">
        <v>25</v>
      </c>
      <c r="C83" s="1" t="s">
        <v>545</v>
      </c>
      <c r="D83" s="1" t="s">
        <v>3247</v>
      </c>
      <c r="E83" s="1" t="s">
        <v>3248</v>
      </c>
      <c r="F83" s="3">
        <v>44450</v>
      </c>
      <c r="G83" s="2">
        <v>3000</v>
      </c>
      <c r="H83" s="2">
        <v>31000</v>
      </c>
    </row>
    <row r="84" spans="1:8" x14ac:dyDescent="0.3">
      <c r="A84" s="1">
        <v>83</v>
      </c>
      <c r="B84" s="1" t="s">
        <v>233</v>
      </c>
      <c r="C84" s="1" t="s">
        <v>550</v>
      </c>
      <c r="D84" s="1" t="s">
        <v>3249</v>
      </c>
      <c r="E84" s="1" t="s">
        <v>3230</v>
      </c>
      <c r="F84" s="3">
        <v>44451</v>
      </c>
      <c r="G84" s="2">
        <v>3000</v>
      </c>
      <c r="H84" s="2">
        <v>41500</v>
      </c>
    </row>
    <row r="85" spans="1:8" x14ac:dyDescent="0.3">
      <c r="A85" s="1">
        <v>84</v>
      </c>
      <c r="B85" s="1" t="s">
        <v>25</v>
      </c>
      <c r="C85" s="1" t="s">
        <v>825</v>
      </c>
      <c r="D85" s="1" t="s">
        <v>958</v>
      </c>
      <c r="E85" s="1">
        <v>1</v>
      </c>
      <c r="F85" s="3">
        <v>44451</v>
      </c>
      <c r="G85" s="2">
        <v>3000</v>
      </c>
      <c r="H85" s="2">
        <v>4500</v>
      </c>
    </row>
    <row r="86" spans="1:8" x14ac:dyDescent="0.3">
      <c r="A86" s="1">
        <v>85</v>
      </c>
      <c r="B86" s="1" t="s">
        <v>90</v>
      </c>
      <c r="C86" s="1" t="s">
        <v>515</v>
      </c>
      <c r="D86" s="1" t="s">
        <v>3250</v>
      </c>
      <c r="E86" s="1" t="s">
        <v>3251</v>
      </c>
      <c r="F86" s="3">
        <v>44451</v>
      </c>
      <c r="G86" s="2">
        <v>3000</v>
      </c>
      <c r="H86" s="2">
        <v>49000</v>
      </c>
    </row>
    <row r="87" spans="1:8" x14ac:dyDescent="0.3">
      <c r="A87" s="1">
        <v>86</v>
      </c>
      <c r="B87" s="1" t="s">
        <v>11</v>
      </c>
      <c r="C87" s="1" t="s">
        <v>540</v>
      </c>
      <c r="D87" s="1" t="s">
        <v>3252</v>
      </c>
      <c r="E87" s="1" t="s">
        <v>3253</v>
      </c>
      <c r="F87" s="3">
        <v>44452</v>
      </c>
      <c r="G87" s="2">
        <v>3000</v>
      </c>
      <c r="H87" s="2">
        <v>33500</v>
      </c>
    </row>
    <row r="88" spans="1:8" x14ac:dyDescent="0.3">
      <c r="A88" s="1">
        <v>87</v>
      </c>
      <c r="B88" s="1" t="s">
        <v>25</v>
      </c>
      <c r="C88" s="1" t="s">
        <v>240</v>
      </c>
      <c r="D88" s="1" t="s">
        <v>3254</v>
      </c>
      <c r="E88" s="1" t="s">
        <v>3255</v>
      </c>
      <c r="F88" s="3">
        <v>44446</v>
      </c>
      <c r="G88" s="2">
        <v>3000</v>
      </c>
      <c r="H88" s="2">
        <v>61000</v>
      </c>
    </row>
    <row r="89" spans="1:8" x14ac:dyDescent="0.3">
      <c r="A89" s="1">
        <v>88</v>
      </c>
      <c r="B89" s="1" t="s">
        <v>50</v>
      </c>
      <c r="C89" s="1" t="s">
        <v>405</v>
      </c>
      <c r="D89" s="1" t="s">
        <v>3256</v>
      </c>
      <c r="E89" s="1" t="s">
        <v>3257</v>
      </c>
      <c r="F89" s="3">
        <v>44452</v>
      </c>
      <c r="G89" s="2">
        <v>3000</v>
      </c>
      <c r="H89" s="2">
        <v>24000</v>
      </c>
    </row>
    <row r="90" spans="1:8" x14ac:dyDescent="0.3">
      <c r="A90" s="1">
        <v>89</v>
      </c>
      <c r="B90" s="1" t="s">
        <v>60</v>
      </c>
      <c r="C90" s="1" t="s">
        <v>310</v>
      </c>
      <c r="D90" s="1" t="s">
        <v>3258</v>
      </c>
      <c r="E90" s="1" t="s">
        <v>3259</v>
      </c>
      <c r="F90" s="3">
        <v>44454</v>
      </c>
      <c r="G90" s="2">
        <v>3000</v>
      </c>
      <c r="H90" s="2">
        <v>74500</v>
      </c>
    </row>
    <row r="91" spans="1:8" x14ac:dyDescent="0.3">
      <c r="A91" s="1">
        <v>90</v>
      </c>
      <c r="B91" s="1" t="s">
        <v>20</v>
      </c>
      <c r="C91" s="1" t="s">
        <v>335</v>
      </c>
      <c r="D91" s="1" t="s">
        <v>3260</v>
      </c>
      <c r="E91" s="1" t="s">
        <v>3261</v>
      </c>
      <c r="F91" s="3">
        <v>44454</v>
      </c>
      <c r="G91" s="2">
        <v>3000</v>
      </c>
      <c r="H91" s="2">
        <v>29000</v>
      </c>
    </row>
    <row r="92" spans="1:8" x14ac:dyDescent="0.3">
      <c r="A92" s="1">
        <v>91</v>
      </c>
      <c r="B92" s="1" t="s">
        <v>6</v>
      </c>
      <c r="C92" s="1" t="s">
        <v>365</v>
      </c>
      <c r="D92" s="1" t="s">
        <v>1001</v>
      </c>
      <c r="E92" s="1">
        <v>2</v>
      </c>
      <c r="F92" s="3">
        <v>44455</v>
      </c>
      <c r="G92" s="1">
        <v>0</v>
      </c>
      <c r="H92" s="2">
        <v>9000</v>
      </c>
    </row>
    <row r="93" spans="1:8" x14ac:dyDescent="0.3">
      <c r="A93" s="1">
        <v>92</v>
      </c>
      <c r="B93" s="1" t="s">
        <v>230</v>
      </c>
      <c r="C93" s="1" t="s">
        <v>400</v>
      </c>
      <c r="D93" s="1" t="s">
        <v>3262</v>
      </c>
      <c r="E93" s="1" t="s">
        <v>3137</v>
      </c>
      <c r="F93" s="3">
        <v>44455</v>
      </c>
      <c r="G93" s="2">
        <v>3000</v>
      </c>
      <c r="H93" s="2">
        <v>44500</v>
      </c>
    </row>
    <row r="94" spans="1:8" x14ac:dyDescent="0.3">
      <c r="A94" s="1">
        <v>93</v>
      </c>
      <c r="B94" s="1" t="s">
        <v>165</v>
      </c>
      <c r="C94" s="1" t="s">
        <v>280</v>
      </c>
      <c r="D94" s="1" t="s">
        <v>3263</v>
      </c>
      <c r="E94" s="1" t="s">
        <v>3264</v>
      </c>
      <c r="F94" s="3">
        <v>44456</v>
      </c>
      <c r="G94" s="2">
        <v>3000</v>
      </c>
      <c r="H94" s="2">
        <v>98000</v>
      </c>
    </row>
    <row r="95" spans="1:8" x14ac:dyDescent="0.3">
      <c r="A95" s="1">
        <v>94</v>
      </c>
      <c r="B95" s="1" t="s">
        <v>30</v>
      </c>
      <c r="C95" s="1" t="s">
        <v>645</v>
      </c>
      <c r="D95" s="1" t="s">
        <v>3265</v>
      </c>
      <c r="E95" s="1" t="s">
        <v>3266</v>
      </c>
      <c r="F95" s="3">
        <v>44456</v>
      </c>
      <c r="G95" s="2">
        <v>3000</v>
      </c>
      <c r="H95" s="2">
        <v>60500</v>
      </c>
    </row>
    <row r="96" spans="1:8" x14ac:dyDescent="0.3">
      <c r="A96" s="1">
        <v>95</v>
      </c>
      <c r="B96" s="1" t="s">
        <v>15</v>
      </c>
      <c r="C96" s="1" t="s">
        <v>650</v>
      </c>
      <c r="D96" s="1" t="s">
        <v>3267</v>
      </c>
      <c r="E96" s="1" t="s">
        <v>3131</v>
      </c>
      <c r="F96" s="3">
        <v>44456</v>
      </c>
      <c r="G96" s="1">
        <v>0</v>
      </c>
      <c r="H96" s="2">
        <v>72000</v>
      </c>
    </row>
    <row r="97" spans="1:8" x14ac:dyDescent="0.3">
      <c r="A97" s="1">
        <v>96</v>
      </c>
      <c r="B97" s="1" t="s">
        <v>95</v>
      </c>
      <c r="C97" s="1" t="s">
        <v>715</v>
      </c>
      <c r="D97" s="1" t="s">
        <v>3268</v>
      </c>
      <c r="E97" s="1" t="s">
        <v>1388</v>
      </c>
      <c r="F97" s="3">
        <v>44456</v>
      </c>
      <c r="G97" s="2">
        <v>3000</v>
      </c>
      <c r="H97" s="2">
        <v>22000</v>
      </c>
    </row>
    <row r="98" spans="1:8" x14ac:dyDescent="0.3">
      <c r="A98" s="1">
        <v>97</v>
      </c>
      <c r="B98" s="1" t="s">
        <v>200</v>
      </c>
      <c r="C98" s="1" t="s">
        <v>305</v>
      </c>
      <c r="D98" s="1" t="s">
        <v>3269</v>
      </c>
      <c r="E98" s="1" t="s">
        <v>3270</v>
      </c>
      <c r="F98" s="3">
        <v>44457</v>
      </c>
      <c r="G98" s="2">
        <v>3000</v>
      </c>
      <c r="H98" s="2">
        <v>16500</v>
      </c>
    </row>
    <row r="99" spans="1:8" x14ac:dyDescent="0.3">
      <c r="A99" s="1">
        <v>98</v>
      </c>
      <c r="B99" s="1" t="s">
        <v>120</v>
      </c>
      <c r="C99" s="1" t="s">
        <v>470</v>
      </c>
      <c r="D99" s="1" t="s">
        <v>3271</v>
      </c>
      <c r="E99" s="1" t="s">
        <v>3272</v>
      </c>
      <c r="F99" s="3">
        <v>44458</v>
      </c>
      <c r="G99" s="2">
        <v>3000</v>
      </c>
      <c r="H99" s="2">
        <v>72500</v>
      </c>
    </row>
    <row r="100" spans="1:8" x14ac:dyDescent="0.3">
      <c r="A100" s="1">
        <v>99</v>
      </c>
      <c r="B100" s="1" t="s">
        <v>110</v>
      </c>
      <c r="C100" s="1" t="s">
        <v>540</v>
      </c>
      <c r="D100" s="1" t="s">
        <v>3273</v>
      </c>
      <c r="E100" s="1" t="s">
        <v>3274</v>
      </c>
      <c r="F100" s="3">
        <v>44458</v>
      </c>
      <c r="G100" s="2">
        <v>3000</v>
      </c>
      <c r="H100" s="2">
        <v>68500</v>
      </c>
    </row>
    <row r="101" spans="1:8" x14ac:dyDescent="0.3">
      <c r="A101" s="1">
        <v>100</v>
      </c>
      <c r="B101" s="1" t="s">
        <v>200</v>
      </c>
      <c r="C101" s="1" t="s">
        <v>485</v>
      </c>
      <c r="D101" s="1" t="s">
        <v>3275</v>
      </c>
      <c r="E101" s="1" t="s">
        <v>3276</v>
      </c>
      <c r="F101" s="3">
        <v>44459</v>
      </c>
      <c r="G101" s="2">
        <v>3000</v>
      </c>
      <c r="H101" s="2">
        <v>49000</v>
      </c>
    </row>
    <row r="102" spans="1:8" x14ac:dyDescent="0.3">
      <c r="A102" s="1">
        <v>101</v>
      </c>
      <c r="B102" s="1" t="s">
        <v>40</v>
      </c>
      <c r="C102" s="1" t="s">
        <v>735</v>
      </c>
      <c r="D102" s="1" t="s">
        <v>3277</v>
      </c>
      <c r="E102" s="1" t="s">
        <v>3253</v>
      </c>
      <c r="F102" s="3">
        <v>44459</v>
      </c>
      <c r="G102" s="2">
        <v>3000</v>
      </c>
      <c r="H102" s="2">
        <v>16200</v>
      </c>
    </row>
    <row r="103" spans="1:8" x14ac:dyDescent="0.3">
      <c r="A103" s="1">
        <v>102</v>
      </c>
      <c r="B103" s="1" t="s">
        <v>30</v>
      </c>
      <c r="C103" s="1" t="s">
        <v>620</v>
      </c>
      <c r="D103" s="1" t="s">
        <v>946</v>
      </c>
      <c r="E103" s="1">
        <v>1</v>
      </c>
      <c r="F103" s="3">
        <v>44459</v>
      </c>
      <c r="G103" s="2">
        <v>3000</v>
      </c>
      <c r="H103" s="2">
        <v>15000</v>
      </c>
    </row>
    <row r="104" spans="1:8" x14ac:dyDescent="0.3">
      <c r="A104" s="1">
        <v>103</v>
      </c>
      <c r="B104" s="1" t="s">
        <v>15</v>
      </c>
      <c r="C104" s="1" t="s">
        <v>880</v>
      </c>
      <c r="D104" s="1" t="s">
        <v>3278</v>
      </c>
      <c r="E104" s="1" t="s">
        <v>3279</v>
      </c>
      <c r="F104" s="3">
        <v>44413</v>
      </c>
      <c r="G104" s="1">
        <v>0</v>
      </c>
      <c r="H104" s="2">
        <v>62500</v>
      </c>
    </row>
    <row r="105" spans="1:8" x14ac:dyDescent="0.3">
      <c r="A105" s="1">
        <v>104</v>
      </c>
      <c r="B105" s="1" t="s">
        <v>6</v>
      </c>
      <c r="C105" s="1" t="s">
        <v>905</v>
      </c>
      <c r="D105" s="1" t="s">
        <v>3280</v>
      </c>
      <c r="E105" s="1" t="s">
        <v>3281</v>
      </c>
      <c r="F105" s="3">
        <v>44460</v>
      </c>
      <c r="G105" s="1">
        <v>0</v>
      </c>
      <c r="H105" s="2">
        <v>70000</v>
      </c>
    </row>
    <row r="106" spans="1:8" x14ac:dyDescent="0.3">
      <c r="A106" s="1">
        <v>105</v>
      </c>
      <c r="B106" s="1" t="s">
        <v>236</v>
      </c>
      <c r="C106" s="1" t="s">
        <v>655</v>
      </c>
      <c r="D106" s="1" t="s">
        <v>3282</v>
      </c>
      <c r="E106" s="1" t="s">
        <v>3283</v>
      </c>
      <c r="F106" s="3">
        <v>44460</v>
      </c>
      <c r="G106" s="2">
        <v>3000</v>
      </c>
      <c r="H106" s="2">
        <v>47000</v>
      </c>
    </row>
    <row r="107" spans="1:8" x14ac:dyDescent="0.3">
      <c r="A107" s="1">
        <v>106</v>
      </c>
      <c r="B107" s="1" t="s">
        <v>225</v>
      </c>
      <c r="C107" s="1" t="s">
        <v>480</v>
      </c>
      <c r="D107" s="1" t="s">
        <v>3284</v>
      </c>
      <c r="E107" s="1" t="s">
        <v>3259</v>
      </c>
      <c r="F107" s="3">
        <v>44460</v>
      </c>
      <c r="G107" s="2">
        <v>3000</v>
      </c>
      <c r="H107" s="2">
        <v>47500</v>
      </c>
    </row>
    <row r="108" spans="1:8" x14ac:dyDescent="0.3">
      <c r="A108" s="1">
        <v>107</v>
      </c>
      <c r="B108" s="1" t="s">
        <v>25</v>
      </c>
      <c r="C108" s="1" t="s">
        <v>240</v>
      </c>
      <c r="D108" s="1" t="s">
        <v>3285</v>
      </c>
      <c r="E108" s="1" t="s">
        <v>3171</v>
      </c>
      <c r="F108" s="3">
        <v>44409</v>
      </c>
      <c r="G108" s="2">
        <v>3000</v>
      </c>
      <c r="H108" s="2">
        <v>47000</v>
      </c>
    </row>
    <row r="109" spans="1:8" x14ac:dyDescent="0.3">
      <c r="A109" s="1">
        <v>108</v>
      </c>
      <c r="B109" s="1" t="s">
        <v>45</v>
      </c>
      <c r="C109" s="1" t="s">
        <v>500</v>
      </c>
      <c r="D109" s="1" t="s">
        <v>3286</v>
      </c>
      <c r="E109" s="1" t="s">
        <v>3287</v>
      </c>
      <c r="F109" s="3">
        <v>44461</v>
      </c>
      <c r="G109" s="1">
        <v>0</v>
      </c>
      <c r="H109" s="2">
        <v>63000</v>
      </c>
    </row>
    <row r="110" spans="1:8" x14ac:dyDescent="0.3">
      <c r="A110" s="1">
        <v>109</v>
      </c>
      <c r="B110" s="1" t="s">
        <v>6</v>
      </c>
      <c r="C110" s="1" t="s">
        <v>650</v>
      </c>
      <c r="D110" s="1" t="s">
        <v>3288</v>
      </c>
      <c r="E110" s="1" t="s">
        <v>3289</v>
      </c>
      <c r="F110" s="3">
        <v>44461</v>
      </c>
      <c r="G110" s="1">
        <v>0</v>
      </c>
      <c r="H110" s="2">
        <v>71000</v>
      </c>
    </row>
    <row r="111" spans="1:8" x14ac:dyDescent="0.3">
      <c r="A111" s="1">
        <v>110</v>
      </c>
      <c r="B111" s="1" t="s">
        <v>6</v>
      </c>
      <c r="C111" s="1" t="s">
        <v>440</v>
      </c>
      <c r="D111" s="1" t="s">
        <v>1096</v>
      </c>
      <c r="E111" s="1">
        <v>3</v>
      </c>
      <c r="F111" s="3">
        <v>44412</v>
      </c>
      <c r="G111" s="1">
        <v>0</v>
      </c>
      <c r="H111" s="2">
        <v>7500</v>
      </c>
    </row>
    <row r="112" spans="1:8" x14ac:dyDescent="0.3">
      <c r="A112" s="1">
        <v>111</v>
      </c>
      <c r="B112" s="1" t="s">
        <v>175</v>
      </c>
      <c r="C112" s="1" t="s">
        <v>405</v>
      </c>
      <c r="D112" s="1" t="s">
        <v>3290</v>
      </c>
      <c r="E112" s="1" t="s">
        <v>3291</v>
      </c>
      <c r="F112" s="3">
        <v>44441</v>
      </c>
      <c r="G112" s="2">
        <v>3000</v>
      </c>
      <c r="H112" s="2">
        <v>16500</v>
      </c>
    </row>
    <row r="113" spans="1:8" x14ac:dyDescent="0.3">
      <c r="A113" s="1">
        <v>112</v>
      </c>
      <c r="B113" s="1" t="s">
        <v>45</v>
      </c>
      <c r="C113" s="1" t="s">
        <v>410</v>
      </c>
      <c r="D113" s="1" t="s">
        <v>3292</v>
      </c>
      <c r="E113" s="1" t="s">
        <v>3293</v>
      </c>
      <c r="F113" s="3">
        <v>44463</v>
      </c>
      <c r="G113" s="1">
        <v>0</v>
      </c>
      <c r="H113" s="2">
        <v>11500</v>
      </c>
    </row>
    <row r="114" spans="1:8" x14ac:dyDescent="0.3">
      <c r="A114" s="1">
        <v>113</v>
      </c>
      <c r="B114" s="1" t="s">
        <v>35</v>
      </c>
      <c r="C114" s="1" t="s">
        <v>615</v>
      </c>
      <c r="D114" s="1" t="s">
        <v>3294</v>
      </c>
      <c r="E114" s="1" t="s">
        <v>3295</v>
      </c>
      <c r="F114" s="3">
        <v>44463</v>
      </c>
      <c r="G114" s="2">
        <v>3000</v>
      </c>
      <c r="H114" s="2">
        <v>22500</v>
      </c>
    </row>
    <row r="115" spans="1:8" x14ac:dyDescent="0.3">
      <c r="A115" s="1">
        <v>114</v>
      </c>
      <c r="B115" s="1" t="s">
        <v>45</v>
      </c>
      <c r="C115" s="1" t="s">
        <v>660</v>
      </c>
      <c r="D115" s="1" t="s">
        <v>3296</v>
      </c>
      <c r="E115" s="1" t="s">
        <v>3297</v>
      </c>
      <c r="F115" s="3">
        <v>44464</v>
      </c>
      <c r="G115" s="1">
        <v>0</v>
      </c>
      <c r="H115" s="2">
        <v>108000</v>
      </c>
    </row>
    <row r="116" spans="1:8" x14ac:dyDescent="0.3">
      <c r="A116" s="1">
        <v>115</v>
      </c>
      <c r="B116" s="1" t="s">
        <v>110</v>
      </c>
      <c r="C116" s="1" t="s">
        <v>710</v>
      </c>
      <c r="D116" s="1" t="s">
        <v>3298</v>
      </c>
      <c r="E116" s="1" t="s">
        <v>3169</v>
      </c>
      <c r="F116" s="3">
        <v>44464</v>
      </c>
      <c r="G116" s="2">
        <v>3000</v>
      </c>
      <c r="H116" s="2">
        <v>25500</v>
      </c>
    </row>
    <row r="117" spans="1:8" x14ac:dyDescent="0.3">
      <c r="A117" s="1">
        <v>116</v>
      </c>
      <c r="B117" s="1" t="s">
        <v>120</v>
      </c>
      <c r="C117" s="1" t="s">
        <v>520</v>
      </c>
      <c r="D117" s="1" t="s">
        <v>3299</v>
      </c>
      <c r="E117" s="1" t="s">
        <v>3300</v>
      </c>
      <c r="F117" s="3">
        <v>44464</v>
      </c>
      <c r="G117" s="2">
        <v>3000</v>
      </c>
      <c r="H117" s="2">
        <v>72500</v>
      </c>
    </row>
    <row r="118" spans="1:8" x14ac:dyDescent="0.3">
      <c r="A118" s="1">
        <v>117</v>
      </c>
      <c r="B118" s="1" t="s">
        <v>11</v>
      </c>
      <c r="C118" s="1" t="s">
        <v>440</v>
      </c>
      <c r="D118" s="1" t="s">
        <v>3301</v>
      </c>
      <c r="E118" s="1" t="s">
        <v>3213</v>
      </c>
      <c r="F118" s="3">
        <v>44464</v>
      </c>
      <c r="G118" s="2">
        <v>3000</v>
      </c>
      <c r="H118" s="2">
        <v>36200</v>
      </c>
    </row>
    <row r="119" spans="1:8" x14ac:dyDescent="0.3">
      <c r="A119" s="1">
        <v>118</v>
      </c>
      <c r="B119" s="1" t="s">
        <v>150</v>
      </c>
      <c r="C119" s="1" t="s">
        <v>275</v>
      </c>
      <c r="D119" s="1" t="s">
        <v>3302</v>
      </c>
      <c r="E119" s="1" t="s">
        <v>3303</v>
      </c>
      <c r="F119" s="3">
        <v>44465</v>
      </c>
      <c r="G119" s="2">
        <v>3000</v>
      </c>
      <c r="H119" s="2">
        <v>42000</v>
      </c>
    </row>
    <row r="120" spans="1:8" x14ac:dyDescent="0.3">
      <c r="A120" s="1">
        <v>119</v>
      </c>
      <c r="B120" s="1" t="s">
        <v>195</v>
      </c>
      <c r="C120" s="1" t="s">
        <v>470</v>
      </c>
      <c r="D120" s="1" t="s">
        <v>3304</v>
      </c>
      <c r="E120" s="1" t="s">
        <v>3305</v>
      </c>
      <c r="F120" s="3">
        <v>44465</v>
      </c>
      <c r="G120" s="2">
        <v>3000</v>
      </c>
      <c r="H120" s="2">
        <v>44500</v>
      </c>
    </row>
    <row r="121" spans="1:8" x14ac:dyDescent="0.3">
      <c r="A121" s="1">
        <v>120</v>
      </c>
      <c r="B121" s="1" t="s">
        <v>6</v>
      </c>
      <c r="C121" s="1" t="s">
        <v>780</v>
      </c>
      <c r="D121" s="1" t="s">
        <v>1032</v>
      </c>
      <c r="E121" s="1">
        <v>2</v>
      </c>
      <c r="F121" s="3">
        <v>44465</v>
      </c>
      <c r="G121" s="1">
        <v>0</v>
      </c>
      <c r="H121" s="2">
        <v>10000</v>
      </c>
    </row>
    <row r="122" spans="1:8" x14ac:dyDescent="0.3">
      <c r="A122" s="1">
        <v>121</v>
      </c>
      <c r="B122" s="1" t="s">
        <v>45</v>
      </c>
      <c r="C122" s="1" t="s">
        <v>635</v>
      </c>
      <c r="D122" s="1" t="s">
        <v>3306</v>
      </c>
      <c r="E122" s="1" t="s">
        <v>3149</v>
      </c>
      <c r="F122" s="3">
        <v>44466</v>
      </c>
      <c r="G122" s="1">
        <v>0</v>
      </c>
      <c r="H122" s="2">
        <v>14500</v>
      </c>
    </row>
    <row r="123" spans="1:8" x14ac:dyDescent="0.3">
      <c r="A123" s="1">
        <v>122</v>
      </c>
      <c r="B123" s="1" t="s">
        <v>180</v>
      </c>
      <c r="C123" s="1" t="s">
        <v>460</v>
      </c>
      <c r="D123" s="1" t="s">
        <v>3307</v>
      </c>
      <c r="E123" s="1" t="s">
        <v>3308</v>
      </c>
      <c r="F123" s="3">
        <v>44467</v>
      </c>
      <c r="G123" s="2">
        <v>3000</v>
      </c>
      <c r="H123" s="2">
        <v>58500</v>
      </c>
    </row>
    <row r="124" spans="1:8" x14ac:dyDescent="0.3">
      <c r="A124" s="1">
        <v>123</v>
      </c>
      <c r="B124" s="1" t="s">
        <v>11</v>
      </c>
      <c r="C124" s="1" t="s">
        <v>415</v>
      </c>
      <c r="D124" s="1" t="s">
        <v>3309</v>
      </c>
      <c r="E124" s="1" t="s">
        <v>3295</v>
      </c>
      <c r="F124" s="3">
        <v>44467</v>
      </c>
      <c r="G124" s="2">
        <v>3000</v>
      </c>
      <c r="H124" s="2">
        <v>19000</v>
      </c>
    </row>
    <row r="125" spans="1:8" x14ac:dyDescent="0.3">
      <c r="A125" s="1">
        <v>124</v>
      </c>
      <c r="B125" s="1" t="s">
        <v>6</v>
      </c>
      <c r="C125" s="1" t="s">
        <v>365</v>
      </c>
      <c r="D125" s="1" t="s">
        <v>3310</v>
      </c>
      <c r="E125" s="1" t="s">
        <v>3311</v>
      </c>
      <c r="F125" s="3">
        <v>44468</v>
      </c>
      <c r="G125" s="1">
        <v>0</v>
      </c>
      <c r="H125" s="2">
        <v>76000</v>
      </c>
    </row>
    <row r="126" spans="1:8" x14ac:dyDescent="0.3">
      <c r="A126" s="1">
        <v>125</v>
      </c>
      <c r="B126" s="1" t="s">
        <v>100</v>
      </c>
      <c r="C126" s="1" t="s">
        <v>365</v>
      </c>
      <c r="D126" s="1" t="s">
        <v>1013</v>
      </c>
      <c r="E126" s="1">
        <v>3</v>
      </c>
      <c r="F126" s="3">
        <v>44468</v>
      </c>
      <c r="G126" s="2">
        <v>3000</v>
      </c>
      <c r="H126" s="2">
        <v>18000</v>
      </c>
    </row>
    <row r="127" spans="1:8" x14ac:dyDescent="0.3">
      <c r="A127" s="1">
        <v>126</v>
      </c>
      <c r="B127" s="1" t="s">
        <v>95</v>
      </c>
      <c r="C127" s="1" t="s">
        <v>295</v>
      </c>
      <c r="D127" s="1" t="s">
        <v>964</v>
      </c>
      <c r="E127" s="1">
        <v>3</v>
      </c>
      <c r="F127" s="3">
        <v>44469</v>
      </c>
      <c r="G127" s="2">
        <v>3000</v>
      </c>
      <c r="H127" s="2">
        <v>4500</v>
      </c>
    </row>
    <row r="128" spans="1:8" x14ac:dyDescent="0.3">
      <c r="A128" s="1">
        <v>127</v>
      </c>
      <c r="B128" s="1" t="s">
        <v>215</v>
      </c>
      <c r="C128" s="1" t="s">
        <v>675</v>
      </c>
      <c r="D128" s="1" t="s">
        <v>3312</v>
      </c>
      <c r="E128" s="1" t="s">
        <v>3313</v>
      </c>
      <c r="F128" s="3">
        <v>44469</v>
      </c>
      <c r="G128" s="2">
        <v>3000</v>
      </c>
      <c r="H128" s="2">
        <v>81500</v>
      </c>
    </row>
    <row r="129" spans="1:8" x14ac:dyDescent="0.3">
      <c r="A129" s="1">
        <v>128</v>
      </c>
      <c r="B129" s="1" t="s">
        <v>25</v>
      </c>
      <c r="C129" s="1" t="s">
        <v>580</v>
      </c>
      <c r="D129" s="1" t="s">
        <v>966</v>
      </c>
      <c r="E129" s="1">
        <v>3</v>
      </c>
      <c r="F129" s="3">
        <v>44470</v>
      </c>
      <c r="G129" s="2">
        <v>3000</v>
      </c>
      <c r="H129" s="2">
        <v>4500</v>
      </c>
    </row>
    <row r="130" spans="1:8" x14ac:dyDescent="0.3">
      <c r="A130" s="1">
        <v>129</v>
      </c>
      <c r="B130" s="1" t="s">
        <v>225</v>
      </c>
      <c r="C130" s="1" t="s">
        <v>625</v>
      </c>
      <c r="D130" s="1" t="s">
        <v>3314</v>
      </c>
      <c r="E130" s="1" t="s">
        <v>3315</v>
      </c>
      <c r="F130" s="3">
        <v>44470</v>
      </c>
      <c r="G130" s="2">
        <v>3000</v>
      </c>
      <c r="H130" s="2">
        <v>18000</v>
      </c>
    </row>
    <row r="131" spans="1:8" x14ac:dyDescent="0.3">
      <c r="A131" s="1">
        <v>130</v>
      </c>
      <c r="B131" s="1" t="s">
        <v>120</v>
      </c>
      <c r="C131" s="1" t="s">
        <v>600</v>
      </c>
      <c r="D131" s="1" t="s">
        <v>3316</v>
      </c>
      <c r="E131" s="1" t="s">
        <v>3283</v>
      </c>
      <c r="F131" s="3">
        <v>44470</v>
      </c>
      <c r="G131" s="2">
        <v>3000</v>
      </c>
      <c r="H131" s="2">
        <v>78500</v>
      </c>
    </row>
    <row r="132" spans="1:8" x14ac:dyDescent="0.3">
      <c r="A132" s="1">
        <v>131</v>
      </c>
      <c r="B132" s="1" t="s">
        <v>180</v>
      </c>
      <c r="C132" s="1" t="s">
        <v>890</v>
      </c>
      <c r="D132" s="1" t="s">
        <v>3317</v>
      </c>
      <c r="E132" s="1" t="s">
        <v>3209</v>
      </c>
      <c r="F132" s="3">
        <v>44470</v>
      </c>
      <c r="G132" s="2">
        <v>3000</v>
      </c>
      <c r="H132" s="2">
        <v>27000</v>
      </c>
    </row>
    <row r="133" spans="1:8" x14ac:dyDescent="0.3">
      <c r="A133" s="1">
        <v>132</v>
      </c>
      <c r="B133" s="1" t="s">
        <v>15</v>
      </c>
      <c r="C133" s="1" t="s">
        <v>445</v>
      </c>
      <c r="D133" s="1" t="s">
        <v>3318</v>
      </c>
      <c r="E133" s="1" t="s">
        <v>3319</v>
      </c>
      <c r="F133" s="3">
        <v>44471</v>
      </c>
      <c r="G133" s="1">
        <v>0</v>
      </c>
      <c r="H133" s="2">
        <v>37000</v>
      </c>
    </row>
    <row r="134" spans="1:8" x14ac:dyDescent="0.3">
      <c r="A134" s="1">
        <v>133</v>
      </c>
      <c r="B134" s="1" t="s">
        <v>205</v>
      </c>
      <c r="C134" s="1" t="s">
        <v>600</v>
      </c>
      <c r="D134" s="1" t="s">
        <v>3320</v>
      </c>
      <c r="E134" s="1" t="s">
        <v>3192</v>
      </c>
      <c r="F134" s="3">
        <v>44441</v>
      </c>
      <c r="G134" s="2">
        <v>3000</v>
      </c>
      <c r="H134" s="2">
        <v>28000</v>
      </c>
    </row>
    <row r="135" spans="1:8" x14ac:dyDescent="0.3">
      <c r="A135" s="1">
        <v>134</v>
      </c>
      <c r="B135" s="1" t="s">
        <v>175</v>
      </c>
      <c r="C135" s="1" t="s">
        <v>680</v>
      </c>
      <c r="D135" s="1" t="s">
        <v>1110</v>
      </c>
      <c r="E135" s="1">
        <v>2</v>
      </c>
      <c r="F135" s="3">
        <v>44472</v>
      </c>
      <c r="G135" s="2">
        <v>3000</v>
      </c>
      <c r="H135" s="2">
        <v>4000</v>
      </c>
    </row>
    <row r="136" spans="1:8" x14ac:dyDescent="0.3">
      <c r="A136" s="1">
        <v>135</v>
      </c>
      <c r="B136" s="1" t="s">
        <v>185</v>
      </c>
      <c r="C136" s="1" t="s">
        <v>865</v>
      </c>
      <c r="D136" s="1" t="s">
        <v>3321</v>
      </c>
      <c r="E136" s="1" t="s">
        <v>3141</v>
      </c>
      <c r="F136" s="3">
        <v>44472</v>
      </c>
      <c r="G136" s="2">
        <v>3000</v>
      </c>
      <c r="H136" s="2">
        <v>20000</v>
      </c>
    </row>
    <row r="137" spans="1:8" x14ac:dyDescent="0.3">
      <c r="A137" s="1">
        <v>136</v>
      </c>
      <c r="B137" s="1" t="s">
        <v>175</v>
      </c>
      <c r="C137" s="1" t="s">
        <v>590</v>
      </c>
      <c r="D137" s="1" t="s">
        <v>3322</v>
      </c>
      <c r="E137" s="1" t="s">
        <v>3323</v>
      </c>
      <c r="F137" s="3">
        <v>44472</v>
      </c>
      <c r="G137" s="2">
        <v>3000</v>
      </c>
      <c r="H137" s="2">
        <v>38000</v>
      </c>
    </row>
    <row r="138" spans="1:8" x14ac:dyDescent="0.3">
      <c r="A138" s="1">
        <v>137</v>
      </c>
      <c r="B138" s="1" t="s">
        <v>80</v>
      </c>
      <c r="C138" s="1" t="s">
        <v>560</v>
      </c>
      <c r="D138" s="1" t="s">
        <v>3324</v>
      </c>
      <c r="E138" s="1" t="s">
        <v>3308</v>
      </c>
      <c r="F138" s="3">
        <v>44420</v>
      </c>
      <c r="G138" s="2">
        <v>3000</v>
      </c>
      <c r="H138" s="2">
        <v>34500</v>
      </c>
    </row>
    <row r="139" spans="1:8" x14ac:dyDescent="0.3">
      <c r="A139" s="1">
        <v>138</v>
      </c>
      <c r="B139" s="1" t="s">
        <v>110</v>
      </c>
      <c r="C139" s="1" t="s">
        <v>755</v>
      </c>
      <c r="D139" s="1" t="s">
        <v>3325</v>
      </c>
      <c r="E139" s="1" t="s">
        <v>3326</v>
      </c>
      <c r="F139" s="3">
        <v>44473</v>
      </c>
      <c r="G139" s="2">
        <v>3000</v>
      </c>
      <c r="H139" s="2">
        <v>19000</v>
      </c>
    </row>
    <row r="140" spans="1:8" x14ac:dyDescent="0.3">
      <c r="A140" s="1">
        <v>139</v>
      </c>
      <c r="B140" s="1" t="s">
        <v>145</v>
      </c>
      <c r="C140" s="1" t="s">
        <v>325</v>
      </c>
      <c r="D140" s="1" t="s">
        <v>3327</v>
      </c>
      <c r="E140" s="1" t="s">
        <v>3328</v>
      </c>
      <c r="F140" s="3">
        <v>44474</v>
      </c>
      <c r="G140" s="2">
        <v>3000</v>
      </c>
      <c r="H140" s="2">
        <v>46000</v>
      </c>
    </row>
    <row r="141" spans="1:8" x14ac:dyDescent="0.3">
      <c r="A141" s="1">
        <v>140</v>
      </c>
      <c r="B141" s="1" t="s">
        <v>225</v>
      </c>
      <c r="C141" s="1" t="s">
        <v>690</v>
      </c>
      <c r="D141" s="1" t="s">
        <v>3329</v>
      </c>
      <c r="E141" s="1" t="s">
        <v>3330</v>
      </c>
      <c r="F141" s="3">
        <v>44413</v>
      </c>
      <c r="G141" s="2">
        <v>3000</v>
      </c>
      <c r="H141" s="2">
        <v>54000</v>
      </c>
    </row>
    <row r="142" spans="1:8" x14ac:dyDescent="0.3">
      <c r="A142" s="1">
        <v>141</v>
      </c>
      <c r="B142" s="1" t="s">
        <v>60</v>
      </c>
      <c r="C142" s="1" t="s">
        <v>550</v>
      </c>
      <c r="D142" s="1" t="s">
        <v>3331</v>
      </c>
      <c r="E142" s="1" t="s">
        <v>3332</v>
      </c>
      <c r="F142" s="3">
        <v>44475</v>
      </c>
      <c r="G142" s="2">
        <v>3000</v>
      </c>
      <c r="H142" s="2">
        <v>49000</v>
      </c>
    </row>
    <row r="143" spans="1:8" x14ac:dyDescent="0.3">
      <c r="A143" s="1">
        <v>142</v>
      </c>
      <c r="B143" s="1" t="s">
        <v>135</v>
      </c>
      <c r="C143" s="1" t="s">
        <v>715</v>
      </c>
      <c r="D143" s="1" t="s">
        <v>3333</v>
      </c>
      <c r="E143" s="1" t="s">
        <v>3137</v>
      </c>
      <c r="F143" s="3">
        <v>44475</v>
      </c>
      <c r="G143" s="2">
        <v>3000</v>
      </c>
      <c r="H143" s="2">
        <v>46000</v>
      </c>
    </row>
    <row r="144" spans="1:8" x14ac:dyDescent="0.3">
      <c r="A144" s="1">
        <v>143</v>
      </c>
      <c r="B144" s="1" t="s">
        <v>35</v>
      </c>
      <c r="C144" s="1" t="s">
        <v>240</v>
      </c>
      <c r="D144" s="1" t="s">
        <v>3334</v>
      </c>
      <c r="E144" s="1" t="s">
        <v>3335</v>
      </c>
      <c r="F144" s="3">
        <v>44461</v>
      </c>
      <c r="G144" s="2">
        <v>3000</v>
      </c>
      <c r="H144" s="2">
        <v>40500</v>
      </c>
    </row>
    <row r="145" spans="1:8" x14ac:dyDescent="0.3">
      <c r="A145" s="1">
        <v>144</v>
      </c>
      <c r="B145" s="1" t="s">
        <v>11</v>
      </c>
      <c r="C145" s="1" t="s">
        <v>275</v>
      </c>
      <c r="D145" s="1" t="s">
        <v>3336</v>
      </c>
      <c r="E145" s="1" t="s">
        <v>3209</v>
      </c>
      <c r="F145" s="3">
        <v>44477</v>
      </c>
      <c r="G145" s="2">
        <v>3000</v>
      </c>
      <c r="H145" s="2">
        <v>16000</v>
      </c>
    </row>
    <row r="146" spans="1:8" x14ac:dyDescent="0.3">
      <c r="A146" s="1">
        <v>145</v>
      </c>
      <c r="B146" s="1" t="s">
        <v>135</v>
      </c>
      <c r="C146" s="1" t="s">
        <v>420</v>
      </c>
      <c r="D146" s="1" t="s">
        <v>3337</v>
      </c>
      <c r="E146" s="1" t="s">
        <v>3228</v>
      </c>
      <c r="F146" s="3">
        <v>44478</v>
      </c>
      <c r="G146" s="2">
        <v>3000</v>
      </c>
      <c r="H146" s="2">
        <v>13000</v>
      </c>
    </row>
    <row r="147" spans="1:8" x14ac:dyDescent="0.3">
      <c r="A147" s="1">
        <v>146</v>
      </c>
      <c r="B147" s="1" t="s">
        <v>15</v>
      </c>
      <c r="C147" s="1" t="s">
        <v>455</v>
      </c>
      <c r="D147" s="1" t="s">
        <v>3338</v>
      </c>
      <c r="E147" s="1" t="s">
        <v>3339</v>
      </c>
      <c r="F147" s="3">
        <v>44478</v>
      </c>
      <c r="G147" s="1">
        <v>0</v>
      </c>
      <c r="H147" s="2">
        <v>14000</v>
      </c>
    </row>
    <row r="148" spans="1:8" x14ac:dyDescent="0.3">
      <c r="A148" s="1">
        <v>147</v>
      </c>
      <c r="B148" s="1" t="s">
        <v>11</v>
      </c>
      <c r="C148" s="1" t="s">
        <v>675</v>
      </c>
      <c r="D148" s="1" t="s">
        <v>975</v>
      </c>
      <c r="E148" s="1">
        <v>1</v>
      </c>
      <c r="F148" s="3">
        <v>44478</v>
      </c>
      <c r="G148" s="2">
        <v>3000</v>
      </c>
      <c r="H148" s="2">
        <v>2500</v>
      </c>
    </row>
    <row r="149" spans="1:8" x14ac:dyDescent="0.3">
      <c r="A149" s="1">
        <v>148</v>
      </c>
      <c r="B149" s="1" t="s">
        <v>95</v>
      </c>
      <c r="C149" s="1" t="s">
        <v>620</v>
      </c>
      <c r="D149" s="1" t="s">
        <v>3340</v>
      </c>
      <c r="E149" s="1" t="s">
        <v>3341</v>
      </c>
      <c r="F149" s="3">
        <v>44479</v>
      </c>
      <c r="G149" s="2">
        <v>3000</v>
      </c>
      <c r="H149" s="2">
        <v>110000</v>
      </c>
    </row>
    <row r="150" spans="1:8" x14ac:dyDescent="0.3">
      <c r="A150" s="1">
        <v>149</v>
      </c>
      <c r="B150" s="1" t="s">
        <v>230</v>
      </c>
      <c r="C150" s="1" t="s">
        <v>655</v>
      </c>
      <c r="D150" s="1" t="s">
        <v>3342</v>
      </c>
      <c r="E150" s="1" t="s">
        <v>3343</v>
      </c>
      <c r="F150" s="3">
        <v>44479</v>
      </c>
      <c r="G150" s="2">
        <v>3000</v>
      </c>
      <c r="H150" s="2">
        <v>35500</v>
      </c>
    </row>
    <row r="151" spans="1:8" x14ac:dyDescent="0.3">
      <c r="A151" s="1">
        <v>150</v>
      </c>
      <c r="B151" s="1" t="s">
        <v>95</v>
      </c>
      <c r="C151" s="1" t="s">
        <v>375</v>
      </c>
      <c r="D151" s="1" t="s">
        <v>3344</v>
      </c>
      <c r="E151" s="1" t="s">
        <v>3345</v>
      </c>
      <c r="F151" s="3">
        <v>44479</v>
      </c>
      <c r="G151" s="2">
        <v>3000</v>
      </c>
      <c r="H151" s="2">
        <v>34500</v>
      </c>
    </row>
    <row r="152" spans="1:8" x14ac:dyDescent="0.3">
      <c r="A152" s="1">
        <v>151</v>
      </c>
      <c r="B152" s="1" t="s">
        <v>95</v>
      </c>
      <c r="C152" s="1" t="s">
        <v>615</v>
      </c>
      <c r="D152" s="1" t="s">
        <v>3346</v>
      </c>
      <c r="E152" s="1" t="s">
        <v>3169</v>
      </c>
      <c r="F152" s="3">
        <v>44480</v>
      </c>
      <c r="G152" s="2">
        <v>3000</v>
      </c>
      <c r="H152" s="2">
        <v>35500</v>
      </c>
    </row>
    <row r="153" spans="1:8" x14ac:dyDescent="0.3">
      <c r="A153" s="1">
        <v>152</v>
      </c>
      <c r="B153" s="1" t="s">
        <v>225</v>
      </c>
      <c r="C153" s="1" t="s">
        <v>285</v>
      </c>
      <c r="D153" s="1" t="s">
        <v>1030</v>
      </c>
      <c r="E153" s="1">
        <v>1</v>
      </c>
      <c r="F153" s="3">
        <v>44480</v>
      </c>
      <c r="G153" s="2">
        <v>3000</v>
      </c>
      <c r="H153" s="2">
        <v>8000</v>
      </c>
    </row>
    <row r="154" spans="1:8" x14ac:dyDescent="0.3">
      <c r="A154" s="1">
        <v>153</v>
      </c>
      <c r="B154" s="1" t="s">
        <v>40</v>
      </c>
      <c r="C154" s="1" t="s">
        <v>245</v>
      </c>
      <c r="D154" s="1" t="s">
        <v>3347</v>
      </c>
      <c r="E154" s="1" t="s">
        <v>3348</v>
      </c>
      <c r="F154" s="3">
        <v>44481</v>
      </c>
      <c r="G154" s="2">
        <v>3000</v>
      </c>
      <c r="H154" s="2">
        <v>52000</v>
      </c>
    </row>
    <row r="155" spans="1:8" x14ac:dyDescent="0.3">
      <c r="A155" s="1">
        <v>154</v>
      </c>
      <c r="B155" s="1" t="s">
        <v>160</v>
      </c>
      <c r="C155" s="1" t="s">
        <v>485</v>
      </c>
      <c r="D155" s="1" t="s">
        <v>3349</v>
      </c>
      <c r="E155" s="1" t="s">
        <v>3350</v>
      </c>
      <c r="F155" s="3">
        <v>44481</v>
      </c>
      <c r="G155" s="2">
        <v>3000</v>
      </c>
      <c r="H155" s="2">
        <v>69000</v>
      </c>
    </row>
    <row r="156" spans="1:8" x14ac:dyDescent="0.3">
      <c r="A156" s="1">
        <v>155</v>
      </c>
      <c r="B156" s="1" t="s">
        <v>15</v>
      </c>
      <c r="C156" s="1" t="s">
        <v>580</v>
      </c>
      <c r="D156" s="1" t="s">
        <v>3351</v>
      </c>
      <c r="E156" s="1" t="s">
        <v>3143</v>
      </c>
      <c r="F156" s="3">
        <v>44481</v>
      </c>
      <c r="G156" s="1">
        <v>0</v>
      </c>
      <c r="H156" s="2">
        <v>28000</v>
      </c>
    </row>
    <row r="157" spans="1:8" x14ac:dyDescent="0.3">
      <c r="A157" s="1">
        <v>156</v>
      </c>
      <c r="B157" s="1" t="s">
        <v>210</v>
      </c>
      <c r="C157" s="1" t="s">
        <v>520</v>
      </c>
      <c r="D157" s="1" t="s">
        <v>3352</v>
      </c>
      <c r="E157" s="1" t="s">
        <v>3353</v>
      </c>
      <c r="F157" s="3">
        <v>44481</v>
      </c>
      <c r="G157" s="2">
        <v>3000</v>
      </c>
      <c r="H157" s="2">
        <v>56500</v>
      </c>
    </row>
    <row r="158" spans="1:8" x14ac:dyDescent="0.3">
      <c r="A158" s="1">
        <v>157</v>
      </c>
      <c r="B158" s="1" t="s">
        <v>70</v>
      </c>
      <c r="C158" s="1" t="s">
        <v>540</v>
      </c>
      <c r="D158" s="1" t="s">
        <v>3354</v>
      </c>
      <c r="E158" s="1" t="s">
        <v>3355</v>
      </c>
      <c r="F158" s="3">
        <v>44482</v>
      </c>
      <c r="G158" s="2">
        <v>3000</v>
      </c>
      <c r="H158" s="2">
        <v>69500</v>
      </c>
    </row>
    <row r="159" spans="1:8" x14ac:dyDescent="0.3">
      <c r="A159" s="1">
        <v>158</v>
      </c>
      <c r="B159" s="1" t="s">
        <v>65</v>
      </c>
      <c r="C159" s="1" t="s">
        <v>765</v>
      </c>
      <c r="D159" s="1" t="s">
        <v>3356</v>
      </c>
      <c r="E159" s="1" t="s">
        <v>3357</v>
      </c>
      <c r="F159" s="3">
        <v>44482</v>
      </c>
      <c r="G159" s="2">
        <v>3000</v>
      </c>
      <c r="H159" s="2">
        <v>6000</v>
      </c>
    </row>
    <row r="160" spans="1:8" x14ac:dyDescent="0.3">
      <c r="A160" s="1">
        <v>159</v>
      </c>
      <c r="B160" s="1" t="s">
        <v>95</v>
      </c>
      <c r="C160" s="1" t="s">
        <v>370</v>
      </c>
      <c r="D160" s="1" t="s">
        <v>3358</v>
      </c>
      <c r="E160" s="1" t="s">
        <v>3209</v>
      </c>
      <c r="F160" s="3">
        <v>44483</v>
      </c>
      <c r="G160" s="2">
        <v>3000</v>
      </c>
      <c r="H160" s="2">
        <v>32000</v>
      </c>
    </row>
    <row r="161" spans="1:8" x14ac:dyDescent="0.3">
      <c r="A161" s="1">
        <v>160</v>
      </c>
      <c r="B161" s="1" t="s">
        <v>130</v>
      </c>
      <c r="C161" s="1" t="s">
        <v>640</v>
      </c>
      <c r="D161" s="1" t="s">
        <v>3359</v>
      </c>
      <c r="E161" s="1" t="s">
        <v>3360</v>
      </c>
      <c r="F161" s="3">
        <v>44483</v>
      </c>
      <c r="G161" s="2">
        <v>3000</v>
      </c>
      <c r="H161" s="2">
        <v>100500</v>
      </c>
    </row>
    <row r="162" spans="1:8" x14ac:dyDescent="0.3">
      <c r="A162" s="1">
        <v>161</v>
      </c>
      <c r="B162" s="1" t="s">
        <v>145</v>
      </c>
      <c r="C162" s="1" t="s">
        <v>485</v>
      </c>
      <c r="D162" s="1" t="s">
        <v>948</v>
      </c>
      <c r="E162" s="1">
        <v>1</v>
      </c>
      <c r="F162" s="3">
        <v>44483</v>
      </c>
      <c r="G162" s="2">
        <v>3000</v>
      </c>
      <c r="H162" s="2">
        <v>5000</v>
      </c>
    </row>
    <row r="163" spans="1:8" x14ac:dyDescent="0.3">
      <c r="A163" s="1">
        <v>162</v>
      </c>
      <c r="B163" s="1" t="s">
        <v>205</v>
      </c>
      <c r="C163" s="1" t="s">
        <v>535</v>
      </c>
      <c r="D163" s="1" t="s">
        <v>3361</v>
      </c>
      <c r="E163" s="1" t="s">
        <v>3362</v>
      </c>
      <c r="F163" s="3">
        <v>44483</v>
      </c>
      <c r="G163" s="2">
        <v>3000</v>
      </c>
      <c r="H163" s="2">
        <v>46500</v>
      </c>
    </row>
    <row r="164" spans="1:8" x14ac:dyDescent="0.3">
      <c r="A164" s="1">
        <v>163</v>
      </c>
      <c r="B164" s="1" t="s">
        <v>20</v>
      </c>
      <c r="C164" s="1" t="s">
        <v>300</v>
      </c>
      <c r="D164" s="1" t="s">
        <v>3363</v>
      </c>
      <c r="E164" s="1" t="s">
        <v>3253</v>
      </c>
      <c r="F164" s="3">
        <v>44484</v>
      </c>
      <c r="G164" s="2">
        <v>3000</v>
      </c>
      <c r="H164" s="2">
        <v>39000</v>
      </c>
    </row>
    <row r="165" spans="1:8" x14ac:dyDescent="0.3">
      <c r="A165" s="1">
        <v>164</v>
      </c>
      <c r="B165" s="1" t="s">
        <v>15</v>
      </c>
      <c r="C165" s="1" t="s">
        <v>805</v>
      </c>
      <c r="D165" s="1" t="s">
        <v>3364</v>
      </c>
      <c r="E165" s="1" t="s">
        <v>3365</v>
      </c>
      <c r="F165" s="3">
        <v>44484</v>
      </c>
      <c r="G165" s="1">
        <v>0</v>
      </c>
      <c r="H165" s="2">
        <v>127500</v>
      </c>
    </row>
    <row r="166" spans="1:8" x14ac:dyDescent="0.3">
      <c r="A166" s="1">
        <v>165</v>
      </c>
      <c r="B166" s="1" t="s">
        <v>11</v>
      </c>
      <c r="C166" s="1" t="s">
        <v>845</v>
      </c>
      <c r="D166" s="1" t="s">
        <v>956</v>
      </c>
      <c r="E166" s="1">
        <v>3</v>
      </c>
      <c r="F166" s="3">
        <v>44484</v>
      </c>
      <c r="G166" s="2">
        <v>3000</v>
      </c>
      <c r="H166" s="2">
        <v>18000</v>
      </c>
    </row>
    <row r="167" spans="1:8" x14ac:dyDescent="0.3">
      <c r="A167" s="1">
        <v>166</v>
      </c>
      <c r="B167" s="1" t="s">
        <v>145</v>
      </c>
      <c r="C167" s="1" t="s">
        <v>540</v>
      </c>
      <c r="D167" s="1" t="s">
        <v>3366</v>
      </c>
      <c r="E167" s="1" t="s">
        <v>3367</v>
      </c>
      <c r="F167" s="3">
        <v>44485</v>
      </c>
      <c r="G167" s="2">
        <v>3000</v>
      </c>
      <c r="H167" s="2">
        <v>49000</v>
      </c>
    </row>
    <row r="168" spans="1:8" x14ac:dyDescent="0.3">
      <c r="A168" s="1">
        <v>167</v>
      </c>
      <c r="B168" s="1" t="s">
        <v>65</v>
      </c>
      <c r="C168" s="1" t="s">
        <v>470</v>
      </c>
      <c r="D168" s="1" t="s">
        <v>946</v>
      </c>
      <c r="E168" s="1">
        <v>1</v>
      </c>
      <c r="F168" s="3">
        <v>44485</v>
      </c>
      <c r="G168" s="2">
        <v>3000</v>
      </c>
      <c r="H168" s="2">
        <v>15000</v>
      </c>
    </row>
    <row r="169" spans="1:8" x14ac:dyDescent="0.3">
      <c r="A169" s="1">
        <v>168</v>
      </c>
      <c r="B169" s="1" t="s">
        <v>85</v>
      </c>
      <c r="C169" s="1" t="s">
        <v>625</v>
      </c>
      <c r="D169" s="1" t="s">
        <v>3368</v>
      </c>
      <c r="E169" s="1" t="s">
        <v>3367</v>
      </c>
      <c r="F169" s="3">
        <v>44486</v>
      </c>
      <c r="G169" s="2">
        <v>3000</v>
      </c>
      <c r="H169" s="2">
        <v>76000</v>
      </c>
    </row>
    <row r="170" spans="1:8" x14ac:dyDescent="0.3">
      <c r="A170" s="1">
        <v>169</v>
      </c>
      <c r="B170" s="1" t="s">
        <v>11</v>
      </c>
      <c r="C170" s="1" t="s">
        <v>350</v>
      </c>
      <c r="D170" s="1" t="s">
        <v>960</v>
      </c>
      <c r="E170" s="1">
        <v>2</v>
      </c>
      <c r="F170" s="3">
        <v>44487</v>
      </c>
      <c r="G170" s="2">
        <v>3000</v>
      </c>
      <c r="H170" s="2">
        <v>17000</v>
      </c>
    </row>
    <row r="171" spans="1:8" x14ac:dyDescent="0.3">
      <c r="A171" s="1">
        <v>170</v>
      </c>
      <c r="B171" s="1" t="s">
        <v>150</v>
      </c>
      <c r="C171" s="1" t="s">
        <v>400</v>
      </c>
      <c r="D171" s="1" t="s">
        <v>3369</v>
      </c>
      <c r="E171" s="1" t="s">
        <v>3315</v>
      </c>
      <c r="F171" s="3">
        <v>44487</v>
      </c>
      <c r="G171" s="2">
        <v>3000</v>
      </c>
      <c r="H171" s="2">
        <v>64500</v>
      </c>
    </row>
    <row r="172" spans="1:8" x14ac:dyDescent="0.3">
      <c r="A172" s="1">
        <v>171</v>
      </c>
      <c r="B172" s="1" t="s">
        <v>6</v>
      </c>
      <c r="C172" s="1" t="s">
        <v>915</v>
      </c>
      <c r="D172" s="1" t="s">
        <v>3370</v>
      </c>
      <c r="E172" s="1" t="s">
        <v>3151</v>
      </c>
      <c r="F172" s="3">
        <v>44488</v>
      </c>
      <c r="G172" s="1">
        <v>0</v>
      </c>
      <c r="H172" s="2">
        <v>69500</v>
      </c>
    </row>
    <row r="173" spans="1:8" x14ac:dyDescent="0.3">
      <c r="A173" s="1">
        <v>172</v>
      </c>
      <c r="B173" s="1" t="s">
        <v>190</v>
      </c>
      <c r="C173" s="1" t="s">
        <v>545</v>
      </c>
      <c r="D173" s="1" t="s">
        <v>3371</v>
      </c>
      <c r="E173" s="1" t="s">
        <v>1390</v>
      </c>
      <c r="F173" s="3">
        <v>44425</v>
      </c>
      <c r="G173" s="2">
        <v>3000</v>
      </c>
      <c r="H173" s="2">
        <v>12000</v>
      </c>
    </row>
    <row r="174" spans="1:8" x14ac:dyDescent="0.3">
      <c r="A174" s="1">
        <v>173</v>
      </c>
      <c r="B174" s="1" t="s">
        <v>175</v>
      </c>
      <c r="C174" s="1" t="s">
        <v>455</v>
      </c>
      <c r="D174" s="1" t="s">
        <v>1112</v>
      </c>
      <c r="E174" s="1">
        <v>1</v>
      </c>
      <c r="F174" s="3">
        <v>44491</v>
      </c>
      <c r="G174" s="2">
        <v>3000</v>
      </c>
      <c r="H174" s="2">
        <v>2000</v>
      </c>
    </row>
    <row r="175" spans="1:8" x14ac:dyDescent="0.3">
      <c r="A175" s="1">
        <v>174</v>
      </c>
      <c r="B175" s="1" t="s">
        <v>155</v>
      </c>
      <c r="C175" s="1" t="s">
        <v>420</v>
      </c>
      <c r="D175" s="1" t="s">
        <v>3372</v>
      </c>
      <c r="E175" s="1" t="s">
        <v>3373</v>
      </c>
      <c r="F175" s="3">
        <v>44491</v>
      </c>
      <c r="G175" s="2">
        <v>3000</v>
      </c>
      <c r="H175" s="2">
        <v>59500</v>
      </c>
    </row>
    <row r="176" spans="1:8" x14ac:dyDescent="0.3">
      <c r="A176" s="1">
        <v>175</v>
      </c>
      <c r="B176" s="1" t="s">
        <v>20</v>
      </c>
      <c r="C176" s="1" t="s">
        <v>400</v>
      </c>
      <c r="D176" s="1" t="s">
        <v>1076</v>
      </c>
      <c r="E176" s="1">
        <v>1</v>
      </c>
      <c r="F176" s="3">
        <v>44494</v>
      </c>
      <c r="G176" s="2">
        <v>3000</v>
      </c>
      <c r="H176" s="2">
        <v>10000</v>
      </c>
    </row>
    <row r="177" spans="1:8" x14ac:dyDescent="0.3">
      <c r="A177" s="1">
        <v>176</v>
      </c>
      <c r="B177" s="1" t="s">
        <v>115</v>
      </c>
      <c r="C177" s="1" t="s">
        <v>460</v>
      </c>
      <c r="D177" s="1" t="s">
        <v>3374</v>
      </c>
      <c r="E177" s="1" t="s">
        <v>3375</v>
      </c>
      <c r="F177" s="3">
        <v>44494</v>
      </c>
      <c r="G177" s="2">
        <v>3000</v>
      </c>
      <c r="H177" s="2">
        <v>59000</v>
      </c>
    </row>
    <row r="178" spans="1:8" x14ac:dyDescent="0.3">
      <c r="A178" s="1">
        <v>177</v>
      </c>
      <c r="B178" s="1" t="s">
        <v>20</v>
      </c>
      <c r="C178" s="1" t="s">
        <v>260</v>
      </c>
      <c r="D178" s="1" t="s">
        <v>3376</v>
      </c>
      <c r="E178" s="1" t="s">
        <v>3377</v>
      </c>
      <c r="F178" s="3">
        <v>44494</v>
      </c>
      <c r="G178" s="2">
        <v>3000</v>
      </c>
      <c r="H178" s="2">
        <v>79000</v>
      </c>
    </row>
    <row r="179" spans="1:8" x14ac:dyDescent="0.3">
      <c r="A179" s="1">
        <v>178</v>
      </c>
      <c r="B179" s="1" t="s">
        <v>190</v>
      </c>
      <c r="C179" s="1" t="s">
        <v>780</v>
      </c>
      <c r="D179" s="1" t="s">
        <v>3378</v>
      </c>
      <c r="E179" s="1" t="s">
        <v>3131</v>
      </c>
      <c r="F179" s="3">
        <v>44494</v>
      </c>
      <c r="G179" s="2">
        <v>3000</v>
      </c>
      <c r="H179" s="2">
        <v>42500</v>
      </c>
    </row>
    <row r="180" spans="1:8" x14ac:dyDescent="0.3">
      <c r="A180" s="1">
        <v>179</v>
      </c>
      <c r="B180" s="1" t="s">
        <v>6</v>
      </c>
      <c r="C180" s="1" t="s">
        <v>860</v>
      </c>
      <c r="D180" s="1" t="s">
        <v>3379</v>
      </c>
      <c r="E180" s="1" t="s">
        <v>3272</v>
      </c>
      <c r="F180" s="3">
        <v>44494</v>
      </c>
      <c r="G180" s="1">
        <v>0</v>
      </c>
      <c r="H180" s="2">
        <v>21400</v>
      </c>
    </row>
    <row r="181" spans="1:8" x14ac:dyDescent="0.3">
      <c r="A181" s="1">
        <v>180</v>
      </c>
      <c r="B181" s="1" t="s">
        <v>25</v>
      </c>
      <c r="C181" s="1" t="s">
        <v>660</v>
      </c>
      <c r="D181" s="1" t="s">
        <v>1082</v>
      </c>
      <c r="E181" s="1">
        <v>2</v>
      </c>
      <c r="F181" s="3">
        <v>44495</v>
      </c>
      <c r="G181" s="2">
        <v>3000</v>
      </c>
      <c r="H181" s="2">
        <v>22000</v>
      </c>
    </row>
    <row r="182" spans="1:8" x14ac:dyDescent="0.3">
      <c r="A182" s="1">
        <v>181</v>
      </c>
      <c r="B182" s="1" t="s">
        <v>175</v>
      </c>
      <c r="C182" s="1" t="s">
        <v>565</v>
      </c>
      <c r="D182" s="1" t="s">
        <v>3380</v>
      </c>
      <c r="E182" s="1" t="s">
        <v>3381</v>
      </c>
      <c r="F182" s="3">
        <v>44496</v>
      </c>
      <c r="G182" s="2">
        <v>3000</v>
      </c>
      <c r="H182" s="2">
        <v>56500</v>
      </c>
    </row>
    <row r="183" spans="1:8" x14ac:dyDescent="0.3">
      <c r="A183" s="1">
        <v>182</v>
      </c>
      <c r="B183" s="1" t="s">
        <v>25</v>
      </c>
      <c r="C183" s="1" t="s">
        <v>855</v>
      </c>
      <c r="D183" s="1" t="s">
        <v>3382</v>
      </c>
      <c r="E183" s="1" t="s">
        <v>3345</v>
      </c>
      <c r="F183" s="3">
        <v>44497</v>
      </c>
      <c r="G183" s="2">
        <v>3000</v>
      </c>
      <c r="H183" s="2">
        <v>20000</v>
      </c>
    </row>
    <row r="184" spans="1:8" x14ac:dyDescent="0.3">
      <c r="A184" s="1">
        <v>183</v>
      </c>
      <c r="B184" s="1" t="s">
        <v>75</v>
      </c>
      <c r="C184" s="1" t="s">
        <v>445</v>
      </c>
      <c r="D184" s="1" t="s">
        <v>1069</v>
      </c>
      <c r="E184" s="1">
        <v>2</v>
      </c>
      <c r="F184" s="3">
        <v>44497</v>
      </c>
      <c r="G184" s="2">
        <v>3000</v>
      </c>
      <c r="H184" s="2">
        <v>16000</v>
      </c>
    </row>
    <row r="185" spans="1:8" x14ac:dyDescent="0.3">
      <c r="A185" s="1">
        <v>184</v>
      </c>
      <c r="B185" s="1" t="s">
        <v>233</v>
      </c>
      <c r="C185" s="1" t="s">
        <v>575</v>
      </c>
      <c r="D185" s="1" t="s">
        <v>3383</v>
      </c>
      <c r="E185" s="1" t="s">
        <v>3384</v>
      </c>
      <c r="F185" s="3">
        <v>44497</v>
      </c>
      <c r="G185" s="2">
        <v>3000</v>
      </c>
      <c r="H185" s="2">
        <v>47500</v>
      </c>
    </row>
    <row r="186" spans="1:8" x14ac:dyDescent="0.3">
      <c r="A186" s="1">
        <v>185</v>
      </c>
      <c r="B186" s="1" t="s">
        <v>40</v>
      </c>
      <c r="C186" s="1" t="s">
        <v>240</v>
      </c>
      <c r="D186" s="1" t="s">
        <v>958</v>
      </c>
      <c r="E186" s="1">
        <v>2</v>
      </c>
      <c r="F186" s="3">
        <v>44476</v>
      </c>
      <c r="G186" s="2">
        <v>3000</v>
      </c>
      <c r="H186" s="2">
        <v>6000</v>
      </c>
    </row>
    <row r="187" spans="1:8" x14ac:dyDescent="0.3">
      <c r="A187" s="1">
        <v>186</v>
      </c>
      <c r="B187" s="1" t="s">
        <v>65</v>
      </c>
      <c r="C187" s="1" t="s">
        <v>535</v>
      </c>
      <c r="D187" s="1" t="s">
        <v>3385</v>
      </c>
      <c r="E187" s="1" t="s">
        <v>3207</v>
      </c>
      <c r="F187" s="3">
        <v>44499</v>
      </c>
      <c r="G187" s="2">
        <v>3000</v>
      </c>
      <c r="H187" s="2">
        <v>109500</v>
      </c>
    </row>
    <row r="188" spans="1:8" x14ac:dyDescent="0.3">
      <c r="A188" s="1">
        <v>187</v>
      </c>
      <c r="B188" s="1" t="s">
        <v>6</v>
      </c>
      <c r="C188" s="1" t="s">
        <v>315</v>
      </c>
      <c r="D188" s="1" t="s">
        <v>3386</v>
      </c>
      <c r="E188" s="1" t="s">
        <v>3387</v>
      </c>
      <c r="F188" s="3">
        <v>44499</v>
      </c>
      <c r="G188" s="1">
        <v>0</v>
      </c>
      <c r="H188" s="2">
        <v>94500</v>
      </c>
    </row>
    <row r="189" spans="1:8" x14ac:dyDescent="0.3">
      <c r="A189" s="1">
        <v>188</v>
      </c>
      <c r="B189" s="1" t="s">
        <v>125</v>
      </c>
      <c r="C189" s="1" t="s">
        <v>310</v>
      </c>
      <c r="D189" s="1" t="s">
        <v>3388</v>
      </c>
      <c r="E189" s="1" t="s">
        <v>3389</v>
      </c>
      <c r="F189" s="3">
        <v>44500</v>
      </c>
      <c r="G189" s="2">
        <v>3000</v>
      </c>
      <c r="H189" s="2">
        <v>80000</v>
      </c>
    </row>
    <row r="190" spans="1:8" x14ac:dyDescent="0.3">
      <c r="A190" s="1">
        <v>189</v>
      </c>
      <c r="B190" s="1" t="s">
        <v>185</v>
      </c>
      <c r="C190" s="1" t="s">
        <v>660</v>
      </c>
      <c r="D190" s="1" t="s">
        <v>3390</v>
      </c>
      <c r="E190" s="1" t="s">
        <v>3391</v>
      </c>
      <c r="F190" s="3">
        <v>44500</v>
      </c>
      <c r="G190" s="2">
        <v>3000</v>
      </c>
      <c r="H190" s="2">
        <v>99500</v>
      </c>
    </row>
    <row r="191" spans="1:8" x14ac:dyDescent="0.3">
      <c r="A191" s="1">
        <v>190</v>
      </c>
      <c r="B191" s="1" t="s">
        <v>20</v>
      </c>
      <c r="C191" s="1" t="s">
        <v>525</v>
      </c>
      <c r="D191" s="1" t="s">
        <v>977</v>
      </c>
      <c r="E191" s="1">
        <v>3</v>
      </c>
      <c r="F191" s="3">
        <v>44500</v>
      </c>
      <c r="G191" s="2">
        <v>3000</v>
      </c>
      <c r="H191" s="2">
        <v>15000</v>
      </c>
    </row>
    <row r="192" spans="1:8" x14ac:dyDescent="0.3">
      <c r="A192" s="1">
        <v>191</v>
      </c>
      <c r="B192" s="1" t="s">
        <v>40</v>
      </c>
      <c r="C192" s="1" t="s">
        <v>715</v>
      </c>
      <c r="D192" s="1" t="s">
        <v>3392</v>
      </c>
      <c r="E192" s="1" t="s">
        <v>3365</v>
      </c>
      <c r="F192" s="3">
        <v>44501</v>
      </c>
      <c r="G192" s="2">
        <v>3000</v>
      </c>
      <c r="H192" s="2">
        <v>130500</v>
      </c>
    </row>
    <row r="193" spans="1:8" x14ac:dyDescent="0.3">
      <c r="A193" s="1">
        <v>192</v>
      </c>
      <c r="B193" s="1" t="s">
        <v>170</v>
      </c>
      <c r="C193" s="1" t="s">
        <v>755</v>
      </c>
      <c r="D193" s="1" t="s">
        <v>1116</v>
      </c>
      <c r="E193" s="1">
        <v>2</v>
      </c>
      <c r="F193" s="3">
        <v>44502</v>
      </c>
      <c r="G193" s="2">
        <v>3000</v>
      </c>
      <c r="H193" s="2">
        <v>4000</v>
      </c>
    </row>
    <row r="194" spans="1:8" x14ac:dyDescent="0.3">
      <c r="A194" s="1">
        <v>193</v>
      </c>
      <c r="B194" s="1" t="s">
        <v>150</v>
      </c>
      <c r="C194" s="1" t="s">
        <v>240</v>
      </c>
      <c r="D194" s="1" t="s">
        <v>958</v>
      </c>
      <c r="E194" s="1">
        <v>2</v>
      </c>
      <c r="F194" s="3">
        <v>44464</v>
      </c>
      <c r="G194" s="2">
        <v>3000</v>
      </c>
      <c r="H194" s="2">
        <v>6000</v>
      </c>
    </row>
    <row r="195" spans="1:8" x14ac:dyDescent="0.3">
      <c r="A195" s="1">
        <v>194</v>
      </c>
      <c r="B195" s="1" t="s">
        <v>6</v>
      </c>
      <c r="C195" s="1" t="s">
        <v>660</v>
      </c>
      <c r="D195" s="1" t="s">
        <v>3393</v>
      </c>
      <c r="E195" s="1" t="s">
        <v>3394</v>
      </c>
      <c r="F195" s="3">
        <v>44503</v>
      </c>
      <c r="G195" s="1">
        <v>0</v>
      </c>
      <c r="H195" s="2">
        <v>114000</v>
      </c>
    </row>
    <row r="196" spans="1:8" x14ac:dyDescent="0.3">
      <c r="A196" s="1">
        <v>195</v>
      </c>
      <c r="B196" s="1" t="s">
        <v>25</v>
      </c>
      <c r="C196" s="1" t="s">
        <v>550</v>
      </c>
      <c r="D196" s="1" t="s">
        <v>995</v>
      </c>
      <c r="E196" s="1">
        <v>3</v>
      </c>
      <c r="F196" s="3">
        <v>44503</v>
      </c>
      <c r="G196" s="2">
        <v>3000</v>
      </c>
      <c r="H196" s="2">
        <v>18000</v>
      </c>
    </row>
    <row r="197" spans="1:8" x14ac:dyDescent="0.3">
      <c r="A197" s="1">
        <v>196</v>
      </c>
      <c r="B197" s="1" t="s">
        <v>130</v>
      </c>
      <c r="C197" s="1" t="s">
        <v>710</v>
      </c>
      <c r="D197" s="1" t="s">
        <v>3395</v>
      </c>
      <c r="E197" s="1" t="s">
        <v>3153</v>
      </c>
      <c r="F197" s="3">
        <v>44503</v>
      </c>
      <c r="G197" s="2">
        <v>3000</v>
      </c>
      <c r="H197" s="2">
        <v>26500</v>
      </c>
    </row>
    <row r="198" spans="1:8" x14ac:dyDescent="0.3">
      <c r="A198" s="1">
        <v>197</v>
      </c>
      <c r="B198" s="1" t="s">
        <v>85</v>
      </c>
      <c r="C198" s="1" t="s">
        <v>680</v>
      </c>
      <c r="D198" s="1" t="s">
        <v>1110</v>
      </c>
      <c r="E198" s="1">
        <v>1</v>
      </c>
      <c r="F198" s="3">
        <v>44504</v>
      </c>
      <c r="G198" s="2">
        <v>3000</v>
      </c>
      <c r="H198" s="2">
        <v>2000</v>
      </c>
    </row>
    <row r="199" spans="1:8" x14ac:dyDescent="0.3">
      <c r="A199" s="1">
        <v>198</v>
      </c>
      <c r="B199" s="1" t="s">
        <v>80</v>
      </c>
      <c r="C199" s="1" t="s">
        <v>720</v>
      </c>
      <c r="D199" s="1" t="s">
        <v>3396</v>
      </c>
      <c r="E199" s="1" t="s">
        <v>3143</v>
      </c>
      <c r="F199" s="3">
        <v>44505</v>
      </c>
      <c r="G199" s="2">
        <v>3000</v>
      </c>
      <c r="H199" s="2">
        <v>16500</v>
      </c>
    </row>
    <row r="200" spans="1:8" x14ac:dyDescent="0.3">
      <c r="A200" s="1">
        <v>199</v>
      </c>
      <c r="B200" s="1" t="s">
        <v>230</v>
      </c>
      <c r="C200" s="1" t="s">
        <v>615</v>
      </c>
      <c r="D200" s="1" t="s">
        <v>3397</v>
      </c>
      <c r="E200" s="1" t="s">
        <v>3232</v>
      </c>
      <c r="F200" s="3">
        <v>44505</v>
      </c>
      <c r="G200" s="2">
        <v>3000</v>
      </c>
      <c r="H200" s="2">
        <v>68000</v>
      </c>
    </row>
    <row r="201" spans="1:8" x14ac:dyDescent="0.3">
      <c r="A201" s="1">
        <v>200</v>
      </c>
      <c r="B201" s="1" t="s">
        <v>75</v>
      </c>
      <c r="C201" s="1" t="s">
        <v>240</v>
      </c>
      <c r="D201" s="1" t="s">
        <v>3398</v>
      </c>
      <c r="E201" s="1" t="s">
        <v>3259</v>
      </c>
      <c r="F201" s="3">
        <v>44505</v>
      </c>
      <c r="G201" s="2">
        <v>3000</v>
      </c>
      <c r="H201" s="2">
        <v>56000</v>
      </c>
    </row>
    <row r="202" spans="1:8" x14ac:dyDescent="0.3">
      <c r="A202" s="1">
        <v>201</v>
      </c>
      <c r="B202" s="1" t="s">
        <v>175</v>
      </c>
      <c r="C202" s="1" t="s">
        <v>575</v>
      </c>
      <c r="D202" s="1" t="s">
        <v>3399</v>
      </c>
      <c r="E202" s="1" t="s">
        <v>3153</v>
      </c>
      <c r="F202" s="3">
        <v>44505</v>
      </c>
      <c r="G202" s="2">
        <v>3000</v>
      </c>
      <c r="H202" s="2">
        <v>25000</v>
      </c>
    </row>
    <row r="203" spans="1:8" x14ac:dyDescent="0.3">
      <c r="A203" s="1">
        <v>202</v>
      </c>
      <c r="B203" s="1" t="s">
        <v>25</v>
      </c>
      <c r="C203" s="1" t="s">
        <v>250</v>
      </c>
      <c r="D203" s="1" t="s">
        <v>3400</v>
      </c>
      <c r="E203" s="1" t="s">
        <v>3315</v>
      </c>
      <c r="F203" s="3">
        <v>44489</v>
      </c>
      <c r="G203" s="2">
        <v>3000</v>
      </c>
      <c r="H203" s="2">
        <v>180000</v>
      </c>
    </row>
    <row r="204" spans="1:8" x14ac:dyDescent="0.3">
      <c r="A204" s="1">
        <v>203</v>
      </c>
      <c r="B204" s="1" t="s">
        <v>30</v>
      </c>
      <c r="C204" s="1" t="s">
        <v>255</v>
      </c>
      <c r="D204" s="1" t="s">
        <v>3401</v>
      </c>
      <c r="E204" s="1" t="s">
        <v>1390</v>
      </c>
      <c r="F204" s="3">
        <v>44470</v>
      </c>
      <c r="G204" s="2">
        <v>3000</v>
      </c>
      <c r="H204" s="2">
        <v>29000</v>
      </c>
    </row>
    <row r="205" spans="1:8" x14ac:dyDescent="0.3">
      <c r="A205" s="1">
        <v>204</v>
      </c>
      <c r="B205" s="1" t="s">
        <v>35</v>
      </c>
      <c r="C205" s="1" t="s">
        <v>255</v>
      </c>
      <c r="D205" s="1" t="s">
        <v>3402</v>
      </c>
      <c r="E205" s="1" t="s">
        <v>3300</v>
      </c>
      <c r="F205" s="3">
        <v>44497</v>
      </c>
      <c r="G205" s="2">
        <v>3000</v>
      </c>
      <c r="H205" s="2">
        <v>138000</v>
      </c>
    </row>
    <row r="206" spans="1:8" x14ac:dyDescent="0.3">
      <c r="A206" s="1">
        <v>205</v>
      </c>
      <c r="B206" s="1" t="s">
        <v>40</v>
      </c>
      <c r="C206" s="1" t="s">
        <v>250</v>
      </c>
      <c r="D206" s="1" t="s">
        <v>3403</v>
      </c>
      <c r="E206" s="1" t="s">
        <v>1390</v>
      </c>
      <c r="F206" s="3">
        <v>44470</v>
      </c>
      <c r="G206" s="2">
        <v>3000</v>
      </c>
      <c r="H206" s="2">
        <v>18000</v>
      </c>
    </row>
    <row r="207" spans="1:8" x14ac:dyDescent="0.3">
      <c r="A207" s="1">
        <v>206</v>
      </c>
      <c r="B207" s="1" t="s">
        <v>45</v>
      </c>
      <c r="C207" s="1" t="s">
        <v>250</v>
      </c>
      <c r="D207" s="1" t="s">
        <v>3404</v>
      </c>
      <c r="E207" s="1" t="s">
        <v>3377</v>
      </c>
      <c r="F207" s="3">
        <v>44494</v>
      </c>
      <c r="G207" s="1">
        <v>0</v>
      </c>
      <c r="H207" s="2">
        <v>97000</v>
      </c>
    </row>
    <row r="208" spans="1:8" x14ac:dyDescent="0.3">
      <c r="A208" s="1">
        <v>207</v>
      </c>
      <c r="B208" s="1" t="s">
        <v>50</v>
      </c>
      <c r="C208" s="1" t="s">
        <v>260</v>
      </c>
      <c r="D208" s="1" t="s">
        <v>3405</v>
      </c>
      <c r="E208" s="1" t="s">
        <v>3387</v>
      </c>
      <c r="F208" s="3">
        <v>44491</v>
      </c>
      <c r="G208" s="2">
        <v>3000</v>
      </c>
      <c r="H208" s="2">
        <v>108000</v>
      </c>
    </row>
    <row r="209" spans="1:8" x14ac:dyDescent="0.3">
      <c r="A209" s="1">
        <v>208</v>
      </c>
      <c r="B209" s="1" t="s">
        <v>55</v>
      </c>
      <c r="C209" s="1" t="s">
        <v>265</v>
      </c>
      <c r="D209" s="1" t="s">
        <v>989</v>
      </c>
      <c r="E209" s="1">
        <v>2</v>
      </c>
      <c r="F209" s="3">
        <v>44487</v>
      </c>
      <c r="G209" s="2">
        <v>3000</v>
      </c>
      <c r="H209" s="2">
        <v>30000</v>
      </c>
    </row>
    <row r="210" spans="1:8" x14ac:dyDescent="0.3">
      <c r="A210" s="1">
        <v>209</v>
      </c>
      <c r="B210" s="1" t="s">
        <v>60</v>
      </c>
      <c r="C210" s="1" t="s">
        <v>255</v>
      </c>
      <c r="D210" s="1" t="s">
        <v>3406</v>
      </c>
      <c r="E210" s="1" t="s">
        <v>3326</v>
      </c>
      <c r="F210" s="3">
        <v>44481</v>
      </c>
      <c r="G210" s="2">
        <v>3000</v>
      </c>
      <c r="H210" s="2">
        <v>85000</v>
      </c>
    </row>
    <row r="211" spans="1:8" x14ac:dyDescent="0.3">
      <c r="A211" s="1">
        <v>210</v>
      </c>
      <c r="B211" s="1" t="s">
        <v>65</v>
      </c>
      <c r="C211" s="1" t="s">
        <v>250</v>
      </c>
      <c r="D211" s="1" t="s">
        <v>3407</v>
      </c>
      <c r="E211" s="1" t="s">
        <v>3375</v>
      </c>
      <c r="F211" s="3">
        <v>44478</v>
      </c>
      <c r="G211" s="2">
        <v>3000</v>
      </c>
      <c r="H211" s="2">
        <v>100000</v>
      </c>
    </row>
    <row r="212" spans="1:8" x14ac:dyDescent="0.3">
      <c r="A212" s="1">
        <v>211</v>
      </c>
      <c r="B212" s="1" t="s">
        <v>70</v>
      </c>
      <c r="C212" s="1" t="s">
        <v>260</v>
      </c>
      <c r="D212" s="1" t="s">
        <v>3408</v>
      </c>
      <c r="E212" s="1" t="s">
        <v>3270</v>
      </c>
      <c r="F212" s="3">
        <v>44483</v>
      </c>
      <c r="G212" s="2">
        <v>3000</v>
      </c>
      <c r="H212" s="2">
        <v>123000</v>
      </c>
    </row>
    <row r="213" spans="1:8" x14ac:dyDescent="0.3">
      <c r="A213" s="1">
        <v>212</v>
      </c>
      <c r="B213" s="1" t="s">
        <v>75</v>
      </c>
      <c r="C213" s="1" t="s">
        <v>250</v>
      </c>
      <c r="D213" s="1" t="s">
        <v>3409</v>
      </c>
      <c r="E213" s="1" t="s">
        <v>1388</v>
      </c>
      <c r="F213" s="3">
        <v>44490</v>
      </c>
      <c r="G213" s="2">
        <v>3000</v>
      </c>
      <c r="H213" s="2">
        <v>15000</v>
      </c>
    </row>
    <row r="214" spans="1:8" x14ac:dyDescent="0.3">
      <c r="A214" s="1">
        <v>213</v>
      </c>
      <c r="B214" s="1" t="s">
        <v>80</v>
      </c>
      <c r="C214" s="1" t="s">
        <v>265</v>
      </c>
      <c r="D214" s="1" t="s">
        <v>3410</v>
      </c>
      <c r="E214" s="1" t="s">
        <v>3411</v>
      </c>
      <c r="F214" s="3">
        <v>44494</v>
      </c>
      <c r="G214" s="2">
        <v>3000</v>
      </c>
      <c r="H214" s="2">
        <v>71000</v>
      </c>
    </row>
    <row r="215" spans="1:8" x14ac:dyDescent="0.3">
      <c r="A215" s="1">
        <v>214</v>
      </c>
      <c r="B215" s="1" t="s">
        <v>85</v>
      </c>
      <c r="C215" s="1" t="s">
        <v>265</v>
      </c>
      <c r="D215" s="1" t="s">
        <v>3412</v>
      </c>
      <c r="E215" s="1" t="s">
        <v>3328</v>
      </c>
      <c r="F215" s="3">
        <v>44486</v>
      </c>
      <c r="G215" s="2">
        <v>3000</v>
      </c>
      <c r="H215" s="2">
        <v>44000</v>
      </c>
    </row>
    <row r="216" spans="1:8" x14ac:dyDescent="0.3">
      <c r="A216" s="1">
        <v>215</v>
      </c>
      <c r="B216" s="1" t="s">
        <v>90</v>
      </c>
      <c r="C216" s="1" t="s">
        <v>280</v>
      </c>
      <c r="D216" s="1" t="s">
        <v>3413</v>
      </c>
      <c r="E216" s="1" t="s">
        <v>3266</v>
      </c>
      <c r="F216" s="3">
        <v>44474</v>
      </c>
      <c r="G216" s="2">
        <v>3000</v>
      </c>
      <c r="H216" s="2">
        <v>79000</v>
      </c>
    </row>
    <row r="217" spans="1:8" x14ac:dyDescent="0.3">
      <c r="A217" s="1">
        <v>216</v>
      </c>
      <c r="B217" s="1" t="s">
        <v>95</v>
      </c>
      <c r="C217" s="1" t="s">
        <v>280</v>
      </c>
      <c r="D217" s="1" t="s">
        <v>3414</v>
      </c>
      <c r="E217" s="1" t="s">
        <v>3203</v>
      </c>
      <c r="F217" s="3">
        <v>44486</v>
      </c>
      <c r="G217" s="2">
        <v>3000</v>
      </c>
      <c r="H217" s="2">
        <v>68000</v>
      </c>
    </row>
    <row r="218" spans="1:8" x14ac:dyDescent="0.3">
      <c r="A218" s="1">
        <v>217</v>
      </c>
      <c r="B218" s="1" t="s">
        <v>100</v>
      </c>
      <c r="C218" s="1" t="s">
        <v>270</v>
      </c>
      <c r="D218" s="1" t="s">
        <v>3415</v>
      </c>
      <c r="E218" s="1" t="s">
        <v>3157</v>
      </c>
      <c r="F218" s="3">
        <v>44488</v>
      </c>
      <c r="G218" s="2">
        <v>3000</v>
      </c>
      <c r="H218" s="2">
        <v>40000</v>
      </c>
    </row>
    <row r="219" spans="1:8" x14ac:dyDescent="0.3">
      <c r="A219" s="1">
        <v>218</v>
      </c>
      <c r="B219" s="1" t="s">
        <v>105</v>
      </c>
      <c r="C219" s="1" t="s">
        <v>270</v>
      </c>
      <c r="D219" s="1" t="s">
        <v>966</v>
      </c>
      <c r="E219" s="1">
        <v>1</v>
      </c>
      <c r="F219" s="3">
        <v>44489</v>
      </c>
      <c r="G219" s="2">
        <v>3000</v>
      </c>
      <c r="H219" s="2">
        <v>2000</v>
      </c>
    </row>
    <row r="220" spans="1:8" x14ac:dyDescent="0.3">
      <c r="A220" s="1">
        <v>219</v>
      </c>
      <c r="B220" s="1" t="s">
        <v>110</v>
      </c>
      <c r="C220" s="1" t="s">
        <v>270</v>
      </c>
      <c r="D220" s="1" t="s">
        <v>3416</v>
      </c>
      <c r="E220" s="1" t="s">
        <v>3315</v>
      </c>
      <c r="F220" s="3">
        <v>44474</v>
      </c>
      <c r="G220" s="2">
        <v>3000</v>
      </c>
      <c r="H220" s="2">
        <v>60000</v>
      </c>
    </row>
    <row r="221" spans="1:8" x14ac:dyDescent="0.3">
      <c r="A221" s="1">
        <v>220</v>
      </c>
      <c r="B221" s="1" t="s">
        <v>115</v>
      </c>
      <c r="C221" s="1" t="s">
        <v>280</v>
      </c>
      <c r="D221" s="1" t="s">
        <v>3417</v>
      </c>
      <c r="E221" s="1" t="s">
        <v>3141</v>
      </c>
      <c r="F221" s="3">
        <v>44474</v>
      </c>
      <c r="G221" s="2">
        <v>3000</v>
      </c>
      <c r="H221" s="2">
        <v>96000</v>
      </c>
    </row>
    <row r="222" spans="1:8" x14ac:dyDescent="0.3">
      <c r="A222" s="1">
        <v>221</v>
      </c>
      <c r="B222" s="1" t="s">
        <v>120</v>
      </c>
      <c r="C222" s="1" t="s">
        <v>285</v>
      </c>
      <c r="D222" s="1" t="s">
        <v>3418</v>
      </c>
      <c r="E222" s="1" t="s">
        <v>1388</v>
      </c>
      <c r="F222" s="3">
        <v>44477</v>
      </c>
      <c r="G222" s="2">
        <v>3000</v>
      </c>
      <c r="H222" s="2">
        <v>14000</v>
      </c>
    </row>
    <row r="223" spans="1:8" x14ac:dyDescent="0.3">
      <c r="A223" s="1">
        <v>222</v>
      </c>
      <c r="B223" s="1" t="s">
        <v>155</v>
      </c>
      <c r="C223" s="1" t="s">
        <v>290</v>
      </c>
      <c r="D223" s="1" t="s">
        <v>997</v>
      </c>
      <c r="E223" s="1">
        <v>2</v>
      </c>
      <c r="F223" s="3">
        <v>44470</v>
      </c>
      <c r="G223" s="2">
        <v>3000</v>
      </c>
      <c r="H223" s="2">
        <v>11000</v>
      </c>
    </row>
    <row r="224" spans="1:8" x14ac:dyDescent="0.3">
      <c r="A224" s="1">
        <v>223</v>
      </c>
      <c r="B224" s="1" t="s">
        <v>20</v>
      </c>
      <c r="C224" s="1" t="s">
        <v>305</v>
      </c>
      <c r="D224" s="1" t="s">
        <v>3419</v>
      </c>
      <c r="E224" s="1" t="s">
        <v>3420</v>
      </c>
      <c r="F224" s="3">
        <v>44494</v>
      </c>
      <c r="G224" s="2">
        <v>3000</v>
      </c>
      <c r="H224" s="2">
        <v>7600</v>
      </c>
    </row>
    <row r="225" spans="1:8" x14ac:dyDescent="0.3">
      <c r="A225" s="1">
        <v>224</v>
      </c>
      <c r="B225" s="1" t="s">
        <v>155</v>
      </c>
      <c r="C225" s="1" t="s">
        <v>315</v>
      </c>
      <c r="D225" s="1" t="s">
        <v>1080</v>
      </c>
      <c r="E225" s="1">
        <v>3</v>
      </c>
      <c r="F225" s="3">
        <v>44439</v>
      </c>
      <c r="G225" s="2">
        <v>3000</v>
      </c>
      <c r="H225" s="2">
        <v>33000</v>
      </c>
    </row>
    <row r="226" spans="1:8" x14ac:dyDescent="0.3">
      <c r="A226" s="1">
        <v>225</v>
      </c>
      <c r="B226" s="1" t="s">
        <v>105</v>
      </c>
      <c r="C226" s="1" t="s">
        <v>320</v>
      </c>
      <c r="D226" s="1" t="s">
        <v>3421</v>
      </c>
      <c r="E226" s="1" t="s">
        <v>3422</v>
      </c>
      <c r="F226" s="3">
        <v>44490</v>
      </c>
      <c r="G226" s="2">
        <v>3000</v>
      </c>
      <c r="H226" s="2">
        <v>54000</v>
      </c>
    </row>
    <row r="227" spans="1:8" x14ac:dyDescent="0.3">
      <c r="A227" s="1">
        <v>226</v>
      </c>
      <c r="B227" s="1" t="s">
        <v>85</v>
      </c>
      <c r="C227" s="1" t="s">
        <v>325</v>
      </c>
      <c r="D227" s="1" t="s">
        <v>3423</v>
      </c>
      <c r="E227" s="1" t="s">
        <v>3165</v>
      </c>
      <c r="F227" s="3">
        <v>44502</v>
      </c>
      <c r="G227" s="2">
        <v>3000</v>
      </c>
      <c r="H227" s="2">
        <v>34000</v>
      </c>
    </row>
    <row r="228" spans="1:8" x14ac:dyDescent="0.3">
      <c r="A228" s="1">
        <v>227</v>
      </c>
      <c r="B228" s="1" t="s">
        <v>85</v>
      </c>
      <c r="C228" s="1" t="s">
        <v>330</v>
      </c>
      <c r="D228" s="1" t="s">
        <v>3424</v>
      </c>
      <c r="E228" s="1" t="s">
        <v>3425</v>
      </c>
      <c r="F228" s="3">
        <v>44475</v>
      </c>
      <c r="G228" s="2">
        <v>3000</v>
      </c>
      <c r="H228" s="2">
        <v>42000</v>
      </c>
    </row>
    <row r="229" spans="1:8" x14ac:dyDescent="0.3">
      <c r="A229" s="1">
        <v>228</v>
      </c>
      <c r="B229" s="1" t="s">
        <v>180</v>
      </c>
      <c r="C229" s="1" t="s">
        <v>340</v>
      </c>
      <c r="D229" s="1" t="s">
        <v>3426</v>
      </c>
      <c r="E229" s="1" t="s">
        <v>3427</v>
      </c>
      <c r="F229" s="3">
        <v>44436</v>
      </c>
      <c r="G229" s="2">
        <v>3000</v>
      </c>
      <c r="H229" s="2">
        <v>65000</v>
      </c>
    </row>
    <row r="230" spans="1:8" x14ac:dyDescent="0.3">
      <c r="A230" s="1">
        <v>229</v>
      </c>
      <c r="B230" s="1" t="s">
        <v>145</v>
      </c>
      <c r="C230" s="1" t="s">
        <v>350</v>
      </c>
      <c r="D230" s="1" t="s">
        <v>3428</v>
      </c>
      <c r="E230" s="1" t="s">
        <v>3153</v>
      </c>
      <c r="F230" s="3">
        <v>44455</v>
      </c>
      <c r="G230" s="2">
        <v>3000</v>
      </c>
      <c r="H230" s="2">
        <v>17000</v>
      </c>
    </row>
    <row r="231" spans="1:8" x14ac:dyDescent="0.3">
      <c r="A231" s="1">
        <v>230</v>
      </c>
      <c r="B231" s="1" t="s">
        <v>100</v>
      </c>
      <c r="C231" s="1" t="s">
        <v>355</v>
      </c>
      <c r="D231" s="1" t="s">
        <v>948</v>
      </c>
      <c r="E231" s="1">
        <v>2</v>
      </c>
      <c r="F231" s="3">
        <v>44468</v>
      </c>
      <c r="G231" s="2">
        <v>3000</v>
      </c>
      <c r="H231" s="2">
        <v>10000</v>
      </c>
    </row>
    <row r="232" spans="1:8" x14ac:dyDescent="0.3">
      <c r="A232" s="1">
        <v>231</v>
      </c>
      <c r="B232" s="1" t="s">
        <v>150</v>
      </c>
      <c r="C232" s="1" t="s">
        <v>360</v>
      </c>
      <c r="D232" s="1" t="s">
        <v>3429</v>
      </c>
      <c r="E232" s="1" t="s">
        <v>3430</v>
      </c>
      <c r="F232" s="3">
        <v>44444</v>
      </c>
      <c r="G232" s="2">
        <v>3000</v>
      </c>
      <c r="H232" s="2">
        <v>152000</v>
      </c>
    </row>
    <row r="233" spans="1:8" x14ac:dyDescent="0.3">
      <c r="A233" s="1">
        <v>232</v>
      </c>
      <c r="B233" s="1" t="s">
        <v>115</v>
      </c>
      <c r="C233" s="1" t="s">
        <v>370</v>
      </c>
      <c r="D233" s="1" t="s">
        <v>1023</v>
      </c>
      <c r="E233" s="1">
        <v>2</v>
      </c>
      <c r="F233" s="3">
        <v>44477</v>
      </c>
      <c r="G233" s="2">
        <v>3000</v>
      </c>
      <c r="H233" s="2">
        <v>12000</v>
      </c>
    </row>
    <row r="234" spans="1:8" x14ac:dyDescent="0.3">
      <c r="A234" s="1">
        <v>233</v>
      </c>
      <c r="B234" s="1" t="s">
        <v>130</v>
      </c>
      <c r="C234" s="1" t="s">
        <v>375</v>
      </c>
      <c r="D234" s="1" t="s">
        <v>3431</v>
      </c>
      <c r="E234" s="1" t="s">
        <v>3209</v>
      </c>
      <c r="F234" s="3">
        <v>44488</v>
      </c>
      <c r="G234" s="2">
        <v>3000</v>
      </c>
      <c r="H234" s="2">
        <v>55000</v>
      </c>
    </row>
    <row r="235" spans="1:8" x14ac:dyDescent="0.3">
      <c r="A235" s="1">
        <v>234</v>
      </c>
      <c r="B235" s="1" t="s">
        <v>170</v>
      </c>
      <c r="C235" s="1" t="s">
        <v>380</v>
      </c>
      <c r="D235" s="1" t="s">
        <v>3432</v>
      </c>
      <c r="E235" s="1" t="s">
        <v>3345</v>
      </c>
      <c r="F235" s="3">
        <v>44423</v>
      </c>
      <c r="G235" s="2">
        <v>3000</v>
      </c>
      <c r="H235" s="2">
        <v>36000</v>
      </c>
    </row>
    <row r="236" spans="1:8" x14ac:dyDescent="0.3">
      <c r="A236" s="1">
        <v>235</v>
      </c>
      <c r="B236" s="1" t="s">
        <v>20</v>
      </c>
      <c r="C236" s="1" t="s">
        <v>385</v>
      </c>
      <c r="D236" s="1" t="s">
        <v>948</v>
      </c>
      <c r="E236" s="1">
        <v>2</v>
      </c>
      <c r="F236" s="3">
        <v>44432</v>
      </c>
      <c r="G236" s="2">
        <v>3000</v>
      </c>
      <c r="H236" s="2">
        <v>10000</v>
      </c>
    </row>
    <row r="237" spans="1:8" x14ac:dyDescent="0.3">
      <c r="A237" s="1">
        <v>236</v>
      </c>
      <c r="B237" s="1" t="s">
        <v>45</v>
      </c>
      <c r="C237" s="1" t="s">
        <v>390</v>
      </c>
      <c r="D237" s="1" t="s">
        <v>3433</v>
      </c>
      <c r="E237" s="1" t="s">
        <v>3355</v>
      </c>
      <c r="F237" s="3">
        <v>44464</v>
      </c>
      <c r="G237" s="1">
        <v>0</v>
      </c>
      <c r="H237" s="2">
        <v>91000</v>
      </c>
    </row>
    <row r="238" spans="1:8" x14ac:dyDescent="0.3">
      <c r="A238" s="1">
        <v>237</v>
      </c>
      <c r="B238" s="1" t="s">
        <v>195</v>
      </c>
      <c r="C238" s="1" t="s">
        <v>395</v>
      </c>
      <c r="D238" s="1" t="s">
        <v>3434</v>
      </c>
      <c r="E238" s="1" t="s">
        <v>3345</v>
      </c>
      <c r="F238" s="3">
        <v>44422</v>
      </c>
      <c r="G238" s="2">
        <v>3000</v>
      </c>
      <c r="H238" s="2">
        <v>10500</v>
      </c>
    </row>
    <row r="239" spans="1:8" x14ac:dyDescent="0.3">
      <c r="A239" s="1">
        <v>238</v>
      </c>
      <c r="B239" s="1" t="s">
        <v>145</v>
      </c>
      <c r="C239" s="1" t="s">
        <v>400</v>
      </c>
      <c r="D239" s="1" t="s">
        <v>3435</v>
      </c>
      <c r="E239" s="1" t="s">
        <v>3341</v>
      </c>
      <c r="F239" s="3">
        <v>44464</v>
      </c>
      <c r="G239" s="2">
        <v>3000</v>
      </c>
      <c r="H239" s="2">
        <v>143500</v>
      </c>
    </row>
    <row r="240" spans="1:8" x14ac:dyDescent="0.3">
      <c r="A240" s="1">
        <v>239</v>
      </c>
      <c r="B240" s="1" t="s">
        <v>95</v>
      </c>
      <c r="C240" s="1" t="s">
        <v>420</v>
      </c>
      <c r="D240" s="1" t="s">
        <v>3436</v>
      </c>
      <c r="E240" s="1" t="s">
        <v>3437</v>
      </c>
      <c r="F240" s="3">
        <v>44494</v>
      </c>
      <c r="G240" s="2">
        <v>3000</v>
      </c>
      <c r="H240" s="2">
        <v>31000</v>
      </c>
    </row>
    <row r="241" spans="1:8" x14ac:dyDescent="0.3">
      <c r="A241" s="1">
        <v>240</v>
      </c>
      <c r="B241" s="1" t="s">
        <v>100</v>
      </c>
      <c r="C241" s="1" t="s">
        <v>425</v>
      </c>
      <c r="D241" s="1" t="s">
        <v>3438</v>
      </c>
      <c r="E241" s="1" t="s">
        <v>3357</v>
      </c>
      <c r="F241" s="3">
        <v>44431</v>
      </c>
      <c r="G241" s="2">
        <v>3000</v>
      </c>
      <c r="H241" s="2">
        <v>40500</v>
      </c>
    </row>
    <row r="242" spans="1:8" x14ac:dyDescent="0.3">
      <c r="A242" s="1">
        <v>241</v>
      </c>
      <c r="B242" s="1" t="s">
        <v>150</v>
      </c>
      <c r="C242" s="1" t="s">
        <v>435</v>
      </c>
      <c r="D242" s="1" t="s">
        <v>3439</v>
      </c>
      <c r="E242" s="1" t="s">
        <v>3440</v>
      </c>
      <c r="F242" s="3">
        <v>44421</v>
      </c>
      <c r="G242" s="2">
        <v>3000</v>
      </c>
      <c r="H242" s="2">
        <v>55500</v>
      </c>
    </row>
    <row r="243" spans="1:8" x14ac:dyDescent="0.3">
      <c r="A243" s="1">
        <v>242</v>
      </c>
      <c r="B243" s="1" t="s">
        <v>55</v>
      </c>
      <c r="C243" s="1" t="s">
        <v>465</v>
      </c>
      <c r="D243" s="1" t="s">
        <v>3441</v>
      </c>
      <c r="E243" s="1" t="s">
        <v>3141</v>
      </c>
      <c r="F243" s="3">
        <v>44490</v>
      </c>
      <c r="G243" s="2">
        <v>3000</v>
      </c>
      <c r="H243" s="2">
        <v>26000</v>
      </c>
    </row>
    <row r="244" spans="1:8" x14ac:dyDescent="0.3">
      <c r="A244" s="1">
        <v>243</v>
      </c>
      <c r="B244" s="1" t="s">
        <v>20</v>
      </c>
      <c r="C244" s="1" t="s">
        <v>475</v>
      </c>
      <c r="D244" s="1" t="s">
        <v>3442</v>
      </c>
      <c r="E244" s="1" t="s">
        <v>3443</v>
      </c>
      <c r="F244" s="3">
        <v>44465</v>
      </c>
      <c r="G244" s="2">
        <v>3000</v>
      </c>
      <c r="H244" s="2">
        <v>29500</v>
      </c>
    </row>
    <row r="245" spans="1:8" x14ac:dyDescent="0.3">
      <c r="A245" s="1">
        <v>244</v>
      </c>
      <c r="B245" s="1" t="s">
        <v>175</v>
      </c>
      <c r="C245" s="1" t="s">
        <v>485</v>
      </c>
      <c r="D245" s="1" t="s">
        <v>3444</v>
      </c>
      <c r="E245" s="1" t="s">
        <v>3261</v>
      </c>
      <c r="F245" s="3">
        <v>44432</v>
      </c>
      <c r="G245" s="2">
        <v>3000</v>
      </c>
      <c r="H245" s="2">
        <v>32500</v>
      </c>
    </row>
    <row r="246" spans="1:8" x14ac:dyDescent="0.3">
      <c r="A246" s="1">
        <v>245</v>
      </c>
      <c r="B246" s="1" t="s">
        <v>55</v>
      </c>
      <c r="C246" s="1" t="s">
        <v>490</v>
      </c>
      <c r="D246" s="1" t="s">
        <v>3445</v>
      </c>
      <c r="E246" s="1" t="s">
        <v>3446</v>
      </c>
      <c r="F246" s="3">
        <v>44460</v>
      </c>
      <c r="G246" s="2">
        <v>3000</v>
      </c>
      <c r="H246" s="2">
        <v>36000</v>
      </c>
    </row>
    <row r="247" spans="1:8" x14ac:dyDescent="0.3">
      <c r="A247" s="1">
        <v>246</v>
      </c>
      <c r="B247" s="1" t="s">
        <v>40</v>
      </c>
      <c r="C247" s="1" t="s">
        <v>495</v>
      </c>
      <c r="D247" s="1" t="s">
        <v>1007</v>
      </c>
      <c r="E247" s="1">
        <v>3</v>
      </c>
      <c r="F247" s="3">
        <v>44505</v>
      </c>
      <c r="G247" s="2">
        <v>3000</v>
      </c>
      <c r="H247" s="2">
        <v>7500</v>
      </c>
    </row>
    <row r="248" spans="1:8" x14ac:dyDescent="0.3">
      <c r="A248" s="1">
        <v>247</v>
      </c>
      <c r="B248" s="1" t="s">
        <v>55</v>
      </c>
      <c r="C248" s="1" t="s">
        <v>505</v>
      </c>
      <c r="D248" s="1" t="s">
        <v>1118</v>
      </c>
      <c r="E248" s="1">
        <v>1</v>
      </c>
      <c r="F248" s="3">
        <v>44446</v>
      </c>
      <c r="G248" s="2">
        <v>3000</v>
      </c>
      <c r="H248" s="2">
        <v>2500</v>
      </c>
    </row>
    <row r="249" spans="1:8" x14ac:dyDescent="0.3">
      <c r="A249" s="1">
        <v>248</v>
      </c>
      <c r="B249" s="1" t="s">
        <v>55</v>
      </c>
      <c r="C249" s="1" t="s">
        <v>510</v>
      </c>
      <c r="D249" s="1" t="s">
        <v>3447</v>
      </c>
      <c r="E249" s="1" t="s">
        <v>3165</v>
      </c>
      <c r="F249" s="3">
        <v>44503</v>
      </c>
      <c r="G249" s="2">
        <v>3000</v>
      </c>
      <c r="H249" s="2">
        <v>28000</v>
      </c>
    </row>
    <row r="250" spans="1:8" x14ac:dyDescent="0.3">
      <c r="A250" s="1">
        <v>249</v>
      </c>
      <c r="B250" s="1" t="s">
        <v>110</v>
      </c>
      <c r="C250" s="1" t="s">
        <v>515</v>
      </c>
      <c r="D250" s="1" t="s">
        <v>3448</v>
      </c>
      <c r="E250" s="1" t="s">
        <v>1388</v>
      </c>
      <c r="F250" s="3">
        <v>44433</v>
      </c>
      <c r="G250" s="2">
        <v>3000</v>
      </c>
      <c r="H250" s="2">
        <v>10000</v>
      </c>
    </row>
    <row r="251" spans="1:8" x14ac:dyDescent="0.3">
      <c r="A251" s="1">
        <v>250</v>
      </c>
      <c r="B251" s="1" t="s">
        <v>185</v>
      </c>
      <c r="C251" s="1" t="s">
        <v>525</v>
      </c>
      <c r="D251" s="1" t="s">
        <v>3449</v>
      </c>
      <c r="E251" s="1" t="s">
        <v>3293</v>
      </c>
      <c r="F251" s="3">
        <v>44453</v>
      </c>
      <c r="G251" s="2">
        <v>3000</v>
      </c>
      <c r="H251" s="2">
        <v>43500</v>
      </c>
    </row>
    <row r="252" spans="1:8" x14ac:dyDescent="0.3">
      <c r="A252" s="1">
        <v>251</v>
      </c>
      <c r="B252" s="1" t="s">
        <v>85</v>
      </c>
      <c r="C252" s="1" t="s">
        <v>550</v>
      </c>
      <c r="D252" s="1" t="s">
        <v>993</v>
      </c>
      <c r="E252" s="1">
        <v>2</v>
      </c>
      <c r="F252" s="3">
        <v>44452</v>
      </c>
      <c r="G252" s="2">
        <v>3000</v>
      </c>
      <c r="H252" s="2">
        <v>10000</v>
      </c>
    </row>
    <row r="253" spans="1:8" x14ac:dyDescent="0.3">
      <c r="A253" s="1">
        <v>252</v>
      </c>
      <c r="B253" s="1" t="s">
        <v>40</v>
      </c>
      <c r="C253" s="1" t="s">
        <v>565</v>
      </c>
      <c r="D253" s="1" t="s">
        <v>3450</v>
      </c>
      <c r="E253" s="1" t="s">
        <v>3451</v>
      </c>
      <c r="F253" s="3">
        <v>44461</v>
      </c>
      <c r="G253" s="2">
        <v>3000</v>
      </c>
      <c r="H253" s="2">
        <v>40500</v>
      </c>
    </row>
    <row r="254" spans="1:8" x14ac:dyDescent="0.3">
      <c r="A254" s="1">
        <v>253</v>
      </c>
      <c r="B254" s="1" t="s">
        <v>95</v>
      </c>
      <c r="C254" s="1" t="s">
        <v>585</v>
      </c>
      <c r="D254" s="1" t="s">
        <v>962</v>
      </c>
      <c r="E254" s="1">
        <v>3</v>
      </c>
      <c r="F254" s="3">
        <v>44460</v>
      </c>
      <c r="G254" s="2">
        <v>3000</v>
      </c>
      <c r="H254" s="2">
        <v>6000</v>
      </c>
    </row>
    <row r="255" spans="1:8" x14ac:dyDescent="0.3">
      <c r="A255" s="1">
        <v>254</v>
      </c>
      <c r="B255" s="1" t="s">
        <v>130</v>
      </c>
      <c r="C255" s="1" t="s">
        <v>605</v>
      </c>
      <c r="D255" s="1" t="s">
        <v>3452</v>
      </c>
      <c r="E255" s="1" t="s">
        <v>3453</v>
      </c>
      <c r="F255" s="3">
        <v>44456</v>
      </c>
      <c r="G255" s="2">
        <v>3000</v>
      </c>
      <c r="H255" s="2">
        <v>26500</v>
      </c>
    </row>
    <row r="256" spans="1:8" x14ac:dyDescent="0.3">
      <c r="A256" s="1">
        <v>255</v>
      </c>
      <c r="B256" s="1" t="s">
        <v>30</v>
      </c>
      <c r="C256" s="1" t="s">
        <v>630</v>
      </c>
      <c r="D256" s="1" t="s">
        <v>3454</v>
      </c>
      <c r="E256" s="1" t="s">
        <v>3455</v>
      </c>
      <c r="F256" s="3">
        <v>44462</v>
      </c>
      <c r="G256" s="2">
        <v>3000</v>
      </c>
      <c r="H256" s="2">
        <v>84500</v>
      </c>
    </row>
    <row r="257" spans="1:8" x14ac:dyDescent="0.3">
      <c r="A257" s="1">
        <v>256</v>
      </c>
      <c r="B257" s="1" t="s">
        <v>195</v>
      </c>
      <c r="C257" s="1" t="s">
        <v>640</v>
      </c>
      <c r="D257" s="1" t="s">
        <v>3456</v>
      </c>
      <c r="E257" s="1" t="s">
        <v>3457</v>
      </c>
      <c r="F257" s="3">
        <v>44433</v>
      </c>
      <c r="G257" s="2">
        <v>3000</v>
      </c>
      <c r="H257" s="2">
        <v>46500</v>
      </c>
    </row>
    <row r="258" spans="1:8" x14ac:dyDescent="0.3">
      <c r="A258" s="1">
        <v>257</v>
      </c>
      <c r="B258" s="1" t="s">
        <v>200</v>
      </c>
      <c r="C258" s="1" t="s">
        <v>645</v>
      </c>
      <c r="D258" s="1" t="s">
        <v>1038</v>
      </c>
      <c r="E258" s="1">
        <v>2</v>
      </c>
      <c r="F258" s="3">
        <v>44490</v>
      </c>
      <c r="G258" s="2">
        <v>3000</v>
      </c>
      <c r="H258" s="2">
        <v>4000</v>
      </c>
    </row>
    <row r="259" spans="1:8" x14ac:dyDescent="0.3">
      <c r="A259" s="1">
        <v>258</v>
      </c>
      <c r="B259" s="1" t="s">
        <v>90</v>
      </c>
      <c r="C259" s="1" t="s">
        <v>665</v>
      </c>
      <c r="D259" s="1" t="s">
        <v>3458</v>
      </c>
      <c r="E259" s="1" t="s">
        <v>3141</v>
      </c>
      <c r="F259" s="3">
        <v>44448</v>
      </c>
      <c r="G259" s="2">
        <v>3000</v>
      </c>
      <c r="H259" s="2">
        <v>16000</v>
      </c>
    </row>
    <row r="260" spans="1:8" x14ac:dyDescent="0.3">
      <c r="A260" s="1">
        <v>259</v>
      </c>
      <c r="B260" s="1" t="s">
        <v>85</v>
      </c>
      <c r="C260" s="1" t="s">
        <v>685</v>
      </c>
      <c r="D260" s="1" t="s">
        <v>3459</v>
      </c>
      <c r="E260" s="1" t="s">
        <v>3460</v>
      </c>
      <c r="F260" s="3">
        <v>44472</v>
      </c>
      <c r="G260" s="2">
        <v>3000</v>
      </c>
      <c r="H260" s="2">
        <v>76000</v>
      </c>
    </row>
    <row r="261" spans="1:8" x14ac:dyDescent="0.3">
      <c r="A261" s="1">
        <v>260</v>
      </c>
      <c r="B261" s="1" t="s">
        <v>80</v>
      </c>
      <c r="C261" s="1" t="s">
        <v>695</v>
      </c>
      <c r="D261" s="1" t="s">
        <v>3461</v>
      </c>
      <c r="E261" s="1" t="s">
        <v>3462</v>
      </c>
      <c r="F261" s="3">
        <v>44444</v>
      </c>
      <c r="G261" s="2">
        <v>3000</v>
      </c>
      <c r="H261" s="2">
        <v>34000</v>
      </c>
    </row>
    <row r="262" spans="1:8" x14ac:dyDescent="0.3">
      <c r="A262" s="1">
        <v>261</v>
      </c>
      <c r="B262" s="1" t="s">
        <v>75</v>
      </c>
      <c r="C262" s="1" t="s">
        <v>700</v>
      </c>
      <c r="D262" s="1" t="s">
        <v>3463</v>
      </c>
      <c r="E262" s="1" t="s">
        <v>3345</v>
      </c>
      <c r="F262" s="3">
        <v>44443</v>
      </c>
      <c r="G262" s="2">
        <v>3000</v>
      </c>
      <c r="H262" s="2">
        <v>22000</v>
      </c>
    </row>
    <row r="263" spans="1:8" x14ac:dyDescent="0.3">
      <c r="A263" s="1">
        <v>262</v>
      </c>
      <c r="B263" s="1" t="s">
        <v>110</v>
      </c>
      <c r="C263" s="1" t="s">
        <v>705</v>
      </c>
      <c r="D263" s="1" t="s">
        <v>3464</v>
      </c>
      <c r="E263" s="1" t="s">
        <v>3465</v>
      </c>
      <c r="F263" s="3">
        <v>44484</v>
      </c>
      <c r="G263" s="2">
        <v>3000</v>
      </c>
      <c r="H263" s="2">
        <v>52000</v>
      </c>
    </row>
    <row r="264" spans="1:8" x14ac:dyDescent="0.3">
      <c r="A264" s="1">
        <v>263</v>
      </c>
      <c r="B264" s="1" t="s">
        <v>110</v>
      </c>
      <c r="C264" s="1" t="s">
        <v>715</v>
      </c>
      <c r="D264" s="1" t="s">
        <v>3466</v>
      </c>
      <c r="E264" s="1" t="s">
        <v>3248</v>
      </c>
      <c r="F264" s="3">
        <v>44446</v>
      </c>
      <c r="G264" s="2">
        <v>3000</v>
      </c>
      <c r="H264" s="2">
        <v>89500</v>
      </c>
    </row>
    <row r="265" spans="1:8" x14ac:dyDescent="0.3">
      <c r="A265" s="1">
        <v>264</v>
      </c>
      <c r="B265" s="1" t="s">
        <v>115</v>
      </c>
      <c r="C265" s="1" t="s">
        <v>720</v>
      </c>
      <c r="D265" s="1" t="s">
        <v>3467</v>
      </c>
      <c r="E265" s="1" t="s">
        <v>3289</v>
      </c>
      <c r="F265" s="3">
        <v>44420</v>
      </c>
      <c r="G265" s="2">
        <v>3000</v>
      </c>
      <c r="H265" s="2">
        <v>75000</v>
      </c>
    </row>
    <row r="266" spans="1:8" x14ac:dyDescent="0.3">
      <c r="A266" s="1">
        <v>265</v>
      </c>
      <c r="B266" s="1" t="s">
        <v>20</v>
      </c>
      <c r="C266" s="1" t="s">
        <v>725</v>
      </c>
      <c r="D266" s="1" t="s">
        <v>1028</v>
      </c>
      <c r="E266" s="1">
        <v>1</v>
      </c>
      <c r="F266" s="3">
        <v>44503</v>
      </c>
      <c r="G266" s="2">
        <v>3000</v>
      </c>
      <c r="H266" s="2">
        <v>4000</v>
      </c>
    </row>
    <row r="267" spans="1:8" x14ac:dyDescent="0.3">
      <c r="A267" s="1">
        <v>266</v>
      </c>
      <c r="B267" s="1" t="s">
        <v>30</v>
      </c>
      <c r="C267" s="1" t="s">
        <v>730</v>
      </c>
      <c r="D267" s="1" t="s">
        <v>3468</v>
      </c>
      <c r="E267" s="1" t="s">
        <v>3469</v>
      </c>
      <c r="F267" s="3">
        <v>44458</v>
      </c>
      <c r="G267" s="2">
        <v>3000</v>
      </c>
      <c r="H267" s="2">
        <v>85000</v>
      </c>
    </row>
    <row r="268" spans="1:8" x14ac:dyDescent="0.3">
      <c r="A268" s="1">
        <v>267</v>
      </c>
      <c r="B268" s="1" t="s">
        <v>35</v>
      </c>
      <c r="C268" s="1" t="s">
        <v>740</v>
      </c>
      <c r="D268" s="1" t="s">
        <v>3470</v>
      </c>
      <c r="E268" s="1" t="s">
        <v>3360</v>
      </c>
      <c r="F268" s="3">
        <v>44426</v>
      </c>
      <c r="G268" s="2">
        <v>3000</v>
      </c>
      <c r="H268" s="2">
        <v>59500</v>
      </c>
    </row>
    <row r="269" spans="1:8" x14ac:dyDescent="0.3">
      <c r="A269" s="1">
        <v>268</v>
      </c>
      <c r="B269" s="1" t="s">
        <v>85</v>
      </c>
      <c r="C269" s="1" t="s">
        <v>745</v>
      </c>
      <c r="D269" s="1" t="s">
        <v>3471</v>
      </c>
      <c r="E269" s="1" t="s">
        <v>3143</v>
      </c>
      <c r="F269" s="3">
        <v>44447</v>
      </c>
      <c r="G269" s="2">
        <v>3000</v>
      </c>
      <c r="H269" s="2">
        <v>17000</v>
      </c>
    </row>
    <row r="270" spans="1:8" x14ac:dyDescent="0.3">
      <c r="A270" s="1">
        <v>269</v>
      </c>
      <c r="B270" s="1" t="s">
        <v>110</v>
      </c>
      <c r="C270" s="1" t="s">
        <v>750</v>
      </c>
      <c r="D270" s="1" t="s">
        <v>3472</v>
      </c>
      <c r="E270" s="1" t="s">
        <v>1390</v>
      </c>
      <c r="F270" s="3">
        <v>44502</v>
      </c>
      <c r="G270" s="2">
        <v>3000</v>
      </c>
      <c r="H270" s="2">
        <v>17000</v>
      </c>
    </row>
    <row r="271" spans="1:8" x14ac:dyDescent="0.3">
      <c r="A271" s="1">
        <v>270</v>
      </c>
      <c r="B271" s="1" t="s">
        <v>70</v>
      </c>
      <c r="C271" s="1" t="s">
        <v>760</v>
      </c>
      <c r="D271" s="1" t="s">
        <v>991</v>
      </c>
      <c r="E271" s="1">
        <v>2</v>
      </c>
      <c r="F271" s="3">
        <v>44438</v>
      </c>
      <c r="G271" s="2">
        <v>3000</v>
      </c>
      <c r="H271" s="2">
        <v>22000</v>
      </c>
    </row>
    <row r="272" spans="1:8" x14ac:dyDescent="0.3">
      <c r="A272" s="1">
        <v>271</v>
      </c>
      <c r="B272" s="1" t="s">
        <v>145</v>
      </c>
      <c r="C272" s="1" t="s">
        <v>765</v>
      </c>
      <c r="D272" s="1" t="s">
        <v>3473</v>
      </c>
      <c r="E272" s="1" t="s">
        <v>3137</v>
      </c>
      <c r="F272" s="3">
        <v>44434</v>
      </c>
      <c r="G272" s="2">
        <v>3000</v>
      </c>
      <c r="H272" s="2">
        <v>7900</v>
      </c>
    </row>
    <row r="273" spans="1:8" x14ac:dyDescent="0.3">
      <c r="A273" s="1">
        <v>272</v>
      </c>
      <c r="B273" s="1" t="s">
        <v>75</v>
      </c>
      <c r="C273" s="1" t="s">
        <v>770</v>
      </c>
      <c r="D273" s="1" t="s">
        <v>3474</v>
      </c>
      <c r="E273" s="1" t="s">
        <v>3475</v>
      </c>
      <c r="F273" s="3">
        <v>44484</v>
      </c>
      <c r="G273" s="2">
        <v>3000</v>
      </c>
      <c r="H273" s="2">
        <v>88000</v>
      </c>
    </row>
    <row r="274" spans="1:8" x14ac:dyDescent="0.3">
      <c r="A274" s="1">
        <v>273</v>
      </c>
      <c r="B274" s="1" t="s">
        <v>25</v>
      </c>
      <c r="C274" s="1" t="s">
        <v>775</v>
      </c>
      <c r="D274" s="1" t="s">
        <v>3476</v>
      </c>
      <c r="E274" s="1" t="s">
        <v>3141</v>
      </c>
      <c r="F274" s="3">
        <v>44481</v>
      </c>
      <c r="G274" s="2">
        <v>3000</v>
      </c>
      <c r="H274" s="2">
        <v>25000</v>
      </c>
    </row>
    <row r="275" spans="1:8" x14ac:dyDescent="0.3">
      <c r="A275" s="1">
        <v>274</v>
      </c>
      <c r="B275" s="1" t="s">
        <v>85</v>
      </c>
      <c r="C275" s="1" t="s">
        <v>785</v>
      </c>
      <c r="D275" s="1" t="s">
        <v>3477</v>
      </c>
      <c r="E275" s="1" t="s">
        <v>3149</v>
      </c>
      <c r="F275" s="3">
        <v>44469</v>
      </c>
      <c r="G275" s="2">
        <v>3000</v>
      </c>
      <c r="H275" s="2">
        <v>10000</v>
      </c>
    </row>
    <row r="276" spans="1:8" x14ac:dyDescent="0.3">
      <c r="A276" s="1">
        <v>275</v>
      </c>
      <c r="B276" s="1" t="s">
        <v>30</v>
      </c>
      <c r="C276" s="1" t="s">
        <v>240</v>
      </c>
      <c r="D276" s="1" t="s">
        <v>950</v>
      </c>
      <c r="E276" s="1">
        <v>1</v>
      </c>
      <c r="F276" s="3">
        <v>44452</v>
      </c>
      <c r="G276" s="2">
        <v>3000</v>
      </c>
      <c r="H276" s="2">
        <v>25000</v>
      </c>
    </row>
    <row r="277" spans="1:8" x14ac:dyDescent="0.3">
      <c r="A277" s="1">
        <v>276</v>
      </c>
      <c r="B277" s="1" t="s">
        <v>165</v>
      </c>
      <c r="C277" s="1" t="s">
        <v>790</v>
      </c>
      <c r="D277" s="1" t="s">
        <v>3478</v>
      </c>
      <c r="E277" s="1" t="s">
        <v>3203</v>
      </c>
      <c r="F277" s="3">
        <v>44475</v>
      </c>
      <c r="G277" s="2">
        <v>3000</v>
      </c>
      <c r="H277" s="2">
        <v>65000</v>
      </c>
    </row>
    <row r="278" spans="1:8" x14ac:dyDescent="0.3">
      <c r="A278" s="1">
        <v>277</v>
      </c>
      <c r="B278" s="1" t="s">
        <v>95</v>
      </c>
      <c r="C278" s="1" t="s">
        <v>795</v>
      </c>
      <c r="D278" s="1" t="s">
        <v>1001</v>
      </c>
      <c r="E278" s="1">
        <v>1</v>
      </c>
      <c r="F278" s="3">
        <v>44454</v>
      </c>
      <c r="G278" s="2">
        <v>3000</v>
      </c>
      <c r="H278" s="2">
        <v>4500</v>
      </c>
    </row>
    <row r="279" spans="1:8" x14ac:dyDescent="0.3">
      <c r="A279" s="1">
        <v>278</v>
      </c>
      <c r="B279" s="1" t="s">
        <v>45</v>
      </c>
      <c r="C279" s="1" t="s">
        <v>800</v>
      </c>
      <c r="D279" s="1" t="s">
        <v>3479</v>
      </c>
      <c r="E279" s="1" t="s">
        <v>3387</v>
      </c>
      <c r="F279" s="3">
        <v>44479</v>
      </c>
      <c r="G279" s="1">
        <v>0</v>
      </c>
      <c r="H279" s="2">
        <v>23100</v>
      </c>
    </row>
    <row r="280" spans="1:8" x14ac:dyDescent="0.3">
      <c r="A280" s="1">
        <v>279</v>
      </c>
      <c r="B280" s="1" t="s">
        <v>100</v>
      </c>
      <c r="C280" s="1" t="s">
        <v>810</v>
      </c>
      <c r="D280" s="1" t="s">
        <v>3480</v>
      </c>
      <c r="E280" s="1" t="s">
        <v>3213</v>
      </c>
      <c r="F280" s="3">
        <v>44440</v>
      </c>
      <c r="G280" s="2">
        <v>3000</v>
      </c>
      <c r="H280" s="2">
        <v>12400</v>
      </c>
    </row>
    <row r="281" spans="1:8" x14ac:dyDescent="0.3">
      <c r="A281" s="1">
        <v>280</v>
      </c>
      <c r="B281" s="1" t="s">
        <v>195</v>
      </c>
      <c r="C281" s="1" t="s">
        <v>820</v>
      </c>
      <c r="D281" s="1" t="s">
        <v>3481</v>
      </c>
      <c r="E281" s="1" t="s">
        <v>3209</v>
      </c>
      <c r="F281" s="3">
        <v>44450</v>
      </c>
      <c r="G281" s="2">
        <v>3000</v>
      </c>
      <c r="H281" s="2">
        <v>20000</v>
      </c>
    </row>
    <row r="282" spans="1:8" x14ac:dyDescent="0.3">
      <c r="A282" s="1">
        <v>281</v>
      </c>
      <c r="B282" s="1" t="s">
        <v>110</v>
      </c>
      <c r="C282" s="1" t="s">
        <v>830</v>
      </c>
      <c r="D282" s="1" t="s">
        <v>3482</v>
      </c>
      <c r="E282" s="1" t="s">
        <v>1388</v>
      </c>
      <c r="F282" s="3">
        <v>44482</v>
      </c>
      <c r="G282" s="2">
        <v>3000</v>
      </c>
      <c r="H282" s="2">
        <v>12000</v>
      </c>
    </row>
    <row r="283" spans="1:8" x14ac:dyDescent="0.3">
      <c r="A283" s="1">
        <v>282</v>
      </c>
      <c r="B283" s="1" t="s">
        <v>165</v>
      </c>
      <c r="C283" s="1" t="s">
        <v>835</v>
      </c>
      <c r="D283" s="1" t="s">
        <v>3483</v>
      </c>
      <c r="E283" s="1" t="s">
        <v>3203</v>
      </c>
      <c r="F283" s="3">
        <v>44498</v>
      </c>
      <c r="G283" s="2">
        <v>3000</v>
      </c>
      <c r="H283" s="2">
        <v>28000</v>
      </c>
    </row>
    <row r="284" spans="1:8" x14ac:dyDescent="0.3">
      <c r="A284" s="1">
        <v>283</v>
      </c>
      <c r="B284" s="1" t="s">
        <v>130</v>
      </c>
      <c r="C284" s="1" t="s">
        <v>840</v>
      </c>
      <c r="D284" s="1" t="s">
        <v>1108</v>
      </c>
      <c r="E284" s="1">
        <v>1</v>
      </c>
      <c r="F284" s="3">
        <v>44503</v>
      </c>
      <c r="G284" s="2">
        <v>3000</v>
      </c>
      <c r="H284" s="2">
        <v>1500</v>
      </c>
    </row>
    <row r="285" spans="1:8" x14ac:dyDescent="0.3">
      <c r="A285" s="1">
        <v>284</v>
      </c>
      <c r="B285" s="1" t="s">
        <v>180</v>
      </c>
      <c r="C285" s="1" t="s">
        <v>845</v>
      </c>
      <c r="D285" s="1" t="s">
        <v>3484</v>
      </c>
      <c r="E285" s="1" t="s">
        <v>3362</v>
      </c>
      <c r="F285" s="3">
        <v>44429</v>
      </c>
      <c r="G285" s="2">
        <v>3000</v>
      </c>
      <c r="H285" s="2">
        <v>78000</v>
      </c>
    </row>
    <row r="286" spans="1:8" x14ac:dyDescent="0.3">
      <c r="A286" s="1">
        <v>285</v>
      </c>
      <c r="B286" s="1" t="s">
        <v>160</v>
      </c>
      <c r="C286" s="1" t="s">
        <v>850</v>
      </c>
      <c r="D286" s="1" t="s">
        <v>3485</v>
      </c>
      <c r="E286" s="1" t="s">
        <v>3143</v>
      </c>
      <c r="F286" s="3">
        <v>44414</v>
      </c>
      <c r="G286" s="2">
        <v>3000</v>
      </c>
      <c r="H286" s="2">
        <v>6500</v>
      </c>
    </row>
    <row r="287" spans="1:8" x14ac:dyDescent="0.3">
      <c r="A287" s="1">
        <v>286</v>
      </c>
      <c r="B287" s="1" t="s">
        <v>75</v>
      </c>
      <c r="C287" s="1" t="s">
        <v>855</v>
      </c>
      <c r="D287" s="1" t="s">
        <v>3486</v>
      </c>
      <c r="E287" s="1" t="s">
        <v>3192</v>
      </c>
      <c r="F287" s="3">
        <v>44437</v>
      </c>
      <c r="G287" s="2">
        <v>3000</v>
      </c>
      <c r="H287" s="2">
        <v>21500</v>
      </c>
    </row>
    <row r="288" spans="1:8" x14ac:dyDescent="0.3">
      <c r="A288" s="1">
        <v>287</v>
      </c>
      <c r="B288" s="1" t="s">
        <v>115</v>
      </c>
      <c r="C288" s="1" t="s">
        <v>860</v>
      </c>
      <c r="D288" s="1" t="s">
        <v>3487</v>
      </c>
      <c r="E288" s="1" t="s">
        <v>3488</v>
      </c>
      <c r="F288" s="3">
        <v>44467</v>
      </c>
      <c r="G288" s="2">
        <v>3000</v>
      </c>
      <c r="H288" s="2">
        <v>35600</v>
      </c>
    </row>
    <row r="289" spans="1:8" x14ac:dyDescent="0.3">
      <c r="A289" s="1">
        <v>288</v>
      </c>
      <c r="B289" s="1" t="s">
        <v>190</v>
      </c>
      <c r="C289" s="1" t="s">
        <v>870</v>
      </c>
      <c r="D289" s="1" t="s">
        <v>1009</v>
      </c>
      <c r="E289" s="1">
        <v>2</v>
      </c>
      <c r="F289" s="3">
        <v>44490</v>
      </c>
      <c r="G289" s="2">
        <v>3000</v>
      </c>
      <c r="H289" s="2">
        <v>16000</v>
      </c>
    </row>
    <row r="290" spans="1:8" x14ac:dyDescent="0.3">
      <c r="A290" s="1">
        <v>289</v>
      </c>
      <c r="B290" s="1" t="s">
        <v>160</v>
      </c>
      <c r="C290" s="1" t="s">
        <v>875</v>
      </c>
      <c r="D290" s="1" t="s">
        <v>3489</v>
      </c>
      <c r="E290" s="1" t="s">
        <v>3490</v>
      </c>
      <c r="F290" s="3">
        <v>44468</v>
      </c>
      <c r="G290" s="2">
        <v>3000</v>
      </c>
      <c r="H290" s="2">
        <v>76500</v>
      </c>
    </row>
    <row r="291" spans="1:8" x14ac:dyDescent="0.3">
      <c r="A291" s="1">
        <v>290</v>
      </c>
      <c r="B291" s="1" t="s">
        <v>140</v>
      </c>
      <c r="C291" s="1" t="s">
        <v>885</v>
      </c>
      <c r="D291" s="1" t="s">
        <v>1003</v>
      </c>
      <c r="E291" s="1">
        <v>2</v>
      </c>
      <c r="F291" s="3">
        <v>44427</v>
      </c>
      <c r="G291" s="2">
        <v>3000</v>
      </c>
      <c r="H291" s="2">
        <v>8000</v>
      </c>
    </row>
    <row r="292" spans="1:8" x14ac:dyDescent="0.3">
      <c r="A292" s="1">
        <v>291</v>
      </c>
      <c r="B292" s="1" t="s">
        <v>40</v>
      </c>
      <c r="C292" s="1" t="s">
        <v>895</v>
      </c>
      <c r="D292" s="1" t="s">
        <v>3491</v>
      </c>
      <c r="E292" s="1" t="s">
        <v>3218</v>
      </c>
      <c r="F292" s="3">
        <v>44489</v>
      </c>
      <c r="G292" s="2">
        <v>3000</v>
      </c>
      <c r="H292" s="2">
        <v>32000</v>
      </c>
    </row>
    <row r="293" spans="1:8" x14ac:dyDescent="0.3">
      <c r="A293" s="1">
        <v>292</v>
      </c>
      <c r="B293" s="1" t="s">
        <v>35</v>
      </c>
      <c r="C293" s="1" t="s">
        <v>900</v>
      </c>
      <c r="D293" s="1" t="s">
        <v>999</v>
      </c>
      <c r="E293" s="1">
        <v>1</v>
      </c>
      <c r="F293" s="3">
        <v>44479</v>
      </c>
      <c r="G293" s="2">
        <v>3000</v>
      </c>
      <c r="H293" s="2">
        <v>6000</v>
      </c>
    </row>
    <row r="294" spans="1:8" x14ac:dyDescent="0.3">
      <c r="A294" s="1">
        <v>293</v>
      </c>
      <c r="B294" s="1" t="s">
        <v>140</v>
      </c>
      <c r="C294" s="1" t="s">
        <v>910</v>
      </c>
      <c r="D294" s="1" t="s">
        <v>3492</v>
      </c>
      <c r="E294" s="1" t="s">
        <v>3425</v>
      </c>
      <c r="F294" s="3">
        <v>44481</v>
      </c>
      <c r="G294" s="2">
        <v>3000</v>
      </c>
      <c r="H294" s="2">
        <v>41500</v>
      </c>
    </row>
    <row r="295" spans="1:8" x14ac:dyDescent="0.3">
      <c r="A295" s="1">
        <v>294</v>
      </c>
      <c r="B295" s="1" t="s">
        <v>65</v>
      </c>
      <c r="C295" s="1" t="s">
        <v>915</v>
      </c>
      <c r="D295" s="1" t="s">
        <v>3493</v>
      </c>
      <c r="E295" s="1" t="s">
        <v>3293</v>
      </c>
      <c r="F295" s="3">
        <v>44499</v>
      </c>
      <c r="G295" s="2">
        <v>3000</v>
      </c>
      <c r="H295" s="2">
        <v>58000</v>
      </c>
    </row>
    <row r="296" spans="1:8" x14ac:dyDescent="0.3">
      <c r="A296" s="1">
        <v>295</v>
      </c>
      <c r="B296" s="1" t="s">
        <v>175</v>
      </c>
      <c r="C296" s="1" t="s">
        <v>240</v>
      </c>
      <c r="D296" s="1" t="s">
        <v>946</v>
      </c>
      <c r="E296" s="1">
        <v>1</v>
      </c>
      <c r="F296" s="3">
        <v>44498</v>
      </c>
      <c r="G296" s="2">
        <v>3000</v>
      </c>
      <c r="H296" s="2">
        <v>15000</v>
      </c>
    </row>
    <row r="297" spans="1:8" x14ac:dyDescent="0.3">
      <c r="A297" s="1">
        <v>296</v>
      </c>
      <c r="B297" s="1" t="s">
        <v>6</v>
      </c>
      <c r="C297" s="1" t="s">
        <v>815</v>
      </c>
      <c r="D297" s="1" t="s">
        <v>1042</v>
      </c>
      <c r="E297" s="1">
        <v>1</v>
      </c>
      <c r="F297" s="19">
        <v>44399.820324074077</v>
      </c>
      <c r="G297" s="2">
        <v>3000</v>
      </c>
      <c r="H297" s="2">
        <v>6000</v>
      </c>
    </row>
    <row r="298" spans="1:8" x14ac:dyDescent="0.3">
      <c r="F298" s="19"/>
      <c r="G298" s="2"/>
      <c r="H298" s="2"/>
    </row>
    <row r="299" spans="1:8" x14ac:dyDescent="0.3">
      <c r="F299" s="19"/>
      <c r="G299" s="2"/>
      <c r="H299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V111"/>
  <sheetViews>
    <sheetView zoomScale="55" zoomScaleNormal="55" workbookViewId="0">
      <selection activeCell="A3" sqref="A3"/>
    </sheetView>
  </sheetViews>
  <sheetFormatPr defaultColWidth="10.625" defaultRowHeight="24.95" customHeight="1" x14ac:dyDescent="0.3"/>
  <cols>
    <col min="1" max="1" width="5.625" style="12" customWidth="1"/>
    <col min="2" max="39" width="5.625" style="1" customWidth="1"/>
    <col min="40" max="40" width="6.375" style="1" hidden="1" customWidth="1"/>
    <col min="41" max="100" width="5.625" style="1" hidden="1" customWidth="1"/>
    <col min="101" max="109" width="5.75" hidden="1" customWidth="1"/>
    <col min="110" max="110" width="4.75" customWidth="1"/>
  </cols>
  <sheetData>
    <row r="1" spans="1:126" ht="19.5" customHeight="1" x14ac:dyDescent="0.3">
      <c r="A1" s="12" t="s">
        <v>3669</v>
      </c>
      <c r="B1" s="1" t="s">
        <v>3670</v>
      </c>
      <c r="DL1" t="s">
        <v>3651</v>
      </c>
      <c r="DM1" t="s">
        <v>3652</v>
      </c>
      <c r="DN1" s="1"/>
      <c r="DO1" s="1" t="s">
        <v>3639</v>
      </c>
      <c r="DP1" s="1" t="s">
        <v>3123</v>
      </c>
      <c r="DQ1" s="1" t="s">
        <v>3124</v>
      </c>
      <c r="DR1" s="1" t="s">
        <v>3125</v>
      </c>
      <c r="DS1" s="1" t="s">
        <v>3126</v>
      </c>
      <c r="DT1" s="1" t="s">
        <v>3127</v>
      </c>
      <c r="DU1" s="1" t="s">
        <v>3128</v>
      </c>
      <c r="DV1" s="1" t="s">
        <v>3129</v>
      </c>
    </row>
    <row r="2" spans="1:126" ht="24.95" customHeight="1" x14ac:dyDescent="0.3">
      <c r="A2" s="21">
        <v>25</v>
      </c>
      <c r="B2" s="21">
        <v>10</v>
      </c>
      <c r="C2"/>
      <c r="D2"/>
      <c r="E2"/>
      <c r="F2">
        <v>0</v>
      </c>
      <c r="G2">
        <v>50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DL2" t="str">
        <f>회원번호</f>
        <v>A001</v>
      </c>
      <c r="DM2" t="s">
        <v>3668</v>
      </c>
      <c r="DN2" s="1"/>
      <c r="DO2" s="1"/>
      <c r="DP2" s="1"/>
      <c r="DQ2" s="1"/>
      <c r="DR2" s="1"/>
      <c r="DS2" s="1"/>
      <c r="DT2" s="3"/>
      <c r="DU2" s="1"/>
      <c r="DV2" s="2"/>
    </row>
    <row r="3" spans="1:126" ht="24.95" customHeight="1" x14ac:dyDescent="0.3">
      <c r="B3"/>
      <c r="C3"/>
      <c r="D3"/>
      <c r="E3"/>
      <c r="F3">
        <v>15</v>
      </c>
      <c r="G3">
        <v>35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DN3" s="1"/>
      <c r="DO3" s="1"/>
      <c r="DP3" s="1"/>
      <c r="DQ3" s="1"/>
      <c r="DR3" s="1"/>
      <c r="DS3" s="3"/>
      <c r="DT3" s="1"/>
      <c r="DU3" s="2"/>
    </row>
    <row r="4" spans="1:126" ht="24.95" customHeight="1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DN4" s="1"/>
      <c r="DO4" s="1"/>
      <c r="DP4" s="1"/>
      <c r="DQ4" s="1"/>
      <c r="DR4" s="1"/>
      <c r="DS4" s="3"/>
      <c r="DT4" s="1"/>
      <c r="DU4" s="2"/>
    </row>
    <row r="5" spans="1:126" ht="24.9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DN5" s="1"/>
      <c r="DO5" s="1"/>
      <c r="DP5" s="1"/>
      <c r="DQ5" s="1"/>
      <c r="DR5" s="1"/>
      <c r="DS5" s="3"/>
      <c r="DT5" s="2"/>
      <c r="DU5" s="2"/>
    </row>
    <row r="6" spans="1:126" ht="24.95" customHeight="1" x14ac:dyDescent="0.3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DN6" s="1"/>
      <c r="DO6" s="1"/>
      <c r="DP6" s="1"/>
      <c r="DQ6" s="1"/>
      <c r="DR6" s="1"/>
      <c r="DS6" s="3"/>
      <c r="DT6" s="1"/>
      <c r="DU6" s="2"/>
    </row>
    <row r="7" spans="1:126" ht="24.95" customHeigh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DE7" s="17">
        <f>COLUMN()</f>
        <v>109</v>
      </c>
      <c r="DN7" s="1"/>
      <c r="DO7" s="1"/>
      <c r="DP7" s="1"/>
      <c r="DQ7" s="1"/>
      <c r="DR7" s="1"/>
      <c r="DS7" s="3"/>
      <c r="DT7" s="1"/>
      <c r="DU7" s="2"/>
    </row>
    <row r="8" spans="1:126" ht="24.95" customHeight="1" x14ac:dyDescent="0.3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M8" s="17">
        <f>COLUMN()</f>
        <v>39</v>
      </c>
      <c r="AN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DN8" s="1"/>
      <c r="DO8" s="1"/>
      <c r="DP8" s="1"/>
      <c r="DQ8" s="1"/>
      <c r="DR8" s="1"/>
      <c r="DS8" s="3"/>
      <c r="DT8" s="1"/>
      <c r="DU8" s="2"/>
    </row>
    <row r="9" spans="1:126" ht="24.95" customHeight="1" x14ac:dyDescent="0.3">
      <c r="B9"/>
      <c r="C9"/>
      <c r="D9"/>
      <c r="E9"/>
      <c r="F9"/>
      <c r="G9"/>
      <c r="H9"/>
      <c r="I9" s="14">
        <v>1</v>
      </c>
      <c r="J9" s="17">
        <f>COLUMN()</f>
        <v>10</v>
      </c>
      <c r="K9" s="14">
        <v>1</v>
      </c>
      <c r="L9" s="14">
        <v>1</v>
      </c>
      <c r="M9" s="14">
        <v>1</v>
      </c>
      <c r="N9" s="14">
        <v>1</v>
      </c>
      <c r="O9" s="22">
        <v>1</v>
      </c>
      <c r="P9" s="14">
        <v>1</v>
      </c>
      <c r="Q9" s="14">
        <v>1</v>
      </c>
      <c r="R9" s="14">
        <v>1</v>
      </c>
      <c r="S9" s="14">
        <v>1</v>
      </c>
      <c r="T9" s="14">
        <v>1</v>
      </c>
      <c r="U9" s="14">
        <v>1</v>
      </c>
      <c r="V9" s="14">
        <v>1</v>
      </c>
      <c r="W9" s="14">
        <v>1</v>
      </c>
      <c r="X9" s="14">
        <v>1</v>
      </c>
      <c r="Y9" s="14">
        <v>1</v>
      </c>
      <c r="Z9" s="14">
        <v>1</v>
      </c>
      <c r="AA9" s="14">
        <v>1</v>
      </c>
      <c r="AB9" s="14">
        <v>1</v>
      </c>
      <c r="AC9" s="14">
        <v>1</v>
      </c>
      <c r="AD9" s="22">
        <v>1</v>
      </c>
      <c r="AE9" s="14">
        <v>1</v>
      </c>
      <c r="AF9" s="14">
        <v>1</v>
      </c>
      <c r="AG9" s="14">
        <v>1</v>
      </c>
      <c r="AH9" s="14">
        <v>1</v>
      </c>
      <c r="AI9" s="22">
        <v>1</v>
      </c>
      <c r="AJ9" s="14">
        <v>1</v>
      </c>
      <c r="AK9" s="14">
        <v>1</v>
      </c>
      <c r="AL9" s="14">
        <v>1</v>
      </c>
      <c r="AM9" s="14">
        <v>1</v>
      </c>
      <c r="AN9" s="14">
        <v>1</v>
      </c>
      <c r="AO9" s="14">
        <v>1</v>
      </c>
      <c r="AP9" s="14">
        <v>1</v>
      </c>
      <c r="AQ9" s="14">
        <v>1</v>
      </c>
      <c r="AR9" s="14">
        <v>1</v>
      </c>
      <c r="AS9" s="14">
        <v>1</v>
      </c>
      <c r="AT9" s="14">
        <v>1</v>
      </c>
      <c r="AU9" s="14">
        <v>1</v>
      </c>
      <c r="AV9" s="14">
        <v>1</v>
      </c>
      <c r="AW9" s="14">
        <v>1</v>
      </c>
      <c r="AX9" s="14">
        <v>1</v>
      </c>
      <c r="AY9" s="14">
        <v>1</v>
      </c>
      <c r="AZ9" s="14">
        <v>1</v>
      </c>
      <c r="BA9" s="14">
        <v>1</v>
      </c>
      <c r="BB9" s="14">
        <v>1</v>
      </c>
      <c r="BC9" s="14">
        <v>1</v>
      </c>
      <c r="BD9" s="14">
        <v>1</v>
      </c>
      <c r="BE9" s="14">
        <v>1</v>
      </c>
      <c r="BF9" s="14">
        <v>1</v>
      </c>
      <c r="BG9" s="14">
        <v>1</v>
      </c>
      <c r="BH9" s="14">
        <v>1</v>
      </c>
      <c r="BI9" s="14">
        <v>1</v>
      </c>
      <c r="BJ9" s="14">
        <v>1</v>
      </c>
      <c r="BK9" s="14">
        <v>1</v>
      </c>
      <c r="BL9" s="14">
        <v>1</v>
      </c>
      <c r="BM9" s="14">
        <v>1</v>
      </c>
      <c r="BN9" s="14">
        <v>1</v>
      </c>
      <c r="BO9" s="14">
        <v>1</v>
      </c>
      <c r="BP9" s="14">
        <v>1</v>
      </c>
      <c r="BQ9" s="14">
        <v>1</v>
      </c>
      <c r="BR9" s="14">
        <v>1</v>
      </c>
      <c r="BS9" s="14">
        <v>1</v>
      </c>
      <c r="BT9" s="14">
        <v>1</v>
      </c>
      <c r="BU9" s="14">
        <v>1</v>
      </c>
      <c r="BV9" s="14">
        <v>1</v>
      </c>
      <c r="BW9" s="14">
        <v>1</v>
      </c>
      <c r="BX9" s="14">
        <v>1</v>
      </c>
      <c r="BY9" s="14">
        <v>1</v>
      </c>
      <c r="BZ9" s="14">
        <v>1</v>
      </c>
      <c r="CA9" s="14">
        <v>1</v>
      </c>
      <c r="CB9" s="14">
        <v>1</v>
      </c>
      <c r="CC9" s="14">
        <v>1</v>
      </c>
      <c r="CD9" s="14">
        <v>1</v>
      </c>
      <c r="CE9" s="14">
        <v>1</v>
      </c>
      <c r="CF9" s="14">
        <v>1</v>
      </c>
      <c r="CG9" s="14">
        <v>1</v>
      </c>
      <c r="CH9" s="14">
        <v>1</v>
      </c>
      <c r="CI9" s="14">
        <v>1</v>
      </c>
      <c r="CJ9" s="14">
        <v>1</v>
      </c>
      <c r="CK9" s="14">
        <v>1</v>
      </c>
      <c r="CL9" s="14">
        <v>1</v>
      </c>
      <c r="CM9" s="14">
        <v>1</v>
      </c>
      <c r="CN9" s="14">
        <v>1</v>
      </c>
      <c r="CO9" s="14">
        <v>1</v>
      </c>
      <c r="CP9" s="14">
        <v>1</v>
      </c>
      <c r="CQ9" s="14">
        <v>1</v>
      </c>
      <c r="CR9" s="14">
        <v>1</v>
      </c>
      <c r="CS9" s="14">
        <v>1</v>
      </c>
      <c r="CT9" s="14">
        <v>1</v>
      </c>
      <c r="CU9" s="14">
        <v>1</v>
      </c>
      <c r="CV9" s="14">
        <v>1</v>
      </c>
      <c r="CW9" s="14">
        <v>1</v>
      </c>
      <c r="CX9" s="14">
        <v>1</v>
      </c>
      <c r="CY9" s="13">
        <v>1</v>
      </c>
      <c r="CZ9" s="13">
        <v>1</v>
      </c>
      <c r="DA9" s="13">
        <v>1</v>
      </c>
      <c r="DB9" s="13">
        <v>1</v>
      </c>
      <c r="DC9" s="13">
        <v>1</v>
      </c>
      <c r="DD9" s="13">
        <v>1</v>
      </c>
      <c r="DE9" s="13">
        <v>1</v>
      </c>
      <c r="DF9" s="13">
        <v>1</v>
      </c>
      <c r="DG9" s="13">
        <v>1</v>
      </c>
      <c r="DN9" s="1"/>
      <c r="DO9" s="1"/>
      <c r="DP9" s="1"/>
      <c r="DQ9" s="1"/>
      <c r="DR9" s="1"/>
      <c r="DS9" s="3"/>
      <c r="DT9" s="1"/>
      <c r="DU9" s="2"/>
    </row>
    <row r="10" spans="1:126" ht="24.95" hidden="1" customHeight="1" x14ac:dyDescent="0.3">
      <c r="B10"/>
      <c r="C10"/>
      <c r="D10"/>
      <c r="E10"/>
      <c r="F10"/>
      <c r="G10"/>
      <c r="H10">
        <f>ROW()</f>
        <v>10</v>
      </c>
      <c r="I10" s="14">
        <v>1</v>
      </c>
      <c r="J10" s="9" t="s">
        <v>3650</v>
      </c>
      <c r="K10" s="10" t="s">
        <v>1383</v>
      </c>
      <c r="L10" s="10" t="s">
        <v>1385</v>
      </c>
      <c r="M10"/>
      <c r="N10" s="20"/>
      <c r="O10" s="20"/>
      <c r="P10" s="20"/>
      <c r="Q10" s="20"/>
      <c r="R10" s="20"/>
      <c r="S10" s="23"/>
      <c r="T10"/>
      <c r="U10"/>
      <c r="V10"/>
      <c r="W10"/>
      <c r="X10"/>
      <c r="Y10"/>
      <c r="Z10"/>
      <c r="AA10"/>
      <c r="AB10"/>
      <c r="AC10"/>
      <c r="AD10"/>
      <c r="AE10" s="8" t="s">
        <v>3654</v>
      </c>
      <c r="AF10"/>
      <c r="AG10"/>
      <c r="AH10"/>
      <c r="AI10" s="9" t="s">
        <v>190</v>
      </c>
      <c r="AJ10"/>
      <c r="AK10"/>
      <c r="AL10"/>
      <c r="AM10"/>
      <c r="AN10"/>
      <c r="AO10"/>
      <c r="AP10"/>
      <c r="AQ10"/>
      <c r="AR10"/>
      <c r="AS10"/>
      <c r="AT10" s="9" t="s">
        <v>165</v>
      </c>
      <c r="AU10"/>
      <c r="AV10"/>
      <c r="AW10"/>
      <c r="AX10"/>
      <c r="AY10"/>
      <c r="AZ10"/>
      <c r="BA10"/>
      <c r="BB10"/>
      <c r="BC10"/>
      <c r="BD10" s="8" t="s">
        <v>504</v>
      </c>
      <c r="BE10"/>
      <c r="BF10" s="8" t="s">
        <v>734</v>
      </c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Z10" s="9" t="s">
        <v>11</v>
      </c>
      <c r="DE10" s="8" t="s">
        <v>3659</v>
      </c>
      <c r="DG10" s="14">
        <v>1</v>
      </c>
      <c r="DN10" s="1"/>
      <c r="DO10" s="1"/>
      <c r="DP10" s="1"/>
      <c r="DQ10" s="1"/>
      <c r="DR10" s="1"/>
      <c r="DS10" s="3"/>
      <c r="DT10" s="1"/>
      <c r="DU10" s="2"/>
    </row>
    <row r="11" spans="1:126" ht="24.95" hidden="1" customHeight="1" x14ac:dyDescent="0.3">
      <c r="B11"/>
      <c r="C11"/>
      <c r="D11"/>
      <c r="E11"/>
      <c r="F11"/>
      <c r="G11"/>
      <c r="H11"/>
      <c r="I11" s="14">
        <v>1</v>
      </c>
      <c r="J11"/>
      <c r="K11" s="10" t="s">
        <v>1387</v>
      </c>
      <c r="L11" s="10" t="s">
        <v>1389</v>
      </c>
      <c r="M11"/>
      <c r="N11"/>
      <c r="O11"/>
      <c r="P11"/>
      <c r="Q11"/>
      <c r="R11"/>
      <c r="S11"/>
      <c r="T11"/>
      <c r="U11"/>
      <c r="V11"/>
      <c r="W11" s="8" t="s">
        <v>3661</v>
      </c>
      <c r="X11"/>
      <c r="Y11" s="10" t="s">
        <v>1371</v>
      </c>
      <c r="Z11"/>
      <c r="AA11"/>
      <c r="AB11"/>
      <c r="AC11"/>
      <c r="AD11"/>
      <c r="AE11"/>
      <c r="AF11"/>
      <c r="AG11"/>
      <c r="AH11"/>
      <c r="AI11"/>
      <c r="AJ11"/>
      <c r="AK11"/>
      <c r="AL11" s="10" t="s">
        <v>3049</v>
      </c>
      <c r="AM11" s="10" t="s">
        <v>1355</v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 s="8" t="s">
        <v>884</v>
      </c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 s="8" t="s">
        <v>699</v>
      </c>
      <c r="BU11"/>
      <c r="BV11"/>
      <c r="BW11"/>
      <c r="BX11"/>
      <c r="BY11"/>
      <c r="BZ11"/>
      <c r="CA11"/>
      <c r="CB11"/>
      <c r="CC11"/>
      <c r="CD11"/>
      <c r="CE11"/>
      <c r="CF11"/>
      <c r="CG11"/>
      <c r="CH11" s="8" t="s">
        <v>394</v>
      </c>
      <c r="CI11"/>
      <c r="CJ11"/>
      <c r="CK11"/>
      <c r="CL11"/>
      <c r="CM11"/>
      <c r="CN11"/>
      <c r="CO11"/>
      <c r="CP11"/>
      <c r="CQ11"/>
      <c r="CR11" s="8" t="s">
        <v>739</v>
      </c>
      <c r="CS11"/>
      <c r="CT11"/>
      <c r="CU11"/>
      <c r="CV11"/>
      <c r="DG11" s="14">
        <v>1</v>
      </c>
      <c r="DN11" s="1"/>
      <c r="DO11" s="1"/>
      <c r="DP11" s="1"/>
      <c r="DQ11" s="1"/>
      <c r="DR11" s="1"/>
      <c r="DS11" s="3"/>
      <c r="DT11" s="1"/>
      <c r="DU11" s="2"/>
    </row>
    <row r="12" spans="1:126" ht="24.95" hidden="1" customHeight="1" x14ac:dyDescent="0.3">
      <c r="B12"/>
      <c r="C12"/>
      <c r="D12"/>
      <c r="E12"/>
      <c r="F12"/>
      <c r="G12"/>
      <c r="H12"/>
      <c r="I12" s="14">
        <v>1</v>
      </c>
      <c r="J12"/>
      <c r="K12"/>
      <c r="L12"/>
      <c r="M12"/>
      <c r="N12"/>
      <c r="O12" s="10" t="s">
        <v>1377</v>
      </c>
      <c r="P12" s="10" t="s">
        <v>1379</v>
      </c>
      <c r="Q12" s="10" t="s">
        <v>1381</v>
      </c>
      <c r="R12" s="8" t="s">
        <v>3649</v>
      </c>
      <c r="S12"/>
      <c r="T12"/>
      <c r="U12"/>
      <c r="V12"/>
      <c r="W12"/>
      <c r="X12"/>
      <c r="Y12" s="10" t="s">
        <v>1373</v>
      </c>
      <c r="Z12"/>
      <c r="AA12"/>
      <c r="AB12"/>
      <c r="AC12"/>
      <c r="AD12"/>
      <c r="AE12"/>
      <c r="AF12"/>
      <c r="AG12"/>
      <c r="AH12" s="8" t="s">
        <v>3653</v>
      </c>
      <c r="AI12"/>
      <c r="AJ12"/>
      <c r="AK12"/>
      <c r="AL12" s="10" t="s">
        <v>3051</v>
      </c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X12" s="10" t="s">
        <v>1873</v>
      </c>
      <c r="CY12" s="10" t="s">
        <v>1875</v>
      </c>
      <c r="CZ12" s="10" t="s">
        <v>1877</v>
      </c>
      <c r="DG12" s="14">
        <v>1</v>
      </c>
      <c r="DN12" s="1"/>
      <c r="DO12" s="1"/>
      <c r="DP12" s="1"/>
      <c r="DQ12" s="1"/>
      <c r="DR12" s="1"/>
      <c r="DS12" s="3"/>
      <c r="DT12" s="1"/>
      <c r="DU12" s="2"/>
    </row>
    <row r="13" spans="1:126" ht="24.95" customHeight="1" x14ac:dyDescent="0.3">
      <c r="B13"/>
      <c r="C13"/>
      <c r="D13"/>
      <c r="E13"/>
      <c r="F13"/>
      <c r="G13"/>
      <c r="H13"/>
      <c r="I13" s="22">
        <v>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10" t="s">
        <v>1375</v>
      </c>
      <c r="Z13" s="10" t="s">
        <v>3037</v>
      </c>
      <c r="AA13" s="10" t="s">
        <v>1359</v>
      </c>
      <c r="AB13" s="10" t="s">
        <v>1361</v>
      </c>
      <c r="AC13" s="10" t="s">
        <v>1363</v>
      </c>
      <c r="AD13" s="10" t="s">
        <v>1365</v>
      </c>
      <c r="AE13" s="8" t="s">
        <v>3655</v>
      </c>
      <c r="AF13"/>
      <c r="AG13"/>
      <c r="AH13"/>
      <c r="AI13"/>
      <c r="AJ13"/>
      <c r="AK13"/>
      <c r="AL13" s="10" t="s">
        <v>3053</v>
      </c>
      <c r="AM13" s="10" t="s">
        <v>3057</v>
      </c>
      <c r="AN13" s="10" t="s">
        <v>3059</v>
      </c>
      <c r="AO13" s="10" t="s">
        <v>3061</v>
      </c>
      <c r="AP13" s="10" t="s">
        <v>1357</v>
      </c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 s="8" t="s">
        <v>554</v>
      </c>
      <c r="CQ13"/>
      <c r="CR13"/>
      <c r="CS13"/>
      <c r="CT13"/>
      <c r="CU13"/>
      <c r="CV13"/>
      <c r="CX13" s="10" t="s">
        <v>1879</v>
      </c>
      <c r="CY13" s="10" t="s">
        <v>1881</v>
      </c>
      <c r="CZ13" s="10" t="s">
        <v>1883</v>
      </c>
      <c r="DG13" s="14">
        <v>1</v>
      </c>
      <c r="DN13" s="1"/>
      <c r="DO13" s="1"/>
      <c r="DP13" s="1"/>
      <c r="DQ13" s="1"/>
      <c r="DR13" s="1"/>
      <c r="DS13" s="3"/>
      <c r="DT13" s="1"/>
      <c r="DU13" s="2"/>
    </row>
    <row r="14" spans="1:126" ht="24.95" customHeight="1" x14ac:dyDescent="0.3">
      <c r="B14"/>
      <c r="C14"/>
      <c r="D14"/>
      <c r="E14"/>
      <c r="F14"/>
      <c r="G14"/>
      <c r="H14"/>
      <c r="I14" s="14">
        <v>1</v>
      </c>
      <c r="J14"/>
      <c r="K14"/>
      <c r="L14"/>
      <c r="M14"/>
      <c r="N14"/>
      <c r="O14"/>
      <c r="P14"/>
      <c r="Q14"/>
      <c r="R14"/>
      <c r="S14"/>
      <c r="T14"/>
      <c r="U14" s="9" t="s">
        <v>3648</v>
      </c>
      <c r="V14"/>
      <c r="W14"/>
      <c r="X14"/>
      <c r="Y14"/>
      <c r="Z14"/>
      <c r="AA14"/>
      <c r="AB14"/>
      <c r="AC14"/>
      <c r="AD14" s="10" t="s">
        <v>3033</v>
      </c>
      <c r="AE14"/>
      <c r="AF14"/>
      <c r="AG14"/>
      <c r="AH14"/>
      <c r="AI14"/>
      <c r="AJ14"/>
      <c r="AK14"/>
      <c r="AL14" s="10" t="s">
        <v>3055</v>
      </c>
      <c r="AM14"/>
      <c r="AN14"/>
      <c r="AO14"/>
      <c r="AP14" s="10" t="s">
        <v>3063</v>
      </c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 s="8" t="s">
        <v>499</v>
      </c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DG14" s="14">
        <v>1</v>
      </c>
      <c r="DN14" s="1"/>
      <c r="DO14" s="1"/>
      <c r="DP14" s="1"/>
      <c r="DQ14" s="1"/>
      <c r="DR14" s="1"/>
      <c r="DS14" s="3"/>
      <c r="DT14" s="1"/>
      <c r="DU14" s="2"/>
    </row>
    <row r="15" spans="1:126" ht="24.95" customHeight="1" x14ac:dyDescent="0.3">
      <c r="B15"/>
      <c r="C15"/>
      <c r="D15"/>
      <c r="E15"/>
      <c r="F15"/>
      <c r="G15"/>
      <c r="H15"/>
      <c r="I15" s="14">
        <v>1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8" t="s">
        <v>244</v>
      </c>
      <c r="AD15" s="10" t="s">
        <v>3035</v>
      </c>
      <c r="AE15"/>
      <c r="AF15"/>
      <c r="AG15"/>
      <c r="AH15"/>
      <c r="AI15"/>
      <c r="AJ15"/>
      <c r="AK15"/>
      <c r="AL15" s="10" t="s">
        <v>1345</v>
      </c>
      <c r="AM15"/>
      <c r="AN15" s="8" t="s">
        <v>409</v>
      </c>
      <c r="AO15"/>
      <c r="AP15" s="10" t="s">
        <v>1347</v>
      </c>
      <c r="AQ15"/>
      <c r="AR15"/>
      <c r="AS15"/>
      <c r="AT15"/>
      <c r="AU15"/>
      <c r="AV15"/>
      <c r="AW15"/>
      <c r="AX15"/>
      <c r="AY15"/>
      <c r="AZ15"/>
      <c r="BA15"/>
      <c r="BB15"/>
      <c r="BC15" s="10" t="s">
        <v>3109</v>
      </c>
      <c r="BD15" s="10" t="s">
        <v>3073</v>
      </c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 s="10" t="s">
        <v>1807</v>
      </c>
      <c r="CK15" s="10" t="s">
        <v>1809</v>
      </c>
      <c r="CL15"/>
      <c r="CM15"/>
      <c r="CN15"/>
      <c r="CO15"/>
      <c r="CP15"/>
      <c r="CQ15"/>
      <c r="CR15"/>
      <c r="CS15"/>
      <c r="CT15"/>
      <c r="CU15"/>
      <c r="CV15"/>
      <c r="DG15" s="14">
        <v>1</v>
      </c>
      <c r="DN15" s="1"/>
      <c r="DO15" s="1"/>
      <c r="DP15" s="1"/>
      <c r="DQ15" s="1"/>
      <c r="DR15" s="1"/>
      <c r="DS15" s="3"/>
      <c r="DT15" s="1"/>
      <c r="DU15" s="2"/>
    </row>
    <row r="16" spans="1:126" ht="24.95" customHeight="1" x14ac:dyDescent="0.3">
      <c r="B16"/>
      <c r="C16"/>
      <c r="D16"/>
      <c r="E16"/>
      <c r="F16"/>
      <c r="G16"/>
      <c r="H16"/>
      <c r="I16" s="14">
        <v>1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 s="10" t="s">
        <v>3027</v>
      </c>
      <c r="AE16" s="10" t="s">
        <v>3029</v>
      </c>
      <c r="AF16" s="10" t="s">
        <v>3031</v>
      </c>
      <c r="AG16" s="10" t="s">
        <v>1367</v>
      </c>
      <c r="AH16" s="10" t="s">
        <v>3039</v>
      </c>
      <c r="AI16" s="10" t="s">
        <v>3041</v>
      </c>
      <c r="AJ16" s="10" t="s">
        <v>3043</v>
      </c>
      <c r="AK16" s="10" t="s">
        <v>3045</v>
      </c>
      <c r="AL16" s="10" t="s">
        <v>3047</v>
      </c>
      <c r="AM16"/>
      <c r="AN16"/>
      <c r="AO16"/>
      <c r="AP16" s="10" t="s">
        <v>1349</v>
      </c>
      <c r="AQ16"/>
      <c r="AR16"/>
      <c r="AS16"/>
      <c r="AT16"/>
      <c r="AU16"/>
      <c r="AV16"/>
      <c r="AW16"/>
      <c r="AX16"/>
      <c r="AY16"/>
      <c r="AZ16"/>
      <c r="BA16"/>
      <c r="BB16" s="8" t="s">
        <v>784</v>
      </c>
      <c r="BC16"/>
      <c r="BD16" s="10" t="s">
        <v>3075</v>
      </c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 s="10" t="s">
        <v>1831</v>
      </c>
      <c r="BV16" s="10" t="s">
        <v>1833</v>
      </c>
      <c r="BW16" s="10" t="s">
        <v>1835</v>
      </c>
      <c r="BX16" s="10" t="s">
        <v>1837</v>
      </c>
      <c r="BY16"/>
      <c r="BZ16"/>
      <c r="CA16"/>
      <c r="CB16"/>
      <c r="CC16" s="10" t="s">
        <v>1815</v>
      </c>
      <c r="CD16" s="10" t="s">
        <v>1817</v>
      </c>
      <c r="CE16"/>
      <c r="CF16"/>
      <c r="CG16"/>
      <c r="CH16"/>
      <c r="CI16"/>
      <c r="CJ16" s="10" t="s">
        <v>1811</v>
      </c>
      <c r="CK16" s="10" t="s">
        <v>1813</v>
      </c>
      <c r="CL16"/>
      <c r="CM16"/>
      <c r="CN16"/>
      <c r="CO16"/>
      <c r="CP16"/>
      <c r="CQ16"/>
      <c r="CR16"/>
      <c r="CS16"/>
      <c r="CT16"/>
      <c r="CU16"/>
      <c r="CV16"/>
      <c r="DE16" s="8" t="s">
        <v>709</v>
      </c>
      <c r="DG16" s="14">
        <v>1</v>
      </c>
      <c r="DN16" s="1"/>
      <c r="DO16" s="1"/>
      <c r="DP16" s="1"/>
      <c r="DQ16" s="1"/>
      <c r="DR16" s="1"/>
      <c r="DS16" s="3"/>
      <c r="DT16" s="1"/>
      <c r="DU16" s="2"/>
    </row>
    <row r="17" spans="2:125" ht="24.95" customHeight="1" x14ac:dyDescent="0.3">
      <c r="B17"/>
      <c r="C17"/>
      <c r="D17"/>
      <c r="E17"/>
      <c r="F17"/>
      <c r="G17"/>
      <c r="H17"/>
      <c r="I17" s="14">
        <v>1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 s="10" t="s">
        <v>1369</v>
      </c>
      <c r="AH17"/>
      <c r="AI17"/>
      <c r="AJ17"/>
      <c r="AK17"/>
      <c r="AL17"/>
      <c r="AM17"/>
      <c r="AN17"/>
      <c r="AO17"/>
      <c r="AP17" s="10" t="s">
        <v>1351</v>
      </c>
      <c r="AQ17" s="10" t="s">
        <v>3069</v>
      </c>
      <c r="AR17" s="9" t="s">
        <v>95</v>
      </c>
      <c r="AS17" s="10" t="s">
        <v>3071</v>
      </c>
      <c r="AT17"/>
      <c r="AU17"/>
      <c r="AV17"/>
      <c r="AW17"/>
      <c r="AX17"/>
      <c r="AY17"/>
      <c r="AZ17"/>
      <c r="BA17"/>
      <c r="BB17"/>
      <c r="BC17"/>
      <c r="BD17" s="10" t="s">
        <v>3077</v>
      </c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 s="10" t="s">
        <v>1839</v>
      </c>
      <c r="BV17" s="10" t="s">
        <v>1841</v>
      </c>
      <c r="BW17" s="10" t="s">
        <v>1843</v>
      </c>
      <c r="BX17" s="10" t="s">
        <v>1845</v>
      </c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DG17" s="14">
        <v>1</v>
      </c>
      <c r="DN17" s="1"/>
      <c r="DO17" s="1"/>
      <c r="DP17" s="1"/>
      <c r="DQ17" s="1"/>
      <c r="DR17" s="1"/>
      <c r="DS17" s="3"/>
      <c r="DT17" s="1"/>
      <c r="DU17" s="2"/>
    </row>
    <row r="18" spans="2:125" ht="24.95" customHeight="1" x14ac:dyDescent="0.3">
      <c r="B18"/>
      <c r="C18"/>
      <c r="D18"/>
      <c r="E18"/>
      <c r="F18"/>
      <c r="G18"/>
      <c r="H18"/>
      <c r="I18" s="14">
        <v>1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 s="10" t="s">
        <v>3021</v>
      </c>
      <c r="AH18"/>
      <c r="AI18"/>
      <c r="AJ18"/>
      <c r="AK18" s="8" t="s">
        <v>3667</v>
      </c>
      <c r="AL18"/>
      <c r="AM18"/>
      <c r="AN18"/>
      <c r="AO18"/>
      <c r="AP18" s="10" t="s">
        <v>1353</v>
      </c>
      <c r="AQ18"/>
      <c r="AR18"/>
      <c r="AS18"/>
      <c r="AT18"/>
      <c r="AU18"/>
      <c r="AV18"/>
      <c r="AW18"/>
      <c r="AX18"/>
      <c r="AY18"/>
      <c r="AZ18"/>
      <c r="BA18"/>
      <c r="BB18"/>
      <c r="BC18"/>
      <c r="BD18" s="10" t="s">
        <v>3079</v>
      </c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 s="8" t="s">
        <v>894</v>
      </c>
      <c r="CI18"/>
      <c r="CJ18"/>
      <c r="CK18"/>
      <c r="CL18"/>
      <c r="CM18"/>
      <c r="CN18"/>
      <c r="CO18"/>
      <c r="CP18"/>
      <c r="CQ18"/>
      <c r="CR18"/>
      <c r="CS18"/>
      <c r="CT18"/>
      <c r="CU18" s="8" t="s">
        <v>579</v>
      </c>
      <c r="CV18"/>
      <c r="DG18" s="14">
        <v>1</v>
      </c>
    </row>
    <row r="19" spans="2:125" ht="24.95" customHeight="1" x14ac:dyDescent="0.3">
      <c r="B19"/>
      <c r="C19"/>
      <c r="D19"/>
      <c r="E19"/>
      <c r="F19"/>
      <c r="G19"/>
      <c r="H19"/>
      <c r="I19" s="14">
        <v>1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 s="10" t="s">
        <v>3023</v>
      </c>
      <c r="AH19"/>
      <c r="AI19"/>
      <c r="AJ19"/>
      <c r="AK19"/>
      <c r="AL19"/>
      <c r="AM19"/>
      <c r="AN19"/>
      <c r="AO19"/>
      <c r="AP19" s="10" t="s">
        <v>3065</v>
      </c>
      <c r="AQ19" s="10" t="s">
        <v>3067</v>
      </c>
      <c r="AR19"/>
      <c r="AS19"/>
      <c r="AT19"/>
      <c r="AU19"/>
      <c r="AV19"/>
      <c r="AW19"/>
      <c r="AX19"/>
      <c r="AY19"/>
      <c r="AZ19"/>
      <c r="BA19"/>
      <c r="BB19"/>
      <c r="BC19"/>
      <c r="BD19" s="10" t="s">
        <v>3081</v>
      </c>
      <c r="BE19"/>
      <c r="BF19"/>
      <c r="BG19"/>
      <c r="BH19" s="10" t="s">
        <v>3119</v>
      </c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DA19" s="8" t="s">
        <v>534</v>
      </c>
      <c r="DG19" s="14">
        <v>1</v>
      </c>
    </row>
    <row r="20" spans="2:125" ht="24.95" customHeight="1" x14ac:dyDescent="0.3">
      <c r="B20"/>
      <c r="C20"/>
      <c r="D20"/>
      <c r="E20"/>
      <c r="F20"/>
      <c r="G20"/>
      <c r="H20"/>
      <c r="I20" s="22">
        <v>1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8" t="s">
        <v>584</v>
      </c>
      <c r="Z20"/>
      <c r="AA20"/>
      <c r="AB20"/>
      <c r="AC20"/>
      <c r="AD20"/>
      <c r="AE20"/>
      <c r="AF20"/>
      <c r="AG20" s="10" t="s">
        <v>3025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 s="10" t="s">
        <v>1847</v>
      </c>
      <c r="AY20" s="10" t="s">
        <v>3099</v>
      </c>
      <c r="AZ20" s="10" t="s">
        <v>3101</v>
      </c>
      <c r="BA20" s="10" t="s">
        <v>3103</v>
      </c>
      <c r="BB20" s="10" t="s">
        <v>3105</v>
      </c>
      <c r="BC20" s="10" t="s">
        <v>3107</v>
      </c>
      <c r="BD20" s="10" t="s">
        <v>3083</v>
      </c>
      <c r="BE20"/>
      <c r="BF20"/>
      <c r="BG20"/>
      <c r="BH20" s="10" t="s">
        <v>3121</v>
      </c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10" t="s">
        <v>1819</v>
      </c>
      <c r="CB20" s="10" t="s">
        <v>1821</v>
      </c>
      <c r="CC20" s="10" t="s">
        <v>1823</v>
      </c>
      <c r="CD20" s="8" t="s">
        <v>704</v>
      </c>
      <c r="CE20"/>
      <c r="CF20"/>
      <c r="CG20"/>
      <c r="CH20"/>
      <c r="CI20" s="10" t="s">
        <v>1801</v>
      </c>
      <c r="CJ20" s="10" t="s">
        <v>1803</v>
      </c>
      <c r="CK20" s="10" t="s">
        <v>1805</v>
      </c>
      <c r="CL20"/>
      <c r="CM20"/>
      <c r="CN20"/>
      <c r="CO20"/>
      <c r="CP20"/>
      <c r="CQ20"/>
      <c r="CR20"/>
      <c r="CS20"/>
      <c r="CT20"/>
      <c r="CU20"/>
      <c r="CV20"/>
      <c r="DG20" s="14">
        <v>1</v>
      </c>
    </row>
    <row r="21" spans="2:125" ht="24.95" customHeight="1" x14ac:dyDescent="0.3">
      <c r="B21"/>
      <c r="C21"/>
      <c r="D21"/>
      <c r="E21"/>
      <c r="F21"/>
      <c r="G21"/>
      <c r="H21"/>
      <c r="I21" s="14">
        <v>1</v>
      </c>
      <c r="J21"/>
      <c r="K21"/>
      <c r="L21" s="10" t="s">
        <v>1391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10" t="s">
        <v>1325</v>
      </c>
      <c r="AD21" s="10" t="s">
        <v>1327</v>
      </c>
      <c r="AE21" s="10" t="s">
        <v>3015</v>
      </c>
      <c r="AF21" s="10" t="s">
        <v>3017</v>
      </c>
      <c r="AG21" s="10" t="s">
        <v>3019</v>
      </c>
      <c r="AH21" s="10" t="s">
        <v>3009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 s="10" t="s">
        <v>3085</v>
      </c>
      <c r="BE21" s="10" t="s">
        <v>3111</v>
      </c>
      <c r="BF21" s="10" t="s">
        <v>3113</v>
      </c>
      <c r="BG21" s="10" t="s">
        <v>3115</v>
      </c>
      <c r="BH21" s="10" t="s">
        <v>3117</v>
      </c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10" t="s">
        <v>1825</v>
      </c>
      <c r="CB21" s="10" t="s">
        <v>1827</v>
      </c>
      <c r="CC21" s="10" t="s">
        <v>1829</v>
      </c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DG21" s="14">
        <v>1</v>
      </c>
    </row>
    <row r="22" spans="2:125" ht="24.95" customHeight="1" x14ac:dyDescent="0.3">
      <c r="B22"/>
      <c r="C22"/>
      <c r="D22"/>
      <c r="E22"/>
      <c r="F22"/>
      <c r="G22"/>
      <c r="H22"/>
      <c r="I22" s="14">
        <v>1</v>
      </c>
      <c r="J22"/>
      <c r="K22"/>
      <c r="L22" s="10" t="s">
        <v>1393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 s="10" t="s">
        <v>3011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 s="10" t="s">
        <v>3087</v>
      </c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 s="8" t="s">
        <v>844</v>
      </c>
      <c r="CJ22"/>
      <c r="CK22"/>
      <c r="CL22"/>
      <c r="CM22"/>
      <c r="CN22"/>
      <c r="CO22"/>
      <c r="CP22"/>
      <c r="CQ22"/>
      <c r="CR22"/>
      <c r="CS22"/>
      <c r="CT22"/>
      <c r="CU22"/>
      <c r="CV22"/>
      <c r="DG22" s="14">
        <v>1</v>
      </c>
    </row>
    <row r="23" spans="2:125" ht="24.95" customHeight="1" x14ac:dyDescent="0.3">
      <c r="B23"/>
      <c r="C23"/>
      <c r="D23"/>
      <c r="E23"/>
      <c r="F23"/>
      <c r="G23"/>
      <c r="H23"/>
      <c r="I23" s="14">
        <v>1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 s="10" t="s">
        <v>3013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 s="10" t="s">
        <v>3089</v>
      </c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DE23" s="9" t="s">
        <v>35</v>
      </c>
      <c r="DG23" s="14">
        <v>1</v>
      </c>
    </row>
    <row r="24" spans="2:125" ht="24.95" customHeight="1" x14ac:dyDescent="0.3">
      <c r="B24"/>
      <c r="C24"/>
      <c r="D24"/>
      <c r="E24"/>
      <c r="F24"/>
      <c r="G24"/>
      <c r="H24"/>
      <c r="I24" s="14">
        <v>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 s="10" t="s">
        <v>1341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 s="10" t="s">
        <v>3091</v>
      </c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 s="8" t="s">
        <v>289</v>
      </c>
      <c r="CJ24"/>
      <c r="CK24"/>
      <c r="CL24"/>
      <c r="CM24"/>
      <c r="CN24"/>
      <c r="CO24"/>
      <c r="CP24"/>
      <c r="CQ24"/>
      <c r="CR24"/>
      <c r="CS24"/>
      <c r="CT24"/>
      <c r="CU24"/>
      <c r="CV24"/>
      <c r="DG24" s="14">
        <v>1</v>
      </c>
    </row>
    <row r="25" spans="2:125" ht="24.95" customHeight="1" x14ac:dyDescent="0.3">
      <c r="B25"/>
      <c r="C25"/>
      <c r="D25"/>
      <c r="E25"/>
      <c r="F25"/>
      <c r="G25"/>
      <c r="H25"/>
      <c r="I25" s="22">
        <v>1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10" t="s">
        <v>1335</v>
      </c>
      <c r="Y25" s="8" t="s">
        <v>3657</v>
      </c>
      <c r="Z25"/>
      <c r="AA25"/>
      <c r="AB25"/>
      <c r="AC25"/>
      <c r="AD25" s="10" t="s">
        <v>1339</v>
      </c>
      <c r="AE25"/>
      <c r="AF25"/>
      <c r="AG25" s="8" t="s">
        <v>779</v>
      </c>
      <c r="AH25" s="10" t="s">
        <v>1343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 s="10" t="s">
        <v>3093</v>
      </c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 s="8" t="s">
        <v>819</v>
      </c>
      <c r="BY25" s="8" t="s">
        <v>519</v>
      </c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DG25" s="14">
        <v>1</v>
      </c>
    </row>
    <row r="26" spans="2:125" ht="24.95" customHeight="1" x14ac:dyDescent="0.3">
      <c r="B26"/>
      <c r="C26"/>
      <c r="D26"/>
      <c r="E26"/>
      <c r="F26"/>
      <c r="G26"/>
      <c r="H26"/>
      <c r="I26" s="14">
        <v>1</v>
      </c>
      <c r="J26"/>
      <c r="K26"/>
      <c r="L26"/>
      <c r="M26"/>
      <c r="N26"/>
      <c r="O26"/>
      <c r="P26"/>
      <c r="Q26"/>
      <c r="R26"/>
      <c r="S26"/>
      <c r="T26"/>
      <c r="U26" s="8" t="s">
        <v>624</v>
      </c>
      <c r="V26"/>
      <c r="W26"/>
      <c r="X26" s="10" t="s">
        <v>1337</v>
      </c>
      <c r="Y26"/>
      <c r="Z26"/>
      <c r="AA26"/>
      <c r="AB26"/>
      <c r="AC26"/>
      <c r="AD26" s="10" t="s">
        <v>2999</v>
      </c>
      <c r="AE26"/>
      <c r="AF26"/>
      <c r="AG26"/>
      <c r="AH26" s="10" t="s">
        <v>2979</v>
      </c>
      <c r="AI26"/>
      <c r="AJ26"/>
      <c r="AK26"/>
      <c r="AL26"/>
      <c r="AM26"/>
      <c r="AN26" s="8" t="s">
        <v>834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 s="10" t="s">
        <v>3095</v>
      </c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 s="10" t="s">
        <v>2757</v>
      </c>
      <c r="BV26"/>
      <c r="BW26"/>
      <c r="BX26" s="8" t="s">
        <v>764</v>
      </c>
      <c r="BY26"/>
      <c r="BZ26"/>
      <c r="CA26"/>
      <c r="CB26"/>
      <c r="CC26"/>
      <c r="CD26"/>
      <c r="CE26"/>
      <c r="CF26"/>
      <c r="CG26"/>
      <c r="CH26"/>
      <c r="CI26"/>
      <c r="CJ26" s="8" t="s">
        <v>429</v>
      </c>
      <c r="CK26"/>
      <c r="CL26"/>
      <c r="CM26"/>
      <c r="CN26"/>
      <c r="CO26"/>
      <c r="CP26"/>
      <c r="CQ26"/>
      <c r="CR26"/>
      <c r="CS26"/>
      <c r="CT26"/>
      <c r="CU26"/>
      <c r="CV26"/>
      <c r="CX26" s="10" t="s">
        <v>1775</v>
      </c>
      <c r="CY26" s="10" t="s">
        <v>1777</v>
      </c>
      <c r="DG26" s="14">
        <v>1</v>
      </c>
    </row>
    <row r="27" spans="2:125" ht="24.95" customHeight="1" x14ac:dyDescent="0.3">
      <c r="B27"/>
      <c r="C27"/>
      <c r="D27"/>
      <c r="E27"/>
      <c r="F27"/>
      <c r="G27"/>
      <c r="H27"/>
      <c r="I27" s="14">
        <v>1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 s="10" t="s">
        <v>3001</v>
      </c>
      <c r="Y27" s="10" t="s">
        <v>3003</v>
      </c>
      <c r="Z27" s="10" t="s">
        <v>3005</v>
      </c>
      <c r="AA27" s="10" t="s">
        <v>3007</v>
      </c>
      <c r="AB27" s="10" t="s">
        <v>1329</v>
      </c>
      <c r="AC27" s="10" t="s">
        <v>1331</v>
      </c>
      <c r="AD27" s="10" t="s">
        <v>1333</v>
      </c>
      <c r="AE27" s="10" t="s">
        <v>2993</v>
      </c>
      <c r="AF27" s="10" t="s">
        <v>2995</v>
      </c>
      <c r="AG27" s="10" t="s">
        <v>2997</v>
      </c>
      <c r="AH27" s="10" t="s">
        <v>2981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 s="10" t="s">
        <v>3097</v>
      </c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 s="10" t="s">
        <v>2759</v>
      </c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 s="8" t="s">
        <v>364</v>
      </c>
      <c r="CN27"/>
      <c r="CO27"/>
      <c r="CP27"/>
      <c r="CQ27"/>
      <c r="CR27"/>
      <c r="CS27"/>
      <c r="CT27"/>
      <c r="CU27"/>
      <c r="CV27"/>
      <c r="CX27" s="10" t="s">
        <v>1779</v>
      </c>
      <c r="CY27" s="10" t="s">
        <v>1781</v>
      </c>
      <c r="DG27" s="14">
        <v>1</v>
      </c>
    </row>
    <row r="28" spans="2:125" ht="24.95" customHeight="1" x14ac:dyDescent="0.3">
      <c r="B28"/>
      <c r="C28"/>
      <c r="D28"/>
      <c r="E28"/>
      <c r="F28"/>
      <c r="G28"/>
      <c r="H28"/>
      <c r="I28" s="14">
        <v>1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 s="10" t="s">
        <v>2983</v>
      </c>
      <c r="AI28"/>
      <c r="AJ28"/>
      <c r="AK28"/>
      <c r="AL28"/>
      <c r="AM28"/>
      <c r="AN28"/>
      <c r="AO28"/>
      <c r="AP28" s="8" t="s">
        <v>549</v>
      </c>
      <c r="AQ28"/>
      <c r="AR28"/>
      <c r="AS28"/>
      <c r="AT28"/>
      <c r="AU28"/>
      <c r="AV28"/>
      <c r="AW28" s="9" t="s">
        <v>145</v>
      </c>
      <c r="AX28"/>
      <c r="AY28"/>
      <c r="AZ28"/>
      <c r="BA28"/>
      <c r="BB28"/>
      <c r="BC28"/>
      <c r="BD28" s="10" t="s">
        <v>2799</v>
      </c>
      <c r="BE28" s="10" t="s">
        <v>2805</v>
      </c>
      <c r="BF28" s="10" t="s">
        <v>1859</v>
      </c>
      <c r="BG28" s="10" t="s">
        <v>1861</v>
      </c>
      <c r="BH28"/>
      <c r="BI28"/>
      <c r="BJ28"/>
      <c r="BK28"/>
      <c r="BL28"/>
      <c r="BM28"/>
      <c r="BN28"/>
      <c r="BO28"/>
      <c r="BP28"/>
      <c r="BQ28"/>
      <c r="BR28"/>
      <c r="BS28"/>
      <c r="BT28"/>
      <c r="BU28" s="10" t="s">
        <v>2761</v>
      </c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X28" s="10" t="s">
        <v>1783</v>
      </c>
      <c r="CY28" s="10" t="s">
        <v>1785</v>
      </c>
      <c r="DG28" s="14">
        <v>1</v>
      </c>
    </row>
    <row r="29" spans="2:125" ht="24.95" customHeight="1" x14ac:dyDescent="0.3">
      <c r="B29"/>
      <c r="C29"/>
      <c r="D29"/>
      <c r="E29"/>
      <c r="F29"/>
      <c r="G29"/>
      <c r="H29"/>
      <c r="I29" s="14">
        <v>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 s="10" t="s">
        <v>2985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 s="10" t="s">
        <v>2801</v>
      </c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 s="10" t="s">
        <v>2763</v>
      </c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Y29" s="8" t="s">
        <v>654</v>
      </c>
      <c r="DG29" s="14">
        <v>1</v>
      </c>
    </row>
    <row r="30" spans="2:125" ht="24.95" customHeight="1" x14ac:dyDescent="0.3">
      <c r="B30"/>
      <c r="C30"/>
      <c r="D30"/>
      <c r="E30"/>
      <c r="F30"/>
      <c r="G30"/>
      <c r="H30"/>
      <c r="I30" s="14">
        <v>1</v>
      </c>
      <c r="J30" s="8" t="s">
        <v>264</v>
      </c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 s="10" t="s">
        <v>2987</v>
      </c>
      <c r="AI30"/>
      <c r="AJ30"/>
      <c r="AK30"/>
      <c r="AL30"/>
      <c r="AM30"/>
      <c r="AN30"/>
      <c r="AO30"/>
      <c r="AP30"/>
      <c r="AQ30"/>
      <c r="AR30"/>
      <c r="AS30"/>
      <c r="AT30" s="10" t="s">
        <v>2825</v>
      </c>
      <c r="AU30"/>
      <c r="AV30"/>
      <c r="AW30"/>
      <c r="AX30"/>
      <c r="AY30"/>
      <c r="AZ30"/>
      <c r="BA30"/>
      <c r="BB30"/>
      <c r="BC30"/>
      <c r="BD30" s="10" t="s">
        <v>2803</v>
      </c>
      <c r="BE30"/>
      <c r="BF30"/>
      <c r="BG30"/>
      <c r="BH30"/>
      <c r="BI30"/>
      <c r="BJ30"/>
      <c r="BK30"/>
      <c r="BL30"/>
      <c r="BM30"/>
      <c r="BN30" s="10" t="s">
        <v>2781</v>
      </c>
      <c r="BO30" s="10" t="s">
        <v>2769</v>
      </c>
      <c r="BP30" s="10" t="s">
        <v>2771</v>
      </c>
      <c r="BQ30" s="10" t="s">
        <v>2773</v>
      </c>
      <c r="BR30" s="10" t="s">
        <v>2775</v>
      </c>
      <c r="BS30" s="10" t="s">
        <v>2777</v>
      </c>
      <c r="BT30" s="10" t="s">
        <v>2779</v>
      </c>
      <c r="BU30" s="10" t="s">
        <v>2765</v>
      </c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X30" s="8" t="s">
        <v>249</v>
      </c>
      <c r="DG30" s="14">
        <v>1</v>
      </c>
    </row>
    <row r="31" spans="2:125" ht="24.95" customHeight="1" x14ac:dyDescent="0.3">
      <c r="B31"/>
      <c r="C31"/>
      <c r="D31"/>
      <c r="E31"/>
      <c r="F31"/>
      <c r="G31"/>
      <c r="H31"/>
      <c r="I31" s="14">
        <v>1</v>
      </c>
      <c r="J31"/>
      <c r="K31"/>
      <c r="L31"/>
      <c r="M31"/>
      <c r="N31"/>
      <c r="O31"/>
      <c r="P31"/>
      <c r="Q31"/>
      <c r="R31" s="8" t="s">
        <v>3665</v>
      </c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 s="10" t="s">
        <v>2989</v>
      </c>
      <c r="AI31"/>
      <c r="AJ31"/>
      <c r="AK31"/>
      <c r="AL31"/>
      <c r="AM31"/>
      <c r="AN31"/>
      <c r="AO31"/>
      <c r="AP31"/>
      <c r="AQ31"/>
      <c r="AR31"/>
      <c r="AS31" s="10" t="s">
        <v>2827</v>
      </c>
      <c r="AT31" s="10" t="s">
        <v>2817</v>
      </c>
      <c r="AU31" s="10" t="s">
        <v>2819</v>
      </c>
      <c r="AV31" s="10" t="s">
        <v>2821</v>
      </c>
      <c r="AW31" s="10" t="s">
        <v>2823</v>
      </c>
      <c r="AX31" s="10" t="s">
        <v>1849</v>
      </c>
      <c r="AY31" s="10" t="s">
        <v>2807</v>
      </c>
      <c r="AZ31" s="10" t="s">
        <v>2809</v>
      </c>
      <c r="BA31" s="10" t="s">
        <v>2811</v>
      </c>
      <c r="BB31" s="10" t="s">
        <v>2813</v>
      </c>
      <c r="BC31" s="10" t="s">
        <v>2815</v>
      </c>
      <c r="BD31" s="10" t="s">
        <v>1851</v>
      </c>
      <c r="BE31" s="10" t="s">
        <v>1853</v>
      </c>
      <c r="BF31" s="10" t="s">
        <v>1855</v>
      </c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 s="10" t="s">
        <v>2767</v>
      </c>
      <c r="BV31"/>
      <c r="BW31"/>
      <c r="BX31"/>
      <c r="BY31"/>
      <c r="BZ31"/>
      <c r="CA31"/>
      <c r="CB31" s="8" t="s">
        <v>569</v>
      </c>
      <c r="CC31"/>
      <c r="CD31"/>
      <c r="CE31"/>
      <c r="CF31"/>
      <c r="CG31"/>
      <c r="CH31" s="9" t="s">
        <v>25</v>
      </c>
      <c r="CI31"/>
      <c r="CJ31"/>
      <c r="CK31" s="9" t="s">
        <v>150</v>
      </c>
      <c r="CL31"/>
      <c r="CM31"/>
      <c r="CN31"/>
      <c r="CO31"/>
      <c r="CP31"/>
      <c r="CQ31"/>
      <c r="CR31" s="10" t="s">
        <v>1765</v>
      </c>
      <c r="CS31" s="10" t="s">
        <v>1767</v>
      </c>
      <c r="CT31"/>
      <c r="CU31"/>
      <c r="CV31"/>
      <c r="DG31" s="14">
        <v>1</v>
      </c>
    </row>
    <row r="32" spans="2:125" ht="24.95" customHeight="1" x14ac:dyDescent="0.3">
      <c r="B32"/>
      <c r="C32"/>
      <c r="D32"/>
      <c r="E32"/>
      <c r="F32"/>
      <c r="G32"/>
      <c r="H32"/>
      <c r="I32" s="14">
        <v>1</v>
      </c>
      <c r="J32"/>
      <c r="K32"/>
      <c r="L32"/>
      <c r="M32" s="10" t="s">
        <v>2973</v>
      </c>
      <c r="N32" s="10" t="s">
        <v>1395</v>
      </c>
      <c r="O32" s="10" t="s">
        <v>2975</v>
      </c>
      <c r="P32" s="10" t="s">
        <v>2977</v>
      </c>
      <c r="Q32" s="10" t="s">
        <v>2969</v>
      </c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 s="10" t="s">
        <v>2991</v>
      </c>
      <c r="AI32" s="10" t="s">
        <v>1397</v>
      </c>
      <c r="AJ32" s="10" t="s">
        <v>1399</v>
      </c>
      <c r="AK32" s="10" t="s">
        <v>1401</v>
      </c>
      <c r="AL32" s="10" t="s">
        <v>1403</v>
      </c>
      <c r="AM32" s="10" t="s">
        <v>2837</v>
      </c>
      <c r="AN32" s="10" t="s">
        <v>2839</v>
      </c>
      <c r="AO32" s="10" t="s">
        <v>2841</v>
      </c>
      <c r="AP32" s="10" t="s">
        <v>2843</v>
      </c>
      <c r="AQ32" s="10" t="s">
        <v>2845</v>
      </c>
      <c r="AR32" s="10" t="s">
        <v>2847</v>
      </c>
      <c r="AS32" s="10" t="s">
        <v>2829</v>
      </c>
      <c r="AT32"/>
      <c r="AU32"/>
      <c r="AV32"/>
      <c r="AW32"/>
      <c r="AX32"/>
      <c r="AY32"/>
      <c r="AZ32"/>
      <c r="BA32"/>
      <c r="BB32"/>
      <c r="BC32"/>
      <c r="BD32" s="10" t="s">
        <v>1857</v>
      </c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 s="10" t="s">
        <v>2745</v>
      </c>
      <c r="BV32"/>
      <c r="BW32"/>
      <c r="BX32"/>
      <c r="BY32"/>
      <c r="BZ32"/>
      <c r="CA32"/>
      <c r="CB32"/>
      <c r="CC32" s="10" t="s">
        <v>1795</v>
      </c>
      <c r="CD32" s="10" t="s">
        <v>1797</v>
      </c>
      <c r="CE32" s="10" t="s">
        <v>1799</v>
      </c>
      <c r="CF32"/>
      <c r="CG32"/>
      <c r="CH32"/>
      <c r="CI32"/>
      <c r="CJ32"/>
      <c r="CK32"/>
      <c r="CL32"/>
      <c r="CM32"/>
      <c r="CN32"/>
      <c r="CO32" s="9" t="s">
        <v>85</v>
      </c>
      <c r="CP32"/>
      <c r="CQ32"/>
      <c r="CR32"/>
      <c r="CS32"/>
      <c r="CT32"/>
      <c r="CU32"/>
      <c r="CV32"/>
      <c r="DG32" s="14">
        <v>1</v>
      </c>
    </row>
    <row r="33" spans="2:111" ht="24.95" customHeight="1" x14ac:dyDescent="0.3">
      <c r="B33"/>
      <c r="C33"/>
      <c r="D33"/>
      <c r="E33"/>
      <c r="F33"/>
      <c r="G33"/>
      <c r="H33"/>
      <c r="I33" s="14">
        <v>1</v>
      </c>
      <c r="J33"/>
      <c r="K33"/>
      <c r="L33"/>
      <c r="M33"/>
      <c r="N33"/>
      <c r="O33"/>
      <c r="P33"/>
      <c r="Q33" s="10" t="s">
        <v>2971</v>
      </c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 s="10" t="s">
        <v>2831</v>
      </c>
      <c r="AT33"/>
      <c r="AU33"/>
      <c r="AV33"/>
      <c r="AW33"/>
      <c r="AX33"/>
      <c r="AY33"/>
      <c r="AZ33"/>
      <c r="BA33"/>
      <c r="BB33"/>
      <c r="BC33" s="8" t="s">
        <v>459</v>
      </c>
      <c r="BD33" s="10" t="s">
        <v>2783</v>
      </c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 s="10" t="s">
        <v>2747</v>
      </c>
      <c r="BV33"/>
      <c r="BW33"/>
      <c r="BX33"/>
      <c r="BY33"/>
      <c r="BZ33"/>
      <c r="CA33"/>
      <c r="CB33"/>
      <c r="CC33"/>
      <c r="CD33"/>
      <c r="CE33"/>
      <c r="CF33"/>
      <c r="CG33" s="10" t="s">
        <v>1787</v>
      </c>
      <c r="CH33" s="10" t="s">
        <v>1789</v>
      </c>
      <c r="CI33" s="10" t="s">
        <v>1791</v>
      </c>
      <c r="CJ33" s="10" t="s">
        <v>1793</v>
      </c>
      <c r="CK33"/>
      <c r="CL33"/>
      <c r="CM33"/>
      <c r="CN33"/>
      <c r="CO33"/>
      <c r="CP33"/>
      <c r="CQ33"/>
      <c r="CR33"/>
      <c r="CS33"/>
      <c r="CT33"/>
      <c r="CU33"/>
      <c r="CV33"/>
      <c r="DG33" s="14">
        <v>1</v>
      </c>
    </row>
    <row r="34" spans="2:111" ht="24.75" customHeight="1" x14ac:dyDescent="0.3">
      <c r="B34"/>
      <c r="C34"/>
      <c r="D34"/>
      <c r="E34"/>
      <c r="F34"/>
      <c r="G34"/>
      <c r="H34"/>
      <c r="I34" s="14">
        <v>1</v>
      </c>
      <c r="J34"/>
      <c r="K34"/>
      <c r="L34"/>
      <c r="M34"/>
      <c r="N34"/>
      <c r="O34"/>
      <c r="P34"/>
      <c r="Q34" s="10" t="s">
        <v>1413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 s="8" t="s">
        <v>3656</v>
      </c>
      <c r="AH34"/>
      <c r="AI34"/>
      <c r="AJ34"/>
      <c r="AK34"/>
      <c r="AL34"/>
      <c r="AM34"/>
      <c r="AN34"/>
      <c r="AO34"/>
      <c r="AP34"/>
      <c r="AQ34"/>
      <c r="AR34"/>
      <c r="AS34" s="10" t="s">
        <v>1867</v>
      </c>
      <c r="AT34"/>
      <c r="AU34"/>
      <c r="AV34"/>
      <c r="AW34"/>
      <c r="AX34"/>
      <c r="AY34"/>
      <c r="AZ34"/>
      <c r="BA34"/>
      <c r="BB34"/>
      <c r="BC34"/>
      <c r="BD34" s="10" t="s">
        <v>2785</v>
      </c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 s="10" t="s">
        <v>2749</v>
      </c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 s="10" t="s">
        <v>1769</v>
      </c>
      <c r="CP34" s="10" t="s">
        <v>1771</v>
      </c>
      <c r="CQ34" s="10" t="s">
        <v>1773</v>
      </c>
      <c r="CR34"/>
      <c r="CS34"/>
      <c r="CT34"/>
      <c r="CU34"/>
      <c r="CV34" s="8" t="s">
        <v>839</v>
      </c>
      <c r="DG34" s="14">
        <v>1</v>
      </c>
    </row>
    <row r="35" spans="2:111" ht="24.95" customHeight="1" x14ac:dyDescent="0.3">
      <c r="B35"/>
      <c r="C35"/>
      <c r="D35"/>
      <c r="E35"/>
      <c r="F35"/>
      <c r="G35"/>
      <c r="H35"/>
      <c r="I35" s="14">
        <v>1</v>
      </c>
      <c r="J35"/>
      <c r="K35"/>
      <c r="L35"/>
      <c r="M35"/>
      <c r="N35"/>
      <c r="O35"/>
      <c r="P35"/>
      <c r="Q35" s="10" t="s">
        <v>2963</v>
      </c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 s="10" t="s">
        <v>1869</v>
      </c>
      <c r="AT35"/>
      <c r="AU35"/>
      <c r="AV35"/>
      <c r="AW35"/>
      <c r="AX35"/>
      <c r="AY35"/>
      <c r="AZ35"/>
      <c r="BA35" s="8" t="s">
        <v>619</v>
      </c>
      <c r="BB35"/>
      <c r="BC35"/>
      <c r="BD35" s="10" t="s">
        <v>2787</v>
      </c>
      <c r="BE35" s="10" t="s">
        <v>2797</v>
      </c>
      <c r="BF35" s="8" t="s">
        <v>769</v>
      </c>
      <c r="BG35"/>
      <c r="BH35"/>
      <c r="BI35"/>
      <c r="BJ35"/>
      <c r="BK35"/>
      <c r="BL35"/>
      <c r="BM35"/>
      <c r="BN35"/>
      <c r="BO35"/>
      <c r="BP35"/>
      <c r="BQ35"/>
      <c r="BR35"/>
      <c r="BS35" s="8" t="s">
        <v>809</v>
      </c>
      <c r="BT35"/>
      <c r="BU35" s="10" t="s">
        <v>2751</v>
      </c>
      <c r="BV35"/>
      <c r="BW35"/>
      <c r="BX35"/>
      <c r="BY35"/>
      <c r="BZ35" s="10" t="s">
        <v>1425</v>
      </c>
      <c r="CA35" s="10" t="s">
        <v>1427</v>
      </c>
      <c r="CB35" s="10" t="s">
        <v>1429</v>
      </c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DG35" s="14">
        <v>1</v>
      </c>
    </row>
    <row r="36" spans="2:111" ht="24.95" customHeight="1" x14ac:dyDescent="0.3">
      <c r="B36"/>
      <c r="C36"/>
      <c r="D36"/>
      <c r="E36"/>
      <c r="F36"/>
      <c r="G36"/>
      <c r="H36"/>
      <c r="I36" s="14">
        <v>1</v>
      </c>
      <c r="J36"/>
      <c r="K36"/>
      <c r="L36"/>
      <c r="M36"/>
      <c r="N36"/>
      <c r="O36"/>
      <c r="P36"/>
      <c r="Q36" s="10" t="s">
        <v>2965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 s="10" t="s">
        <v>1871</v>
      </c>
      <c r="AT36"/>
      <c r="AU36"/>
      <c r="AV36"/>
      <c r="AW36"/>
      <c r="AX36"/>
      <c r="AY36"/>
      <c r="AZ36"/>
      <c r="BA36"/>
      <c r="BB36"/>
      <c r="BC36"/>
      <c r="BD36" s="10" t="s">
        <v>1863</v>
      </c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 s="10" t="s">
        <v>2753</v>
      </c>
      <c r="BV36"/>
      <c r="BW36"/>
      <c r="BX36"/>
      <c r="BY36"/>
      <c r="BZ36"/>
      <c r="CA36"/>
      <c r="CB36"/>
      <c r="CC36"/>
      <c r="CD36" s="8" t="s">
        <v>449</v>
      </c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DG36" s="14">
        <v>1</v>
      </c>
    </row>
    <row r="37" spans="2:111" ht="24.95" customHeight="1" x14ac:dyDescent="0.3">
      <c r="B37"/>
      <c r="C37"/>
      <c r="D37"/>
      <c r="E37"/>
      <c r="F37"/>
      <c r="G37"/>
      <c r="H37"/>
      <c r="I37" s="14">
        <v>1</v>
      </c>
      <c r="J37"/>
      <c r="K37"/>
      <c r="L37"/>
      <c r="M37"/>
      <c r="N37"/>
      <c r="O37"/>
      <c r="P37"/>
      <c r="Q37" s="10" t="s">
        <v>2967</v>
      </c>
      <c r="R37"/>
      <c r="S37"/>
      <c r="T37" s="9" t="s">
        <v>75</v>
      </c>
      <c r="U37"/>
      <c r="V37"/>
      <c r="W37"/>
      <c r="X37"/>
      <c r="Y37"/>
      <c r="Z37"/>
      <c r="AA37"/>
      <c r="AB37"/>
      <c r="AC37"/>
      <c r="AD37"/>
      <c r="AE37"/>
      <c r="AF37"/>
      <c r="AG37" s="9" t="s">
        <v>110</v>
      </c>
      <c r="AH37"/>
      <c r="AI37"/>
      <c r="AJ37" s="8" t="s">
        <v>414</v>
      </c>
      <c r="AK37"/>
      <c r="AL37"/>
      <c r="AM37"/>
      <c r="AN37"/>
      <c r="AO37"/>
      <c r="AP37"/>
      <c r="AQ37"/>
      <c r="AR37"/>
      <c r="AS37" s="10" t="s">
        <v>2833</v>
      </c>
      <c r="AT37" s="10" t="s">
        <v>2835</v>
      </c>
      <c r="AU37" s="10" t="s">
        <v>1865</v>
      </c>
      <c r="AV37"/>
      <c r="AW37"/>
      <c r="AX37"/>
      <c r="AY37"/>
      <c r="AZ37"/>
      <c r="BA37"/>
      <c r="BB37"/>
      <c r="BC37"/>
      <c r="BD37" s="10" t="s">
        <v>2789</v>
      </c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 s="9" t="s">
        <v>140</v>
      </c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DG37" s="14">
        <v>1</v>
      </c>
    </row>
    <row r="38" spans="2:111" ht="24.95" hidden="1" customHeight="1" x14ac:dyDescent="0.3">
      <c r="B38"/>
      <c r="C38"/>
      <c r="D38"/>
      <c r="E38"/>
      <c r="F38"/>
      <c r="G38"/>
      <c r="H38"/>
      <c r="I38" s="14">
        <v>1</v>
      </c>
      <c r="J38"/>
      <c r="K38"/>
      <c r="L38"/>
      <c r="M38"/>
      <c r="N38"/>
      <c r="O38"/>
      <c r="P38"/>
      <c r="Q38" s="10" t="s">
        <v>1409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10" t="s">
        <v>1405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 s="10" t="s">
        <v>2791</v>
      </c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 s="10" t="s">
        <v>2755</v>
      </c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 s="10" t="s">
        <v>1431</v>
      </c>
      <c r="CM38"/>
      <c r="CN38"/>
      <c r="CO38"/>
      <c r="CP38"/>
      <c r="CQ38"/>
      <c r="CR38"/>
      <c r="CS38"/>
      <c r="CT38"/>
      <c r="CU38"/>
      <c r="CV38"/>
      <c r="DB38" s="10" t="s">
        <v>1753</v>
      </c>
      <c r="DC38" s="10" t="s">
        <v>1755</v>
      </c>
      <c r="DD38" s="10" t="s">
        <v>1757</v>
      </c>
      <c r="DG38" s="14">
        <v>1</v>
      </c>
    </row>
    <row r="39" spans="2:111" ht="24.95" hidden="1" customHeight="1" x14ac:dyDescent="0.3">
      <c r="B39"/>
      <c r="C39"/>
      <c r="D39"/>
      <c r="E39"/>
      <c r="F39"/>
      <c r="G39"/>
      <c r="H39"/>
      <c r="I39" s="14">
        <v>1</v>
      </c>
      <c r="J39"/>
      <c r="K39"/>
      <c r="L39"/>
      <c r="M39"/>
      <c r="N39"/>
      <c r="O39"/>
      <c r="P39"/>
      <c r="Q39" s="10" t="s">
        <v>1411</v>
      </c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 s="10" t="s">
        <v>1407</v>
      </c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 s="10" t="s">
        <v>2793</v>
      </c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 s="10" t="s">
        <v>2727</v>
      </c>
      <c r="BV39" s="10" t="s">
        <v>1419</v>
      </c>
      <c r="BW39" s="10" t="s">
        <v>1421</v>
      </c>
      <c r="BX39" s="10" t="s">
        <v>1423</v>
      </c>
      <c r="BY39"/>
      <c r="BZ39"/>
      <c r="CA39"/>
      <c r="CB39"/>
      <c r="CC39"/>
      <c r="CD39"/>
      <c r="CE39"/>
      <c r="CF39"/>
      <c r="CG39"/>
      <c r="CH39"/>
      <c r="CI39"/>
      <c r="CJ39"/>
      <c r="CK39"/>
      <c r="CL39" s="10" t="s">
        <v>1433</v>
      </c>
      <c r="CM39"/>
      <c r="CN39"/>
      <c r="CO39"/>
      <c r="CP39"/>
      <c r="CQ39"/>
      <c r="CR39"/>
      <c r="CS39"/>
      <c r="CT39" s="10" t="s">
        <v>1437</v>
      </c>
      <c r="CU39" s="10" t="s">
        <v>1439</v>
      </c>
      <c r="CV39"/>
      <c r="DG39" s="14">
        <v>1</v>
      </c>
    </row>
    <row r="40" spans="2:111" ht="24.95" hidden="1" customHeight="1" x14ac:dyDescent="0.3">
      <c r="B40"/>
      <c r="C40"/>
      <c r="D40"/>
      <c r="E40"/>
      <c r="F40"/>
      <c r="G40"/>
      <c r="H40"/>
      <c r="I40" s="14">
        <v>1</v>
      </c>
      <c r="J40"/>
      <c r="K40"/>
      <c r="L40"/>
      <c r="M40"/>
      <c r="N40"/>
      <c r="O40"/>
      <c r="P40"/>
      <c r="Q40" s="10" t="s">
        <v>2959</v>
      </c>
      <c r="R40"/>
      <c r="S40"/>
      <c r="T40" s="9" t="s">
        <v>70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 s="10" t="s">
        <v>2863</v>
      </c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 s="8" t="s">
        <v>439</v>
      </c>
      <c r="BD40" s="10" t="s">
        <v>2795</v>
      </c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 s="10" t="s">
        <v>2729</v>
      </c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 s="10" t="s">
        <v>1435</v>
      </c>
      <c r="CM40"/>
      <c r="CN40"/>
      <c r="CO40"/>
      <c r="CP40"/>
      <c r="CQ40"/>
      <c r="CR40"/>
      <c r="CS40"/>
      <c r="CT40" s="10" t="s">
        <v>1441</v>
      </c>
      <c r="CU40" s="10" t="s">
        <v>1443</v>
      </c>
      <c r="CV40"/>
      <c r="DG40" s="14">
        <v>1</v>
      </c>
    </row>
    <row r="41" spans="2:111" ht="24.95" hidden="1" customHeight="1" x14ac:dyDescent="0.3">
      <c r="B41"/>
      <c r="C41"/>
      <c r="D41"/>
      <c r="E41"/>
      <c r="F41"/>
      <c r="G41"/>
      <c r="H41"/>
      <c r="I41" s="14">
        <v>1</v>
      </c>
      <c r="J41"/>
      <c r="K41"/>
      <c r="L41"/>
      <c r="M41"/>
      <c r="N41"/>
      <c r="O41"/>
      <c r="P41"/>
      <c r="Q41" s="10" t="s">
        <v>2961</v>
      </c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 s="10" t="s">
        <v>2865</v>
      </c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 s="10" t="s">
        <v>1975</v>
      </c>
      <c r="BD41" s="10" t="s">
        <v>1203</v>
      </c>
      <c r="BE41" s="10" t="s">
        <v>1205</v>
      </c>
      <c r="BF41" s="10" t="s">
        <v>1207</v>
      </c>
      <c r="BG41" s="10" t="s">
        <v>1209</v>
      </c>
      <c r="BH41"/>
      <c r="BI41"/>
      <c r="BJ41"/>
      <c r="BK41"/>
      <c r="BL41"/>
      <c r="BM41"/>
      <c r="BN41"/>
      <c r="BO41"/>
      <c r="BP41"/>
      <c r="BQ41"/>
      <c r="BR41"/>
      <c r="BS41"/>
      <c r="BT41"/>
      <c r="BU41" s="10" t="s">
        <v>2731</v>
      </c>
      <c r="BV41" s="9" t="s">
        <v>60</v>
      </c>
      <c r="BW41"/>
      <c r="BX41"/>
      <c r="BY41"/>
      <c r="BZ41"/>
      <c r="CA41"/>
      <c r="CB41"/>
      <c r="CC41"/>
      <c r="CD41" s="10" t="s">
        <v>1197</v>
      </c>
      <c r="CE41" s="10" t="s">
        <v>1199</v>
      </c>
      <c r="CF41" s="10" t="s">
        <v>1201</v>
      </c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DG41" s="14">
        <v>1</v>
      </c>
    </row>
    <row r="42" spans="2:111" ht="24.95" hidden="1" customHeight="1" x14ac:dyDescent="0.3">
      <c r="B42"/>
      <c r="C42"/>
      <c r="D42"/>
      <c r="E42"/>
      <c r="F42"/>
      <c r="G42"/>
      <c r="H42"/>
      <c r="I42" s="14">
        <v>1</v>
      </c>
      <c r="J42"/>
      <c r="K42"/>
      <c r="L42" s="10" t="s">
        <v>1311</v>
      </c>
      <c r="M42" s="10" t="s">
        <v>1313</v>
      </c>
      <c r="N42" s="10" t="s">
        <v>1315</v>
      </c>
      <c r="O42" s="10" t="s">
        <v>1317</v>
      </c>
      <c r="P42" s="10" t="s">
        <v>1319</v>
      </c>
      <c r="Q42" s="10" t="s">
        <v>1321</v>
      </c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0" t="s">
        <v>2849</v>
      </c>
      <c r="AJ42" s="10" t="s">
        <v>2861</v>
      </c>
      <c r="AK42" s="10" t="s">
        <v>1251</v>
      </c>
      <c r="AL42" s="10" t="s">
        <v>1253</v>
      </c>
      <c r="AM42" s="10" t="s">
        <v>1255</v>
      </c>
      <c r="AN42" s="10" t="s">
        <v>1257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 s="10" t="s">
        <v>1977</v>
      </c>
      <c r="BD42"/>
      <c r="BE42"/>
      <c r="BF42"/>
      <c r="BG42" s="10" t="s">
        <v>1985</v>
      </c>
      <c r="BH42"/>
      <c r="BI42"/>
      <c r="BJ42"/>
      <c r="BK42"/>
      <c r="BL42"/>
      <c r="BM42"/>
      <c r="BN42"/>
      <c r="BO42"/>
      <c r="BP42"/>
      <c r="BQ42"/>
      <c r="BR42"/>
      <c r="BS42"/>
      <c r="BT42"/>
      <c r="BU42" s="10" t="s">
        <v>2733</v>
      </c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 s="8" t="s">
        <v>749</v>
      </c>
      <c r="DG42" s="14">
        <v>1</v>
      </c>
    </row>
    <row r="43" spans="2:111" ht="24.95" hidden="1" customHeight="1" x14ac:dyDescent="0.3">
      <c r="B43"/>
      <c r="C43"/>
      <c r="D43"/>
      <c r="E43"/>
      <c r="F43"/>
      <c r="G43"/>
      <c r="H43"/>
      <c r="I43" s="14">
        <v>1</v>
      </c>
      <c r="J43"/>
      <c r="K43"/>
      <c r="L43"/>
      <c r="M43"/>
      <c r="N43"/>
      <c r="O43"/>
      <c r="P43"/>
      <c r="Q43" s="10" t="s">
        <v>1323</v>
      </c>
      <c r="R43"/>
      <c r="S43"/>
      <c r="T43"/>
      <c r="U43"/>
      <c r="V43"/>
      <c r="W43"/>
      <c r="X43"/>
      <c r="Y43"/>
      <c r="Z43"/>
      <c r="AA43"/>
      <c r="AB43"/>
      <c r="AC43" s="8" t="s">
        <v>644</v>
      </c>
      <c r="AD43"/>
      <c r="AE43" s="9" t="s">
        <v>175</v>
      </c>
      <c r="AF43"/>
      <c r="AG43"/>
      <c r="AH43"/>
      <c r="AI43" s="10" t="s">
        <v>2851</v>
      </c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 s="10" t="s">
        <v>1979</v>
      </c>
      <c r="BD43"/>
      <c r="BE43"/>
      <c r="BF43"/>
      <c r="BG43" s="10" t="s">
        <v>1987</v>
      </c>
      <c r="BH43"/>
      <c r="BI43"/>
      <c r="BJ43"/>
      <c r="BK43"/>
      <c r="BL43"/>
      <c r="BM43"/>
      <c r="BN43"/>
      <c r="BO43"/>
      <c r="BP43"/>
      <c r="BQ43"/>
      <c r="BR43"/>
      <c r="BS43"/>
      <c r="BT43"/>
      <c r="BU43" s="10" t="s">
        <v>2735</v>
      </c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DG43" s="14">
        <v>1</v>
      </c>
    </row>
    <row r="44" spans="2:111" ht="24.95" hidden="1" customHeight="1" x14ac:dyDescent="0.3">
      <c r="B44"/>
      <c r="C44"/>
      <c r="D44"/>
      <c r="E44"/>
      <c r="F44"/>
      <c r="G44"/>
      <c r="H44"/>
      <c r="I44" s="14">
        <v>1</v>
      </c>
      <c r="J44"/>
      <c r="K44"/>
      <c r="L44"/>
      <c r="M44"/>
      <c r="N44"/>
      <c r="O44"/>
      <c r="P44"/>
      <c r="Q44" s="10" t="s">
        <v>2957</v>
      </c>
      <c r="R44"/>
      <c r="S44" s="8" t="s">
        <v>854</v>
      </c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0" t="s">
        <v>2853</v>
      </c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 s="10" t="s">
        <v>1981</v>
      </c>
      <c r="BD44"/>
      <c r="BE44"/>
      <c r="BF44"/>
      <c r="BG44" s="10" t="s">
        <v>1989</v>
      </c>
      <c r="BH44"/>
      <c r="BI44"/>
      <c r="BJ44"/>
      <c r="BK44"/>
      <c r="BL44"/>
      <c r="BM44"/>
      <c r="BN44"/>
      <c r="BO44"/>
      <c r="BP44"/>
      <c r="BQ44"/>
      <c r="BR44"/>
      <c r="BS44"/>
      <c r="BT44"/>
      <c r="BU44" s="10" t="s">
        <v>2737</v>
      </c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 s="10" t="s">
        <v>1445</v>
      </c>
      <c r="CT44" s="10" t="s">
        <v>1447</v>
      </c>
      <c r="CU44" s="10" t="s">
        <v>1449</v>
      </c>
      <c r="CV44" s="10" t="s">
        <v>1451</v>
      </c>
      <c r="DB44" s="8" t="s">
        <v>279</v>
      </c>
      <c r="DG44" s="14">
        <v>1</v>
      </c>
    </row>
    <row r="45" spans="2:111" ht="24.95" hidden="1" customHeight="1" x14ac:dyDescent="0.3">
      <c r="B45"/>
      <c r="C45"/>
      <c r="D45"/>
      <c r="E45"/>
      <c r="F45"/>
      <c r="G45"/>
      <c r="H45"/>
      <c r="I45" s="14">
        <v>1</v>
      </c>
      <c r="J45"/>
      <c r="K45"/>
      <c r="L45"/>
      <c r="M45" s="9" t="s">
        <v>220</v>
      </c>
      <c r="N45"/>
      <c r="O45"/>
      <c r="P45"/>
      <c r="Q45" s="10" t="s">
        <v>2943</v>
      </c>
      <c r="R45" s="10" t="s">
        <v>2945</v>
      </c>
      <c r="S45" s="10" t="s">
        <v>2947</v>
      </c>
      <c r="T45" s="10" t="s">
        <v>2949</v>
      </c>
      <c r="U45" s="10" t="s">
        <v>2951</v>
      </c>
      <c r="V45" s="10" t="s">
        <v>2953</v>
      </c>
      <c r="W45" s="10" t="s">
        <v>2955</v>
      </c>
      <c r="X45" s="10" t="s">
        <v>1267</v>
      </c>
      <c r="Y45" s="10" t="s">
        <v>1269</v>
      </c>
      <c r="Z45" s="10" t="s">
        <v>1271</v>
      </c>
      <c r="AA45" s="10" t="s">
        <v>1273</v>
      </c>
      <c r="AB45"/>
      <c r="AC45"/>
      <c r="AD45" s="9" t="s">
        <v>65</v>
      </c>
      <c r="AE45"/>
      <c r="AF45"/>
      <c r="AG45"/>
      <c r="AH45"/>
      <c r="AI45" s="10" t="s">
        <v>2855</v>
      </c>
      <c r="AJ45"/>
      <c r="AK45"/>
      <c r="AL45"/>
      <c r="AM45"/>
      <c r="AN45"/>
      <c r="AO45"/>
      <c r="AP45"/>
      <c r="AQ45"/>
      <c r="AR45"/>
      <c r="AS45"/>
      <c r="AT45"/>
      <c r="AU45"/>
      <c r="AV45"/>
      <c r="AW45" s="10" t="s">
        <v>1973</v>
      </c>
      <c r="AX45" s="10" t="s">
        <v>1211</v>
      </c>
      <c r="AY45" s="10" t="s">
        <v>1213</v>
      </c>
      <c r="AZ45" s="10" t="s">
        <v>1215</v>
      </c>
      <c r="BA45" s="10" t="s">
        <v>1217</v>
      </c>
      <c r="BB45" s="10" t="s">
        <v>1219</v>
      </c>
      <c r="BC45" s="10" t="s">
        <v>1983</v>
      </c>
      <c r="BD45"/>
      <c r="BE45"/>
      <c r="BF45"/>
      <c r="BG45" s="10" t="s">
        <v>1189</v>
      </c>
      <c r="BH45" s="10" t="s">
        <v>1191</v>
      </c>
      <c r="BI45" s="10" t="s">
        <v>1193</v>
      </c>
      <c r="BJ45" s="10" t="s">
        <v>1195</v>
      </c>
      <c r="BK45" s="10" t="s">
        <v>2001</v>
      </c>
      <c r="BL45" s="10" t="s">
        <v>2007</v>
      </c>
      <c r="BM45" s="10" t="s">
        <v>2009</v>
      </c>
      <c r="BN45" s="10" t="s">
        <v>1187</v>
      </c>
      <c r="BO45" s="10" t="s">
        <v>2011</v>
      </c>
      <c r="BP45"/>
      <c r="BQ45"/>
      <c r="BR45" s="9" t="s">
        <v>230</v>
      </c>
      <c r="BS45"/>
      <c r="BT45"/>
      <c r="BU45" s="10" t="s">
        <v>2739</v>
      </c>
      <c r="BV45"/>
      <c r="BW45"/>
      <c r="BX45"/>
      <c r="BY45"/>
      <c r="BZ45"/>
      <c r="CA45"/>
      <c r="CB45"/>
      <c r="CC45"/>
      <c r="CD45"/>
      <c r="CE45"/>
      <c r="CF45"/>
      <c r="CG45" s="8" t="s">
        <v>489</v>
      </c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DG45" s="14">
        <v>1</v>
      </c>
    </row>
    <row r="46" spans="2:111" ht="24.95" hidden="1" customHeight="1" x14ac:dyDescent="0.3">
      <c r="B46"/>
      <c r="C46"/>
      <c r="D46"/>
      <c r="E46"/>
      <c r="F46"/>
      <c r="G46"/>
      <c r="H46"/>
      <c r="I46" s="14">
        <v>1</v>
      </c>
      <c r="J46"/>
      <c r="K46"/>
      <c r="L46"/>
      <c r="M46" s="8" t="s">
        <v>669</v>
      </c>
      <c r="N46"/>
      <c r="O46"/>
      <c r="P46"/>
      <c r="Q46"/>
      <c r="R46"/>
      <c r="S46"/>
      <c r="T46"/>
      <c r="U46"/>
      <c r="V46"/>
      <c r="W46"/>
      <c r="X46" s="10" t="s">
        <v>2877</v>
      </c>
      <c r="Y46"/>
      <c r="Z46"/>
      <c r="AA46" s="10" t="s">
        <v>2875</v>
      </c>
      <c r="AB46"/>
      <c r="AC46"/>
      <c r="AD46"/>
      <c r="AE46"/>
      <c r="AF46"/>
      <c r="AG46"/>
      <c r="AH46"/>
      <c r="AI46" s="10" t="s">
        <v>2857</v>
      </c>
      <c r="AJ46"/>
      <c r="AK46"/>
      <c r="AL46"/>
      <c r="AM46"/>
      <c r="AN46"/>
      <c r="AO46"/>
      <c r="AP46"/>
      <c r="AQ46"/>
      <c r="AR46"/>
      <c r="AS46"/>
      <c r="AT46"/>
      <c r="AU46"/>
      <c r="AV46"/>
      <c r="AW46" s="10" t="s">
        <v>1995</v>
      </c>
      <c r="AX46"/>
      <c r="AY46"/>
      <c r="AZ46"/>
      <c r="BA46"/>
      <c r="BB46"/>
      <c r="BC46"/>
      <c r="BD46"/>
      <c r="BE46"/>
      <c r="BF46"/>
      <c r="BG46"/>
      <c r="BH46"/>
      <c r="BI46"/>
      <c r="BJ46"/>
      <c r="BK46" s="10" t="s">
        <v>2003</v>
      </c>
      <c r="BL46"/>
      <c r="BM46"/>
      <c r="BN46"/>
      <c r="BO46" s="10" t="s">
        <v>2013</v>
      </c>
      <c r="BP46"/>
      <c r="BQ46"/>
      <c r="BR46"/>
      <c r="BS46"/>
      <c r="BT46"/>
      <c r="BU46" s="10" t="s">
        <v>2741</v>
      </c>
      <c r="BV46"/>
      <c r="BW46"/>
      <c r="BX46"/>
      <c r="BY46"/>
      <c r="BZ46"/>
      <c r="CA46"/>
      <c r="CB46"/>
      <c r="CC46"/>
      <c r="CD46"/>
      <c r="CE46"/>
      <c r="CF46"/>
      <c r="CG46" s="10" t="s">
        <v>1151</v>
      </c>
      <c r="CH46" s="8" t="s">
        <v>639</v>
      </c>
      <c r="CI46" s="10" t="s">
        <v>1153</v>
      </c>
      <c r="CJ46" s="10" t="s">
        <v>1155</v>
      </c>
      <c r="CK46"/>
      <c r="CL46"/>
      <c r="CM46"/>
      <c r="CN46"/>
      <c r="CO46"/>
      <c r="CP46"/>
      <c r="CQ46"/>
      <c r="CR46"/>
      <c r="CS46"/>
      <c r="CT46"/>
      <c r="CU46"/>
      <c r="CV46"/>
      <c r="CZ46" s="10" t="s">
        <v>1759</v>
      </c>
      <c r="DA46" s="10" t="s">
        <v>1761</v>
      </c>
      <c r="DG46" s="14">
        <v>1</v>
      </c>
    </row>
    <row r="47" spans="2:111" ht="24.95" hidden="1" customHeight="1" x14ac:dyDescent="0.3">
      <c r="B47"/>
      <c r="C47"/>
      <c r="D47"/>
      <c r="E47"/>
      <c r="F47"/>
      <c r="G47"/>
      <c r="H47"/>
      <c r="I47" s="14">
        <v>1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 s="10" t="s">
        <v>2879</v>
      </c>
      <c r="Y47"/>
      <c r="Z47"/>
      <c r="AA47" s="10" t="s">
        <v>1259</v>
      </c>
      <c r="AB47" s="10" t="s">
        <v>1261</v>
      </c>
      <c r="AC47" s="10" t="s">
        <v>1263</v>
      </c>
      <c r="AD47" s="10" t="s">
        <v>1265</v>
      </c>
      <c r="AE47" s="10" t="s">
        <v>2867</v>
      </c>
      <c r="AF47" s="10" t="s">
        <v>2869</v>
      </c>
      <c r="AG47" s="10" t="s">
        <v>2871</v>
      </c>
      <c r="AH47" s="10" t="s">
        <v>2873</v>
      </c>
      <c r="AI47" s="10" t="s">
        <v>2859</v>
      </c>
      <c r="AJ47" s="10" t="s">
        <v>1245</v>
      </c>
      <c r="AK47" s="10" t="s">
        <v>1247</v>
      </c>
      <c r="AL47" s="10" t="s">
        <v>1249</v>
      </c>
      <c r="AM47"/>
      <c r="AN47"/>
      <c r="AO47"/>
      <c r="AP47"/>
      <c r="AQ47"/>
      <c r="AR47"/>
      <c r="AS47"/>
      <c r="AT47"/>
      <c r="AU47"/>
      <c r="AV47"/>
      <c r="AW47" s="10" t="s">
        <v>1997</v>
      </c>
      <c r="AX47"/>
      <c r="AY47"/>
      <c r="AZ47" s="8" t="s">
        <v>609</v>
      </c>
      <c r="BA47"/>
      <c r="BB47"/>
      <c r="BC47"/>
      <c r="BD47"/>
      <c r="BE47"/>
      <c r="BF47"/>
      <c r="BG47"/>
      <c r="BH47"/>
      <c r="BI47"/>
      <c r="BJ47"/>
      <c r="BK47" s="10" t="s">
        <v>2005</v>
      </c>
      <c r="BL47"/>
      <c r="BM47"/>
      <c r="BN47"/>
      <c r="BO47" s="10" t="s">
        <v>2015</v>
      </c>
      <c r="BP47"/>
      <c r="BQ47"/>
      <c r="BR47"/>
      <c r="BS47"/>
      <c r="BT47"/>
      <c r="BU47" s="10" t="s">
        <v>2743</v>
      </c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 s="9" t="s">
        <v>40</v>
      </c>
      <c r="CP47"/>
      <c r="CQ47"/>
      <c r="CR47"/>
      <c r="CS47"/>
      <c r="CT47"/>
      <c r="CU47"/>
      <c r="CV47"/>
      <c r="CZ47" s="9" t="s">
        <v>55</v>
      </c>
      <c r="DA47" s="10" t="s">
        <v>1763</v>
      </c>
      <c r="DD47" s="8" t="s">
        <v>374</v>
      </c>
      <c r="DG47" s="14">
        <v>1</v>
      </c>
    </row>
    <row r="48" spans="2:111" ht="24.95" hidden="1" customHeight="1" x14ac:dyDescent="0.3">
      <c r="B48"/>
      <c r="C48"/>
      <c r="D48"/>
      <c r="E48"/>
      <c r="F48"/>
      <c r="G48"/>
      <c r="H48"/>
      <c r="I48" s="14">
        <v>1</v>
      </c>
      <c r="J48"/>
      <c r="K48"/>
      <c r="L48" s="10" t="s">
        <v>2929</v>
      </c>
      <c r="M48" s="10" t="s">
        <v>2935</v>
      </c>
      <c r="N48" s="10" t="s">
        <v>2937</v>
      </c>
      <c r="O48" s="10" t="s">
        <v>2939</v>
      </c>
      <c r="P48" s="10" t="s">
        <v>2941</v>
      </c>
      <c r="Q48" s="10" t="s">
        <v>1281</v>
      </c>
      <c r="R48" s="10" t="s">
        <v>1283</v>
      </c>
      <c r="S48" s="10" t="s">
        <v>1285</v>
      </c>
      <c r="T48" s="10" t="s">
        <v>1287</v>
      </c>
      <c r="U48" s="10" t="s">
        <v>1289</v>
      </c>
      <c r="V48" s="10" t="s">
        <v>2899</v>
      </c>
      <c r="W48" s="10" t="s">
        <v>2901</v>
      </c>
      <c r="X48" s="10" t="s">
        <v>2881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 s="10" t="s">
        <v>1999</v>
      </c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 s="10" t="s">
        <v>2017</v>
      </c>
      <c r="BP48"/>
      <c r="BQ48"/>
      <c r="BR48"/>
      <c r="BS48"/>
      <c r="BT48"/>
      <c r="BU48" s="10" t="s">
        <v>1179</v>
      </c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DG48" s="14">
        <v>1</v>
      </c>
    </row>
    <row r="49" spans="2:111" ht="24.95" hidden="1" customHeight="1" x14ac:dyDescent="0.3">
      <c r="B49"/>
      <c r="C49"/>
      <c r="D49"/>
      <c r="E49"/>
      <c r="F49"/>
      <c r="G49"/>
      <c r="H49"/>
      <c r="I49" s="14">
        <v>1</v>
      </c>
      <c r="J49"/>
      <c r="K49"/>
      <c r="L49" s="10" t="s">
        <v>2931</v>
      </c>
      <c r="M49"/>
      <c r="N49"/>
      <c r="O49"/>
      <c r="P49"/>
      <c r="Q49"/>
      <c r="R49"/>
      <c r="S49"/>
      <c r="T49"/>
      <c r="U49"/>
      <c r="V49"/>
      <c r="W49"/>
      <c r="X49" s="10" t="s">
        <v>2883</v>
      </c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 s="10" t="s">
        <v>1243</v>
      </c>
      <c r="AO49" s="10" t="s">
        <v>1229</v>
      </c>
      <c r="AP49" s="10" t="s">
        <v>1231</v>
      </c>
      <c r="AQ49" s="10" t="s">
        <v>1233</v>
      </c>
      <c r="AR49" s="10" t="s">
        <v>1235</v>
      </c>
      <c r="AS49" s="10" t="s">
        <v>1957</v>
      </c>
      <c r="AT49" s="10" t="s">
        <v>1959</v>
      </c>
      <c r="AU49" s="10" t="s">
        <v>1961</v>
      </c>
      <c r="AV49" s="10" t="s">
        <v>1991</v>
      </c>
      <c r="AW49" s="10" t="s">
        <v>1993</v>
      </c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 s="10" t="s">
        <v>2019</v>
      </c>
      <c r="BP49"/>
      <c r="BQ49"/>
      <c r="BR49"/>
      <c r="BS49"/>
      <c r="BT49"/>
      <c r="BU49" s="10" t="s">
        <v>1181</v>
      </c>
      <c r="BV49"/>
      <c r="BW49"/>
      <c r="BX49"/>
      <c r="BY49"/>
      <c r="BZ49"/>
      <c r="CA49"/>
      <c r="CB49"/>
      <c r="CC49"/>
      <c r="CD49"/>
      <c r="CE49"/>
      <c r="CF49"/>
      <c r="CG49"/>
      <c r="CH49" s="10" t="s">
        <v>1157</v>
      </c>
      <c r="CI49" s="10" t="s">
        <v>1159</v>
      </c>
      <c r="CJ49" s="10" t="s">
        <v>1161</v>
      </c>
      <c r="CK49" s="10" t="s">
        <v>1163</v>
      </c>
      <c r="CL49"/>
      <c r="CM49"/>
      <c r="CN49"/>
      <c r="CO49"/>
      <c r="CP49"/>
      <c r="CQ49"/>
      <c r="CR49"/>
      <c r="CS49"/>
      <c r="CT49"/>
      <c r="CU49"/>
      <c r="CV49"/>
      <c r="DG49" s="14">
        <v>1</v>
      </c>
    </row>
    <row r="50" spans="2:111" ht="24.95" hidden="1" customHeight="1" x14ac:dyDescent="0.3">
      <c r="B50"/>
      <c r="C50"/>
      <c r="D50"/>
      <c r="E50"/>
      <c r="F50"/>
      <c r="G50"/>
      <c r="H50"/>
      <c r="I50" s="14">
        <v>1</v>
      </c>
      <c r="J50"/>
      <c r="K50"/>
      <c r="L50" s="10" t="s">
        <v>2933</v>
      </c>
      <c r="M50"/>
      <c r="N50"/>
      <c r="O50"/>
      <c r="P50"/>
      <c r="Q50"/>
      <c r="R50"/>
      <c r="S50"/>
      <c r="T50"/>
      <c r="U50"/>
      <c r="V50"/>
      <c r="W50"/>
      <c r="X50" s="10" t="s">
        <v>2885</v>
      </c>
      <c r="Y50"/>
      <c r="Z50"/>
      <c r="AA50"/>
      <c r="AB50"/>
      <c r="AC50"/>
      <c r="AD50"/>
      <c r="AE50"/>
      <c r="AF50"/>
      <c r="AG50"/>
      <c r="AH50"/>
      <c r="AI50"/>
      <c r="AJ50"/>
      <c r="AK50" s="10" t="s">
        <v>1889</v>
      </c>
      <c r="AL50" s="10" t="s">
        <v>1891</v>
      </c>
      <c r="AM50"/>
      <c r="AN50"/>
      <c r="AO50"/>
      <c r="AP50"/>
      <c r="AQ50" s="10" t="s">
        <v>1963</v>
      </c>
      <c r="AR50"/>
      <c r="AS50" s="8" t="s">
        <v>714</v>
      </c>
      <c r="AT50" s="10" t="s">
        <v>1967</v>
      </c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 s="10" t="s">
        <v>2021</v>
      </c>
      <c r="BP50"/>
      <c r="BQ50" s="8" t="s">
        <v>919</v>
      </c>
      <c r="BR50"/>
      <c r="BS50"/>
      <c r="BT50"/>
      <c r="BU50" s="10" t="s">
        <v>1183</v>
      </c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DC50" s="10" t="s">
        <v>1745</v>
      </c>
      <c r="DD50" s="10" t="s">
        <v>1747</v>
      </c>
      <c r="DG50" s="14">
        <v>1</v>
      </c>
    </row>
    <row r="51" spans="2:111" ht="24.95" hidden="1" customHeight="1" x14ac:dyDescent="0.3">
      <c r="B51"/>
      <c r="C51"/>
      <c r="D51"/>
      <c r="E51"/>
      <c r="F51"/>
      <c r="G51"/>
      <c r="H51"/>
      <c r="I51" s="14">
        <v>1</v>
      </c>
      <c r="J51"/>
      <c r="K51"/>
      <c r="L51" s="10" t="s">
        <v>1291</v>
      </c>
      <c r="M51"/>
      <c r="N51"/>
      <c r="O51"/>
      <c r="P51"/>
      <c r="Q51"/>
      <c r="R51"/>
      <c r="S51" s="10" t="s">
        <v>2889</v>
      </c>
      <c r="T51" s="10" t="s">
        <v>2891</v>
      </c>
      <c r="U51" s="10" t="s">
        <v>2893</v>
      </c>
      <c r="V51" s="10" t="s">
        <v>2895</v>
      </c>
      <c r="W51" s="10" t="s">
        <v>2897</v>
      </c>
      <c r="X51" s="10" t="s">
        <v>2887</v>
      </c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 s="10" t="s">
        <v>1221</v>
      </c>
      <c r="AR51"/>
      <c r="AS51"/>
      <c r="AT51" s="10" t="s">
        <v>1969</v>
      </c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 s="10" t="s">
        <v>2023</v>
      </c>
      <c r="BP51"/>
      <c r="BQ51"/>
      <c r="BR51"/>
      <c r="BS51"/>
      <c r="BT51"/>
      <c r="BU51" s="10" t="s">
        <v>1185</v>
      </c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 s="8" t="s">
        <v>799</v>
      </c>
      <c r="CL51"/>
      <c r="CM51"/>
      <c r="CN51"/>
      <c r="CO51"/>
      <c r="CP51" s="10" t="s">
        <v>1453</v>
      </c>
      <c r="CQ51" s="10" t="s">
        <v>1455</v>
      </c>
      <c r="CR51" s="8" t="s">
        <v>589</v>
      </c>
      <c r="CS51"/>
      <c r="CT51"/>
      <c r="CU51"/>
      <c r="CV51"/>
      <c r="DC51" s="10" t="s">
        <v>1749</v>
      </c>
      <c r="DD51" s="10" t="s">
        <v>1751</v>
      </c>
      <c r="DG51" s="14">
        <v>1</v>
      </c>
    </row>
    <row r="52" spans="2:111" ht="24.95" hidden="1" customHeight="1" x14ac:dyDescent="0.3">
      <c r="B52"/>
      <c r="C52"/>
      <c r="D52"/>
      <c r="E52"/>
      <c r="F52"/>
      <c r="G52"/>
      <c r="H52"/>
      <c r="I52" s="14">
        <v>1</v>
      </c>
      <c r="J52"/>
      <c r="K52"/>
      <c r="L52" s="10" t="s">
        <v>1293</v>
      </c>
      <c r="M52" s="9" t="s">
        <v>160</v>
      </c>
      <c r="N52" s="8" t="s">
        <v>754</v>
      </c>
      <c r="O52"/>
      <c r="P52"/>
      <c r="Q52"/>
      <c r="R52"/>
      <c r="S52"/>
      <c r="T52"/>
      <c r="U52" s="10" t="s">
        <v>2903</v>
      </c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 s="10" t="s">
        <v>1893</v>
      </c>
      <c r="AL52"/>
      <c r="AM52"/>
      <c r="AN52"/>
      <c r="AO52"/>
      <c r="AP52"/>
      <c r="AQ52" s="10" t="s">
        <v>1223</v>
      </c>
      <c r="AR52"/>
      <c r="AS52"/>
      <c r="AT52" s="10" t="s">
        <v>1237</v>
      </c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 s="10" t="s">
        <v>2025</v>
      </c>
      <c r="BP52"/>
      <c r="BQ52"/>
      <c r="BR52"/>
      <c r="BS52"/>
      <c r="BT52"/>
      <c r="BU52" s="10" t="s">
        <v>2719</v>
      </c>
      <c r="BV52"/>
      <c r="BW52"/>
      <c r="BX52"/>
      <c r="BY52"/>
      <c r="BZ52"/>
      <c r="CA52"/>
      <c r="CB52"/>
      <c r="CC52"/>
      <c r="CD52"/>
      <c r="CE52"/>
      <c r="CF52"/>
      <c r="CG52"/>
      <c r="CH52" s="10" t="s">
        <v>1141</v>
      </c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DG52" s="14">
        <v>1</v>
      </c>
    </row>
    <row r="53" spans="2:111" ht="24.95" hidden="1" customHeight="1" x14ac:dyDescent="0.3">
      <c r="B53"/>
      <c r="C53"/>
      <c r="D53"/>
      <c r="E53"/>
      <c r="F53"/>
      <c r="G53"/>
      <c r="H53"/>
      <c r="I53" s="14">
        <v>1</v>
      </c>
      <c r="J53"/>
      <c r="K53"/>
      <c r="L53" s="10" t="s">
        <v>1295</v>
      </c>
      <c r="M53"/>
      <c r="N53"/>
      <c r="O53"/>
      <c r="P53"/>
      <c r="Q53"/>
      <c r="R53"/>
      <c r="S53"/>
      <c r="T53"/>
      <c r="U53" s="8" t="s">
        <v>294</v>
      </c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 s="10" t="s">
        <v>1895</v>
      </c>
      <c r="AL53"/>
      <c r="AM53"/>
      <c r="AN53" s="8" t="s">
        <v>529</v>
      </c>
      <c r="AO53"/>
      <c r="AP53"/>
      <c r="AQ53" s="10" t="s">
        <v>1225</v>
      </c>
      <c r="AR53"/>
      <c r="AS53"/>
      <c r="AT53" s="10" t="s">
        <v>1239</v>
      </c>
      <c r="AU53"/>
      <c r="AV53" s="8" t="s">
        <v>344</v>
      </c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 s="10" t="s">
        <v>1173</v>
      </c>
      <c r="BN53" s="10" t="s">
        <v>1175</v>
      </c>
      <c r="BO53" s="10" t="s">
        <v>1177</v>
      </c>
      <c r="BP53"/>
      <c r="BQ53"/>
      <c r="BR53"/>
      <c r="BS53"/>
      <c r="BT53"/>
      <c r="BU53" s="10" t="s">
        <v>2721</v>
      </c>
      <c r="BV53"/>
      <c r="BW53"/>
      <c r="BX53"/>
      <c r="BY53" s="8" t="s">
        <v>334</v>
      </c>
      <c r="BZ53"/>
      <c r="CA53"/>
      <c r="CB53"/>
      <c r="CC53"/>
      <c r="CD53" s="8" t="s">
        <v>679</v>
      </c>
      <c r="CE53"/>
      <c r="CF53"/>
      <c r="CG53"/>
      <c r="CH53" s="10" t="s">
        <v>1143</v>
      </c>
      <c r="CI53"/>
      <c r="CJ53"/>
      <c r="CK53"/>
      <c r="CL53"/>
      <c r="CM53"/>
      <c r="CN53"/>
      <c r="CO53"/>
      <c r="CP53"/>
      <c r="CQ53"/>
      <c r="CR53"/>
      <c r="CS53"/>
      <c r="CT53"/>
      <c r="CU53"/>
      <c r="CV53" s="10" t="s">
        <v>1457</v>
      </c>
      <c r="CW53" s="10" t="s">
        <v>1459</v>
      </c>
      <c r="CX53" s="10" t="s">
        <v>1461</v>
      </c>
      <c r="DG53" s="14">
        <v>1</v>
      </c>
    </row>
    <row r="54" spans="2:111" ht="24.95" hidden="1" customHeight="1" x14ac:dyDescent="0.3">
      <c r="B54"/>
      <c r="C54"/>
      <c r="D54"/>
      <c r="E54"/>
      <c r="F54"/>
      <c r="G54"/>
      <c r="H54"/>
      <c r="I54" s="14">
        <v>1</v>
      </c>
      <c r="J54"/>
      <c r="K54"/>
      <c r="L54"/>
      <c r="M54"/>
      <c r="N54"/>
      <c r="O54"/>
      <c r="P54"/>
      <c r="Q54"/>
      <c r="R54"/>
      <c r="S54"/>
      <c r="T54"/>
      <c r="U54" s="10" t="s">
        <v>2905</v>
      </c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 s="10" t="s">
        <v>1897</v>
      </c>
      <c r="AL54"/>
      <c r="AM54"/>
      <c r="AN54"/>
      <c r="AO54"/>
      <c r="AP54"/>
      <c r="AQ54" s="10" t="s">
        <v>1227</v>
      </c>
      <c r="AR54"/>
      <c r="AS54"/>
      <c r="AT54" s="10" t="s">
        <v>1241</v>
      </c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 s="10" t="s">
        <v>2027</v>
      </c>
      <c r="BP54"/>
      <c r="BQ54"/>
      <c r="BR54"/>
      <c r="BS54"/>
      <c r="BT54"/>
      <c r="BU54" s="10" t="s">
        <v>2723</v>
      </c>
      <c r="BV54"/>
      <c r="BW54"/>
      <c r="BX54"/>
      <c r="BY54"/>
      <c r="BZ54"/>
      <c r="CA54" s="8" t="s">
        <v>564</v>
      </c>
      <c r="CB54"/>
      <c r="CC54"/>
      <c r="CD54"/>
      <c r="CE54"/>
      <c r="CF54"/>
      <c r="CG54"/>
      <c r="CH54" s="10" t="s">
        <v>1145</v>
      </c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DG54" s="14">
        <v>1</v>
      </c>
    </row>
    <row r="55" spans="2:111" ht="24.95" hidden="1" customHeight="1" x14ac:dyDescent="0.3">
      <c r="B55"/>
      <c r="C55"/>
      <c r="D55"/>
      <c r="E55"/>
      <c r="F55"/>
      <c r="G55"/>
      <c r="H55"/>
      <c r="I55" s="14">
        <v>1</v>
      </c>
      <c r="J55"/>
      <c r="K55"/>
      <c r="L55"/>
      <c r="M55"/>
      <c r="N55"/>
      <c r="O55"/>
      <c r="P55"/>
      <c r="Q55"/>
      <c r="R55"/>
      <c r="S55" s="8" t="s">
        <v>329</v>
      </c>
      <c r="T55"/>
      <c r="U55" s="10" t="s">
        <v>2907</v>
      </c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 s="8" t="s">
        <v>419</v>
      </c>
      <c r="AK55" s="8" t="s">
        <v>899</v>
      </c>
      <c r="AL55"/>
      <c r="AM55"/>
      <c r="AN55"/>
      <c r="AO55"/>
      <c r="AP55"/>
      <c r="AQ55" s="10" t="s">
        <v>1965</v>
      </c>
      <c r="AR55"/>
      <c r="AS55"/>
      <c r="AT55" s="10" t="s">
        <v>1971</v>
      </c>
      <c r="AU55"/>
      <c r="AV55"/>
      <c r="AW55"/>
      <c r="AX55"/>
      <c r="AY55"/>
      <c r="AZ55"/>
      <c r="BA55"/>
      <c r="BB55"/>
      <c r="BC55" s="8" t="s">
        <v>604</v>
      </c>
      <c r="BD55"/>
      <c r="BE55"/>
      <c r="BF55"/>
      <c r="BG55"/>
      <c r="BH55"/>
      <c r="BI55"/>
      <c r="BJ55"/>
      <c r="BK55"/>
      <c r="BL55"/>
      <c r="BM55"/>
      <c r="BN55"/>
      <c r="BO55" s="10" t="s">
        <v>2029</v>
      </c>
      <c r="BP55"/>
      <c r="BQ55"/>
      <c r="BR55"/>
      <c r="BS55"/>
      <c r="BT55"/>
      <c r="BU55" s="10" t="s">
        <v>2725</v>
      </c>
      <c r="BV55"/>
      <c r="BW55"/>
      <c r="BX55"/>
      <c r="BY55"/>
      <c r="BZ55"/>
      <c r="CA55"/>
      <c r="CB55"/>
      <c r="CC55"/>
      <c r="CD55"/>
      <c r="CE55"/>
      <c r="CF55"/>
      <c r="CG55"/>
      <c r="CH55" s="10" t="s">
        <v>1147</v>
      </c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DG55" s="14">
        <v>1</v>
      </c>
    </row>
    <row r="56" spans="2:111" ht="24.95" hidden="1" customHeight="1" x14ac:dyDescent="0.3">
      <c r="B56"/>
      <c r="C56"/>
      <c r="D56"/>
      <c r="E56"/>
      <c r="F56"/>
      <c r="G56"/>
      <c r="H56"/>
      <c r="I56" s="14">
        <v>1</v>
      </c>
      <c r="J56"/>
      <c r="K56"/>
      <c r="L56"/>
      <c r="M56"/>
      <c r="N56" s="10" t="s">
        <v>1297</v>
      </c>
      <c r="O56" s="10" t="s">
        <v>1299</v>
      </c>
      <c r="P56" s="10" t="s">
        <v>1301</v>
      </c>
      <c r="Q56" s="10" t="s">
        <v>1303</v>
      </c>
      <c r="R56" s="10" t="s">
        <v>2911</v>
      </c>
      <c r="S56" s="10" t="s">
        <v>2913</v>
      </c>
      <c r="T56" s="10" t="s">
        <v>2915</v>
      </c>
      <c r="U56" s="10" t="s">
        <v>2909</v>
      </c>
      <c r="V56"/>
      <c r="W56"/>
      <c r="X56"/>
      <c r="Y56"/>
      <c r="Z56"/>
      <c r="AA56"/>
      <c r="AB56"/>
      <c r="AC56" s="9" t="s">
        <v>125</v>
      </c>
      <c r="AD56"/>
      <c r="AE56"/>
      <c r="AF56"/>
      <c r="AG56"/>
      <c r="AH56"/>
      <c r="AI56"/>
      <c r="AJ56"/>
      <c r="AK56" s="10" t="s">
        <v>1899</v>
      </c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 s="8" t="s">
        <v>724</v>
      </c>
      <c r="CH56" s="10" t="s">
        <v>1149</v>
      </c>
      <c r="CI56"/>
      <c r="CJ56"/>
      <c r="CK56"/>
      <c r="CL56"/>
      <c r="CM56"/>
      <c r="CN56"/>
      <c r="CO56"/>
      <c r="CP56" s="10" t="s">
        <v>1463</v>
      </c>
      <c r="CQ56"/>
      <c r="CR56"/>
      <c r="CS56"/>
      <c r="CT56"/>
      <c r="CU56" s="8" t="s">
        <v>494</v>
      </c>
      <c r="CV56"/>
      <c r="CZ56" s="10" t="s">
        <v>1729</v>
      </c>
      <c r="DA56" s="10" t="s">
        <v>1731</v>
      </c>
      <c r="DB56" s="10" t="s">
        <v>1733</v>
      </c>
      <c r="DG56" s="14">
        <v>1</v>
      </c>
    </row>
    <row r="57" spans="2:111" ht="24.95" hidden="1" customHeight="1" x14ac:dyDescent="0.3">
      <c r="B57"/>
      <c r="C57"/>
      <c r="D57"/>
      <c r="E57"/>
      <c r="F57"/>
      <c r="G57"/>
      <c r="H57"/>
      <c r="I57" s="14">
        <v>1</v>
      </c>
      <c r="J57"/>
      <c r="K57"/>
      <c r="L57"/>
      <c r="M57"/>
      <c r="N57"/>
      <c r="O57" s="10" t="s">
        <v>2917</v>
      </c>
      <c r="P57"/>
      <c r="Q57"/>
      <c r="R57"/>
      <c r="S57"/>
      <c r="T57"/>
      <c r="U57" s="10" t="s">
        <v>1275</v>
      </c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 s="10" t="s">
        <v>1901</v>
      </c>
      <c r="AL57"/>
      <c r="AM57"/>
      <c r="AN57"/>
      <c r="AO57"/>
      <c r="AP57"/>
      <c r="AQ57"/>
      <c r="AR57"/>
      <c r="AS57"/>
      <c r="AT57"/>
      <c r="AU57" s="10" t="s">
        <v>1937</v>
      </c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 s="10" t="s">
        <v>2235</v>
      </c>
      <c r="BS57"/>
      <c r="BT57"/>
      <c r="BU57"/>
      <c r="BV57"/>
      <c r="BW57"/>
      <c r="BX57"/>
      <c r="BY57"/>
      <c r="BZ57"/>
      <c r="CA57"/>
      <c r="CB57"/>
      <c r="CC57"/>
      <c r="CD57" s="8" t="s">
        <v>574</v>
      </c>
      <c r="CE57"/>
      <c r="CF57"/>
      <c r="CG57"/>
      <c r="CH57"/>
      <c r="CI57"/>
      <c r="CJ57"/>
      <c r="CK57"/>
      <c r="CL57"/>
      <c r="CM57" s="10" t="s">
        <v>1165</v>
      </c>
      <c r="CN57"/>
      <c r="CO57"/>
      <c r="CP57" s="10" t="s">
        <v>1465</v>
      </c>
      <c r="CQ57"/>
      <c r="CR57"/>
      <c r="CS57"/>
      <c r="CT57"/>
      <c r="CU57"/>
      <c r="CV57"/>
      <c r="CZ57" s="10" t="s">
        <v>1735</v>
      </c>
      <c r="DA57" s="10" t="s">
        <v>1737</v>
      </c>
      <c r="DB57" s="10" t="s">
        <v>1739</v>
      </c>
      <c r="DG57" s="14">
        <v>1</v>
      </c>
    </row>
    <row r="58" spans="2:111" ht="24.95" hidden="1" customHeight="1" x14ac:dyDescent="0.3">
      <c r="B58"/>
      <c r="C58"/>
      <c r="D58"/>
      <c r="E58"/>
      <c r="F58"/>
      <c r="G58"/>
      <c r="H58"/>
      <c r="I58" s="14">
        <v>1</v>
      </c>
      <c r="J58"/>
      <c r="K58"/>
      <c r="L58"/>
      <c r="M58"/>
      <c r="N58"/>
      <c r="O58" s="10" t="s">
        <v>2919</v>
      </c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 s="10" t="s">
        <v>1903</v>
      </c>
      <c r="AL58"/>
      <c r="AM58"/>
      <c r="AN58"/>
      <c r="AO58"/>
      <c r="AP58"/>
      <c r="AQ58"/>
      <c r="AR58"/>
      <c r="AS58"/>
      <c r="AT58"/>
      <c r="AU58" s="10" t="s">
        <v>1939</v>
      </c>
      <c r="AV58"/>
      <c r="AW58"/>
      <c r="AX58"/>
      <c r="AY58"/>
      <c r="AZ58"/>
      <c r="BA58"/>
      <c r="BB58"/>
      <c r="BC58"/>
      <c r="BD58"/>
      <c r="BE58"/>
      <c r="BF58"/>
      <c r="BG58"/>
      <c r="BH58"/>
      <c r="BI58" s="9" t="s">
        <v>233</v>
      </c>
      <c r="BJ58"/>
      <c r="BK58"/>
      <c r="BL58"/>
      <c r="BM58"/>
      <c r="BN58"/>
      <c r="BO58"/>
      <c r="BP58"/>
      <c r="BQ58"/>
      <c r="BR58" s="10" t="s">
        <v>2237</v>
      </c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 s="10" t="s">
        <v>1167</v>
      </c>
      <c r="CN58"/>
      <c r="CO58"/>
      <c r="CP58"/>
      <c r="CQ58"/>
      <c r="CR58"/>
      <c r="CS58"/>
      <c r="CT58"/>
      <c r="CU58" s="10" t="s">
        <v>1741</v>
      </c>
      <c r="CV58" s="10" t="s">
        <v>1743</v>
      </c>
      <c r="DG58" s="14">
        <v>1</v>
      </c>
    </row>
    <row r="59" spans="2:111" ht="24.95" hidden="1" customHeight="1" x14ac:dyDescent="0.3">
      <c r="B59"/>
      <c r="C59"/>
      <c r="D59"/>
      <c r="E59"/>
      <c r="F59"/>
      <c r="G59"/>
      <c r="H59"/>
      <c r="I59" s="14">
        <v>1</v>
      </c>
      <c r="J59"/>
      <c r="K59"/>
      <c r="L59"/>
      <c r="M59"/>
      <c r="N59"/>
      <c r="O59" s="10" t="s">
        <v>1305</v>
      </c>
      <c r="P59"/>
      <c r="Q59"/>
      <c r="R59"/>
      <c r="S59"/>
      <c r="T59" s="8" t="s">
        <v>434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 s="10" t="s">
        <v>1905</v>
      </c>
      <c r="AL59"/>
      <c r="AM59"/>
      <c r="AN59"/>
      <c r="AO59"/>
      <c r="AP59"/>
      <c r="AQ59"/>
      <c r="AR59"/>
      <c r="AS59"/>
      <c r="AT59"/>
      <c r="AU59" s="10" t="s">
        <v>1941</v>
      </c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 s="10" t="s">
        <v>2239</v>
      </c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 s="10" t="s">
        <v>1169</v>
      </c>
      <c r="CN59"/>
      <c r="CO59"/>
      <c r="CP59"/>
      <c r="CQ59"/>
      <c r="CR59"/>
      <c r="CS59"/>
      <c r="CT59"/>
      <c r="CU59"/>
      <c r="CV59"/>
      <c r="DG59" s="14">
        <v>1</v>
      </c>
    </row>
    <row r="60" spans="2:111" ht="24.95" hidden="1" customHeight="1" x14ac:dyDescent="0.3">
      <c r="B60"/>
      <c r="C60"/>
      <c r="D60"/>
      <c r="E60"/>
      <c r="F60"/>
      <c r="G60"/>
      <c r="H60"/>
      <c r="I60" s="14">
        <v>1</v>
      </c>
      <c r="J60"/>
      <c r="K60"/>
      <c r="L60"/>
      <c r="M60"/>
      <c r="N60"/>
      <c r="O60" s="10" t="s">
        <v>1307</v>
      </c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 s="10" t="s">
        <v>1907</v>
      </c>
      <c r="AL60"/>
      <c r="AM60"/>
      <c r="AN60"/>
      <c r="AO60"/>
      <c r="AP60"/>
      <c r="AQ60"/>
      <c r="AR60"/>
      <c r="AS60"/>
      <c r="AT60"/>
      <c r="AU60" s="10" t="s">
        <v>1943</v>
      </c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 s="10" t="s">
        <v>2241</v>
      </c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 s="10" t="s">
        <v>1171</v>
      </c>
      <c r="CN60"/>
      <c r="CO60"/>
      <c r="CP60"/>
      <c r="CQ60"/>
      <c r="CR60"/>
      <c r="CS60"/>
      <c r="CT60"/>
      <c r="CU60"/>
      <c r="CV60"/>
      <c r="DG60" s="14">
        <v>1</v>
      </c>
    </row>
    <row r="61" spans="2:111" ht="24.95" hidden="1" customHeight="1" x14ac:dyDescent="0.3">
      <c r="B61"/>
      <c r="C61"/>
      <c r="D61"/>
      <c r="E61"/>
      <c r="F61"/>
      <c r="G61"/>
      <c r="H61"/>
      <c r="I61" s="14">
        <v>1</v>
      </c>
      <c r="J61"/>
      <c r="K61"/>
      <c r="L61"/>
      <c r="M61"/>
      <c r="N61"/>
      <c r="O61" s="10" t="s">
        <v>1309</v>
      </c>
      <c r="P61" s="10" t="s">
        <v>2921</v>
      </c>
      <c r="Q61" s="10" t="s">
        <v>2923</v>
      </c>
      <c r="R61" s="10" t="s">
        <v>2925</v>
      </c>
      <c r="S61" s="10" t="s">
        <v>2927</v>
      </c>
      <c r="T61" s="10" t="s">
        <v>1277</v>
      </c>
      <c r="U61" s="10" t="s">
        <v>1279</v>
      </c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 s="10" t="s">
        <v>1909</v>
      </c>
      <c r="AL61"/>
      <c r="AM61"/>
      <c r="AN61"/>
      <c r="AO61"/>
      <c r="AP61"/>
      <c r="AQ61"/>
      <c r="AR61"/>
      <c r="AS61"/>
      <c r="AT61"/>
      <c r="AU61" s="10" t="s">
        <v>1945</v>
      </c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 s="10" t="s">
        <v>2243</v>
      </c>
      <c r="BS61"/>
      <c r="BT61"/>
      <c r="BU61"/>
      <c r="BV61" s="10" t="s">
        <v>2249</v>
      </c>
      <c r="BW61" s="10" t="s">
        <v>2255</v>
      </c>
      <c r="BX61" s="10" t="s">
        <v>1885</v>
      </c>
      <c r="BY61" s="10" t="s">
        <v>1887</v>
      </c>
      <c r="BZ61" s="10" t="s">
        <v>2257</v>
      </c>
      <c r="CA61" s="10" t="s">
        <v>1133</v>
      </c>
      <c r="CB61" s="10" t="s">
        <v>1135</v>
      </c>
      <c r="CC61"/>
      <c r="CD61"/>
      <c r="CE61"/>
      <c r="CF61"/>
      <c r="CG61"/>
      <c r="CH61"/>
      <c r="CI61"/>
      <c r="CJ61"/>
      <c r="CK61"/>
      <c r="CL61"/>
      <c r="CM61" s="10" t="s">
        <v>2715</v>
      </c>
      <c r="CN61"/>
      <c r="CO61"/>
      <c r="CP61"/>
      <c r="CQ61"/>
      <c r="CR61"/>
      <c r="CS61"/>
      <c r="CT61"/>
      <c r="CU61"/>
      <c r="CV61"/>
      <c r="DG61" s="14">
        <v>1</v>
      </c>
    </row>
    <row r="62" spans="2:111" ht="24.95" hidden="1" customHeight="1" x14ac:dyDescent="0.3">
      <c r="B62"/>
      <c r="C62"/>
      <c r="D62"/>
      <c r="E62"/>
      <c r="F62"/>
      <c r="G62"/>
      <c r="H62"/>
      <c r="I62" s="14">
        <v>1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 s="10" t="s">
        <v>1911</v>
      </c>
      <c r="AL62"/>
      <c r="AM62"/>
      <c r="AN62"/>
      <c r="AO62"/>
      <c r="AP62"/>
      <c r="AQ62"/>
      <c r="AR62"/>
      <c r="AS62"/>
      <c r="AT62"/>
      <c r="AU62" s="10" t="s">
        <v>1947</v>
      </c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 s="10" t="s">
        <v>2245</v>
      </c>
      <c r="BS62"/>
      <c r="BT62"/>
      <c r="BU62"/>
      <c r="BV62" s="10" t="s">
        <v>2251</v>
      </c>
      <c r="BW62"/>
      <c r="BX62"/>
      <c r="BY62"/>
      <c r="BZ62"/>
      <c r="CA62"/>
      <c r="CB62" s="10" t="s">
        <v>1137</v>
      </c>
      <c r="CC62"/>
      <c r="CD62"/>
      <c r="CE62"/>
      <c r="CF62"/>
      <c r="CG62"/>
      <c r="CH62"/>
      <c r="CI62"/>
      <c r="CJ62"/>
      <c r="CK62" s="10" t="s">
        <v>2709</v>
      </c>
      <c r="CL62" s="10" t="s">
        <v>2711</v>
      </c>
      <c r="CM62" s="10" t="s">
        <v>2713</v>
      </c>
      <c r="CN62" s="8" t="s">
        <v>829</v>
      </c>
      <c r="CO62" s="10" t="s">
        <v>1467</v>
      </c>
      <c r="CP62" s="10" t="s">
        <v>1469</v>
      </c>
      <c r="CQ62"/>
      <c r="CR62"/>
      <c r="CS62"/>
      <c r="CT62"/>
      <c r="CU62"/>
      <c r="CV62"/>
      <c r="CW62" s="8" t="s">
        <v>664</v>
      </c>
      <c r="DG62" s="14">
        <v>1</v>
      </c>
    </row>
    <row r="63" spans="2:111" ht="24.95" hidden="1" customHeight="1" x14ac:dyDescent="0.3">
      <c r="B63"/>
      <c r="C63"/>
      <c r="D63"/>
      <c r="E63"/>
      <c r="F63"/>
      <c r="G63"/>
      <c r="H63"/>
      <c r="I63" s="14">
        <v>1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9" t="s">
        <v>20</v>
      </c>
      <c r="AD63"/>
      <c r="AE63"/>
      <c r="AF63"/>
      <c r="AG63"/>
      <c r="AH63"/>
      <c r="AI63"/>
      <c r="AJ63"/>
      <c r="AK63" s="10" t="s">
        <v>1913</v>
      </c>
      <c r="AL63"/>
      <c r="AM63"/>
      <c r="AN63"/>
      <c r="AO63"/>
      <c r="AP63"/>
      <c r="AQ63"/>
      <c r="AR63"/>
      <c r="AS63"/>
      <c r="AT63"/>
      <c r="AU63" s="10" t="s">
        <v>1949</v>
      </c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 s="10" t="s">
        <v>2247</v>
      </c>
      <c r="BS63"/>
      <c r="BT63"/>
      <c r="BU63"/>
      <c r="BV63" s="10" t="s">
        <v>2253</v>
      </c>
      <c r="BW63"/>
      <c r="BX63"/>
      <c r="BY63"/>
      <c r="BZ63"/>
      <c r="CA63"/>
      <c r="CB63" s="10" t="s">
        <v>1139</v>
      </c>
      <c r="CC63"/>
      <c r="CD63"/>
      <c r="CE63"/>
      <c r="CF63"/>
      <c r="CG63"/>
      <c r="CH63"/>
      <c r="CI63"/>
      <c r="CJ63"/>
      <c r="CK63" s="10" t="s">
        <v>2717</v>
      </c>
      <c r="CL63"/>
      <c r="CM63"/>
      <c r="CN63"/>
      <c r="CO63"/>
      <c r="CP63"/>
      <c r="CQ63"/>
      <c r="CR63"/>
      <c r="CS63"/>
      <c r="CT63"/>
      <c r="CU63"/>
      <c r="CV63"/>
      <c r="DG63" s="14">
        <v>1</v>
      </c>
    </row>
    <row r="64" spans="2:111" ht="24.95" hidden="1" customHeight="1" x14ac:dyDescent="0.3">
      <c r="B64"/>
      <c r="C64"/>
      <c r="D64"/>
      <c r="E64"/>
      <c r="F64"/>
      <c r="G64"/>
      <c r="H64"/>
      <c r="I64" s="14">
        <v>1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 s="10" t="s">
        <v>1915</v>
      </c>
      <c r="AL64"/>
      <c r="AM64"/>
      <c r="AN64"/>
      <c r="AO64"/>
      <c r="AP64"/>
      <c r="AQ64"/>
      <c r="AR64"/>
      <c r="AS64"/>
      <c r="AT64"/>
      <c r="AU64" s="10" t="s">
        <v>1951</v>
      </c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 s="10" t="s">
        <v>1123</v>
      </c>
      <c r="BS64" s="10" t="s">
        <v>1125</v>
      </c>
      <c r="BT64" s="10" t="s">
        <v>1127</v>
      </c>
      <c r="BU64" s="10" t="s">
        <v>1129</v>
      </c>
      <c r="BV64" s="10" t="s">
        <v>1131</v>
      </c>
      <c r="BW64"/>
      <c r="BX64"/>
      <c r="BY64"/>
      <c r="BZ64"/>
      <c r="CA64"/>
      <c r="CB64" s="10" t="s">
        <v>2259</v>
      </c>
      <c r="CC64" s="10" t="s">
        <v>2689</v>
      </c>
      <c r="CD64" s="10" t="s">
        <v>2691</v>
      </c>
      <c r="CE64" s="10" t="s">
        <v>2693</v>
      </c>
      <c r="CF64" s="10" t="s">
        <v>2695</v>
      </c>
      <c r="CG64" s="10" t="s">
        <v>2697</v>
      </c>
      <c r="CH64" s="10" t="s">
        <v>2699</v>
      </c>
      <c r="CI64" s="10" t="s">
        <v>2701</v>
      </c>
      <c r="CJ64" s="10" t="s">
        <v>2703</v>
      </c>
      <c r="CK64" s="10" t="s">
        <v>2705</v>
      </c>
      <c r="CL64"/>
      <c r="CM64"/>
      <c r="CN64"/>
      <c r="CO64"/>
      <c r="CP64"/>
      <c r="CQ64"/>
      <c r="CR64"/>
      <c r="CS64"/>
      <c r="CT64" s="10" t="s">
        <v>1641</v>
      </c>
      <c r="CU64" s="10" t="s">
        <v>1643</v>
      </c>
      <c r="CV64" s="10" t="s">
        <v>1645</v>
      </c>
      <c r="DC64" s="9" t="s">
        <v>135</v>
      </c>
      <c r="DG64" s="14">
        <v>1</v>
      </c>
    </row>
    <row r="65" spans="2:111" ht="24.95" hidden="1" customHeight="1" x14ac:dyDescent="0.3">
      <c r="B65"/>
      <c r="C65"/>
      <c r="D65"/>
      <c r="E65"/>
      <c r="F65"/>
      <c r="G65"/>
      <c r="H65"/>
      <c r="I65" s="14">
        <v>1</v>
      </c>
      <c r="J65" s="9" t="s">
        <v>120</v>
      </c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 s="10" t="s">
        <v>1917</v>
      </c>
      <c r="AL65"/>
      <c r="AM65"/>
      <c r="AN65"/>
      <c r="AO65"/>
      <c r="AP65"/>
      <c r="AQ65"/>
      <c r="AR65"/>
      <c r="AS65"/>
      <c r="AT65"/>
      <c r="AU65" s="10" t="s">
        <v>1953</v>
      </c>
      <c r="AV65"/>
      <c r="AW65"/>
      <c r="AX65"/>
      <c r="AY65"/>
      <c r="AZ65"/>
      <c r="BA65"/>
      <c r="BB65"/>
      <c r="BC65"/>
      <c r="BD65"/>
      <c r="BE65"/>
      <c r="BF65"/>
      <c r="BG65"/>
      <c r="BH65"/>
      <c r="BI65" s="8" t="s">
        <v>879</v>
      </c>
      <c r="BJ65"/>
      <c r="BK65"/>
      <c r="BL65"/>
      <c r="BM65"/>
      <c r="BN65"/>
      <c r="BO65"/>
      <c r="BP65"/>
      <c r="BQ65"/>
      <c r="BR65" s="10" t="s">
        <v>2261</v>
      </c>
      <c r="BS65"/>
      <c r="BT65"/>
      <c r="BU65"/>
      <c r="BV65"/>
      <c r="BW65"/>
      <c r="BX65"/>
      <c r="BY65" s="8" t="s">
        <v>524</v>
      </c>
      <c r="BZ65"/>
      <c r="CA65"/>
      <c r="CB65"/>
      <c r="CC65"/>
      <c r="CD65"/>
      <c r="CE65"/>
      <c r="CF65"/>
      <c r="CG65"/>
      <c r="CH65"/>
      <c r="CI65"/>
      <c r="CJ65"/>
      <c r="CK65" s="10" t="s">
        <v>2707</v>
      </c>
      <c r="CL65"/>
      <c r="CM65"/>
      <c r="CN65"/>
      <c r="CO65"/>
      <c r="CP65"/>
      <c r="CQ65"/>
      <c r="CR65"/>
      <c r="CS65"/>
      <c r="CT65"/>
      <c r="CU65"/>
      <c r="CV65"/>
      <c r="DG65" s="14">
        <v>1</v>
      </c>
    </row>
    <row r="66" spans="2:111" ht="24.95" hidden="1" customHeight="1" x14ac:dyDescent="0.3">
      <c r="B66"/>
      <c r="C66"/>
      <c r="D66"/>
      <c r="E66"/>
      <c r="F66"/>
      <c r="G66"/>
      <c r="H66"/>
      <c r="I66" s="14">
        <v>1</v>
      </c>
      <c r="J66" s="10" t="s">
        <v>1415</v>
      </c>
      <c r="K66" s="10" t="s">
        <v>1417</v>
      </c>
      <c r="L66" s="10" t="s">
        <v>2215</v>
      </c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 s="10" t="s">
        <v>1919</v>
      </c>
      <c r="AL66"/>
      <c r="AM66"/>
      <c r="AN66"/>
      <c r="AO66"/>
      <c r="AP66"/>
      <c r="AQ66"/>
      <c r="AR66"/>
      <c r="AS66"/>
      <c r="AT66"/>
      <c r="AU66" s="10" t="s">
        <v>1955</v>
      </c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 s="10" t="s">
        <v>2263</v>
      </c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 s="10" t="s">
        <v>1635</v>
      </c>
      <c r="CK66" s="10" t="s">
        <v>1637</v>
      </c>
      <c r="CL66" s="10" t="s">
        <v>1639</v>
      </c>
      <c r="CM66"/>
      <c r="CN66"/>
      <c r="CO66"/>
      <c r="CP66"/>
      <c r="CQ66"/>
      <c r="CR66"/>
      <c r="CS66"/>
      <c r="CT66"/>
      <c r="CU66"/>
      <c r="CV66"/>
      <c r="DG66" s="14">
        <v>1</v>
      </c>
    </row>
    <row r="67" spans="2:111" ht="24.95" hidden="1" customHeight="1" x14ac:dyDescent="0.3">
      <c r="B67"/>
      <c r="C67"/>
      <c r="D67"/>
      <c r="E67"/>
      <c r="F67"/>
      <c r="G67"/>
      <c r="H67"/>
      <c r="I67" s="14">
        <v>1</v>
      </c>
      <c r="J67"/>
      <c r="K67"/>
      <c r="L67" s="10" t="s">
        <v>2217</v>
      </c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 s="10" t="s">
        <v>1921</v>
      </c>
      <c r="AL67" s="10" t="s">
        <v>1923</v>
      </c>
      <c r="AM67" s="10" t="s">
        <v>1925</v>
      </c>
      <c r="AN67" s="10" t="s">
        <v>1927</v>
      </c>
      <c r="AO67" s="10" t="s">
        <v>1929</v>
      </c>
      <c r="AP67" s="10" t="s">
        <v>1671</v>
      </c>
      <c r="AQ67" s="10" t="s">
        <v>1673</v>
      </c>
      <c r="AR67" s="10" t="s">
        <v>1675</v>
      </c>
      <c r="AS67" s="10" t="s">
        <v>1931</v>
      </c>
      <c r="AT67" s="10" t="s">
        <v>1933</v>
      </c>
      <c r="AU67" s="10" t="s">
        <v>1935</v>
      </c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 s="10" t="s">
        <v>2265</v>
      </c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DG67" s="14">
        <v>1</v>
      </c>
    </row>
    <row r="68" spans="2:111" ht="24.95" hidden="1" customHeight="1" x14ac:dyDescent="0.3">
      <c r="B68"/>
      <c r="C68"/>
      <c r="D68"/>
      <c r="E68"/>
      <c r="F68"/>
      <c r="G68"/>
      <c r="H68"/>
      <c r="I68" s="14">
        <v>1</v>
      </c>
      <c r="J68"/>
      <c r="K68"/>
      <c r="L68" s="10" t="s">
        <v>2219</v>
      </c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 s="10" t="s">
        <v>2043</v>
      </c>
      <c r="AL68"/>
      <c r="AM68"/>
      <c r="AN68"/>
      <c r="AO68"/>
      <c r="AP68"/>
      <c r="AQ68"/>
      <c r="AR68" s="10" t="s">
        <v>2031</v>
      </c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 s="10" t="s">
        <v>2267</v>
      </c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DG68" s="14">
        <v>1</v>
      </c>
    </row>
    <row r="69" spans="2:111" ht="24.95" hidden="1" customHeight="1" x14ac:dyDescent="0.3">
      <c r="B69"/>
      <c r="C69"/>
      <c r="D69"/>
      <c r="E69"/>
      <c r="F69"/>
      <c r="G69"/>
      <c r="H69"/>
      <c r="I69" s="14">
        <v>1</v>
      </c>
      <c r="J69" s="8" t="s">
        <v>924</v>
      </c>
      <c r="K69"/>
      <c r="L69" s="10" t="s">
        <v>2211</v>
      </c>
      <c r="M69" s="10" t="s">
        <v>2213</v>
      </c>
      <c r="N69" s="10" t="s">
        <v>2195</v>
      </c>
      <c r="O69" s="10" t="s">
        <v>2197</v>
      </c>
      <c r="P69" s="10" t="s">
        <v>2199</v>
      </c>
      <c r="Q69" s="10" t="s">
        <v>2189</v>
      </c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 s="10" t="s">
        <v>1677</v>
      </c>
      <c r="AI69" s="10" t="s">
        <v>1679</v>
      </c>
      <c r="AJ69" s="10" t="s">
        <v>2045</v>
      </c>
      <c r="AK69" s="10" t="s">
        <v>2047</v>
      </c>
      <c r="AL69"/>
      <c r="AM69"/>
      <c r="AN69"/>
      <c r="AO69"/>
      <c r="AP69"/>
      <c r="AQ69"/>
      <c r="AR69" s="10" t="s">
        <v>2033</v>
      </c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 s="10" t="s">
        <v>2269</v>
      </c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DG69" s="14">
        <v>1</v>
      </c>
    </row>
    <row r="70" spans="2:111" ht="24.95" hidden="1" customHeight="1" x14ac:dyDescent="0.3">
      <c r="B70"/>
      <c r="C70"/>
      <c r="D70"/>
      <c r="E70"/>
      <c r="F70"/>
      <c r="G70"/>
      <c r="H70"/>
      <c r="I70" s="14">
        <v>1</v>
      </c>
      <c r="J70"/>
      <c r="K70"/>
      <c r="L70"/>
      <c r="M70"/>
      <c r="N70"/>
      <c r="O70"/>
      <c r="P70"/>
      <c r="Q70" s="10" t="s">
        <v>2191</v>
      </c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 s="10" t="s">
        <v>1681</v>
      </c>
      <c r="AI70"/>
      <c r="AJ70"/>
      <c r="AK70"/>
      <c r="AL70"/>
      <c r="AM70"/>
      <c r="AN70"/>
      <c r="AO70"/>
      <c r="AP70"/>
      <c r="AQ70"/>
      <c r="AR70" s="10" t="s">
        <v>2035</v>
      </c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 s="10" t="s">
        <v>2271</v>
      </c>
      <c r="BS70" s="10" t="s">
        <v>2275</v>
      </c>
      <c r="BT70" s="10" t="s">
        <v>2277</v>
      </c>
      <c r="BU70" s="10" t="s">
        <v>1545</v>
      </c>
      <c r="BV70" s="10" t="s">
        <v>1547</v>
      </c>
      <c r="BW70" s="10" t="s">
        <v>2279</v>
      </c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DG70" s="14">
        <v>1</v>
      </c>
    </row>
    <row r="71" spans="2:111" ht="24.95" hidden="1" customHeight="1" x14ac:dyDescent="0.3">
      <c r="B71"/>
      <c r="C71"/>
      <c r="D71"/>
      <c r="E71"/>
      <c r="F71"/>
      <c r="G71"/>
      <c r="H71"/>
      <c r="I71" s="14">
        <v>1</v>
      </c>
      <c r="J71"/>
      <c r="K71"/>
      <c r="L71"/>
      <c r="M71"/>
      <c r="N71"/>
      <c r="O71"/>
      <c r="P71"/>
      <c r="Q71" s="10" t="s">
        <v>2193</v>
      </c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 s="10" t="s">
        <v>2049</v>
      </c>
      <c r="AI71"/>
      <c r="AJ71"/>
      <c r="AK71"/>
      <c r="AL71"/>
      <c r="AM71"/>
      <c r="AN71"/>
      <c r="AO71"/>
      <c r="AP71"/>
      <c r="AQ71"/>
      <c r="AR71" s="10" t="s">
        <v>2037</v>
      </c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 s="10" t="s">
        <v>1549</v>
      </c>
      <c r="BP71" s="10" t="s">
        <v>1551</v>
      </c>
      <c r="BQ71" s="10" t="s">
        <v>1553</v>
      </c>
      <c r="BR71" s="10" t="s">
        <v>2273</v>
      </c>
      <c r="BS71"/>
      <c r="BT71"/>
      <c r="BU71"/>
      <c r="BV71"/>
      <c r="BW71" s="10" t="s">
        <v>2281</v>
      </c>
      <c r="BX71"/>
      <c r="BY71"/>
      <c r="BZ71"/>
      <c r="CA71"/>
      <c r="CB71"/>
      <c r="CC71"/>
      <c r="CD71"/>
      <c r="CE71"/>
      <c r="CF71"/>
      <c r="CG71"/>
      <c r="CH71"/>
      <c r="CI71" s="10" t="s">
        <v>1519</v>
      </c>
      <c r="CJ71"/>
      <c r="CK71"/>
      <c r="CL71"/>
      <c r="CM71"/>
      <c r="CN71"/>
      <c r="CO71"/>
      <c r="CP71"/>
      <c r="CQ71"/>
      <c r="CR71"/>
      <c r="CS71"/>
      <c r="CT71"/>
      <c r="CU71"/>
      <c r="CV71"/>
      <c r="DG71" s="14">
        <v>1</v>
      </c>
    </row>
    <row r="72" spans="2:111" ht="24.95" hidden="1" customHeight="1" x14ac:dyDescent="0.3">
      <c r="B72"/>
      <c r="C72"/>
      <c r="D72"/>
      <c r="E72"/>
      <c r="F72"/>
      <c r="G72"/>
      <c r="H72"/>
      <c r="I72" s="14">
        <v>1</v>
      </c>
      <c r="J72"/>
      <c r="K72"/>
      <c r="L72"/>
      <c r="M72"/>
      <c r="N72"/>
      <c r="O72"/>
      <c r="P72"/>
      <c r="Q72" s="10" t="s">
        <v>1709</v>
      </c>
      <c r="R72" s="10" t="s">
        <v>1711</v>
      </c>
      <c r="S72" s="10" t="s">
        <v>1713</v>
      </c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 s="10" t="s">
        <v>2051</v>
      </c>
      <c r="AI72"/>
      <c r="AJ72"/>
      <c r="AK72"/>
      <c r="AL72"/>
      <c r="AM72"/>
      <c r="AN72"/>
      <c r="AO72"/>
      <c r="AP72"/>
      <c r="AQ72"/>
      <c r="AR72" s="10" t="s">
        <v>2039</v>
      </c>
      <c r="AS72"/>
      <c r="AT72" s="8" t="s">
        <v>309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 s="10" t="s">
        <v>2319</v>
      </c>
      <c r="BR72"/>
      <c r="BS72"/>
      <c r="BT72"/>
      <c r="BU72"/>
      <c r="BV72"/>
      <c r="BW72" s="10" t="s">
        <v>2283</v>
      </c>
      <c r="BX72"/>
      <c r="BY72"/>
      <c r="BZ72"/>
      <c r="CA72"/>
      <c r="CB72"/>
      <c r="CC72"/>
      <c r="CD72"/>
      <c r="CE72"/>
      <c r="CF72"/>
      <c r="CG72"/>
      <c r="CH72"/>
      <c r="CI72" s="10" t="s">
        <v>2375</v>
      </c>
      <c r="CJ72" s="10" t="s">
        <v>2395</v>
      </c>
      <c r="CK72" s="10" t="s">
        <v>2397</v>
      </c>
      <c r="CL72" s="10" t="s">
        <v>2399</v>
      </c>
      <c r="CM72" s="10" t="s">
        <v>2401</v>
      </c>
      <c r="CN72" s="10" t="s">
        <v>2403</v>
      </c>
      <c r="CO72" s="10" t="s">
        <v>2405</v>
      </c>
      <c r="CP72" s="10" t="s">
        <v>2407</v>
      </c>
      <c r="CQ72" s="10" t="s">
        <v>2409</v>
      </c>
      <c r="CR72" s="10" t="s">
        <v>2411</v>
      </c>
      <c r="CS72" s="10" t="s">
        <v>2413</v>
      </c>
      <c r="CT72" s="10" t="s">
        <v>2415</v>
      </c>
      <c r="CU72" s="10" t="s">
        <v>2417</v>
      </c>
      <c r="CV72" s="10" t="s">
        <v>1647</v>
      </c>
      <c r="CW72" s="10" t="s">
        <v>1649</v>
      </c>
      <c r="CX72" s="10" t="s">
        <v>2419</v>
      </c>
      <c r="CY72" s="10" t="s">
        <v>2421</v>
      </c>
      <c r="CZ72" s="10" t="s">
        <v>2423</v>
      </c>
      <c r="DA72" s="10" t="s">
        <v>2425</v>
      </c>
      <c r="DB72" s="10" t="s">
        <v>2427</v>
      </c>
      <c r="DC72" s="10" t="s">
        <v>2429</v>
      </c>
      <c r="DD72" s="10" t="s">
        <v>2431</v>
      </c>
      <c r="DG72" s="14">
        <v>1</v>
      </c>
    </row>
    <row r="73" spans="2:111" ht="24.95" hidden="1" customHeight="1" x14ac:dyDescent="0.3">
      <c r="B73"/>
      <c r="C73"/>
      <c r="D73"/>
      <c r="E73"/>
      <c r="F73"/>
      <c r="G73"/>
      <c r="H73"/>
      <c r="I73" s="14">
        <v>1</v>
      </c>
      <c r="J73"/>
      <c r="K73"/>
      <c r="L73"/>
      <c r="M73"/>
      <c r="N73" s="10" t="s">
        <v>1707</v>
      </c>
      <c r="O73"/>
      <c r="P73"/>
      <c r="Q73" s="10" t="s">
        <v>2201</v>
      </c>
      <c r="R73"/>
      <c r="S73" s="8" t="s">
        <v>804</v>
      </c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 s="10" t="s">
        <v>2053</v>
      </c>
      <c r="AI73"/>
      <c r="AJ73"/>
      <c r="AK73"/>
      <c r="AL73"/>
      <c r="AM73"/>
      <c r="AN73"/>
      <c r="AO73"/>
      <c r="AP73"/>
      <c r="AQ73"/>
      <c r="AR73" s="10" t="s">
        <v>2041</v>
      </c>
      <c r="AS73"/>
      <c r="AT73"/>
      <c r="AU73"/>
      <c r="AV73" s="8" t="s">
        <v>369</v>
      </c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 s="8" t="s">
        <v>719</v>
      </c>
      <c r="BQ73" s="10" t="s">
        <v>2321</v>
      </c>
      <c r="BR73"/>
      <c r="BS73"/>
      <c r="BT73"/>
      <c r="BU73"/>
      <c r="BV73"/>
      <c r="BW73" s="10" t="s">
        <v>2285</v>
      </c>
      <c r="BX73" s="10" t="s">
        <v>1539</v>
      </c>
      <c r="BY73" s="10" t="s">
        <v>1541</v>
      </c>
      <c r="BZ73" s="10" t="s">
        <v>1543</v>
      </c>
      <c r="CA73" s="10" t="s">
        <v>2361</v>
      </c>
      <c r="CB73" s="10" t="s">
        <v>2363</v>
      </c>
      <c r="CC73" s="10" t="s">
        <v>2365</v>
      </c>
      <c r="CD73" s="10" t="s">
        <v>2367</v>
      </c>
      <c r="CE73"/>
      <c r="CF73" s="9" t="s">
        <v>210</v>
      </c>
      <c r="CG73" s="10" t="s">
        <v>2369</v>
      </c>
      <c r="CH73" s="10" t="s">
        <v>2371</v>
      </c>
      <c r="CI73" s="10" t="s">
        <v>2373</v>
      </c>
      <c r="CJ73"/>
      <c r="CK73"/>
      <c r="CL73"/>
      <c r="CM73"/>
      <c r="CN73"/>
      <c r="CO73"/>
      <c r="CP73"/>
      <c r="CQ73"/>
      <c r="CR73"/>
      <c r="CS73"/>
      <c r="CT73"/>
      <c r="CU73"/>
      <c r="CV73"/>
      <c r="DG73" s="14">
        <v>1</v>
      </c>
    </row>
    <row r="74" spans="2:111" ht="24.95" hidden="1" customHeight="1" x14ac:dyDescent="0.3">
      <c r="B74"/>
      <c r="C74"/>
      <c r="D74"/>
      <c r="E74"/>
      <c r="F74"/>
      <c r="G74"/>
      <c r="H74"/>
      <c r="I74" s="14">
        <v>1</v>
      </c>
      <c r="J74"/>
      <c r="K74"/>
      <c r="L74"/>
      <c r="M74"/>
      <c r="N74" s="10" t="s">
        <v>2205</v>
      </c>
      <c r="O74" s="10" t="s">
        <v>2207</v>
      </c>
      <c r="P74" s="10" t="s">
        <v>2209</v>
      </c>
      <c r="Q74" s="10" t="s">
        <v>2203</v>
      </c>
      <c r="R74"/>
      <c r="S74" s="10" t="s">
        <v>2179</v>
      </c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 s="10" t="s">
        <v>2055</v>
      </c>
      <c r="AI74"/>
      <c r="AJ74"/>
      <c r="AK74"/>
      <c r="AL74"/>
      <c r="AM74"/>
      <c r="AN74"/>
      <c r="AO74"/>
      <c r="AP74"/>
      <c r="AQ74"/>
      <c r="AR74" s="10" t="s">
        <v>1569</v>
      </c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 s="10" t="s">
        <v>2323</v>
      </c>
      <c r="BR74"/>
      <c r="BS74"/>
      <c r="BT74"/>
      <c r="BU74"/>
      <c r="BV74"/>
      <c r="BW74" s="10" t="s">
        <v>2287</v>
      </c>
      <c r="BX74"/>
      <c r="BY74"/>
      <c r="BZ74"/>
      <c r="CA74"/>
      <c r="CB74"/>
      <c r="CC74"/>
      <c r="CD74"/>
      <c r="CE74"/>
      <c r="CF74"/>
      <c r="CG74"/>
      <c r="CH74"/>
      <c r="CI74" s="10" t="s">
        <v>2377</v>
      </c>
      <c r="CJ74"/>
      <c r="CK74"/>
      <c r="CL74" s="9" t="s">
        <v>185</v>
      </c>
      <c r="CM74"/>
      <c r="CN74"/>
      <c r="CO74"/>
      <c r="CP74"/>
      <c r="CQ74"/>
      <c r="CR74"/>
      <c r="CS74"/>
      <c r="CT74"/>
      <c r="CU74"/>
      <c r="CV74"/>
      <c r="DG74" s="14">
        <v>1</v>
      </c>
    </row>
    <row r="75" spans="2:111" ht="24.95" hidden="1" customHeight="1" x14ac:dyDescent="0.3">
      <c r="B75"/>
      <c r="C75"/>
      <c r="D75"/>
      <c r="E75"/>
      <c r="F75"/>
      <c r="G75"/>
      <c r="H75"/>
      <c r="I75" s="14">
        <v>1</v>
      </c>
      <c r="J75"/>
      <c r="K75"/>
      <c r="L75"/>
      <c r="M75"/>
      <c r="N75"/>
      <c r="O75"/>
      <c r="P75"/>
      <c r="Q75"/>
      <c r="R75"/>
      <c r="S75" s="10" t="s">
        <v>2181</v>
      </c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 s="10" t="s">
        <v>2057</v>
      </c>
      <c r="AI75"/>
      <c r="AJ75"/>
      <c r="AK75"/>
      <c r="AL75"/>
      <c r="AM75"/>
      <c r="AN75"/>
      <c r="AO75"/>
      <c r="AP75"/>
      <c r="AQ75"/>
      <c r="AR75" s="10" t="s">
        <v>1571</v>
      </c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 s="10" t="s">
        <v>2325</v>
      </c>
      <c r="BR75"/>
      <c r="BS75"/>
      <c r="BT75"/>
      <c r="BU75"/>
      <c r="BV75"/>
      <c r="BW75" s="10" t="s">
        <v>2289</v>
      </c>
      <c r="BX75"/>
      <c r="BY75"/>
      <c r="BZ75"/>
      <c r="CA75"/>
      <c r="CB75"/>
      <c r="CC75"/>
      <c r="CD75"/>
      <c r="CE75"/>
      <c r="CF75"/>
      <c r="CG75"/>
      <c r="CH75"/>
      <c r="CI75" s="10" t="s">
        <v>1515</v>
      </c>
      <c r="CJ75"/>
      <c r="CK75"/>
      <c r="CL75" s="8" t="s">
        <v>729</v>
      </c>
      <c r="CM75"/>
      <c r="CN75"/>
      <c r="CO75"/>
      <c r="CP75"/>
      <c r="CQ75"/>
      <c r="CR75"/>
      <c r="CS75"/>
      <c r="CT75"/>
      <c r="CU75"/>
      <c r="CV75"/>
      <c r="DG75" s="14">
        <v>1</v>
      </c>
    </row>
    <row r="76" spans="2:111" ht="24.95" hidden="1" customHeight="1" x14ac:dyDescent="0.3">
      <c r="B76"/>
      <c r="C76"/>
      <c r="D76"/>
      <c r="E76"/>
      <c r="F76"/>
      <c r="G76"/>
      <c r="H76"/>
      <c r="I76" s="14">
        <v>1</v>
      </c>
      <c r="J76"/>
      <c r="K76"/>
      <c r="L76"/>
      <c r="M76"/>
      <c r="N76"/>
      <c r="O76"/>
      <c r="P76"/>
      <c r="Q76"/>
      <c r="R76"/>
      <c r="S76" s="10" t="s">
        <v>2183</v>
      </c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 s="10" t="s">
        <v>2059</v>
      </c>
      <c r="AI76"/>
      <c r="AJ76"/>
      <c r="AK76"/>
      <c r="AL76"/>
      <c r="AM76"/>
      <c r="AN76"/>
      <c r="AO76"/>
      <c r="AP76"/>
      <c r="AQ76" s="9" t="s">
        <v>225</v>
      </c>
      <c r="AR76" s="10" t="s">
        <v>2085</v>
      </c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 s="8" t="s">
        <v>474</v>
      </c>
      <c r="BH76"/>
      <c r="BI76"/>
      <c r="BJ76"/>
      <c r="BK76"/>
      <c r="BL76"/>
      <c r="BM76"/>
      <c r="BN76"/>
      <c r="BO76"/>
      <c r="BP76"/>
      <c r="BQ76" s="10" t="s">
        <v>2327</v>
      </c>
      <c r="BR76"/>
      <c r="BS76"/>
      <c r="BT76"/>
      <c r="BU76"/>
      <c r="BV76"/>
      <c r="BW76" s="10" t="s">
        <v>2291</v>
      </c>
      <c r="BX76"/>
      <c r="BY76"/>
      <c r="BZ76"/>
      <c r="CA76"/>
      <c r="CB76"/>
      <c r="CC76"/>
      <c r="CD76"/>
      <c r="CE76"/>
      <c r="CF76"/>
      <c r="CG76" s="8" t="s">
        <v>744</v>
      </c>
      <c r="CH76"/>
      <c r="CI76" s="10" t="s">
        <v>1517</v>
      </c>
      <c r="CJ76"/>
      <c r="CK76"/>
      <c r="CL76"/>
      <c r="CM76"/>
      <c r="CN76"/>
      <c r="CO76"/>
      <c r="CP76"/>
      <c r="CQ76"/>
      <c r="CR76"/>
      <c r="CS76"/>
      <c r="CT76"/>
      <c r="CU76"/>
      <c r="CV76"/>
      <c r="DG76" s="14">
        <v>1</v>
      </c>
    </row>
    <row r="77" spans="2:111" ht="24.95" hidden="1" customHeight="1" x14ac:dyDescent="0.3">
      <c r="B77"/>
      <c r="C77"/>
      <c r="D77"/>
      <c r="E77"/>
      <c r="F77"/>
      <c r="G77"/>
      <c r="H77"/>
      <c r="I77" s="14">
        <v>1</v>
      </c>
      <c r="J77"/>
      <c r="K77"/>
      <c r="L77"/>
      <c r="M77"/>
      <c r="N77"/>
      <c r="O77"/>
      <c r="P77"/>
      <c r="Q77"/>
      <c r="R77"/>
      <c r="S77" s="10" t="s">
        <v>2185</v>
      </c>
      <c r="T77"/>
      <c r="U77"/>
      <c r="V77"/>
      <c r="W77"/>
      <c r="X77"/>
      <c r="Y77"/>
      <c r="Z77"/>
      <c r="AA77" s="8" t="s">
        <v>629</v>
      </c>
      <c r="AB77"/>
      <c r="AC77"/>
      <c r="AD77"/>
      <c r="AE77"/>
      <c r="AF77"/>
      <c r="AG77" s="10" t="s">
        <v>1683</v>
      </c>
      <c r="AH77" s="10" t="s">
        <v>1685</v>
      </c>
      <c r="AI77"/>
      <c r="AJ77"/>
      <c r="AK77"/>
      <c r="AL77"/>
      <c r="AM77"/>
      <c r="AN77"/>
      <c r="AO77"/>
      <c r="AP77"/>
      <c r="AQ77"/>
      <c r="AR77" s="10" t="s">
        <v>2087</v>
      </c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 s="9" t="s">
        <v>236</v>
      </c>
      <c r="BM77"/>
      <c r="BN77" s="8" t="s">
        <v>914</v>
      </c>
      <c r="BO77"/>
      <c r="BP77"/>
      <c r="BQ77" s="10" t="s">
        <v>2329</v>
      </c>
      <c r="BR77"/>
      <c r="BS77"/>
      <c r="BT77"/>
      <c r="BU77" s="8" t="s">
        <v>559</v>
      </c>
      <c r="BV77"/>
      <c r="BW77" s="10" t="s">
        <v>2293</v>
      </c>
      <c r="BX77"/>
      <c r="BY77"/>
      <c r="BZ77"/>
      <c r="CA77"/>
      <c r="CB77"/>
      <c r="CC77"/>
      <c r="CD77"/>
      <c r="CE77"/>
      <c r="CF77"/>
      <c r="CG77"/>
      <c r="CH77"/>
      <c r="CI77" s="10" t="s">
        <v>2379</v>
      </c>
      <c r="CJ77"/>
      <c r="CK77"/>
      <c r="CL77"/>
      <c r="CM77"/>
      <c r="CN77"/>
      <c r="CO77"/>
      <c r="CP77"/>
      <c r="CQ77"/>
      <c r="CR77"/>
      <c r="CS77"/>
      <c r="CT77"/>
      <c r="CU77"/>
      <c r="CV77"/>
      <c r="DG77" s="14">
        <v>1</v>
      </c>
    </row>
    <row r="78" spans="2:111" ht="24.95" hidden="1" customHeight="1" x14ac:dyDescent="0.3">
      <c r="B78"/>
      <c r="C78"/>
      <c r="D78"/>
      <c r="E78"/>
      <c r="F78"/>
      <c r="G78"/>
      <c r="H78"/>
      <c r="I78" s="14">
        <v>1</v>
      </c>
      <c r="J78"/>
      <c r="K78"/>
      <c r="L78"/>
      <c r="M78"/>
      <c r="N78"/>
      <c r="O78"/>
      <c r="P78"/>
      <c r="Q78"/>
      <c r="R78"/>
      <c r="S78" s="10" t="s">
        <v>2187</v>
      </c>
      <c r="T78"/>
      <c r="U78"/>
      <c r="V78"/>
      <c r="W78"/>
      <c r="X78"/>
      <c r="Y78"/>
      <c r="Z78"/>
      <c r="AA78"/>
      <c r="AB78"/>
      <c r="AC78"/>
      <c r="AD78"/>
      <c r="AE78"/>
      <c r="AF78"/>
      <c r="AG78" s="10" t="s">
        <v>1687</v>
      </c>
      <c r="AH78"/>
      <c r="AI78"/>
      <c r="AJ78"/>
      <c r="AK78"/>
      <c r="AL78"/>
      <c r="AM78"/>
      <c r="AN78"/>
      <c r="AO78"/>
      <c r="AP78"/>
      <c r="AQ78"/>
      <c r="AR78" s="10" t="s">
        <v>2089</v>
      </c>
      <c r="AS78"/>
      <c r="AT78"/>
      <c r="AU78" s="8" t="s">
        <v>909</v>
      </c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 s="10" t="s">
        <v>2331</v>
      </c>
      <c r="BR78"/>
      <c r="BS78"/>
      <c r="BT78"/>
      <c r="BU78"/>
      <c r="BV78"/>
      <c r="BW78" s="10" t="s">
        <v>2295</v>
      </c>
      <c r="BX78"/>
      <c r="BY78"/>
      <c r="BZ78"/>
      <c r="CA78"/>
      <c r="CB78"/>
      <c r="CC78"/>
      <c r="CD78"/>
      <c r="CE78"/>
      <c r="CF78"/>
      <c r="CG78"/>
      <c r="CH78"/>
      <c r="CI78" s="9" t="s">
        <v>130</v>
      </c>
      <c r="CJ78"/>
      <c r="CK78"/>
      <c r="CL78"/>
      <c r="CM78"/>
      <c r="CN78"/>
      <c r="CO78"/>
      <c r="CP78"/>
      <c r="CQ78"/>
      <c r="CR78"/>
      <c r="CS78"/>
      <c r="CT78"/>
      <c r="CU78"/>
      <c r="CV78"/>
      <c r="DG78" s="14">
        <v>1</v>
      </c>
    </row>
    <row r="79" spans="2:111" ht="24.95" hidden="1" customHeight="1" x14ac:dyDescent="0.3">
      <c r="B79"/>
      <c r="C79"/>
      <c r="D79"/>
      <c r="E79"/>
      <c r="F79"/>
      <c r="G79"/>
      <c r="H79"/>
      <c r="I79" s="14">
        <v>1</v>
      </c>
      <c r="J79"/>
      <c r="K79"/>
      <c r="L79" s="10" t="s">
        <v>1703</v>
      </c>
      <c r="M79" s="10" t="s">
        <v>2221</v>
      </c>
      <c r="N79" s="10" t="s">
        <v>2223</v>
      </c>
      <c r="O79" s="10" t="s">
        <v>2225</v>
      </c>
      <c r="P79" s="10" t="s">
        <v>2227</v>
      </c>
      <c r="Q79" s="10" t="s">
        <v>2229</v>
      </c>
      <c r="R79" s="10" t="s">
        <v>2231</v>
      </c>
      <c r="S79" s="10" t="s">
        <v>1697</v>
      </c>
      <c r="T79" s="10" t="s">
        <v>1699</v>
      </c>
      <c r="U79" s="10" t="s">
        <v>1701</v>
      </c>
      <c r="V79"/>
      <c r="W79"/>
      <c r="X79"/>
      <c r="Y79"/>
      <c r="Z79"/>
      <c r="AA79"/>
      <c r="AB79"/>
      <c r="AC79"/>
      <c r="AD79"/>
      <c r="AE79" s="10" t="s">
        <v>1693</v>
      </c>
      <c r="AF79"/>
      <c r="AG79" s="10" t="s">
        <v>1689</v>
      </c>
      <c r="AH79" s="10" t="s">
        <v>1691</v>
      </c>
      <c r="AI79" s="10" t="s">
        <v>2065</v>
      </c>
      <c r="AJ79" s="10" t="s">
        <v>2067</v>
      </c>
      <c r="AK79" s="10" t="s">
        <v>2069</v>
      </c>
      <c r="AL79" s="8" t="s">
        <v>689</v>
      </c>
      <c r="AM79" s="10" t="s">
        <v>2071</v>
      </c>
      <c r="AN79" s="10" t="s">
        <v>1573</v>
      </c>
      <c r="AO79"/>
      <c r="AP79"/>
      <c r="AQ79"/>
      <c r="AR79" s="10" t="s">
        <v>2091</v>
      </c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 s="10" t="s">
        <v>2333</v>
      </c>
      <c r="BR79"/>
      <c r="BS79"/>
      <c r="BT79"/>
      <c r="BU79"/>
      <c r="BV79"/>
      <c r="BW79" s="10" t="s">
        <v>2297</v>
      </c>
      <c r="BX79"/>
      <c r="BY79"/>
      <c r="BZ79" s="8" t="s">
        <v>274</v>
      </c>
      <c r="CA79"/>
      <c r="CB79"/>
      <c r="CC79" s="8" t="s">
        <v>594</v>
      </c>
      <c r="CD79"/>
      <c r="CE79" s="8" t="s">
        <v>424</v>
      </c>
      <c r="CF79"/>
      <c r="CG79" s="10" t="s">
        <v>2387</v>
      </c>
      <c r="CH79" s="10" t="s">
        <v>2393</v>
      </c>
      <c r="CI79" s="10" t="s">
        <v>1521</v>
      </c>
      <c r="CJ79" s="10" t="s">
        <v>1523</v>
      </c>
      <c r="CK79" s="10" t="s">
        <v>1525</v>
      </c>
      <c r="CL79" s="10" t="s">
        <v>2381</v>
      </c>
      <c r="CM79"/>
      <c r="CN79"/>
      <c r="CO79"/>
      <c r="CP79"/>
      <c r="CQ79"/>
      <c r="CR79"/>
      <c r="CS79"/>
      <c r="CT79"/>
      <c r="CU79"/>
      <c r="CV79"/>
      <c r="DG79" s="14">
        <v>1</v>
      </c>
    </row>
    <row r="80" spans="2:111" ht="24.95" hidden="1" customHeight="1" x14ac:dyDescent="0.3">
      <c r="B80"/>
      <c r="C80"/>
      <c r="D80"/>
      <c r="E80"/>
      <c r="F80"/>
      <c r="G80"/>
      <c r="H80"/>
      <c r="I80" s="14">
        <v>1</v>
      </c>
      <c r="J80" s="8" t="s">
        <v>794</v>
      </c>
      <c r="K80"/>
      <c r="L80" s="10" t="s">
        <v>1705</v>
      </c>
      <c r="M80"/>
      <c r="N80"/>
      <c r="O80"/>
      <c r="P80"/>
      <c r="Q80"/>
      <c r="R80"/>
      <c r="S80"/>
      <c r="T80"/>
      <c r="U80" s="10" t="s">
        <v>2165</v>
      </c>
      <c r="V80"/>
      <c r="W80"/>
      <c r="X80"/>
      <c r="Y80"/>
      <c r="Z80"/>
      <c r="AA80"/>
      <c r="AB80"/>
      <c r="AC80"/>
      <c r="AD80"/>
      <c r="AE80" s="10" t="s">
        <v>1695</v>
      </c>
      <c r="AF80" s="10" t="s">
        <v>2061</v>
      </c>
      <c r="AG80" s="10" t="s">
        <v>2063</v>
      </c>
      <c r="AH80"/>
      <c r="AI80"/>
      <c r="AJ80" s="10" t="s">
        <v>2073</v>
      </c>
      <c r="AK80"/>
      <c r="AL80"/>
      <c r="AM80"/>
      <c r="AN80" s="10" t="s">
        <v>1575</v>
      </c>
      <c r="AO80" s="10" t="s">
        <v>1577</v>
      </c>
      <c r="AP80" s="10" t="s">
        <v>1579</v>
      </c>
      <c r="AQ80" s="10" t="s">
        <v>1581</v>
      </c>
      <c r="AR80" s="10" t="s">
        <v>2233</v>
      </c>
      <c r="AS80"/>
      <c r="AT80"/>
      <c r="AU80"/>
      <c r="AV80"/>
      <c r="AW80"/>
      <c r="AX80"/>
      <c r="AY80"/>
      <c r="AZ80"/>
      <c r="BA80"/>
      <c r="BB80"/>
      <c r="BC80"/>
      <c r="BD80" s="9" t="s">
        <v>45</v>
      </c>
      <c r="BE80"/>
      <c r="BF80" s="9" t="s">
        <v>215</v>
      </c>
      <c r="BG80"/>
      <c r="BH80"/>
      <c r="BI80"/>
      <c r="BJ80"/>
      <c r="BK80"/>
      <c r="BL80"/>
      <c r="BM80"/>
      <c r="BN80"/>
      <c r="BO80"/>
      <c r="BP80"/>
      <c r="BQ80" s="8" t="s">
        <v>404</v>
      </c>
      <c r="BR80"/>
      <c r="BS80"/>
      <c r="BT80"/>
      <c r="BU80"/>
      <c r="BV80"/>
      <c r="BW80" s="10" t="s">
        <v>2299</v>
      </c>
      <c r="BX80"/>
      <c r="BY80"/>
      <c r="BZ80"/>
      <c r="CA80"/>
      <c r="CB80"/>
      <c r="CC80"/>
      <c r="CD80"/>
      <c r="CE80"/>
      <c r="CF80"/>
      <c r="CG80" s="10" t="s">
        <v>2389</v>
      </c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DG80" s="14">
        <v>1</v>
      </c>
    </row>
    <row r="81" spans="2:111" ht="24.95" hidden="1" customHeight="1" x14ac:dyDescent="0.3">
      <c r="B81"/>
      <c r="C81"/>
      <c r="D81"/>
      <c r="E81"/>
      <c r="F81"/>
      <c r="G81"/>
      <c r="H81"/>
      <c r="I81" s="14">
        <v>1</v>
      </c>
      <c r="J81"/>
      <c r="K81"/>
      <c r="L81"/>
      <c r="M81"/>
      <c r="N81"/>
      <c r="O81"/>
      <c r="P81"/>
      <c r="Q81"/>
      <c r="R81" s="8" t="s">
        <v>384</v>
      </c>
      <c r="S81"/>
      <c r="T81"/>
      <c r="U81" s="10" t="s">
        <v>2167</v>
      </c>
      <c r="V81"/>
      <c r="W81"/>
      <c r="X81"/>
      <c r="Y81"/>
      <c r="Z81"/>
      <c r="AA81"/>
      <c r="AB81"/>
      <c r="AC81" s="9" t="s">
        <v>115</v>
      </c>
      <c r="AD81"/>
      <c r="AE81" s="10" t="s">
        <v>2093</v>
      </c>
      <c r="AF81"/>
      <c r="AG81"/>
      <c r="AH81"/>
      <c r="AI81" s="8" t="s">
        <v>544</v>
      </c>
      <c r="AJ81" s="10" t="s">
        <v>2075</v>
      </c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 s="9" t="s">
        <v>15</v>
      </c>
      <c r="BF81"/>
      <c r="BG81"/>
      <c r="BH81"/>
      <c r="BI81"/>
      <c r="BJ81"/>
      <c r="BK81"/>
      <c r="BL81"/>
      <c r="BM81"/>
      <c r="BN81"/>
      <c r="BO81"/>
      <c r="BP81"/>
      <c r="BQ81" s="10" t="s">
        <v>2335</v>
      </c>
      <c r="BR81"/>
      <c r="BS81"/>
      <c r="BT81"/>
      <c r="BU81"/>
      <c r="BV81"/>
      <c r="BW81" s="10" t="s">
        <v>2301</v>
      </c>
      <c r="BX81" s="8" t="s">
        <v>789</v>
      </c>
      <c r="BY81" s="10" t="s">
        <v>2311</v>
      </c>
      <c r="BZ81" s="10" t="s">
        <v>2313</v>
      </c>
      <c r="CA81" s="10" t="s">
        <v>2315</v>
      </c>
      <c r="CB81" s="10" t="s">
        <v>2317</v>
      </c>
      <c r="CC81"/>
      <c r="CD81"/>
      <c r="CE81"/>
      <c r="CF81"/>
      <c r="CG81" s="10" t="s">
        <v>2391</v>
      </c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DG81" s="14">
        <v>1</v>
      </c>
    </row>
    <row r="82" spans="2:111" ht="24.95" hidden="1" customHeight="1" x14ac:dyDescent="0.3">
      <c r="B82"/>
      <c r="C82"/>
      <c r="D82"/>
      <c r="E82"/>
      <c r="F82"/>
      <c r="G82"/>
      <c r="H82"/>
      <c r="I82" s="14">
        <v>1</v>
      </c>
      <c r="J82"/>
      <c r="K82"/>
      <c r="L82"/>
      <c r="M82"/>
      <c r="N82"/>
      <c r="O82"/>
      <c r="P82"/>
      <c r="Q82"/>
      <c r="R82"/>
      <c r="S82"/>
      <c r="T82"/>
      <c r="U82" s="10" t="s">
        <v>2169</v>
      </c>
      <c r="V82"/>
      <c r="W82"/>
      <c r="X82"/>
      <c r="Y82"/>
      <c r="Z82"/>
      <c r="AA82"/>
      <c r="AB82"/>
      <c r="AC82"/>
      <c r="AD82"/>
      <c r="AE82" s="10" t="s">
        <v>2095</v>
      </c>
      <c r="AF82"/>
      <c r="AG82"/>
      <c r="AH82"/>
      <c r="AI82"/>
      <c r="AJ82" s="10" t="s">
        <v>2077</v>
      </c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 s="10" t="s">
        <v>2337</v>
      </c>
      <c r="BR82"/>
      <c r="BS82"/>
      <c r="BT82"/>
      <c r="BU82"/>
      <c r="BV82"/>
      <c r="BW82" s="10" t="s">
        <v>2303</v>
      </c>
      <c r="BX82"/>
      <c r="BY82"/>
      <c r="BZ82" s="8" t="s">
        <v>514</v>
      </c>
      <c r="CA82"/>
      <c r="CB82" s="10" t="s">
        <v>1537</v>
      </c>
      <c r="CC82"/>
      <c r="CD82"/>
      <c r="CE82"/>
      <c r="CF82"/>
      <c r="CG82" s="10" t="s">
        <v>1527</v>
      </c>
      <c r="CH82"/>
      <c r="CI82"/>
      <c r="CJ82"/>
      <c r="CK82"/>
      <c r="CL82"/>
      <c r="CM82"/>
      <c r="CN82"/>
      <c r="CO82"/>
      <c r="CP82"/>
      <c r="CQ82"/>
      <c r="CR82" s="8" t="s">
        <v>539</v>
      </c>
      <c r="CS82"/>
      <c r="CT82"/>
      <c r="CU82"/>
      <c r="CV82"/>
      <c r="DG82" s="14">
        <v>1</v>
      </c>
    </row>
    <row r="83" spans="2:111" ht="24.95" hidden="1" customHeight="1" x14ac:dyDescent="0.3">
      <c r="B83"/>
      <c r="C83"/>
      <c r="D83"/>
      <c r="E83"/>
      <c r="F83"/>
      <c r="G83"/>
      <c r="H83"/>
      <c r="I83" s="14">
        <v>1</v>
      </c>
      <c r="J83"/>
      <c r="K83"/>
      <c r="L83"/>
      <c r="M83"/>
      <c r="N83"/>
      <c r="O83"/>
      <c r="P83"/>
      <c r="Q83"/>
      <c r="R83"/>
      <c r="S83"/>
      <c r="T83"/>
      <c r="U83" s="10" t="s">
        <v>2171</v>
      </c>
      <c r="V83"/>
      <c r="W83"/>
      <c r="X83"/>
      <c r="Y83"/>
      <c r="Z83"/>
      <c r="AA83"/>
      <c r="AB83"/>
      <c r="AC83" s="10" t="s">
        <v>1721</v>
      </c>
      <c r="AD83" s="10" t="s">
        <v>1723</v>
      </c>
      <c r="AE83" s="10" t="s">
        <v>2097</v>
      </c>
      <c r="AF83"/>
      <c r="AG83"/>
      <c r="AH83"/>
      <c r="AI83"/>
      <c r="AJ83" s="10" t="s">
        <v>2079</v>
      </c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 s="10" t="s">
        <v>2339</v>
      </c>
      <c r="BR83"/>
      <c r="BS83"/>
      <c r="BT83"/>
      <c r="BU83"/>
      <c r="BV83"/>
      <c r="BW83" s="10" t="s">
        <v>2305</v>
      </c>
      <c r="BX83"/>
      <c r="BY83"/>
      <c r="BZ83"/>
      <c r="CA83"/>
      <c r="CB83"/>
      <c r="CC83"/>
      <c r="CD83"/>
      <c r="CE83"/>
      <c r="CF83"/>
      <c r="CG83" s="10" t="s">
        <v>1529</v>
      </c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DG83" s="14">
        <v>1</v>
      </c>
    </row>
    <row r="84" spans="2:111" ht="24.95" hidden="1" customHeight="1" x14ac:dyDescent="0.3">
      <c r="B84"/>
      <c r="C84"/>
      <c r="D84"/>
      <c r="E84"/>
      <c r="F84"/>
      <c r="G84"/>
      <c r="H84"/>
      <c r="I84" s="14">
        <v>1</v>
      </c>
      <c r="J84"/>
      <c r="K84"/>
      <c r="L84"/>
      <c r="M84"/>
      <c r="N84"/>
      <c r="O84"/>
      <c r="P84"/>
      <c r="Q84"/>
      <c r="R84"/>
      <c r="S84"/>
      <c r="T84"/>
      <c r="U84" s="10" t="s">
        <v>2173</v>
      </c>
      <c r="V84"/>
      <c r="W84"/>
      <c r="X84"/>
      <c r="Y84"/>
      <c r="Z84"/>
      <c r="AA84"/>
      <c r="AB84"/>
      <c r="AC84" s="10" t="s">
        <v>1725</v>
      </c>
      <c r="AD84"/>
      <c r="AE84"/>
      <c r="AF84"/>
      <c r="AG84"/>
      <c r="AH84"/>
      <c r="AI84"/>
      <c r="AJ84" s="10" t="s">
        <v>2081</v>
      </c>
      <c r="AK84"/>
      <c r="AL84"/>
      <c r="AM84"/>
      <c r="AN84"/>
      <c r="AO84" s="9" t="s">
        <v>100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 s="10" t="s">
        <v>2341</v>
      </c>
      <c r="BR84"/>
      <c r="BS84"/>
      <c r="BT84"/>
      <c r="BU84"/>
      <c r="BV84"/>
      <c r="BW84" s="10" t="s">
        <v>2307</v>
      </c>
      <c r="BX84" s="10" t="s">
        <v>2309</v>
      </c>
      <c r="BY84" s="10" t="s">
        <v>1533</v>
      </c>
      <c r="BZ84" s="10" t="s">
        <v>1535</v>
      </c>
      <c r="CA84"/>
      <c r="CB84"/>
      <c r="CC84"/>
      <c r="CD84"/>
      <c r="CE84"/>
      <c r="CF84"/>
      <c r="CG84" s="10" t="s">
        <v>1531</v>
      </c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DG84" s="14">
        <v>1</v>
      </c>
    </row>
    <row r="85" spans="2:111" ht="24.95" hidden="1" customHeight="1" x14ac:dyDescent="0.3">
      <c r="B85"/>
      <c r="C85"/>
      <c r="D85"/>
      <c r="E85"/>
      <c r="F85"/>
      <c r="G85"/>
      <c r="H85"/>
      <c r="I85" s="14">
        <v>1</v>
      </c>
      <c r="J85"/>
      <c r="K85"/>
      <c r="L85"/>
      <c r="M85"/>
      <c r="N85"/>
      <c r="O85"/>
      <c r="P85"/>
      <c r="Q85"/>
      <c r="R85"/>
      <c r="S85"/>
      <c r="T85"/>
      <c r="U85" s="10" t="s">
        <v>2175</v>
      </c>
      <c r="V85"/>
      <c r="W85"/>
      <c r="X85"/>
      <c r="Y85"/>
      <c r="Z85"/>
      <c r="AA85"/>
      <c r="AB85"/>
      <c r="AC85" s="10" t="s">
        <v>1727</v>
      </c>
      <c r="AD85"/>
      <c r="AE85"/>
      <c r="AF85"/>
      <c r="AG85"/>
      <c r="AH85"/>
      <c r="AI85"/>
      <c r="AJ85" s="10" t="s">
        <v>2083</v>
      </c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 s="8" t="s">
        <v>444</v>
      </c>
      <c r="BJ85"/>
      <c r="BK85"/>
      <c r="BL85"/>
      <c r="BM85"/>
      <c r="BN85"/>
      <c r="BO85"/>
      <c r="BP85" s="8" t="s">
        <v>389</v>
      </c>
      <c r="BQ85" s="10" t="s">
        <v>2343</v>
      </c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 s="10" t="s">
        <v>2385</v>
      </c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DG85" s="14">
        <v>1</v>
      </c>
    </row>
    <row r="86" spans="2:111" ht="24.95" hidden="1" customHeight="1" x14ac:dyDescent="0.3">
      <c r="B86"/>
      <c r="C86"/>
      <c r="D86"/>
      <c r="E86"/>
      <c r="F86"/>
      <c r="G86"/>
      <c r="H86"/>
      <c r="I86" s="14">
        <v>1</v>
      </c>
      <c r="J86"/>
      <c r="K86"/>
      <c r="L86"/>
      <c r="M86" s="8" t="s">
        <v>469</v>
      </c>
      <c r="N86"/>
      <c r="O86"/>
      <c r="P86"/>
      <c r="Q86"/>
      <c r="R86"/>
      <c r="S86"/>
      <c r="T86"/>
      <c r="U86" s="10" t="s">
        <v>2177</v>
      </c>
      <c r="V86"/>
      <c r="W86"/>
      <c r="X86"/>
      <c r="Y86"/>
      <c r="Z86"/>
      <c r="AA86"/>
      <c r="AB86"/>
      <c r="AC86" s="10" t="s">
        <v>2099</v>
      </c>
      <c r="AD86"/>
      <c r="AE86"/>
      <c r="AF86"/>
      <c r="AG86"/>
      <c r="AH86"/>
      <c r="AI86"/>
      <c r="AJ86" s="10" t="s">
        <v>1583</v>
      </c>
      <c r="AK86" s="10" t="s">
        <v>1585</v>
      </c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 s="10" t="s">
        <v>2345</v>
      </c>
      <c r="BR86"/>
      <c r="BS86" s="8" t="s">
        <v>314</v>
      </c>
      <c r="BT86" s="8" t="s">
        <v>379</v>
      </c>
      <c r="BU86"/>
      <c r="BV86"/>
      <c r="BW86"/>
      <c r="BX86"/>
      <c r="BY86"/>
      <c r="BZ86"/>
      <c r="CA86"/>
      <c r="CB86"/>
      <c r="CC86"/>
      <c r="CD86"/>
      <c r="CE86"/>
      <c r="CF86"/>
      <c r="CG86" s="10" t="s">
        <v>2383</v>
      </c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DG86" s="14">
        <v>1</v>
      </c>
    </row>
    <row r="87" spans="2:111" ht="24.95" hidden="1" customHeight="1" x14ac:dyDescent="0.3">
      <c r="B87"/>
      <c r="C87"/>
      <c r="D87"/>
      <c r="E87"/>
      <c r="F87"/>
      <c r="G87"/>
      <c r="H87"/>
      <c r="I87" s="14">
        <v>1</v>
      </c>
      <c r="J87"/>
      <c r="K87"/>
      <c r="L87"/>
      <c r="M87"/>
      <c r="N87"/>
      <c r="O87"/>
      <c r="P87"/>
      <c r="Q87" s="8" t="s">
        <v>849</v>
      </c>
      <c r="R87"/>
      <c r="S87" s="10" t="s">
        <v>1719</v>
      </c>
      <c r="T87" s="10" t="s">
        <v>2153</v>
      </c>
      <c r="U87" s="10" t="s">
        <v>2155</v>
      </c>
      <c r="V87"/>
      <c r="W87"/>
      <c r="X87"/>
      <c r="Y87"/>
      <c r="Z87"/>
      <c r="AA87"/>
      <c r="AB87"/>
      <c r="AC87" s="10" t="s">
        <v>2101</v>
      </c>
      <c r="AD87"/>
      <c r="AE87"/>
      <c r="AF87"/>
      <c r="AG87"/>
      <c r="AH87"/>
      <c r="AI87"/>
      <c r="AJ87" s="9" t="s">
        <v>200</v>
      </c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 s="9" t="s">
        <v>80</v>
      </c>
      <c r="BN87"/>
      <c r="BO87"/>
      <c r="BP87"/>
      <c r="BQ87" s="10" t="s">
        <v>2347</v>
      </c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 s="10" t="s">
        <v>2499</v>
      </c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DG87" s="14">
        <v>1</v>
      </c>
    </row>
    <row r="88" spans="2:111" ht="24.95" hidden="1" customHeight="1" x14ac:dyDescent="0.3">
      <c r="B88"/>
      <c r="C88"/>
      <c r="D88"/>
      <c r="E88"/>
      <c r="F88"/>
      <c r="G88"/>
      <c r="H88"/>
      <c r="I88" s="14">
        <v>1</v>
      </c>
      <c r="J88"/>
      <c r="K88"/>
      <c r="L88"/>
      <c r="M88"/>
      <c r="N88"/>
      <c r="O88"/>
      <c r="P88"/>
      <c r="Q88"/>
      <c r="R88"/>
      <c r="S88"/>
      <c r="T88"/>
      <c r="U88" s="10" t="s">
        <v>2157</v>
      </c>
      <c r="V88"/>
      <c r="W88"/>
      <c r="X88"/>
      <c r="Y88"/>
      <c r="Z88" s="9" t="s">
        <v>170</v>
      </c>
      <c r="AA88"/>
      <c r="AB88"/>
      <c r="AC88" s="10" t="s">
        <v>2103</v>
      </c>
      <c r="AD88"/>
      <c r="AE88"/>
      <c r="AF88"/>
      <c r="AG88"/>
      <c r="AH88"/>
      <c r="AI88"/>
      <c r="AJ88"/>
      <c r="AK88"/>
      <c r="AL88"/>
      <c r="AM88" s="8" t="s">
        <v>634</v>
      </c>
      <c r="AN88"/>
      <c r="AO88"/>
      <c r="AP88"/>
      <c r="AQ88"/>
      <c r="AR88"/>
      <c r="AS88"/>
      <c r="AT88"/>
      <c r="AU88" s="8" t="s">
        <v>659</v>
      </c>
      <c r="AV88"/>
      <c r="AW88"/>
      <c r="AX88"/>
      <c r="AY88"/>
      <c r="AZ88"/>
      <c r="BA88"/>
      <c r="BB88"/>
      <c r="BC88"/>
      <c r="BD88"/>
      <c r="BE88"/>
      <c r="BF88"/>
      <c r="BG88"/>
      <c r="BH88"/>
      <c r="BI88" s="10" t="s">
        <v>1565</v>
      </c>
      <c r="BJ88"/>
      <c r="BK88"/>
      <c r="BL88"/>
      <c r="BM88"/>
      <c r="BN88"/>
      <c r="BO88"/>
      <c r="BP88"/>
      <c r="BQ88" s="10" t="s">
        <v>2349</v>
      </c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0" t="s">
        <v>2501</v>
      </c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DG88" s="14">
        <v>1</v>
      </c>
    </row>
    <row r="89" spans="2:111" ht="24.95" hidden="1" customHeight="1" x14ac:dyDescent="0.3">
      <c r="B89"/>
      <c r="C89"/>
      <c r="D89"/>
      <c r="E89"/>
      <c r="F89"/>
      <c r="G89"/>
      <c r="H89"/>
      <c r="I89" s="14">
        <v>1</v>
      </c>
      <c r="J89"/>
      <c r="K89"/>
      <c r="L89"/>
      <c r="M89"/>
      <c r="N89"/>
      <c r="O89"/>
      <c r="P89"/>
      <c r="Q89"/>
      <c r="R89"/>
      <c r="S89"/>
      <c r="T89"/>
      <c r="U89" s="8" t="s">
        <v>824</v>
      </c>
      <c r="V89"/>
      <c r="W89"/>
      <c r="X89"/>
      <c r="Y89"/>
      <c r="Z89"/>
      <c r="AA89"/>
      <c r="AB89"/>
      <c r="AC89" s="10" t="s">
        <v>1669</v>
      </c>
      <c r="AD89" s="10" t="s">
        <v>2105</v>
      </c>
      <c r="AE89" s="10" t="s">
        <v>2107</v>
      </c>
      <c r="AF89" s="10" t="s">
        <v>2109</v>
      </c>
      <c r="AG89" s="10" t="s">
        <v>2111</v>
      </c>
      <c r="AH89" s="10" t="s">
        <v>2113</v>
      </c>
      <c r="AI89" s="10" t="s">
        <v>2115</v>
      </c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 s="10" t="s">
        <v>1567</v>
      </c>
      <c r="BJ89"/>
      <c r="BK89"/>
      <c r="BL89"/>
      <c r="BM89"/>
      <c r="BN89"/>
      <c r="BO89"/>
      <c r="BP89"/>
      <c r="BQ89" s="10" t="s">
        <v>1555</v>
      </c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8" t="s">
        <v>889</v>
      </c>
      <c r="CH89"/>
      <c r="CI89" s="8" t="s">
        <v>674</v>
      </c>
      <c r="CJ89"/>
      <c r="CK89"/>
      <c r="CL89"/>
      <c r="CM89"/>
      <c r="CN89"/>
      <c r="CO89"/>
      <c r="CP89"/>
      <c r="CQ89"/>
      <c r="CR89"/>
      <c r="CS89"/>
      <c r="CT89"/>
      <c r="CU89"/>
      <c r="CV89"/>
      <c r="DG89" s="14">
        <v>1</v>
      </c>
    </row>
    <row r="90" spans="2:111" ht="24.95" hidden="1" customHeight="1" x14ac:dyDescent="0.3">
      <c r="B90"/>
      <c r="C90"/>
      <c r="D90"/>
      <c r="E90"/>
      <c r="F90"/>
      <c r="G90"/>
      <c r="H90"/>
      <c r="I90" s="14">
        <v>1</v>
      </c>
      <c r="J90"/>
      <c r="K90"/>
      <c r="L90"/>
      <c r="M90" s="8" t="s">
        <v>904</v>
      </c>
      <c r="N90"/>
      <c r="O90"/>
      <c r="P90"/>
      <c r="Q90"/>
      <c r="R90"/>
      <c r="S90"/>
      <c r="T90"/>
      <c r="U90" s="10" t="s">
        <v>2159</v>
      </c>
      <c r="V90"/>
      <c r="W90"/>
      <c r="X90"/>
      <c r="Y90"/>
      <c r="Z90"/>
      <c r="AA90"/>
      <c r="AB90"/>
      <c r="AC90"/>
      <c r="AD90"/>
      <c r="AE90"/>
      <c r="AF90"/>
      <c r="AG90"/>
      <c r="AH90"/>
      <c r="AI90" s="10" t="s">
        <v>2117</v>
      </c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 s="10" t="s">
        <v>2351</v>
      </c>
      <c r="BJ90" s="10" t="s">
        <v>2353</v>
      </c>
      <c r="BK90" s="10" t="s">
        <v>2355</v>
      </c>
      <c r="BL90" s="10" t="s">
        <v>2357</v>
      </c>
      <c r="BM90" s="10" t="s">
        <v>2359</v>
      </c>
      <c r="BN90" s="10" t="s">
        <v>1557</v>
      </c>
      <c r="BO90" s="10" t="s">
        <v>1559</v>
      </c>
      <c r="BP90" s="10" t="s">
        <v>1561</v>
      </c>
      <c r="BQ90" s="10" t="s">
        <v>1563</v>
      </c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0" t="s">
        <v>2503</v>
      </c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DG90" s="14">
        <v>1</v>
      </c>
    </row>
    <row r="91" spans="2:111" ht="24.95" hidden="1" customHeight="1" x14ac:dyDescent="0.3">
      <c r="B91"/>
      <c r="C91"/>
      <c r="D91"/>
      <c r="E91"/>
      <c r="F91"/>
      <c r="G91"/>
      <c r="H91"/>
      <c r="I91" s="14">
        <v>1</v>
      </c>
      <c r="J91"/>
      <c r="K91"/>
      <c r="L91"/>
      <c r="M91"/>
      <c r="N91"/>
      <c r="O91"/>
      <c r="P91"/>
      <c r="Q91"/>
      <c r="R91"/>
      <c r="S91"/>
      <c r="T91"/>
      <c r="U91" s="10" t="s">
        <v>2161</v>
      </c>
      <c r="V91"/>
      <c r="W91"/>
      <c r="X91"/>
      <c r="Y91"/>
      <c r="Z91"/>
      <c r="AA91"/>
      <c r="AB91"/>
      <c r="AC91"/>
      <c r="AD91"/>
      <c r="AE91"/>
      <c r="AF91"/>
      <c r="AG91"/>
      <c r="AH91"/>
      <c r="AI91" s="10" t="s">
        <v>2119</v>
      </c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0" t="s">
        <v>2505</v>
      </c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DG91" s="14">
        <v>1</v>
      </c>
    </row>
    <row r="92" spans="2:111" ht="24.95" hidden="1" customHeight="1" x14ac:dyDescent="0.3">
      <c r="B92"/>
      <c r="C92"/>
      <c r="D92"/>
      <c r="E92"/>
      <c r="F92"/>
      <c r="G92"/>
      <c r="H92"/>
      <c r="I92" s="14">
        <v>1</v>
      </c>
      <c r="J92"/>
      <c r="K92"/>
      <c r="L92"/>
      <c r="M92"/>
      <c r="N92"/>
      <c r="O92"/>
      <c r="P92"/>
      <c r="Q92"/>
      <c r="R92"/>
      <c r="S92"/>
      <c r="T92"/>
      <c r="U92" s="10" t="s">
        <v>2163</v>
      </c>
      <c r="V92"/>
      <c r="W92"/>
      <c r="X92"/>
      <c r="Y92"/>
      <c r="Z92"/>
      <c r="AA92"/>
      <c r="AB92"/>
      <c r="AC92"/>
      <c r="AD92"/>
      <c r="AE92"/>
      <c r="AF92" s="8" t="s">
        <v>269</v>
      </c>
      <c r="AG92"/>
      <c r="AH92"/>
      <c r="AI92" s="10" t="s">
        <v>2121</v>
      </c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 s="8" t="s">
        <v>479</v>
      </c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0" t="s">
        <v>2507</v>
      </c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DD92" s="10" t="s">
        <v>2433</v>
      </c>
      <c r="DG92" s="14">
        <v>1</v>
      </c>
    </row>
    <row r="93" spans="2:111" ht="24.95" hidden="1" customHeight="1" x14ac:dyDescent="0.3">
      <c r="B93"/>
      <c r="C93"/>
      <c r="D93"/>
      <c r="E93"/>
      <c r="F93"/>
      <c r="G93"/>
      <c r="H93"/>
      <c r="I93" s="14">
        <v>1</v>
      </c>
      <c r="J93"/>
      <c r="K93" s="8" t="s">
        <v>339</v>
      </c>
      <c r="L93"/>
      <c r="M93"/>
      <c r="N93"/>
      <c r="O93"/>
      <c r="P93"/>
      <c r="Q93"/>
      <c r="R93"/>
      <c r="S93"/>
      <c r="T93"/>
      <c r="U93" s="10" t="s">
        <v>2131</v>
      </c>
      <c r="V93" s="10" t="s">
        <v>2133</v>
      </c>
      <c r="W93" s="10" t="s">
        <v>2135</v>
      </c>
      <c r="X93" s="10" t="s">
        <v>2137</v>
      </c>
      <c r="Y93" s="10" t="s">
        <v>2139</v>
      </c>
      <c r="Z93" s="10" t="s">
        <v>2141</v>
      </c>
      <c r="AA93" s="10" t="s">
        <v>2143</v>
      </c>
      <c r="AB93" s="10" t="s">
        <v>2145</v>
      </c>
      <c r="AC93" s="10" t="s">
        <v>2147</v>
      </c>
      <c r="AD93" s="10" t="s">
        <v>1665</v>
      </c>
      <c r="AE93" s="10" t="s">
        <v>1667</v>
      </c>
      <c r="AF93" s="10" t="s">
        <v>2125</v>
      </c>
      <c r="AG93" s="10" t="s">
        <v>2127</v>
      </c>
      <c r="AH93" s="10" t="s">
        <v>2129</v>
      </c>
      <c r="AI93" s="10" t="s">
        <v>2123</v>
      </c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0" t="s">
        <v>2509</v>
      </c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DA93" s="10" t="s">
        <v>1507</v>
      </c>
      <c r="DB93" s="10" t="s">
        <v>1509</v>
      </c>
      <c r="DC93" s="10" t="s">
        <v>2437</v>
      </c>
      <c r="DD93" s="10" t="s">
        <v>2435</v>
      </c>
      <c r="DG93" s="14">
        <v>1</v>
      </c>
    </row>
    <row r="94" spans="2:111" ht="24.95" hidden="1" customHeight="1" x14ac:dyDescent="0.3">
      <c r="B94"/>
      <c r="C94"/>
      <c r="D94"/>
      <c r="E94"/>
      <c r="F94"/>
      <c r="G94"/>
      <c r="H94"/>
      <c r="I94" s="14">
        <v>1</v>
      </c>
      <c r="J94" s="8" t="s">
        <v>299</v>
      </c>
      <c r="K94"/>
      <c r="L94"/>
      <c r="M94"/>
      <c r="N94"/>
      <c r="O94"/>
      <c r="P94"/>
      <c r="Q94"/>
      <c r="R94"/>
      <c r="S94" s="8" t="s">
        <v>284</v>
      </c>
      <c r="T94"/>
      <c r="U94" s="10" t="s">
        <v>2149</v>
      </c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 s="9" t="s">
        <v>205</v>
      </c>
      <c r="BM94"/>
      <c r="BN94"/>
      <c r="BO94"/>
      <c r="BP94"/>
      <c r="BQ94"/>
      <c r="BR94"/>
      <c r="BS94"/>
      <c r="BT94" s="8" t="s">
        <v>509</v>
      </c>
      <c r="BU94"/>
      <c r="BV94"/>
      <c r="BW94"/>
      <c r="BX94"/>
      <c r="BY94" s="10" t="s">
        <v>2619</v>
      </c>
      <c r="BZ94" s="10" t="s">
        <v>2621</v>
      </c>
      <c r="CA94" s="10" t="s">
        <v>2623</v>
      </c>
      <c r="CB94" s="10" t="s">
        <v>2609</v>
      </c>
      <c r="CC94" s="10" t="s">
        <v>2611</v>
      </c>
      <c r="CD94" s="10" t="s">
        <v>2613</v>
      </c>
      <c r="CE94" s="10" t="s">
        <v>2615</v>
      </c>
      <c r="CF94" s="10" t="s">
        <v>2617</v>
      </c>
      <c r="CG94" s="10" t="s">
        <v>2511</v>
      </c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DA94" s="10" t="s">
        <v>2439</v>
      </c>
      <c r="DG94" s="14">
        <v>1</v>
      </c>
    </row>
    <row r="95" spans="2:111" ht="24.95" hidden="1" customHeight="1" x14ac:dyDescent="0.3">
      <c r="B95"/>
      <c r="C95"/>
      <c r="D95"/>
      <c r="E95"/>
      <c r="F95"/>
      <c r="G95"/>
      <c r="H95"/>
      <c r="I95" s="14">
        <v>1</v>
      </c>
      <c r="J95"/>
      <c r="K95"/>
      <c r="L95"/>
      <c r="M95"/>
      <c r="N95"/>
      <c r="O95"/>
      <c r="P95"/>
      <c r="Q95"/>
      <c r="R95"/>
      <c r="S95"/>
      <c r="T95"/>
      <c r="U95" s="10" t="s">
        <v>2151</v>
      </c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 s="8" t="s">
        <v>324</v>
      </c>
      <c r="BU95"/>
      <c r="BV95"/>
      <c r="BW95"/>
      <c r="BX95"/>
      <c r="BY95" s="10" t="s">
        <v>2625</v>
      </c>
      <c r="BZ95"/>
      <c r="CA95"/>
      <c r="CB95" s="10" t="s">
        <v>1495</v>
      </c>
      <c r="CC95"/>
      <c r="CD95"/>
      <c r="CE95"/>
      <c r="CF95"/>
      <c r="CG95" s="10" t="s">
        <v>1499</v>
      </c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DA95" s="10" t="s">
        <v>1511</v>
      </c>
      <c r="DC95" s="8" t="s">
        <v>254</v>
      </c>
      <c r="DG95" s="14">
        <v>1</v>
      </c>
    </row>
    <row r="96" spans="2:111" ht="24.95" hidden="1" customHeight="1" x14ac:dyDescent="0.3">
      <c r="B96"/>
      <c r="C96"/>
      <c r="D96"/>
      <c r="E96"/>
      <c r="F96"/>
      <c r="G96"/>
      <c r="H96"/>
      <c r="I96" s="14">
        <v>1</v>
      </c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 s="10" t="s">
        <v>1607</v>
      </c>
      <c r="BH96" s="10" t="s">
        <v>1609</v>
      </c>
      <c r="BI96" s="10" t="s">
        <v>1611</v>
      </c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 s="10" t="s">
        <v>2627</v>
      </c>
      <c r="BZ96"/>
      <c r="CA96"/>
      <c r="CB96" s="10" t="s">
        <v>1497</v>
      </c>
      <c r="CC96"/>
      <c r="CD96"/>
      <c r="CE96"/>
      <c r="CF96"/>
      <c r="CG96" s="10" t="s">
        <v>2513</v>
      </c>
      <c r="CH96"/>
      <c r="CI96"/>
      <c r="CJ96"/>
      <c r="CK96"/>
      <c r="CL96"/>
      <c r="CM96"/>
      <c r="CN96"/>
      <c r="CO96"/>
      <c r="CP96"/>
      <c r="CQ96"/>
      <c r="CR96"/>
      <c r="CS96"/>
      <c r="CT96" s="10" t="s">
        <v>1501</v>
      </c>
      <c r="CU96"/>
      <c r="CV96"/>
      <c r="DA96" s="10" t="s">
        <v>1513</v>
      </c>
      <c r="DG96" s="14">
        <v>1</v>
      </c>
    </row>
    <row r="97" spans="2:111" ht="24.95" hidden="1" customHeight="1" x14ac:dyDescent="0.3">
      <c r="B97"/>
      <c r="C97"/>
      <c r="D97"/>
      <c r="E97"/>
      <c r="F97"/>
      <c r="G97"/>
      <c r="H97"/>
      <c r="I97" s="14">
        <v>1</v>
      </c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 s="9" t="s">
        <v>90</v>
      </c>
      <c r="AW97"/>
      <c r="AX97"/>
      <c r="AY97"/>
      <c r="AZ97"/>
      <c r="BA97"/>
      <c r="BB97"/>
      <c r="BC97"/>
      <c r="BD97"/>
      <c r="BE97"/>
      <c r="BF97"/>
      <c r="BG97" s="10" t="s">
        <v>2649</v>
      </c>
      <c r="BH97"/>
      <c r="BI97"/>
      <c r="BJ97"/>
      <c r="BK97"/>
      <c r="BL97"/>
      <c r="BM97" s="8" t="s">
        <v>614</v>
      </c>
      <c r="BN97"/>
      <c r="BO97"/>
      <c r="BP97"/>
      <c r="BQ97"/>
      <c r="BR97" s="9" t="s">
        <v>30</v>
      </c>
      <c r="BS97"/>
      <c r="BT97"/>
      <c r="BU97"/>
      <c r="BV97"/>
      <c r="BW97"/>
      <c r="BX97"/>
      <c r="BY97"/>
      <c r="BZ97"/>
      <c r="CA97"/>
      <c r="CB97"/>
      <c r="CC97"/>
      <c r="CD97"/>
      <c r="CE97" s="9" t="s">
        <v>50</v>
      </c>
      <c r="CF97"/>
      <c r="CG97" s="10" t="s">
        <v>1471</v>
      </c>
      <c r="CH97" s="10" t="s">
        <v>1473</v>
      </c>
      <c r="CI97" s="10" t="s">
        <v>1475</v>
      </c>
      <c r="CJ97" s="10" t="s">
        <v>2515</v>
      </c>
      <c r="CK97"/>
      <c r="CL97"/>
      <c r="CM97" s="10" t="s">
        <v>2461</v>
      </c>
      <c r="CN97" s="10" t="s">
        <v>2463</v>
      </c>
      <c r="CO97" s="10" t="s">
        <v>2465</v>
      </c>
      <c r="CP97" s="10" t="s">
        <v>2467</v>
      </c>
      <c r="CQ97" s="10" t="s">
        <v>2469</v>
      </c>
      <c r="CR97" s="10" t="s">
        <v>2471</v>
      </c>
      <c r="CS97" s="10" t="s">
        <v>2473</v>
      </c>
      <c r="CT97" s="10" t="s">
        <v>1503</v>
      </c>
      <c r="CU97" s="10" t="s">
        <v>1505</v>
      </c>
      <c r="CV97" s="10" t="s">
        <v>2451</v>
      </c>
      <c r="CW97" s="10" t="s">
        <v>2453</v>
      </c>
      <c r="CX97" s="10" t="s">
        <v>2455</v>
      </c>
      <c r="CY97" s="10" t="s">
        <v>2457</v>
      </c>
      <c r="CZ97" s="10" t="s">
        <v>2459</v>
      </c>
      <c r="DA97" s="10" t="s">
        <v>2441</v>
      </c>
      <c r="DB97" s="10" t="s">
        <v>2443</v>
      </c>
      <c r="DC97" s="10" t="s">
        <v>2445</v>
      </c>
      <c r="DG97" s="14">
        <v>1</v>
      </c>
    </row>
    <row r="98" spans="2:111" ht="24.95" hidden="1" customHeight="1" x14ac:dyDescent="0.3">
      <c r="B98"/>
      <c r="C98"/>
      <c r="D98"/>
      <c r="E98"/>
      <c r="F98"/>
      <c r="G98"/>
      <c r="H98"/>
      <c r="I98" s="14">
        <v>1</v>
      </c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 s="10" t="s">
        <v>2651</v>
      </c>
      <c r="BH98"/>
      <c r="BI98"/>
      <c r="BJ98"/>
      <c r="BK98"/>
      <c r="BL98"/>
      <c r="BM98"/>
      <c r="BN98"/>
      <c r="BO98"/>
      <c r="BP98" s="10" t="s">
        <v>1625</v>
      </c>
      <c r="BQ98"/>
      <c r="BR98" s="10" t="s">
        <v>2605</v>
      </c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 s="10" t="s">
        <v>2517</v>
      </c>
      <c r="CK98"/>
      <c r="CL98"/>
      <c r="CM98" s="10" t="s">
        <v>2481</v>
      </c>
      <c r="CN98"/>
      <c r="CO98"/>
      <c r="CP98" s="10" t="s">
        <v>2475</v>
      </c>
      <c r="CQ98"/>
      <c r="CR98"/>
      <c r="CS98"/>
      <c r="CT98"/>
      <c r="CU98"/>
      <c r="CV98"/>
      <c r="DC98" s="10" t="s">
        <v>2447</v>
      </c>
      <c r="DD98" s="10" t="s">
        <v>2449</v>
      </c>
      <c r="DG98" s="14">
        <v>1</v>
      </c>
    </row>
    <row r="99" spans="2:111" ht="24.95" hidden="1" customHeight="1" x14ac:dyDescent="0.3">
      <c r="B99"/>
      <c r="C99"/>
      <c r="D99"/>
      <c r="E99"/>
      <c r="F99"/>
      <c r="G99"/>
      <c r="H99"/>
      <c r="I99" s="14">
        <v>1</v>
      </c>
      <c r="J99"/>
      <c r="K99"/>
      <c r="L99"/>
      <c r="M99"/>
      <c r="N99"/>
      <c r="O99"/>
      <c r="P99"/>
      <c r="Q99"/>
      <c r="R99"/>
      <c r="S99"/>
      <c r="T99"/>
      <c r="U99" s="9" t="s">
        <v>105</v>
      </c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 s="10" t="s">
        <v>2653</v>
      </c>
      <c r="BH99" s="10" t="s">
        <v>2659</v>
      </c>
      <c r="BI99"/>
      <c r="BJ99"/>
      <c r="BK99"/>
      <c r="BL99"/>
      <c r="BM99"/>
      <c r="BN99"/>
      <c r="BO99"/>
      <c r="BP99" s="10" t="s">
        <v>2593</v>
      </c>
      <c r="BQ99"/>
      <c r="BR99" s="10" t="s">
        <v>2607</v>
      </c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 s="10" t="s">
        <v>2519</v>
      </c>
      <c r="CK99"/>
      <c r="CL99"/>
      <c r="CM99" s="10" t="s">
        <v>2483</v>
      </c>
      <c r="CN99"/>
      <c r="CO99"/>
      <c r="CP99" s="10" t="s">
        <v>2477</v>
      </c>
      <c r="CQ99"/>
      <c r="CR99"/>
      <c r="CS99"/>
      <c r="CT99"/>
      <c r="CU99"/>
      <c r="CV99"/>
      <c r="DE99" s="8" t="s">
        <v>864</v>
      </c>
      <c r="DG99" s="14">
        <v>1</v>
      </c>
    </row>
    <row r="100" spans="2:111" ht="24.95" hidden="1" customHeight="1" x14ac:dyDescent="0.3">
      <c r="B100"/>
      <c r="C100"/>
      <c r="D100"/>
      <c r="E100"/>
      <c r="F100"/>
      <c r="G100"/>
      <c r="H100"/>
      <c r="I100" s="14">
        <v>1</v>
      </c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 s="10" t="s">
        <v>2655</v>
      </c>
      <c r="BH100"/>
      <c r="BI100"/>
      <c r="BJ100"/>
      <c r="BK100"/>
      <c r="BL100"/>
      <c r="BM100"/>
      <c r="BN100"/>
      <c r="BO100"/>
      <c r="BP100" s="10" t="s">
        <v>2595</v>
      </c>
      <c r="BQ100" s="10" t="s">
        <v>2599</v>
      </c>
      <c r="BR100" s="10" t="s">
        <v>2601</v>
      </c>
      <c r="BS100" s="10" t="s">
        <v>2603</v>
      </c>
      <c r="BT100" s="10" t="s">
        <v>1627</v>
      </c>
      <c r="BU100" s="10" t="s">
        <v>1629</v>
      </c>
      <c r="BV100"/>
      <c r="BW100"/>
      <c r="BX100"/>
      <c r="BY100"/>
      <c r="BZ100"/>
      <c r="CA100"/>
      <c r="CB100"/>
      <c r="CC100"/>
      <c r="CD100" s="10" t="s">
        <v>1477</v>
      </c>
      <c r="CE100" s="10" t="s">
        <v>1479</v>
      </c>
      <c r="CF100" s="10" t="s">
        <v>1481</v>
      </c>
      <c r="CG100"/>
      <c r="CH100"/>
      <c r="CI100" s="10" t="s">
        <v>1483</v>
      </c>
      <c r="CJ100" s="10" t="s">
        <v>2521</v>
      </c>
      <c r="CK100"/>
      <c r="CL100"/>
      <c r="CM100" s="10" t="s">
        <v>2485</v>
      </c>
      <c r="CN100"/>
      <c r="CO100" s="8" t="s">
        <v>859</v>
      </c>
      <c r="CP100" s="10" t="s">
        <v>2479</v>
      </c>
      <c r="CQ100"/>
      <c r="CR100"/>
      <c r="CS100"/>
      <c r="CT100"/>
      <c r="CU100"/>
      <c r="CV100"/>
      <c r="CY100" s="9" t="s">
        <v>195</v>
      </c>
      <c r="DG100" s="14">
        <v>1</v>
      </c>
    </row>
    <row r="101" spans="2:111" ht="24.95" hidden="1" customHeight="1" x14ac:dyDescent="0.3">
      <c r="B101"/>
      <c r="C101"/>
      <c r="D101"/>
      <c r="E101"/>
      <c r="F101"/>
      <c r="G101"/>
      <c r="H101"/>
      <c r="I101" s="14">
        <v>1</v>
      </c>
      <c r="J101"/>
      <c r="K101"/>
      <c r="L101"/>
      <c r="M101"/>
      <c r="N101"/>
      <c r="O101"/>
      <c r="P101"/>
      <c r="Q101"/>
      <c r="R101"/>
      <c r="S101"/>
      <c r="T101"/>
      <c r="U101"/>
      <c r="V101"/>
      <c r="W101" s="10" t="s">
        <v>1715</v>
      </c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 s="10" t="s">
        <v>2657</v>
      </c>
      <c r="BH101"/>
      <c r="BI101"/>
      <c r="BJ101"/>
      <c r="BK101"/>
      <c r="BL101"/>
      <c r="BM101"/>
      <c r="BN101"/>
      <c r="BO101"/>
      <c r="BP101" s="10" t="s">
        <v>2597</v>
      </c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 s="10" t="s">
        <v>2543</v>
      </c>
      <c r="CE101"/>
      <c r="CF101"/>
      <c r="CG101"/>
      <c r="CH101"/>
      <c r="CI101"/>
      <c r="CJ101" s="10" t="s">
        <v>2523</v>
      </c>
      <c r="CK101"/>
      <c r="CL101"/>
      <c r="CM101" s="10" t="s">
        <v>2487</v>
      </c>
      <c r="CN101"/>
      <c r="CO101"/>
      <c r="CP101" s="10" t="s">
        <v>1491</v>
      </c>
      <c r="CQ101"/>
      <c r="CR101"/>
      <c r="CS101"/>
      <c r="CT101"/>
      <c r="CU101"/>
      <c r="CV101"/>
      <c r="DG101" s="14">
        <v>1</v>
      </c>
    </row>
    <row r="102" spans="2:111" ht="24.95" hidden="1" customHeight="1" x14ac:dyDescent="0.3">
      <c r="B102"/>
      <c r="C102"/>
      <c r="D102"/>
      <c r="E102"/>
      <c r="F102"/>
      <c r="G102"/>
      <c r="H102"/>
      <c r="I102" s="14">
        <v>1</v>
      </c>
      <c r="J102"/>
      <c r="K102"/>
      <c r="L102"/>
      <c r="M102"/>
      <c r="N102"/>
      <c r="O102"/>
      <c r="P102"/>
      <c r="Q102"/>
      <c r="R102"/>
      <c r="S102"/>
      <c r="T102"/>
      <c r="U102"/>
      <c r="V102"/>
      <c r="W102" s="10" t="s">
        <v>1717</v>
      </c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 s="10" t="s">
        <v>2673</v>
      </c>
      <c r="AS102" s="10" t="s">
        <v>1587</v>
      </c>
      <c r="AT102" s="10" t="s">
        <v>1589</v>
      </c>
      <c r="AU102" s="10" t="s">
        <v>1591</v>
      </c>
      <c r="AV102" s="10" t="s">
        <v>2661</v>
      </c>
      <c r="AW102" s="10" t="s">
        <v>2663</v>
      </c>
      <c r="AX102" s="10" t="s">
        <v>2665</v>
      </c>
      <c r="AY102" s="10" t="s">
        <v>2667</v>
      </c>
      <c r="AZ102" s="10" t="s">
        <v>1599</v>
      </c>
      <c r="BA102" s="10" t="s">
        <v>1601</v>
      </c>
      <c r="BB102" s="10" t="s">
        <v>1603</v>
      </c>
      <c r="BC102" s="10" t="s">
        <v>1605</v>
      </c>
      <c r="BD102" s="10" t="s">
        <v>2643</v>
      </c>
      <c r="BE102" s="8" t="s">
        <v>874</v>
      </c>
      <c r="BF102" s="10" t="s">
        <v>2645</v>
      </c>
      <c r="BG102" s="10" t="s">
        <v>2647</v>
      </c>
      <c r="BH102"/>
      <c r="BI102"/>
      <c r="BJ102"/>
      <c r="BK102"/>
      <c r="BL102"/>
      <c r="BM102"/>
      <c r="BN102"/>
      <c r="BO102"/>
      <c r="BP102" s="10" t="s">
        <v>1623</v>
      </c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 s="10" t="s">
        <v>2545</v>
      </c>
      <c r="CE102"/>
      <c r="CF102"/>
      <c r="CG102"/>
      <c r="CH102"/>
      <c r="CI102"/>
      <c r="CJ102" s="10" t="s">
        <v>2525</v>
      </c>
      <c r="CK102"/>
      <c r="CL102"/>
      <c r="CM102" s="10" t="s">
        <v>2489</v>
      </c>
      <c r="CN102"/>
      <c r="CO102"/>
      <c r="CP102" s="10" t="s">
        <v>1493</v>
      </c>
      <c r="CQ102"/>
      <c r="CR102"/>
      <c r="CS102"/>
      <c r="CT102"/>
      <c r="CU102"/>
      <c r="CV102"/>
      <c r="DG102" s="14">
        <v>1</v>
      </c>
    </row>
    <row r="103" spans="2:111" ht="24.95" hidden="1" customHeight="1" x14ac:dyDescent="0.3">
      <c r="I103" s="16">
        <v>1</v>
      </c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 s="8" t="s">
        <v>399</v>
      </c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 s="10" t="s">
        <v>2669</v>
      </c>
      <c r="AW103"/>
      <c r="AX103"/>
      <c r="AY103" s="8" t="s">
        <v>684</v>
      </c>
      <c r="AZ103"/>
      <c r="BA103"/>
      <c r="BB103"/>
      <c r="BC103"/>
      <c r="BD103"/>
      <c r="BE103" s="10" t="s">
        <v>1613</v>
      </c>
      <c r="BF103"/>
      <c r="BG103"/>
      <c r="BH103"/>
      <c r="BI103"/>
      <c r="BJ103"/>
      <c r="BK103"/>
      <c r="BL103"/>
      <c r="BM103"/>
      <c r="BN103"/>
      <c r="BO103"/>
      <c r="BP103" s="10" t="s">
        <v>2591</v>
      </c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 s="10" t="s">
        <v>2547</v>
      </c>
      <c r="CE103"/>
      <c r="CF103"/>
      <c r="CG103"/>
      <c r="CH103"/>
      <c r="CI103"/>
      <c r="CJ103" s="10" t="s">
        <v>2527</v>
      </c>
      <c r="CK103"/>
      <c r="CL103"/>
      <c r="CM103" s="8" t="s">
        <v>354</v>
      </c>
      <c r="CN103"/>
      <c r="CO103"/>
      <c r="CP103"/>
      <c r="CQ103"/>
      <c r="CR103"/>
      <c r="CS103"/>
      <c r="CT103"/>
      <c r="CU103"/>
      <c r="CV103"/>
      <c r="DG103" s="14">
        <v>1</v>
      </c>
    </row>
    <row r="104" spans="2:111" ht="24.95" hidden="1" customHeight="1" x14ac:dyDescent="0.3">
      <c r="I104" s="16">
        <v>1</v>
      </c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 s="10" t="s">
        <v>2671</v>
      </c>
      <c r="AW104"/>
      <c r="AX104"/>
      <c r="AY104"/>
      <c r="AZ104"/>
      <c r="BA104"/>
      <c r="BB104"/>
      <c r="BC104"/>
      <c r="BD104"/>
      <c r="BE104" s="10" t="s">
        <v>1615</v>
      </c>
      <c r="BF104"/>
      <c r="BG104"/>
      <c r="BH104"/>
      <c r="BI104"/>
      <c r="BJ104"/>
      <c r="BK104" s="10" t="s">
        <v>2629</v>
      </c>
      <c r="BL104" s="10" t="s">
        <v>2631</v>
      </c>
      <c r="BM104" s="10" t="s">
        <v>2633</v>
      </c>
      <c r="BN104" s="10" t="s">
        <v>2583</v>
      </c>
      <c r="BO104" s="10" t="s">
        <v>2585</v>
      </c>
      <c r="BP104" s="10" t="s">
        <v>2587</v>
      </c>
      <c r="BQ104" s="10" t="s">
        <v>2589</v>
      </c>
      <c r="BR104" s="10" t="s">
        <v>1631</v>
      </c>
      <c r="BS104" s="10" t="s">
        <v>2581</v>
      </c>
      <c r="BT104"/>
      <c r="BU104"/>
      <c r="BV104"/>
      <c r="BW104"/>
      <c r="BX104"/>
      <c r="BY104"/>
      <c r="BZ104"/>
      <c r="CA104"/>
      <c r="CB104"/>
      <c r="CC104"/>
      <c r="CD104" s="10" t="s">
        <v>2549</v>
      </c>
      <c r="CE104"/>
      <c r="CF104"/>
      <c r="CG104"/>
      <c r="CH104"/>
      <c r="CI104"/>
      <c r="CJ104" s="10" t="s">
        <v>2551</v>
      </c>
      <c r="CK104"/>
      <c r="CL104"/>
      <c r="CM104" s="10" t="s">
        <v>2491</v>
      </c>
      <c r="CN104"/>
      <c r="CO104"/>
      <c r="CP104"/>
      <c r="CQ104"/>
      <c r="CR104"/>
      <c r="CS104"/>
      <c r="CT104"/>
      <c r="CU104"/>
      <c r="CV104"/>
      <c r="DG104" s="14">
        <v>1</v>
      </c>
    </row>
    <row r="105" spans="2:111" ht="24.95" hidden="1" customHeight="1" x14ac:dyDescent="0.3">
      <c r="I105" s="16">
        <v>1</v>
      </c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 s="10" t="s">
        <v>2677</v>
      </c>
      <c r="AM105" s="10" t="s">
        <v>2679</v>
      </c>
      <c r="AN105" s="10" t="s">
        <v>2681</v>
      </c>
      <c r="AO105" s="10" t="s">
        <v>2683</v>
      </c>
      <c r="AP105" s="10" t="s">
        <v>2685</v>
      </c>
      <c r="AQ105" s="10" t="s">
        <v>1593</v>
      </c>
      <c r="AR105"/>
      <c r="AS105"/>
      <c r="AT105"/>
      <c r="AU105"/>
      <c r="AV105" s="10" t="s">
        <v>1597</v>
      </c>
      <c r="AW105"/>
      <c r="AX105"/>
      <c r="AY105"/>
      <c r="AZ105"/>
      <c r="BA105"/>
      <c r="BB105"/>
      <c r="BC105"/>
      <c r="BD105"/>
      <c r="BE105" s="10" t="s">
        <v>2635</v>
      </c>
      <c r="BF105" s="10" t="s">
        <v>2637</v>
      </c>
      <c r="BG105" s="10" t="s">
        <v>2639</v>
      </c>
      <c r="BH105" s="10" t="s">
        <v>2641</v>
      </c>
      <c r="BI105" s="10" t="s">
        <v>1617</v>
      </c>
      <c r="BJ105" s="10" t="s">
        <v>1619</v>
      </c>
      <c r="BK105" s="10" t="s">
        <v>1621</v>
      </c>
      <c r="BL105"/>
      <c r="BM105"/>
      <c r="BN105"/>
      <c r="BO105"/>
      <c r="BP105"/>
      <c r="BQ105"/>
      <c r="BR105"/>
      <c r="BS105" s="10" t="s">
        <v>2565</v>
      </c>
      <c r="BT105" s="10" t="s">
        <v>2567</v>
      </c>
      <c r="BU105" s="10" t="s">
        <v>2569</v>
      </c>
      <c r="BV105" s="10" t="s">
        <v>2571</v>
      </c>
      <c r="BW105" s="10" t="s">
        <v>2573</v>
      </c>
      <c r="BX105" s="10" t="s">
        <v>2575</v>
      </c>
      <c r="BY105" s="10" t="s">
        <v>2577</v>
      </c>
      <c r="BZ105" s="10" t="s">
        <v>2559</v>
      </c>
      <c r="CA105" s="8" t="s">
        <v>649</v>
      </c>
      <c r="CB105" s="10" t="s">
        <v>2561</v>
      </c>
      <c r="CC105" s="10" t="s">
        <v>2563</v>
      </c>
      <c r="CD105" s="10" t="s">
        <v>2541</v>
      </c>
      <c r="CE105" s="10" t="s">
        <v>2529</v>
      </c>
      <c r="CF105" s="10" t="s">
        <v>2531</v>
      </c>
      <c r="CG105" s="10" t="s">
        <v>2533</v>
      </c>
      <c r="CH105" s="10" t="s">
        <v>2535</v>
      </c>
      <c r="CI105" s="10" t="s">
        <v>2537</v>
      </c>
      <c r="CJ105" s="10" t="s">
        <v>2539</v>
      </c>
      <c r="CK105"/>
      <c r="CL105"/>
      <c r="CM105" s="10" t="s">
        <v>2493</v>
      </c>
      <c r="CN105"/>
      <c r="CO105"/>
      <c r="CP105"/>
      <c r="CQ105"/>
      <c r="CR105"/>
      <c r="CS105"/>
      <c r="CT105"/>
      <c r="CU105"/>
      <c r="CV105"/>
      <c r="DG105" s="14">
        <v>1</v>
      </c>
    </row>
    <row r="106" spans="2:111" ht="24.95" hidden="1" customHeight="1" x14ac:dyDescent="0.3">
      <c r="I106" s="16">
        <v>1</v>
      </c>
      <c r="J106"/>
      <c r="K106"/>
      <c r="L106"/>
      <c r="M106"/>
      <c r="N106"/>
      <c r="O106"/>
      <c r="P106"/>
      <c r="Q106"/>
      <c r="R106"/>
      <c r="S106"/>
      <c r="T106"/>
      <c r="U106" s="8" t="s">
        <v>869</v>
      </c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 s="10" t="s">
        <v>2687</v>
      </c>
      <c r="AM106"/>
      <c r="AN106"/>
      <c r="AO106"/>
      <c r="AP106"/>
      <c r="AQ106" s="10" t="s">
        <v>1595</v>
      </c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 s="8" t="s">
        <v>759</v>
      </c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0" t="s">
        <v>2557</v>
      </c>
      <c r="CH106"/>
      <c r="CI106"/>
      <c r="CJ106"/>
      <c r="CK106"/>
      <c r="CL106"/>
      <c r="CM106" s="10" t="s">
        <v>2495</v>
      </c>
      <c r="CN106"/>
      <c r="CO106"/>
      <c r="CP106"/>
      <c r="CQ106"/>
      <c r="CR106"/>
      <c r="CS106"/>
      <c r="CT106"/>
      <c r="CU106"/>
      <c r="CV106"/>
      <c r="DG106" s="14">
        <v>1</v>
      </c>
    </row>
    <row r="107" spans="2:111" ht="24.95" hidden="1" customHeight="1" x14ac:dyDescent="0.3">
      <c r="I107" s="16">
        <v>1</v>
      </c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 s="10" t="s">
        <v>1659</v>
      </c>
      <c r="AM107"/>
      <c r="AN107"/>
      <c r="AO107"/>
      <c r="AP107"/>
      <c r="AQ107" s="10" t="s">
        <v>2675</v>
      </c>
      <c r="AR107"/>
      <c r="AS107"/>
      <c r="AT107"/>
      <c r="AU107"/>
      <c r="AV107"/>
      <c r="AW107"/>
      <c r="AX107"/>
      <c r="AY107" s="8" t="s">
        <v>454</v>
      </c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 s="8" t="s">
        <v>484</v>
      </c>
      <c r="BV107"/>
      <c r="BW107"/>
      <c r="BX107"/>
      <c r="BY107"/>
      <c r="BZ107"/>
      <c r="CA107"/>
      <c r="CB107"/>
      <c r="CC107"/>
      <c r="CD107"/>
      <c r="CE107"/>
      <c r="CF107"/>
      <c r="CG107" s="10" t="s">
        <v>1485</v>
      </c>
      <c r="CH107"/>
      <c r="CI107"/>
      <c r="CJ107"/>
      <c r="CK107"/>
      <c r="CL107"/>
      <c r="CM107" s="10" t="s">
        <v>2497</v>
      </c>
      <c r="CN107"/>
      <c r="CO107"/>
      <c r="CP107"/>
      <c r="CQ107"/>
      <c r="CR107"/>
      <c r="CS107"/>
      <c r="CT107"/>
      <c r="CU107"/>
      <c r="CV107"/>
      <c r="DG107" s="14">
        <v>1</v>
      </c>
    </row>
    <row r="108" spans="2:111" ht="24.95" hidden="1" customHeight="1" x14ac:dyDescent="0.3">
      <c r="I108" s="16">
        <v>1</v>
      </c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 s="10" t="s">
        <v>1661</v>
      </c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 s="10" t="s">
        <v>1487</v>
      </c>
      <c r="CK108" s="10" t="s">
        <v>1489</v>
      </c>
      <c r="CL108" s="10" t="s">
        <v>2553</v>
      </c>
      <c r="CM108" s="10" t="s">
        <v>2555</v>
      </c>
      <c r="CN108"/>
      <c r="CO108"/>
      <c r="CP108"/>
      <c r="CQ108"/>
      <c r="CR108"/>
      <c r="CS108"/>
      <c r="CT108"/>
      <c r="CU108"/>
      <c r="CV108"/>
      <c r="DG108" s="14">
        <v>1</v>
      </c>
    </row>
    <row r="109" spans="2:111" ht="24.95" hidden="1" customHeight="1" x14ac:dyDescent="0.3">
      <c r="I109" s="16">
        <v>1</v>
      </c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 s="10" t="s">
        <v>1663</v>
      </c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 s="9" t="s">
        <v>155</v>
      </c>
      <c r="BJ109"/>
      <c r="BK109"/>
      <c r="BL109"/>
      <c r="BM109"/>
      <c r="BN109"/>
      <c r="BO109"/>
      <c r="BP109"/>
      <c r="BQ109"/>
      <c r="BR109"/>
      <c r="BS109"/>
      <c r="BT109"/>
      <c r="BU109" s="10" t="s">
        <v>1633</v>
      </c>
      <c r="BV109" s="10" t="s">
        <v>2579</v>
      </c>
      <c r="BW109" s="10" t="s">
        <v>1651</v>
      </c>
      <c r="BX109" s="10" t="s">
        <v>1653</v>
      </c>
      <c r="BY109" s="10" t="s">
        <v>1655</v>
      </c>
      <c r="BZ109" s="10" t="s">
        <v>1657</v>
      </c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DE109" s="8" t="s">
        <v>3658</v>
      </c>
      <c r="DG109" s="14">
        <v>1</v>
      </c>
    </row>
    <row r="110" spans="2:111" ht="24.95" customHeight="1" x14ac:dyDescent="0.3">
      <c r="I110" s="16">
        <v>1</v>
      </c>
      <c r="J110" s="15">
        <v>1</v>
      </c>
      <c r="K110" s="14">
        <v>1</v>
      </c>
      <c r="L110" s="14">
        <v>1</v>
      </c>
      <c r="M110" s="14">
        <v>1</v>
      </c>
      <c r="N110" s="14">
        <v>1</v>
      </c>
      <c r="O110" s="14">
        <v>1</v>
      </c>
      <c r="P110" s="14">
        <v>1</v>
      </c>
      <c r="Q110" s="14">
        <v>1</v>
      </c>
      <c r="R110" s="14">
        <v>1</v>
      </c>
      <c r="S110" s="14">
        <v>1</v>
      </c>
      <c r="T110" s="14">
        <v>1</v>
      </c>
      <c r="U110" s="14">
        <v>1</v>
      </c>
      <c r="V110" s="14">
        <v>1</v>
      </c>
      <c r="W110" s="14">
        <v>1</v>
      </c>
      <c r="X110" s="14">
        <v>1</v>
      </c>
      <c r="Y110" s="14">
        <v>1</v>
      </c>
      <c r="Z110" s="14">
        <v>1</v>
      </c>
      <c r="AA110" s="14">
        <v>1</v>
      </c>
      <c r="AB110" s="14">
        <v>1</v>
      </c>
      <c r="AC110" s="14">
        <v>1</v>
      </c>
      <c r="AD110" s="14">
        <v>1</v>
      </c>
      <c r="AE110" s="14">
        <v>1</v>
      </c>
      <c r="AF110" s="14">
        <v>1</v>
      </c>
      <c r="AG110" s="14">
        <v>1</v>
      </c>
      <c r="AH110" s="14">
        <v>1</v>
      </c>
      <c r="AI110" s="14">
        <v>1</v>
      </c>
      <c r="AJ110" s="14">
        <v>1</v>
      </c>
      <c r="AK110" s="14">
        <v>1</v>
      </c>
      <c r="AL110" s="14">
        <v>1</v>
      </c>
      <c r="AM110" s="14">
        <v>1</v>
      </c>
      <c r="AN110" s="14">
        <v>1</v>
      </c>
      <c r="AO110" s="14">
        <v>1</v>
      </c>
      <c r="AP110" s="14">
        <v>1</v>
      </c>
      <c r="AQ110" s="14">
        <v>1</v>
      </c>
      <c r="AR110" s="14">
        <v>1</v>
      </c>
      <c r="AS110" s="14">
        <v>1</v>
      </c>
      <c r="AT110" s="14">
        <v>1</v>
      </c>
      <c r="AU110" s="14">
        <v>1</v>
      </c>
      <c r="AV110" s="14">
        <v>1</v>
      </c>
      <c r="AW110" s="14">
        <v>1</v>
      </c>
      <c r="AX110" s="14">
        <v>1</v>
      </c>
      <c r="AY110" s="14">
        <v>1</v>
      </c>
      <c r="AZ110" s="14">
        <v>1</v>
      </c>
      <c r="BA110" s="14">
        <v>1</v>
      </c>
      <c r="BB110" s="14">
        <v>1</v>
      </c>
      <c r="BC110" s="14">
        <v>1</v>
      </c>
      <c r="BD110" s="14">
        <v>1</v>
      </c>
      <c r="BE110" s="14">
        <v>1</v>
      </c>
      <c r="BF110" s="14">
        <v>1</v>
      </c>
      <c r="BG110" s="14">
        <v>1</v>
      </c>
      <c r="BH110" s="14">
        <v>1</v>
      </c>
      <c r="BI110" s="14">
        <v>1</v>
      </c>
      <c r="BJ110" s="14">
        <v>1</v>
      </c>
      <c r="BK110" s="14">
        <v>1</v>
      </c>
      <c r="BL110" s="14">
        <v>1</v>
      </c>
      <c r="BM110" s="14">
        <v>1</v>
      </c>
      <c r="BN110" s="14">
        <v>1</v>
      </c>
      <c r="BO110" s="14">
        <v>1</v>
      </c>
      <c r="BP110" s="14">
        <v>1</v>
      </c>
      <c r="BQ110" s="14">
        <v>1</v>
      </c>
      <c r="BR110" s="14">
        <v>1</v>
      </c>
      <c r="BS110" s="14">
        <v>1</v>
      </c>
      <c r="BT110" s="14">
        <v>1</v>
      </c>
      <c r="BU110" s="14">
        <v>1</v>
      </c>
      <c r="BV110" s="14">
        <v>1</v>
      </c>
      <c r="BW110" s="14">
        <v>1</v>
      </c>
      <c r="BX110" s="14">
        <v>1</v>
      </c>
      <c r="BY110" s="14">
        <v>1</v>
      </c>
      <c r="BZ110" s="14">
        <v>1</v>
      </c>
      <c r="CA110" s="14">
        <v>1</v>
      </c>
      <c r="CB110" s="14">
        <v>1</v>
      </c>
      <c r="CC110" s="14">
        <v>1</v>
      </c>
      <c r="CD110" s="14">
        <v>1</v>
      </c>
      <c r="CE110" s="14">
        <v>1</v>
      </c>
      <c r="CF110" s="14">
        <v>1</v>
      </c>
      <c r="CG110" s="14">
        <v>1</v>
      </c>
      <c r="CH110" s="14">
        <v>1</v>
      </c>
      <c r="CI110" s="14">
        <v>1</v>
      </c>
      <c r="CJ110" s="14">
        <v>1</v>
      </c>
      <c r="CK110" s="14">
        <v>1</v>
      </c>
      <c r="CL110" s="14">
        <v>1</v>
      </c>
      <c r="CM110" s="14">
        <v>1</v>
      </c>
      <c r="CN110" s="14">
        <v>1</v>
      </c>
      <c r="CO110" s="14">
        <v>1</v>
      </c>
      <c r="CP110" s="14">
        <v>1</v>
      </c>
      <c r="CQ110" s="14">
        <v>1</v>
      </c>
      <c r="CR110" s="14">
        <v>1</v>
      </c>
      <c r="CS110" s="14">
        <v>1</v>
      </c>
      <c r="CT110" s="14">
        <v>1</v>
      </c>
      <c r="CU110" s="14">
        <v>1</v>
      </c>
      <c r="CV110" s="14">
        <v>1</v>
      </c>
      <c r="CW110" s="14">
        <v>1</v>
      </c>
      <c r="CX110" s="14">
        <v>1</v>
      </c>
      <c r="CY110" s="14">
        <v>1</v>
      </c>
      <c r="CZ110" s="14">
        <v>1</v>
      </c>
      <c r="DA110" s="14">
        <v>1</v>
      </c>
      <c r="DB110" s="14">
        <v>1</v>
      </c>
      <c r="DC110" s="14">
        <v>1</v>
      </c>
      <c r="DD110" s="14">
        <v>1</v>
      </c>
      <c r="DE110" s="14">
        <v>1</v>
      </c>
      <c r="DF110" s="14">
        <v>1</v>
      </c>
      <c r="DG110" s="14">
        <v>1</v>
      </c>
    </row>
    <row r="111" spans="2:111" ht="24.95" customHeight="1" x14ac:dyDescent="0.3">
      <c r="J111" s="12"/>
      <c r="CW111" s="1"/>
      <c r="CX111" s="1"/>
      <c r="CY111" s="1"/>
      <c r="CZ111" s="1"/>
      <c r="DA111" s="1"/>
      <c r="DB111" s="1"/>
      <c r="DC111" s="1"/>
      <c r="DD111" s="1"/>
      <c r="DE111" s="1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203" r:id="rId4" name="Label3">
          <controlPr defaultSize="0" autoLine="0" r:id="rId5">
            <anchor>
              <from>
                <xdr:col>24</xdr:col>
                <xdr:colOff>419100</xdr:colOff>
                <xdr:row>3</xdr:row>
                <xdr:rowOff>19050</xdr:rowOff>
              </from>
              <to>
                <xdr:col>29</xdr:col>
                <xdr:colOff>228600</xdr:colOff>
                <xdr:row>4</xdr:row>
                <xdr:rowOff>152400</xdr:rowOff>
              </to>
            </anchor>
          </controlPr>
        </control>
      </mc:Choice>
      <mc:Fallback>
        <control shapeId="8203" r:id="rId4" name="Label3"/>
      </mc:Fallback>
    </mc:AlternateContent>
    <mc:AlternateContent xmlns:mc="http://schemas.openxmlformats.org/markup-compatibility/2006">
      <mc:Choice Requires="x14">
        <control shapeId="8200" r:id="rId6" name="CommandButton8">
          <controlPr defaultSize="0" autoLine="0" r:id="rId7">
            <anchor>
              <from>
                <xdr:col>22</xdr:col>
                <xdr:colOff>0</xdr:colOff>
                <xdr:row>112</xdr:row>
                <xdr:rowOff>66675</xdr:rowOff>
              </from>
              <to>
                <xdr:col>23</xdr:col>
                <xdr:colOff>285750</xdr:colOff>
                <xdr:row>114</xdr:row>
                <xdr:rowOff>133350</xdr:rowOff>
              </to>
            </anchor>
          </controlPr>
        </control>
      </mc:Choice>
      <mc:Fallback>
        <control shapeId="8200" r:id="rId6" name="CommandButton8"/>
      </mc:Fallback>
    </mc:AlternateContent>
    <mc:AlternateContent xmlns:mc="http://schemas.openxmlformats.org/markup-compatibility/2006">
      <mc:Choice Requires="x14">
        <control shapeId="8199" r:id="rId8" name="CommandButton7">
          <controlPr defaultSize="0" autoLine="0" r:id="rId9">
            <anchor>
              <from>
                <xdr:col>111</xdr:col>
                <xdr:colOff>190500</xdr:colOff>
                <xdr:row>15</xdr:row>
                <xdr:rowOff>66675</xdr:rowOff>
              </from>
              <to>
                <xdr:col>112</xdr:col>
                <xdr:colOff>104775</xdr:colOff>
                <xdr:row>17</xdr:row>
                <xdr:rowOff>133350</xdr:rowOff>
              </to>
            </anchor>
          </controlPr>
        </control>
      </mc:Choice>
      <mc:Fallback>
        <control shapeId="8199" r:id="rId8" name="CommandButton7"/>
      </mc:Fallback>
    </mc:AlternateContent>
    <mc:AlternateContent xmlns:mc="http://schemas.openxmlformats.org/markup-compatibility/2006">
      <mc:Choice Requires="x14">
        <control shapeId="8198" r:id="rId10" name="CommandButton6">
          <controlPr defaultSize="0" autoLine="0" r:id="rId11">
            <anchor>
              <from>
                <xdr:col>21</xdr:col>
                <xdr:colOff>0</xdr:colOff>
                <xdr:row>3</xdr:row>
                <xdr:rowOff>123825</xdr:rowOff>
              </from>
              <to>
                <xdr:col>22</xdr:col>
                <xdr:colOff>295275</xdr:colOff>
                <xdr:row>5</xdr:row>
                <xdr:rowOff>190500</xdr:rowOff>
              </to>
            </anchor>
          </controlPr>
        </control>
      </mc:Choice>
      <mc:Fallback>
        <control shapeId="8198" r:id="rId10" name="CommandButton6"/>
      </mc:Fallback>
    </mc:AlternateContent>
    <mc:AlternateContent xmlns:mc="http://schemas.openxmlformats.org/markup-compatibility/2006">
      <mc:Choice Requires="x14">
        <control shapeId="8197" r:id="rId12" name="CommandButton5">
          <controlPr defaultSize="0" autoLine="0" r:id="rId13">
            <anchor>
              <from>
                <xdr:col>2</xdr:col>
                <xdr:colOff>381000</xdr:colOff>
                <xdr:row>18</xdr:row>
                <xdr:rowOff>295275</xdr:rowOff>
              </from>
              <to>
                <xdr:col>4</xdr:col>
                <xdr:colOff>247650</xdr:colOff>
                <xdr:row>21</xdr:row>
                <xdr:rowOff>47625</xdr:rowOff>
              </to>
            </anchor>
          </controlPr>
        </control>
      </mc:Choice>
      <mc:Fallback>
        <control shapeId="8197" r:id="rId12" name="CommandButton5"/>
      </mc:Fallback>
    </mc:AlternateContent>
    <mc:AlternateContent xmlns:mc="http://schemas.openxmlformats.org/markup-compatibility/2006">
      <mc:Choice Requires="x14">
        <control shapeId="8193" r:id="rId14" name="CommandButton1">
          <controlPr defaultSize="0" autoLine="0" r:id="rId15">
            <anchor>
              <from>
                <xdr:col>110</xdr:col>
                <xdr:colOff>123825</xdr:colOff>
                <xdr:row>1</xdr:row>
                <xdr:rowOff>66675</xdr:rowOff>
              </from>
              <to>
                <xdr:col>111</xdr:col>
                <xdr:colOff>600075</xdr:colOff>
                <xdr:row>3</xdr:row>
                <xdr:rowOff>161925</xdr:rowOff>
              </to>
            </anchor>
          </controlPr>
        </control>
      </mc:Choice>
      <mc:Fallback>
        <control shapeId="8193" r:id="rId14" name="CommandButton1"/>
      </mc:Fallback>
    </mc:AlternateContent>
    <mc:AlternateContent xmlns:mc="http://schemas.openxmlformats.org/markup-compatibility/2006">
      <mc:Choice Requires="x14">
        <control shapeId="8194" r:id="rId16" name="CommandButton2">
          <controlPr defaultSize="0" autoLine="0" r:id="rId17">
            <anchor>
              <from>
                <xdr:col>112</xdr:col>
                <xdr:colOff>314325</xdr:colOff>
                <xdr:row>1</xdr:row>
                <xdr:rowOff>66675</xdr:rowOff>
              </from>
              <to>
                <xdr:col>114</xdr:col>
                <xdr:colOff>219075</xdr:colOff>
                <xdr:row>2</xdr:row>
                <xdr:rowOff>295275</xdr:rowOff>
              </to>
            </anchor>
          </controlPr>
        </control>
      </mc:Choice>
      <mc:Fallback>
        <control shapeId="8194" r:id="rId16" name="CommandButton2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>
              <from>
                <xdr:col>110</xdr:col>
                <xdr:colOff>47625</xdr:colOff>
                <xdr:row>4</xdr:row>
                <xdr:rowOff>28575</xdr:rowOff>
              </from>
              <to>
                <xdr:col>113</xdr:col>
                <xdr:colOff>657225</xdr:colOff>
                <xdr:row>6</xdr:row>
                <xdr:rowOff>152400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201" r:id="rId20" name="Label1">
          <controlPr defaultSize="0" autoLine="0" r:id="rId21">
            <anchor>
              <from>
                <xdr:col>30</xdr:col>
                <xdr:colOff>0</xdr:colOff>
                <xdr:row>2</xdr:row>
                <xdr:rowOff>276225</xdr:rowOff>
              </from>
              <to>
                <xdr:col>34</xdr:col>
                <xdr:colOff>247650</xdr:colOff>
                <xdr:row>4</xdr:row>
                <xdr:rowOff>104775</xdr:rowOff>
              </to>
            </anchor>
          </controlPr>
        </control>
      </mc:Choice>
      <mc:Fallback>
        <control shapeId="8201" r:id="rId20" name="Label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83"/>
  <sheetViews>
    <sheetView topLeftCell="B7" workbookViewId="0">
      <selection activeCell="C19" sqref="C19"/>
    </sheetView>
  </sheetViews>
  <sheetFormatPr defaultRowHeight="16.5" x14ac:dyDescent="0.3"/>
  <cols>
    <col min="1" max="1" width="9" style="1"/>
    <col min="2" max="2" width="10.25" style="1" customWidth="1"/>
    <col min="3" max="3" width="12.75" style="1" customWidth="1"/>
    <col min="4" max="4" width="22" style="1" bestFit="1" customWidth="1"/>
    <col min="5" max="5" width="11.125" style="1" bestFit="1" customWidth="1"/>
    <col min="6" max="6" width="51" style="1" bestFit="1" customWidth="1"/>
    <col min="7" max="7" width="9" style="1"/>
    <col min="8" max="8" width="10.25" style="1" customWidth="1"/>
    <col min="10" max="10" width="11" customWidth="1"/>
    <col min="11" max="11" width="8.375" customWidth="1"/>
    <col min="16" max="16" width="11.125" bestFit="1" customWidth="1"/>
    <col min="17" max="17" width="50.5" bestFit="1" customWidth="1"/>
  </cols>
  <sheetData>
    <row r="1" spans="1:19" x14ac:dyDescent="0.3">
      <c r="A1" s="1" t="s">
        <v>1</v>
      </c>
      <c r="B1" s="1" t="s">
        <v>3123</v>
      </c>
      <c r="C1" s="1" t="s">
        <v>3494</v>
      </c>
      <c r="D1" s="1" t="s">
        <v>3124</v>
      </c>
      <c r="E1" s="1" t="s">
        <v>3127</v>
      </c>
      <c r="F1" s="1" t="s">
        <v>3495</v>
      </c>
      <c r="G1" s="1" t="s">
        <v>3496</v>
      </c>
      <c r="H1" s="1" t="s">
        <v>3497</v>
      </c>
      <c r="J1" t="s">
        <v>3647</v>
      </c>
      <c r="L1" s="1" t="s">
        <v>1</v>
      </c>
      <c r="M1" s="1" t="s">
        <v>3123</v>
      </c>
      <c r="N1" s="1" t="s">
        <v>3494</v>
      </c>
      <c r="O1" s="1" t="s">
        <v>3124</v>
      </c>
      <c r="P1" s="1" t="s">
        <v>3127</v>
      </c>
      <c r="Q1" s="1" t="s">
        <v>3495</v>
      </c>
      <c r="R1" s="1" t="s">
        <v>3496</v>
      </c>
      <c r="S1" s="1" t="s">
        <v>3497</v>
      </c>
    </row>
    <row r="2" spans="1:19" x14ac:dyDescent="0.3">
      <c r="A2" s="1">
        <v>1</v>
      </c>
      <c r="B2" s="1" t="s">
        <v>6</v>
      </c>
      <c r="C2" s="1" t="s">
        <v>239</v>
      </c>
      <c r="D2" s="1" t="s">
        <v>240</v>
      </c>
      <c r="E2" s="3">
        <v>44409</v>
      </c>
      <c r="F2" s="1" t="s">
        <v>3498</v>
      </c>
      <c r="G2" s="1">
        <v>4</v>
      </c>
      <c r="H2" s="1" t="s">
        <v>3499</v>
      </c>
      <c r="J2" t="s">
        <v>3622</v>
      </c>
      <c r="L2" s="1">
        <v>1</v>
      </c>
      <c r="M2" s="1" t="s">
        <v>6</v>
      </c>
      <c r="N2" s="1" t="s">
        <v>239</v>
      </c>
      <c r="O2" s="1" t="s">
        <v>240</v>
      </c>
      <c r="P2" s="3">
        <v>44409</v>
      </c>
      <c r="Q2" s="1" t="s">
        <v>3498</v>
      </c>
      <c r="R2" s="1">
        <v>4</v>
      </c>
      <c r="S2" s="1" t="s">
        <v>3499</v>
      </c>
    </row>
    <row r="3" spans="1:19" x14ac:dyDescent="0.3">
      <c r="A3" s="1">
        <v>2</v>
      </c>
      <c r="B3" s="1" t="s">
        <v>15</v>
      </c>
      <c r="C3" s="1" t="s">
        <v>239</v>
      </c>
      <c r="D3" s="1" t="s">
        <v>240</v>
      </c>
      <c r="E3" s="3">
        <v>44409</v>
      </c>
      <c r="F3" s="1" t="s">
        <v>3500</v>
      </c>
      <c r="G3" s="1">
        <v>5</v>
      </c>
      <c r="H3" s="1" t="s">
        <v>3501</v>
      </c>
      <c r="L3" s="1">
        <v>2</v>
      </c>
      <c r="M3" s="1" t="s">
        <v>15</v>
      </c>
      <c r="N3" s="1" t="s">
        <v>239</v>
      </c>
      <c r="O3" s="1" t="s">
        <v>240</v>
      </c>
      <c r="P3" s="3">
        <v>44409</v>
      </c>
      <c r="Q3" s="1" t="s">
        <v>3500</v>
      </c>
      <c r="R3" s="1">
        <v>5</v>
      </c>
      <c r="S3" s="1" t="s">
        <v>3501</v>
      </c>
    </row>
    <row r="4" spans="1:19" x14ac:dyDescent="0.3">
      <c r="A4" s="1">
        <v>3</v>
      </c>
      <c r="B4" s="1" t="s">
        <v>20</v>
      </c>
      <c r="C4" s="1" t="s">
        <v>239</v>
      </c>
      <c r="D4" s="1" t="s">
        <v>240</v>
      </c>
      <c r="E4" s="3">
        <v>44443</v>
      </c>
      <c r="F4" s="1" t="s">
        <v>3502</v>
      </c>
      <c r="G4" s="1">
        <v>3</v>
      </c>
      <c r="H4" s="1" t="s">
        <v>3501</v>
      </c>
      <c r="L4" s="1">
        <v>3</v>
      </c>
      <c r="M4" s="1" t="s">
        <v>20</v>
      </c>
      <c r="N4" s="1" t="s">
        <v>239</v>
      </c>
      <c r="O4" s="1" t="s">
        <v>240</v>
      </c>
      <c r="P4" s="3">
        <v>44443</v>
      </c>
      <c r="Q4" s="1" t="s">
        <v>3502</v>
      </c>
      <c r="R4" s="1">
        <v>3</v>
      </c>
      <c r="S4" s="1" t="s">
        <v>3501</v>
      </c>
    </row>
    <row r="5" spans="1:19" x14ac:dyDescent="0.3">
      <c r="A5" s="1">
        <v>4</v>
      </c>
      <c r="B5" s="1" t="s">
        <v>25</v>
      </c>
      <c r="C5" s="1" t="s">
        <v>239</v>
      </c>
      <c r="D5" s="1" t="s">
        <v>240</v>
      </c>
      <c r="E5" s="3">
        <v>44446</v>
      </c>
      <c r="F5" s="1" t="s">
        <v>3503</v>
      </c>
      <c r="G5" s="1">
        <v>4</v>
      </c>
      <c r="H5" s="1" t="s">
        <v>3501</v>
      </c>
      <c r="L5" s="1">
        <v>4</v>
      </c>
      <c r="M5" s="1" t="s">
        <v>25</v>
      </c>
      <c r="N5" s="1" t="s">
        <v>239</v>
      </c>
      <c r="O5" s="1" t="s">
        <v>240</v>
      </c>
      <c r="P5" s="3">
        <v>44446</v>
      </c>
      <c r="Q5" s="1" t="s">
        <v>3503</v>
      </c>
      <c r="R5" s="1">
        <v>4</v>
      </c>
      <c r="S5" s="1" t="s">
        <v>3501</v>
      </c>
    </row>
    <row r="6" spans="1:19" x14ac:dyDescent="0.3">
      <c r="A6" s="1">
        <v>5</v>
      </c>
      <c r="B6" s="1" t="s">
        <v>30</v>
      </c>
      <c r="C6" s="1" t="s">
        <v>239</v>
      </c>
      <c r="D6" s="1" t="s">
        <v>240</v>
      </c>
      <c r="E6" s="3">
        <v>44452</v>
      </c>
      <c r="F6" s="1" t="s">
        <v>3504</v>
      </c>
      <c r="G6" s="1">
        <v>2</v>
      </c>
      <c r="H6" s="1" t="s">
        <v>3499</v>
      </c>
      <c r="L6" s="1">
        <v>5</v>
      </c>
      <c r="M6" s="1" t="s">
        <v>30</v>
      </c>
      <c r="N6" s="1" t="s">
        <v>239</v>
      </c>
      <c r="O6" s="1" t="s">
        <v>240</v>
      </c>
      <c r="P6" s="3">
        <v>44452</v>
      </c>
      <c r="Q6" s="1" t="s">
        <v>3504</v>
      </c>
      <c r="R6" s="1">
        <v>2</v>
      </c>
      <c r="S6" s="1" t="s">
        <v>3499</v>
      </c>
    </row>
    <row r="7" spans="1:19" x14ac:dyDescent="0.3">
      <c r="A7" s="1">
        <v>6</v>
      </c>
      <c r="B7" s="1" t="s">
        <v>35</v>
      </c>
      <c r="C7" s="1" t="s">
        <v>239</v>
      </c>
      <c r="D7" s="1" t="s">
        <v>240</v>
      </c>
      <c r="E7" s="3">
        <v>44461</v>
      </c>
      <c r="F7" s="1" t="s">
        <v>3505</v>
      </c>
      <c r="G7" s="1">
        <v>4</v>
      </c>
      <c r="H7" s="1" t="s">
        <v>3499</v>
      </c>
      <c r="L7" s="1">
        <v>6</v>
      </c>
      <c r="M7" s="1" t="s">
        <v>35</v>
      </c>
      <c r="N7" s="1" t="s">
        <v>239</v>
      </c>
      <c r="O7" s="1" t="s">
        <v>240</v>
      </c>
      <c r="P7" s="3">
        <v>44461</v>
      </c>
      <c r="Q7" s="1" t="s">
        <v>3505</v>
      </c>
      <c r="R7" s="1">
        <v>4</v>
      </c>
      <c r="S7" s="1" t="s">
        <v>3499</v>
      </c>
    </row>
    <row r="8" spans="1:19" x14ac:dyDescent="0.3">
      <c r="A8" s="1">
        <v>7</v>
      </c>
      <c r="B8" s="1" t="s">
        <v>40</v>
      </c>
      <c r="C8" s="1" t="s">
        <v>239</v>
      </c>
      <c r="D8" s="1" t="s">
        <v>240</v>
      </c>
      <c r="E8" s="3">
        <v>44476</v>
      </c>
      <c r="F8" s="1" t="s">
        <v>3506</v>
      </c>
      <c r="G8" s="1">
        <v>4</v>
      </c>
      <c r="H8" s="1" t="s">
        <v>3499</v>
      </c>
      <c r="L8" s="1">
        <v>7</v>
      </c>
      <c r="M8" s="1" t="s">
        <v>40</v>
      </c>
      <c r="N8" s="1" t="s">
        <v>239</v>
      </c>
      <c r="O8" s="1" t="s">
        <v>240</v>
      </c>
      <c r="P8" s="3">
        <v>44476</v>
      </c>
      <c r="Q8" s="1" t="s">
        <v>3506</v>
      </c>
      <c r="R8" s="1">
        <v>4</v>
      </c>
      <c r="S8" s="1" t="s">
        <v>3499</v>
      </c>
    </row>
    <row r="9" spans="1:19" x14ac:dyDescent="0.3">
      <c r="A9" s="1">
        <v>8</v>
      </c>
      <c r="B9" s="1" t="s">
        <v>175</v>
      </c>
      <c r="C9" s="1" t="s">
        <v>239</v>
      </c>
      <c r="D9" s="1" t="s">
        <v>240</v>
      </c>
      <c r="E9" s="3">
        <v>44498</v>
      </c>
      <c r="F9" s="1" t="s">
        <v>3507</v>
      </c>
      <c r="G9" s="1">
        <v>2</v>
      </c>
      <c r="H9" s="1" t="s">
        <v>3501</v>
      </c>
      <c r="L9" s="1">
        <v>8</v>
      </c>
      <c r="M9" s="1" t="s">
        <v>175</v>
      </c>
      <c r="N9" s="1" t="s">
        <v>239</v>
      </c>
      <c r="O9" s="1" t="s">
        <v>240</v>
      </c>
      <c r="P9" s="3">
        <v>44498</v>
      </c>
      <c r="Q9" s="1" t="s">
        <v>3507</v>
      </c>
      <c r="R9" s="1">
        <v>2</v>
      </c>
      <c r="S9" s="1" t="s">
        <v>3501</v>
      </c>
    </row>
    <row r="10" spans="1:19" x14ac:dyDescent="0.3">
      <c r="A10" s="1">
        <v>9</v>
      </c>
      <c r="B10" s="1" t="s">
        <v>75</v>
      </c>
      <c r="C10" s="1" t="s">
        <v>239</v>
      </c>
      <c r="D10" s="1" t="s">
        <v>240</v>
      </c>
      <c r="E10" s="3">
        <v>44505</v>
      </c>
      <c r="F10" s="1" t="s">
        <v>3508</v>
      </c>
      <c r="G10" s="1">
        <v>4</v>
      </c>
      <c r="H10" s="1" t="s">
        <v>3499</v>
      </c>
      <c r="L10" s="1">
        <v>9</v>
      </c>
      <c r="M10" s="1" t="s">
        <v>75</v>
      </c>
      <c r="N10" s="1" t="s">
        <v>239</v>
      </c>
      <c r="O10" s="1" t="s">
        <v>240</v>
      </c>
      <c r="P10" s="3">
        <v>44505</v>
      </c>
      <c r="Q10" s="1" t="s">
        <v>3508</v>
      </c>
      <c r="R10" s="1">
        <v>4</v>
      </c>
      <c r="S10" s="1" t="s">
        <v>3499</v>
      </c>
    </row>
    <row r="11" spans="1:19" x14ac:dyDescent="0.3">
      <c r="A11" s="1">
        <v>10</v>
      </c>
      <c r="B11" s="1" t="s">
        <v>135</v>
      </c>
      <c r="C11" s="1" t="s">
        <v>529</v>
      </c>
      <c r="D11" s="1" t="s">
        <v>530</v>
      </c>
      <c r="E11" s="3">
        <v>44424</v>
      </c>
      <c r="F11" s="1" t="s">
        <v>3509</v>
      </c>
      <c r="G11" s="1">
        <v>4</v>
      </c>
      <c r="H11" s="1" t="s">
        <v>3501</v>
      </c>
      <c r="L11" s="1">
        <v>21</v>
      </c>
      <c r="M11" s="1" t="s">
        <v>15</v>
      </c>
      <c r="N11" s="1" t="s">
        <v>239</v>
      </c>
      <c r="O11" s="1" t="s">
        <v>240</v>
      </c>
      <c r="P11" s="3">
        <v>44443</v>
      </c>
      <c r="Q11" s="1" t="s">
        <v>3520</v>
      </c>
      <c r="R11" s="1">
        <v>1</v>
      </c>
      <c r="S11" s="1" t="s">
        <v>3499</v>
      </c>
    </row>
    <row r="12" spans="1:19" x14ac:dyDescent="0.3">
      <c r="A12" s="1">
        <v>11</v>
      </c>
      <c r="B12" s="1" t="s">
        <v>190</v>
      </c>
      <c r="C12" s="1" t="s">
        <v>544</v>
      </c>
      <c r="D12" s="1" t="s">
        <v>545</v>
      </c>
      <c r="E12" s="3">
        <v>44425</v>
      </c>
      <c r="F12" s="1" t="s">
        <v>3510</v>
      </c>
      <c r="G12" s="1">
        <v>3</v>
      </c>
      <c r="H12" s="1" t="s">
        <v>3499</v>
      </c>
      <c r="L12" s="1">
        <v>36</v>
      </c>
      <c r="M12" s="1" t="s">
        <v>25</v>
      </c>
      <c r="N12" s="1" t="s">
        <v>239</v>
      </c>
      <c r="O12" s="1" t="s">
        <v>240</v>
      </c>
      <c r="P12" s="3">
        <v>44409</v>
      </c>
      <c r="Q12" s="1" t="s">
        <v>3534</v>
      </c>
      <c r="R12" s="1">
        <v>2</v>
      </c>
      <c r="S12" s="1" t="s">
        <v>3501</v>
      </c>
    </row>
    <row r="13" spans="1:19" x14ac:dyDescent="0.3">
      <c r="A13" s="1">
        <v>12</v>
      </c>
      <c r="B13" s="1" t="s">
        <v>160</v>
      </c>
      <c r="C13" s="1" t="s">
        <v>734</v>
      </c>
      <c r="D13" s="1" t="s">
        <v>735</v>
      </c>
      <c r="E13" s="3">
        <v>44425</v>
      </c>
      <c r="F13" s="1" t="s">
        <v>3511</v>
      </c>
      <c r="G13" s="1">
        <v>3</v>
      </c>
      <c r="H13" s="1" t="s">
        <v>3501</v>
      </c>
      <c r="L13" s="1">
        <v>43</v>
      </c>
      <c r="M13" s="1" t="s">
        <v>25</v>
      </c>
      <c r="N13" s="1" t="s">
        <v>239</v>
      </c>
      <c r="O13" s="1" t="s">
        <v>240</v>
      </c>
      <c r="P13" s="3">
        <v>44409</v>
      </c>
      <c r="Q13" s="1" t="s">
        <v>3540</v>
      </c>
      <c r="R13" s="1">
        <v>1</v>
      </c>
      <c r="S13" s="1" t="s">
        <v>3499</v>
      </c>
    </row>
    <row r="14" spans="1:19" x14ac:dyDescent="0.3">
      <c r="A14" s="1">
        <v>13</v>
      </c>
      <c r="B14" s="1" t="s">
        <v>215</v>
      </c>
      <c r="C14" s="1" t="s">
        <v>814</v>
      </c>
      <c r="D14" s="1" t="s">
        <v>815</v>
      </c>
      <c r="E14" s="3">
        <v>44426</v>
      </c>
      <c r="F14" s="1" t="s">
        <v>3512</v>
      </c>
      <c r="G14" s="1">
        <v>2</v>
      </c>
      <c r="H14" s="1" t="s">
        <v>3499</v>
      </c>
      <c r="L14" s="1">
        <v>182</v>
      </c>
      <c r="M14" s="1" t="s">
        <v>150</v>
      </c>
      <c r="N14" s="1" t="s">
        <v>239</v>
      </c>
      <c r="O14" s="1" t="s">
        <v>240</v>
      </c>
      <c r="P14" s="3">
        <v>44464</v>
      </c>
      <c r="Q14" s="1" t="s">
        <v>3619</v>
      </c>
      <c r="R14" s="1">
        <v>1</v>
      </c>
      <c r="S14" s="1" t="s">
        <v>3501</v>
      </c>
    </row>
    <row r="15" spans="1:19" x14ac:dyDescent="0.3">
      <c r="A15" s="1">
        <v>14</v>
      </c>
      <c r="B15" s="1" t="s">
        <v>70</v>
      </c>
      <c r="C15" s="1" t="s">
        <v>589</v>
      </c>
      <c r="D15" s="1" t="s">
        <v>590</v>
      </c>
      <c r="E15" s="3">
        <v>44427</v>
      </c>
      <c r="F15" s="1" t="s">
        <v>3513</v>
      </c>
      <c r="G15" s="1">
        <v>2</v>
      </c>
      <c r="H15" s="1" t="s">
        <v>3501</v>
      </c>
    </row>
    <row r="16" spans="1:19" x14ac:dyDescent="0.3">
      <c r="A16" s="1">
        <v>15</v>
      </c>
      <c r="B16" s="1" t="s">
        <v>195</v>
      </c>
      <c r="C16" s="1" t="s">
        <v>689</v>
      </c>
      <c r="D16" s="1" t="s">
        <v>690</v>
      </c>
      <c r="E16" s="3">
        <v>44427</v>
      </c>
      <c r="F16" s="1" t="s">
        <v>3514</v>
      </c>
      <c r="G16" s="1">
        <v>4</v>
      </c>
      <c r="H16" s="1" t="s">
        <v>3499</v>
      </c>
    </row>
    <row r="17" spans="1:8" x14ac:dyDescent="0.3">
      <c r="A17" s="1">
        <v>16</v>
      </c>
      <c r="B17" s="1" t="s">
        <v>40</v>
      </c>
      <c r="C17" s="1" t="s">
        <v>734</v>
      </c>
      <c r="D17" s="1" t="s">
        <v>735</v>
      </c>
      <c r="E17" s="3">
        <v>44459</v>
      </c>
      <c r="F17" s="1" t="s">
        <v>3515</v>
      </c>
      <c r="G17" s="1">
        <v>3</v>
      </c>
      <c r="H17" s="1" t="s">
        <v>3501</v>
      </c>
    </row>
    <row r="18" spans="1:8" x14ac:dyDescent="0.3">
      <c r="A18" s="1">
        <v>17</v>
      </c>
      <c r="B18" s="1" t="s">
        <v>100</v>
      </c>
      <c r="C18" s="1" t="s">
        <v>299</v>
      </c>
      <c r="D18" s="1" t="s">
        <v>300</v>
      </c>
      <c r="E18" s="3">
        <v>44442</v>
      </c>
      <c r="F18" s="1" t="s">
        <v>3516</v>
      </c>
      <c r="G18" s="1">
        <v>1</v>
      </c>
      <c r="H18" s="1" t="s">
        <v>3499</v>
      </c>
    </row>
    <row r="19" spans="1:8" x14ac:dyDescent="0.3">
      <c r="A19" s="1">
        <v>18</v>
      </c>
      <c r="B19" s="1" t="s">
        <v>55</v>
      </c>
      <c r="C19" s="1" t="s">
        <v>344</v>
      </c>
      <c r="D19" s="1" t="s">
        <v>345</v>
      </c>
      <c r="E19" s="3">
        <v>44442</v>
      </c>
      <c r="F19" s="1" t="s">
        <v>3517</v>
      </c>
      <c r="G19" s="1">
        <v>5</v>
      </c>
      <c r="H19" s="1" t="s">
        <v>3501</v>
      </c>
    </row>
    <row r="20" spans="1:8" x14ac:dyDescent="0.3">
      <c r="A20" s="1">
        <v>19</v>
      </c>
      <c r="B20" s="1" t="s">
        <v>20</v>
      </c>
      <c r="C20" s="1" t="s">
        <v>439</v>
      </c>
      <c r="D20" s="1" t="s">
        <v>440</v>
      </c>
      <c r="E20" s="3">
        <v>44442</v>
      </c>
      <c r="F20" s="1" t="s">
        <v>3518</v>
      </c>
      <c r="G20" s="1">
        <v>4</v>
      </c>
      <c r="H20" s="1" t="s">
        <v>3499</v>
      </c>
    </row>
    <row r="21" spans="1:8" x14ac:dyDescent="0.3">
      <c r="A21" s="1">
        <v>20</v>
      </c>
      <c r="B21" s="1" t="s">
        <v>30</v>
      </c>
      <c r="C21" s="1" t="s">
        <v>449</v>
      </c>
      <c r="D21" s="1" t="s">
        <v>450</v>
      </c>
      <c r="E21" s="3">
        <v>44442</v>
      </c>
      <c r="F21" s="1" t="s">
        <v>3519</v>
      </c>
      <c r="G21" s="1">
        <v>1</v>
      </c>
      <c r="H21" s="1" t="s">
        <v>3501</v>
      </c>
    </row>
    <row r="22" spans="1:8" x14ac:dyDescent="0.3">
      <c r="A22" s="1">
        <v>21</v>
      </c>
      <c r="B22" s="1" t="s">
        <v>15</v>
      </c>
      <c r="C22" s="1" t="s">
        <v>239</v>
      </c>
      <c r="D22" s="1" t="s">
        <v>240</v>
      </c>
      <c r="E22" s="3">
        <v>44443</v>
      </c>
      <c r="F22" s="1" t="s">
        <v>3520</v>
      </c>
      <c r="G22" s="1">
        <v>1</v>
      </c>
      <c r="H22" s="1" t="s">
        <v>3499</v>
      </c>
    </row>
    <row r="23" spans="1:8" x14ac:dyDescent="0.3">
      <c r="A23" s="1">
        <v>22</v>
      </c>
      <c r="B23" s="1" t="s">
        <v>135</v>
      </c>
      <c r="C23" s="1" t="s">
        <v>709</v>
      </c>
      <c r="D23" s="1" t="s">
        <v>710</v>
      </c>
      <c r="E23" s="3">
        <v>44444</v>
      </c>
      <c r="F23" s="1" t="s">
        <v>3521</v>
      </c>
      <c r="G23" s="1">
        <v>5</v>
      </c>
      <c r="H23" s="1" t="s">
        <v>3501</v>
      </c>
    </row>
    <row r="24" spans="1:8" x14ac:dyDescent="0.3">
      <c r="A24" s="1">
        <v>23</v>
      </c>
      <c r="B24" s="1" t="s">
        <v>210</v>
      </c>
      <c r="C24" s="1" t="s">
        <v>244</v>
      </c>
      <c r="D24" s="1" t="s">
        <v>245</v>
      </c>
      <c r="E24" s="3">
        <v>44445</v>
      </c>
      <c r="F24" s="1" t="s">
        <v>3522</v>
      </c>
      <c r="G24" s="1">
        <v>3</v>
      </c>
      <c r="H24" s="1" t="s">
        <v>3499</v>
      </c>
    </row>
    <row r="25" spans="1:8" x14ac:dyDescent="0.3">
      <c r="A25" s="1">
        <v>24</v>
      </c>
      <c r="B25" s="1" t="s">
        <v>6</v>
      </c>
      <c r="C25" s="1" t="s">
        <v>804</v>
      </c>
      <c r="D25" s="1" t="s">
        <v>805</v>
      </c>
      <c r="E25" s="3">
        <v>44445</v>
      </c>
      <c r="F25" s="1" t="s">
        <v>3523</v>
      </c>
      <c r="G25" s="1">
        <v>4</v>
      </c>
      <c r="H25" s="1" t="s">
        <v>3501</v>
      </c>
    </row>
    <row r="26" spans="1:8" x14ac:dyDescent="0.3">
      <c r="A26" s="1">
        <v>25</v>
      </c>
      <c r="B26" s="1" t="s">
        <v>11</v>
      </c>
      <c r="C26" s="1" t="s">
        <v>574</v>
      </c>
      <c r="D26" s="1" t="s">
        <v>575</v>
      </c>
      <c r="E26" s="3">
        <v>44445</v>
      </c>
      <c r="F26" s="1" t="s">
        <v>3524</v>
      </c>
      <c r="G26" s="1">
        <v>5</v>
      </c>
      <c r="H26" s="1" t="s">
        <v>3499</v>
      </c>
    </row>
    <row r="27" spans="1:8" x14ac:dyDescent="0.3">
      <c r="A27" s="1">
        <v>26</v>
      </c>
      <c r="B27" s="1" t="s">
        <v>70</v>
      </c>
      <c r="C27" s="1" t="s">
        <v>519</v>
      </c>
      <c r="D27" s="1" t="s">
        <v>520</v>
      </c>
      <c r="E27" s="3">
        <v>44464</v>
      </c>
      <c r="F27" s="1" t="s">
        <v>3514</v>
      </c>
      <c r="G27" s="1">
        <v>3</v>
      </c>
      <c r="H27" s="1" t="s">
        <v>3501</v>
      </c>
    </row>
    <row r="28" spans="1:8" x14ac:dyDescent="0.3">
      <c r="A28" s="1">
        <v>27</v>
      </c>
      <c r="B28" s="1" t="s">
        <v>11</v>
      </c>
      <c r="C28" s="1" t="s">
        <v>439</v>
      </c>
      <c r="D28" s="1" t="s">
        <v>440</v>
      </c>
      <c r="E28" s="3">
        <v>44464</v>
      </c>
      <c r="F28" s="1" t="s">
        <v>3525</v>
      </c>
      <c r="G28" s="1">
        <v>5</v>
      </c>
      <c r="H28" s="1" t="s">
        <v>3499</v>
      </c>
    </row>
    <row r="29" spans="1:8" x14ac:dyDescent="0.3">
      <c r="A29" s="1">
        <v>28</v>
      </c>
      <c r="B29" s="1" t="s">
        <v>150</v>
      </c>
      <c r="C29" s="1" t="s">
        <v>274</v>
      </c>
      <c r="D29" s="1" t="s">
        <v>275</v>
      </c>
      <c r="E29" s="3">
        <v>44465</v>
      </c>
      <c r="F29" s="1" t="s">
        <v>3526</v>
      </c>
      <c r="G29" s="1">
        <v>1</v>
      </c>
      <c r="H29" s="1" t="s">
        <v>3501</v>
      </c>
    </row>
    <row r="30" spans="1:8" x14ac:dyDescent="0.3">
      <c r="A30" s="1">
        <v>29</v>
      </c>
      <c r="B30" s="1" t="s">
        <v>195</v>
      </c>
      <c r="C30" s="1" t="s">
        <v>469</v>
      </c>
      <c r="D30" s="1" t="s">
        <v>470</v>
      </c>
      <c r="E30" s="3">
        <v>44465</v>
      </c>
      <c r="F30" s="1" t="s">
        <v>3527</v>
      </c>
      <c r="G30" s="1">
        <v>4</v>
      </c>
      <c r="H30" s="1" t="s">
        <v>3501</v>
      </c>
    </row>
    <row r="31" spans="1:8" x14ac:dyDescent="0.3">
      <c r="A31" s="1">
        <v>30</v>
      </c>
      <c r="B31" s="1" t="s">
        <v>6</v>
      </c>
      <c r="C31" s="1" t="s">
        <v>779</v>
      </c>
      <c r="D31" s="1" t="s">
        <v>780</v>
      </c>
      <c r="E31" s="3">
        <v>44465</v>
      </c>
      <c r="F31" s="1" t="s">
        <v>3528</v>
      </c>
      <c r="G31" s="1">
        <v>4</v>
      </c>
      <c r="H31" s="1" t="s">
        <v>3501</v>
      </c>
    </row>
    <row r="32" spans="1:8" x14ac:dyDescent="0.3">
      <c r="A32" s="1">
        <v>31</v>
      </c>
      <c r="B32" s="1" t="s">
        <v>45</v>
      </c>
      <c r="C32" s="1" t="s">
        <v>634</v>
      </c>
      <c r="D32" s="1" t="s">
        <v>635</v>
      </c>
      <c r="E32" s="3">
        <v>44466</v>
      </c>
      <c r="F32" s="1" t="s">
        <v>3529</v>
      </c>
      <c r="G32" s="1">
        <v>5</v>
      </c>
      <c r="H32" s="1" t="s">
        <v>3501</v>
      </c>
    </row>
    <row r="33" spans="1:8" x14ac:dyDescent="0.3">
      <c r="A33" s="1">
        <v>32</v>
      </c>
      <c r="B33" s="1" t="s">
        <v>180</v>
      </c>
      <c r="C33" s="1" t="s">
        <v>459</v>
      </c>
      <c r="D33" s="1" t="s">
        <v>460</v>
      </c>
      <c r="E33" s="3">
        <v>44467</v>
      </c>
      <c r="F33" s="1" t="s">
        <v>3530</v>
      </c>
      <c r="G33" s="1">
        <v>5</v>
      </c>
      <c r="H33" s="1" t="s">
        <v>3501</v>
      </c>
    </row>
    <row r="34" spans="1:8" x14ac:dyDescent="0.3">
      <c r="A34" s="1">
        <v>33</v>
      </c>
      <c r="B34" s="1" t="s">
        <v>25</v>
      </c>
      <c r="C34" s="1" t="s">
        <v>544</v>
      </c>
      <c r="D34" s="1" t="s">
        <v>545</v>
      </c>
      <c r="E34" s="3">
        <v>44425</v>
      </c>
      <c r="F34" s="1" t="s">
        <v>3531</v>
      </c>
      <c r="G34" s="1">
        <v>2</v>
      </c>
      <c r="H34" s="1" t="s">
        <v>3499</v>
      </c>
    </row>
    <row r="35" spans="1:8" x14ac:dyDescent="0.3">
      <c r="A35" s="1">
        <v>34</v>
      </c>
      <c r="B35" s="1" t="s">
        <v>25</v>
      </c>
      <c r="C35" s="1" t="s">
        <v>824</v>
      </c>
      <c r="D35" s="1" t="s">
        <v>825</v>
      </c>
      <c r="E35" s="3">
        <v>44451</v>
      </c>
      <c r="F35" s="1" t="s">
        <v>3532</v>
      </c>
      <c r="G35" s="1">
        <v>2</v>
      </c>
      <c r="H35" s="1" t="s">
        <v>3499</v>
      </c>
    </row>
    <row r="36" spans="1:8" x14ac:dyDescent="0.3">
      <c r="A36" s="1">
        <v>35</v>
      </c>
      <c r="B36" s="1" t="s">
        <v>11</v>
      </c>
      <c r="C36" s="1" t="s">
        <v>539</v>
      </c>
      <c r="D36" s="1" t="s">
        <v>540</v>
      </c>
      <c r="E36" s="3">
        <v>44418</v>
      </c>
      <c r="F36" s="1" t="s">
        <v>3533</v>
      </c>
      <c r="G36" s="1">
        <v>3</v>
      </c>
      <c r="H36" s="1" t="s">
        <v>3499</v>
      </c>
    </row>
    <row r="37" spans="1:8" x14ac:dyDescent="0.3">
      <c r="A37" s="1">
        <v>36</v>
      </c>
      <c r="B37" s="1" t="s">
        <v>25</v>
      </c>
      <c r="C37" s="1" t="s">
        <v>239</v>
      </c>
      <c r="D37" s="1" t="s">
        <v>240</v>
      </c>
      <c r="E37" s="3">
        <v>44409</v>
      </c>
      <c r="F37" s="1" t="s">
        <v>3534</v>
      </c>
      <c r="G37" s="1">
        <v>2</v>
      </c>
      <c r="H37" s="1" t="s">
        <v>3501</v>
      </c>
    </row>
    <row r="38" spans="1:8" x14ac:dyDescent="0.3">
      <c r="A38" s="1">
        <v>37</v>
      </c>
      <c r="B38" s="1" t="s">
        <v>50</v>
      </c>
      <c r="C38" s="1" t="s">
        <v>404</v>
      </c>
      <c r="D38" s="1" t="s">
        <v>405</v>
      </c>
      <c r="E38" s="3">
        <v>44441</v>
      </c>
      <c r="F38" s="1" t="s">
        <v>3535</v>
      </c>
      <c r="G38" s="1">
        <v>5</v>
      </c>
      <c r="H38" s="1" t="s">
        <v>3501</v>
      </c>
    </row>
    <row r="39" spans="1:8" x14ac:dyDescent="0.3">
      <c r="A39" s="1">
        <v>38</v>
      </c>
      <c r="B39" s="1" t="s">
        <v>60</v>
      </c>
      <c r="C39" s="1" t="s">
        <v>309</v>
      </c>
      <c r="D39" s="1" t="s">
        <v>310</v>
      </c>
      <c r="E39" s="3">
        <v>44421</v>
      </c>
      <c r="F39" s="1" t="s">
        <v>3536</v>
      </c>
      <c r="G39" s="1">
        <v>1</v>
      </c>
      <c r="H39" s="1" t="s">
        <v>3499</v>
      </c>
    </row>
    <row r="40" spans="1:8" x14ac:dyDescent="0.3">
      <c r="A40" s="1">
        <v>39</v>
      </c>
      <c r="B40" s="1" t="s">
        <v>20</v>
      </c>
      <c r="C40" s="1" t="s">
        <v>334</v>
      </c>
      <c r="D40" s="1" t="s">
        <v>335</v>
      </c>
      <c r="E40" s="3">
        <v>44454</v>
      </c>
      <c r="F40" s="1" t="s">
        <v>3537</v>
      </c>
      <c r="G40" s="1">
        <v>2</v>
      </c>
      <c r="H40" s="1" t="s">
        <v>3499</v>
      </c>
    </row>
    <row r="41" spans="1:8" x14ac:dyDescent="0.3">
      <c r="A41" s="1">
        <v>40</v>
      </c>
      <c r="B41" s="1" t="s">
        <v>6</v>
      </c>
      <c r="C41" s="1" t="s">
        <v>364</v>
      </c>
      <c r="D41" s="1" t="s">
        <v>365</v>
      </c>
      <c r="E41" s="3">
        <v>44455</v>
      </c>
      <c r="F41" s="1" t="s">
        <v>3498</v>
      </c>
      <c r="G41" s="1">
        <v>4</v>
      </c>
      <c r="H41" s="1" t="s">
        <v>3499</v>
      </c>
    </row>
    <row r="42" spans="1:8" x14ac:dyDescent="0.3">
      <c r="A42" s="1">
        <v>41</v>
      </c>
      <c r="B42" s="1" t="s">
        <v>15</v>
      </c>
      <c r="C42" s="1" t="s">
        <v>879</v>
      </c>
      <c r="D42" s="1" t="s">
        <v>880</v>
      </c>
      <c r="E42" s="3">
        <v>44413</v>
      </c>
      <c r="F42" s="1" t="s">
        <v>3538</v>
      </c>
      <c r="G42" s="1">
        <v>3</v>
      </c>
      <c r="H42" s="1" t="s">
        <v>3501</v>
      </c>
    </row>
    <row r="43" spans="1:8" x14ac:dyDescent="0.3">
      <c r="A43" s="1">
        <v>42</v>
      </c>
      <c r="B43" s="1" t="s">
        <v>6</v>
      </c>
      <c r="C43" s="1" t="s">
        <v>904</v>
      </c>
      <c r="D43" s="1" t="s">
        <v>905</v>
      </c>
      <c r="E43" s="3">
        <v>44460</v>
      </c>
      <c r="F43" s="1" t="s">
        <v>3539</v>
      </c>
      <c r="G43" s="1">
        <v>5</v>
      </c>
      <c r="H43" s="1" t="s">
        <v>3499</v>
      </c>
    </row>
    <row r="44" spans="1:8" x14ac:dyDescent="0.3">
      <c r="A44" s="1">
        <v>43</v>
      </c>
      <c r="B44" s="1" t="s">
        <v>25</v>
      </c>
      <c r="C44" s="1" t="s">
        <v>239</v>
      </c>
      <c r="D44" s="1" t="s">
        <v>240</v>
      </c>
      <c r="E44" s="3">
        <v>44409</v>
      </c>
      <c r="F44" s="1" t="s">
        <v>3540</v>
      </c>
      <c r="G44" s="1">
        <v>1</v>
      </c>
      <c r="H44" s="1" t="s">
        <v>3499</v>
      </c>
    </row>
    <row r="45" spans="1:8" x14ac:dyDescent="0.3">
      <c r="A45" s="1">
        <v>44</v>
      </c>
      <c r="B45" s="1" t="s">
        <v>45</v>
      </c>
      <c r="C45" s="1" t="s">
        <v>499</v>
      </c>
      <c r="D45" s="1" t="s">
        <v>500</v>
      </c>
      <c r="E45" s="3">
        <v>44431</v>
      </c>
      <c r="F45" s="1" t="s">
        <v>3541</v>
      </c>
      <c r="G45" s="1">
        <v>5</v>
      </c>
      <c r="H45" s="1" t="s">
        <v>3501</v>
      </c>
    </row>
    <row r="46" spans="1:8" x14ac:dyDescent="0.3">
      <c r="A46" s="1">
        <v>45</v>
      </c>
      <c r="B46" s="1" t="s">
        <v>45</v>
      </c>
      <c r="C46" s="1" t="s">
        <v>409</v>
      </c>
      <c r="D46" s="1" t="s">
        <v>410</v>
      </c>
      <c r="E46" s="3">
        <v>44463</v>
      </c>
      <c r="F46" s="1" t="s">
        <v>3535</v>
      </c>
      <c r="G46" s="1">
        <v>5</v>
      </c>
      <c r="H46" s="1" t="s">
        <v>3501</v>
      </c>
    </row>
    <row r="47" spans="1:8" x14ac:dyDescent="0.3">
      <c r="A47" s="1">
        <v>46</v>
      </c>
      <c r="B47" s="1" t="s">
        <v>45</v>
      </c>
      <c r="C47" s="1" t="s">
        <v>659</v>
      </c>
      <c r="D47" s="1" t="s">
        <v>660</v>
      </c>
      <c r="E47" s="3">
        <v>44449</v>
      </c>
      <c r="F47" s="1" t="s">
        <v>3542</v>
      </c>
      <c r="G47" s="1">
        <v>1</v>
      </c>
      <c r="H47" s="1" t="s">
        <v>3499</v>
      </c>
    </row>
    <row r="48" spans="1:8" x14ac:dyDescent="0.3">
      <c r="A48" s="1">
        <v>47</v>
      </c>
      <c r="B48" s="1" t="s">
        <v>6</v>
      </c>
      <c r="C48" s="1" t="s">
        <v>439</v>
      </c>
      <c r="D48" s="1" t="s">
        <v>440</v>
      </c>
      <c r="E48" s="3">
        <v>44412</v>
      </c>
      <c r="F48" s="1" t="s">
        <v>3543</v>
      </c>
      <c r="G48" s="1">
        <v>2</v>
      </c>
      <c r="H48" s="1" t="s">
        <v>3501</v>
      </c>
    </row>
    <row r="49" spans="1:8" x14ac:dyDescent="0.3">
      <c r="A49" s="1">
        <v>48</v>
      </c>
      <c r="B49" s="1" t="s">
        <v>150</v>
      </c>
      <c r="C49" s="1" t="s">
        <v>274</v>
      </c>
      <c r="D49" s="1" t="s">
        <v>275</v>
      </c>
      <c r="E49" s="3">
        <v>44465</v>
      </c>
      <c r="F49" s="1" t="s">
        <v>3524</v>
      </c>
      <c r="G49" s="1">
        <v>5</v>
      </c>
      <c r="H49" s="1" t="s">
        <v>3501</v>
      </c>
    </row>
    <row r="50" spans="1:8" x14ac:dyDescent="0.3">
      <c r="A50" s="1">
        <v>49</v>
      </c>
      <c r="B50" s="1" t="s">
        <v>110</v>
      </c>
      <c r="C50" s="1" t="s">
        <v>469</v>
      </c>
      <c r="D50" s="1" t="s">
        <v>470</v>
      </c>
      <c r="E50" s="3">
        <v>44449</v>
      </c>
      <c r="F50" s="1" t="s">
        <v>3509</v>
      </c>
      <c r="G50" s="1">
        <v>4</v>
      </c>
      <c r="H50" s="1" t="s">
        <v>3499</v>
      </c>
    </row>
    <row r="51" spans="1:8" x14ac:dyDescent="0.3">
      <c r="A51" s="1">
        <v>50</v>
      </c>
      <c r="B51" s="1" t="s">
        <v>195</v>
      </c>
      <c r="C51" s="1" t="s">
        <v>779</v>
      </c>
      <c r="D51" s="1" t="s">
        <v>780</v>
      </c>
      <c r="E51" s="3">
        <v>44447</v>
      </c>
      <c r="F51" s="1" t="s">
        <v>3544</v>
      </c>
      <c r="G51" s="1">
        <v>1</v>
      </c>
      <c r="H51" s="1" t="s">
        <v>3501</v>
      </c>
    </row>
    <row r="52" spans="1:8" x14ac:dyDescent="0.3">
      <c r="A52" s="1">
        <v>51</v>
      </c>
      <c r="B52" s="1" t="s">
        <v>80</v>
      </c>
      <c r="C52" s="1" t="s">
        <v>414</v>
      </c>
      <c r="D52" s="1" t="s">
        <v>415</v>
      </c>
      <c r="E52" s="3">
        <v>44413</v>
      </c>
      <c r="F52" s="1" t="s">
        <v>3545</v>
      </c>
      <c r="G52" s="1">
        <v>4</v>
      </c>
      <c r="H52" s="1" t="s">
        <v>3501</v>
      </c>
    </row>
    <row r="53" spans="1:8" x14ac:dyDescent="0.3">
      <c r="A53" s="1">
        <v>52</v>
      </c>
      <c r="B53" s="1" t="s">
        <v>6</v>
      </c>
      <c r="C53" s="1" t="s">
        <v>364</v>
      </c>
      <c r="D53" s="1" t="s">
        <v>365</v>
      </c>
      <c r="E53" s="3">
        <v>44455</v>
      </c>
      <c r="F53" s="1" t="s">
        <v>3546</v>
      </c>
      <c r="G53" s="1">
        <v>5</v>
      </c>
      <c r="H53" s="1" t="s">
        <v>3499</v>
      </c>
    </row>
    <row r="54" spans="1:8" x14ac:dyDescent="0.3">
      <c r="A54" s="1">
        <v>53</v>
      </c>
      <c r="B54" s="1" t="s">
        <v>6</v>
      </c>
      <c r="C54" s="1" t="s">
        <v>364</v>
      </c>
      <c r="D54" s="1" t="s">
        <v>365</v>
      </c>
      <c r="E54" s="3">
        <v>44455</v>
      </c>
      <c r="F54" s="1" t="s">
        <v>3547</v>
      </c>
      <c r="G54" s="1">
        <v>1</v>
      </c>
      <c r="H54" s="1" t="s">
        <v>3501</v>
      </c>
    </row>
    <row r="55" spans="1:8" x14ac:dyDescent="0.3">
      <c r="A55" s="1">
        <v>54</v>
      </c>
      <c r="B55" s="1" t="s">
        <v>95</v>
      </c>
      <c r="C55" s="1" t="s">
        <v>294</v>
      </c>
      <c r="D55" s="1" t="s">
        <v>295</v>
      </c>
      <c r="E55" s="3">
        <v>44469</v>
      </c>
      <c r="F55" s="1" t="s">
        <v>3548</v>
      </c>
      <c r="G55" s="1">
        <v>5</v>
      </c>
      <c r="H55" s="1" t="s">
        <v>3501</v>
      </c>
    </row>
    <row r="56" spans="1:8" x14ac:dyDescent="0.3">
      <c r="A56" s="1">
        <v>55</v>
      </c>
      <c r="B56" s="1" t="s">
        <v>25</v>
      </c>
      <c r="C56" s="1" t="s">
        <v>579</v>
      </c>
      <c r="D56" s="1" t="s">
        <v>580</v>
      </c>
      <c r="E56" s="3">
        <v>44470</v>
      </c>
      <c r="F56" s="1" t="s">
        <v>3533</v>
      </c>
      <c r="G56" s="1">
        <v>3</v>
      </c>
      <c r="H56" s="1" t="s">
        <v>3501</v>
      </c>
    </row>
    <row r="57" spans="1:8" x14ac:dyDescent="0.3">
      <c r="A57" s="1">
        <v>56</v>
      </c>
      <c r="B57" s="1" t="s">
        <v>180</v>
      </c>
      <c r="C57" s="1" t="s">
        <v>889</v>
      </c>
      <c r="D57" s="1" t="s">
        <v>890</v>
      </c>
      <c r="E57" s="3">
        <v>44421</v>
      </c>
      <c r="F57" s="1" t="s">
        <v>3538</v>
      </c>
      <c r="G57" s="1">
        <v>3</v>
      </c>
      <c r="H57" s="1" t="s">
        <v>3499</v>
      </c>
    </row>
    <row r="58" spans="1:8" x14ac:dyDescent="0.3">
      <c r="A58" s="1">
        <v>57</v>
      </c>
      <c r="B58" s="1" t="s">
        <v>15</v>
      </c>
      <c r="C58" s="1" t="s">
        <v>444</v>
      </c>
      <c r="D58" s="1" t="s">
        <v>445</v>
      </c>
      <c r="E58" s="3">
        <v>44471</v>
      </c>
      <c r="F58" s="1" t="s">
        <v>3528</v>
      </c>
      <c r="G58" s="1">
        <v>4</v>
      </c>
      <c r="H58" s="1" t="s">
        <v>3499</v>
      </c>
    </row>
    <row r="59" spans="1:8" x14ac:dyDescent="0.3">
      <c r="A59" s="1">
        <v>58</v>
      </c>
      <c r="B59" s="1" t="s">
        <v>185</v>
      </c>
      <c r="C59" s="1" t="s">
        <v>864</v>
      </c>
      <c r="D59" s="1" t="s">
        <v>865</v>
      </c>
      <c r="E59" s="3">
        <v>44472</v>
      </c>
      <c r="F59" s="1" t="s">
        <v>3549</v>
      </c>
      <c r="G59" s="1">
        <v>3</v>
      </c>
      <c r="H59" s="1" t="s">
        <v>3499</v>
      </c>
    </row>
    <row r="60" spans="1:8" x14ac:dyDescent="0.3">
      <c r="A60" s="1">
        <v>59</v>
      </c>
      <c r="B60" s="1" t="s">
        <v>110</v>
      </c>
      <c r="C60" s="1" t="s">
        <v>754</v>
      </c>
      <c r="D60" s="1" t="s">
        <v>755</v>
      </c>
      <c r="E60" s="3">
        <v>44473</v>
      </c>
      <c r="F60" s="1" t="s">
        <v>3550</v>
      </c>
      <c r="G60" s="1">
        <v>3</v>
      </c>
      <c r="H60" s="1" t="s">
        <v>3501</v>
      </c>
    </row>
    <row r="61" spans="1:8" x14ac:dyDescent="0.3">
      <c r="A61" s="1">
        <v>60</v>
      </c>
      <c r="B61" s="1" t="s">
        <v>175</v>
      </c>
      <c r="C61" s="1" t="s">
        <v>619</v>
      </c>
      <c r="D61" s="1" t="s">
        <v>620</v>
      </c>
      <c r="E61" s="3">
        <v>44422</v>
      </c>
      <c r="F61" s="1" t="s">
        <v>3551</v>
      </c>
      <c r="G61" s="1">
        <v>5</v>
      </c>
      <c r="H61" s="1" t="s">
        <v>3499</v>
      </c>
    </row>
    <row r="62" spans="1:8" x14ac:dyDescent="0.3">
      <c r="A62" s="1">
        <v>61</v>
      </c>
      <c r="B62" s="1" t="s">
        <v>75</v>
      </c>
      <c r="C62" s="1" t="s">
        <v>574</v>
      </c>
      <c r="D62" s="1" t="s">
        <v>575</v>
      </c>
      <c r="E62" s="3">
        <v>44424</v>
      </c>
      <c r="F62" s="1" t="s">
        <v>3552</v>
      </c>
      <c r="G62" s="1">
        <v>5</v>
      </c>
      <c r="H62" s="1" t="s">
        <v>3499</v>
      </c>
    </row>
    <row r="63" spans="1:8" x14ac:dyDescent="0.3">
      <c r="A63" s="1">
        <v>62</v>
      </c>
      <c r="B63" s="1" t="s">
        <v>15</v>
      </c>
      <c r="C63" s="1" t="s">
        <v>734</v>
      </c>
      <c r="D63" s="1" t="s">
        <v>735</v>
      </c>
      <c r="E63" s="3">
        <v>44425</v>
      </c>
      <c r="F63" s="1" t="s">
        <v>3553</v>
      </c>
      <c r="G63" s="1">
        <v>3</v>
      </c>
      <c r="H63" s="1" t="s">
        <v>3501</v>
      </c>
    </row>
    <row r="64" spans="1:8" x14ac:dyDescent="0.3">
      <c r="A64" s="1">
        <v>63</v>
      </c>
      <c r="B64" s="1" t="s">
        <v>165</v>
      </c>
      <c r="C64" s="1" t="s">
        <v>594</v>
      </c>
      <c r="D64" s="1" t="s">
        <v>595</v>
      </c>
      <c r="E64" s="3">
        <v>44428</v>
      </c>
      <c r="F64" s="1" t="s">
        <v>3554</v>
      </c>
      <c r="G64" s="1">
        <v>5</v>
      </c>
      <c r="H64" s="1" t="s">
        <v>3501</v>
      </c>
    </row>
    <row r="65" spans="1:8" x14ac:dyDescent="0.3">
      <c r="A65" s="1">
        <v>64</v>
      </c>
      <c r="B65" s="1" t="s">
        <v>145</v>
      </c>
      <c r="C65" s="1" t="s">
        <v>554</v>
      </c>
      <c r="D65" s="1" t="s">
        <v>555</v>
      </c>
      <c r="E65" s="3">
        <v>44430</v>
      </c>
      <c r="F65" s="1" t="s">
        <v>3555</v>
      </c>
      <c r="G65" s="1">
        <v>1</v>
      </c>
      <c r="H65" s="1" t="s">
        <v>3501</v>
      </c>
    </row>
    <row r="66" spans="1:8" x14ac:dyDescent="0.3">
      <c r="A66" s="1">
        <v>65</v>
      </c>
      <c r="B66" s="1" t="s">
        <v>230</v>
      </c>
      <c r="C66" s="1" t="s">
        <v>534</v>
      </c>
      <c r="D66" s="1" t="s">
        <v>535</v>
      </c>
      <c r="E66" s="3">
        <v>44432</v>
      </c>
      <c r="F66" s="1" t="s">
        <v>3556</v>
      </c>
      <c r="G66" s="1">
        <v>5</v>
      </c>
      <c r="H66" s="1" t="s">
        <v>3499</v>
      </c>
    </row>
    <row r="67" spans="1:8" x14ac:dyDescent="0.3">
      <c r="A67" s="1">
        <v>66</v>
      </c>
      <c r="B67" s="1" t="s">
        <v>150</v>
      </c>
      <c r="C67" s="1" t="s">
        <v>459</v>
      </c>
      <c r="D67" s="1" t="s">
        <v>460</v>
      </c>
      <c r="E67" s="3">
        <v>44432</v>
      </c>
      <c r="F67" s="1" t="s">
        <v>3557</v>
      </c>
      <c r="G67" s="1">
        <v>5</v>
      </c>
      <c r="H67" s="1" t="s">
        <v>3499</v>
      </c>
    </row>
    <row r="68" spans="1:8" x14ac:dyDescent="0.3">
      <c r="A68" s="1">
        <v>67</v>
      </c>
      <c r="B68" s="1" t="s">
        <v>6</v>
      </c>
      <c r="C68" s="1" t="s">
        <v>649</v>
      </c>
      <c r="D68" s="1" t="s">
        <v>650</v>
      </c>
      <c r="E68" s="3">
        <v>44433</v>
      </c>
      <c r="F68" s="1" t="s">
        <v>3558</v>
      </c>
      <c r="G68" s="1">
        <v>1</v>
      </c>
      <c r="H68" s="1" t="s">
        <v>3499</v>
      </c>
    </row>
    <row r="69" spans="1:8" x14ac:dyDescent="0.3">
      <c r="A69" s="1">
        <v>68</v>
      </c>
      <c r="B69" s="1" t="s">
        <v>225</v>
      </c>
      <c r="C69" s="1" t="s">
        <v>669</v>
      </c>
      <c r="D69" s="1" t="s">
        <v>670</v>
      </c>
      <c r="E69" s="3">
        <v>44433</v>
      </c>
      <c r="F69" s="1" t="s">
        <v>3524</v>
      </c>
      <c r="G69" s="1">
        <v>5</v>
      </c>
      <c r="H69" s="1" t="s">
        <v>3501</v>
      </c>
    </row>
    <row r="70" spans="1:8" x14ac:dyDescent="0.3">
      <c r="A70" s="1">
        <v>69</v>
      </c>
      <c r="B70" s="1" t="s">
        <v>180</v>
      </c>
      <c r="C70" s="1" t="s">
        <v>454</v>
      </c>
      <c r="D70" s="1" t="s">
        <v>455</v>
      </c>
      <c r="E70" s="3">
        <v>44436</v>
      </c>
      <c r="F70" s="1" t="s">
        <v>3559</v>
      </c>
      <c r="G70" s="1">
        <v>1</v>
      </c>
      <c r="H70" s="1" t="s">
        <v>3501</v>
      </c>
    </row>
    <row r="71" spans="1:8" x14ac:dyDescent="0.3">
      <c r="A71" s="1">
        <v>70</v>
      </c>
      <c r="B71" s="1" t="s">
        <v>145</v>
      </c>
      <c r="C71" s="1" t="s">
        <v>569</v>
      </c>
      <c r="D71" s="1" t="s">
        <v>570</v>
      </c>
      <c r="E71" s="3">
        <v>44438</v>
      </c>
      <c r="F71" s="1" t="s">
        <v>3560</v>
      </c>
      <c r="G71" s="1">
        <v>2</v>
      </c>
      <c r="H71" s="1" t="s">
        <v>3501</v>
      </c>
    </row>
    <row r="72" spans="1:8" x14ac:dyDescent="0.3">
      <c r="A72" s="1">
        <v>71</v>
      </c>
      <c r="B72" s="1" t="s">
        <v>145</v>
      </c>
      <c r="C72" s="1" t="s">
        <v>654</v>
      </c>
      <c r="D72" s="1" t="s">
        <v>655</v>
      </c>
      <c r="E72" s="3">
        <v>44439</v>
      </c>
      <c r="F72" s="1" t="s">
        <v>3561</v>
      </c>
      <c r="G72" s="1">
        <v>2</v>
      </c>
      <c r="H72" s="1" t="s">
        <v>3501</v>
      </c>
    </row>
    <row r="73" spans="1:8" x14ac:dyDescent="0.3">
      <c r="A73" s="1">
        <v>72</v>
      </c>
      <c r="B73" s="1" t="s">
        <v>215</v>
      </c>
      <c r="C73" s="1" t="s">
        <v>599</v>
      </c>
      <c r="D73" s="1" t="s">
        <v>600</v>
      </c>
      <c r="E73" s="3">
        <v>44441</v>
      </c>
      <c r="F73" s="1" t="s">
        <v>3562</v>
      </c>
      <c r="G73" s="1">
        <v>5</v>
      </c>
      <c r="H73" s="1" t="s">
        <v>3499</v>
      </c>
    </row>
    <row r="74" spans="1:8" x14ac:dyDescent="0.3">
      <c r="A74" s="1">
        <v>73</v>
      </c>
      <c r="B74" s="1" t="s">
        <v>100</v>
      </c>
      <c r="C74" s="1" t="s">
        <v>609</v>
      </c>
      <c r="D74" s="1" t="s">
        <v>610</v>
      </c>
      <c r="E74" s="3">
        <v>44441</v>
      </c>
      <c r="F74" s="1" t="s">
        <v>3563</v>
      </c>
      <c r="G74" s="1">
        <v>3</v>
      </c>
      <c r="H74" s="1" t="s">
        <v>3501</v>
      </c>
    </row>
    <row r="75" spans="1:8" x14ac:dyDescent="0.3">
      <c r="A75" s="1">
        <v>74</v>
      </c>
      <c r="B75" s="1" t="s">
        <v>115</v>
      </c>
      <c r="C75" s="1" t="s">
        <v>429</v>
      </c>
      <c r="D75" s="1" t="s">
        <v>430</v>
      </c>
      <c r="E75" s="3">
        <v>44441</v>
      </c>
      <c r="F75" s="1" t="s">
        <v>3539</v>
      </c>
      <c r="G75" s="1">
        <v>5</v>
      </c>
      <c r="H75" s="1" t="s">
        <v>3499</v>
      </c>
    </row>
    <row r="76" spans="1:8" x14ac:dyDescent="0.3">
      <c r="A76" s="1">
        <v>75</v>
      </c>
      <c r="B76" s="1" t="s">
        <v>110</v>
      </c>
      <c r="C76" s="1" t="s">
        <v>469</v>
      </c>
      <c r="D76" s="1" t="s">
        <v>470</v>
      </c>
      <c r="E76" s="3">
        <v>44449</v>
      </c>
      <c r="F76" s="1" t="s">
        <v>3531</v>
      </c>
      <c r="G76" s="1">
        <v>2</v>
      </c>
      <c r="H76" s="1" t="s">
        <v>3501</v>
      </c>
    </row>
    <row r="77" spans="1:8" x14ac:dyDescent="0.3">
      <c r="A77" s="1">
        <v>76</v>
      </c>
      <c r="B77" s="1" t="s">
        <v>225</v>
      </c>
      <c r="C77" s="1" t="s">
        <v>479</v>
      </c>
      <c r="D77" s="1" t="s">
        <v>480</v>
      </c>
      <c r="E77" s="3">
        <v>44460</v>
      </c>
      <c r="F77" s="1" t="s">
        <v>3564</v>
      </c>
      <c r="G77" s="1">
        <v>1</v>
      </c>
      <c r="H77" s="1" t="s">
        <v>3501</v>
      </c>
    </row>
    <row r="78" spans="1:8" x14ac:dyDescent="0.3">
      <c r="A78" s="1">
        <v>77</v>
      </c>
      <c r="B78" s="1" t="s">
        <v>6</v>
      </c>
      <c r="C78" s="1" t="s">
        <v>439</v>
      </c>
      <c r="D78" s="1" t="s">
        <v>440</v>
      </c>
      <c r="E78" s="3">
        <v>44412</v>
      </c>
      <c r="F78" s="1" t="s">
        <v>3565</v>
      </c>
      <c r="G78" s="1">
        <v>3</v>
      </c>
      <c r="H78" s="1" t="s">
        <v>3499</v>
      </c>
    </row>
    <row r="79" spans="1:8" x14ac:dyDescent="0.3">
      <c r="A79" s="1">
        <v>78</v>
      </c>
      <c r="B79" s="1" t="s">
        <v>175</v>
      </c>
      <c r="C79" s="1" t="s">
        <v>404</v>
      </c>
      <c r="D79" s="1" t="s">
        <v>405</v>
      </c>
      <c r="E79" s="3">
        <v>44441</v>
      </c>
      <c r="F79" s="1" t="s">
        <v>3566</v>
      </c>
      <c r="G79" s="1">
        <v>3</v>
      </c>
      <c r="H79" s="1" t="s">
        <v>3501</v>
      </c>
    </row>
    <row r="80" spans="1:8" x14ac:dyDescent="0.3">
      <c r="A80" s="1">
        <v>79</v>
      </c>
      <c r="B80" s="1" t="s">
        <v>35</v>
      </c>
      <c r="C80" s="1" t="s">
        <v>614</v>
      </c>
      <c r="D80" s="1" t="s">
        <v>615</v>
      </c>
      <c r="E80" s="3">
        <v>44463</v>
      </c>
      <c r="F80" s="1" t="s">
        <v>3567</v>
      </c>
      <c r="G80" s="1">
        <v>1</v>
      </c>
      <c r="H80" s="1" t="s">
        <v>3499</v>
      </c>
    </row>
    <row r="81" spans="1:8" x14ac:dyDescent="0.3">
      <c r="A81" s="1">
        <v>80</v>
      </c>
      <c r="B81" s="1" t="s">
        <v>195</v>
      </c>
      <c r="C81" s="1" t="s">
        <v>709</v>
      </c>
      <c r="D81" s="1" t="s">
        <v>710</v>
      </c>
      <c r="E81" s="3">
        <v>44421</v>
      </c>
      <c r="F81" s="1" t="s">
        <v>3523</v>
      </c>
      <c r="G81" s="1">
        <v>4</v>
      </c>
      <c r="H81" s="1" t="s">
        <v>3501</v>
      </c>
    </row>
    <row r="82" spans="1:8" x14ac:dyDescent="0.3">
      <c r="A82" s="1">
        <v>81</v>
      </c>
      <c r="B82" s="1" t="s">
        <v>120</v>
      </c>
      <c r="C82" s="1" t="s">
        <v>519</v>
      </c>
      <c r="D82" s="1" t="s">
        <v>520</v>
      </c>
      <c r="E82" s="3">
        <v>44464</v>
      </c>
      <c r="F82" s="1" t="s">
        <v>3517</v>
      </c>
      <c r="G82" s="1">
        <v>5</v>
      </c>
      <c r="H82" s="1" t="s">
        <v>3501</v>
      </c>
    </row>
    <row r="83" spans="1:8" x14ac:dyDescent="0.3">
      <c r="A83" s="1">
        <v>82</v>
      </c>
      <c r="B83" s="1" t="s">
        <v>215</v>
      </c>
      <c r="C83" s="1" t="s">
        <v>674</v>
      </c>
      <c r="D83" s="1" t="s">
        <v>675</v>
      </c>
      <c r="E83" s="3">
        <v>44469</v>
      </c>
      <c r="F83" s="1" t="s">
        <v>3509</v>
      </c>
      <c r="G83" s="1">
        <v>4</v>
      </c>
      <c r="H83" s="1" t="s">
        <v>3499</v>
      </c>
    </row>
    <row r="84" spans="1:8" x14ac:dyDescent="0.3">
      <c r="A84" s="1">
        <v>83</v>
      </c>
      <c r="B84" s="1" t="s">
        <v>225</v>
      </c>
      <c r="C84" s="1" t="s">
        <v>624</v>
      </c>
      <c r="D84" s="1" t="s">
        <v>625</v>
      </c>
      <c r="E84" s="3">
        <v>44470</v>
      </c>
      <c r="F84" s="1" t="s">
        <v>3568</v>
      </c>
      <c r="G84" s="1">
        <v>4</v>
      </c>
      <c r="H84" s="1" t="s">
        <v>3499</v>
      </c>
    </row>
    <row r="85" spans="1:8" x14ac:dyDescent="0.3">
      <c r="A85" s="1">
        <v>84</v>
      </c>
      <c r="B85" s="1" t="s">
        <v>205</v>
      </c>
      <c r="C85" s="1" t="s">
        <v>599</v>
      </c>
      <c r="D85" s="1" t="s">
        <v>600</v>
      </c>
      <c r="E85" s="3">
        <v>44441</v>
      </c>
      <c r="F85" s="1" t="s">
        <v>3546</v>
      </c>
      <c r="G85" s="1">
        <v>5</v>
      </c>
      <c r="H85" s="1" t="s">
        <v>3499</v>
      </c>
    </row>
    <row r="86" spans="1:8" x14ac:dyDescent="0.3">
      <c r="A86" s="1">
        <v>85</v>
      </c>
      <c r="B86" s="1" t="s">
        <v>175</v>
      </c>
      <c r="C86" s="1" t="s">
        <v>679</v>
      </c>
      <c r="D86" s="1" t="s">
        <v>680</v>
      </c>
      <c r="E86" s="3">
        <v>44472</v>
      </c>
      <c r="F86" s="1" t="s">
        <v>3569</v>
      </c>
      <c r="G86" s="1">
        <v>3</v>
      </c>
      <c r="H86" s="1" t="s">
        <v>3499</v>
      </c>
    </row>
    <row r="87" spans="1:8" x14ac:dyDescent="0.3">
      <c r="A87" s="1">
        <v>86</v>
      </c>
      <c r="B87" s="1" t="s">
        <v>80</v>
      </c>
      <c r="C87" s="1" t="s">
        <v>559</v>
      </c>
      <c r="D87" s="1" t="s">
        <v>560</v>
      </c>
      <c r="E87" s="3">
        <v>44420</v>
      </c>
      <c r="F87" s="1" t="s">
        <v>3570</v>
      </c>
      <c r="G87" s="1">
        <v>5</v>
      </c>
      <c r="H87" s="1" t="s">
        <v>3501</v>
      </c>
    </row>
    <row r="88" spans="1:8" x14ac:dyDescent="0.3">
      <c r="A88" s="1">
        <v>87</v>
      </c>
      <c r="B88" s="1" t="s">
        <v>225</v>
      </c>
      <c r="C88" s="1" t="s">
        <v>689</v>
      </c>
      <c r="D88" s="1" t="s">
        <v>690</v>
      </c>
      <c r="E88" s="3">
        <v>44413</v>
      </c>
      <c r="F88" s="1" t="s">
        <v>3545</v>
      </c>
      <c r="G88" s="1">
        <v>4</v>
      </c>
      <c r="H88" s="1" t="s">
        <v>3499</v>
      </c>
    </row>
    <row r="89" spans="1:8" x14ac:dyDescent="0.3">
      <c r="A89" s="1">
        <v>88</v>
      </c>
      <c r="B89" s="1" t="s">
        <v>25</v>
      </c>
      <c r="C89" s="1" t="s">
        <v>249</v>
      </c>
      <c r="D89" s="1" t="s">
        <v>250</v>
      </c>
      <c r="E89" s="3">
        <v>44489</v>
      </c>
      <c r="F89" s="1" t="s">
        <v>3571</v>
      </c>
      <c r="G89" s="1">
        <v>5</v>
      </c>
      <c r="H89" s="1" t="s">
        <v>3501</v>
      </c>
    </row>
    <row r="90" spans="1:8" x14ac:dyDescent="0.3">
      <c r="A90" s="1">
        <v>89</v>
      </c>
      <c r="B90" s="1" t="s">
        <v>30</v>
      </c>
      <c r="C90" s="1" t="s">
        <v>249</v>
      </c>
      <c r="D90" s="1" t="s">
        <v>255</v>
      </c>
      <c r="E90" s="3">
        <v>44470</v>
      </c>
      <c r="F90" s="1" t="s">
        <v>3572</v>
      </c>
      <c r="G90" s="1">
        <v>2</v>
      </c>
      <c r="H90" s="1" t="s">
        <v>3501</v>
      </c>
    </row>
    <row r="91" spans="1:8" x14ac:dyDescent="0.3">
      <c r="A91" s="1">
        <v>90</v>
      </c>
      <c r="B91" s="1" t="s">
        <v>35</v>
      </c>
      <c r="C91" s="1" t="s">
        <v>249</v>
      </c>
      <c r="D91" s="1" t="s">
        <v>255</v>
      </c>
      <c r="E91" s="3">
        <v>44497</v>
      </c>
      <c r="F91" s="1" t="s">
        <v>3573</v>
      </c>
      <c r="G91" s="1">
        <v>4</v>
      </c>
      <c r="H91" s="1" t="s">
        <v>3501</v>
      </c>
    </row>
    <row r="92" spans="1:8" x14ac:dyDescent="0.3">
      <c r="A92" s="1">
        <v>91</v>
      </c>
      <c r="B92" s="1" t="s">
        <v>40</v>
      </c>
      <c r="C92" s="1" t="s">
        <v>249</v>
      </c>
      <c r="D92" s="1" t="s">
        <v>250</v>
      </c>
      <c r="E92" s="3">
        <v>44470</v>
      </c>
      <c r="F92" s="1" t="s">
        <v>3574</v>
      </c>
      <c r="G92" s="1">
        <v>4</v>
      </c>
      <c r="H92" s="1" t="s">
        <v>3499</v>
      </c>
    </row>
    <row r="93" spans="1:8" x14ac:dyDescent="0.3">
      <c r="A93" s="1">
        <v>92</v>
      </c>
      <c r="B93" s="1" t="s">
        <v>45</v>
      </c>
      <c r="C93" s="1" t="s">
        <v>249</v>
      </c>
      <c r="D93" s="1" t="s">
        <v>250</v>
      </c>
      <c r="E93" s="3">
        <v>44494</v>
      </c>
      <c r="F93" s="1" t="s">
        <v>3575</v>
      </c>
      <c r="G93" s="1">
        <v>4</v>
      </c>
      <c r="H93" s="1" t="s">
        <v>3501</v>
      </c>
    </row>
    <row r="94" spans="1:8" x14ac:dyDescent="0.3">
      <c r="A94" s="1">
        <v>93</v>
      </c>
      <c r="B94" s="1" t="s">
        <v>50</v>
      </c>
      <c r="C94" s="1" t="s">
        <v>254</v>
      </c>
      <c r="D94" s="1" t="s">
        <v>260</v>
      </c>
      <c r="E94" s="3">
        <v>44491</v>
      </c>
      <c r="F94" s="1" t="s">
        <v>3576</v>
      </c>
      <c r="G94" s="1">
        <v>2</v>
      </c>
      <c r="H94" s="1" t="s">
        <v>3499</v>
      </c>
    </row>
    <row r="95" spans="1:8" x14ac:dyDescent="0.3">
      <c r="A95" s="1">
        <v>94</v>
      </c>
      <c r="B95" s="1" t="s">
        <v>55</v>
      </c>
      <c r="C95" s="1" t="s">
        <v>254</v>
      </c>
      <c r="D95" s="1" t="s">
        <v>265</v>
      </c>
      <c r="E95" s="3">
        <v>44487</v>
      </c>
      <c r="F95" s="1" t="s">
        <v>3545</v>
      </c>
      <c r="G95" s="1">
        <v>4</v>
      </c>
      <c r="H95" s="1" t="s">
        <v>3499</v>
      </c>
    </row>
    <row r="96" spans="1:8" x14ac:dyDescent="0.3">
      <c r="A96" s="1">
        <v>95</v>
      </c>
      <c r="B96" s="1" t="s">
        <v>60</v>
      </c>
      <c r="C96" s="1" t="s">
        <v>254</v>
      </c>
      <c r="D96" s="1" t="s">
        <v>255</v>
      </c>
      <c r="E96" s="3">
        <v>44481</v>
      </c>
      <c r="F96" s="1" t="s">
        <v>3577</v>
      </c>
      <c r="G96" s="1">
        <v>3</v>
      </c>
      <c r="H96" s="1" t="s">
        <v>3499</v>
      </c>
    </row>
    <row r="97" spans="1:8" x14ac:dyDescent="0.3">
      <c r="A97" s="1">
        <v>96</v>
      </c>
      <c r="B97" s="1" t="s">
        <v>65</v>
      </c>
      <c r="C97" s="1" t="s">
        <v>259</v>
      </c>
      <c r="D97" s="1" t="s">
        <v>250</v>
      </c>
      <c r="E97" s="3">
        <v>44478</v>
      </c>
      <c r="F97" s="1" t="s">
        <v>3545</v>
      </c>
      <c r="G97" s="1">
        <v>4</v>
      </c>
      <c r="H97" s="1" t="s">
        <v>3499</v>
      </c>
    </row>
    <row r="98" spans="1:8" x14ac:dyDescent="0.3">
      <c r="A98" s="1">
        <v>97</v>
      </c>
      <c r="B98" s="1" t="s">
        <v>70</v>
      </c>
      <c r="C98" s="1" t="s">
        <v>259</v>
      </c>
      <c r="D98" s="1" t="s">
        <v>260</v>
      </c>
      <c r="E98" s="3">
        <v>44483</v>
      </c>
      <c r="F98" s="1" t="s">
        <v>3578</v>
      </c>
      <c r="G98" s="1">
        <v>4</v>
      </c>
      <c r="H98" s="1" t="s">
        <v>3501</v>
      </c>
    </row>
    <row r="99" spans="1:8" x14ac:dyDescent="0.3">
      <c r="A99" s="1">
        <v>98</v>
      </c>
      <c r="B99" s="1" t="s">
        <v>75</v>
      </c>
      <c r="C99" s="1" t="s">
        <v>264</v>
      </c>
      <c r="D99" s="1" t="s">
        <v>250</v>
      </c>
      <c r="E99" s="3">
        <v>44490</v>
      </c>
      <c r="F99" s="1" t="s">
        <v>3579</v>
      </c>
      <c r="G99" s="1">
        <v>3</v>
      </c>
      <c r="H99" s="1" t="s">
        <v>3499</v>
      </c>
    </row>
    <row r="100" spans="1:8" x14ac:dyDescent="0.3">
      <c r="A100" s="1">
        <v>99</v>
      </c>
      <c r="B100" s="1" t="s">
        <v>80</v>
      </c>
      <c r="C100" s="1" t="s">
        <v>264</v>
      </c>
      <c r="D100" s="1" t="s">
        <v>265</v>
      </c>
      <c r="E100" s="3">
        <v>44494</v>
      </c>
      <c r="F100" s="1" t="s">
        <v>3580</v>
      </c>
      <c r="G100" s="1">
        <v>4</v>
      </c>
      <c r="H100" s="1" t="s">
        <v>3501</v>
      </c>
    </row>
    <row r="101" spans="1:8" x14ac:dyDescent="0.3">
      <c r="A101" s="1">
        <v>100</v>
      </c>
      <c r="B101" s="1" t="s">
        <v>85</v>
      </c>
      <c r="C101" s="1" t="s">
        <v>264</v>
      </c>
      <c r="D101" s="1" t="s">
        <v>265</v>
      </c>
      <c r="E101" s="3">
        <v>44486</v>
      </c>
      <c r="F101" s="1" t="s">
        <v>3581</v>
      </c>
      <c r="G101" s="1">
        <v>5</v>
      </c>
      <c r="H101" s="1" t="s">
        <v>3499</v>
      </c>
    </row>
    <row r="102" spans="1:8" x14ac:dyDescent="0.3">
      <c r="A102" s="1">
        <v>101</v>
      </c>
      <c r="B102" s="1" t="s">
        <v>90</v>
      </c>
      <c r="C102" s="1" t="s">
        <v>269</v>
      </c>
      <c r="D102" s="1" t="s">
        <v>280</v>
      </c>
      <c r="E102" s="3">
        <v>44474</v>
      </c>
      <c r="F102" s="1" t="s">
        <v>3582</v>
      </c>
      <c r="G102" s="1">
        <v>3</v>
      </c>
      <c r="H102" s="1" t="s">
        <v>3501</v>
      </c>
    </row>
    <row r="103" spans="1:8" x14ac:dyDescent="0.3">
      <c r="A103" s="1">
        <v>102</v>
      </c>
      <c r="B103" s="1" t="s">
        <v>95</v>
      </c>
      <c r="C103" s="1" t="s">
        <v>269</v>
      </c>
      <c r="D103" s="1" t="s">
        <v>280</v>
      </c>
      <c r="E103" s="3">
        <v>44486</v>
      </c>
      <c r="F103" s="1" t="s">
        <v>3575</v>
      </c>
      <c r="G103" s="1">
        <v>4</v>
      </c>
      <c r="H103" s="1" t="s">
        <v>3499</v>
      </c>
    </row>
    <row r="104" spans="1:8" x14ac:dyDescent="0.3">
      <c r="A104" s="1">
        <v>103</v>
      </c>
      <c r="B104" s="1" t="s">
        <v>100</v>
      </c>
      <c r="C104" s="1" t="s">
        <v>269</v>
      </c>
      <c r="D104" s="1" t="s">
        <v>270</v>
      </c>
      <c r="E104" s="3">
        <v>44488</v>
      </c>
      <c r="F104" s="1" t="s">
        <v>3583</v>
      </c>
      <c r="G104" s="1">
        <v>5</v>
      </c>
      <c r="H104" s="1" t="s">
        <v>3501</v>
      </c>
    </row>
    <row r="105" spans="1:8" x14ac:dyDescent="0.3">
      <c r="A105" s="1">
        <v>104</v>
      </c>
      <c r="B105" s="1" t="s">
        <v>105</v>
      </c>
      <c r="C105" s="1" t="s">
        <v>279</v>
      </c>
      <c r="D105" s="1" t="s">
        <v>270</v>
      </c>
      <c r="E105" s="3">
        <v>44489</v>
      </c>
      <c r="F105" s="1" t="s">
        <v>3584</v>
      </c>
      <c r="G105" s="1">
        <v>2</v>
      </c>
      <c r="H105" s="1" t="s">
        <v>3501</v>
      </c>
    </row>
    <row r="106" spans="1:8" x14ac:dyDescent="0.3">
      <c r="A106" s="1">
        <v>105</v>
      </c>
      <c r="B106" s="1" t="s">
        <v>110</v>
      </c>
      <c r="C106" s="1" t="s">
        <v>279</v>
      </c>
      <c r="D106" s="1" t="s">
        <v>270</v>
      </c>
      <c r="E106" s="3">
        <v>44474</v>
      </c>
      <c r="F106" s="1" t="s">
        <v>3585</v>
      </c>
      <c r="G106" s="1">
        <v>3</v>
      </c>
      <c r="H106" s="1" t="s">
        <v>3499</v>
      </c>
    </row>
    <row r="107" spans="1:8" x14ac:dyDescent="0.3">
      <c r="A107" s="1">
        <v>106</v>
      </c>
      <c r="B107" s="1" t="s">
        <v>115</v>
      </c>
      <c r="C107" s="1" t="s">
        <v>279</v>
      </c>
      <c r="D107" s="1" t="s">
        <v>280</v>
      </c>
      <c r="E107" s="3">
        <v>44474</v>
      </c>
      <c r="F107" s="1" t="s">
        <v>3586</v>
      </c>
      <c r="G107" s="1">
        <v>2</v>
      </c>
      <c r="H107" s="1" t="s">
        <v>3499</v>
      </c>
    </row>
    <row r="108" spans="1:8" x14ac:dyDescent="0.3">
      <c r="A108" s="1">
        <v>107</v>
      </c>
      <c r="B108" s="1" t="s">
        <v>120</v>
      </c>
      <c r="C108" s="1" t="s">
        <v>284</v>
      </c>
      <c r="D108" s="1" t="s">
        <v>285</v>
      </c>
      <c r="E108" s="3">
        <v>44477</v>
      </c>
      <c r="F108" s="1" t="s">
        <v>3587</v>
      </c>
      <c r="G108" s="1">
        <v>4</v>
      </c>
      <c r="H108" s="1" t="s">
        <v>3501</v>
      </c>
    </row>
    <row r="109" spans="1:8" x14ac:dyDescent="0.3">
      <c r="A109" s="1">
        <v>108</v>
      </c>
      <c r="B109" s="1" t="s">
        <v>155</v>
      </c>
      <c r="C109" s="1" t="s">
        <v>289</v>
      </c>
      <c r="D109" s="1" t="s">
        <v>290</v>
      </c>
      <c r="E109" s="3">
        <v>44470</v>
      </c>
      <c r="F109" s="1" t="s">
        <v>3588</v>
      </c>
      <c r="G109" s="1">
        <v>3</v>
      </c>
      <c r="H109" s="1" t="s">
        <v>3501</v>
      </c>
    </row>
    <row r="110" spans="1:8" x14ac:dyDescent="0.3">
      <c r="A110" s="1">
        <v>109</v>
      </c>
      <c r="B110" s="1" t="s">
        <v>20</v>
      </c>
      <c r="C110" s="1" t="s">
        <v>304</v>
      </c>
      <c r="D110" s="1" t="s">
        <v>305</v>
      </c>
      <c r="E110" s="3">
        <v>44494</v>
      </c>
      <c r="F110" s="1" t="s">
        <v>3583</v>
      </c>
      <c r="G110" s="1">
        <v>4</v>
      </c>
      <c r="H110" s="1" t="s">
        <v>3499</v>
      </c>
    </row>
    <row r="111" spans="1:8" x14ac:dyDescent="0.3">
      <c r="A111" s="1">
        <v>110</v>
      </c>
      <c r="B111" s="1" t="s">
        <v>155</v>
      </c>
      <c r="C111" s="1" t="s">
        <v>314</v>
      </c>
      <c r="D111" s="1" t="s">
        <v>315</v>
      </c>
      <c r="E111" s="3">
        <v>44439</v>
      </c>
      <c r="F111" s="1" t="s">
        <v>3589</v>
      </c>
      <c r="G111" s="1">
        <v>2</v>
      </c>
      <c r="H111" s="1" t="s">
        <v>3501</v>
      </c>
    </row>
    <row r="112" spans="1:8" x14ac:dyDescent="0.3">
      <c r="A112" s="1">
        <v>111</v>
      </c>
      <c r="B112" s="1" t="s">
        <v>105</v>
      </c>
      <c r="C112" s="1" t="s">
        <v>319</v>
      </c>
      <c r="D112" s="1" t="s">
        <v>320</v>
      </c>
      <c r="E112" s="3">
        <v>44490</v>
      </c>
      <c r="F112" s="1" t="s">
        <v>3590</v>
      </c>
      <c r="G112" s="1">
        <v>1</v>
      </c>
      <c r="H112" s="1" t="s">
        <v>3501</v>
      </c>
    </row>
    <row r="113" spans="1:8" x14ac:dyDescent="0.3">
      <c r="A113" s="1">
        <v>112</v>
      </c>
      <c r="B113" s="1" t="s">
        <v>85</v>
      </c>
      <c r="C113" s="1" t="s">
        <v>324</v>
      </c>
      <c r="D113" s="1" t="s">
        <v>325</v>
      </c>
      <c r="E113" s="3">
        <v>44502</v>
      </c>
      <c r="F113" s="1" t="s">
        <v>3503</v>
      </c>
      <c r="G113" s="1">
        <v>5</v>
      </c>
      <c r="H113" s="1" t="s">
        <v>3499</v>
      </c>
    </row>
    <row r="114" spans="1:8" x14ac:dyDescent="0.3">
      <c r="A114" s="1">
        <v>113</v>
      </c>
      <c r="B114" s="1" t="s">
        <v>85</v>
      </c>
      <c r="C114" s="1" t="s">
        <v>329</v>
      </c>
      <c r="D114" s="1" t="s">
        <v>330</v>
      </c>
      <c r="E114" s="3">
        <v>44475</v>
      </c>
      <c r="F114" s="1" t="s">
        <v>3533</v>
      </c>
      <c r="G114" s="1">
        <v>3</v>
      </c>
      <c r="H114" s="1" t="s">
        <v>3499</v>
      </c>
    </row>
    <row r="115" spans="1:8" x14ac:dyDescent="0.3">
      <c r="A115" s="1">
        <v>114</v>
      </c>
      <c r="B115" s="1" t="s">
        <v>180</v>
      </c>
      <c r="C115" s="1" t="s">
        <v>339</v>
      </c>
      <c r="D115" s="1" t="s">
        <v>340</v>
      </c>
      <c r="E115" s="3">
        <v>44436</v>
      </c>
      <c r="F115" s="1" t="s">
        <v>3527</v>
      </c>
      <c r="G115" s="1">
        <v>5</v>
      </c>
      <c r="H115" s="1" t="s">
        <v>3499</v>
      </c>
    </row>
    <row r="116" spans="1:8" x14ac:dyDescent="0.3">
      <c r="A116" s="1">
        <v>115</v>
      </c>
      <c r="B116" s="1" t="s">
        <v>145</v>
      </c>
      <c r="C116" s="1" t="s">
        <v>349</v>
      </c>
      <c r="D116" s="1" t="s">
        <v>350</v>
      </c>
      <c r="E116" s="3">
        <v>44455</v>
      </c>
      <c r="F116" s="1" t="s">
        <v>3538</v>
      </c>
      <c r="G116" s="1">
        <v>2</v>
      </c>
      <c r="H116" s="1" t="s">
        <v>3499</v>
      </c>
    </row>
    <row r="117" spans="1:8" x14ac:dyDescent="0.3">
      <c r="A117" s="1">
        <v>116</v>
      </c>
      <c r="B117" s="1" t="s">
        <v>100</v>
      </c>
      <c r="C117" s="1" t="s">
        <v>354</v>
      </c>
      <c r="D117" s="1" t="s">
        <v>355</v>
      </c>
      <c r="E117" s="3">
        <v>44468</v>
      </c>
      <c r="F117" s="1" t="s">
        <v>3534</v>
      </c>
      <c r="G117" s="1">
        <v>1</v>
      </c>
      <c r="H117" s="1" t="s">
        <v>3501</v>
      </c>
    </row>
    <row r="118" spans="1:8" x14ac:dyDescent="0.3">
      <c r="A118" s="1">
        <v>117</v>
      </c>
      <c r="B118" s="1" t="s">
        <v>150</v>
      </c>
      <c r="C118" s="1" t="s">
        <v>359</v>
      </c>
      <c r="D118" s="1" t="s">
        <v>360</v>
      </c>
      <c r="E118" s="3">
        <v>44444</v>
      </c>
      <c r="F118" s="1" t="s">
        <v>3591</v>
      </c>
      <c r="G118" s="1">
        <v>3</v>
      </c>
      <c r="H118" s="1" t="s">
        <v>3501</v>
      </c>
    </row>
    <row r="119" spans="1:8" x14ac:dyDescent="0.3">
      <c r="A119" s="1">
        <v>118</v>
      </c>
      <c r="B119" s="1" t="s">
        <v>115</v>
      </c>
      <c r="C119" s="1" t="s">
        <v>369</v>
      </c>
      <c r="D119" s="1" t="s">
        <v>370</v>
      </c>
      <c r="E119" s="3">
        <v>44477</v>
      </c>
      <c r="F119" s="1" t="s">
        <v>3532</v>
      </c>
      <c r="G119" s="1">
        <v>1</v>
      </c>
      <c r="H119" s="1" t="s">
        <v>3501</v>
      </c>
    </row>
    <row r="120" spans="1:8" x14ac:dyDescent="0.3">
      <c r="A120" s="1">
        <v>119</v>
      </c>
      <c r="B120" s="1" t="s">
        <v>130</v>
      </c>
      <c r="C120" s="1" t="s">
        <v>374</v>
      </c>
      <c r="D120" s="1" t="s">
        <v>375</v>
      </c>
      <c r="E120" s="3">
        <v>44488</v>
      </c>
      <c r="F120" s="1" t="s">
        <v>3528</v>
      </c>
      <c r="G120" s="1">
        <v>4</v>
      </c>
      <c r="H120" s="1" t="s">
        <v>3499</v>
      </c>
    </row>
    <row r="121" spans="1:8" x14ac:dyDescent="0.3">
      <c r="A121" s="1">
        <v>120</v>
      </c>
      <c r="B121" s="1" t="s">
        <v>170</v>
      </c>
      <c r="C121" s="1" t="s">
        <v>379</v>
      </c>
      <c r="D121" s="1" t="s">
        <v>380</v>
      </c>
      <c r="E121" s="3">
        <v>44423</v>
      </c>
      <c r="F121" s="1" t="s">
        <v>3592</v>
      </c>
      <c r="G121" s="1">
        <v>2</v>
      </c>
      <c r="H121" s="1" t="s">
        <v>3501</v>
      </c>
    </row>
    <row r="122" spans="1:8" x14ac:dyDescent="0.3">
      <c r="A122" s="1">
        <v>121</v>
      </c>
      <c r="B122" s="1" t="s">
        <v>20</v>
      </c>
      <c r="C122" s="1" t="s">
        <v>384</v>
      </c>
      <c r="D122" s="1" t="s">
        <v>385</v>
      </c>
      <c r="E122" s="3">
        <v>44432</v>
      </c>
      <c r="F122" s="1" t="s">
        <v>3593</v>
      </c>
      <c r="G122" s="1">
        <v>4</v>
      </c>
      <c r="H122" s="1" t="s">
        <v>3499</v>
      </c>
    </row>
    <row r="123" spans="1:8" x14ac:dyDescent="0.3">
      <c r="A123" s="1">
        <v>122</v>
      </c>
      <c r="B123" s="1" t="s">
        <v>45</v>
      </c>
      <c r="C123" s="1" t="s">
        <v>389</v>
      </c>
      <c r="D123" s="1" t="s">
        <v>390</v>
      </c>
      <c r="E123" s="3">
        <v>44464</v>
      </c>
      <c r="F123" s="1" t="s">
        <v>3531</v>
      </c>
      <c r="G123" s="1">
        <v>3</v>
      </c>
      <c r="H123" s="1" t="s">
        <v>3501</v>
      </c>
    </row>
    <row r="124" spans="1:8" x14ac:dyDescent="0.3">
      <c r="A124" s="1">
        <v>123</v>
      </c>
      <c r="B124" s="1" t="s">
        <v>195</v>
      </c>
      <c r="C124" s="1" t="s">
        <v>394</v>
      </c>
      <c r="D124" s="1" t="s">
        <v>395</v>
      </c>
      <c r="E124" s="3">
        <v>44422</v>
      </c>
      <c r="F124" s="1" t="s">
        <v>3594</v>
      </c>
      <c r="G124" s="1">
        <v>1</v>
      </c>
      <c r="H124" s="1" t="s">
        <v>3499</v>
      </c>
    </row>
    <row r="125" spans="1:8" x14ac:dyDescent="0.3">
      <c r="A125" s="1">
        <v>124</v>
      </c>
      <c r="B125" s="1" t="s">
        <v>145</v>
      </c>
      <c r="C125" s="1" t="s">
        <v>399</v>
      </c>
      <c r="D125" s="1" t="s">
        <v>400</v>
      </c>
      <c r="E125" s="3">
        <v>44464</v>
      </c>
      <c r="F125" s="1" t="s">
        <v>3523</v>
      </c>
      <c r="G125" s="1">
        <v>1</v>
      </c>
      <c r="H125" s="1" t="s">
        <v>3501</v>
      </c>
    </row>
    <row r="126" spans="1:8" x14ac:dyDescent="0.3">
      <c r="A126" s="1">
        <v>125</v>
      </c>
      <c r="B126" s="1" t="s">
        <v>95</v>
      </c>
      <c r="C126" s="1" t="s">
        <v>419</v>
      </c>
      <c r="D126" s="1" t="s">
        <v>420</v>
      </c>
      <c r="E126" s="3">
        <v>44494</v>
      </c>
      <c r="F126" s="1" t="s">
        <v>3566</v>
      </c>
      <c r="G126" s="1">
        <v>2</v>
      </c>
      <c r="H126" s="1" t="s">
        <v>3501</v>
      </c>
    </row>
    <row r="127" spans="1:8" x14ac:dyDescent="0.3">
      <c r="A127" s="1">
        <v>126</v>
      </c>
      <c r="B127" s="1" t="s">
        <v>100</v>
      </c>
      <c r="C127" s="1" t="s">
        <v>424</v>
      </c>
      <c r="D127" s="1" t="s">
        <v>425</v>
      </c>
      <c r="E127" s="3">
        <v>44431</v>
      </c>
      <c r="F127" s="1" t="s">
        <v>3567</v>
      </c>
      <c r="G127" s="1">
        <v>2</v>
      </c>
      <c r="H127" s="1" t="s">
        <v>3501</v>
      </c>
    </row>
    <row r="128" spans="1:8" x14ac:dyDescent="0.3">
      <c r="A128" s="1">
        <v>127</v>
      </c>
      <c r="B128" s="1" t="s">
        <v>150</v>
      </c>
      <c r="C128" s="1" t="s">
        <v>434</v>
      </c>
      <c r="D128" s="1" t="s">
        <v>435</v>
      </c>
      <c r="E128" s="3">
        <v>44421</v>
      </c>
      <c r="F128" s="1" t="s">
        <v>3513</v>
      </c>
      <c r="G128" s="1">
        <v>1</v>
      </c>
      <c r="H128" s="1" t="s">
        <v>3499</v>
      </c>
    </row>
    <row r="129" spans="1:8" x14ac:dyDescent="0.3">
      <c r="A129" s="1">
        <v>128</v>
      </c>
      <c r="B129" s="1" t="s">
        <v>55</v>
      </c>
      <c r="C129" s="1" t="s">
        <v>464</v>
      </c>
      <c r="D129" s="1" t="s">
        <v>465</v>
      </c>
      <c r="E129" s="3">
        <v>44490</v>
      </c>
      <c r="F129" s="1" t="s">
        <v>3549</v>
      </c>
      <c r="G129" s="1">
        <v>5</v>
      </c>
      <c r="H129" s="1" t="s">
        <v>3499</v>
      </c>
    </row>
    <row r="130" spans="1:8" x14ac:dyDescent="0.3">
      <c r="A130" s="1">
        <v>129</v>
      </c>
      <c r="B130" s="1" t="s">
        <v>20</v>
      </c>
      <c r="C130" s="1" t="s">
        <v>474</v>
      </c>
      <c r="D130" s="1" t="s">
        <v>475</v>
      </c>
      <c r="E130" s="3">
        <v>44465</v>
      </c>
      <c r="F130" s="1" t="s">
        <v>3528</v>
      </c>
      <c r="G130" s="1">
        <v>5</v>
      </c>
      <c r="H130" s="1" t="s">
        <v>3499</v>
      </c>
    </row>
    <row r="131" spans="1:8" x14ac:dyDescent="0.3">
      <c r="A131" s="1">
        <v>130</v>
      </c>
      <c r="B131" s="1" t="s">
        <v>175</v>
      </c>
      <c r="C131" s="1" t="s">
        <v>484</v>
      </c>
      <c r="D131" s="1" t="s">
        <v>485</v>
      </c>
      <c r="E131" s="3">
        <v>44432</v>
      </c>
      <c r="F131" s="1" t="s">
        <v>3595</v>
      </c>
      <c r="G131" s="1">
        <v>4</v>
      </c>
      <c r="H131" s="1" t="s">
        <v>3499</v>
      </c>
    </row>
    <row r="132" spans="1:8" x14ac:dyDescent="0.3">
      <c r="A132" s="1">
        <v>131</v>
      </c>
      <c r="B132" s="1" t="s">
        <v>55</v>
      </c>
      <c r="C132" s="1" t="s">
        <v>489</v>
      </c>
      <c r="D132" s="1" t="s">
        <v>490</v>
      </c>
      <c r="E132" s="3">
        <v>44460</v>
      </c>
      <c r="F132" s="1" t="s">
        <v>3515</v>
      </c>
      <c r="G132" s="1">
        <v>2</v>
      </c>
      <c r="H132" s="1" t="s">
        <v>3501</v>
      </c>
    </row>
    <row r="133" spans="1:8" x14ac:dyDescent="0.3">
      <c r="A133" s="1">
        <v>132</v>
      </c>
      <c r="B133" s="1" t="s">
        <v>40</v>
      </c>
      <c r="C133" s="1" t="s">
        <v>494</v>
      </c>
      <c r="D133" s="1" t="s">
        <v>495</v>
      </c>
      <c r="E133" s="3">
        <v>44505</v>
      </c>
      <c r="F133" s="1" t="s">
        <v>3516</v>
      </c>
      <c r="G133" s="1">
        <v>2</v>
      </c>
      <c r="H133" s="1" t="s">
        <v>3499</v>
      </c>
    </row>
    <row r="134" spans="1:8" x14ac:dyDescent="0.3">
      <c r="A134" s="1">
        <v>133</v>
      </c>
      <c r="B134" s="1" t="s">
        <v>55</v>
      </c>
      <c r="C134" s="1" t="s">
        <v>504</v>
      </c>
      <c r="D134" s="1" t="s">
        <v>505</v>
      </c>
      <c r="E134" s="3">
        <v>44446</v>
      </c>
      <c r="F134" s="1" t="s">
        <v>3517</v>
      </c>
      <c r="G134" s="1">
        <v>4</v>
      </c>
      <c r="H134" s="1" t="s">
        <v>3501</v>
      </c>
    </row>
    <row r="135" spans="1:8" x14ac:dyDescent="0.3">
      <c r="A135" s="1">
        <v>134</v>
      </c>
      <c r="B135" s="1" t="s">
        <v>55</v>
      </c>
      <c r="C135" s="1" t="s">
        <v>509</v>
      </c>
      <c r="D135" s="1" t="s">
        <v>510</v>
      </c>
      <c r="E135" s="3">
        <v>44503</v>
      </c>
      <c r="F135" s="1" t="s">
        <v>3520</v>
      </c>
      <c r="G135" s="1">
        <v>4</v>
      </c>
      <c r="H135" s="1" t="s">
        <v>3499</v>
      </c>
    </row>
    <row r="136" spans="1:8" x14ac:dyDescent="0.3">
      <c r="A136" s="1">
        <v>135</v>
      </c>
      <c r="B136" s="1" t="s">
        <v>110</v>
      </c>
      <c r="C136" s="1" t="s">
        <v>514</v>
      </c>
      <c r="D136" s="1" t="s">
        <v>515</v>
      </c>
      <c r="E136" s="3">
        <v>44433</v>
      </c>
      <c r="F136" s="1" t="s">
        <v>3596</v>
      </c>
      <c r="G136" s="1">
        <v>2</v>
      </c>
      <c r="H136" s="1" t="s">
        <v>3499</v>
      </c>
    </row>
    <row r="137" spans="1:8" x14ac:dyDescent="0.3">
      <c r="A137" s="1">
        <v>136</v>
      </c>
      <c r="B137" s="1" t="s">
        <v>185</v>
      </c>
      <c r="C137" s="1" t="s">
        <v>524</v>
      </c>
      <c r="D137" s="1" t="s">
        <v>525</v>
      </c>
      <c r="E137" s="3">
        <v>44453</v>
      </c>
      <c r="F137" s="1" t="s">
        <v>3597</v>
      </c>
      <c r="G137" s="1">
        <v>1</v>
      </c>
      <c r="H137" s="1" t="s">
        <v>3499</v>
      </c>
    </row>
    <row r="138" spans="1:8" x14ac:dyDescent="0.3">
      <c r="A138" s="1">
        <v>137</v>
      </c>
      <c r="B138" s="1" t="s">
        <v>85</v>
      </c>
      <c r="C138" s="1" t="s">
        <v>549</v>
      </c>
      <c r="D138" s="1" t="s">
        <v>550</v>
      </c>
      <c r="E138" s="3">
        <v>44452</v>
      </c>
      <c r="F138" s="1" t="s">
        <v>3546</v>
      </c>
      <c r="G138" s="1">
        <v>5</v>
      </c>
      <c r="H138" s="1" t="s">
        <v>3501</v>
      </c>
    </row>
    <row r="139" spans="1:8" x14ac:dyDescent="0.3">
      <c r="A139" s="1">
        <v>138</v>
      </c>
      <c r="B139" s="1" t="s">
        <v>40</v>
      </c>
      <c r="C139" s="1" t="s">
        <v>564</v>
      </c>
      <c r="D139" s="1" t="s">
        <v>565</v>
      </c>
      <c r="E139" s="3">
        <v>44461</v>
      </c>
      <c r="F139" s="1" t="s">
        <v>3576</v>
      </c>
      <c r="G139" s="1">
        <v>3</v>
      </c>
      <c r="H139" s="1" t="s">
        <v>3501</v>
      </c>
    </row>
    <row r="140" spans="1:8" x14ac:dyDescent="0.3">
      <c r="A140" s="1">
        <v>139</v>
      </c>
      <c r="B140" s="1" t="s">
        <v>95</v>
      </c>
      <c r="C140" s="1" t="s">
        <v>584</v>
      </c>
      <c r="D140" s="1" t="s">
        <v>585</v>
      </c>
      <c r="E140" s="3">
        <v>44460</v>
      </c>
      <c r="F140" s="1" t="s">
        <v>3572</v>
      </c>
      <c r="G140" s="1">
        <v>2</v>
      </c>
      <c r="H140" s="1" t="s">
        <v>3499</v>
      </c>
    </row>
    <row r="141" spans="1:8" x14ac:dyDescent="0.3">
      <c r="A141" s="1">
        <v>140</v>
      </c>
      <c r="B141" s="1" t="s">
        <v>130</v>
      </c>
      <c r="C141" s="1" t="s">
        <v>604</v>
      </c>
      <c r="D141" s="1" t="s">
        <v>605</v>
      </c>
      <c r="E141" s="3">
        <v>44456</v>
      </c>
      <c r="F141" s="1" t="s">
        <v>3518</v>
      </c>
      <c r="G141" s="1">
        <v>4</v>
      </c>
      <c r="H141" s="1" t="s">
        <v>3499</v>
      </c>
    </row>
    <row r="142" spans="1:8" x14ac:dyDescent="0.3">
      <c r="A142" s="1">
        <v>141</v>
      </c>
      <c r="B142" s="1" t="s">
        <v>30</v>
      </c>
      <c r="C142" s="1" t="s">
        <v>629</v>
      </c>
      <c r="D142" s="1" t="s">
        <v>630</v>
      </c>
      <c r="E142" s="3">
        <v>44462</v>
      </c>
      <c r="F142" s="1" t="s">
        <v>3514</v>
      </c>
      <c r="G142" s="1">
        <v>3</v>
      </c>
      <c r="H142" s="1" t="s">
        <v>3499</v>
      </c>
    </row>
    <row r="143" spans="1:8" x14ac:dyDescent="0.3">
      <c r="A143" s="1">
        <v>142</v>
      </c>
      <c r="B143" s="1" t="s">
        <v>195</v>
      </c>
      <c r="C143" s="1" t="s">
        <v>639</v>
      </c>
      <c r="D143" s="1" t="s">
        <v>640</v>
      </c>
      <c r="E143" s="3">
        <v>44433</v>
      </c>
      <c r="F143" s="1" t="s">
        <v>3520</v>
      </c>
      <c r="G143" s="1">
        <v>1</v>
      </c>
      <c r="H143" s="1" t="s">
        <v>3499</v>
      </c>
    </row>
    <row r="144" spans="1:8" x14ac:dyDescent="0.3">
      <c r="A144" s="1">
        <v>143</v>
      </c>
      <c r="B144" s="1" t="s">
        <v>200</v>
      </c>
      <c r="C144" s="1" t="s">
        <v>644</v>
      </c>
      <c r="D144" s="1" t="s">
        <v>645</v>
      </c>
      <c r="E144" s="3">
        <v>44490</v>
      </c>
      <c r="F144" s="1" t="s">
        <v>3598</v>
      </c>
      <c r="G144" s="1">
        <v>2</v>
      </c>
      <c r="H144" s="1" t="s">
        <v>3501</v>
      </c>
    </row>
    <row r="145" spans="1:8" x14ac:dyDescent="0.3">
      <c r="A145" s="1">
        <v>144</v>
      </c>
      <c r="B145" s="1" t="s">
        <v>90</v>
      </c>
      <c r="C145" s="1" t="s">
        <v>664</v>
      </c>
      <c r="D145" s="1" t="s">
        <v>665</v>
      </c>
      <c r="E145" s="3">
        <v>44448</v>
      </c>
      <c r="F145" s="1" t="s">
        <v>3565</v>
      </c>
      <c r="G145" s="1">
        <v>2</v>
      </c>
      <c r="H145" s="1" t="s">
        <v>3501</v>
      </c>
    </row>
    <row r="146" spans="1:8" x14ac:dyDescent="0.3">
      <c r="A146" s="1">
        <v>145</v>
      </c>
      <c r="B146" s="1" t="s">
        <v>85</v>
      </c>
      <c r="C146" s="1" t="s">
        <v>684</v>
      </c>
      <c r="D146" s="1" t="s">
        <v>685</v>
      </c>
      <c r="E146" s="3">
        <v>44472</v>
      </c>
      <c r="F146" s="1" t="s">
        <v>3545</v>
      </c>
      <c r="G146" s="1">
        <v>5</v>
      </c>
      <c r="H146" s="1" t="s">
        <v>3499</v>
      </c>
    </row>
    <row r="147" spans="1:8" x14ac:dyDescent="0.3">
      <c r="A147" s="1">
        <v>146</v>
      </c>
      <c r="B147" s="1" t="s">
        <v>80</v>
      </c>
      <c r="C147" s="1" t="s">
        <v>694</v>
      </c>
      <c r="D147" s="1" t="s">
        <v>695</v>
      </c>
      <c r="E147" s="3">
        <v>44444</v>
      </c>
      <c r="F147" s="1" t="s">
        <v>3577</v>
      </c>
      <c r="G147" s="1">
        <v>1</v>
      </c>
      <c r="H147" s="1" t="s">
        <v>3501</v>
      </c>
    </row>
    <row r="148" spans="1:8" x14ac:dyDescent="0.3">
      <c r="A148" s="1">
        <v>147</v>
      </c>
      <c r="B148" s="1" t="s">
        <v>75</v>
      </c>
      <c r="C148" s="1" t="s">
        <v>699</v>
      </c>
      <c r="D148" s="1" t="s">
        <v>700</v>
      </c>
      <c r="E148" s="3">
        <v>44443</v>
      </c>
      <c r="F148" s="1" t="s">
        <v>3599</v>
      </c>
      <c r="G148" s="1">
        <v>4</v>
      </c>
      <c r="H148" s="1" t="s">
        <v>3501</v>
      </c>
    </row>
    <row r="149" spans="1:8" x14ac:dyDescent="0.3">
      <c r="A149" s="1">
        <v>148</v>
      </c>
      <c r="B149" s="1" t="s">
        <v>110</v>
      </c>
      <c r="C149" s="1" t="s">
        <v>704</v>
      </c>
      <c r="D149" s="1" t="s">
        <v>705</v>
      </c>
      <c r="E149" s="3">
        <v>44484</v>
      </c>
      <c r="F149" s="1" t="s">
        <v>3573</v>
      </c>
      <c r="G149" s="1">
        <v>4</v>
      </c>
      <c r="H149" s="1" t="s">
        <v>3499</v>
      </c>
    </row>
    <row r="150" spans="1:8" x14ac:dyDescent="0.3">
      <c r="A150" s="1">
        <v>149</v>
      </c>
      <c r="B150" s="1" t="s">
        <v>110</v>
      </c>
      <c r="C150" s="1" t="s">
        <v>714</v>
      </c>
      <c r="D150" s="1" t="s">
        <v>715</v>
      </c>
      <c r="E150" s="3">
        <v>44446</v>
      </c>
      <c r="F150" s="1" t="s">
        <v>3600</v>
      </c>
      <c r="G150" s="1">
        <v>3</v>
      </c>
      <c r="H150" s="1" t="s">
        <v>3499</v>
      </c>
    </row>
    <row r="151" spans="1:8" x14ac:dyDescent="0.3">
      <c r="A151" s="1">
        <v>150</v>
      </c>
      <c r="B151" s="1" t="s">
        <v>115</v>
      </c>
      <c r="C151" s="1" t="s">
        <v>719</v>
      </c>
      <c r="D151" s="1" t="s">
        <v>720</v>
      </c>
      <c r="E151" s="3">
        <v>44420</v>
      </c>
      <c r="F151" s="1" t="s">
        <v>3601</v>
      </c>
      <c r="G151" s="1">
        <v>3</v>
      </c>
      <c r="H151" s="1" t="s">
        <v>3499</v>
      </c>
    </row>
    <row r="152" spans="1:8" x14ac:dyDescent="0.3">
      <c r="A152" s="1">
        <v>151</v>
      </c>
      <c r="B152" s="1" t="s">
        <v>20</v>
      </c>
      <c r="C152" s="1" t="s">
        <v>724</v>
      </c>
      <c r="D152" s="1" t="s">
        <v>725</v>
      </c>
      <c r="E152" s="3">
        <v>44503</v>
      </c>
      <c r="F152" s="1" t="s">
        <v>3545</v>
      </c>
      <c r="G152" s="1">
        <v>5</v>
      </c>
      <c r="H152" s="1" t="s">
        <v>3501</v>
      </c>
    </row>
    <row r="153" spans="1:8" x14ac:dyDescent="0.3">
      <c r="A153" s="1">
        <v>152</v>
      </c>
      <c r="B153" s="1" t="s">
        <v>30</v>
      </c>
      <c r="C153" s="1" t="s">
        <v>729</v>
      </c>
      <c r="D153" s="1" t="s">
        <v>730</v>
      </c>
      <c r="E153" s="3">
        <v>44458</v>
      </c>
      <c r="F153" s="1" t="s">
        <v>3545</v>
      </c>
      <c r="G153" s="1">
        <v>4</v>
      </c>
      <c r="H153" s="1" t="s">
        <v>3499</v>
      </c>
    </row>
    <row r="154" spans="1:8" x14ac:dyDescent="0.3">
      <c r="A154" s="1">
        <v>153</v>
      </c>
      <c r="B154" s="1" t="s">
        <v>35</v>
      </c>
      <c r="C154" s="1" t="s">
        <v>739</v>
      </c>
      <c r="D154" s="1" t="s">
        <v>740</v>
      </c>
      <c r="E154" s="3">
        <v>44426</v>
      </c>
      <c r="F154" s="1" t="s">
        <v>3602</v>
      </c>
      <c r="G154" s="1">
        <v>1</v>
      </c>
      <c r="H154" s="1" t="s">
        <v>3501</v>
      </c>
    </row>
    <row r="155" spans="1:8" x14ac:dyDescent="0.3">
      <c r="A155" s="1">
        <v>154</v>
      </c>
      <c r="B155" s="1" t="s">
        <v>85</v>
      </c>
      <c r="C155" s="1" t="s">
        <v>744</v>
      </c>
      <c r="D155" s="1" t="s">
        <v>745</v>
      </c>
      <c r="E155" s="3">
        <v>44447</v>
      </c>
      <c r="F155" s="1" t="s">
        <v>3603</v>
      </c>
      <c r="G155" s="1">
        <v>1</v>
      </c>
      <c r="H155" s="1" t="s">
        <v>3499</v>
      </c>
    </row>
    <row r="156" spans="1:8" x14ac:dyDescent="0.3">
      <c r="A156" s="1">
        <v>155</v>
      </c>
      <c r="B156" s="1" t="s">
        <v>110</v>
      </c>
      <c r="C156" s="1" t="s">
        <v>749</v>
      </c>
      <c r="D156" s="1" t="s">
        <v>750</v>
      </c>
      <c r="E156" s="3">
        <v>44502</v>
      </c>
      <c r="F156" s="1" t="s">
        <v>3533</v>
      </c>
      <c r="G156" s="1">
        <v>2</v>
      </c>
      <c r="H156" s="1" t="s">
        <v>3499</v>
      </c>
    </row>
    <row r="157" spans="1:8" x14ac:dyDescent="0.3">
      <c r="A157" s="1">
        <v>156</v>
      </c>
      <c r="B157" s="1" t="s">
        <v>70</v>
      </c>
      <c r="C157" s="1" t="s">
        <v>759</v>
      </c>
      <c r="D157" s="1" t="s">
        <v>760</v>
      </c>
      <c r="E157" s="3">
        <v>44438</v>
      </c>
      <c r="F157" s="1" t="s">
        <v>3604</v>
      </c>
      <c r="G157" s="1">
        <v>1</v>
      </c>
      <c r="H157" s="1" t="s">
        <v>3499</v>
      </c>
    </row>
    <row r="158" spans="1:8" x14ac:dyDescent="0.3">
      <c r="A158" s="1">
        <v>157</v>
      </c>
      <c r="B158" s="1" t="s">
        <v>145</v>
      </c>
      <c r="C158" s="1" t="s">
        <v>764</v>
      </c>
      <c r="D158" s="1" t="s">
        <v>765</v>
      </c>
      <c r="E158" s="3">
        <v>44434</v>
      </c>
      <c r="F158" s="1" t="s">
        <v>3546</v>
      </c>
      <c r="G158" s="1">
        <v>5</v>
      </c>
      <c r="H158" s="1" t="s">
        <v>3499</v>
      </c>
    </row>
    <row r="159" spans="1:8" x14ac:dyDescent="0.3">
      <c r="A159" s="1">
        <v>158</v>
      </c>
      <c r="B159" s="1" t="s">
        <v>75</v>
      </c>
      <c r="C159" s="1" t="s">
        <v>769</v>
      </c>
      <c r="D159" s="1" t="s">
        <v>770</v>
      </c>
      <c r="E159" s="3">
        <v>44484</v>
      </c>
      <c r="F159" s="1" t="s">
        <v>3547</v>
      </c>
      <c r="G159" s="1">
        <v>1</v>
      </c>
      <c r="H159" s="1" t="s">
        <v>3499</v>
      </c>
    </row>
    <row r="160" spans="1:8" x14ac:dyDescent="0.3">
      <c r="A160" s="1">
        <v>159</v>
      </c>
      <c r="B160" s="1" t="s">
        <v>25</v>
      </c>
      <c r="C160" s="1" t="s">
        <v>774</v>
      </c>
      <c r="D160" s="1" t="s">
        <v>775</v>
      </c>
      <c r="E160" s="3">
        <v>44481</v>
      </c>
      <c r="F160" s="1" t="s">
        <v>3533</v>
      </c>
      <c r="G160" s="1">
        <v>2</v>
      </c>
      <c r="H160" s="1" t="s">
        <v>3501</v>
      </c>
    </row>
    <row r="161" spans="1:8" x14ac:dyDescent="0.3">
      <c r="A161" s="1">
        <v>160</v>
      </c>
      <c r="B161" s="1" t="s">
        <v>85</v>
      </c>
      <c r="C161" s="1" t="s">
        <v>784</v>
      </c>
      <c r="D161" s="1" t="s">
        <v>785</v>
      </c>
      <c r="E161" s="3">
        <v>44469</v>
      </c>
      <c r="F161" s="1" t="s">
        <v>3534</v>
      </c>
      <c r="G161" s="1">
        <v>2</v>
      </c>
      <c r="H161" s="1" t="s">
        <v>3499</v>
      </c>
    </row>
    <row r="162" spans="1:8" x14ac:dyDescent="0.3">
      <c r="A162" s="1">
        <v>161</v>
      </c>
      <c r="B162" s="1" t="s">
        <v>165</v>
      </c>
      <c r="C162" s="1" t="s">
        <v>789</v>
      </c>
      <c r="D162" s="1" t="s">
        <v>790</v>
      </c>
      <c r="E162" s="3">
        <v>44475</v>
      </c>
      <c r="F162" s="1" t="s">
        <v>3538</v>
      </c>
      <c r="G162" s="1">
        <v>3</v>
      </c>
      <c r="H162" s="1" t="s">
        <v>3499</v>
      </c>
    </row>
    <row r="163" spans="1:8" x14ac:dyDescent="0.3">
      <c r="A163" s="1">
        <v>162</v>
      </c>
      <c r="B163" s="1" t="s">
        <v>95</v>
      </c>
      <c r="C163" s="1" t="s">
        <v>794</v>
      </c>
      <c r="D163" s="1" t="s">
        <v>795</v>
      </c>
      <c r="E163" s="3">
        <v>44454</v>
      </c>
      <c r="F163" s="1" t="s">
        <v>3517</v>
      </c>
      <c r="G163" s="1">
        <v>4</v>
      </c>
      <c r="H163" s="1" t="s">
        <v>3501</v>
      </c>
    </row>
    <row r="164" spans="1:8" x14ac:dyDescent="0.3">
      <c r="A164" s="1">
        <v>163</v>
      </c>
      <c r="B164" s="1" t="s">
        <v>45</v>
      </c>
      <c r="C164" s="1" t="s">
        <v>799</v>
      </c>
      <c r="D164" s="1" t="s">
        <v>800</v>
      </c>
      <c r="E164" s="3">
        <v>44479</v>
      </c>
      <c r="F164" s="1" t="s">
        <v>3571</v>
      </c>
      <c r="G164" s="1">
        <v>5</v>
      </c>
      <c r="H164" s="1" t="s">
        <v>3499</v>
      </c>
    </row>
    <row r="165" spans="1:8" x14ac:dyDescent="0.3">
      <c r="A165" s="1">
        <v>164</v>
      </c>
      <c r="B165" s="1" t="s">
        <v>100</v>
      </c>
      <c r="C165" s="1" t="s">
        <v>809</v>
      </c>
      <c r="D165" s="1" t="s">
        <v>810</v>
      </c>
      <c r="E165" s="3">
        <v>44440</v>
      </c>
      <c r="F165" s="1" t="s">
        <v>3575</v>
      </c>
      <c r="G165" s="1">
        <v>5</v>
      </c>
      <c r="H165" s="1" t="s">
        <v>3501</v>
      </c>
    </row>
    <row r="166" spans="1:8" x14ac:dyDescent="0.3">
      <c r="A166" s="1">
        <v>165</v>
      </c>
      <c r="B166" s="1" t="s">
        <v>195</v>
      </c>
      <c r="C166" s="1" t="s">
        <v>819</v>
      </c>
      <c r="D166" s="1" t="s">
        <v>820</v>
      </c>
      <c r="E166" s="3">
        <v>44450</v>
      </c>
      <c r="F166" s="1" t="s">
        <v>3605</v>
      </c>
      <c r="G166" s="1">
        <v>4</v>
      </c>
      <c r="H166" s="1" t="s">
        <v>3499</v>
      </c>
    </row>
    <row r="167" spans="1:8" x14ac:dyDescent="0.3">
      <c r="A167" s="1">
        <v>166</v>
      </c>
      <c r="B167" s="1" t="s">
        <v>110</v>
      </c>
      <c r="C167" s="1" t="s">
        <v>829</v>
      </c>
      <c r="D167" s="1" t="s">
        <v>830</v>
      </c>
      <c r="E167" s="3">
        <v>44482</v>
      </c>
      <c r="F167" s="1" t="s">
        <v>3550</v>
      </c>
      <c r="G167" s="1">
        <v>5</v>
      </c>
      <c r="H167" s="1" t="s">
        <v>3501</v>
      </c>
    </row>
    <row r="168" spans="1:8" x14ac:dyDescent="0.3">
      <c r="A168" s="1">
        <v>167</v>
      </c>
      <c r="B168" s="1" t="s">
        <v>165</v>
      </c>
      <c r="C168" s="1" t="s">
        <v>834</v>
      </c>
      <c r="D168" s="1" t="s">
        <v>835</v>
      </c>
      <c r="E168" s="3">
        <v>44498</v>
      </c>
      <c r="F168" s="1" t="s">
        <v>3606</v>
      </c>
      <c r="G168" s="1">
        <v>2</v>
      </c>
      <c r="H168" s="1" t="s">
        <v>3501</v>
      </c>
    </row>
    <row r="169" spans="1:8" x14ac:dyDescent="0.3">
      <c r="A169" s="1">
        <v>168</v>
      </c>
      <c r="B169" s="1" t="s">
        <v>130</v>
      </c>
      <c r="C169" s="1" t="s">
        <v>839</v>
      </c>
      <c r="D169" s="1" t="s">
        <v>840</v>
      </c>
      <c r="E169" s="3">
        <v>44503</v>
      </c>
      <c r="F169" s="1" t="s">
        <v>3607</v>
      </c>
      <c r="G169" s="1">
        <v>2</v>
      </c>
      <c r="H169" s="1" t="s">
        <v>3501</v>
      </c>
    </row>
    <row r="170" spans="1:8" x14ac:dyDescent="0.3">
      <c r="A170" s="1">
        <v>169</v>
      </c>
      <c r="B170" s="1" t="s">
        <v>180</v>
      </c>
      <c r="C170" s="1" t="s">
        <v>844</v>
      </c>
      <c r="D170" s="1" t="s">
        <v>845</v>
      </c>
      <c r="E170" s="3">
        <v>44429</v>
      </c>
      <c r="F170" s="1" t="s">
        <v>3608</v>
      </c>
      <c r="G170" s="1">
        <v>3</v>
      </c>
      <c r="H170" s="1" t="s">
        <v>3501</v>
      </c>
    </row>
    <row r="171" spans="1:8" x14ac:dyDescent="0.3">
      <c r="A171" s="1">
        <v>170</v>
      </c>
      <c r="B171" s="1" t="s">
        <v>160</v>
      </c>
      <c r="C171" s="1" t="s">
        <v>849</v>
      </c>
      <c r="D171" s="1" t="s">
        <v>850</v>
      </c>
      <c r="E171" s="3">
        <v>44414</v>
      </c>
      <c r="F171" s="1" t="s">
        <v>3609</v>
      </c>
      <c r="G171" s="1">
        <v>2</v>
      </c>
      <c r="H171" s="1" t="s">
        <v>3499</v>
      </c>
    </row>
    <row r="172" spans="1:8" x14ac:dyDescent="0.3">
      <c r="A172" s="1">
        <v>171</v>
      </c>
      <c r="B172" s="1" t="s">
        <v>75</v>
      </c>
      <c r="C172" s="1" t="s">
        <v>854</v>
      </c>
      <c r="D172" s="1" t="s">
        <v>855</v>
      </c>
      <c r="E172" s="3">
        <v>44437</v>
      </c>
      <c r="F172" s="1" t="s">
        <v>3610</v>
      </c>
      <c r="G172" s="1">
        <v>3</v>
      </c>
      <c r="H172" s="1" t="s">
        <v>3501</v>
      </c>
    </row>
    <row r="173" spans="1:8" x14ac:dyDescent="0.3">
      <c r="A173" s="1">
        <v>172</v>
      </c>
      <c r="B173" s="1" t="s">
        <v>115</v>
      </c>
      <c r="C173" s="1" t="s">
        <v>859</v>
      </c>
      <c r="D173" s="1" t="s">
        <v>860</v>
      </c>
      <c r="E173" s="3">
        <v>44467</v>
      </c>
      <c r="F173" s="1" t="s">
        <v>3611</v>
      </c>
      <c r="G173" s="1">
        <v>4</v>
      </c>
      <c r="H173" s="1" t="s">
        <v>3499</v>
      </c>
    </row>
    <row r="174" spans="1:8" x14ac:dyDescent="0.3">
      <c r="A174" s="1">
        <v>173</v>
      </c>
      <c r="B174" s="1" t="s">
        <v>190</v>
      </c>
      <c r="C174" s="1" t="s">
        <v>869</v>
      </c>
      <c r="D174" s="1" t="s">
        <v>870</v>
      </c>
      <c r="E174" s="3">
        <v>44490</v>
      </c>
      <c r="F174" s="1" t="s">
        <v>3612</v>
      </c>
      <c r="G174" s="1">
        <v>4</v>
      </c>
      <c r="H174" s="1" t="s">
        <v>3499</v>
      </c>
    </row>
    <row r="175" spans="1:8" x14ac:dyDescent="0.3">
      <c r="A175" s="1">
        <v>174</v>
      </c>
      <c r="B175" s="1" t="s">
        <v>160</v>
      </c>
      <c r="C175" s="1" t="s">
        <v>874</v>
      </c>
      <c r="D175" s="1" t="s">
        <v>875</v>
      </c>
      <c r="E175" s="3">
        <v>44468</v>
      </c>
      <c r="F175" s="1" t="s">
        <v>3613</v>
      </c>
      <c r="G175" s="1">
        <v>2</v>
      </c>
      <c r="H175" s="1" t="s">
        <v>3501</v>
      </c>
    </row>
    <row r="176" spans="1:8" x14ac:dyDescent="0.3">
      <c r="A176" s="1">
        <v>175</v>
      </c>
      <c r="B176" s="1" t="s">
        <v>140</v>
      </c>
      <c r="C176" s="1" t="s">
        <v>884</v>
      </c>
      <c r="D176" s="1" t="s">
        <v>885</v>
      </c>
      <c r="E176" s="3">
        <v>44427</v>
      </c>
      <c r="F176" s="1" t="s">
        <v>3614</v>
      </c>
      <c r="G176" s="1">
        <v>1</v>
      </c>
      <c r="H176" s="1" t="s">
        <v>3499</v>
      </c>
    </row>
    <row r="177" spans="1:8" x14ac:dyDescent="0.3">
      <c r="A177" s="1">
        <v>176</v>
      </c>
      <c r="B177" s="1" t="s">
        <v>40</v>
      </c>
      <c r="C177" s="1" t="s">
        <v>894</v>
      </c>
      <c r="D177" s="1" t="s">
        <v>895</v>
      </c>
      <c r="E177" s="3">
        <v>44489</v>
      </c>
      <c r="F177" s="1" t="s">
        <v>3615</v>
      </c>
      <c r="G177" s="1">
        <v>3</v>
      </c>
      <c r="H177" s="1" t="s">
        <v>3499</v>
      </c>
    </row>
    <row r="178" spans="1:8" x14ac:dyDescent="0.3">
      <c r="A178" s="1">
        <v>177</v>
      </c>
      <c r="B178" s="1" t="s">
        <v>35</v>
      </c>
      <c r="C178" s="1" t="s">
        <v>899</v>
      </c>
      <c r="D178" s="1" t="s">
        <v>900</v>
      </c>
      <c r="E178" s="3">
        <v>44479</v>
      </c>
      <c r="F178" s="1" t="s">
        <v>3507</v>
      </c>
      <c r="G178" s="1">
        <v>2</v>
      </c>
      <c r="H178" s="1" t="s">
        <v>3501</v>
      </c>
    </row>
    <row r="179" spans="1:8" x14ac:dyDescent="0.3">
      <c r="A179" s="1">
        <v>178</v>
      </c>
      <c r="B179" s="1" t="s">
        <v>140</v>
      </c>
      <c r="C179" s="1" t="s">
        <v>909</v>
      </c>
      <c r="D179" s="1" t="s">
        <v>910</v>
      </c>
      <c r="E179" s="3">
        <v>44481</v>
      </c>
      <c r="F179" s="1" t="s">
        <v>3616</v>
      </c>
      <c r="G179" s="1">
        <v>1</v>
      </c>
      <c r="H179" s="1" t="s">
        <v>3501</v>
      </c>
    </row>
    <row r="180" spans="1:8" x14ac:dyDescent="0.3">
      <c r="A180" s="1">
        <v>179</v>
      </c>
      <c r="B180" s="1" t="s">
        <v>65</v>
      </c>
      <c r="C180" s="1" t="s">
        <v>914</v>
      </c>
      <c r="D180" s="1" t="s">
        <v>915</v>
      </c>
      <c r="E180" s="3">
        <v>44499</v>
      </c>
      <c r="F180" s="1" t="s">
        <v>3617</v>
      </c>
      <c r="G180" s="1">
        <v>5</v>
      </c>
      <c r="H180" s="1" t="s">
        <v>3499</v>
      </c>
    </row>
    <row r="181" spans="1:8" x14ac:dyDescent="0.3">
      <c r="A181" s="1">
        <v>180</v>
      </c>
      <c r="B181" s="1" t="s">
        <v>70</v>
      </c>
      <c r="C181" s="1" t="s">
        <v>919</v>
      </c>
      <c r="D181" s="1" t="s">
        <v>920</v>
      </c>
      <c r="E181" s="3">
        <v>44499</v>
      </c>
      <c r="F181" s="1" t="s">
        <v>3618</v>
      </c>
      <c r="G181" s="1">
        <v>4</v>
      </c>
      <c r="H181" s="1" t="s">
        <v>3499</v>
      </c>
    </row>
    <row r="182" spans="1:8" x14ac:dyDescent="0.3">
      <c r="A182" s="1">
        <v>181</v>
      </c>
      <c r="B182" s="1" t="s">
        <v>25</v>
      </c>
      <c r="C182" s="1" t="s">
        <v>924</v>
      </c>
      <c r="D182" s="1" t="s">
        <v>925</v>
      </c>
      <c r="E182" s="3">
        <v>44499</v>
      </c>
      <c r="F182" s="1" t="s">
        <v>3505</v>
      </c>
      <c r="G182" s="1">
        <v>4</v>
      </c>
      <c r="H182" s="1" t="s">
        <v>3499</v>
      </c>
    </row>
    <row r="183" spans="1:8" x14ac:dyDescent="0.3">
      <c r="A183" s="1">
        <v>182</v>
      </c>
      <c r="B183" s="1" t="s">
        <v>150</v>
      </c>
      <c r="C183" s="1" t="s">
        <v>239</v>
      </c>
      <c r="D183" s="1" t="s">
        <v>240</v>
      </c>
      <c r="E183" s="3">
        <v>44464</v>
      </c>
      <c r="F183" s="1" t="s">
        <v>3619</v>
      </c>
      <c r="G183" s="1">
        <v>1</v>
      </c>
      <c r="H183" s="1" t="s">
        <v>3501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N1:P11"/>
  <sheetViews>
    <sheetView tabSelected="1" workbookViewId="0"/>
  </sheetViews>
  <sheetFormatPr defaultRowHeight="16.5" x14ac:dyDescent="0.3"/>
  <cols>
    <col min="1" max="13" width="9" style="18"/>
    <col min="14" max="14" width="15" style="18" customWidth="1"/>
    <col min="15" max="16384" width="9" style="18"/>
  </cols>
  <sheetData>
    <row r="1" spans="14:16" x14ac:dyDescent="0.3">
      <c r="N1" s="24" t="s">
        <v>3671</v>
      </c>
      <c r="O1" s="24" t="s">
        <v>3672</v>
      </c>
      <c r="P1" s="24" t="s">
        <v>3673</v>
      </c>
    </row>
    <row r="2" spans="14:16" x14ac:dyDescent="0.3">
      <c r="N2" s="24"/>
      <c r="O2" s="24"/>
      <c r="P2" s="24"/>
    </row>
    <row r="3" spans="14:16" x14ac:dyDescent="0.3">
      <c r="N3" s="24"/>
      <c r="O3" s="24"/>
      <c r="P3" s="24"/>
    </row>
    <row r="4" spans="14:16" x14ac:dyDescent="0.3">
      <c r="N4" s="24"/>
      <c r="O4" s="24"/>
      <c r="P4" s="24"/>
    </row>
    <row r="5" spans="14:16" x14ac:dyDescent="0.3">
      <c r="N5" s="24"/>
      <c r="O5" s="24"/>
      <c r="P5" s="24"/>
    </row>
    <row r="6" spans="14:16" x14ac:dyDescent="0.3">
      <c r="N6" s="24"/>
      <c r="O6" s="24"/>
      <c r="P6" s="24"/>
    </row>
    <row r="7" spans="14:16" x14ac:dyDescent="0.3">
      <c r="N7" s="24"/>
      <c r="O7" s="24"/>
      <c r="P7" s="24"/>
    </row>
    <row r="8" spans="14:16" x14ac:dyDescent="0.3">
      <c r="N8" s="24"/>
      <c r="O8" s="24"/>
      <c r="P8" s="24"/>
    </row>
    <row r="9" spans="14:16" x14ac:dyDescent="0.3">
      <c r="N9" s="24"/>
      <c r="O9" s="24"/>
      <c r="P9" s="24"/>
    </row>
    <row r="10" spans="14:16" x14ac:dyDescent="0.3">
      <c r="N10" s="24"/>
      <c r="O10" s="24"/>
      <c r="P10" s="24"/>
    </row>
    <row r="11" spans="14:16" x14ac:dyDescent="0.3">
      <c r="N11" s="24"/>
      <c r="O11" s="24"/>
      <c r="P11" s="2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2" r:id="rId3" name="cmd테스트">
          <controlPr defaultSize="0" autoLine="0" r:id="rId4">
            <anchor moveWithCells="1">
              <from>
                <xdr:col>16</xdr:col>
                <xdr:colOff>561975</xdr:colOff>
                <xdr:row>1</xdr:row>
                <xdr:rowOff>180975</xdr:rowOff>
              </from>
              <to>
                <xdr:col>19</xdr:col>
                <xdr:colOff>609600</xdr:colOff>
                <xdr:row>3</xdr:row>
                <xdr:rowOff>180975</xdr:rowOff>
              </to>
            </anchor>
          </controlPr>
        </control>
      </mc:Choice>
      <mc:Fallback>
        <control shapeId="17412" r:id="rId3" name="cmd테스트"/>
      </mc:Fallback>
    </mc:AlternateContent>
    <mc:AlternateContent xmlns:mc="http://schemas.openxmlformats.org/markup-compatibility/2006">
      <mc:Choice Requires="x14">
        <control shapeId="17411" r:id="rId5" name="Image1">
          <controlPr defaultSize="0" autoLine="0" r:id="rId6">
            <anchor moveWithCells="1">
              <from>
                <xdr:col>2</xdr:col>
                <xdr:colOff>180975</xdr:colOff>
                <xdr:row>5</xdr:row>
                <xdr:rowOff>171450</xdr:rowOff>
              </from>
              <to>
                <xdr:col>4</xdr:col>
                <xdr:colOff>28575</xdr:colOff>
                <xdr:row>11</xdr:row>
                <xdr:rowOff>190500</xdr:rowOff>
              </to>
            </anchor>
          </controlPr>
        </control>
      </mc:Choice>
      <mc:Fallback>
        <control shapeId="17411" r:id="rId5" name="Image1"/>
      </mc:Fallback>
    </mc:AlternateContent>
    <mc:AlternateContent xmlns:mc="http://schemas.openxmlformats.org/markup-compatibility/2006">
      <mc:Choice Requires="x14">
        <control shapeId="17409" r:id="rId7" name="CommandButton1">
          <controlPr defaultSize="0" autoLine="0" r:id="rId8">
            <anchor moveWithCells="1">
              <from>
                <xdr:col>2</xdr:col>
                <xdr:colOff>361950</xdr:colOff>
                <xdr:row>1</xdr:row>
                <xdr:rowOff>180975</xdr:rowOff>
              </from>
              <to>
                <xdr:col>5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7409" r:id="rId7" name="CommandButton1"/>
      </mc:Fallback>
    </mc:AlternateContent>
    <mc:AlternateContent xmlns:mc="http://schemas.openxmlformats.org/markup-compatibility/2006">
      <mc:Choice Requires="x14">
        <control shapeId="17410" r:id="rId9" name="Label1">
          <controlPr defaultSize="0" autoLine="0" r:id="rId10">
            <anchor moveWithCells="1">
              <from>
                <xdr:col>7</xdr:col>
                <xdr:colOff>409575</xdr:colOff>
                <xdr:row>4</xdr:row>
                <xdr:rowOff>171450</xdr:rowOff>
              </from>
              <to>
                <xdr:col>11</xdr:col>
                <xdr:colOff>9525</xdr:colOff>
                <xdr:row>6</xdr:row>
                <xdr:rowOff>95250</xdr:rowOff>
              </to>
            </anchor>
          </controlPr>
        </control>
      </mc:Choice>
      <mc:Fallback>
        <control shapeId="17410" r:id="rId9" name="Label1"/>
      </mc:Fallback>
    </mc:AlternateContent>
  </controls>
  <tableParts count="1"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19</vt:i4>
      </vt:variant>
    </vt:vector>
  </HeadingPairs>
  <TitlesOfParts>
    <vt:vector size="29" baseType="lpstr">
      <vt:lpstr>로딩</vt:lpstr>
      <vt:lpstr>Main</vt:lpstr>
      <vt:lpstr>회원</vt:lpstr>
      <vt:lpstr>상세정보</vt:lpstr>
      <vt:lpstr>음식</vt:lpstr>
      <vt:lpstr>접근금지구역</vt:lpstr>
      <vt:lpstr>주문 내역</vt:lpstr>
      <vt:lpstr>맛집파인더</vt:lpstr>
      <vt:lpstr>리뷰</vt:lpstr>
      <vt:lpstr>테스트</vt:lpstr>
      <vt:lpstr>Main!Criteria</vt:lpstr>
      <vt:lpstr>리뷰!Criteria</vt:lpstr>
      <vt:lpstr>맛집파인더!Criteria</vt:lpstr>
      <vt:lpstr>상세정보!Criteria</vt:lpstr>
      <vt:lpstr>음식!Criteria</vt:lpstr>
      <vt:lpstr>'주문 내역'!Criteria</vt:lpstr>
      <vt:lpstr>Main!Extract</vt:lpstr>
      <vt:lpstr>리뷰!Extract</vt:lpstr>
      <vt:lpstr>맛집파인더!Extract</vt:lpstr>
      <vt:lpstr>상세정보!Extract</vt:lpstr>
      <vt:lpstr>음식!Extract</vt:lpstr>
      <vt:lpstr>'주문 내역'!Extract</vt:lpstr>
      <vt:lpstr>금지좌표</vt:lpstr>
      <vt:lpstr>도착셀</vt:lpstr>
      <vt:lpstr>종류</vt:lpstr>
      <vt:lpstr>판매자번호</vt:lpstr>
      <vt:lpstr>판매자시작</vt:lpstr>
      <vt:lpstr>회원번호</vt:lpstr>
      <vt:lpstr>회원좌표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qkrtnseo1219@gmail.com</dc:creator>
  <cp:lastModifiedBy>YSH</cp:lastModifiedBy>
  <dcterms:created xsi:type="dcterms:W3CDTF">2021-07-18T11:13:41Z</dcterms:created>
  <dcterms:modified xsi:type="dcterms:W3CDTF">2021-08-11T11:11:02Z</dcterms:modified>
</cp:coreProperties>
</file>