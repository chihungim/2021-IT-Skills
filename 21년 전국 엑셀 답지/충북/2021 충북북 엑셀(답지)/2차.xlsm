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엑셀\2021 충북북 엑셀(답지)\"/>
    </mc:Choice>
  </mc:AlternateContent>
  <bookViews>
    <workbookView xWindow="0" yWindow="0" windowWidth="14370" windowHeight="10095" tabRatio="942"/>
  </bookViews>
  <sheets>
    <sheet name="메인" sheetId="7" r:id="rId1"/>
    <sheet name="회원목록" sheetId="1" r:id="rId2"/>
    <sheet name="카드목록" sheetId="2" r:id="rId3"/>
    <sheet name="카드정보" sheetId="3" r:id="rId4"/>
    <sheet name="카드발급" sheetId="4" r:id="rId5"/>
    <sheet name="상품목록" sheetId="5" r:id="rId6"/>
    <sheet name="거래내역" sheetId="6" r:id="rId7"/>
    <sheet name="카드" sheetId="8" state="hidden" r:id="rId8"/>
    <sheet name="카드비교" sheetId="9" state="hidden" r:id="rId9"/>
    <sheet name="뱅킹" sheetId="10" state="hidden" r:id="rId10"/>
    <sheet name="활동내역" sheetId="11" state="hidden" r:id="rId11"/>
    <sheet name="디자인" sheetId="13" state="hidden" r:id="rId12"/>
    <sheet name="통계" sheetId="12" state="hidden" r:id="rId13"/>
  </sheets>
  <functionGroups builtInGroupCount="18"/>
  <definedNames>
    <definedName name="_xlnm._FilterDatabase" localSheetId="6" hidden="1">거래내역!$A$1:$J$476</definedName>
    <definedName name="_xlnm._FilterDatabase" localSheetId="5" hidden="1">상품목록!$A$1:$G$91</definedName>
    <definedName name="_xlnm._FilterDatabase" localSheetId="1" hidden="1">회원목록!$A$1:$J$41</definedName>
    <definedName name="_xlnm.Criteria" localSheetId="6">거래내역!$L$1:$M$3</definedName>
    <definedName name="_xlnm.Criteria" localSheetId="5">상품목록!$I$1:$J$2</definedName>
    <definedName name="_xlnm.Criteria" localSheetId="1">회원목록!$L$1:$N$4</definedName>
    <definedName name="_xlnm.Extract" localSheetId="6">거래내역!$O$1</definedName>
    <definedName name="_xlnm.Extract" localSheetId="5">상품목록!$L$1:$O$1</definedName>
    <definedName name="_xlnm.Extract" localSheetId="1">회원목록!$P$1:$Q$1</definedName>
    <definedName name="계좌">디자인!$I$1</definedName>
    <definedName name="번호">디자인!$A$1</definedName>
    <definedName name="이름">디자인!$D$1</definedName>
    <definedName name="이차비밀번호">디자인!$F$1</definedName>
    <definedName name="잔액">디자인!$J$1</definedName>
    <definedName name="주소">디자인!$G$1</definedName>
  </definedNames>
  <calcPr calcId="162913"/>
  <pivotCaches>
    <pivotCache cacheId="1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4" i="4" l="1"/>
  <c r="G74" i="4"/>
  <c r="J1" i="13"/>
  <c r="I1" i="13"/>
  <c r="H1" i="13"/>
  <c r="G1" i="13"/>
  <c r="F1" i="13"/>
  <c r="E1" i="13"/>
  <c r="D1" i="13"/>
  <c r="C1" i="13"/>
  <c r="B1" i="13"/>
  <c r="N1" i="13" l="1"/>
  <c r="P5" i="13" l="1"/>
  <c r="P4" i="13"/>
  <c r="P3" i="13"/>
  <c r="P2" i="13"/>
  <c r="P1" i="13"/>
  <c r="V5" i="12" l="1"/>
  <c r="V4" i="12"/>
  <c r="V3" i="12"/>
  <c r="V2" i="12"/>
  <c r="V1" i="12"/>
  <c r="B5" i="8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3" i="4"/>
  <c r="F33" i="4"/>
  <c r="G32" i="4"/>
  <c r="F32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8" i="4"/>
  <c r="F18" i="4"/>
  <c r="G17" i="4"/>
  <c r="F17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G3" i="4"/>
  <c r="F3" i="4"/>
  <c r="G2" i="4"/>
  <c r="F2" i="4"/>
  <c r="V28" i="2"/>
  <c r="U28" i="2"/>
  <c r="T28" i="2"/>
  <c r="N28" i="2"/>
  <c r="M28" i="2"/>
  <c r="L28" i="2"/>
  <c r="K28" i="2"/>
  <c r="V27" i="2"/>
  <c r="U27" i="2"/>
  <c r="T27" i="2"/>
  <c r="N27" i="2"/>
  <c r="M27" i="2"/>
  <c r="L27" i="2"/>
  <c r="K27" i="2"/>
  <c r="V26" i="2"/>
  <c r="U26" i="2"/>
  <c r="T26" i="2"/>
  <c r="N26" i="2"/>
  <c r="M26" i="2"/>
  <c r="L26" i="2"/>
  <c r="K26" i="2"/>
  <c r="V25" i="2"/>
  <c r="U25" i="2"/>
  <c r="T25" i="2"/>
  <c r="N25" i="2"/>
  <c r="M25" i="2"/>
  <c r="L25" i="2"/>
  <c r="K25" i="2"/>
  <c r="V24" i="2"/>
  <c r="U24" i="2"/>
  <c r="T24" i="2"/>
  <c r="N24" i="2"/>
  <c r="M24" i="2"/>
  <c r="L24" i="2"/>
  <c r="K24" i="2"/>
  <c r="V23" i="2"/>
  <c r="U23" i="2"/>
  <c r="T23" i="2"/>
  <c r="N23" i="2"/>
  <c r="M23" i="2"/>
  <c r="L23" i="2"/>
  <c r="K23" i="2"/>
  <c r="V22" i="2"/>
  <c r="U22" i="2"/>
  <c r="T22" i="2"/>
  <c r="N22" i="2"/>
  <c r="M22" i="2"/>
  <c r="L22" i="2"/>
  <c r="K22" i="2"/>
  <c r="V21" i="2"/>
  <c r="U21" i="2"/>
  <c r="T21" i="2"/>
  <c r="N21" i="2"/>
  <c r="M21" i="2"/>
  <c r="L21" i="2"/>
  <c r="K21" i="2"/>
  <c r="V20" i="2"/>
  <c r="U20" i="2"/>
  <c r="T20" i="2"/>
  <c r="N20" i="2"/>
  <c r="M20" i="2"/>
  <c r="L20" i="2"/>
  <c r="K20" i="2"/>
  <c r="V19" i="2"/>
  <c r="U19" i="2"/>
  <c r="T19" i="2"/>
  <c r="N19" i="2"/>
  <c r="M19" i="2"/>
  <c r="L19" i="2"/>
  <c r="K19" i="2"/>
  <c r="V18" i="2"/>
  <c r="U18" i="2"/>
  <c r="T18" i="2"/>
  <c r="N18" i="2"/>
  <c r="M18" i="2"/>
  <c r="L18" i="2"/>
  <c r="K18" i="2"/>
  <c r="V17" i="2"/>
  <c r="U17" i="2"/>
  <c r="T17" i="2"/>
  <c r="N17" i="2"/>
  <c r="M17" i="2"/>
  <c r="L17" i="2"/>
  <c r="K17" i="2"/>
  <c r="V16" i="2"/>
  <c r="U16" i="2"/>
  <c r="T16" i="2"/>
  <c r="N16" i="2"/>
  <c r="M16" i="2"/>
  <c r="L16" i="2"/>
  <c r="K16" i="2"/>
  <c r="V15" i="2"/>
  <c r="U15" i="2"/>
  <c r="T15" i="2"/>
  <c r="N15" i="2"/>
  <c r="M15" i="2"/>
  <c r="L15" i="2"/>
  <c r="K15" i="2"/>
  <c r="V14" i="2"/>
  <c r="U14" i="2"/>
  <c r="T14" i="2"/>
  <c r="N14" i="2"/>
  <c r="M14" i="2"/>
  <c r="L14" i="2"/>
  <c r="K14" i="2"/>
  <c r="V13" i="2"/>
  <c r="U13" i="2"/>
  <c r="T13" i="2"/>
  <c r="N13" i="2"/>
  <c r="M13" i="2"/>
  <c r="L13" i="2"/>
  <c r="K13" i="2"/>
  <c r="V12" i="2"/>
  <c r="U12" i="2"/>
  <c r="T12" i="2"/>
  <c r="N12" i="2"/>
  <c r="M12" i="2"/>
  <c r="L12" i="2"/>
  <c r="K12" i="2"/>
  <c r="V11" i="2"/>
  <c r="U11" i="2"/>
  <c r="T11" i="2"/>
  <c r="N11" i="2"/>
  <c r="M11" i="2"/>
  <c r="L11" i="2"/>
  <c r="K11" i="2"/>
  <c r="V10" i="2"/>
  <c r="U10" i="2"/>
  <c r="T10" i="2"/>
  <c r="N10" i="2"/>
  <c r="M10" i="2"/>
  <c r="L10" i="2"/>
  <c r="K10" i="2"/>
  <c r="V9" i="2"/>
  <c r="U9" i="2"/>
  <c r="T9" i="2"/>
  <c r="N9" i="2"/>
  <c r="M9" i="2"/>
  <c r="L9" i="2"/>
  <c r="K9" i="2"/>
  <c r="V8" i="2"/>
  <c r="U8" i="2"/>
  <c r="T8" i="2"/>
  <c r="N8" i="2"/>
  <c r="M8" i="2"/>
  <c r="L8" i="2"/>
  <c r="K8" i="2"/>
  <c r="V7" i="2"/>
  <c r="U7" i="2"/>
  <c r="T7" i="2"/>
  <c r="N7" i="2"/>
  <c r="M7" i="2"/>
  <c r="L7" i="2"/>
  <c r="K7" i="2"/>
  <c r="V6" i="2"/>
  <c r="U6" i="2"/>
  <c r="T6" i="2"/>
  <c r="N6" i="2"/>
  <c r="M6" i="2"/>
  <c r="L6" i="2"/>
  <c r="K6" i="2"/>
  <c r="V5" i="2"/>
  <c r="U5" i="2"/>
  <c r="T5" i="2"/>
  <c r="N5" i="2"/>
  <c r="M5" i="2"/>
  <c r="L5" i="2"/>
  <c r="K5" i="2"/>
  <c r="V4" i="2"/>
  <c r="U4" i="2"/>
  <c r="T4" i="2"/>
  <c r="N4" i="2"/>
  <c r="M4" i="2"/>
  <c r="L4" i="2"/>
  <c r="K4" i="2"/>
  <c r="V3" i="2"/>
  <c r="U3" i="2"/>
  <c r="T3" i="2"/>
  <c r="N3" i="2"/>
  <c r="M3" i="2"/>
  <c r="L3" i="2"/>
  <c r="K3" i="2"/>
  <c r="V2" i="2"/>
  <c r="U2" i="2"/>
  <c r="T2" i="2"/>
  <c r="N2" i="2"/>
  <c r="M2" i="2"/>
  <c r="L2" i="2"/>
  <c r="K2" i="2"/>
  <c r="W1" i="12" l="1"/>
  <c r="AC10" i="2"/>
  <c r="AC6" i="2"/>
  <c r="AC2" i="2"/>
  <c r="AC25" i="2"/>
  <c r="AC21" i="2"/>
  <c r="AC17" i="2"/>
  <c r="AC13" i="2"/>
  <c r="AC9" i="2"/>
  <c r="AC5" i="2"/>
  <c r="AC28" i="2"/>
  <c r="AC24" i="2"/>
  <c r="AC20" i="2"/>
  <c r="AC16" i="2"/>
  <c r="AC12" i="2"/>
  <c r="AC8" i="2"/>
  <c r="AC4" i="2"/>
  <c r="AC19" i="2"/>
  <c r="AC15" i="2"/>
  <c r="AC11" i="2"/>
  <c r="AC7" i="2"/>
  <c r="AC3" i="2"/>
  <c r="AC27" i="2"/>
  <c r="AC23" i="2"/>
  <c r="AC26" i="2"/>
  <c r="AC22" i="2"/>
  <c r="AC18" i="2"/>
  <c r="AC14" i="2"/>
  <c r="W4" i="12"/>
  <c r="W5" i="12"/>
  <c r="W2" i="12"/>
  <c r="W3" i="12"/>
  <c r="S6" i="2"/>
  <c r="S8" i="2"/>
  <c r="S10" i="2"/>
  <c r="S12" i="2"/>
  <c r="S14" i="2"/>
  <c r="S16" i="2"/>
  <c r="S17" i="2"/>
  <c r="AD17" i="2" s="1"/>
  <c r="S21" i="2"/>
  <c r="S23" i="2"/>
  <c r="S24" i="2"/>
  <c r="S26" i="2"/>
  <c r="S27" i="2"/>
  <c r="S2" i="2"/>
  <c r="S3" i="2"/>
  <c r="S4" i="2"/>
  <c r="S5" i="2"/>
  <c r="S7" i="2"/>
  <c r="S9" i="2"/>
  <c r="S11" i="2"/>
  <c r="S13" i="2"/>
  <c r="S15" i="2"/>
  <c r="S18" i="2"/>
  <c r="S19" i="2"/>
  <c r="S20" i="2"/>
  <c r="S22" i="2"/>
  <c r="S25" i="2"/>
  <c r="S28" i="2"/>
  <c r="AD28" i="2" s="1"/>
  <c r="AD13" i="2" l="1"/>
  <c r="AD20" i="2"/>
  <c r="AD22" i="2"/>
  <c r="AD11" i="2"/>
  <c r="AD18" i="2"/>
  <c r="AD21" i="2"/>
  <c r="AD10" i="2"/>
  <c r="AD5" i="2"/>
  <c r="AD19" i="2"/>
  <c r="AD3" i="2"/>
  <c r="AD16" i="2"/>
  <c r="AD7" i="2"/>
  <c r="AD4" i="2"/>
  <c r="AD26" i="2"/>
  <c r="AD25" i="2"/>
  <c r="AD9" i="2"/>
  <c r="AD24" i="2"/>
  <c r="AD8" i="2"/>
  <c r="AD2" i="2"/>
  <c r="AD23" i="2"/>
  <c r="AD14" i="2"/>
  <c r="AD27" i="2"/>
  <c r="AD12" i="2"/>
  <c r="AD15" i="2"/>
  <c r="AD6" i="2"/>
  <c r="P14" i="2"/>
  <c r="AA11" i="2"/>
  <c r="Y10" i="2"/>
  <c r="Q2" i="2"/>
  <c r="P27" i="2"/>
  <c r="R12" i="2"/>
  <c r="R19" i="2"/>
  <c r="Q13" i="2"/>
  <c r="W7" i="2"/>
  <c r="P4" i="2"/>
  <c r="P7" i="2"/>
  <c r="AB24" i="2"/>
  <c r="O22" i="2"/>
  <c r="AA19" i="2"/>
  <c r="Q9" i="2"/>
  <c r="AA6" i="2"/>
  <c r="Z16" i="2"/>
  <c r="AB23" i="2"/>
  <c r="X5" i="2"/>
  <c r="AB20" i="2"/>
  <c r="X4" i="2"/>
  <c r="AB13" i="2"/>
  <c r="O3" i="2"/>
  <c r="Z22" i="2"/>
  <c r="W16" i="2"/>
  <c r="AB2" i="2"/>
  <c r="R14" i="2"/>
  <c r="W2" i="2"/>
  <c r="Y4" i="2"/>
  <c r="AB14" i="2"/>
  <c r="W11" i="2"/>
  <c r="Q26" i="2"/>
  <c r="R5" i="2"/>
  <c r="P6" i="2"/>
  <c r="P17" i="2"/>
  <c r="W19" i="2"/>
  <c r="Z21" i="2"/>
  <c r="Y2" i="2"/>
  <c r="Q11" i="2"/>
  <c r="Z12" i="2"/>
  <c r="Z28" i="2"/>
  <c r="AA22" i="2"/>
  <c r="X13" i="2"/>
  <c r="Y23" i="2"/>
  <c r="R23" i="2"/>
  <c r="Q28" i="2"/>
  <c r="AA25" i="2"/>
  <c r="R4" i="2"/>
  <c r="O10" i="2"/>
  <c r="R24" i="2"/>
  <c r="X7" i="2"/>
  <c r="Q24" i="2"/>
  <c r="AB7" i="2"/>
  <c r="O9" i="2"/>
  <c r="Q15" i="2"/>
  <c r="Y9" i="2"/>
  <c r="P2" i="2"/>
  <c r="AB9" i="2"/>
  <c r="P16" i="2"/>
  <c r="AB25" i="2"/>
  <c r="O27" i="2"/>
  <c r="Y20" i="2"/>
  <c r="AA10" i="2"/>
  <c r="O23" i="2"/>
  <c r="Y14" i="2"/>
  <c r="X18" i="2"/>
  <c r="Y16" i="2"/>
  <c r="Q21" i="2"/>
  <c r="X27" i="2"/>
  <c r="O7" i="2"/>
  <c r="Z27" i="2"/>
  <c r="AB15" i="2"/>
  <c r="W18" i="2"/>
  <c r="Y12" i="2"/>
  <c r="AA12" i="2"/>
  <c r="AB26" i="2"/>
  <c r="Y7" i="2"/>
  <c r="Z8" i="2"/>
  <c r="AB27" i="2"/>
  <c r="AA18" i="2"/>
  <c r="W25" i="2"/>
  <c r="Y3" i="2"/>
  <c r="R15" i="2"/>
  <c r="Q3" i="2"/>
  <c r="R2" i="2"/>
  <c r="X26" i="2"/>
  <c r="Z6" i="2"/>
  <c r="O6" i="2"/>
  <c r="X17" i="2"/>
  <c r="R20" i="2"/>
  <c r="O18" i="2"/>
  <c r="AB18" i="2"/>
  <c r="O5" i="2"/>
  <c r="O8" i="2"/>
  <c r="Z18" i="2"/>
  <c r="W23" i="2"/>
  <c r="AB3" i="2"/>
  <c r="AB10" i="2"/>
  <c r="X23" i="2"/>
  <c r="O24" i="2"/>
  <c r="P19" i="2"/>
  <c r="W8" i="2"/>
  <c r="Z13" i="2"/>
  <c r="Z23" i="2"/>
  <c r="W22" i="2"/>
  <c r="O14" i="2"/>
  <c r="W28" i="2"/>
  <c r="Y13" i="2"/>
  <c r="O19" i="2"/>
  <c r="Z9" i="2"/>
  <c r="Q18" i="2"/>
  <c r="P18" i="2"/>
  <c r="O11" i="2"/>
  <c r="AA26" i="2"/>
  <c r="P15" i="2"/>
  <c r="Z17" i="2"/>
  <c r="AA4" i="2"/>
  <c r="AB28" i="2"/>
  <c r="AA24" i="2"/>
  <c r="Z11" i="2"/>
  <c r="Y24" i="2"/>
  <c r="AB12" i="2"/>
  <c r="X24" i="2"/>
  <c r="W10" i="2"/>
  <c r="R10" i="2"/>
  <c r="O12" i="2"/>
  <c r="Z19" i="2"/>
  <c r="Y28" i="2"/>
  <c r="AA8" i="2"/>
  <c r="AB6" i="2"/>
  <c r="AA9" i="2"/>
  <c r="X14" i="2"/>
  <c r="Y6" i="2"/>
  <c r="Q4" i="2"/>
  <c r="AA7" i="2"/>
  <c r="Y5" i="2"/>
  <c r="O13" i="2"/>
  <c r="R3" i="2"/>
  <c r="Q17" i="2"/>
  <c r="P10" i="2"/>
  <c r="Z10" i="2"/>
  <c r="Q25" i="2"/>
  <c r="X11" i="2"/>
  <c r="P26" i="2"/>
  <c r="AB11" i="2"/>
  <c r="R9" i="2"/>
  <c r="W17" i="2"/>
  <c r="W3" i="2"/>
  <c r="AB17" i="2"/>
  <c r="X19" i="2"/>
  <c r="W4" i="2"/>
  <c r="P20" i="2"/>
  <c r="AB19" i="2"/>
  <c r="O25" i="2"/>
  <c r="Z15" i="2"/>
  <c r="W21" i="2"/>
  <c r="AB5" i="2"/>
  <c r="W27" i="2"/>
  <c r="P12" i="2"/>
  <c r="Z2" i="2"/>
  <c r="X28" i="2"/>
  <c r="Q14" i="2"/>
  <c r="R28" i="2"/>
  <c r="P21" i="2"/>
  <c r="W15" i="2"/>
  <c r="R16" i="2"/>
  <c r="Z14" i="2"/>
  <c r="R22" i="2"/>
  <c r="P25" i="2"/>
  <c r="Z26" i="2"/>
  <c r="Q22" i="2"/>
  <c r="R27" i="2"/>
  <c r="W26" i="2"/>
  <c r="AA17" i="2"/>
  <c r="Z25" i="2"/>
  <c r="P13" i="2"/>
  <c r="P11" i="2"/>
  <c r="AB4" i="2"/>
  <c r="Q27" i="2"/>
  <c r="Y17" i="2"/>
  <c r="X10" i="2"/>
  <c r="Y8" i="2"/>
  <c r="Q23" i="2"/>
  <c r="P9" i="2"/>
  <c r="AB22" i="2"/>
  <c r="Q8" i="2"/>
  <c r="AA15" i="2"/>
  <c r="AA21" i="2"/>
  <c r="R18" i="2"/>
  <c r="W24" i="2"/>
  <c r="X22" i="2"/>
  <c r="R8" i="2"/>
  <c r="Z7" i="2"/>
  <c r="P24" i="2"/>
  <c r="W20" i="2"/>
  <c r="Z24" i="2"/>
  <c r="Y18" i="2"/>
  <c r="Y11" i="2"/>
  <c r="W13" i="2"/>
  <c r="Y26" i="2"/>
  <c r="O17" i="2"/>
  <c r="Q10" i="2"/>
  <c r="X20" i="2"/>
  <c r="P28" i="2"/>
  <c r="R11" i="2"/>
  <c r="AA16" i="2"/>
  <c r="Z5" i="2"/>
  <c r="X25" i="2"/>
  <c r="AA23" i="2"/>
  <c r="Z3" i="2"/>
  <c r="AA5" i="2"/>
  <c r="O20" i="2"/>
  <c r="P22" i="2"/>
  <c r="Q19" i="2"/>
  <c r="R25" i="2"/>
  <c r="Q7" i="2"/>
  <c r="Y21" i="2"/>
  <c r="O16" i="2"/>
  <c r="Q5" i="2"/>
  <c r="AA14" i="2"/>
  <c r="AB16" i="2"/>
  <c r="X16" i="2"/>
  <c r="R6" i="2"/>
  <c r="AB21" i="2"/>
  <c r="W5" i="2"/>
  <c r="X15" i="2"/>
  <c r="R7" i="2"/>
  <c r="X12" i="2"/>
  <c r="R13" i="2"/>
  <c r="W12" i="2"/>
  <c r="Z4" i="2"/>
  <c r="Z20" i="2"/>
  <c r="O26" i="2"/>
  <c r="AA2" i="2"/>
  <c r="P3" i="2"/>
  <c r="O21" i="2"/>
  <c r="R26" i="2"/>
  <c r="P5" i="2"/>
  <c r="Q12" i="2"/>
  <c r="P8" i="2"/>
  <c r="P23" i="2"/>
  <c r="Y22" i="2"/>
  <c r="AA28" i="2"/>
  <c r="O15" i="2"/>
  <c r="Y27" i="2"/>
  <c r="R17" i="2"/>
  <c r="AA27" i="2"/>
  <c r="X9" i="2"/>
  <c r="X2" i="2"/>
  <c r="Q16" i="2"/>
  <c r="Y19" i="2"/>
  <c r="AB8" i="2"/>
  <c r="X21" i="2"/>
  <c r="Y25" i="2"/>
  <c r="W6" i="2"/>
  <c r="AA3" i="2"/>
  <c r="Q6" i="2"/>
  <c r="X6" i="2"/>
  <c r="X3" i="2"/>
  <c r="AA13" i="2"/>
  <c r="W9" i="2"/>
  <c r="Y15" i="2"/>
  <c r="O4" i="2"/>
  <c r="O2" i="2"/>
  <c r="AA20" i="2"/>
  <c r="R21" i="2"/>
  <c r="X8" i="2"/>
  <c r="O28" i="2"/>
  <c r="W14" i="2"/>
  <c r="Q20" i="2"/>
</calcChain>
</file>

<file path=xl/sharedStrings.xml><?xml version="1.0" encoding="utf-8"?>
<sst xmlns="http://schemas.openxmlformats.org/spreadsheetml/2006/main" count="1864" uniqueCount="766">
  <si>
    <t>번호</t>
  </si>
  <si>
    <t>아이디</t>
  </si>
  <si>
    <t>비밀번호</t>
  </si>
  <si>
    <t>이름</t>
  </si>
  <si>
    <t>생년월일</t>
  </si>
  <si>
    <t>2차 비밀번호</t>
  </si>
  <si>
    <t>주소</t>
  </si>
  <si>
    <t>휴대폰번호</t>
  </si>
  <si>
    <t>계좌번호</t>
  </si>
  <si>
    <t xml:space="preserve">  잔고  </t>
  </si>
  <si>
    <t>user01</t>
  </si>
  <si>
    <t>user0101!</t>
  </si>
  <si>
    <t>강강추</t>
  </si>
  <si>
    <t>충청북도 청주시 강추군 강강추로1길</t>
  </si>
  <si>
    <t>010-5213-4166</t>
  </si>
  <si>
    <t>352-1194-2322-33</t>
  </si>
  <si>
    <t>user02</t>
  </si>
  <si>
    <t>user0202!</t>
  </si>
  <si>
    <t>김강추</t>
  </si>
  <si>
    <t>충북 영동군 상촌면 민주지산로 2990-1</t>
  </si>
  <si>
    <t>010-3333-5030</t>
  </si>
  <si>
    <t>322-2832-1821-42</t>
  </si>
  <si>
    <t>user03</t>
  </si>
  <si>
    <t>user0303!</t>
  </si>
  <si>
    <t>감강추</t>
  </si>
  <si>
    <t>충북 영동군 영동읍 계산로3길 9-22</t>
  </si>
  <si>
    <t>010-3466-1130</t>
  </si>
  <si>
    <t>341-4252-6227-25</t>
  </si>
  <si>
    <t>user04</t>
  </si>
  <si>
    <t>user0404!</t>
  </si>
  <si>
    <t>이석준</t>
  </si>
  <si>
    <t>충북 영동군 심천면 옥계폭포길 144</t>
  </si>
  <si>
    <t>010-8354-9680</t>
  </si>
  <si>
    <t>332-6011-8447-16</t>
  </si>
  <si>
    <t>user05</t>
  </si>
  <si>
    <t>user0505!</t>
  </si>
  <si>
    <t>강예준</t>
  </si>
  <si>
    <t>충북 영동군 황간면 남성2길 5</t>
  </si>
  <si>
    <t>010-3539-4843</t>
  </si>
  <si>
    <t>722-6629-4735-98</t>
  </si>
  <si>
    <t>user06</t>
  </si>
  <si>
    <t>user0606!</t>
  </si>
  <si>
    <t>이도윤</t>
  </si>
  <si>
    <t>충북 영동군 상촌면 민주지산로 3023</t>
  </si>
  <si>
    <t>010-7004-7056</t>
  </si>
  <si>
    <t>978-9587-6101-14</t>
  </si>
  <si>
    <t>user07</t>
  </si>
  <si>
    <t>user0707!</t>
  </si>
  <si>
    <t>이시우</t>
  </si>
  <si>
    <t>충북 영동군 영동읍 영동천2길 61</t>
  </si>
  <si>
    <t>010-7333-6844</t>
  </si>
  <si>
    <t>385-9060-3453-33</t>
  </si>
  <si>
    <t>user08</t>
  </si>
  <si>
    <t>user0808!</t>
  </si>
  <si>
    <t>최주원</t>
  </si>
  <si>
    <t>충북 영동군 영동읍 중앙로6길 14-2</t>
  </si>
  <si>
    <t>010-4941-1914</t>
  </si>
  <si>
    <t>757-6292-9320-88</t>
  </si>
  <si>
    <t>user09</t>
  </si>
  <si>
    <t>user0909!</t>
  </si>
  <si>
    <t>김하준</t>
  </si>
  <si>
    <t>충북 영동군 영동읍 중앙로3길 9</t>
  </si>
  <si>
    <t>010-1965-9115</t>
  </si>
  <si>
    <t>974-7704-9329-82</t>
  </si>
  <si>
    <t>user10</t>
  </si>
  <si>
    <t>user1010!</t>
  </si>
  <si>
    <t>김지호</t>
  </si>
  <si>
    <t>충북 영동군 영동읍 난계로 1108</t>
  </si>
  <si>
    <t>010-4711-2706</t>
  </si>
  <si>
    <t>393-1754-8216-13</t>
  </si>
  <si>
    <t>user11</t>
  </si>
  <si>
    <t>user1111!</t>
  </si>
  <si>
    <t>이지후</t>
  </si>
  <si>
    <t>충북 영동군 영동읍 영동황간로 478</t>
  </si>
  <si>
    <t>010-1610-6931</t>
  </si>
  <si>
    <t>334-3767-4066-78</t>
  </si>
  <si>
    <t>user12</t>
  </si>
  <si>
    <t>user1212!</t>
  </si>
  <si>
    <t>이준서</t>
  </si>
  <si>
    <t>충북 영동군 영동읍 홍산로 57</t>
  </si>
  <si>
    <t>010-4244-7993</t>
  </si>
  <si>
    <t>768-8913-5359-57</t>
  </si>
  <si>
    <t>user13</t>
  </si>
  <si>
    <t>user1313!</t>
  </si>
  <si>
    <t>박준이</t>
  </si>
  <si>
    <t>충북 영동군 영동읍 기정로 2안길 28</t>
  </si>
  <si>
    <t>010-3501-4853</t>
  </si>
  <si>
    <t>925-1034-4109-99</t>
  </si>
  <si>
    <t>user14</t>
  </si>
  <si>
    <t>user1414!</t>
  </si>
  <si>
    <t>박준우</t>
  </si>
  <si>
    <t>경북 청도군 청도읍 한재로 382</t>
  </si>
  <si>
    <t>010-1836-1311</t>
  </si>
  <si>
    <t>345-4597-6745-54</t>
  </si>
  <si>
    <t>user15</t>
  </si>
  <si>
    <t>user1515!</t>
  </si>
  <si>
    <t>박현우</t>
  </si>
  <si>
    <t>충북 영동군 양강면 시안1길 5</t>
  </si>
  <si>
    <t>010-9596-4123</t>
  </si>
  <si>
    <t>357-8036-3099-97</t>
  </si>
  <si>
    <t>user16</t>
  </si>
  <si>
    <t>user1616!</t>
  </si>
  <si>
    <t>강현우</t>
  </si>
  <si>
    <t>충북 영동군 황간면 하포발3길 2-1</t>
  </si>
  <si>
    <t>010-1617-2381</t>
  </si>
  <si>
    <t>796-5190-4893-31</t>
  </si>
  <si>
    <t>user17</t>
  </si>
  <si>
    <t>user1717!</t>
  </si>
  <si>
    <t>이도현</t>
  </si>
  <si>
    <t>충북 영동군 용산면 구촌1길 1</t>
  </si>
  <si>
    <t>010-8974-6577</t>
  </si>
  <si>
    <t>973-6867-5147-23</t>
  </si>
  <si>
    <t>user18</t>
  </si>
  <si>
    <t>user1818!</t>
  </si>
  <si>
    <t>이지훈</t>
  </si>
  <si>
    <t>충북 영동군 영동읍 계산로4길 11-9</t>
  </si>
  <si>
    <t>010-4243-6848</t>
  </si>
  <si>
    <t>361-6239-6771-74</t>
  </si>
  <si>
    <t>user19</t>
  </si>
  <si>
    <t>user1919!</t>
  </si>
  <si>
    <t>노서연</t>
  </si>
  <si>
    <t>충북 영동군 영동읍 중앙로2길 6-8</t>
  </si>
  <si>
    <t>010-1809-3747</t>
  </si>
  <si>
    <t>375-9870-7786-58</t>
  </si>
  <si>
    <t>user20</t>
  </si>
  <si>
    <t>user2020!</t>
  </si>
  <si>
    <t>최서윤</t>
  </si>
  <si>
    <t>강원도 삼척시 새천년도로 607 (갈천동)</t>
  </si>
  <si>
    <t>010-2849-2248</t>
  </si>
  <si>
    <t>756-8530-4608-45</t>
  </si>
  <si>
    <t>user21</t>
  </si>
  <si>
    <t>user2121!</t>
  </si>
  <si>
    <t>문서윤</t>
  </si>
  <si>
    <t>강원도 삼척시 중앙시장길 48-55 (남양동) 2층</t>
  </si>
  <si>
    <t>010-7171-9352</t>
  </si>
  <si>
    <t>929-4063-3868-55</t>
  </si>
  <si>
    <t>user22</t>
  </si>
  <si>
    <t>user2222!</t>
  </si>
  <si>
    <t>민지우</t>
  </si>
  <si>
    <t>충청북도 청주 청원구 오창읍 중심상업1로 50</t>
  </si>
  <si>
    <t>010-4950-6111</t>
  </si>
  <si>
    <t>367-9321-8465-58</t>
  </si>
  <si>
    <t>user23</t>
  </si>
  <si>
    <t>user2323!</t>
  </si>
  <si>
    <t>박민서</t>
  </si>
  <si>
    <t>강원도 삼척시 청석로 1길 10-29 (교동)</t>
  </si>
  <si>
    <t>010-6422-8609</t>
  </si>
  <si>
    <t>742-3245-6777-81</t>
  </si>
  <si>
    <t>user24</t>
  </si>
  <si>
    <t>user2424!</t>
  </si>
  <si>
    <t>이하은</t>
  </si>
  <si>
    <t>충청북도 청주 흥덕구 가경동 1455-5</t>
  </si>
  <si>
    <t>010-2646-5413</t>
  </si>
  <si>
    <t>997-5447-9620-11</t>
  </si>
  <si>
    <t>user25</t>
  </si>
  <si>
    <t>user2525!</t>
  </si>
  <si>
    <t>최지유</t>
  </si>
  <si>
    <t>충청북도 청주 상당로59번길 37-2</t>
  </si>
  <si>
    <t>010-3032-4308</t>
  </si>
  <si>
    <t>366-6150-8195-42</t>
  </si>
  <si>
    <t>user26</t>
  </si>
  <si>
    <t>user2626!</t>
  </si>
  <si>
    <t>최지민</t>
  </si>
  <si>
    <t>충청북도 청주 서문동 65-2</t>
  </si>
  <si>
    <t>010-7921-7854</t>
  </si>
  <si>
    <t>727-4840-1873-72</t>
  </si>
  <si>
    <t>user27</t>
  </si>
  <si>
    <t>user2727!</t>
  </si>
  <si>
    <t>이채원</t>
  </si>
  <si>
    <t>충청북도 청주 성내로118번길 1</t>
  </si>
  <si>
    <t>010-4033-5556</t>
  </si>
  <si>
    <t>936-2290-8624-49</t>
  </si>
  <si>
    <t>user28</t>
  </si>
  <si>
    <t>user2828!</t>
  </si>
  <si>
    <t>박은서</t>
  </si>
  <si>
    <t>충청북도 청주시 흥덕구 가경동 666</t>
  </si>
  <si>
    <t>010-7293-9504</t>
  </si>
  <si>
    <t>777-6389-6356-29</t>
  </si>
  <si>
    <t>user29</t>
  </si>
  <si>
    <t>user2929!</t>
  </si>
  <si>
    <t>홍수아</t>
  </si>
  <si>
    <t>충청북도 청주 용정동 407</t>
  </si>
  <si>
    <t>010-7958-4573</t>
  </si>
  <si>
    <t>912-5362-8400-40</t>
  </si>
  <si>
    <t>user30</t>
  </si>
  <si>
    <t>user3030!</t>
  </si>
  <si>
    <t>최서영</t>
  </si>
  <si>
    <t>010-6851-8468</t>
  </si>
  <si>
    <t>778-5257-5904-20</t>
  </si>
  <si>
    <t>user31</t>
  </si>
  <si>
    <t>user3131!</t>
  </si>
  <si>
    <t>박민지</t>
  </si>
  <si>
    <t>강원도 삼척시 원당로 2길 69(원당동)</t>
  </si>
  <si>
    <t>010-4246-3803</t>
  </si>
  <si>
    <t>990-1478-5088-69</t>
  </si>
  <si>
    <t>user32</t>
  </si>
  <si>
    <t>user3232!</t>
  </si>
  <si>
    <t>최예진</t>
  </si>
  <si>
    <t>충청북도 청주 사운로 233</t>
  </si>
  <si>
    <t>010-2585-2945</t>
  </si>
  <si>
    <t>366-8225-8987-92</t>
  </si>
  <si>
    <t>user33</t>
  </si>
  <si>
    <t>user3333!</t>
  </si>
  <si>
    <t>최가은</t>
  </si>
  <si>
    <t>충청북도 청주 대농로 43</t>
  </si>
  <si>
    <t>010-9941-2802</t>
  </si>
  <si>
    <t>726-2721-8040-22</t>
  </si>
  <si>
    <t>user34</t>
  </si>
  <si>
    <t>user3434!</t>
  </si>
  <si>
    <t>전유나</t>
  </si>
  <si>
    <t>010-3994-6586</t>
  </si>
  <si>
    <t>993-1926-9908-71</t>
  </si>
  <si>
    <t>user35</t>
  </si>
  <si>
    <t>user3535!</t>
  </si>
  <si>
    <t>전시은</t>
  </si>
  <si>
    <t>충청북도 청주 우암로 71-1</t>
  </si>
  <si>
    <t>010-1704-6877</t>
  </si>
  <si>
    <t>364-4162-6207-46</t>
  </si>
  <si>
    <t>user36</t>
  </si>
  <si>
    <t>user3636!</t>
  </si>
  <si>
    <t>이하린</t>
  </si>
  <si>
    <t>충청북도 청주 풍산로 15 Sachang-dong</t>
  </si>
  <si>
    <t>010-7933-8305</t>
  </si>
  <si>
    <t>756-5480-7149-24</t>
  </si>
  <si>
    <t>user37</t>
  </si>
  <si>
    <t>user3737!</t>
  </si>
  <si>
    <t>김은우</t>
  </si>
  <si>
    <t>충청북도 청주 대신로 76</t>
  </si>
  <si>
    <t>010-7076-2808</t>
  </si>
  <si>
    <t>999-5457-3430-92</t>
  </si>
  <si>
    <t>user38</t>
  </si>
  <si>
    <t>user3838!</t>
  </si>
  <si>
    <t>김준혁</t>
  </si>
  <si>
    <t>충청북도 청주 수암로36번길 21-4</t>
  </si>
  <si>
    <t>010-4726-8061</t>
  </si>
  <si>
    <t>339-3762-6396-54</t>
  </si>
  <si>
    <t>user39</t>
  </si>
  <si>
    <t>user3939!</t>
  </si>
  <si>
    <t>송유찬</t>
  </si>
  <si>
    <t>강원도 삼척시 새천년도로 55 정하동</t>
  </si>
  <si>
    <t>010-9244-9038</t>
  </si>
  <si>
    <t>770-9014-8303-76</t>
  </si>
  <si>
    <t>user40</t>
  </si>
  <si>
    <t>user4040!</t>
  </si>
  <si>
    <t>오민성</t>
  </si>
  <si>
    <t>강원도 삼척시 중앙시장2길 22-45 (남양동)</t>
  </si>
  <si>
    <t>010-6059-2655</t>
  </si>
  <si>
    <t>988-6703-4692-47</t>
  </si>
  <si>
    <t>내용</t>
  </si>
  <si>
    <t>타입</t>
  </si>
  <si>
    <t>카드 혜택</t>
  </si>
  <si>
    <t>할부이자</t>
  </si>
  <si>
    <t>해외 제휴 브랜드</t>
  </si>
  <si>
    <t>제휴 등급</t>
  </si>
  <si>
    <t xml:space="preserve"> 연회비 </t>
  </si>
  <si>
    <t>Chase Freedom Unlimited™</t>
  </si>
  <si>
    <t>모든 구매에 대해서 3% 캐시백 및 1% 포인트 적립</t>
  </si>
  <si>
    <t>할인/적립</t>
  </si>
  <si>
    <t>1,2</t>
  </si>
  <si>
    <t>1,2,3</t>
  </si>
  <si>
    <t>Chase Freedom Flex™</t>
  </si>
  <si>
    <t>모든 구매에 대해서 2% 캐시백 및 1% 포인트 적립</t>
  </si>
  <si>
    <t>3,4</t>
  </si>
  <si>
    <t>Chase Freedom Student</t>
  </si>
  <si>
    <t>5,6</t>
  </si>
  <si>
    <t>Chase Sapphire Preferred</t>
  </si>
  <si>
    <t>외식, 여행 및 포인트 적립 서비스</t>
  </si>
  <si>
    <t>적립</t>
  </si>
  <si>
    <t>1,3,5</t>
  </si>
  <si>
    <t>Chase Sapphire Reserve</t>
  </si>
  <si>
    <t>프리미엄 수준의 여행 및 외식 리워드 제공</t>
  </si>
  <si>
    <t>8,9</t>
  </si>
  <si>
    <t>1,2,4,5</t>
  </si>
  <si>
    <t>Southwest Rapid Rewards Priority</t>
  </si>
  <si>
    <t>여행에 사용한 금액 0.3% 추가 적립 제공</t>
  </si>
  <si>
    <t>7,10</t>
  </si>
  <si>
    <t>1,6</t>
  </si>
  <si>
    <t>Southwest Rapid Rewards Plus</t>
  </si>
  <si>
    <t>여행에 사용한 금액 0.1% 추가 적립 제공</t>
  </si>
  <si>
    <t>7,11</t>
  </si>
  <si>
    <t>Southwest Rapid Rewards Premier</t>
  </si>
  <si>
    <t>여행에 사용한 금액 0.2% 추가 적립 제공</t>
  </si>
  <si>
    <t>7,12</t>
  </si>
  <si>
    <t>United Club Infinite</t>
  </si>
  <si>
    <t>프리미엄 여행 혜택, 여행 사용시 최대 5% 할인 제공</t>
  </si>
  <si>
    <t>할인</t>
  </si>
  <si>
    <t>United Gateway Mileage Plus</t>
  </si>
  <si>
    <t>여행을 시작하는 당신에게, 여행에 사용한 금액 0.1% 적립</t>
  </si>
  <si>
    <t>1,2,3,4</t>
  </si>
  <si>
    <t>UNITED™ EXPLORER</t>
  </si>
  <si>
    <t>호텔, 여행에 최대 3% 할인 제공</t>
  </si>
  <si>
    <t>1,4,5</t>
  </si>
  <si>
    <t>British Airways Visa Signature®</t>
  </si>
  <si>
    <t>호텔 숙박과 여행에 대한 3% 할인, 1% 적립 제공</t>
  </si>
  <si>
    <t>16,17,18,19</t>
  </si>
  <si>
    <t>Aer Lingus Visa Signature®</t>
  </si>
  <si>
    <t>lberia Visa Signature®</t>
  </si>
  <si>
    <t>쇼핑과 여행에 대한 3% 할인, 1% 적립 제공</t>
  </si>
  <si>
    <t>16,17</t>
  </si>
  <si>
    <t>Marriott Bonvoy Boundless™</t>
  </si>
  <si>
    <t>호텔 숙박 최대 10% 적립</t>
  </si>
  <si>
    <t>1,2,4</t>
  </si>
  <si>
    <t>Marriott Bonvoy Bold™</t>
  </si>
  <si>
    <t>호텔 숙박 최대 1% 할인</t>
  </si>
  <si>
    <t>1,3,5,6</t>
  </si>
  <si>
    <t xml:space="preserve">World of Hyatt </t>
  </si>
  <si>
    <t>세계 럭셔리 호텔 5% 할인 제공</t>
  </si>
  <si>
    <t>1,2,3,6</t>
  </si>
  <si>
    <t>Disney Premier Visa</t>
  </si>
  <si>
    <t>디즈니 세계 여행, 최대 1% 청구 할인</t>
  </si>
  <si>
    <t>Disney Visa</t>
  </si>
  <si>
    <t>디즈니 세계 여행, 숙박 청구 1% 할인</t>
  </si>
  <si>
    <t>IHG Rewards Club Premier</t>
  </si>
  <si>
    <t>IHG 프리미엄 클럽, 숙박 3% 청구 할인</t>
  </si>
  <si>
    <t>IHG Rewards Club Traveler</t>
  </si>
  <si>
    <t>IHG 여행 클럽, 여행과 숙박 청구 1% 할인</t>
  </si>
  <si>
    <t>Starbucks Rewards Visa</t>
  </si>
  <si>
    <t>스타벅스 리워드, 1% 적립 및 청구 할인</t>
  </si>
  <si>
    <t>23,24</t>
  </si>
  <si>
    <t>Amazon Prime Rewards Visa Signature</t>
  </si>
  <si>
    <t>모든 쇼핑에 대한 5% 할인 제공 및 연회비 없음</t>
  </si>
  <si>
    <t>Ink Business Unlimited</t>
  </si>
  <si>
    <t>모든 항목 1.5% 캐시백</t>
  </si>
  <si>
    <t>Ink Business Cash</t>
  </si>
  <si>
    <t>모든 항목 1.5% 적립</t>
  </si>
  <si>
    <t>Ink Business Preferred</t>
  </si>
  <si>
    <t>비즈니스 클럽, 적립 1%</t>
  </si>
  <si>
    <t>1,2,3,4,5</t>
  </si>
  <si>
    <t>Southwest Rapid Rewards Business</t>
  </si>
  <si>
    <t>모든 항목 4% 적립, 교통, 외식 20% 청구 할인</t>
  </si>
  <si>
    <t>29,30,31</t>
  </si>
  <si>
    <t>2,3,4</t>
  </si>
  <si>
    <t>항목</t>
  </si>
  <si>
    <t>적용 카테고리</t>
  </si>
  <si>
    <t>비율</t>
  </si>
  <si>
    <t xml:space="preserve">  전월실적  </t>
  </si>
  <si>
    <t>등급1</t>
  </si>
  <si>
    <t>등급2</t>
  </si>
  <si>
    <t>등급3</t>
  </si>
  <si>
    <t>등급4</t>
  </si>
  <si>
    <t>등급5</t>
  </si>
  <si>
    <t>외식, 여행, 쇼핑, 교통 모두 구매당 3% 할인</t>
  </si>
  <si>
    <t>외식,여행,쇼핑,교통</t>
  </si>
  <si>
    <t>VISA</t>
  </si>
  <si>
    <t>1250000/0.2%</t>
  </si>
  <si>
    <t>150000/0.4%</t>
  </si>
  <si>
    <t>50000/0.6%</t>
  </si>
  <si>
    <t>15000/0.8%</t>
  </si>
  <si>
    <t>5000/1%</t>
  </si>
  <si>
    <t>외식, 여행, 쇼핑, 교통 모두 구매당 1% 포인트 적립</t>
  </si>
  <si>
    <t>MASTERCARD</t>
  </si>
  <si>
    <t>300000/0.1%</t>
  </si>
  <si>
    <t>2000000/0.3%</t>
  </si>
  <si>
    <t>35000/1.2%</t>
  </si>
  <si>
    <t>15000/1.5%</t>
  </si>
  <si>
    <t>외식, 여행, 쇼핑, 교통 모두 구매당 2% 할인</t>
  </si>
  <si>
    <t>UNION</t>
  </si>
  <si>
    <t>750000/0.1%</t>
  </si>
  <si>
    <t>250000/0.1%</t>
  </si>
  <si>
    <t>75000/0.2%</t>
  </si>
  <si>
    <t>35000/0.3%</t>
  </si>
  <si>
    <t>25000/5%</t>
  </si>
  <si>
    <t>DISCOVERY</t>
  </si>
  <si>
    <t>500000/0.1%</t>
  </si>
  <si>
    <t>350000/0.2%</t>
  </si>
  <si>
    <t>150000/0.5%</t>
  </si>
  <si>
    <t>75000/1%</t>
  </si>
  <si>
    <t>35000/2%</t>
  </si>
  <si>
    <t>BC카드</t>
  </si>
  <si>
    <t>200000/0.1%</t>
  </si>
  <si>
    <t>120000/0.2%</t>
  </si>
  <si>
    <t>40000/0.3%</t>
  </si>
  <si>
    <t>2000/0.4%</t>
  </si>
  <si>
    <t>국내전용</t>
  </si>
  <si>
    <t>0/0%</t>
  </si>
  <si>
    <t>외식, 여행 포인트 적립 최대 1%</t>
  </si>
  <si>
    <t>외식,여행</t>
  </si>
  <si>
    <t>프리미엄 여행 리워드 5% 청구 할인</t>
  </si>
  <si>
    <t>여행</t>
  </si>
  <si>
    <t>프리미엄 외식 리워드 15% 적립</t>
  </si>
  <si>
    <t>외식</t>
  </si>
  <si>
    <t>여행 부문 추가 0.3% 적립 (전월실적 제한 없음)</t>
  </si>
  <si>
    <t>여행 부문 추가 0.1% 적립 (전월실적 제한 없음)</t>
  </si>
  <si>
    <t>여행 부문 추가 0.2% 적립 (전월실적 제한 없음)</t>
  </si>
  <si>
    <t>여행부문 최대 5% 할인 제공</t>
  </si>
  <si>
    <t>모든 여행 부분 0.1% 적립</t>
  </si>
  <si>
    <t>모든 여행, 최대 3% 할인 혜택</t>
  </si>
  <si>
    <t>모든 쇼핑, 3% 할인</t>
  </si>
  <si>
    <t>쇼핑</t>
  </si>
  <si>
    <t>전세계 어디서든 모든 쇼핑 1% 적립</t>
  </si>
  <si>
    <t>모든 여행 3% 할인</t>
  </si>
  <si>
    <t>전세계 모든 여행 숙박지 1% 적립</t>
  </si>
  <si>
    <t>하얏트 호텔 숙박 최대 10% 적립</t>
  </si>
  <si>
    <t>모든 호텔 숙박 1% 할인</t>
  </si>
  <si>
    <t>모든 여행, 1% 청구 할인</t>
  </si>
  <si>
    <t>모든 외식부문 1% 할인</t>
  </si>
  <si>
    <t>모든 외식부문 1% 적립</t>
  </si>
  <si>
    <t>내가 사고싶은건 모두 다, 쇼핑부문 5% 할인 혜택</t>
  </si>
  <si>
    <t>모든 부문 1.5% 캐시백 서비스</t>
  </si>
  <si>
    <t>모든 부문 1.5% 적립</t>
  </si>
  <si>
    <t>비즈니스 서비스 1% 적립</t>
  </si>
  <si>
    <t>모든 항목 4% 적립</t>
  </si>
  <si>
    <t>교통 20% 청구 할인</t>
  </si>
  <si>
    <t>교통</t>
  </si>
  <si>
    <t>외식 20% 청구 할인</t>
  </si>
  <si>
    <t>카드번호</t>
  </si>
  <si>
    <t>카드타입</t>
  </si>
  <si>
    <t>해외 결제 브랜드</t>
  </si>
  <si>
    <t>회원번호</t>
  </si>
  <si>
    <t xml:space="preserve"> 카드포인트 </t>
  </si>
  <si>
    <t>카테고리</t>
  </si>
  <si>
    <t>판매처</t>
  </si>
  <si>
    <t>연락처</t>
  </si>
  <si>
    <t>가격</t>
  </si>
  <si>
    <t>해외배송</t>
  </si>
  <si>
    <t>상미종 생 식빵</t>
  </si>
  <si>
    <t>PARIS BAGUETTE</t>
  </si>
  <si>
    <t>811-922-8911</t>
  </si>
  <si>
    <t>돌돌말린 소시지 도넛</t>
  </si>
  <si>
    <t>초코가 달콤한시간</t>
  </si>
  <si>
    <t>건강한곡물롤</t>
  </si>
  <si>
    <t>마이넘버원3</t>
  </si>
  <si>
    <t>BASKIN ROBINS</t>
  </si>
  <si>
    <t>801-533-5457</t>
  </si>
  <si>
    <t>실키롤케익</t>
  </si>
  <si>
    <t>TOUS LES JOURS</t>
  </si>
  <si>
    <t>646-880-1999</t>
  </si>
  <si>
    <t>우리벌꿀 카스텔라</t>
  </si>
  <si>
    <t>슈크림빵</t>
  </si>
  <si>
    <t>Lays Classic 10EA</t>
  </si>
  <si>
    <t>PEPSI CORP.</t>
  </si>
  <si>
    <t>877-222-3351</t>
  </si>
  <si>
    <t>쉬림프골드</t>
  </si>
  <si>
    <t>DOMINO'S PIZZA</t>
  </si>
  <si>
    <t>392-533-1832</t>
  </si>
  <si>
    <t>치즈블라썸스테이크</t>
  </si>
  <si>
    <t>리치골드 블랙알리오</t>
  </si>
  <si>
    <t>상하이 쉬림프 파스타</t>
  </si>
  <si>
    <t>OUTBACK</t>
  </si>
  <si>
    <t>333-222-1111</t>
  </si>
  <si>
    <t>얼티밋 치즈포켓</t>
  </si>
  <si>
    <t>BLOOMIN'S BRANDS</t>
  </si>
  <si>
    <t>823-735-6211</t>
  </si>
  <si>
    <t>갈릭버터쉬림프</t>
  </si>
  <si>
    <t>리치골드 티본</t>
  </si>
  <si>
    <t>티본 스테이크</t>
  </si>
  <si>
    <t>CJ FOOD</t>
  </si>
  <si>
    <t>573-289-0185</t>
  </si>
  <si>
    <t>직화불고기 리치골드</t>
  </si>
  <si>
    <t>메가크런치 피자</t>
  </si>
  <si>
    <t>체리 쥬빌레 레드</t>
  </si>
  <si>
    <t>고추 바사삭</t>
  </si>
  <si>
    <t>GOOBNE</t>
  </si>
  <si>
    <t>792-183-3824</t>
  </si>
  <si>
    <t>갈비천왕</t>
  </si>
  <si>
    <t>립 아이 스테이크</t>
  </si>
  <si>
    <t>유나이티드 ICN - LAX 구간 이코노미</t>
  </si>
  <si>
    <t>UNITED AIRLINE</t>
  </si>
  <si>
    <t>800-864-8331</t>
  </si>
  <si>
    <t>유나이티드 LAX - ICN 구간 이코노미</t>
  </si>
  <si>
    <t>케세이 퍼시픽 ICN - DTW 구간 퍼스트 클래스</t>
  </si>
  <si>
    <t>CATHAY PACIFIC AIRWAYS</t>
  </si>
  <si>
    <t>855-781-7104</t>
  </si>
  <si>
    <t>British Airways ICN - LAX 구간 비즈니스</t>
  </si>
  <si>
    <t>BRITISH AIRWAYS</t>
  </si>
  <si>
    <t>800-727-8000</t>
  </si>
  <si>
    <t>Air Canada RKSI - RKPC 구간 비즈니스</t>
  </si>
  <si>
    <t>AIR CANADA</t>
  </si>
  <si>
    <t>783-711-8302</t>
  </si>
  <si>
    <t>Air Canada RKSI - RKTU 구간 비즈니스</t>
  </si>
  <si>
    <t>Peach Air ICN - NRT 구간 이코노미</t>
  </si>
  <si>
    <t>PEACH AIR</t>
  </si>
  <si>
    <t>235-837-1832</t>
  </si>
  <si>
    <t>ANA All Nippon Airways ICN - HND 구간 이코노미</t>
  </si>
  <si>
    <t>ANA ALL NIPPON AIRWAYS</t>
  </si>
  <si>
    <t>ANA All Nippon Airways CJU - NRT 구간 비즈니스</t>
  </si>
  <si>
    <t>ASIANA ICN - JFK 구간 비즈니스</t>
  </si>
  <si>
    <t>ASIANA AIRLINE</t>
  </si>
  <si>
    <t>719-382-3855</t>
  </si>
  <si>
    <t xml:space="preserve">신라 스테이 서대문 </t>
  </si>
  <si>
    <t>SHILLA HOTEL</t>
  </si>
  <si>
    <t>333-543-3857</t>
  </si>
  <si>
    <t>서울 신라호텔</t>
  </si>
  <si>
    <t>웨스턴 코업 호텔 레지던스 동대문</t>
  </si>
  <si>
    <t>WESTON</t>
  </si>
  <si>
    <t>252-381-3852</t>
  </si>
  <si>
    <t>뉴국제호텔 (New Kukje Hotel)</t>
  </si>
  <si>
    <t>KUKJE GROUP</t>
  </si>
  <si>
    <t>385-973-6821</t>
  </si>
  <si>
    <t>임페리얼 팰리스 서울</t>
  </si>
  <si>
    <t>MARRIOTT INTERNATIONAL</t>
  </si>
  <si>
    <t>888-236-2427</t>
  </si>
  <si>
    <t>호텔 그레이스리 신주쿠</t>
  </si>
  <si>
    <t>GRACERY SINJUKU LTD</t>
  </si>
  <si>
    <t>160-000-0305</t>
  </si>
  <si>
    <t>신주쿠 워싱턴 호텔 도쿄</t>
  </si>
  <si>
    <t>오레인탈 호텔 도쿄 베이</t>
  </si>
  <si>
    <t>로열튼 파크 에비뉴</t>
  </si>
  <si>
    <t>AVENUE PARK</t>
  </si>
  <si>
    <t>779-832-9732</t>
  </si>
  <si>
    <t>더 랭함 뉴욕 피브스 에비뉴</t>
  </si>
  <si>
    <t>THE LANGHAM NEW YORK</t>
  </si>
  <si>
    <t>335-385-6943</t>
  </si>
  <si>
    <t>포시즌스 잉기 호텔 뉴옥 다운타운</t>
  </si>
  <si>
    <t>THE RITZ-CARLTON</t>
  </si>
  <si>
    <t>432-583-6829</t>
  </si>
  <si>
    <t>르 메르디안 센트랄 파크</t>
  </si>
  <si>
    <t>더 리츠칼튼 레지던스 와이키키 비치호텔</t>
  </si>
  <si>
    <t>522-183-5892</t>
  </si>
  <si>
    <t>서울지하철 정기이용권</t>
  </si>
  <si>
    <t>SEOUL METRO</t>
  </si>
  <si>
    <t>999-823-3811</t>
  </si>
  <si>
    <t>KTX 동대구 - 신경주</t>
  </si>
  <si>
    <t>KORAIL</t>
  </si>
  <si>
    <t>999-882-8375</t>
  </si>
  <si>
    <t>KTX 울산 - 부산</t>
  </si>
  <si>
    <t>카카오 택시</t>
  </si>
  <si>
    <t>KAKAO CORP</t>
  </si>
  <si>
    <t>370-833-0832</t>
  </si>
  <si>
    <t xml:space="preserve">KTX 광명 - 부산 </t>
  </si>
  <si>
    <t>화장품</t>
  </si>
  <si>
    <t>LOTTE DUTY</t>
  </si>
  <si>
    <t>168-800-3000</t>
  </si>
  <si>
    <t>담배 1보루</t>
  </si>
  <si>
    <t>브라운 7시리즈 방수 면도기 7893S(N)</t>
  </si>
  <si>
    <t>휴대용 미니 선풍기 2세대 건메탈</t>
  </si>
  <si>
    <t>카카오 프렌즈 모나미 볼펜</t>
  </si>
  <si>
    <t>보스 노이즈 캔슬링 헤드폰 700</t>
  </si>
  <si>
    <t>Forerunner 245 Music, GPS, Wi-Fi, Black</t>
  </si>
  <si>
    <t>마샬 킬번 2 블루투스 스피커</t>
  </si>
  <si>
    <t>프라뷰 프라메디 에어 미니 플라즈마 살균기</t>
  </si>
  <si>
    <t>엘라고 에어팟프로 AW6 행 케이스</t>
  </si>
  <si>
    <t>AMAZON</t>
  </si>
  <si>
    <t>206-922-0880</t>
  </si>
  <si>
    <t>러블리어피치 스트랩케이스 아이폰X</t>
  </si>
  <si>
    <t>370-883-0832</t>
  </si>
  <si>
    <t>캐논 EOS R 24-105 KIT</t>
  </si>
  <si>
    <t>CANON</t>
  </si>
  <si>
    <t>622-385-1322</t>
  </si>
  <si>
    <t>캐논 M50 Mark II</t>
  </si>
  <si>
    <t>크루즈 부산 - 후쿠오카 왕복</t>
  </si>
  <si>
    <t>EBAY</t>
  </si>
  <si>
    <t>355-833-8185</t>
  </si>
  <si>
    <t>케세이 퍼시픽 세계 왕복</t>
  </si>
  <si>
    <t>삼성 갤럭시 S21</t>
  </si>
  <si>
    <t>핫팩</t>
  </si>
  <si>
    <t>삼성 갤럭시 S21+</t>
  </si>
  <si>
    <t>삼성 갤럭시 S21 Ultra</t>
  </si>
  <si>
    <t>후끈 후끈 발열 조끼</t>
  </si>
  <si>
    <t>갤럭시 Z 폴드2 1TB</t>
  </si>
  <si>
    <t>AMAZON CHINA</t>
  </si>
  <si>
    <t>312-328-1851</t>
  </si>
  <si>
    <t>갤럭시 Z 플립 5G</t>
  </si>
  <si>
    <t>마이크론 MX500 256GB</t>
  </si>
  <si>
    <t>WALMART.COM</t>
  </si>
  <si>
    <t>800-925-6278</t>
  </si>
  <si>
    <t>맥북 에어 M1</t>
  </si>
  <si>
    <t>APPLE KOREA</t>
  </si>
  <si>
    <t>800–692–7753</t>
  </si>
  <si>
    <t>맥북 프로 13" M1</t>
  </si>
  <si>
    <t>맥북 프로 16" Intel</t>
  </si>
  <si>
    <t>맥 미니 M1</t>
  </si>
  <si>
    <t>iMac 27" 5K</t>
  </si>
  <si>
    <t>iMac 24" 4K</t>
  </si>
  <si>
    <t>iMac 24"</t>
  </si>
  <si>
    <t>독일제 욕실 슬리퍼</t>
  </si>
  <si>
    <t>GERMENY</t>
  </si>
  <si>
    <t>799-283-1321</t>
  </si>
  <si>
    <t>네이스 피시방 이용권</t>
  </si>
  <si>
    <t>NICE PC</t>
  </si>
  <si>
    <t>203-583-1832</t>
  </si>
  <si>
    <t>투버튼 솔리드 자켓</t>
  </si>
  <si>
    <t>펩시 제로 콜라</t>
  </si>
  <si>
    <t>펩시 콜라</t>
  </si>
  <si>
    <t>TESLA Model S</t>
  </si>
  <si>
    <t>TESLA</t>
  </si>
  <si>
    <t>853-283-2835</t>
  </si>
  <si>
    <t>TESLA Model 3</t>
  </si>
  <si>
    <t>일시</t>
  </si>
  <si>
    <t>출금계좌</t>
  </si>
  <si>
    <t>입금계좌</t>
  </si>
  <si>
    <t>상품번호</t>
  </si>
  <si>
    <t xml:space="preserve"> 금액 </t>
  </si>
  <si>
    <t>결제여부</t>
  </si>
  <si>
    <t>할부여부</t>
  </si>
  <si>
    <t>4656-6924-7890-5972</t>
  </si>
  <si>
    <t>4897-8159-1822-7180</t>
  </si>
  <si>
    <t>4754-1190-0633-2830</t>
  </si>
  <si>
    <t>5411-7005-9496-8736</t>
  </si>
  <si>
    <t>4554-2948-2495-4347</t>
  </si>
  <si>
    <t>3543-1842-4955-1241</t>
  </si>
  <si>
    <t>5449-1026-3931-0534</t>
  </si>
  <si>
    <t>4316-7505-0711-0172</t>
  </si>
  <si>
    <t>4653-7380-3898-9402</t>
  </si>
  <si>
    <t>5417-8752-9361-8220</t>
  </si>
  <si>
    <t>4251-0113-1119-8796</t>
  </si>
  <si>
    <t>4289-1200-3178-0611</t>
  </si>
  <si>
    <t>5430-8674-0726-5693</t>
  </si>
  <si>
    <t>6257-9724-3237-6002</t>
  </si>
  <si>
    <t>4278-6283-9998-2400</t>
  </si>
  <si>
    <t>6133-6574-4571-8528</t>
  </si>
  <si>
    <t>6167-4383-5951-5692</t>
  </si>
  <si>
    <t>4915-0536-1544-4711</t>
  </si>
  <si>
    <t>6198-0942-6914-9784</t>
  </si>
  <si>
    <t>6235-7618-8935-4397</t>
  </si>
  <si>
    <t>4980-8054-1807-7526</t>
  </si>
  <si>
    <t>4508-9202-2526-8942</t>
  </si>
  <si>
    <t>4894-8226-6996-5561</t>
  </si>
  <si>
    <t>4438-1413-1616-2357</t>
  </si>
  <si>
    <t>5491-0000-7419-8591</t>
  </si>
  <si>
    <t>6258-2058-9776-1010</t>
  </si>
  <si>
    <t>4228-9702-4276-8736</t>
  </si>
  <si>
    <t>4277-5792-7574-8124</t>
  </si>
  <si>
    <t>6110-7149-9555-0819</t>
  </si>
  <si>
    <t>4501-1521-4471-7041</t>
  </si>
  <si>
    <t>4291-6893-5280-8183</t>
  </si>
  <si>
    <t>4998-1273-4593-5282</t>
  </si>
  <si>
    <t>4274-5543-1470-3247</t>
  </si>
  <si>
    <t>4139-9464-9242-9270</t>
  </si>
  <si>
    <t>4152-1439-3522-2074</t>
  </si>
  <si>
    <t>5488-3836-3430-7070</t>
  </si>
  <si>
    <t>4459-8601-5503-0106</t>
  </si>
  <si>
    <t>4622-2464-1000-3115</t>
  </si>
  <si>
    <t>4124-1993-4558-0867</t>
  </si>
  <si>
    <t>4778-6429-6549-3344</t>
  </si>
  <si>
    <t>5446-9530-1580-4616</t>
  </si>
  <si>
    <t>5492-7845-3998-3945</t>
  </si>
  <si>
    <t>4304-5759-0122-0163</t>
  </si>
  <si>
    <t>6238-1630-4153-1561</t>
  </si>
  <si>
    <t>4135-8486-9179-4774</t>
  </si>
  <si>
    <t>4405-7274-3586-7453</t>
  </si>
  <si>
    <t>5477-9684-2872-1952</t>
  </si>
  <si>
    <t>4764-2289-4098-2693</t>
  </si>
  <si>
    <t>6112-1864-7089-7656</t>
  </si>
  <si>
    <t>4528-5002-5615-3481</t>
  </si>
  <si>
    <t>9590-0022-7805-2528</t>
  </si>
  <si>
    <t>4357-6105-4676-7394</t>
  </si>
  <si>
    <t>9672-9577-4413-7030</t>
  </si>
  <si>
    <t>4318-4865-1001-7994</t>
  </si>
  <si>
    <t>5469-2651-7075-7532</t>
  </si>
  <si>
    <t>6298-0294-4920-2348</t>
  </si>
  <si>
    <t>6162-5392-8943-4871</t>
  </si>
  <si>
    <t>4555-3336-7116-6819</t>
  </si>
  <si>
    <t>4697-4363-1410-5878</t>
  </si>
  <si>
    <t>4285-6430-7448-7615</t>
  </si>
  <si>
    <t>4147-4225-9961-9541</t>
  </si>
  <si>
    <t>4147-4225-9961-9541</t>
    <phoneticPr fontId="2" type="noConversion"/>
  </si>
  <si>
    <t>5469-2651-7075-7532</t>
    <phoneticPr fontId="2" type="noConversion"/>
  </si>
  <si>
    <t>6235-7618-8935-4397</t>
    <phoneticPr fontId="2" type="noConversion"/>
  </si>
  <si>
    <t>4555-3336-7116-6819</t>
    <phoneticPr fontId="2" type="noConversion"/>
  </si>
  <si>
    <t>4274-5543-1470-3247</t>
    <phoneticPr fontId="2" type="noConversion"/>
  </si>
  <si>
    <t>4656-6924-7890-5972</t>
    <phoneticPr fontId="2" type="noConversion"/>
  </si>
  <si>
    <t>6171-5763-1229-8413</t>
    <phoneticPr fontId="2" type="noConversion"/>
  </si>
  <si>
    <t>6133-6574-4571-8528</t>
    <phoneticPr fontId="2" type="noConversion"/>
  </si>
  <si>
    <t>4653-7380-3898-9402</t>
    <phoneticPr fontId="2" type="noConversion"/>
  </si>
  <si>
    <t>6257-9724-3237-6002</t>
    <phoneticPr fontId="2" type="noConversion"/>
  </si>
  <si>
    <t>4554-2948-2495-4347</t>
    <phoneticPr fontId="2" type="noConversion"/>
  </si>
  <si>
    <t>3543-1842-4955-1241</t>
    <phoneticPr fontId="2" type="noConversion"/>
  </si>
  <si>
    <t>5491-0000-7419-8591</t>
    <phoneticPr fontId="2" type="noConversion"/>
  </si>
  <si>
    <t>5417-8752-9361-8220</t>
    <phoneticPr fontId="2" type="noConversion"/>
  </si>
  <si>
    <t>5492-7845-3998-3945</t>
    <phoneticPr fontId="2" type="noConversion"/>
  </si>
  <si>
    <t>4459-8601-5503-0106</t>
    <phoneticPr fontId="2" type="noConversion"/>
  </si>
  <si>
    <t>4664-6667-9542-8363</t>
    <phoneticPr fontId="2" type="noConversion"/>
  </si>
  <si>
    <t>4289-1200-3178-0611</t>
    <phoneticPr fontId="2" type="noConversion"/>
  </si>
  <si>
    <t>4508-9202-2526-8942</t>
    <phoneticPr fontId="2" type="noConversion"/>
  </si>
  <si>
    <t>4152-1439-3522-2074</t>
    <phoneticPr fontId="2" type="noConversion"/>
  </si>
  <si>
    <t>4228-9702-4276-8736</t>
    <phoneticPr fontId="2" type="noConversion"/>
  </si>
  <si>
    <t>4501-1521-4471-7041</t>
    <phoneticPr fontId="2" type="noConversion"/>
  </si>
  <si>
    <t>4291-4017-6463-5521</t>
    <phoneticPr fontId="2" type="noConversion"/>
  </si>
  <si>
    <t>4915-0536-1544-4711</t>
    <phoneticPr fontId="2" type="noConversion"/>
  </si>
  <si>
    <t>5477-9684-2872-1952</t>
    <phoneticPr fontId="2" type="noConversion"/>
  </si>
  <si>
    <t>5446-9530-1580-4616</t>
    <phoneticPr fontId="2" type="noConversion"/>
  </si>
  <si>
    <t>5411-7005-9496-8736</t>
    <phoneticPr fontId="2" type="noConversion"/>
  </si>
  <si>
    <t>5430-8674-0726-5693</t>
    <phoneticPr fontId="2" type="noConversion"/>
  </si>
  <si>
    <t>4894-8226-6996-5561</t>
    <phoneticPr fontId="2" type="noConversion"/>
  </si>
  <si>
    <t>6110-7149-9555-0819</t>
    <phoneticPr fontId="2" type="noConversion"/>
  </si>
  <si>
    <t>4318-4865-1001-7994</t>
    <phoneticPr fontId="2" type="noConversion"/>
  </si>
  <si>
    <t>4998-1273-4593-5282</t>
    <phoneticPr fontId="2" type="noConversion"/>
  </si>
  <si>
    <t>4703-3898-6020-9528</t>
    <phoneticPr fontId="2" type="noConversion"/>
  </si>
  <si>
    <t>4338-6770-6552-0395</t>
    <phoneticPr fontId="2" type="noConversion"/>
  </si>
  <si>
    <t>4778-6429-6549-3344</t>
    <phoneticPr fontId="2" type="noConversion"/>
  </si>
  <si>
    <t>4277-5792-7574-8124</t>
    <phoneticPr fontId="2" type="noConversion"/>
  </si>
  <si>
    <t>6258-2058-9776-1010</t>
    <phoneticPr fontId="2" type="noConversion"/>
  </si>
  <si>
    <t>6167-4383-5951-5692</t>
    <phoneticPr fontId="2" type="noConversion"/>
  </si>
  <si>
    <t>6112-1864-7089-7656</t>
    <phoneticPr fontId="2" type="noConversion"/>
  </si>
  <si>
    <t>6162-5392-8943-4871</t>
    <phoneticPr fontId="2" type="noConversion"/>
  </si>
  <si>
    <t>4622-2464-1000-3115</t>
    <phoneticPr fontId="2" type="noConversion"/>
  </si>
  <si>
    <t>4697-4363-1410-5878</t>
    <phoneticPr fontId="2" type="noConversion"/>
  </si>
  <si>
    <t>4197-2362-6207-8944</t>
    <phoneticPr fontId="2" type="noConversion"/>
  </si>
  <si>
    <t>4980-8054-1807-7526</t>
    <phoneticPr fontId="2" type="noConversion"/>
  </si>
  <si>
    <t>4357-6105-4676-7394</t>
    <phoneticPr fontId="2" type="noConversion"/>
  </si>
  <si>
    <t>4251-0113-1119-8796</t>
    <phoneticPr fontId="2" type="noConversion"/>
  </si>
  <si>
    <t>4528-5002-5615-3481</t>
    <phoneticPr fontId="2" type="noConversion"/>
  </si>
  <si>
    <t>4897-8159-1822-7180</t>
    <phoneticPr fontId="2" type="noConversion"/>
  </si>
  <si>
    <t>4438-1413-1616-2357</t>
    <phoneticPr fontId="2" type="noConversion"/>
  </si>
  <si>
    <t>9590-0022-7805-2528</t>
    <phoneticPr fontId="2" type="noConversion"/>
  </si>
  <si>
    <t>9672-9577-4413-7030</t>
    <phoneticPr fontId="2" type="noConversion"/>
  </si>
  <si>
    <t>4779-3638-2693-2096</t>
    <phoneticPr fontId="2" type="noConversion"/>
  </si>
  <si>
    <t>6298-0294-4920-2348</t>
    <phoneticPr fontId="2" type="noConversion"/>
  </si>
  <si>
    <t>6238-1630-4153-1561</t>
    <phoneticPr fontId="2" type="noConversion"/>
  </si>
  <si>
    <t>4668-1053-2246-9525</t>
    <phoneticPr fontId="2" type="noConversion"/>
  </si>
  <si>
    <t>5488-3836-3430-7070</t>
    <phoneticPr fontId="2" type="noConversion"/>
  </si>
  <si>
    <t>4764-2289-4098-2693</t>
    <phoneticPr fontId="2" type="noConversion"/>
  </si>
  <si>
    <t>4124-1993-4558-0867</t>
    <phoneticPr fontId="2" type="noConversion"/>
  </si>
  <si>
    <t>6295-5457-5347-2048</t>
    <phoneticPr fontId="2" type="noConversion"/>
  </si>
  <si>
    <t>4754-1190-0633-2830</t>
    <phoneticPr fontId="2" type="noConversion"/>
  </si>
  <si>
    <t>6198-0942-6914-9784</t>
    <phoneticPr fontId="2" type="noConversion"/>
  </si>
  <si>
    <t>4139-9464-9242-9270</t>
    <phoneticPr fontId="2" type="noConversion"/>
  </si>
  <si>
    <t>4508-1133-6156-2050</t>
    <phoneticPr fontId="2" type="noConversion"/>
  </si>
  <si>
    <t>4304-5759-0122-0163</t>
    <phoneticPr fontId="2" type="noConversion"/>
  </si>
  <si>
    <t>4278-6283-9998-2400</t>
    <phoneticPr fontId="2" type="noConversion"/>
  </si>
  <si>
    <t>5449-1026-3931-0534</t>
    <phoneticPr fontId="2" type="noConversion"/>
  </si>
  <si>
    <t>4405-7274-3586-7453</t>
    <phoneticPr fontId="2" type="noConversion"/>
  </si>
  <si>
    <t>4291-6893-5280-8183</t>
    <phoneticPr fontId="2" type="noConversion"/>
  </si>
  <si>
    <t>4316-7505-0711-0172</t>
    <phoneticPr fontId="2" type="noConversion"/>
  </si>
  <si>
    <t>4285-6430-7448-7615</t>
    <phoneticPr fontId="2" type="noConversion"/>
  </si>
  <si>
    <t>5445-6260-1923-9876</t>
    <phoneticPr fontId="2" type="noConversion"/>
  </si>
  <si>
    <t>4135-8486-9179-4774</t>
    <phoneticPr fontId="2" type="noConversion"/>
  </si>
  <si>
    <t>할인</t>
    <phoneticPr fontId="2" type="noConversion"/>
  </si>
  <si>
    <t>적립</t>
    <phoneticPr fontId="2" type="noConversion"/>
  </si>
  <si>
    <t>할인/적립</t>
    <phoneticPr fontId="2" type="noConversion"/>
  </si>
  <si>
    <t>A</t>
    <phoneticPr fontId="2" type="noConversion"/>
  </si>
  <si>
    <t>외식</t>
    <phoneticPr fontId="2" type="noConversion"/>
  </si>
  <si>
    <t>여행</t>
    <phoneticPr fontId="2" type="noConversion"/>
  </si>
  <si>
    <t>쇼핑</t>
    <phoneticPr fontId="2" type="noConversion"/>
  </si>
  <si>
    <t>교통</t>
    <phoneticPr fontId="2" type="noConversion"/>
  </si>
  <si>
    <t>B</t>
    <phoneticPr fontId="2" type="noConversion"/>
  </si>
  <si>
    <t>연회비없음</t>
    <phoneticPr fontId="2" type="noConversion"/>
  </si>
  <si>
    <t>연회비있음</t>
    <phoneticPr fontId="2" type="noConversion"/>
  </si>
  <si>
    <t>C</t>
    <phoneticPr fontId="2" type="noConversion"/>
  </si>
  <si>
    <t>VISA</t>
    <phoneticPr fontId="2" type="noConversion"/>
  </si>
  <si>
    <t>MASTERCARD</t>
    <phoneticPr fontId="2" type="noConversion"/>
  </si>
  <si>
    <t>UNION</t>
    <phoneticPr fontId="2" type="noConversion"/>
  </si>
  <si>
    <t>BC카드</t>
    <phoneticPr fontId="2" type="noConversion"/>
  </si>
  <si>
    <t>국내전용</t>
    <phoneticPr fontId="2" type="noConversion"/>
  </si>
  <si>
    <t>D</t>
    <phoneticPr fontId="2" type="noConversion"/>
  </si>
  <si>
    <t>결과</t>
    <phoneticPr fontId="2" type="noConversion"/>
  </si>
  <si>
    <t>DISCOVERY</t>
    <phoneticPr fontId="2" type="noConversion"/>
  </si>
  <si>
    <t>신용 카드 찾기</t>
    <phoneticPr fontId="2" type="noConversion"/>
  </si>
  <si>
    <t xml:space="preserve"> </t>
    <phoneticPr fontId="2" type="noConversion"/>
  </si>
  <si>
    <t>신용 카드 비교 결과</t>
    <phoneticPr fontId="2" type="noConversion"/>
  </si>
  <si>
    <t>주요 특징</t>
    <phoneticPr fontId="2" type="noConversion"/>
  </si>
  <si>
    <t>혜택</t>
    <phoneticPr fontId="2" type="noConversion"/>
  </si>
  <si>
    <t>주요 사용처</t>
    <phoneticPr fontId="2" type="noConversion"/>
  </si>
  <si>
    <t>해외 결제 브랜드</t>
    <phoneticPr fontId="2" type="noConversion"/>
  </si>
  <si>
    <t>할부 이자</t>
    <phoneticPr fontId="2" type="noConversion"/>
  </si>
  <si>
    <t>연회비</t>
    <phoneticPr fontId="2" type="noConversion"/>
  </si>
  <si>
    <t>시작</t>
    <phoneticPr fontId="2" type="noConversion"/>
  </si>
  <si>
    <t>끝</t>
    <phoneticPr fontId="2" type="noConversion"/>
  </si>
  <si>
    <t>모든 거래</t>
    <phoneticPr fontId="2" type="noConversion"/>
  </si>
  <si>
    <t>카드</t>
    <phoneticPr fontId="2" type="noConversion"/>
  </si>
  <si>
    <t>계좌</t>
    <phoneticPr fontId="2" type="noConversion"/>
  </si>
  <si>
    <t>카드이름</t>
    <phoneticPr fontId="2" type="noConversion"/>
  </si>
  <si>
    <t>총합계</t>
  </si>
  <si>
    <t>발급 개수</t>
  </si>
  <si>
    <t>카드 이름</t>
  </si>
  <si>
    <t>회원나이대</t>
    <phoneticPr fontId="2" type="noConversion"/>
  </si>
  <si>
    <t>총 27개의 결과</t>
    <phoneticPr fontId="2" type="noConversion"/>
  </si>
  <si>
    <t>4784-6267-1767-5170</t>
  </si>
  <si>
    <t>**</t>
    <phoneticPr fontId="2" type="noConversion"/>
  </si>
  <si>
    <t>카테고리</t>
    <phoneticPr fontId="2" type="noConversion"/>
  </si>
  <si>
    <t>이름</t>
    <phoneticPr fontId="2" type="noConversion"/>
  </si>
  <si>
    <t/>
  </si>
  <si>
    <t>아니오</t>
  </si>
  <si>
    <t>예</t>
  </si>
  <si>
    <t>Chase Freedom Student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</si>
</sst>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&quot;원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4"/>
      <color theme="8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sz val="11"/>
      <color theme="1"/>
      <name val="Wingdings"/>
      <charset val="2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662E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6" tint="0.59999389629810485"/>
      </right>
      <top/>
      <bottom/>
      <diagonal/>
    </border>
    <border>
      <left style="thin">
        <color theme="6" tint="0.59999389629810485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>
      <alignment vertical="center"/>
    </xf>
    <xf numFmtId="0" fontId="3" fillId="5" borderId="3" xfId="0" applyFont="1" applyFill="1" applyBorder="1">
      <alignment vertical="center"/>
    </xf>
    <xf numFmtId="0" fontId="3" fillId="5" borderId="2" xfId="0" applyFont="1" applyFill="1" applyBorder="1" applyAlignment="1">
      <alignment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3" xfId="0" applyFont="1" applyFill="1" applyBorder="1" applyAlignment="1">
      <alignment vertical="center" wrapText="1"/>
    </xf>
    <xf numFmtId="0" fontId="0" fillId="7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  <xf numFmtId="0" fontId="7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41" fontId="0" fillId="0" borderId="0" xfId="1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0" fontId="8" fillId="0" borderId="4" xfId="0" applyFont="1" applyBorder="1">
      <alignment vertical="center"/>
    </xf>
    <xf numFmtId="0" fontId="0" fillId="0" borderId="4" xfId="0" applyBorder="1">
      <alignment vertical="center"/>
    </xf>
    <xf numFmtId="0" fontId="9" fillId="0" borderId="0" xfId="0" applyFont="1">
      <alignment vertical="center"/>
    </xf>
    <xf numFmtId="0" fontId="10" fillId="8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41" fontId="11" fillId="0" borderId="0" xfId="1" applyFont="1" applyAlignment="1">
      <alignment horizontal="center" vertical="center"/>
    </xf>
    <xf numFmtId="41" fontId="10" fillId="8" borderId="1" xfId="1" applyNumberFormat="1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0" fillId="0" borderId="0" xfId="1" applyNumberFormat="1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0" fontId="3" fillId="0" borderId="2" xfId="0" applyNumberFormat="1" applyFont="1" applyBorder="1" applyAlignment="1">
      <alignment horizontal="center" vertical="center" wrapText="1"/>
    </xf>
    <xf numFmtId="10" fontId="3" fillId="0" borderId="0" xfId="0" applyNumberFormat="1" applyFont="1" applyAlignment="1">
      <alignment horizontal="center" vertical="center" wrapText="1"/>
    </xf>
    <xf numFmtId="10" fontId="3" fillId="0" borderId="3" xfId="0" applyNumberFormat="1" applyFont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8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yyyy/mm/dd\ 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8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84"/>
      <tableStyleElement type="headerRow" dxfId="83"/>
    </tableStyle>
  </tableStyles>
  <colors>
    <mruColors>
      <color rgb="FF0662E7"/>
      <color rgb="FF0564E6"/>
      <color rgb="FF0066FF"/>
      <color rgb="FF3333FF"/>
      <color rgb="FF380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[2차.xlsm]통계!피벗 테이블1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통계!$D$8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통계!$C$9:$C$29</c:f>
              <c:strCache>
                <c:ptCount val="20"/>
                <c:pt idx="0">
                  <c:v>Aer Lingus Visa Signature®</c:v>
                </c:pt>
                <c:pt idx="1">
                  <c:v>Amazon Prime Rewards Visa Signature</c:v>
                </c:pt>
                <c:pt idx="2">
                  <c:v>British Airways Visa Signature®</c:v>
                </c:pt>
                <c:pt idx="3">
                  <c:v>Chase Freedom Flex™</c:v>
                </c:pt>
                <c:pt idx="4">
                  <c:v>Chase Freedom Student</c:v>
                </c:pt>
                <c:pt idx="5">
                  <c:v>Chase Freedom Unlimited™</c:v>
                </c:pt>
                <c:pt idx="6">
                  <c:v>Chase Sapphire Preferred</c:v>
                </c:pt>
                <c:pt idx="7">
                  <c:v>Chase Sapphire Reserve</c:v>
                </c:pt>
                <c:pt idx="8">
                  <c:v>Disney Premier Visa</c:v>
                </c:pt>
                <c:pt idx="9">
                  <c:v>Disney Visa</c:v>
                </c:pt>
                <c:pt idx="10">
                  <c:v>Ink Business Cash</c:v>
                </c:pt>
                <c:pt idx="11">
                  <c:v>Ink Business Preferred</c:v>
                </c:pt>
                <c:pt idx="12">
                  <c:v>Marriott Bonvoy Bold™</c:v>
                </c:pt>
                <c:pt idx="13">
                  <c:v>Southwest Rapid Rewards Business</c:v>
                </c:pt>
                <c:pt idx="14">
                  <c:v>Southwest Rapid Rewards Plus</c:v>
                </c:pt>
                <c:pt idx="15">
                  <c:v>Southwest Rapid Rewards Premier</c:v>
                </c:pt>
                <c:pt idx="16">
                  <c:v>Southwest Rapid Rewards Priority</c:v>
                </c:pt>
                <c:pt idx="17">
                  <c:v>United Club Infinite</c:v>
                </c:pt>
                <c:pt idx="18">
                  <c:v>United Gateway Mileage Plus</c:v>
                </c:pt>
                <c:pt idx="19">
                  <c:v>UNITED™ EXPLORER</c:v>
                </c:pt>
              </c:strCache>
            </c:strRef>
          </c:cat>
          <c:val>
            <c:numRef>
              <c:f>통계!$D$9:$D$29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11</c:v>
                </c:pt>
                <c:pt idx="6">
                  <c:v>11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8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F7-4D67-B870-EC1B246F8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2752088"/>
        <c:axId val="792752416"/>
      </c:barChart>
      <c:catAx>
        <c:axId val="7927520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752416"/>
        <c:crosses val="autoZero"/>
        <c:auto val="1"/>
        <c:lblAlgn val="ctr"/>
        <c:lblOffset val="100"/>
        <c:noMultiLvlLbl val="0"/>
      </c:catAx>
      <c:valAx>
        <c:axId val="7927524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75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Chase Freedom Student</a:t>
            </a:r>
          </a:p>
          <a:p>
            <a:pPr>
              <a:defRPr/>
            </a:pPr>
            <a:r>
              <a:rPr lang="ko-KR" altLang="en-US"/>
              <a:t>카드 사용자 연령 분포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1-0478-4FB3-94B1-5BBEE37E39C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0478-4FB3-94B1-5BBEE37E39C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0478-4FB3-94B1-5BBEE37E39C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0478-4FB3-94B1-5BBEE37E39C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9-0478-4FB3-94B1-5BBEE37E39CF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통계!$V$1:$V$5</c:f>
              <c:strCache>
                <c:ptCount val="5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</c:strCache>
            </c:strRef>
          </c:cat>
          <c:val>
            <c:numRef>
              <c:f>통계!$W$1:$W$5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2-4CEA-A588-387318D16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13" Type="http://schemas.openxmlformats.org/officeDocument/2006/relationships/image" Target="../media/image16.jpg"/><Relationship Id="rId18" Type="http://schemas.openxmlformats.org/officeDocument/2006/relationships/image" Target="../media/image21.jpg"/><Relationship Id="rId26" Type="http://schemas.openxmlformats.org/officeDocument/2006/relationships/image" Target="../media/image29.jpg"/><Relationship Id="rId3" Type="http://schemas.openxmlformats.org/officeDocument/2006/relationships/image" Target="../media/image6.jpg"/><Relationship Id="rId21" Type="http://schemas.openxmlformats.org/officeDocument/2006/relationships/image" Target="../media/image24.jpg"/><Relationship Id="rId7" Type="http://schemas.openxmlformats.org/officeDocument/2006/relationships/image" Target="../media/image10.jpg"/><Relationship Id="rId12" Type="http://schemas.openxmlformats.org/officeDocument/2006/relationships/image" Target="../media/image15.jpg"/><Relationship Id="rId17" Type="http://schemas.openxmlformats.org/officeDocument/2006/relationships/image" Target="../media/image20.jpg"/><Relationship Id="rId25" Type="http://schemas.openxmlformats.org/officeDocument/2006/relationships/image" Target="../media/image28.jpg"/><Relationship Id="rId2" Type="http://schemas.openxmlformats.org/officeDocument/2006/relationships/image" Target="../media/image5.jpg"/><Relationship Id="rId16" Type="http://schemas.openxmlformats.org/officeDocument/2006/relationships/image" Target="../media/image19.jpg"/><Relationship Id="rId20" Type="http://schemas.openxmlformats.org/officeDocument/2006/relationships/image" Target="../media/image23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11" Type="http://schemas.openxmlformats.org/officeDocument/2006/relationships/image" Target="../media/image14.jpg"/><Relationship Id="rId24" Type="http://schemas.openxmlformats.org/officeDocument/2006/relationships/image" Target="../media/image27.jpg"/><Relationship Id="rId5" Type="http://schemas.openxmlformats.org/officeDocument/2006/relationships/image" Target="../media/image8.jpg"/><Relationship Id="rId15" Type="http://schemas.openxmlformats.org/officeDocument/2006/relationships/image" Target="../media/image18.jpg"/><Relationship Id="rId23" Type="http://schemas.openxmlformats.org/officeDocument/2006/relationships/image" Target="../media/image26.jpg"/><Relationship Id="rId10" Type="http://schemas.openxmlformats.org/officeDocument/2006/relationships/image" Target="../media/image13.jpg"/><Relationship Id="rId19" Type="http://schemas.openxmlformats.org/officeDocument/2006/relationships/image" Target="../media/image22.jpg"/><Relationship Id="rId4" Type="http://schemas.openxmlformats.org/officeDocument/2006/relationships/image" Target="../media/image7.jpg"/><Relationship Id="rId9" Type="http://schemas.openxmlformats.org/officeDocument/2006/relationships/image" Target="../media/image12.jpg"/><Relationship Id="rId14" Type="http://schemas.openxmlformats.org/officeDocument/2006/relationships/image" Target="../media/image17.jpg"/><Relationship Id="rId22" Type="http://schemas.openxmlformats.org/officeDocument/2006/relationships/image" Target="../media/image25.jpg"/><Relationship Id="rId27" Type="http://schemas.openxmlformats.org/officeDocument/2006/relationships/image" Target="../media/image30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g"/><Relationship Id="rId1" Type="http://schemas.openxmlformats.org/officeDocument/2006/relationships/image" Target="../media/image30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441316</xdr:colOff>
      <xdr:row>0</xdr:row>
      <xdr:rowOff>204107</xdr:rowOff>
    </xdr:from>
    <xdr:to>
      <xdr:col>6</xdr:col>
      <xdr:colOff>27215</xdr:colOff>
      <xdr:row>10</xdr:row>
      <xdr:rowOff>0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89"/>
        <a:stretch/>
      </xdr:blipFill>
      <xdr:spPr>
        <a:xfrm flipH="1">
          <a:off x="441316" y="204107"/>
          <a:ext cx="3668042" cy="4694464"/>
        </a:xfrm>
        <a:prstGeom prst="rect">
          <a:avLst/>
        </a:prstGeom>
      </xdr:spPr>
    </xdr:pic>
    <xdr:clientData/>
  </xdr:twoCellAnchor>
  <xdr:oneCellAnchor>
    <xdr:from>
      <xdr:col>5</xdr:col>
      <xdr:colOff>136072</xdr:colOff>
      <xdr:row>3</xdr:row>
      <xdr:rowOff>272143</xdr:rowOff>
    </xdr:from>
    <xdr:ext cx="943913" cy="491417"/>
    <xdr:sp macro="" textlink="">
      <xdr:nvSpPr>
        <xdr:cNvPr id="3" name="TextBox 2"/>
        <xdr:cNvSpPr txBox="1"/>
      </xdr:nvSpPr>
      <xdr:spPr>
        <a:xfrm>
          <a:off x="3537858" y="1741714"/>
          <a:ext cx="943913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800">
              <a:solidFill>
                <a:schemeClr val="bg1"/>
              </a:solidFill>
              <a:latin typeface="+mj-ea"/>
              <a:ea typeface="+mj-ea"/>
            </a:rPr>
            <a:t>즐기다</a:t>
          </a:r>
          <a:r>
            <a:rPr lang="en-US" altLang="ko-KR" sz="1800">
              <a:solidFill>
                <a:schemeClr val="bg1"/>
              </a:solidFill>
              <a:latin typeface="+mj-ea"/>
              <a:ea typeface="+mj-ea"/>
            </a:rPr>
            <a:t>!</a:t>
          </a:r>
          <a:endParaRPr lang="ko-KR" altLang="en-US" sz="180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5</xdr:col>
      <xdr:colOff>95251</xdr:colOff>
      <xdr:row>3</xdr:row>
      <xdr:rowOff>381001</xdr:rowOff>
    </xdr:from>
    <xdr:ext cx="1522533" cy="1156599"/>
    <xdr:sp macro="" textlink="">
      <xdr:nvSpPr>
        <xdr:cNvPr id="4" name="TextBox 3"/>
        <xdr:cNvSpPr txBox="1"/>
      </xdr:nvSpPr>
      <xdr:spPr>
        <a:xfrm>
          <a:off x="3497037" y="1850572"/>
          <a:ext cx="1522533" cy="11565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4800" b="1">
              <a:solidFill>
                <a:schemeClr val="bg1"/>
              </a:solidFill>
              <a:latin typeface="+mj-ea"/>
              <a:ea typeface="+mj-ea"/>
            </a:rPr>
            <a:t>200</a:t>
          </a:r>
          <a:r>
            <a:rPr lang="en-US" altLang="ko-KR" sz="3600" b="1">
              <a:solidFill>
                <a:schemeClr val="bg1"/>
              </a:solidFill>
              <a:latin typeface="+mj-ea"/>
              <a:ea typeface="+mj-ea"/>
            </a:rPr>
            <a:t>$</a:t>
          </a:r>
          <a:endParaRPr lang="ko-KR" altLang="en-US" sz="36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7</xdr:col>
      <xdr:colOff>666751</xdr:colOff>
      <xdr:row>2</xdr:row>
      <xdr:rowOff>13607</xdr:rowOff>
    </xdr:from>
    <xdr:ext cx="3332131" cy="713209"/>
    <xdr:sp macro="" textlink="">
      <xdr:nvSpPr>
        <xdr:cNvPr id="5" name="TextBox 4"/>
        <xdr:cNvSpPr txBox="1"/>
      </xdr:nvSpPr>
      <xdr:spPr>
        <a:xfrm>
          <a:off x="5429251" y="993321"/>
          <a:ext cx="3332131" cy="7132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800" b="1">
              <a:solidFill>
                <a:schemeClr val="bg1"/>
              </a:solidFill>
              <a:latin typeface="+mj-ea"/>
              <a:ea typeface="+mj-ea"/>
            </a:rPr>
            <a:t>신규 </a:t>
          </a:r>
          <a:r>
            <a:rPr lang="en-US" altLang="ko-KR" sz="2800" b="1">
              <a:solidFill>
                <a:schemeClr val="bg1"/>
              </a:solidFill>
              <a:latin typeface="+mj-ea"/>
              <a:ea typeface="+mj-ea"/>
            </a:rPr>
            <a:t>Chase </a:t>
          </a:r>
          <a:r>
            <a:rPr lang="ko-KR" altLang="en-US" sz="2800" b="1">
              <a:solidFill>
                <a:schemeClr val="bg1"/>
              </a:solidFill>
              <a:latin typeface="+mj-ea"/>
              <a:ea typeface="+mj-ea"/>
            </a:rPr>
            <a:t>고객님</a:t>
          </a:r>
          <a:r>
            <a:rPr lang="en-US" altLang="ko-KR" sz="2800" b="1">
              <a:solidFill>
                <a:schemeClr val="bg1"/>
              </a:solidFill>
              <a:latin typeface="+mj-ea"/>
              <a:ea typeface="+mj-ea"/>
            </a:rPr>
            <a:t>:</a:t>
          </a:r>
          <a:endParaRPr lang="ko-KR" altLang="en-US" sz="18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7</xdr:col>
      <xdr:colOff>666751</xdr:colOff>
      <xdr:row>3</xdr:row>
      <xdr:rowOff>326569</xdr:rowOff>
    </xdr:from>
    <xdr:ext cx="5410968" cy="1954959"/>
    <xdr:sp macro="" textlink="">
      <xdr:nvSpPr>
        <xdr:cNvPr id="6" name="TextBox 5"/>
        <xdr:cNvSpPr txBox="1"/>
      </xdr:nvSpPr>
      <xdr:spPr>
        <a:xfrm>
          <a:off x="5429251" y="1796140"/>
          <a:ext cx="5410968" cy="1954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800" b="0">
              <a:solidFill>
                <a:schemeClr val="bg1"/>
              </a:solidFill>
              <a:latin typeface="+mj-ea"/>
              <a:ea typeface="+mj-ea"/>
            </a:rPr>
            <a:t>지금 새로운 </a:t>
          </a:r>
          <a:r>
            <a:rPr lang="en-US" altLang="ko-KR" sz="2800" b="0">
              <a:solidFill>
                <a:schemeClr val="bg1"/>
              </a:solidFill>
              <a:latin typeface="+mj-ea"/>
              <a:ea typeface="+mj-ea"/>
            </a:rPr>
            <a:t>Chase</a:t>
          </a:r>
          <a:r>
            <a:rPr lang="en-US" altLang="ko-KR" sz="2800" b="0" baseline="0">
              <a:solidFill>
                <a:schemeClr val="bg1"/>
              </a:solidFill>
              <a:latin typeface="+mj-ea"/>
              <a:ea typeface="+mj-ea"/>
            </a:rPr>
            <a:t> Total</a:t>
          </a:r>
          <a:br>
            <a:rPr lang="en-US" altLang="ko-KR" sz="2800" b="0" baseline="0">
              <a:solidFill>
                <a:schemeClr val="bg1"/>
              </a:solidFill>
              <a:latin typeface="+mj-ea"/>
              <a:ea typeface="+mj-ea"/>
            </a:rPr>
          </a:br>
          <a:r>
            <a:rPr lang="en-US" altLang="ko-KR" sz="2800" b="0" baseline="0">
              <a:solidFill>
                <a:schemeClr val="bg1"/>
              </a:solidFill>
              <a:latin typeface="+mj-ea"/>
              <a:ea typeface="+mj-ea"/>
            </a:rPr>
            <a:t>Checking</a:t>
          </a:r>
          <a:r>
            <a:rPr lang="en-US" altLang="ko-KR" sz="2800" b="0" baseline="30000">
              <a:solidFill>
                <a:schemeClr val="bg1"/>
              </a:solidFill>
              <a:latin typeface="+mj-ea"/>
              <a:ea typeface="+mj-ea"/>
            </a:rPr>
            <a:t>®</a:t>
          </a:r>
          <a:r>
            <a:rPr lang="en-US" altLang="ko-KR" sz="2800" b="0" baseline="0">
              <a:solidFill>
                <a:schemeClr val="bg1"/>
              </a:solidFill>
              <a:latin typeface="+mj-ea"/>
              <a:ea typeface="+mj-ea"/>
            </a:rPr>
            <a:t> account</a:t>
          </a:r>
          <a:r>
            <a:rPr lang="ko-KR" altLang="en-US" sz="2800" b="0" baseline="0">
              <a:solidFill>
                <a:schemeClr val="bg1"/>
              </a:solidFill>
              <a:latin typeface="+mj-ea"/>
              <a:ea typeface="+mj-ea"/>
            </a:rPr>
            <a:t>를 개설하고</a:t>
          </a:r>
          <a:r>
            <a:rPr lang="en-US" altLang="ko-KR" sz="2800" b="0" baseline="0">
              <a:solidFill>
                <a:schemeClr val="bg1"/>
              </a:solidFill>
              <a:latin typeface="+mj-ea"/>
              <a:ea typeface="+mj-ea"/>
            </a:rPr>
            <a:t>,</a:t>
          </a:r>
        </a:p>
        <a:p>
          <a:r>
            <a:rPr lang="ko-KR" altLang="en-US" sz="2800" b="0" baseline="0">
              <a:solidFill>
                <a:schemeClr val="bg1"/>
              </a:solidFill>
              <a:latin typeface="+mj-ea"/>
              <a:ea typeface="+mj-ea"/>
            </a:rPr>
            <a:t>금융거래를 시작하세요</a:t>
          </a:r>
          <a:r>
            <a:rPr lang="en-US" altLang="ko-KR" sz="2800" b="0" baseline="0">
              <a:solidFill>
                <a:schemeClr val="bg1"/>
              </a:solidFill>
              <a:latin typeface="+mj-ea"/>
              <a:ea typeface="+mj-ea"/>
            </a:rPr>
            <a:t>.</a:t>
          </a:r>
          <a:endParaRPr lang="ko-KR" altLang="en-US" sz="18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twoCellAnchor>
    <xdr:from>
      <xdr:col>16</xdr:col>
      <xdr:colOff>639535</xdr:colOff>
      <xdr:row>2</xdr:row>
      <xdr:rowOff>13608</xdr:rowOff>
    </xdr:from>
    <xdr:to>
      <xdr:col>23</xdr:col>
      <xdr:colOff>0</xdr:colOff>
      <xdr:row>7</xdr:row>
      <xdr:rowOff>340180</xdr:rowOff>
    </xdr:to>
    <xdr:sp macro="" textlink="">
      <xdr:nvSpPr>
        <xdr:cNvPr id="7" name="모서리가 둥근 직사각형 6"/>
        <xdr:cNvSpPr/>
      </xdr:nvSpPr>
      <xdr:spPr>
        <a:xfrm>
          <a:off x="11576476" y="999726"/>
          <a:ext cx="4145377" cy="2791866"/>
        </a:xfrm>
        <a:prstGeom prst="roundRect">
          <a:avLst>
            <a:gd name="adj" fmla="val 637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149680</xdr:colOff>
      <xdr:row>6</xdr:row>
      <xdr:rowOff>244928</xdr:rowOff>
    </xdr:from>
    <xdr:to>
      <xdr:col>22</xdr:col>
      <xdr:colOff>462644</xdr:colOff>
      <xdr:row>7</xdr:row>
      <xdr:rowOff>204108</xdr:rowOff>
    </xdr:to>
    <xdr:sp macro="[0]!shp로그인_Click" textlink="디자인!N1">
      <xdr:nvSpPr>
        <xdr:cNvPr id="28" name="shp로그인"/>
        <xdr:cNvSpPr/>
      </xdr:nvSpPr>
      <xdr:spPr>
        <a:xfrm>
          <a:off x="11770180" y="3203281"/>
          <a:ext cx="3730758" cy="452239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D592318-BAF4-4AD9-A993-0990B1F031ED}" type="TxLink">
            <a:rPr lang="ko-KR" altLang="en-US" sz="12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로그인</a:t>
          </a:fld>
          <a:endParaRPr lang="ko-KR" altLang="en-US" sz="14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-1</xdr:colOff>
      <xdr:row>11</xdr:row>
      <xdr:rowOff>-1</xdr:rowOff>
    </xdr:from>
    <xdr:to>
      <xdr:col>9</xdr:col>
      <xdr:colOff>680356</xdr:colOff>
      <xdr:row>25</xdr:row>
      <xdr:rowOff>0</xdr:rowOff>
    </xdr:to>
    <xdr:sp macro="" textlink="">
      <xdr:nvSpPr>
        <xdr:cNvPr id="8" name="직사각형 7"/>
        <xdr:cNvSpPr/>
      </xdr:nvSpPr>
      <xdr:spPr>
        <a:xfrm>
          <a:off x="3401785" y="5102678"/>
          <a:ext cx="3401785" cy="285750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70758</xdr:colOff>
      <xdr:row>11</xdr:row>
      <xdr:rowOff>57146</xdr:rowOff>
    </xdr:from>
    <xdr:to>
      <xdr:col>6</xdr:col>
      <xdr:colOff>395804</xdr:colOff>
      <xdr:row>15</xdr:row>
      <xdr:rowOff>42476</xdr:rowOff>
    </xdr:to>
    <xdr:sp macro="" textlink="">
      <xdr:nvSpPr>
        <xdr:cNvPr id="12" name="TextBox 11"/>
        <xdr:cNvSpPr txBox="1"/>
      </xdr:nvSpPr>
      <xdr:spPr>
        <a:xfrm>
          <a:off x="3472544" y="5159825"/>
          <a:ext cx="1005403" cy="801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600" b="1">
              <a:solidFill>
                <a:schemeClr val="accent5"/>
              </a:solidFill>
              <a:latin typeface="+mj-ea"/>
              <a:ea typeface="+mj-ea"/>
            </a:rPr>
            <a:t>신용카드</a:t>
          </a:r>
          <a:endParaRPr lang="en-US" altLang="ko-KR" sz="1600" b="1">
            <a:solidFill>
              <a:schemeClr val="accent5"/>
            </a:solidFill>
            <a:latin typeface="+mj-ea"/>
            <a:ea typeface="+mj-ea"/>
          </a:endParaRPr>
        </a:p>
        <a:p>
          <a:r>
            <a:rPr lang="ko-KR" altLang="en-US" sz="1600" b="1">
              <a:solidFill>
                <a:schemeClr val="accent5"/>
              </a:solidFill>
              <a:latin typeface="+mj-ea"/>
              <a:ea typeface="+mj-ea"/>
            </a:rPr>
            <a:t>알아보기</a:t>
          </a:r>
          <a:endParaRPr lang="ko-KR" altLang="en-US" sz="1100" b="1">
            <a:solidFill>
              <a:schemeClr val="accent5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136071</xdr:colOff>
      <xdr:row>15</xdr:row>
      <xdr:rowOff>40822</xdr:rowOff>
    </xdr:from>
    <xdr:to>
      <xdr:col>9</xdr:col>
      <xdr:colOff>503465</xdr:colOff>
      <xdr:row>15</xdr:row>
      <xdr:rowOff>40822</xdr:rowOff>
    </xdr:to>
    <xdr:cxnSp macro="">
      <xdr:nvCxnSpPr>
        <xdr:cNvPr id="17" name="직선 연결선 16"/>
        <xdr:cNvCxnSpPr/>
      </xdr:nvCxnSpPr>
      <xdr:spPr>
        <a:xfrm>
          <a:off x="3537857" y="5959929"/>
          <a:ext cx="308882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70758</xdr:colOff>
      <xdr:row>15</xdr:row>
      <xdr:rowOff>57147</xdr:rowOff>
    </xdr:from>
    <xdr:to>
      <xdr:col>9</xdr:col>
      <xdr:colOff>283788</xdr:colOff>
      <xdr:row>17</xdr:row>
      <xdr:rowOff>51736</xdr:rowOff>
    </xdr:to>
    <xdr:sp macro="" textlink="">
      <xdr:nvSpPr>
        <xdr:cNvPr id="19" name="TextBox 18"/>
        <xdr:cNvSpPr txBox="1"/>
      </xdr:nvSpPr>
      <xdr:spPr>
        <a:xfrm>
          <a:off x="3472544" y="5976254"/>
          <a:ext cx="293445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400" b="1">
              <a:solidFill>
                <a:schemeClr val="tx1"/>
              </a:solidFill>
              <a:latin typeface="+mj-ea"/>
              <a:ea typeface="+mj-ea"/>
            </a:rPr>
            <a:t>귀하에게 적합한 카드가 있습니다</a:t>
          </a:r>
          <a:r>
            <a:rPr lang="en-US" altLang="ko-KR" sz="1400" b="1">
              <a:solidFill>
                <a:schemeClr val="tx1"/>
              </a:solidFill>
              <a:latin typeface="+mj-ea"/>
              <a:ea typeface="+mj-ea"/>
            </a:rPr>
            <a:t>.</a:t>
          </a:r>
          <a:endParaRPr lang="ko-KR" altLang="en-US" sz="105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70758</xdr:colOff>
      <xdr:row>16</xdr:row>
      <xdr:rowOff>193219</xdr:rowOff>
    </xdr:from>
    <xdr:to>
      <xdr:col>9</xdr:col>
      <xdr:colOff>400230</xdr:colOff>
      <xdr:row>20</xdr:row>
      <xdr:rowOff>1320</xdr:rowOff>
    </xdr:to>
    <xdr:sp macro="" textlink="">
      <xdr:nvSpPr>
        <xdr:cNvPr id="22" name="TextBox 21"/>
        <xdr:cNvSpPr txBox="1"/>
      </xdr:nvSpPr>
      <xdr:spPr>
        <a:xfrm>
          <a:off x="3472544" y="6316433"/>
          <a:ext cx="3050900" cy="624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캐시백에서 이자 절감까지</a:t>
          </a:r>
          <a:r>
            <a:rPr lang="en-US" altLang="ko-KR" sz="1200" b="0">
              <a:solidFill>
                <a:schemeClr val="tx1"/>
              </a:solidFill>
              <a:latin typeface="+mj-ea"/>
              <a:ea typeface="+mj-ea"/>
            </a:rPr>
            <a:t>, </a:t>
          </a:r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당신의 요구에</a:t>
          </a:r>
          <a:endParaRPr lang="en-US" altLang="ko-KR" sz="1200" b="0">
            <a:solidFill>
              <a:schemeClr val="tx1"/>
            </a:solidFill>
            <a:latin typeface="+mj-ea"/>
            <a:ea typeface="+mj-ea"/>
          </a:endParaRPr>
        </a:p>
        <a:p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맞춘 올바른 카드를 보유하고 있습니다</a:t>
          </a:r>
          <a:r>
            <a:rPr lang="en-US" altLang="ko-KR" sz="1200" b="0">
              <a:solidFill>
                <a:schemeClr val="tx1"/>
              </a:solidFill>
              <a:latin typeface="+mj-ea"/>
              <a:ea typeface="+mj-ea"/>
            </a:rPr>
            <a:t>.</a:t>
          </a:r>
          <a:endParaRPr lang="ko-KR" altLang="en-US" sz="1000" b="0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136072</xdr:colOff>
      <xdr:row>22</xdr:row>
      <xdr:rowOff>81642</xdr:rowOff>
    </xdr:from>
    <xdr:to>
      <xdr:col>9</xdr:col>
      <xdr:colOff>530679</xdr:colOff>
      <xdr:row>24</xdr:row>
      <xdr:rowOff>68036</xdr:rowOff>
    </xdr:to>
    <xdr:sp macro="[0]!shp찾아보기_Click" textlink="">
      <xdr:nvSpPr>
        <xdr:cNvPr id="29" name="shp카드"/>
        <xdr:cNvSpPr/>
      </xdr:nvSpPr>
      <xdr:spPr>
        <a:xfrm>
          <a:off x="3537858" y="7429499"/>
          <a:ext cx="3116035" cy="394608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/>
            <a:t>알아보기</a:t>
          </a:r>
        </a:p>
      </xdr:txBody>
    </xdr:sp>
    <xdr:clientData/>
  </xdr:twoCellAnchor>
  <xdr:twoCellAnchor>
    <xdr:from>
      <xdr:col>10</xdr:col>
      <xdr:colOff>421821</xdr:colOff>
      <xdr:row>11</xdr:row>
      <xdr:rowOff>-1</xdr:rowOff>
    </xdr:from>
    <xdr:to>
      <xdr:col>15</xdr:col>
      <xdr:colOff>421820</xdr:colOff>
      <xdr:row>25</xdr:row>
      <xdr:rowOff>0</xdr:rowOff>
    </xdr:to>
    <xdr:sp macro="" textlink="">
      <xdr:nvSpPr>
        <xdr:cNvPr id="32" name="직사각형 31"/>
        <xdr:cNvSpPr/>
      </xdr:nvSpPr>
      <xdr:spPr>
        <a:xfrm>
          <a:off x="7225392" y="5102678"/>
          <a:ext cx="3401785" cy="285750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492580</xdr:colOff>
      <xdr:row>11</xdr:row>
      <xdr:rowOff>57146</xdr:rowOff>
    </xdr:from>
    <xdr:to>
      <xdr:col>12</xdr:col>
      <xdr:colOff>137268</xdr:colOff>
      <xdr:row>15</xdr:row>
      <xdr:rowOff>42476</xdr:rowOff>
    </xdr:to>
    <xdr:sp macro="" textlink="">
      <xdr:nvSpPr>
        <xdr:cNvPr id="33" name="TextBox 32"/>
        <xdr:cNvSpPr txBox="1"/>
      </xdr:nvSpPr>
      <xdr:spPr>
        <a:xfrm>
          <a:off x="7296151" y="5159825"/>
          <a:ext cx="1005403" cy="801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600" b="1">
              <a:solidFill>
                <a:schemeClr val="accent5"/>
              </a:solidFill>
              <a:latin typeface="+mj-ea"/>
              <a:ea typeface="+mj-ea"/>
            </a:rPr>
            <a:t>Chase Freedom</a:t>
          </a:r>
        </a:p>
        <a:p>
          <a:r>
            <a:rPr lang="en-US" altLang="ko-KR" sz="1600" b="1">
              <a:solidFill>
                <a:schemeClr val="accent5"/>
              </a:solidFill>
              <a:latin typeface="+mj-ea"/>
              <a:ea typeface="+mj-ea"/>
            </a:rPr>
            <a:t>Flex</a:t>
          </a:r>
          <a:r>
            <a:rPr lang="ko-KR" altLang="en-US" sz="1600" b="1">
              <a:solidFill>
                <a:schemeClr val="accent5"/>
              </a:solidFill>
              <a:latin typeface="+mj-ea"/>
              <a:ea typeface="+mj-ea"/>
            </a:rPr>
            <a:t>™</a:t>
          </a:r>
          <a:endParaRPr lang="ko-KR" altLang="en-US" sz="1100" b="1">
            <a:solidFill>
              <a:schemeClr val="accent5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10</xdr:col>
      <xdr:colOff>557893</xdr:colOff>
      <xdr:row>15</xdr:row>
      <xdr:rowOff>40822</xdr:rowOff>
    </xdr:from>
    <xdr:to>
      <xdr:col>15</xdr:col>
      <xdr:colOff>244929</xdr:colOff>
      <xdr:row>15</xdr:row>
      <xdr:rowOff>40822</xdr:rowOff>
    </xdr:to>
    <xdr:cxnSp macro="">
      <xdr:nvCxnSpPr>
        <xdr:cNvPr id="34" name="직선 연결선 33"/>
        <xdr:cNvCxnSpPr/>
      </xdr:nvCxnSpPr>
      <xdr:spPr>
        <a:xfrm>
          <a:off x="7361464" y="5959929"/>
          <a:ext cx="308882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492580</xdr:colOff>
      <xdr:row>15</xdr:row>
      <xdr:rowOff>57146</xdr:rowOff>
    </xdr:from>
    <xdr:to>
      <xdr:col>15</xdr:col>
      <xdr:colOff>25252</xdr:colOff>
      <xdr:row>19</xdr:row>
      <xdr:rowOff>136070</xdr:rowOff>
    </xdr:to>
    <xdr:sp macro="" textlink="">
      <xdr:nvSpPr>
        <xdr:cNvPr id="35" name="TextBox 34"/>
        <xdr:cNvSpPr txBox="1"/>
      </xdr:nvSpPr>
      <xdr:spPr>
        <a:xfrm>
          <a:off x="7296151" y="5976253"/>
          <a:ext cx="2934458" cy="8953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400" b="1">
              <a:solidFill>
                <a:schemeClr val="tx1"/>
              </a:solidFill>
              <a:latin typeface="+mj-ea"/>
              <a:ea typeface="+mj-ea"/>
            </a:rPr>
            <a:t>신규 고객 </a:t>
          </a:r>
          <a:r>
            <a:rPr lang="en-US" altLang="ko-KR" sz="1400" b="1">
              <a:solidFill>
                <a:schemeClr val="tx1"/>
              </a:solidFill>
              <a:latin typeface="+mj-ea"/>
              <a:ea typeface="+mj-ea"/>
            </a:rPr>
            <a:t>$200 </a:t>
          </a:r>
          <a:r>
            <a:rPr lang="ko-KR" altLang="en-US" sz="1400" b="1">
              <a:solidFill>
                <a:schemeClr val="tx1"/>
              </a:solidFill>
              <a:latin typeface="+mj-ea"/>
              <a:ea typeface="+mj-ea"/>
            </a:rPr>
            <a:t>바운드 적립 </a:t>
          </a:r>
          <a:r>
            <a:rPr lang="en-US" altLang="ko-KR" sz="1400" b="1">
              <a:solidFill>
                <a:schemeClr val="tx1"/>
              </a:solidFill>
              <a:latin typeface="+mj-ea"/>
              <a:ea typeface="+mj-ea"/>
            </a:rPr>
            <a:t>+</a:t>
          </a:r>
        </a:p>
        <a:p>
          <a:r>
            <a:rPr lang="en-US" altLang="ko-KR" sz="1400" b="1">
              <a:solidFill>
                <a:schemeClr val="tx1"/>
              </a:solidFill>
              <a:latin typeface="+mj-ea"/>
              <a:ea typeface="+mj-ea"/>
            </a:rPr>
            <a:t>NEW</a:t>
          </a:r>
          <a:r>
            <a:rPr lang="en-US" altLang="ko-KR" sz="1400" b="1" baseline="0">
              <a:solidFill>
                <a:schemeClr val="tx1"/>
              </a:solidFill>
              <a:latin typeface="+mj-ea"/>
              <a:ea typeface="+mj-ea"/>
            </a:rPr>
            <a:t> Chase Freedom Flex</a:t>
          </a:r>
          <a:r>
            <a:rPr lang="ko-KR" altLang="en-US" sz="1400" b="1" baseline="0">
              <a:solidFill>
                <a:schemeClr val="tx1"/>
              </a:solidFill>
              <a:latin typeface="+mj-ea"/>
              <a:ea typeface="+mj-ea"/>
            </a:rPr>
            <a:t>카드</a:t>
          </a:r>
          <a:endParaRPr lang="en-US" altLang="ko-KR" sz="14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10</xdr:col>
      <xdr:colOff>533402</xdr:colOff>
      <xdr:row>18</xdr:row>
      <xdr:rowOff>57147</xdr:rowOff>
    </xdr:from>
    <xdr:to>
      <xdr:col>15</xdr:col>
      <xdr:colOff>182516</xdr:colOff>
      <xdr:row>21</xdr:row>
      <xdr:rowOff>69356</xdr:rowOff>
    </xdr:to>
    <xdr:sp macro="" textlink="">
      <xdr:nvSpPr>
        <xdr:cNvPr id="36" name="TextBox 35"/>
        <xdr:cNvSpPr txBox="1"/>
      </xdr:nvSpPr>
      <xdr:spPr>
        <a:xfrm>
          <a:off x="7336973" y="6588576"/>
          <a:ext cx="3050900" cy="624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캐시백의 새로운 방법</a:t>
          </a:r>
          <a:r>
            <a:rPr lang="en-US" altLang="ko-KR" sz="1200" b="0">
              <a:solidFill>
                <a:schemeClr val="tx1"/>
              </a:solidFill>
              <a:latin typeface="+mj-ea"/>
              <a:ea typeface="+mj-ea"/>
            </a:rPr>
            <a:t>, 4.90%, APR,</a:t>
          </a:r>
        </a:p>
        <a:p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연회비 없음</a:t>
          </a:r>
          <a:r>
            <a:rPr lang="en-US" altLang="ko-KR" sz="1200" b="0">
              <a:solidFill>
                <a:schemeClr val="tx1"/>
              </a:solidFill>
              <a:latin typeface="+mj-ea"/>
              <a:ea typeface="+mj-ea"/>
            </a:rPr>
            <a:t>, </a:t>
          </a:r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모든 구매에서 할인</a:t>
          </a:r>
          <a:r>
            <a:rPr lang="en-US" altLang="ko-KR" sz="1200" b="0">
              <a:solidFill>
                <a:schemeClr val="tx1"/>
              </a:solidFill>
              <a:latin typeface="+mj-ea"/>
              <a:ea typeface="+mj-ea"/>
            </a:rPr>
            <a:t>/</a:t>
          </a:r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적립</a:t>
          </a:r>
          <a:endParaRPr lang="ko-KR" altLang="en-US" sz="1000" b="0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10</xdr:col>
      <xdr:colOff>557894</xdr:colOff>
      <xdr:row>22</xdr:row>
      <xdr:rowOff>81642</xdr:rowOff>
    </xdr:from>
    <xdr:to>
      <xdr:col>15</xdr:col>
      <xdr:colOff>272143</xdr:colOff>
      <xdr:row>24</xdr:row>
      <xdr:rowOff>68036</xdr:rowOff>
    </xdr:to>
    <xdr:sp macro="[0]!shp신청하기_Click" textlink="">
      <xdr:nvSpPr>
        <xdr:cNvPr id="37" name="shp카드신청"/>
        <xdr:cNvSpPr/>
      </xdr:nvSpPr>
      <xdr:spPr>
        <a:xfrm>
          <a:off x="7361465" y="7429499"/>
          <a:ext cx="3116035" cy="394608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/>
            <a:t>알아보기</a:t>
          </a:r>
        </a:p>
      </xdr:txBody>
    </xdr:sp>
    <xdr:clientData/>
  </xdr:twoCellAnchor>
  <xdr:twoCellAnchor>
    <xdr:from>
      <xdr:col>16</xdr:col>
      <xdr:colOff>163285</xdr:colOff>
      <xdr:row>11</xdr:row>
      <xdr:rowOff>-1</xdr:rowOff>
    </xdr:from>
    <xdr:to>
      <xdr:col>21</xdr:col>
      <xdr:colOff>163284</xdr:colOff>
      <xdr:row>25</xdr:row>
      <xdr:rowOff>0</xdr:rowOff>
    </xdr:to>
    <xdr:sp macro="" textlink="">
      <xdr:nvSpPr>
        <xdr:cNvPr id="39" name="직사각형 38"/>
        <xdr:cNvSpPr/>
      </xdr:nvSpPr>
      <xdr:spPr>
        <a:xfrm>
          <a:off x="11048999" y="5102678"/>
          <a:ext cx="3401785" cy="285750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234044</xdr:colOff>
      <xdr:row>11</xdr:row>
      <xdr:rowOff>57146</xdr:rowOff>
    </xdr:from>
    <xdr:to>
      <xdr:col>17</xdr:col>
      <xdr:colOff>559090</xdr:colOff>
      <xdr:row>15</xdr:row>
      <xdr:rowOff>42476</xdr:rowOff>
    </xdr:to>
    <xdr:sp macro="" textlink="">
      <xdr:nvSpPr>
        <xdr:cNvPr id="40" name="TextBox 39"/>
        <xdr:cNvSpPr txBox="1"/>
      </xdr:nvSpPr>
      <xdr:spPr>
        <a:xfrm>
          <a:off x="11119758" y="5159825"/>
          <a:ext cx="1005403" cy="801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600" b="1">
              <a:solidFill>
                <a:schemeClr val="accent5"/>
              </a:solidFill>
              <a:latin typeface="+mj-ea"/>
              <a:ea typeface="+mj-ea"/>
            </a:rPr>
            <a:t>Chase</a:t>
          </a:r>
        </a:p>
        <a:p>
          <a:r>
            <a:rPr lang="ko-KR" altLang="en-US" sz="1600" b="1">
              <a:solidFill>
                <a:schemeClr val="accent5"/>
              </a:solidFill>
              <a:latin typeface="+mj-ea"/>
              <a:ea typeface="+mj-ea"/>
            </a:rPr>
            <a:t>쇼핑 센터</a:t>
          </a:r>
          <a:endParaRPr lang="ko-KR" altLang="en-US" sz="1100" b="1">
            <a:solidFill>
              <a:schemeClr val="accent5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16</xdr:col>
      <xdr:colOff>299357</xdr:colOff>
      <xdr:row>15</xdr:row>
      <xdr:rowOff>40822</xdr:rowOff>
    </xdr:from>
    <xdr:to>
      <xdr:col>20</xdr:col>
      <xdr:colOff>666750</xdr:colOff>
      <xdr:row>15</xdr:row>
      <xdr:rowOff>40822</xdr:rowOff>
    </xdr:to>
    <xdr:cxnSp macro="">
      <xdr:nvCxnSpPr>
        <xdr:cNvPr id="41" name="직선 연결선 40"/>
        <xdr:cNvCxnSpPr/>
      </xdr:nvCxnSpPr>
      <xdr:spPr>
        <a:xfrm>
          <a:off x="11185071" y="5959929"/>
          <a:ext cx="308882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234044</xdr:colOff>
      <xdr:row>15</xdr:row>
      <xdr:rowOff>57147</xdr:rowOff>
    </xdr:from>
    <xdr:to>
      <xdr:col>20</xdr:col>
      <xdr:colOff>447073</xdr:colOff>
      <xdr:row>18</xdr:row>
      <xdr:rowOff>190500</xdr:rowOff>
    </xdr:to>
    <xdr:sp macro="" textlink="">
      <xdr:nvSpPr>
        <xdr:cNvPr id="42" name="TextBox 41"/>
        <xdr:cNvSpPr txBox="1"/>
      </xdr:nvSpPr>
      <xdr:spPr>
        <a:xfrm>
          <a:off x="11119758" y="5976254"/>
          <a:ext cx="2934458" cy="745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400" b="1">
              <a:solidFill>
                <a:schemeClr val="tx1"/>
              </a:solidFill>
              <a:latin typeface="+mj-ea"/>
              <a:ea typeface="+mj-ea"/>
            </a:rPr>
            <a:t>국내 결제 수수료 없음</a:t>
          </a:r>
          <a:endParaRPr lang="en-US" altLang="ko-KR" sz="1400" b="1">
            <a:solidFill>
              <a:schemeClr val="tx1"/>
            </a:solidFill>
            <a:latin typeface="+mj-ea"/>
            <a:ea typeface="+mj-ea"/>
          </a:endParaRPr>
        </a:p>
        <a:p>
          <a:r>
            <a:rPr lang="en-US" altLang="ko-KR" sz="1400" b="1">
              <a:solidFill>
                <a:schemeClr val="tx1"/>
              </a:solidFill>
              <a:latin typeface="+mj-ea"/>
              <a:ea typeface="+mj-ea"/>
            </a:rPr>
            <a:t>Chase </a:t>
          </a:r>
          <a:r>
            <a:rPr lang="ko-KR" altLang="en-US" sz="1400" b="1">
              <a:solidFill>
                <a:schemeClr val="tx1"/>
              </a:solidFill>
              <a:latin typeface="+mj-ea"/>
              <a:ea typeface="+mj-ea"/>
            </a:rPr>
            <a:t>고객 할인 혜택 적용</a:t>
          </a:r>
          <a:endParaRPr lang="ko-KR" altLang="en-US" sz="105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16</xdr:col>
      <xdr:colOff>234044</xdr:colOff>
      <xdr:row>18</xdr:row>
      <xdr:rowOff>70754</xdr:rowOff>
    </xdr:from>
    <xdr:to>
      <xdr:col>20</xdr:col>
      <xdr:colOff>563515</xdr:colOff>
      <xdr:row>21</xdr:row>
      <xdr:rowOff>82963</xdr:rowOff>
    </xdr:to>
    <xdr:sp macro="" textlink="">
      <xdr:nvSpPr>
        <xdr:cNvPr id="43" name="TextBox 42"/>
        <xdr:cNvSpPr txBox="1"/>
      </xdr:nvSpPr>
      <xdr:spPr>
        <a:xfrm>
          <a:off x="11119758" y="6602183"/>
          <a:ext cx="3050900" cy="624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200" b="0">
              <a:solidFill>
                <a:schemeClr val="tx1"/>
              </a:solidFill>
              <a:latin typeface="+mj-ea"/>
              <a:ea typeface="+mj-ea"/>
            </a:rPr>
            <a:t>Chase</a:t>
          </a:r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가 원하는 제품 최대 </a:t>
          </a:r>
          <a:r>
            <a:rPr lang="en-US" altLang="ko-KR" sz="1200" b="0">
              <a:solidFill>
                <a:schemeClr val="tx1"/>
              </a:solidFill>
              <a:latin typeface="+mj-ea"/>
              <a:ea typeface="+mj-ea"/>
            </a:rPr>
            <a:t>15%</a:t>
          </a:r>
          <a:r>
            <a:rPr lang="en-US" altLang="ko-KR" sz="1200" b="0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1200" b="0" baseline="0">
              <a:solidFill>
                <a:schemeClr val="tx1"/>
              </a:solidFill>
              <a:latin typeface="+mj-ea"/>
              <a:ea typeface="+mj-ea"/>
            </a:rPr>
            <a:t>캐시백</a:t>
          </a:r>
          <a:endParaRPr lang="en-US" altLang="ko-KR" sz="1200" b="0" baseline="0">
            <a:solidFill>
              <a:schemeClr val="tx1"/>
            </a:solidFill>
            <a:latin typeface="+mj-ea"/>
            <a:ea typeface="+mj-ea"/>
          </a:endParaRPr>
        </a:p>
        <a:p>
          <a:r>
            <a:rPr lang="ko-KR" altLang="en-US" sz="1200" b="0" baseline="0">
              <a:solidFill>
                <a:schemeClr val="tx1"/>
              </a:solidFill>
              <a:latin typeface="+mj-ea"/>
              <a:ea typeface="+mj-ea"/>
            </a:rPr>
            <a:t>적용</a:t>
          </a:r>
          <a:r>
            <a:rPr lang="en-US" altLang="ko-KR" sz="1200" b="0" baseline="0">
              <a:solidFill>
                <a:schemeClr val="tx1"/>
              </a:solidFill>
              <a:latin typeface="+mj-ea"/>
              <a:ea typeface="+mj-ea"/>
            </a:rPr>
            <a:t>, </a:t>
          </a:r>
          <a:r>
            <a:rPr lang="ko-KR" altLang="en-US" sz="1200" b="0" baseline="0">
              <a:solidFill>
                <a:schemeClr val="tx1"/>
              </a:solidFill>
              <a:latin typeface="+mj-ea"/>
              <a:ea typeface="+mj-ea"/>
            </a:rPr>
            <a:t>국내 결제시 수수료 없음</a:t>
          </a:r>
          <a:r>
            <a:rPr lang="en-US" altLang="ko-KR" sz="1200" b="0" baseline="0">
              <a:solidFill>
                <a:schemeClr val="tx1"/>
              </a:solidFill>
              <a:latin typeface="+mj-ea"/>
              <a:ea typeface="+mj-ea"/>
            </a:rPr>
            <a:t>.</a:t>
          </a:r>
          <a:r>
            <a:rPr lang="ko-KR" altLang="en-US" sz="1200" b="0">
              <a:solidFill>
                <a:schemeClr val="tx1"/>
              </a:solidFill>
              <a:latin typeface="+mj-ea"/>
              <a:ea typeface="+mj-ea"/>
            </a:rPr>
            <a:t> </a:t>
          </a:r>
        </a:p>
      </xdr:txBody>
    </xdr:sp>
    <xdr:clientData/>
  </xdr:twoCellAnchor>
  <xdr:twoCellAnchor>
    <xdr:from>
      <xdr:col>16</xdr:col>
      <xdr:colOff>299358</xdr:colOff>
      <xdr:row>22</xdr:row>
      <xdr:rowOff>81642</xdr:rowOff>
    </xdr:from>
    <xdr:to>
      <xdr:col>21</xdr:col>
      <xdr:colOff>13607</xdr:colOff>
      <xdr:row>24</xdr:row>
      <xdr:rowOff>68036</xdr:rowOff>
    </xdr:to>
    <xdr:sp macro="[0]!shp구매_Click" textlink="">
      <xdr:nvSpPr>
        <xdr:cNvPr id="44" name="shp구매"/>
        <xdr:cNvSpPr/>
      </xdr:nvSpPr>
      <xdr:spPr>
        <a:xfrm>
          <a:off x="11185072" y="7429499"/>
          <a:ext cx="3116035" cy="394608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/>
            <a:t>알아보기</a:t>
          </a:r>
        </a:p>
      </xdr:txBody>
    </xdr:sp>
    <xdr:clientData/>
  </xdr:twoCellAnchor>
  <xdr:twoCellAnchor>
    <xdr:from>
      <xdr:col>5</xdr:col>
      <xdr:colOff>-1</xdr:colOff>
      <xdr:row>26</xdr:row>
      <xdr:rowOff>0</xdr:rowOff>
    </xdr:from>
    <xdr:to>
      <xdr:col>21</xdr:col>
      <xdr:colOff>176893</xdr:colOff>
      <xdr:row>39</xdr:row>
      <xdr:rowOff>27214</xdr:rowOff>
    </xdr:to>
    <xdr:sp macro="" textlink="">
      <xdr:nvSpPr>
        <xdr:cNvPr id="45" name="직사각형 44"/>
        <xdr:cNvSpPr/>
      </xdr:nvSpPr>
      <xdr:spPr>
        <a:xfrm>
          <a:off x="3401785" y="8164286"/>
          <a:ext cx="11062608" cy="2680607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217715</xdr:colOff>
      <xdr:row>27</xdr:row>
      <xdr:rowOff>1</xdr:rowOff>
    </xdr:from>
    <xdr:to>
      <xdr:col>8</xdr:col>
      <xdr:colOff>476250</xdr:colOff>
      <xdr:row>38</xdr:row>
      <xdr:rowOff>27215</xdr:rowOff>
    </xdr:to>
    <xdr:sp macro="" textlink="">
      <xdr:nvSpPr>
        <xdr:cNvPr id="46" name="직사각형 45"/>
        <xdr:cNvSpPr/>
      </xdr:nvSpPr>
      <xdr:spPr>
        <a:xfrm>
          <a:off x="3619501" y="8368394"/>
          <a:ext cx="2299606" cy="2272392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200"/>
        </a:p>
      </xdr:txBody>
    </xdr:sp>
    <xdr:clientData/>
  </xdr:twoCellAnchor>
  <xdr:twoCellAnchor>
    <xdr:from>
      <xdr:col>5</xdr:col>
      <xdr:colOff>592138</xdr:colOff>
      <xdr:row>28</xdr:row>
      <xdr:rowOff>152400</xdr:rowOff>
    </xdr:from>
    <xdr:to>
      <xdr:col>8</xdr:col>
      <xdr:colOff>85462</xdr:colOff>
      <xdr:row>32</xdr:row>
      <xdr:rowOff>137922</xdr:rowOff>
    </xdr:to>
    <xdr:sp macro="" textlink="">
      <xdr:nvSpPr>
        <xdr:cNvPr id="47" name="TextBox 46"/>
        <xdr:cNvSpPr txBox="1"/>
      </xdr:nvSpPr>
      <xdr:spPr>
        <a:xfrm>
          <a:off x="3993924" y="8724900"/>
          <a:ext cx="1534395" cy="8019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2400">
              <a:solidFill>
                <a:schemeClr val="bg1"/>
              </a:solidFill>
              <a:latin typeface="+mj-ea"/>
              <a:ea typeface="+mj-ea"/>
            </a:rPr>
            <a:t>즐기다</a:t>
          </a:r>
          <a:r>
            <a:rPr lang="en-US" altLang="ko-KR" sz="2400">
              <a:solidFill>
                <a:schemeClr val="bg1"/>
              </a:solidFill>
              <a:latin typeface="+mj-ea"/>
              <a:ea typeface="+mj-ea"/>
            </a:rPr>
            <a:t>!</a:t>
          </a:r>
          <a:endParaRPr lang="ko-KR" altLang="en-US" sz="240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547008</xdr:colOff>
      <xdr:row>29</xdr:row>
      <xdr:rowOff>920</xdr:rowOff>
    </xdr:from>
    <xdr:to>
      <xdr:col>8</xdr:col>
      <xdr:colOff>162288</xdr:colOff>
      <xdr:row>37</xdr:row>
      <xdr:rowOff>56922</xdr:rowOff>
    </xdr:to>
    <xdr:sp macro="" textlink="">
      <xdr:nvSpPr>
        <xdr:cNvPr id="48" name="TextBox 47"/>
        <xdr:cNvSpPr txBox="1"/>
      </xdr:nvSpPr>
      <xdr:spPr>
        <a:xfrm>
          <a:off x="3948794" y="8777527"/>
          <a:ext cx="1656351" cy="1688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5400" b="1">
              <a:solidFill>
                <a:schemeClr val="bg1"/>
              </a:solidFill>
              <a:latin typeface="+mj-ea"/>
              <a:ea typeface="+mj-ea"/>
            </a:rPr>
            <a:t>$</a:t>
          </a:r>
          <a:r>
            <a:rPr lang="en-US" altLang="ko-KR" sz="7200" b="1">
              <a:solidFill>
                <a:schemeClr val="bg1"/>
              </a:solidFill>
              <a:latin typeface="+mj-ea"/>
              <a:ea typeface="+mj-ea"/>
            </a:rPr>
            <a:t>25</a:t>
          </a:r>
          <a:endParaRPr lang="ko-KR" altLang="en-US" sz="72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oneCellAnchor>
    <xdr:from>
      <xdr:col>9</xdr:col>
      <xdr:colOff>70758</xdr:colOff>
      <xdr:row>27</xdr:row>
      <xdr:rowOff>2720</xdr:rowOff>
    </xdr:from>
    <xdr:ext cx="5432000" cy="1334083"/>
    <xdr:sp macro="" textlink="">
      <xdr:nvSpPr>
        <xdr:cNvPr id="50" name="TextBox 49"/>
        <xdr:cNvSpPr txBox="1"/>
      </xdr:nvSpPr>
      <xdr:spPr>
        <a:xfrm>
          <a:off x="6193972" y="8371113"/>
          <a:ext cx="5432000" cy="1334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800" b="0">
              <a:solidFill>
                <a:schemeClr val="tx1"/>
              </a:solidFill>
              <a:latin typeface="+mj-ea"/>
              <a:ea typeface="+mj-ea"/>
            </a:rPr>
            <a:t>새로운</a:t>
          </a:r>
          <a:r>
            <a:rPr lang="ko-KR" altLang="en-US" sz="2800" b="0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en-US" altLang="ko-KR" sz="2800" b="0" baseline="0">
              <a:solidFill>
                <a:schemeClr val="tx1"/>
              </a:solidFill>
              <a:latin typeface="+mj-ea"/>
              <a:ea typeface="+mj-ea"/>
            </a:rPr>
            <a:t>Chase Checking Account</a:t>
          </a:r>
        </a:p>
        <a:p>
          <a:r>
            <a:rPr lang="ko-KR" altLang="en-US" sz="2800" b="0" baseline="0">
              <a:solidFill>
                <a:schemeClr val="tx1"/>
              </a:solidFill>
              <a:latin typeface="+mj-ea"/>
              <a:ea typeface="+mj-ea"/>
            </a:rPr>
            <a:t>고객님</a:t>
          </a:r>
          <a:r>
            <a:rPr lang="en-US" altLang="ko-KR" sz="2800" b="0" baseline="0">
              <a:solidFill>
                <a:schemeClr val="tx1"/>
              </a:solidFill>
              <a:latin typeface="+mj-ea"/>
              <a:ea typeface="+mj-ea"/>
            </a:rPr>
            <a:t>, </a:t>
          </a:r>
          <a:r>
            <a:rPr lang="ko-KR" altLang="en-US" sz="2800" b="0" baseline="0">
              <a:solidFill>
                <a:schemeClr val="tx1"/>
              </a:solidFill>
              <a:latin typeface="+mj-ea"/>
              <a:ea typeface="+mj-ea"/>
            </a:rPr>
            <a:t>놓치지 마세요</a:t>
          </a:r>
          <a:r>
            <a:rPr lang="en-US" altLang="ko-KR" sz="2800" b="0" baseline="0">
              <a:solidFill>
                <a:schemeClr val="tx1"/>
              </a:solidFill>
              <a:latin typeface="+mj-ea"/>
              <a:ea typeface="+mj-ea"/>
            </a:rPr>
            <a:t>.</a:t>
          </a:r>
          <a:endParaRPr lang="ko-KR" altLang="en-US" sz="1800" b="0">
            <a:solidFill>
              <a:schemeClr val="tx1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9</xdr:col>
      <xdr:colOff>70758</xdr:colOff>
      <xdr:row>33</xdr:row>
      <xdr:rowOff>97969</xdr:rowOff>
    </xdr:from>
    <xdr:ext cx="4836132" cy="369525"/>
    <xdr:sp macro="" textlink="">
      <xdr:nvSpPr>
        <xdr:cNvPr id="51" name="TextBox 50"/>
        <xdr:cNvSpPr txBox="1"/>
      </xdr:nvSpPr>
      <xdr:spPr>
        <a:xfrm>
          <a:off x="6193972" y="9691005"/>
          <a:ext cx="4836132" cy="369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250" b="0">
              <a:solidFill>
                <a:schemeClr val="tx1"/>
              </a:solidFill>
              <a:latin typeface="+mj-ea"/>
              <a:ea typeface="+mj-ea"/>
            </a:rPr>
            <a:t>지금 </a:t>
          </a:r>
          <a:r>
            <a:rPr lang="en-US" altLang="ko-KR" sz="1250" b="0">
              <a:solidFill>
                <a:schemeClr val="tx1"/>
              </a:solidFill>
              <a:latin typeface="+mj-ea"/>
              <a:ea typeface="+mj-ea"/>
            </a:rPr>
            <a:t>Chase</a:t>
          </a:r>
          <a:r>
            <a:rPr lang="en-US" altLang="ko-KR" sz="1250" b="0" baseline="0">
              <a:solidFill>
                <a:schemeClr val="tx1"/>
              </a:solidFill>
              <a:latin typeface="+mj-ea"/>
              <a:ea typeface="+mj-ea"/>
            </a:rPr>
            <a:t> Secure Banking </a:t>
          </a:r>
          <a:r>
            <a:rPr lang="ko-KR" altLang="en-US" sz="1250" b="0" baseline="0">
              <a:solidFill>
                <a:schemeClr val="tx1"/>
              </a:solidFill>
              <a:latin typeface="+mj-ea"/>
              <a:ea typeface="+mj-ea"/>
            </a:rPr>
            <a:t>계좌를 개설하고 </a:t>
          </a:r>
          <a:r>
            <a:rPr lang="en-US" altLang="ko-KR" sz="1250" b="0" baseline="0">
              <a:solidFill>
                <a:schemeClr val="tx1"/>
              </a:solidFill>
              <a:latin typeface="+mj-ea"/>
              <a:ea typeface="+mj-ea"/>
            </a:rPr>
            <a:t>$ 25</a:t>
          </a:r>
          <a:r>
            <a:rPr lang="ko-KR" altLang="en-US" sz="1250" b="0" baseline="0">
              <a:solidFill>
                <a:schemeClr val="tx1"/>
              </a:solidFill>
              <a:latin typeface="+mj-ea"/>
              <a:ea typeface="+mj-ea"/>
            </a:rPr>
            <a:t>를 즐기십시오</a:t>
          </a:r>
          <a:r>
            <a:rPr lang="en-US" altLang="ko-KR" sz="1250" b="0" baseline="0">
              <a:solidFill>
                <a:schemeClr val="tx1"/>
              </a:solidFill>
              <a:latin typeface="+mj-ea"/>
              <a:ea typeface="+mj-ea"/>
            </a:rPr>
            <a:t>.</a:t>
          </a:r>
          <a:endParaRPr lang="ko-KR" altLang="en-US" sz="1250" b="0">
            <a:solidFill>
              <a:schemeClr val="tx1"/>
            </a:solidFill>
            <a:latin typeface="+mj-ea"/>
            <a:ea typeface="+mj-ea"/>
          </a:endParaRPr>
        </a:p>
      </xdr:txBody>
    </xdr:sp>
    <xdr:clientData/>
  </xdr:oneCellAnchor>
  <xdr:twoCellAnchor>
    <xdr:from>
      <xdr:col>9</xdr:col>
      <xdr:colOff>70757</xdr:colOff>
      <xdr:row>35</xdr:row>
      <xdr:rowOff>136071</xdr:rowOff>
    </xdr:from>
    <xdr:to>
      <xdr:col>21</xdr:col>
      <xdr:colOff>54428</xdr:colOff>
      <xdr:row>37</xdr:row>
      <xdr:rowOff>163288</xdr:rowOff>
    </xdr:to>
    <xdr:sp macro="[0]!shp계정만들기_Click" textlink="">
      <xdr:nvSpPr>
        <xdr:cNvPr id="52" name="shp계좌만들기"/>
        <xdr:cNvSpPr/>
      </xdr:nvSpPr>
      <xdr:spPr>
        <a:xfrm>
          <a:off x="6193971" y="10137321"/>
          <a:ext cx="8147957" cy="435431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400"/>
            <a:t>새로운 계좌 만들기</a:t>
          </a:r>
        </a:p>
      </xdr:txBody>
    </xdr:sp>
    <xdr:clientData/>
  </xdr:twoCellAnchor>
  <xdr:twoCellAnchor>
    <xdr:from>
      <xdr:col>17</xdr:col>
      <xdr:colOff>84366</xdr:colOff>
      <xdr:row>2</xdr:row>
      <xdr:rowOff>97970</xdr:rowOff>
    </xdr:from>
    <xdr:to>
      <xdr:col>22</xdr:col>
      <xdr:colOff>462644</xdr:colOff>
      <xdr:row>5</xdr:row>
      <xdr:rowOff>476250</xdr:rowOff>
    </xdr:to>
    <xdr:grpSp>
      <xdr:nvGrpSpPr>
        <xdr:cNvPr id="10" name="그룹 9"/>
        <xdr:cNvGrpSpPr/>
      </xdr:nvGrpSpPr>
      <xdr:grpSpPr>
        <a:xfrm>
          <a:off x="11650437" y="1077684"/>
          <a:ext cx="3780064" cy="1847852"/>
          <a:chOff x="11704866" y="1084088"/>
          <a:chExt cx="3796072" cy="1857456"/>
        </a:xfrm>
      </xdr:grpSpPr>
      <xdr:sp macro="" textlink="">
        <xdr:nvSpPr>
          <xdr:cNvPr id="23" name="TextBox 22"/>
          <xdr:cNvSpPr txBox="1"/>
        </xdr:nvSpPr>
        <xdr:spPr>
          <a:xfrm>
            <a:off x="11704866" y="1084088"/>
            <a:ext cx="1264320" cy="4470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600" b="1">
                <a:solidFill>
                  <a:schemeClr val="tx1"/>
                </a:solidFill>
                <a:latin typeface="+mj-ea"/>
                <a:ea typeface="+mj-ea"/>
              </a:rPr>
              <a:t>반갑습니다</a:t>
            </a:r>
            <a:r>
              <a:rPr lang="en-US" altLang="ko-KR" sz="1600" b="1">
                <a:solidFill>
                  <a:schemeClr val="tx1"/>
                </a:solidFill>
                <a:latin typeface="+mj-ea"/>
                <a:ea typeface="+mj-ea"/>
              </a:rPr>
              <a:t>.</a:t>
            </a:r>
            <a:endParaRPr lang="ko-KR" altLang="en-US" sz="1600" b="1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11704866" y="1437874"/>
            <a:ext cx="646331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200" b="0">
                <a:solidFill>
                  <a:schemeClr val="tx1"/>
                </a:solidFill>
                <a:latin typeface="+mj-ea"/>
                <a:ea typeface="+mj-ea"/>
              </a:rPr>
              <a:t>아이디</a:t>
            </a:r>
          </a:p>
        </xdr:txBody>
      </xdr:sp>
      <xdr:sp macro="" textlink="">
        <xdr:nvSpPr>
          <xdr:cNvPr id="25" name="모서리가 둥근 직사각형 24"/>
          <xdr:cNvSpPr/>
        </xdr:nvSpPr>
        <xdr:spPr>
          <a:xfrm>
            <a:off x="11770180" y="1764926"/>
            <a:ext cx="3730758" cy="411416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/>
          </a:p>
        </xdr:txBody>
      </xdr:sp>
      <xdr:sp macro="" textlink="">
        <xdr:nvSpPr>
          <xdr:cNvPr id="26" name="TextBox 25"/>
          <xdr:cNvSpPr txBox="1"/>
        </xdr:nvSpPr>
        <xdr:spPr>
          <a:xfrm>
            <a:off x="11704866" y="2206276"/>
            <a:ext cx="80021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1200" b="0">
                <a:solidFill>
                  <a:schemeClr val="tx1"/>
                </a:solidFill>
                <a:latin typeface="+mj-ea"/>
                <a:ea typeface="+mj-ea"/>
              </a:rPr>
              <a:t>비밀번호</a:t>
            </a:r>
          </a:p>
        </xdr:txBody>
      </xdr:sp>
      <xdr:sp macro="" textlink="">
        <xdr:nvSpPr>
          <xdr:cNvPr id="27" name="모서리가 둥근 직사각형 26"/>
          <xdr:cNvSpPr/>
        </xdr:nvSpPr>
        <xdr:spPr>
          <a:xfrm>
            <a:off x="11770180" y="2533329"/>
            <a:ext cx="3730758" cy="408215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11829681" y="1849531"/>
                <a:ext cx="3443937" cy="2459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TextBox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1829681" y="2622737"/>
                <a:ext cx="3443937" cy="2459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17</xdr:col>
      <xdr:colOff>8964</xdr:colOff>
      <xdr:row>2</xdr:row>
      <xdr:rowOff>132230</xdr:rowOff>
    </xdr:from>
    <xdr:to>
      <xdr:col>20</xdr:col>
      <xdr:colOff>371848</xdr:colOff>
      <xdr:row>5</xdr:row>
      <xdr:rowOff>407913</xdr:rowOff>
    </xdr:to>
    <xdr:grpSp>
      <xdr:nvGrpSpPr>
        <xdr:cNvPr id="11" name="그룹 10" hidden="1"/>
        <xdr:cNvGrpSpPr/>
      </xdr:nvGrpSpPr>
      <xdr:grpSpPr>
        <a:xfrm>
          <a:off x="11575035" y="1111944"/>
          <a:ext cx="2403956" cy="1745255"/>
          <a:chOff x="11743765" y="1131794"/>
          <a:chExt cx="2433899" cy="1774331"/>
        </a:xfrm>
      </xdr:grpSpPr>
      <xdr:sp macro="" textlink="디자인!P1">
        <xdr:nvSpPr>
          <xdr:cNvPr id="9" name="제목" hidden="1"/>
          <xdr:cNvSpPr txBox="1"/>
        </xdr:nvSpPr>
        <xdr:spPr>
          <a:xfrm>
            <a:off x="11743765" y="1131794"/>
            <a:ext cx="2008549" cy="4072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4F0183-32DC-41DA-BC09-58BD3A7D6392}" type="TxLink">
              <a:rPr lang="ko-KR" altLang="en-US" sz="1400" b="1" i="0" u="none" strike="noStrike">
                <a:solidFill>
                  <a:srgbClr val="000000"/>
                </a:solidFill>
                <a:latin typeface="+mj-ea"/>
                <a:ea typeface="+mj-ea"/>
              </a:rPr>
              <a:pPr/>
              <a:t>님, 안녕하세요?</a:t>
            </a:fld>
            <a:endParaRPr lang="ko-KR" altLang="en-US" sz="1800" b="1">
              <a:latin typeface="+mj-ea"/>
              <a:ea typeface="+mj-ea"/>
            </a:endParaRPr>
          </a:p>
        </xdr:txBody>
      </xdr:sp>
      <xdr:sp macro="" textlink="디자인!P2">
        <xdr:nvSpPr>
          <xdr:cNvPr id="49" name="잔액제목" hidden="1"/>
          <xdr:cNvSpPr txBox="1"/>
        </xdr:nvSpPr>
        <xdr:spPr>
          <a:xfrm>
            <a:off x="11788589" y="1568824"/>
            <a:ext cx="2389075" cy="3624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8BBDF-93A5-442B-8F4D-53868C8CC2A1}" type="TxLink">
              <a:rPr lang="ko-KR" altLang="en-US" sz="1200" b="1" i="0" u="none" strike="noStrike">
                <a:solidFill>
                  <a:schemeClr val="accent5"/>
                </a:solidFill>
                <a:latin typeface="+mj-ea"/>
                <a:ea typeface="+mj-ea"/>
              </a:rPr>
              <a:pPr/>
              <a:t>계좌 잔액 ()</a:t>
            </a:fld>
            <a:endParaRPr lang="ko-KR" altLang="en-US" sz="1400" b="1">
              <a:solidFill>
                <a:schemeClr val="accent5"/>
              </a:solidFill>
              <a:latin typeface="+mj-ea"/>
              <a:ea typeface="+mj-ea"/>
            </a:endParaRPr>
          </a:p>
        </xdr:txBody>
      </xdr:sp>
      <xdr:sp macro="" textlink="디자인!P3">
        <xdr:nvSpPr>
          <xdr:cNvPr id="53" name="로그인잔액" hidden="1"/>
          <xdr:cNvSpPr txBox="1"/>
        </xdr:nvSpPr>
        <xdr:spPr>
          <a:xfrm>
            <a:off x="11788589" y="1871383"/>
            <a:ext cx="1119790" cy="3399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09D6B97-7389-42BF-A1AA-33B7D91882E2}" type="TxLink">
              <a:rPr lang="en-US" altLang="en-US" sz="1100" b="0" i="0" u="none" strike="noStrike">
                <a:solidFill>
                  <a:srgbClr val="000000"/>
                </a:solidFill>
                <a:latin typeface="+mj-ea"/>
                <a:ea typeface="+mj-ea"/>
              </a:rPr>
              <a:pPr/>
              <a:t> </a:t>
            </a:fld>
            <a:endParaRPr lang="ko-KR" altLang="en-US" sz="1400" b="1">
              <a:latin typeface="+mj-ea"/>
              <a:ea typeface="+mj-ea"/>
            </a:endParaRPr>
          </a:p>
        </xdr:txBody>
      </xdr:sp>
      <xdr:sp macro="" textlink="디자인!P4">
        <xdr:nvSpPr>
          <xdr:cNvPr id="54" name="이용제목" hidden="1"/>
          <xdr:cNvSpPr txBox="1"/>
        </xdr:nvSpPr>
        <xdr:spPr>
          <a:xfrm>
            <a:off x="11788589" y="2263589"/>
            <a:ext cx="1226479" cy="3624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259E8C1-0057-46F8-829D-2C0ABAAABD34}" type="TxLink">
              <a:rPr lang="ko-KR" altLang="en-US" sz="1200" b="1" i="0" u="none" strike="noStrike">
                <a:solidFill>
                  <a:schemeClr val="accent5"/>
                </a:solidFill>
                <a:latin typeface="+mj-ea"/>
                <a:ea typeface="+mj-ea"/>
              </a:rPr>
              <a:pPr/>
              <a:t>카드 이용 내역</a:t>
            </a:fld>
            <a:endParaRPr lang="ko-KR" altLang="en-US" sz="1400" b="1">
              <a:solidFill>
                <a:schemeClr val="accent5"/>
              </a:solidFill>
              <a:latin typeface="+mj-ea"/>
              <a:ea typeface="+mj-ea"/>
            </a:endParaRPr>
          </a:p>
        </xdr:txBody>
      </xdr:sp>
      <xdr:sp macro="" textlink="디자인!P5">
        <xdr:nvSpPr>
          <xdr:cNvPr id="55" name="이용" hidden="1"/>
          <xdr:cNvSpPr txBox="1"/>
        </xdr:nvSpPr>
        <xdr:spPr>
          <a:xfrm>
            <a:off x="11788589" y="2566148"/>
            <a:ext cx="407619" cy="3399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A58A2ED-6F86-4177-AA3E-0F26B5F30142}" type="TxLink">
              <a:rPr lang="en-US" altLang="en-US" sz="1100" b="0" i="0" u="none" strike="noStrike">
                <a:solidFill>
                  <a:srgbClr val="000000"/>
                </a:solidFill>
                <a:latin typeface="+mj-ea"/>
                <a:ea typeface="+mj-ea"/>
              </a:rPr>
              <a:pPr/>
              <a:t>0원</a:t>
            </a:fld>
            <a:endParaRPr lang="ko-KR" altLang="en-US" sz="1400" b="1">
              <a:latin typeface="+mj-ea"/>
              <a:ea typeface="+mj-ea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21</xdr:col>
      <xdr:colOff>0</xdr:colOff>
      <xdr:row>14</xdr:row>
      <xdr:rowOff>0</xdr:rowOff>
    </xdr:to>
    <xdr:sp macro="" textlink="">
      <xdr:nvSpPr>
        <xdr:cNvPr id="2" name="모서리가 둥근 직사각형 1"/>
        <xdr:cNvSpPr/>
      </xdr:nvSpPr>
      <xdr:spPr>
        <a:xfrm>
          <a:off x="2057400" y="885825"/>
          <a:ext cx="12344400" cy="2095500"/>
        </a:xfrm>
        <a:prstGeom prst="roundRect">
          <a:avLst>
            <a:gd name="adj" fmla="val 7071"/>
          </a:avLst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cxnSp macro="">
      <xdr:nvCxnSpPr>
        <xdr:cNvPr id="4" name="직선 연결선 3"/>
        <xdr:cNvCxnSpPr/>
      </xdr:nvCxnSpPr>
      <xdr:spPr>
        <a:xfrm>
          <a:off x="2057400" y="1400175"/>
          <a:ext cx="123444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267758</xdr:colOff>
      <xdr:row>7</xdr:row>
      <xdr:rowOff>104775</xdr:rowOff>
    </xdr:from>
    <xdr:to>
      <xdr:col>3</xdr:col>
      <xdr:colOff>589492</xdr:colOff>
      <xdr:row>8</xdr:row>
      <xdr:rowOff>200025</xdr:rowOff>
    </xdr:to>
    <xdr:sp macro="'action &quot;check1&quot;'" textlink="">
      <xdr:nvSpPr>
        <xdr:cNvPr id="5" name="check1"/>
        <xdr:cNvSpPr/>
      </xdr:nvSpPr>
      <xdr:spPr>
        <a:xfrm>
          <a:off x="2325158" y="161925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3</xdr:col>
      <xdr:colOff>628650</xdr:colOff>
      <xdr:row>7</xdr:row>
      <xdr:rowOff>87390</xdr:rowOff>
    </xdr:from>
    <xdr:to>
      <xdr:col>4</xdr:col>
      <xdr:colOff>409644</xdr:colOff>
      <xdr:row>9</xdr:row>
      <xdr:rowOff>1207</xdr:rowOff>
    </xdr:to>
    <xdr:sp macro="" textlink="">
      <xdr:nvSpPr>
        <xdr:cNvPr id="10" name="TextBox 9"/>
        <xdr:cNvSpPr txBox="1"/>
      </xdr:nvSpPr>
      <xdr:spPr>
        <a:xfrm>
          <a:off x="2686050" y="1601865"/>
          <a:ext cx="466794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할인</a:t>
          </a:r>
        </a:p>
      </xdr:txBody>
    </xdr:sp>
    <xdr:clientData/>
  </xdr:twoCellAnchor>
  <xdr:twoCellAnchor>
    <xdr:from>
      <xdr:col>3</xdr:col>
      <xdr:colOff>267758</xdr:colOff>
      <xdr:row>9</xdr:row>
      <xdr:rowOff>133350</xdr:rowOff>
    </xdr:from>
    <xdr:to>
      <xdr:col>3</xdr:col>
      <xdr:colOff>589492</xdr:colOff>
      <xdr:row>11</xdr:row>
      <xdr:rowOff>19050</xdr:rowOff>
    </xdr:to>
    <xdr:sp macro="'action &quot;check2&quot;'" textlink="">
      <xdr:nvSpPr>
        <xdr:cNvPr id="21" name="check2"/>
        <xdr:cNvSpPr/>
      </xdr:nvSpPr>
      <xdr:spPr>
        <a:xfrm>
          <a:off x="2325158" y="2066925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3</xdr:col>
      <xdr:colOff>628650</xdr:colOff>
      <xdr:row>9</xdr:row>
      <xdr:rowOff>115965</xdr:rowOff>
    </xdr:from>
    <xdr:to>
      <xdr:col>4</xdr:col>
      <xdr:colOff>409644</xdr:colOff>
      <xdr:row>11</xdr:row>
      <xdr:rowOff>29782</xdr:rowOff>
    </xdr:to>
    <xdr:sp macro="" textlink="">
      <xdr:nvSpPr>
        <xdr:cNvPr id="22" name="TextBox 21"/>
        <xdr:cNvSpPr txBox="1"/>
      </xdr:nvSpPr>
      <xdr:spPr>
        <a:xfrm>
          <a:off x="2686050" y="2049540"/>
          <a:ext cx="466794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적립</a:t>
          </a:r>
        </a:p>
      </xdr:txBody>
    </xdr:sp>
    <xdr:clientData/>
  </xdr:twoCellAnchor>
  <xdr:twoCellAnchor>
    <xdr:from>
      <xdr:col>3</xdr:col>
      <xdr:colOff>267758</xdr:colOff>
      <xdr:row>11</xdr:row>
      <xdr:rowOff>161925</xdr:rowOff>
    </xdr:from>
    <xdr:to>
      <xdr:col>3</xdr:col>
      <xdr:colOff>589492</xdr:colOff>
      <xdr:row>13</xdr:row>
      <xdr:rowOff>47625</xdr:rowOff>
    </xdr:to>
    <xdr:sp macro="'action &quot;check3&quot;'" textlink="">
      <xdr:nvSpPr>
        <xdr:cNvPr id="24" name="check3"/>
        <xdr:cNvSpPr/>
      </xdr:nvSpPr>
      <xdr:spPr>
        <a:xfrm>
          <a:off x="2325158" y="251460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3</xdr:col>
      <xdr:colOff>628649</xdr:colOff>
      <xdr:row>11</xdr:row>
      <xdr:rowOff>144540</xdr:rowOff>
    </xdr:from>
    <xdr:to>
      <xdr:col>5</xdr:col>
      <xdr:colOff>333374</xdr:colOff>
      <xdr:row>13</xdr:row>
      <xdr:rowOff>58357</xdr:rowOff>
    </xdr:to>
    <xdr:sp macro="" textlink="">
      <xdr:nvSpPr>
        <xdr:cNvPr id="25" name="TextBox 24"/>
        <xdr:cNvSpPr txBox="1"/>
      </xdr:nvSpPr>
      <xdr:spPr>
        <a:xfrm>
          <a:off x="2686049" y="2497215"/>
          <a:ext cx="1076325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할인</a:t>
          </a:r>
          <a:r>
            <a:rPr lang="en-US" altLang="ko-KR" sz="1100"/>
            <a:t>/</a:t>
          </a:r>
          <a:r>
            <a:rPr lang="ko-KR" altLang="en-US" sz="1100"/>
            <a:t>적립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6</xdr:col>
      <xdr:colOff>0</xdr:colOff>
      <xdr:row>14</xdr:row>
      <xdr:rowOff>0</xdr:rowOff>
    </xdr:to>
    <xdr:cxnSp macro="">
      <xdr:nvCxnSpPr>
        <xdr:cNvPr id="26" name="직선 연결선 25"/>
        <xdr:cNvCxnSpPr/>
      </xdr:nvCxnSpPr>
      <xdr:spPr>
        <a:xfrm>
          <a:off x="4114800" y="885825"/>
          <a:ext cx="0" cy="20955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0</xdr:colOff>
      <xdr:row>14</xdr:row>
      <xdr:rowOff>0</xdr:rowOff>
    </xdr:to>
    <xdr:cxnSp macro="">
      <xdr:nvCxnSpPr>
        <xdr:cNvPr id="29" name="직선 연결선 28"/>
        <xdr:cNvCxnSpPr/>
      </xdr:nvCxnSpPr>
      <xdr:spPr>
        <a:xfrm>
          <a:off x="6858000" y="885825"/>
          <a:ext cx="0" cy="20955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4</xdr:row>
      <xdr:rowOff>0</xdr:rowOff>
    </xdr:from>
    <xdr:to>
      <xdr:col>14</xdr:col>
      <xdr:colOff>0</xdr:colOff>
      <xdr:row>14</xdr:row>
      <xdr:rowOff>0</xdr:rowOff>
    </xdr:to>
    <xdr:cxnSp macro="">
      <xdr:nvCxnSpPr>
        <xdr:cNvPr id="30" name="직선 연결선 29"/>
        <xdr:cNvCxnSpPr/>
      </xdr:nvCxnSpPr>
      <xdr:spPr>
        <a:xfrm>
          <a:off x="9601200" y="885825"/>
          <a:ext cx="0" cy="20955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3</xdr:col>
      <xdr:colOff>627720</xdr:colOff>
      <xdr:row>4</xdr:row>
      <xdr:rowOff>66675</xdr:rowOff>
    </xdr:from>
    <xdr:ext cx="800219" cy="447045"/>
    <xdr:sp macro="" textlink="">
      <xdr:nvSpPr>
        <xdr:cNvPr id="31" name="TextBox 30"/>
        <xdr:cNvSpPr txBox="1"/>
      </xdr:nvSpPr>
      <xdr:spPr>
        <a:xfrm>
          <a:off x="2685120" y="952500"/>
          <a:ext cx="800219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ko-KR" altLang="en-US" sz="1600" b="1"/>
            <a:t>리워드</a:t>
          </a:r>
        </a:p>
      </xdr:txBody>
    </xdr:sp>
    <xdr:clientData/>
  </xdr:oneCellAnchor>
  <xdr:oneCellAnchor>
    <xdr:from>
      <xdr:col>7</xdr:col>
      <xdr:colOff>168574</xdr:colOff>
      <xdr:row>4</xdr:row>
      <xdr:rowOff>66675</xdr:rowOff>
    </xdr:from>
    <xdr:ext cx="1051763" cy="447045"/>
    <xdr:sp macro="" textlink="">
      <xdr:nvSpPr>
        <xdr:cNvPr id="32" name="TextBox 31"/>
        <xdr:cNvSpPr txBox="1"/>
      </xdr:nvSpPr>
      <xdr:spPr>
        <a:xfrm>
          <a:off x="4969174" y="952500"/>
          <a:ext cx="1051763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ko-KR" altLang="en-US" sz="1600" b="1"/>
            <a:t>카드 혜택</a:t>
          </a:r>
        </a:p>
      </xdr:txBody>
    </xdr:sp>
    <xdr:clientData/>
  </xdr:oneCellAnchor>
  <xdr:oneCellAnchor>
    <xdr:from>
      <xdr:col>11</xdr:col>
      <xdr:colOff>284820</xdr:colOff>
      <xdr:row>4</xdr:row>
      <xdr:rowOff>66675</xdr:rowOff>
    </xdr:from>
    <xdr:ext cx="800219" cy="447045"/>
    <xdr:sp macro="" textlink="">
      <xdr:nvSpPr>
        <xdr:cNvPr id="33" name="TextBox 32"/>
        <xdr:cNvSpPr txBox="1"/>
      </xdr:nvSpPr>
      <xdr:spPr>
        <a:xfrm>
          <a:off x="7828620" y="952500"/>
          <a:ext cx="800219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ko-KR" altLang="en-US" sz="1600" b="1"/>
            <a:t>연회비</a:t>
          </a:r>
        </a:p>
      </xdr:txBody>
    </xdr:sp>
    <xdr:clientData/>
  </xdr:oneCellAnchor>
  <xdr:oneCellAnchor>
    <xdr:from>
      <xdr:col>16</xdr:col>
      <xdr:colOff>244774</xdr:colOff>
      <xdr:row>4</xdr:row>
      <xdr:rowOff>66675</xdr:rowOff>
    </xdr:from>
    <xdr:ext cx="1051763" cy="447045"/>
    <xdr:sp macro="" textlink="">
      <xdr:nvSpPr>
        <xdr:cNvPr id="34" name="TextBox 33"/>
        <xdr:cNvSpPr txBox="1"/>
      </xdr:nvSpPr>
      <xdr:spPr>
        <a:xfrm>
          <a:off x="11217574" y="952500"/>
          <a:ext cx="1051763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ko-KR" altLang="en-US" sz="1600" b="1"/>
            <a:t>해외 결제</a:t>
          </a:r>
        </a:p>
      </xdr:txBody>
    </xdr:sp>
    <xdr:clientData/>
  </xdr:oneCellAnchor>
  <xdr:twoCellAnchor>
    <xdr:from>
      <xdr:col>6</xdr:col>
      <xdr:colOff>324908</xdr:colOff>
      <xdr:row>7</xdr:row>
      <xdr:rowOff>104775</xdr:rowOff>
    </xdr:from>
    <xdr:to>
      <xdr:col>6</xdr:col>
      <xdr:colOff>646642</xdr:colOff>
      <xdr:row>8</xdr:row>
      <xdr:rowOff>200025</xdr:rowOff>
    </xdr:to>
    <xdr:sp macro="'action &quot;check4&quot;'" textlink="">
      <xdr:nvSpPr>
        <xdr:cNvPr id="45" name="check4"/>
        <xdr:cNvSpPr/>
      </xdr:nvSpPr>
      <xdr:spPr>
        <a:xfrm>
          <a:off x="4439708" y="161925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7</xdr:col>
      <xdr:colOff>0</xdr:colOff>
      <xdr:row>7</xdr:row>
      <xdr:rowOff>87390</xdr:rowOff>
    </xdr:from>
    <xdr:to>
      <xdr:col>7</xdr:col>
      <xdr:colOff>466794</xdr:colOff>
      <xdr:row>9</xdr:row>
      <xdr:rowOff>1207</xdr:rowOff>
    </xdr:to>
    <xdr:sp macro="" textlink="">
      <xdr:nvSpPr>
        <xdr:cNvPr id="46" name="TextBox 45"/>
        <xdr:cNvSpPr txBox="1"/>
      </xdr:nvSpPr>
      <xdr:spPr>
        <a:xfrm>
          <a:off x="4800600" y="1601865"/>
          <a:ext cx="466794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쇼핑</a:t>
          </a:r>
        </a:p>
      </xdr:txBody>
    </xdr:sp>
    <xdr:clientData/>
  </xdr:twoCellAnchor>
  <xdr:twoCellAnchor>
    <xdr:from>
      <xdr:col>6</xdr:col>
      <xdr:colOff>324908</xdr:colOff>
      <xdr:row>9</xdr:row>
      <xdr:rowOff>133350</xdr:rowOff>
    </xdr:from>
    <xdr:to>
      <xdr:col>6</xdr:col>
      <xdr:colOff>646642</xdr:colOff>
      <xdr:row>11</xdr:row>
      <xdr:rowOff>19050</xdr:rowOff>
    </xdr:to>
    <xdr:sp macro="'action &quot;check5&quot;'" textlink="">
      <xdr:nvSpPr>
        <xdr:cNvPr id="48" name="check5"/>
        <xdr:cNvSpPr/>
      </xdr:nvSpPr>
      <xdr:spPr>
        <a:xfrm>
          <a:off x="4439708" y="2066925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7</xdr:col>
      <xdr:colOff>0</xdr:colOff>
      <xdr:row>9</xdr:row>
      <xdr:rowOff>115965</xdr:rowOff>
    </xdr:from>
    <xdr:to>
      <xdr:col>7</xdr:col>
      <xdr:colOff>466794</xdr:colOff>
      <xdr:row>11</xdr:row>
      <xdr:rowOff>29782</xdr:rowOff>
    </xdr:to>
    <xdr:sp macro="" textlink="">
      <xdr:nvSpPr>
        <xdr:cNvPr id="49" name="TextBox 48"/>
        <xdr:cNvSpPr txBox="1"/>
      </xdr:nvSpPr>
      <xdr:spPr>
        <a:xfrm>
          <a:off x="4800600" y="2049540"/>
          <a:ext cx="466794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여행</a:t>
          </a:r>
        </a:p>
      </xdr:txBody>
    </xdr:sp>
    <xdr:clientData/>
  </xdr:twoCellAnchor>
  <xdr:twoCellAnchor>
    <xdr:from>
      <xdr:col>8</xdr:col>
      <xdr:colOff>96308</xdr:colOff>
      <xdr:row>7</xdr:row>
      <xdr:rowOff>104775</xdr:rowOff>
    </xdr:from>
    <xdr:to>
      <xdr:col>8</xdr:col>
      <xdr:colOff>418042</xdr:colOff>
      <xdr:row>8</xdr:row>
      <xdr:rowOff>200025</xdr:rowOff>
    </xdr:to>
    <xdr:sp macro="'action &quot;check6&quot;'" textlink="">
      <xdr:nvSpPr>
        <xdr:cNvPr id="51" name="check6"/>
        <xdr:cNvSpPr/>
      </xdr:nvSpPr>
      <xdr:spPr>
        <a:xfrm>
          <a:off x="5582708" y="161925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8</xdr:col>
      <xdr:colOff>457200</xdr:colOff>
      <xdr:row>7</xdr:row>
      <xdr:rowOff>87390</xdr:rowOff>
    </xdr:from>
    <xdr:to>
      <xdr:col>9</xdr:col>
      <xdr:colOff>238194</xdr:colOff>
      <xdr:row>9</xdr:row>
      <xdr:rowOff>1207</xdr:rowOff>
    </xdr:to>
    <xdr:sp macro="" textlink="">
      <xdr:nvSpPr>
        <xdr:cNvPr id="52" name="TextBox 51"/>
        <xdr:cNvSpPr txBox="1"/>
      </xdr:nvSpPr>
      <xdr:spPr>
        <a:xfrm>
          <a:off x="5943600" y="1601865"/>
          <a:ext cx="466794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교통</a:t>
          </a:r>
        </a:p>
      </xdr:txBody>
    </xdr:sp>
    <xdr:clientData/>
  </xdr:twoCellAnchor>
  <xdr:twoCellAnchor>
    <xdr:from>
      <xdr:col>8</xdr:col>
      <xdr:colOff>96308</xdr:colOff>
      <xdr:row>9</xdr:row>
      <xdr:rowOff>133350</xdr:rowOff>
    </xdr:from>
    <xdr:to>
      <xdr:col>8</xdr:col>
      <xdr:colOff>418042</xdr:colOff>
      <xdr:row>11</xdr:row>
      <xdr:rowOff>19050</xdr:rowOff>
    </xdr:to>
    <xdr:sp macro="'action &quot;check7&quot;'" textlink="">
      <xdr:nvSpPr>
        <xdr:cNvPr id="54" name="check7"/>
        <xdr:cNvSpPr/>
      </xdr:nvSpPr>
      <xdr:spPr>
        <a:xfrm>
          <a:off x="5582708" y="2066925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8</xdr:col>
      <xdr:colOff>457200</xdr:colOff>
      <xdr:row>9</xdr:row>
      <xdr:rowOff>115965</xdr:rowOff>
    </xdr:from>
    <xdr:to>
      <xdr:col>9</xdr:col>
      <xdr:colOff>238194</xdr:colOff>
      <xdr:row>11</xdr:row>
      <xdr:rowOff>29782</xdr:rowOff>
    </xdr:to>
    <xdr:sp macro="" textlink="">
      <xdr:nvSpPr>
        <xdr:cNvPr id="55" name="TextBox 54"/>
        <xdr:cNvSpPr txBox="1"/>
      </xdr:nvSpPr>
      <xdr:spPr>
        <a:xfrm>
          <a:off x="5943600" y="2049540"/>
          <a:ext cx="466794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외식</a:t>
          </a:r>
        </a:p>
      </xdr:txBody>
    </xdr:sp>
    <xdr:clientData/>
  </xdr:twoCellAnchor>
  <xdr:twoCellAnchor>
    <xdr:from>
      <xdr:col>10</xdr:col>
      <xdr:colOff>467783</xdr:colOff>
      <xdr:row>7</xdr:row>
      <xdr:rowOff>104775</xdr:rowOff>
    </xdr:from>
    <xdr:to>
      <xdr:col>11</xdr:col>
      <xdr:colOff>103717</xdr:colOff>
      <xdr:row>8</xdr:row>
      <xdr:rowOff>200025</xdr:rowOff>
    </xdr:to>
    <xdr:sp macro="'action &quot;check8&quot;'" textlink="">
      <xdr:nvSpPr>
        <xdr:cNvPr id="57" name="check8"/>
        <xdr:cNvSpPr/>
      </xdr:nvSpPr>
      <xdr:spPr>
        <a:xfrm>
          <a:off x="7325783" y="161925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11</xdr:col>
      <xdr:colOff>142874</xdr:colOff>
      <xdr:row>7</xdr:row>
      <xdr:rowOff>87390</xdr:rowOff>
    </xdr:from>
    <xdr:to>
      <xdr:col>12</xdr:col>
      <xdr:colOff>400049</xdr:colOff>
      <xdr:row>9</xdr:row>
      <xdr:rowOff>1207</xdr:rowOff>
    </xdr:to>
    <xdr:sp macro="" textlink="">
      <xdr:nvSpPr>
        <xdr:cNvPr id="58" name="TextBox 57"/>
        <xdr:cNvSpPr txBox="1"/>
      </xdr:nvSpPr>
      <xdr:spPr>
        <a:xfrm>
          <a:off x="7686674" y="1601865"/>
          <a:ext cx="942975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연회비 없음</a:t>
          </a:r>
        </a:p>
      </xdr:txBody>
    </xdr:sp>
    <xdr:clientData/>
  </xdr:twoCellAnchor>
  <xdr:twoCellAnchor>
    <xdr:from>
      <xdr:col>10</xdr:col>
      <xdr:colOff>467783</xdr:colOff>
      <xdr:row>9</xdr:row>
      <xdr:rowOff>133350</xdr:rowOff>
    </xdr:from>
    <xdr:to>
      <xdr:col>11</xdr:col>
      <xdr:colOff>103717</xdr:colOff>
      <xdr:row>11</xdr:row>
      <xdr:rowOff>19050</xdr:rowOff>
    </xdr:to>
    <xdr:sp macro="'action &quot;check9&quot;'" textlink="">
      <xdr:nvSpPr>
        <xdr:cNvPr id="60" name="check9"/>
        <xdr:cNvSpPr/>
      </xdr:nvSpPr>
      <xdr:spPr>
        <a:xfrm>
          <a:off x="7325783" y="2066925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11</xdr:col>
      <xdr:colOff>142874</xdr:colOff>
      <xdr:row>9</xdr:row>
      <xdr:rowOff>115965</xdr:rowOff>
    </xdr:from>
    <xdr:to>
      <xdr:col>12</xdr:col>
      <xdr:colOff>400049</xdr:colOff>
      <xdr:row>11</xdr:row>
      <xdr:rowOff>29782</xdr:rowOff>
    </xdr:to>
    <xdr:sp macro="" textlink="">
      <xdr:nvSpPr>
        <xdr:cNvPr id="61" name="TextBox 60"/>
        <xdr:cNvSpPr txBox="1"/>
      </xdr:nvSpPr>
      <xdr:spPr>
        <a:xfrm>
          <a:off x="7686674" y="2049540"/>
          <a:ext cx="942975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/>
            <a:t>연회비 있음</a:t>
          </a:r>
        </a:p>
      </xdr:txBody>
    </xdr:sp>
    <xdr:clientData/>
  </xdr:twoCellAnchor>
  <xdr:twoCellAnchor>
    <xdr:from>
      <xdr:col>15</xdr:col>
      <xdr:colOff>143933</xdr:colOff>
      <xdr:row>7</xdr:row>
      <xdr:rowOff>104775</xdr:rowOff>
    </xdr:from>
    <xdr:to>
      <xdr:col>15</xdr:col>
      <xdr:colOff>465667</xdr:colOff>
      <xdr:row>8</xdr:row>
      <xdr:rowOff>200025</xdr:rowOff>
    </xdr:to>
    <xdr:sp macro="'action &quot;check10&quot;'" textlink="">
      <xdr:nvSpPr>
        <xdr:cNvPr id="63" name="check10"/>
        <xdr:cNvSpPr/>
      </xdr:nvSpPr>
      <xdr:spPr>
        <a:xfrm>
          <a:off x="10430933" y="161925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15</xdr:col>
      <xdr:colOff>504825</xdr:colOff>
      <xdr:row>7</xdr:row>
      <xdr:rowOff>87390</xdr:rowOff>
    </xdr:from>
    <xdr:to>
      <xdr:col>17</xdr:col>
      <xdr:colOff>377123</xdr:colOff>
      <xdr:row>9</xdr:row>
      <xdr:rowOff>1207</xdr:rowOff>
    </xdr:to>
    <xdr:sp macro="" textlink="">
      <xdr:nvSpPr>
        <xdr:cNvPr id="64" name="TextBox 63"/>
        <xdr:cNvSpPr txBox="1"/>
      </xdr:nvSpPr>
      <xdr:spPr>
        <a:xfrm>
          <a:off x="10791825" y="1601865"/>
          <a:ext cx="1243898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100">
              <a:latin typeface="+mj-ea"/>
              <a:ea typeface="+mj-ea"/>
            </a:rPr>
            <a:t>국내전용</a:t>
          </a:r>
        </a:p>
      </xdr:txBody>
    </xdr:sp>
    <xdr:clientData/>
  </xdr:twoCellAnchor>
  <xdr:twoCellAnchor>
    <xdr:from>
      <xdr:col>15</xdr:col>
      <xdr:colOff>143933</xdr:colOff>
      <xdr:row>9</xdr:row>
      <xdr:rowOff>133350</xdr:rowOff>
    </xdr:from>
    <xdr:to>
      <xdr:col>15</xdr:col>
      <xdr:colOff>465667</xdr:colOff>
      <xdr:row>11</xdr:row>
      <xdr:rowOff>19050</xdr:rowOff>
    </xdr:to>
    <xdr:sp macro="'action &quot;check11&quot;'" textlink="">
      <xdr:nvSpPr>
        <xdr:cNvPr id="66" name="check11"/>
        <xdr:cNvSpPr/>
      </xdr:nvSpPr>
      <xdr:spPr>
        <a:xfrm>
          <a:off x="10430933" y="2066925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15</xdr:col>
      <xdr:colOff>504825</xdr:colOff>
      <xdr:row>9</xdr:row>
      <xdr:rowOff>115965</xdr:rowOff>
    </xdr:from>
    <xdr:to>
      <xdr:col>16</xdr:col>
      <xdr:colOff>581025</xdr:colOff>
      <xdr:row>11</xdr:row>
      <xdr:rowOff>29782</xdr:rowOff>
    </xdr:to>
    <xdr:sp macro="" textlink="">
      <xdr:nvSpPr>
        <xdr:cNvPr id="67" name="TextBox 66"/>
        <xdr:cNvSpPr txBox="1"/>
      </xdr:nvSpPr>
      <xdr:spPr>
        <a:xfrm>
          <a:off x="10791825" y="2049540"/>
          <a:ext cx="762000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>
              <a:latin typeface="+mj-ea"/>
              <a:ea typeface="+mj-ea"/>
            </a:rPr>
            <a:t>VISA</a:t>
          </a:r>
          <a:endParaRPr lang="ko-KR" altLang="en-US" sz="1100">
            <a:latin typeface="+mj-ea"/>
            <a:ea typeface="+mj-ea"/>
          </a:endParaRPr>
        </a:p>
      </xdr:txBody>
    </xdr:sp>
    <xdr:clientData/>
  </xdr:twoCellAnchor>
  <xdr:twoCellAnchor>
    <xdr:from>
      <xdr:col>15</xdr:col>
      <xdr:colOff>143933</xdr:colOff>
      <xdr:row>11</xdr:row>
      <xdr:rowOff>161925</xdr:rowOff>
    </xdr:from>
    <xdr:to>
      <xdr:col>15</xdr:col>
      <xdr:colOff>465667</xdr:colOff>
      <xdr:row>13</xdr:row>
      <xdr:rowOff>47625</xdr:rowOff>
    </xdr:to>
    <xdr:sp macro="'action &quot;check12&quot;'" textlink="">
      <xdr:nvSpPr>
        <xdr:cNvPr id="69" name="check12"/>
        <xdr:cNvSpPr/>
      </xdr:nvSpPr>
      <xdr:spPr>
        <a:xfrm>
          <a:off x="10430933" y="251460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15</xdr:col>
      <xdr:colOff>504825</xdr:colOff>
      <xdr:row>11</xdr:row>
      <xdr:rowOff>144540</xdr:rowOff>
    </xdr:from>
    <xdr:to>
      <xdr:col>16</xdr:col>
      <xdr:colOff>581025</xdr:colOff>
      <xdr:row>13</xdr:row>
      <xdr:rowOff>58357</xdr:rowOff>
    </xdr:to>
    <xdr:sp macro="" textlink="">
      <xdr:nvSpPr>
        <xdr:cNvPr id="70" name="TextBox 69"/>
        <xdr:cNvSpPr txBox="1"/>
      </xdr:nvSpPr>
      <xdr:spPr>
        <a:xfrm>
          <a:off x="10791825" y="2497215"/>
          <a:ext cx="762000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>
              <a:latin typeface="+mj-ea"/>
              <a:ea typeface="+mj-ea"/>
            </a:rPr>
            <a:t>BC</a:t>
          </a:r>
          <a:r>
            <a:rPr lang="ko-KR" altLang="en-US" sz="1100">
              <a:latin typeface="+mj-ea"/>
              <a:ea typeface="+mj-ea"/>
            </a:rPr>
            <a:t>카드</a:t>
          </a:r>
        </a:p>
      </xdr:txBody>
    </xdr:sp>
    <xdr:clientData/>
  </xdr:twoCellAnchor>
  <xdr:twoCellAnchor>
    <xdr:from>
      <xdr:col>17</xdr:col>
      <xdr:colOff>534458</xdr:colOff>
      <xdr:row>7</xdr:row>
      <xdr:rowOff>104775</xdr:rowOff>
    </xdr:from>
    <xdr:to>
      <xdr:col>18</xdr:col>
      <xdr:colOff>170392</xdr:colOff>
      <xdr:row>8</xdr:row>
      <xdr:rowOff>200025</xdr:rowOff>
    </xdr:to>
    <xdr:sp macro="'action &quot;check13&quot;'" textlink="">
      <xdr:nvSpPr>
        <xdr:cNvPr id="72" name="check13"/>
        <xdr:cNvSpPr/>
      </xdr:nvSpPr>
      <xdr:spPr>
        <a:xfrm>
          <a:off x="12193058" y="161925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18</xdr:col>
      <xdr:colOff>209550</xdr:colOff>
      <xdr:row>7</xdr:row>
      <xdr:rowOff>87390</xdr:rowOff>
    </xdr:from>
    <xdr:to>
      <xdr:col>19</xdr:col>
      <xdr:colOff>285750</xdr:colOff>
      <xdr:row>9</xdr:row>
      <xdr:rowOff>1207</xdr:rowOff>
    </xdr:to>
    <xdr:sp macro="" textlink="">
      <xdr:nvSpPr>
        <xdr:cNvPr id="73" name="TextBox 72"/>
        <xdr:cNvSpPr txBox="1"/>
      </xdr:nvSpPr>
      <xdr:spPr>
        <a:xfrm>
          <a:off x="12553950" y="1601865"/>
          <a:ext cx="762000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>
              <a:latin typeface="+mj-ea"/>
              <a:ea typeface="+mj-ea"/>
            </a:rPr>
            <a:t>UNION</a:t>
          </a:r>
          <a:endParaRPr lang="ko-KR" altLang="en-US" sz="1100">
            <a:latin typeface="+mj-ea"/>
            <a:ea typeface="+mj-ea"/>
          </a:endParaRPr>
        </a:p>
      </xdr:txBody>
    </xdr:sp>
    <xdr:clientData/>
  </xdr:twoCellAnchor>
  <xdr:twoCellAnchor>
    <xdr:from>
      <xdr:col>17</xdr:col>
      <xdr:colOff>534458</xdr:colOff>
      <xdr:row>9</xdr:row>
      <xdr:rowOff>133350</xdr:rowOff>
    </xdr:from>
    <xdr:to>
      <xdr:col>18</xdr:col>
      <xdr:colOff>170392</xdr:colOff>
      <xdr:row>11</xdr:row>
      <xdr:rowOff>19050</xdr:rowOff>
    </xdr:to>
    <xdr:sp macro="'action &quot;check14&quot;'" textlink="">
      <xdr:nvSpPr>
        <xdr:cNvPr id="75" name="check14"/>
        <xdr:cNvSpPr/>
      </xdr:nvSpPr>
      <xdr:spPr>
        <a:xfrm>
          <a:off x="12193058" y="2066925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18</xdr:col>
      <xdr:colOff>209549</xdr:colOff>
      <xdr:row>9</xdr:row>
      <xdr:rowOff>115965</xdr:rowOff>
    </xdr:from>
    <xdr:to>
      <xdr:col>19</xdr:col>
      <xdr:colOff>638174</xdr:colOff>
      <xdr:row>11</xdr:row>
      <xdr:rowOff>29782</xdr:rowOff>
    </xdr:to>
    <xdr:sp macro="" textlink="">
      <xdr:nvSpPr>
        <xdr:cNvPr id="76" name="TextBox 75"/>
        <xdr:cNvSpPr txBox="1"/>
      </xdr:nvSpPr>
      <xdr:spPr>
        <a:xfrm>
          <a:off x="12553949" y="2049540"/>
          <a:ext cx="1114425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>
              <a:latin typeface="+mj-ea"/>
              <a:ea typeface="+mj-ea"/>
            </a:rPr>
            <a:t>MASTERCARD</a:t>
          </a:r>
          <a:endParaRPr lang="ko-KR" altLang="en-US" sz="1100">
            <a:latin typeface="+mj-ea"/>
            <a:ea typeface="+mj-ea"/>
          </a:endParaRPr>
        </a:p>
      </xdr:txBody>
    </xdr:sp>
    <xdr:clientData/>
  </xdr:twoCellAnchor>
  <xdr:twoCellAnchor>
    <xdr:from>
      <xdr:col>17</xdr:col>
      <xdr:colOff>534458</xdr:colOff>
      <xdr:row>11</xdr:row>
      <xdr:rowOff>161925</xdr:rowOff>
    </xdr:from>
    <xdr:to>
      <xdr:col>18</xdr:col>
      <xdr:colOff>170392</xdr:colOff>
      <xdr:row>13</xdr:row>
      <xdr:rowOff>47625</xdr:rowOff>
    </xdr:to>
    <xdr:sp macro="'action &quot;check15&quot;'" textlink="">
      <xdr:nvSpPr>
        <xdr:cNvPr id="78" name="check15"/>
        <xdr:cNvSpPr/>
      </xdr:nvSpPr>
      <xdr:spPr>
        <a:xfrm>
          <a:off x="12193058" y="2514600"/>
          <a:ext cx="321734" cy="3048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endParaRPr lang="ko-KR" altLang="en-US" sz="1600">
            <a:solidFill>
              <a:schemeClr val="tx1"/>
            </a:solidFill>
            <a:latin typeface="Wingdings 2" panose="05020102010507070707" pitchFamily="18" charset="2"/>
          </a:endParaRPr>
        </a:p>
      </xdr:txBody>
    </xdr:sp>
    <xdr:clientData/>
  </xdr:twoCellAnchor>
  <xdr:twoCellAnchor>
    <xdr:from>
      <xdr:col>18</xdr:col>
      <xdr:colOff>209550</xdr:colOff>
      <xdr:row>11</xdr:row>
      <xdr:rowOff>144540</xdr:rowOff>
    </xdr:from>
    <xdr:to>
      <xdr:col>19</xdr:col>
      <xdr:colOff>514350</xdr:colOff>
      <xdr:row>13</xdr:row>
      <xdr:rowOff>58357</xdr:rowOff>
    </xdr:to>
    <xdr:sp macro="" textlink="">
      <xdr:nvSpPr>
        <xdr:cNvPr id="79" name="TextBox 78"/>
        <xdr:cNvSpPr txBox="1"/>
      </xdr:nvSpPr>
      <xdr:spPr>
        <a:xfrm>
          <a:off x="12553950" y="2497215"/>
          <a:ext cx="990600" cy="3329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>
              <a:latin typeface="+mj-ea"/>
              <a:ea typeface="+mj-ea"/>
            </a:rPr>
            <a:t>DISCOVERY</a:t>
          </a:r>
          <a:endParaRPr lang="ko-KR" altLang="en-US" sz="1100">
            <a:latin typeface="+mj-ea"/>
            <a:ea typeface="+mj-ea"/>
          </a:endParaRPr>
        </a:p>
      </xdr:txBody>
    </xdr:sp>
    <xdr:clientData/>
  </xdr:twoCellAnchor>
  <xdr:oneCellAnchor>
    <xdr:from>
      <xdr:col>20</xdr:col>
      <xdr:colOff>19050</xdr:colOff>
      <xdr:row>3</xdr:row>
      <xdr:rowOff>288471</xdr:rowOff>
    </xdr:from>
    <xdr:ext cx="607859" cy="336246"/>
    <xdr:sp macro="[0]!초기화" textlink="">
      <xdr:nvSpPr>
        <xdr:cNvPr id="80" name="TextBox 79"/>
        <xdr:cNvSpPr txBox="1"/>
      </xdr:nvSpPr>
      <xdr:spPr>
        <a:xfrm>
          <a:off x="13626193" y="900792"/>
          <a:ext cx="607859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050" b="1">
              <a:solidFill>
                <a:schemeClr val="accent5"/>
              </a:solidFill>
            </a:rPr>
            <a:t>초기화</a:t>
          </a:r>
        </a:p>
      </xdr:txBody>
    </xdr:sp>
    <xdr:clientData/>
  </xdr:oneCellAnchor>
  <xdr:twoCellAnchor>
    <xdr:from>
      <xdr:col>3</xdr:col>
      <xdr:colOff>0</xdr:colOff>
      <xdr:row>20</xdr:row>
      <xdr:rowOff>0</xdr:rowOff>
    </xdr:from>
    <xdr:to>
      <xdr:col>22</xdr:col>
      <xdr:colOff>423203</xdr:colOff>
      <xdr:row>33</xdr:row>
      <xdr:rowOff>123825</xdr:rowOff>
    </xdr:to>
    <xdr:grpSp>
      <xdr:nvGrpSpPr>
        <xdr:cNvPr id="1428" name="카드 1"/>
        <xdr:cNvGrpSpPr/>
      </xdr:nvGrpSpPr>
      <xdr:grpSpPr>
        <a:xfrm>
          <a:off x="2078182" y="4554682"/>
          <a:ext cx="13585021" cy="2825461"/>
          <a:chOff x="2057400" y="4591050"/>
          <a:chExt cx="13453403" cy="2847975"/>
        </a:xfrm>
      </xdr:grpSpPr>
      <xdr:sp macro="" textlink="">
        <xdr:nvSpPr>
          <xdr:cNvPr id="434" name="직사각형 433"/>
          <xdr:cNvSpPr/>
        </xdr:nvSpPr>
        <xdr:spPr>
          <a:xfrm>
            <a:off x="5955505" y="60868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448" name="직사각형 447"/>
          <xdr:cNvSpPr/>
        </xdr:nvSpPr>
        <xdr:spPr>
          <a:xfrm>
            <a:off x="8031763" y="60868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462" name="직사각형 461"/>
          <xdr:cNvSpPr/>
        </xdr:nvSpPr>
        <xdr:spPr>
          <a:xfrm>
            <a:off x="10094589" y="60868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476" name="직사각형 475"/>
          <xdr:cNvSpPr/>
        </xdr:nvSpPr>
        <xdr:spPr>
          <a:xfrm>
            <a:off x="12168922" y="60868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&quot;'" textlink="">
        <xdr:nvSpPr>
          <xdr:cNvPr id="490" name="비교 1"/>
          <xdr:cNvSpPr txBox="1"/>
        </xdr:nvSpPr>
        <xdr:spPr>
          <a:xfrm>
            <a:off x="2310412" y="67946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&quot;'" textlink="">
        <xdr:nvSpPr>
          <xdr:cNvPr id="504" name="신청 1"/>
          <xdr:cNvSpPr/>
        </xdr:nvSpPr>
        <xdr:spPr>
          <a:xfrm>
            <a:off x="3820631" y="68332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518" name="카드이미지"/>
          <xdr:cNvSpPr/>
        </xdr:nvSpPr>
        <xdr:spPr>
          <a:xfrm>
            <a:off x="2057400" y="45910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32" name="설명"/>
          <xdr:cNvSpPr/>
        </xdr:nvSpPr>
        <xdr:spPr>
          <a:xfrm>
            <a:off x="5874389" y="5436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구매에 대해서 </a:t>
            </a:r>
            <a:r>
              <a:rPr lang="en-US" altLang="ko-KR" sz="1800" b="0">
                <a:solidFill>
                  <a:schemeClr val="tx1"/>
                </a:solidFill>
              </a:rPr>
              <a:t>3% </a:t>
            </a:r>
            <a:r>
              <a:rPr lang="ko-KR" altLang="en-US" sz="1800" b="0">
                <a:solidFill>
                  <a:schemeClr val="tx1"/>
                </a:solidFill>
              </a:rPr>
              <a:t>캐시백 및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포인트 적립</a:t>
            </a:r>
          </a:p>
        </xdr:txBody>
      </xdr:sp>
      <xdr:sp macro="" textlink="">
        <xdr:nvSpPr>
          <xdr:cNvPr id="546" name="제목"/>
          <xdr:cNvSpPr/>
        </xdr:nvSpPr>
        <xdr:spPr>
          <a:xfrm>
            <a:off x="5874389" y="4674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Chase Freedom Unlimited™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560" name="이자"/>
          <xdr:cNvSpPr/>
        </xdr:nvSpPr>
        <xdr:spPr>
          <a:xfrm>
            <a:off x="5950882" y="67479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574" name="혜택"/>
          <xdr:cNvSpPr/>
        </xdr:nvSpPr>
        <xdr:spPr>
          <a:xfrm>
            <a:off x="7990326" y="67003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교통</a:t>
            </a:r>
          </a:p>
        </xdr:txBody>
      </xdr:sp>
      <xdr:sp macro="" textlink="">
        <xdr:nvSpPr>
          <xdr:cNvPr id="588" name="연회비"/>
          <xdr:cNvSpPr/>
        </xdr:nvSpPr>
        <xdr:spPr>
          <a:xfrm>
            <a:off x="10029769" y="67479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602" name="해외"/>
          <xdr:cNvSpPr/>
        </xdr:nvSpPr>
        <xdr:spPr>
          <a:xfrm>
            <a:off x="12185090" y="67479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VISA,MASTERCARD,UNION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35</xdr:row>
      <xdr:rowOff>0</xdr:rowOff>
    </xdr:from>
    <xdr:to>
      <xdr:col>22</xdr:col>
      <xdr:colOff>423203</xdr:colOff>
      <xdr:row>48</xdr:row>
      <xdr:rowOff>123825</xdr:rowOff>
    </xdr:to>
    <xdr:grpSp>
      <xdr:nvGrpSpPr>
        <xdr:cNvPr id="1429" name="카드 2"/>
        <xdr:cNvGrpSpPr/>
      </xdr:nvGrpSpPr>
      <xdr:grpSpPr>
        <a:xfrm>
          <a:off x="2078182" y="7671955"/>
          <a:ext cx="13585021" cy="2825461"/>
          <a:chOff x="2057400" y="7734300"/>
          <a:chExt cx="13453403" cy="2847975"/>
        </a:xfrm>
      </xdr:grpSpPr>
      <xdr:sp macro="" textlink="">
        <xdr:nvSpPr>
          <xdr:cNvPr id="630" name="직사각형 629"/>
          <xdr:cNvSpPr/>
        </xdr:nvSpPr>
        <xdr:spPr>
          <a:xfrm>
            <a:off x="5955505" y="92300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644" name="직사각형 643"/>
          <xdr:cNvSpPr/>
        </xdr:nvSpPr>
        <xdr:spPr>
          <a:xfrm>
            <a:off x="8031763" y="92300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658" name="직사각형 657"/>
          <xdr:cNvSpPr/>
        </xdr:nvSpPr>
        <xdr:spPr>
          <a:xfrm>
            <a:off x="10094589" y="92300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672" name="직사각형 671"/>
          <xdr:cNvSpPr/>
        </xdr:nvSpPr>
        <xdr:spPr>
          <a:xfrm>
            <a:off x="12168922" y="92300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&quot;'" textlink="">
        <xdr:nvSpPr>
          <xdr:cNvPr id="686" name="비교 2"/>
          <xdr:cNvSpPr txBox="1"/>
        </xdr:nvSpPr>
        <xdr:spPr>
          <a:xfrm>
            <a:off x="2310412" y="99378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&quot;'" textlink="">
        <xdr:nvSpPr>
          <xdr:cNvPr id="700" name="신청 2"/>
          <xdr:cNvSpPr/>
        </xdr:nvSpPr>
        <xdr:spPr>
          <a:xfrm>
            <a:off x="3820631" y="99765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714" name="카드이미지"/>
          <xdr:cNvSpPr/>
        </xdr:nvSpPr>
        <xdr:spPr>
          <a:xfrm>
            <a:off x="2057400" y="77343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28" name="설명"/>
          <xdr:cNvSpPr/>
        </xdr:nvSpPr>
        <xdr:spPr>
          <a:xfrm>
            <a:off x="5874389" y="8580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구매에 대해서 </a:t>
            </a:r>
            <a:r>
              <a:rPr lang="en-US" altLang="ko-KR" sz="1800" b="0">
                <a:solidFill>
                  <a:schemeClr val="tx1"/>
                </a:solidFill>
              </a:rPr>
              <a:t>2% </a:t>
            </a:r>
            <a:r>
              <a:rPr lang="ko-KR" altLang="en-US" sz="1800" b="0">
                <a:solidFill>
                  <a:schemeClr val="tx1"/>
                </a:solidFill>
              </a:rPr>
              <a:t>캐시백 및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포인트 적립</a:t>
            </a:r>
          </a:p>
        </xdr:txBody>
      </xdr:sp>
      <xdr:sp macro="" textlink="">
        <xdr:nvSpPr>
          <xdr:cNvPr id="742" name="제목"/>
          <xdr:cNvSpPr/>
        </xdr:nvSpPr>
        <xdr:spPr>
          <a:xfrm>
            <a:off x="5874389" y="7818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Chase Freedom Flex™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756" name="이자"/>
          <xdr:cNvSpPr/>
        </xdr:nvSpPr>
        <xdr:spPr>
          <a:xfrm>
            <a:off x="5950882" y="98912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4.90%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770" name="혜택"/>
          <xdr:cNvSpPr/>
        </xdr:nvSpPr>
        <xdr:spPr>
          <a:xfrm>
            <a:off x="7990326" y="98436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교통</a:t>
            </a:r>
          </a:p>
        </xdr:txBody>
      </xdr:sp>
      <xdr:sp macro="" textlink="">
        <xdr:nvSpPr>
          <xdr:cNvPr id="784" name="연회비"/>
          <xdr:cNvSpPr/>
        </xdr:nvSpPr>
        <xdr:spPr>
          <a:xfrm>
            <a:off x="10029769" y="98912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798" name="해외"/>
          <xdr:cNvSpPr/>
        </xdr:nvSpPr>
        <xdr:spPr>
          <a:xfrm>
            <a:off x="12185090" y="98912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VISA,MASTERCARD,UNION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50</xdr:row>
      <xdr:rowOff>0</xdr:rowOff>
    </xdr:from>
    <xdr:to>
      <xdr:col>22</xdr:col>
      <xdr:colOff>423203</xdr:colOff>
      <xdr:row>63</xdr:row>
      <xdr:rowOff>123824</xdr:rowOff>
    </xdr:to>
    <xdr:grpSp>
      <xdr:nvGrpSpPr>
        <xdr:cNvPr id="1430" name="카드 3"/>
        <xdr:cNvGrpSpPr/>
      </xdr:nvGrpSpPr>
      <xdr:grpSpPr>
        <a:xfrm>
          <a:off x="2078182" y="10789227"/>
          <a:ext cx="13585021" cy="2825461"/>
          <a:chOff x="2057400" y="10877550"/>
          <a:chExt cx="13453403" cy="2847974"/>
        </a:xfrm>
      </xdr:grpSpPr>
      <xdr:sp macro="" textlink="">
        <xdr:nvSpPr>
          <xdr:cNvPr id="800" name="직사각형 799"/>
          <xdr:cNvSpPr/>
        </xdr:nvSpPr>
        <xdr:spPr>
          <a:xfrm>
            <a:off x="5955505" y="1237334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01" name="직사각형 800"/>
          <xdr:cNvSpPr/>
        </xdr:nvSpPr>
        <xdr:spPr>
          <a:xfrm>
            <a:off x="8031763" y="1237334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02" name="직사각형 801"/>
          <xdr:cNvSpPr/>
        </xdr:nvSpPr>
        <xdr:spPr>
          <a:xfrm>
            <a:off x="10094589" y="1237334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03" name="직사각형 802"/>
          <xdr:cNvSpPr/>
        </xdr:nvSpPr>
        <xdr:spPr>
          <a:xfrm>
            <a:off x="12168922" y="1237334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3&quot;'" textlink="">
        <xdr:nvSpPr>
          <xdr:cNvPr id="804" name="비교 3"/>
          <xdr:cNvSpPr txBox="1"/>
        </xdr:nvSpPr>
        <xdr:spPr>
          <a:xfrm>
            <a:off x="2310412" y="1308110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3&quot;'" textlink="">
        <xdr:nvSpPr>
          <xdr:cNvPr id="805" name="신청 3"/>
          <xdr:cNvSpPr/>
        </xdr:nvSpPr>
        <xdr:spPr>
          <a:xfrm>
            <a:off x="3820631" y="1311979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806" name="카드이미지"/>
          <xdr:cNvSpPr/>
        </xdr:nvSpPr>
        <xdr:spPr>
          <a:xfrm>
            <a:off x="2057400" y="1087755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07" name="설명"/>
          <xdr:cNvSpPr/>
        </xdr:nvSpPr>
        <xdr:spPr>
          <a:xfrm>
            <a:off x="5874389" y="11723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구매에 대해서 </a:t>
            </a:r>
            <a:r>
              <a:rPr lang="en-US" altLang="ko-KR" sz="1800" b="0">
                <a:solidFill>
                  <a:schemeClr val="tx1"/>
                </a:solidFill>
              </a:rPr>
              <a:t>2% </a:t>
            </a:r>
            <a:r>
              <a:rPr lang="ko-KR" altLang="en-US" sz="1800" b="0">
                <a:solidFill>
                  <a:schemeClr val="tx1"/>
                </a:solidFill>
              </a:rPr>
              <a:t>캐시백 및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포인트 적립</a:t>
            </a:r>
          </a:p>
        </xdr:txBody>
      </xdr:sp>
      <xdr:sp macro="" textlink="">
        <xdr:nvSpPr>
          <xdr:cNvPr id="808" name="제목"/>
          <xdr:cNvSpPr/>
        </xdr:nvSpPr>
        <xdr:spPr>
          <a:xfrm>
            <a:off x="5874389" y="10961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Chase Freedom Student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809" name="이자"/>
          <xdr:cNvSpPr/>
        </xdr:nvSpPr>
        <xdr:spPr>
          <a:xfrm>
            <a:off x="5950882" y="1303449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10" name="혜택"/>
          <xdr:cNvSpPr/>
        </xdr:nvSpPr>
        <xdr:spPr>
          <a:xfrm>
            <a:off x="7990326" y="1298686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교통</a:t>
            </a:r>
          </a:p>
        </xdr:txBody>
      </xdr:sp>
      <xdr:sp macro="" textlink="">
        <xdr:nvSpPr>
          <xdr:cNvPr id="811" name="연회비"/>
          <xdr:cNvSpPr/>
        </xdr:nvSpPr>
        <xdr:spPr>
          <a:xfrm>
            <a:off x="10029769" y="1303449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812" name="해외"/>
          <xdr:cNvSpPr/>
        </xdr:nvSpPr>
        <xdr:spPr>
          <a:xfrm>
            <a:off x="12185090" y="1303449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VISA,MASTERCARD,UNION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65</xdr:row>
      <xdr:rowOff>0</xdr:rowOff>
    </xdr:from>
    <xdr:to>
      <xdr:col>22</xdr:col>
      <xdr:colOff>423203</xdr:colOff>
      <xdr:row>78</xdr:row>
      <xdr:rowOff>123825</xdr:rowOff>
    </xdr:to>
    <xdr:grpSp>
      <xdr:nvGrpSpPr>
        <xdr:cNvPr id="1431" name="카드 4"/>
        <xdr:cNvGrpSpPr/>
      </xdr:nvGrpSpPr>
      <xdr:grpSpPr>
        <a:xfrm>
          <a:off x="2078182" y="13906500"/>
          <a:ext cx="13585021" cy="2825461"/>
          <a:chOff x="2057400" y="14020800"/>
          <a:chExt cx="13453403" cy="2847975"/>
        </a:xfrm>
      </xdr:grpSpPr>
      <xdr:sp macro="" textlink="">
        <xdr:nvSpPr>
          <xdr:cNvPr id="814" name="직사각형 813"/>
          <xdr:cNvSpPr/>
        </xdr:nvSpPr>
        <xdr:spPr>
          <a:xfrm>
            <a:off x="5955505" y="155165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15" name="직사각형 814"/>
          <xdr:cNvSpPr/>
        </xdr:nvSpPr>
        <xdr:spPr>
          <a:xfrm>
            <a:off x="8031763" y="155165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16" name="직사각형 815"/>
          <xdr:cNvSpPr/>
        </xdr:nvSpPr>
        <xdr:spPr>
          <a:xfrm>
            <a:off x="10094589" y="155165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17" name="직사각형 816"/>
          <xdr:cNvSpPr/>
        </xdr:nvSpPr>
        <xdr:spPr>
          <a:xfrm>
            <a:off x="12168922" y="155165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4&quot;'" textlink="">
        <xdr:nvSpPr>
          <xdr:cNvPr id="818" name="비교 4"/>
          <xdr:cNvSpPr txBox="1"/>
        </xdr:nvSpPr>
        <xdr:spPr>
          <a:xfrm>
            <a:off x="2310412" y="162243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4&quot;'" textlink="">
        <xdr:nvSpPr>
          <xdr:cNvPr id="819" name="신청 4"/>
          <xdr:cNvSpPr/>
        </xdr:nvSpPr>
        <xdr:spPr>
          <a:xfrm>
            <a:off x="3820631" y="162630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820" name="카드이미지"/>
          <xdr:cNvSpPr/>
        </xdr:nvSpPr>
        <xdr:spPr>
          <a:xfrm>
            <a:off x="2057400" y="140208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21" name="설명"/>
          <xdr:cNvSpPr/>
        </xdr:nvSpPr>
        <xdr:spPr>
          <a:xfrm>
            <a:off x="5874389" y="14866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외식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여행 및 포인트 적립 서비스</a:t>
            </a:r>
          </a:p>
        </xdr:txBody>
      </xdr:sp>
      <xdr:sp macro="" textlink="">
        <xdr:nvSpPr>
          <xdr:cNvPr id="822" name="제목"/>
          <xdr:cNvSpPr/>
        </xdr:nvSpPr>
        <xdr:spPr>
          <a:xfrm>
            <a:off x="5874389" y="14104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Chase Sapphire Preferred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823" name="이자"/>
          <xdr:cNvSpPr/>
        </xdr:nvSpPr>
        <xdr:spPr>
          <a:xfrm>
            <a:off x="5950882" y="161777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24" name="혜택"/>
          <xdr:cNvSpPr/>
        </xdr:nvSpPr>
        <xdr:spPr>
          <a:xfrm>
            <a:off x="7990326" y="161301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825" name="연회비"/>
          <xdr:cNvSpPr/>
        </xdr:nvSpPr>
        <xdr:spPr>
          <a:xfrm>
            <a:off x="10029769" y="161777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95,000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826" name="해외"/>
          <xdr:cNvSpPr/>
        </xdr:nvSpPr>
        <xdr:spPr>
          <a:xfrm>
            <a:off x="12185090" y="161777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VISA,UNION,BC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카드</a:t>
            </a:r>
          </a:p>
        </xdr:txBody>
      </xdr:sp>
    </xdr:grpSp>
    <xdr:clientData/>
  </xdr:twoCellAnchor>
  <xdr:twoCellAnchor>
    <xdr:from>
      <xdr:col>3</xdr:col>
      <xdr:colOff>0</xdr:colOff>
      <xdr:row>80</xdr:row>
      <xdr:rowOff>0</xdr:rowOff>
    </xdr:from>
    <xdr:to>
      <xdr:col>22</xdr:col>
      <xdr:colOff>423203</xdr:colOff>
      <xdr:row>93</xdr:row>
      <xdr:rowOff>123825</xdr:rowOff>
    </xdr:to>
    <xdr:grpSp>
      <xdr:nvGrpSpPr>
        <xdr:cNvPr id="1432" name="카드 5"/>
        <xdr:cNvGrpSpPr/>
      </xdr:nvGrpSpPr>
      <xdr:grpSpPr>
        <a:xfrm>
          <a:off x="2078182" y="17023773"/>
          <a:ext cx="13585021" cy="2825461"/>
          <a:chOff x="2057400" y="17164050"/>
          <a:chExt cx="13453403" cy="2847975"/>
        </a:xfrm>
      </xdr:grpSpPr>
      <xdr:sp macro="" textlink="">
        <xdr:nvSpPr>
          <xdr:cNvPr id="828" name="직사각형 827"/>
          <xdr:cNvSpPr/>
        </xdr:nvSpPr>
        <xdr:spPr>
          <a:xfrm>
            <a:off x="5955505" y="186598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29" name="직사각형 828"/>
          <xdr:cNvSpPr/>
        </xdr:nvSpPr>
        <xdr:spPr>
          <a:xfrm>
            <a:off x="8031763" y="186598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30" name="직사각형 829"/>
          <xdr:cNvSpPr/>
        </xdr:nvSpPr>
        <xdr:spPr>
          <a:xfrm>
            <a:off x="10094589" y="186598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31" name="직사각형 830"/>
          <xdr:cNvSpPr/>
        </xdr:nvSpPr>
        <xdr:spPr>
          <a:xfrm>
            <a:off x="12168922" y="186598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5&quot;'" textlink="">
        <xdr:nvSpPr>
          <xdr:cNvPr id="832" name="비교 5"/>
          <xdr:cNvSpPr txBox="1"/>
        </xdr:nvSpPr>
        <xdr:spPr>
          <a:xfrm>
            <a:off x="2310412" y="193676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5&quot;'" textlink="">
        <xdr:nvSpPr>
          <xdr:cNvPr id="833" name="신청 5"/>
          <xdr:cNvSpPr/>
        </xdr:nvSpPr>
        <xdr:spPr>
          <a:xfrm>
            <a:off x="3820631" y="194062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834" name="카드이미지"/>
          <xdr:cNvSpPr/>
        </xdr:nvSpPr>
        <xdr:spPr>
          <a:xfrm>
            <a:off x="2057400" y="171640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35" name="설명"/>
          <xdr:cNvSpPr/>
        </xdr:nvSpPr>
        <xdr:spPr>
          <a:xfrm>
            <a:off x="5874389" y="18009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프리미엄 수준의 여행 및 외식 리워드 제공</a:t>
            </a:r>
          </a:p>
        </xdr:txBody>
      </xdr:sp>
      <xdr:sp macro="" textlink="">
        <xdr:nvSpPr>
          <xdr:cNvPr id="836" name="제목"/>
          <xdr:cNvSpPr/>
        </xdr:nvSpPr>
        <xdr:spPr>
          <a:xfrm>
            <a:off x="5874389" y="17247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Chase Sapphire Reserve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837" name="이자"/>
          <xdr:cNvSpPr/>
        </xdr:nvSpPr>
        <xdr:spPr>
          <a:xfrm>
            <a:off x="5950882" y="193209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38" name="혜택"/>
          <xdr:cNvSpPr/>
        </xdr:nvSpPr>
        <xdr:spPr>
          <a:xfrm>
            <a:off x="7990326" y="192733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</a:p>
        </xdr:txBody>
      </xdr:sp>
      <xdr:sp macro="" textlink="">
        <xdr:nvSpPr>
          <xdr:cNvPr id="839" name="연회비"/>
          <xdr:cNvSpPr/>
        </xdr:nvSpPr>
        <xdr:spPr>
          <a:xfrm>
            <a:off x="10029769" y="193209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550,000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840" name="해외"/>
          <xdr:cNvSpPr/>
        </xdr:nvSpPr>
        <xdr:spPr>
          <a:xfrm>
            <a:off x="12185090" y="193209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VISA,MASTERCARD,DISCOVERY,BC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카드</a:t>
            </a:r>
          </a:p>
        </xdr:txBody>
      </xdr:sp>
    </xdr:grpSp>
    <xdr:clientData/>
  </xdr:twoCellAnchor>
  <xdr:twoCellAnchor>
    <xdr:from>
      <xdr:col>3</xdr:col>
      <xdr:colOff>0</xdr:colOff>
      <xdr:row>95</xdr:row>
      <xdr:rowOff>0</xdr:rowOff>
    </xdr:from>
    <xdr:to>
      <xdr:col>22</xdr:col>
      <xdr:colOff>423203</xdr:colOff>
      <xdr:row>108</xdr:row>
      <xdr:rowOff>123824</xdr:rowOff>
    </xdr:to>
    <xdr:grpSp>
      <xdr:nvGrpSpPr>
        <xdr:cNvPr id="1433" name="카드 6"/>
        <xdr:cNvGrpSpPr/>
      </xdr:nvGrpSpPr>
      <xdr:grpSpPr>
        <a:xfrm>
          <a:off x="2078182" y="20141045"/>
          <a:ext cx="13585021" cy="2825461"/>
          <a:chOff x="2057400" y="20307300"/>
          <a:chExt cx="13453403" cy="2847974"/>
        </a:xfrm>
      </xdr:grpSpPr>
      <xdr:sp macro="" textlink="">
        <xdr:nvSpPr>
          <xdr:cNvPr id="842" name="직사각형 841"/>
          <xdr:cNvSpPr/>
        </xdr:nvSpPr>
        <xdr:spPr>
          <a:xfrm>
            <a:off x="5955505" y="2180309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43" name="직사각형 842"/>
          <xdr:cNvSpPr/>
        </xdr:nvSpPr>
        <xdr:spPr>
          <a:xfrm>
            <a:off x="8031763" y="2180309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44" name="직사각형 843"/>
          <xdr:cNvSpPr/>
        </xdr:nvSpPr>
        <xdr:spPr>
          <a:xfrm>
            <a:off x="10094589" y="2180309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45" name="직사각형 844"/>
          <xdr:cNvSpPr/>
        </xdr:nvSpPr>
        <xdr:spPr>
          <a:xfrm>
            <a:off x="12168922" y="2180309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6&quot;'" textlink="">
        <xdr:nvSpPr>
          <xdr:cNvPr id="846" name="비교 6"/>
          <xdr:cNvSpPr txBox="1"/>
        </xdr:nvSpPr>
        <xdr:spPr>
          <a:xfrm>
            <a:off x="2310412" y="2251085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6&quot;'" textlink="">
        <xdr:nvSpPr>
          <xdr:cNvPr id="847" name="신청 6"/>
          <xdr:cNvSpPr/>
        </xdr:nvSpPr>
        <xdr:spPr>
          <a:xfrm>
            <a:off x="3820631" y="2254954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848" name="카드이미지"/>
          <xdr:cNvSpPr/>
        </xdr:nvSpPr>
        <xdr:spPr>
          <a:xfrm>
            <a:off x="2057400" y="2030730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6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49" name="설명"/>
          <xdr:cNvSpPr/>
        </xdr:nvSpPr>
        <xdr:spPr>
          <a:xfrm>
            <a:off x="5874389" y="21153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여행에 사용한 금액 </a:t>
            </a:r>
            <a:r>
              <a:rPr lang="en-US" altLang="ko-KR" sz="1800" b="0">
                <a:solidFill>
                  <a:schemeClr val="tx1"/>
                </a:solidFill>
              </a:rPr>
              <a:t>0.3% </a:t>
            </a:r>
            <a:r>
              <a:rPr lang="ko-KR" altLang="en-US" sz="1800" b="0">
                <a:solidFill>
                  <a:schemeClr val="tx1"/>
                </a:solidFill>
              </a:rPr>
              <a:t>추가 적립 제공</a:t>
            </a:r>
          </a:p>
        </xdr:txBody>
      </xdr:sp>
      <xdr:sp macro="" textlink="">
        <xdr:nvSpPr>
          <xdr:cNvPr id="850" name="제목"/>
          <xdr:cNvSpPr/>
        </xdr:nvSpPr>
        <xdr:spPr>
          <a:xfrm>
            <a:off x="5874389" y="20391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Southwest Rapid Rewards Priority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851" name="이자"/>
          <xdr:cNvSpPr/>
        </xdr:nvSpPr>
        <xdr:spPr>
          <a:xfrm>
            <a:off x="5950882" y="2246424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5.90%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52" name="혜택"/>
          <xdr:cNvSpPr/>
        </xdr:nvSpPr>
        <xdr:spPr>
          <a:xfrm>
            <a:off x="7990326" y="2241661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853" name="연회비"/>
          <xdr:cNvSpPr/>
        </xdr:nvSpPr>
        <xdr:spPr>
          <a:xfrm>
            <a:off x="10029769" y="2246424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149,000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854" name="해외"/>
          <xdr:cNvSpPr/>
        </xdr:nvSpPr>
        <xdr:spPr>
          <a:xfrm>
            <a:off x="12185090" y="2246424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110</xdr:row>
      <xdr:rowOff>0</xdr:rowOff>
    </xdr:from>
    <xdr:to>
      <xdr:col>22</xdr:col>
      <xdr:colOff>423203</xdr:colOff>
      <xdr:row>123</xdr:row>
      <xdr:rowOff>123824</xdr:rowOff>
    </xdr:to>
    <xdr:grpSp>
      <xdr:nvGrpSpPr>
        <xdr:cNvPr id="1434" name="카드 7"/>
        <xdr:cNvGrpSpPr/>
      </xdr:nvGrpSpPr>
      <xdr:grpSpPr>
        <a:xfrm>
          <a:off x="2078182" y="23258318"/>
          <a:ext cx="13585021" cy="2825461"/>
          <a:chOff x="2057400" y="23450550"/>
          <a:chExt cx="13453403" cy="2847974"/>
        </a:xfrm>
      </xdr:grpSpPr>
      <xdr:sp macro="" textlink="">
        <xdr:nvSpPr>
          <xdr:cNvPr id="856" name="직사각형 855"/>
          <xdr:cNvSpPr/>
        </xdr:nvSpPr>
        <xdr:spPr>
          <a:xfrm>
            <a:off x="5955505" y="2494634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57" name="직사각형 856"/>
          <xdr:cNvSpPr/>
        </xdr:nvSpPr>
        <xdr:spPr>
          <a:xfrm>
            <a:off x="8031763" y="2494634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58" name="직사각형 857"/>
          <xdr:cNvSpPr/>
        </xdr:nvSpPr>
        <xdr:spPr>
          <a:xfrm>
            <a:off x="10094589" y="2494634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59" name="직사각형 858"/>
          <xdr:cNvSpPr/>
        </xdr:nvSpPr>
        <xdr:spPr>
          <a:xfrm>
            <a:off x="12168922" y="2494634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7&quot;'" textlink="">
        <xdr:nvSpPr>
          <xdr:cNvPr id="860" name="비교 7"/>
          <xdr:cNvSpPr txBox="1"/>
        </xdr:nvSpPr>
        <xdr:spPr>
          <a:xfrm>
            <a:off x="2310412" y="2565410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7&quot;'" textlink="">
        <xdr:nvSpPr>
          <xdr:cNvPr id="861" name="신청 7"/>
          <xdr:cNvSpPr/>
        </xdr:nvSpPr>
        <xdr:spPr>
          <a:xfrm>
            <a:off x="3820631" y="2569279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862" name="카드이미지"/>
          <xdr:cNvSpPr/>
        </xdr:nvSpPr>
        <xdr:spPr>
          <a:xfrm>
            <a:off x="2057400" y="2345055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63" name="설명"/>
          <xdr:cNvSpPr/>
        </xdr:nvSpPr>
        <xdr:spPr>
          <a:xfrm>
            <a:off x="5874389" y="24296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여행에 사용한 금액 </a:t>
            </a:r>
            <a:r>
              <a:rPr lang="en-US" altLang="ko-KR" sz="1800" b="0">
                <a:solidFill>
                  <a:schemeClr val="tx1"/>
                </a:solidFill>
              </a:rPr>
              <a:t>0.1% </a:t>
            </a:r>
            <a:r>
              <a:rPr lang="ko-KR" altLang="en-US" sz="1800" b="0">
                <a:solidFill>
                  <a:schemeClr val="tx1"/>
                </a:solidFill>
              </a:rPr>
              <a:t>추가 적립 제공</a:t>
            </a:r>
          </a:p>
        </xdr:txBody>
      </xdr:sp>
      <xdr:sp macro="" textlink="">
        <xdr:nvSpPr>
          <xdr:cNvPr id="864" name="제목"/>
          <xdr:cNvSpPr/>
        </xdr:nvSpPr>
        <xdr:spPr>
          <a:xfrm>
            <a:off x="5874389" y="23534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Southwest Rapid Rewards Plus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865" name="이자"/>
          <xdr:cNvSpPr/>
        </xdr:nvSpPr>
        <xdr:spPr>
          <a:xfrm>
            <a:off x="5950882" y="2560749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4.90%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66" name="혜택"/>
          <xdr:cNvSpPr/>
        </xdr:nvSpPr>
        <xdr:spPr>
          <a:xfrm>
            <a:off x="7990326" y="2555986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867" name="연회비"/>
          <xdr:cNvSpPr/>
        </xdr:nvSpPr>
        <xdr:spPr>
          <a:xfrm>
            <a:off x="10029769" y="2560749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79,000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868" name="해외"/>
          <xdr:cNvSpPr/>
        </xdr:nvSpPr>
        <xdr:spPr>
          <a:xfrm>
            <a:off x="12185090" y="2560749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125</xdr:row>
      <xdr:rowOff>0</xdr:rowOff>
    </xdr:from>
    <xdr:to>
      <xdr:col>22</xdr:col>
      <xdr:colOff>423203</xdr:colOff>
      <xdr:row>138</xdr:row>
      <xdr:rowOff>123825</xdr:rowOff>
    </xdr:to>
    <xdr:grpSp>
      <xdr:nvGrpSpPr>
        <xdr:cNvPr id="1435" name="카드 8"/>
        <xdr:cNvGrpSpPr/>
      </xdr:nvGrpSpPr>
      <xdr:grpSpPr>
        <a:xfrm>
          <a:off x="2078182" y="26375591"/>
          <a:ext cx="13585021" cy="2825461"/>
          <a:chOff x="2057400" y="26593800"/>
          <a:chExt cx="13453403" cy="2847975"/>
        </a:xfrm>
      </xdr:grpSpPr>
      <xdr:sp macro="" textlink="">
        <xdr:nvSpPr>
          <xdr:cNvPr id="870" name="직사각형 869"/>
          <xdr:cNvSpPr/>
        </xdr:nvSpPr>
        <xdr:spPr>
          <a:xfrm>
            <a:off x="5955505" y="280895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71" name="직사각형 870"/>
          <xdr:cNvSpPr/>
        </xdr:nvSpPr>
        <xdr:spPr>
          <a:xfrm>
            <a:off x="8031763" y="280895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72" name="직사각형 871"/>
          <xdr:cNvSpPr/>
        </xdr:nvSpPr>
        <xdr:spPr>
          <a:xfrm>
            <a:off x="10094589" y="280895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73" name="직사각형 872"/>
          <xdr:cNvSpPr/>
        </xdr:nvSpPr>
        <xdr:spPr>
          <a:xfrm>
            <a:off x="12168922" y="280895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8&quot;'" textlink="">
        <xdr:nvSpPr>
          <xdr:cNvPr id="874" name="비교 8"/>
          <xdr:cNvSpPr txBox="1"/>
        </xdr:nvSpPr>
        <xdr:spPr>
          <a:xfrm>
            <a:off x="2310412" y="287973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8&quot;'" textlink="">
        <xdr:nvSpPr>
          <xdr:cNvPr id="875" name="신청 8"/>
          <xdr:cNvSpPr/>
        </xdr:nvSpPr>
        <xdr:spPr>
          <a:xfrm>
            <a:off x="3820631" y="288360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876" name="카드이미지"/>
          <xdr:cNvSpPr/>
        </xdr:nvSpPr>
        <xdr:spPr>
          <a:xfrm>
            <a:off x="2057400" y="265938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8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77" name="설명"/>
          <xdr:cNvSpPr/>
        </xdr:nvSpPr>
        <xdr:spPr>
          <a:xfrm>
            <a:off x="5874389" y="27439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여행에 사용한 금액 </a:t>
            </a:r>
            <a:r>
              <a:rPr lang="en-US" altLang="ko-KR" sz="1800" b="0">
                <a:solidFill>
                  <a:schemeClr val="tx1"/>
                </a:solidFill>
              </a:rPr>
              <a:t>0.2% </a:t>
            </a:r>
            <a:r>
              <a:rPr lang="ko-KR" altLang="en-US" sz="1800" b="0">
                <a:solidFill>
                  <a:schemeClr val="tx1"/>
                </a:solidFill>
              </a:rPr>
              <a:t>추가 적립 제공</a:t>
            </a:r>
          </a:p>
        </xdr:txBody>
      </xdr:sp>
      <xdr:sp macro="" textlink="">
        <xdr:nvSpPr>
          <xdr:cNvPr id="878" name="제목"/>
          <xdr:cNvSpPr/>
        </xdr:nvSpPr>
        <xdr:spPr>
          <a:xfrm>
            <a:off x="5874389" y="26677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Southwest Rapid Rewards Premier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879" name="이자"/>
          <xdr:cNvSpPr/>
        </xdr:nvSpPr>
        <xdr:spPr>
          <a:xfrm>
            <a:off x="5950882" y="287507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80" name="혜택"/>
          <xdr:cNvSpPr/>
        </xdr:nvSpPr>
        <xdr:spPr>
          <a:xfrm>
            <a:off x="7990326" y="287031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881" name="연회비"/>
          <xdr:cNvSpPr/>
        </xdr:nvSpPr>
        <xdr:spPr>
          <a:xfrm>
            <a:off x="10029769" y="287507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129,000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882" name="해외"/>
          <xdr:cNvSpPr/>
        </xdr:nvSpPr>
        <xdr:spPr>
          <a:xfrm>
            <a:off x="12185090" y="287507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140</xdr:row>
      <xdr:rowOff>0</xdr:rowOff>
    </xdr:from>
    <xdr:to>
      <xdr:col>22</xdr:col>
      <xdr:colOff>423203</xdr:colOff>
      <xdr:row>153</xdr:row>
      <xdr:rowOff>123825</xdr:rowOff>
    </xdr:to>
    <xdr:grpSp>
      <xdr:nvGrpSpPr>
        <xdr:cNvPr id="1436" name="카드 9"/>
        <xdr:cNvGrpSpPr/>
      </xdr:nvGrpSpPr>
      <xdr:grpSpPr>
        <a:xfrm>
          <a:off x="2078182" y="29492864"/>
          <a:ext cx="13585021" cy="2825461"/>
          <a:chOff x="2057400" y="29737050"/>
          <a:chExt cx="13453403" cy="2847975"/>
        </a:xfrm>
      </xdr:grpSpPr>
      <xdr:sp macro="" textlink="">
        <xdr:nvSpPr>
          <xdr:cNvPr id="884" name="직사각형 883"/>
          <xdr:cNvSpPr/>
        </xdr:nvSpPr>
        <xdr:spPr>
          <a:xfrm>
            <a:off x="5955505" y="312328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85" name="직사각형 884"/>
          <xdr:cNvSpPr/>
        </xdr:nvSpPr>
        <xdr:spPr>
          <a:xfrm>
            <a:off x="8031763" y="312328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86" name="직사각형 885"/>
          <xdr:cNvSpPr/>
        </xdr:nvSpPr>
        <xdr:spPr>
          <a:xfrm>
            <a:off x="10094589" y="312328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87" name="직사각형 886"/>
          <xdr:cNvSpPr/>
        </xdr:nvSpPr>
        <xdr:spPr>
          <a:xfrm>
            <a:off x="12168922" y="312328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9&quot;'" textlink="">
        <xdr:nvSpPr>
          <xdr:cNvPr id="888" name="비교 9"/>
          <xdr:cNvSpPr txBox="1"/>
        </xdr:nvSpPr>
        <xdr:spPr>
          <a:xfrm>
            <a:off x="2310412" y="319406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9&quot;'" textlink="">
        <xdr:nvSpPr>
          <xdr:cNvPr id="889" name="신청 9"/>
          <xdr:cNvSpPr/>
        </xdr:nvSpPr>
        <xdr:spPr>
          <a:xfrm>
            <a:off x="3820631" y="319792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890" name="카드이미지"/>
          <xdr:cNvSpPr/>
        </xdr:nvSpPr>
        <xdr:spPr>
          <a:xfrm>
            <a:off x="2057400" y="297370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91" name="설명"/>
          <xdr:cNvSpPr/>
        </xdr:nvSpPr>
        <xdr:spPr>
          <a:xfrm>
            <a:off x="5874389" y="30582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프리미엄 여행 혜택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여행 사용시 최대 </a:t>
            </a:r>
            <a:r>
              <a:rPr lang="en-US" altLang="ko-KR" sz="1800" b="0">
                <a:solidFill>
                  <a:schemeClr val="tx1"/>
                </a:solidFill>
              </a:rPr>
              <a:t>5% </a:t>
            </a:r>
            <a:r>
              <a:rPr lang="ko-KR" altLang="en-US" sz="1800" b="0">
                <a:solidFill>
                  <a:schemeClr val="tx1"/>
                </a:solidFill>
              </a:rPr>
              <a:t>할인 제공</a:t>
            </a:r>
          </a:p>
        </xdr:txBody>
      </xdr:sp>
      <xdr:sp macro="" textlink="">
        <xdr:nvSpPr>
          <xdr:cNvPr id="892" name="제목"/>
          <xdr:cNvSpPr/>
        </xdr:nvSpPr>
        <xdr:spPr>
          <a:xfrm>
            <a:off x="5874389" y="29820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United Club Infinite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893" name="이자"/>
          <xdr:cNvSpPr/>
        </xdr:nvSpPr>
        <xdr:spPr>
          <a:xfrm>
            <a:off x="5950882" y="318939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94" name="혜택"/>
          <xdr:cNvSpPr/>
        </xdr:nvSpPr>
        <xdr:spPr>
          <a:xfrm>
            <a:off x="7990326" y="318463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895" name="연회비"/>
          <xdr:cNvSpPr/>
        </xdr:nvSpPr>
        <xdr:spPr>
          <a:xfrm>
            <a:off x="10029769" y="318939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790,000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896" name="해외"/>
          <xdr:cNvSpPr/>
        </xdr:nvSpPr>
        <xdr:spPr>
          <a:xfrm>
            <a:off x="12185090" y="318939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155</xdr:row>
      <xdr:rowOff>0</xdr:rowOff>
    </xdr:from>
    <xdr:to>
      <xdr:col>22</xdr:col>
      <xdr:colOff>423203</xdr:colOff>
      <xdr:row>168</xdr:row>
      <xdr:rowOff>123824</xdr:rowOff>
    </xdr:to>
    <xdr:grpSp>
      <xdr:nvGrpSpPr>
        <xdr:cNvPr id="1437" name="카드 10"/>
        <xdr:cNvGrpSpPr/>
      </xdr:nvGrpSpPr>
      <xdr:grpSpPr>
        <a:xfrm>
          <a:off x="2078182" y="32610136"/>
          <a:ext cx="13585021" cy="2825461"/>
          <a:chOff x="2057400" y="32880300"/>
          <a:chExt cx="13453403" cy="2847974"/>
        </a:xfrm>
      </xdr:grpSpPr>
      <xdr:sp macro="" textlink="">
        <xdr:nvSpPr>
          <xdr:cNvPr id="898" name="직사각형 897"/>
          <xdr:cNvSpPr/>
        </xdr:nvSpPr>
        <xdr:spPr>
          <a:xfrm>
            <a:off x="5955505" y="3437609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899" name="직사각형 898"/>
          <xdr:cNvSpPr/>
        </xdr:nvSpPr>
        <xdr:spPr>
          <a:xfrm>
            <a:off x="8031763" y="3437609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00" name="직사각형 899"/>
          <xdr:cNvSpPr/>
        </xdr:nvSpPr>
        <xdr:spPr>
          <a:xfrm>
            <a:off x="10094589" y="3437609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01" name="직사각형 900"/>
          <xdr:cNvSpPr/>
        </xdr:nvSpPr>
        <xdr:spPr>
          <a:xfrm>
            <a:off x="12168922" y="3437609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0&quot;'" textlink="">
        <xdr:nvSpPr>
          <xdr:cNvPr id="902" name="비교 10"/>
          <xdr:cNvSpPr txBox="1"/>
        </xdr:nvSpPr>
        <xdr:spPr>
          <a:xfrm>
            <a:off x="2310412" y="3508385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0&quot;'" textlink="">
        <xdr:nvSpPr>
          <xdr:cNvPr id="903" name="신청 10"/>
          <xdr:cNvSpPr/>
        </xdr:nvSpPr>
        <xdr:spPr>
          <a:xfrm>
            <a:off x="3820631" y="3512254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04" name="카드이미지"/>
          <xdr:cNvSpPr/>
        </xdr:nvSpPr>
        <xdr:spPr>
          <a:xfrm>
            <a:off x="2057400" y="3288030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0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05" name="설명"/>
          <xdr:cNvSpPr/>
        </xdr:nvSpPr>
        <xdr:spPr>
          <a:xfrm>
            <a:off x="5874389" y="33726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여행을 시작하는 당신에게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여행에 사용한 금액 </a:t>
            </a:r>
            <a:r>
              <a:rPr lang="en-US" altLang="ko-KR" sz="1800" b="0">
                <a:solidFill>
                  <a:schemeClr val="tx1"/>
                </a:solidFill>
              </a:rPr>
              <a:t>0.1% </a:t>
            </a:r>
            <a:r>
              <a:rPr lang="ko-KR" altLang="en-US" sz="1800" b="0">
                <a:solidFill>
                  <a:schemeClr val="tx1"/>
                </a:solidFill>
              </a:rPr>
              <a:t>적립</a:t>
            </a:r>
          </a:p>
        </xdr:txBody>
      </xdr:sp>
      <xdr:sp macro="" textlink="">
        <xdr:nvSpPr>
          <xdr:cNvPr id="906" name="제목"/>
          <xdr:cNvSpPr/>
        </xdr:nvSpPr>
        <xdr:spPr>
          <a:xfrm>
            <a:off x="5874389" y="32964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United Gateway Mileage Plus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907" name="이자"/>
          <xdr:cNvSpPr/>
        </xdr:nvSpPr>
        <xdr:spPr>
          <a:xfrm>
            <a:off x="5950882" y="3503724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08" name="혜택"/>
          <xdr:cNvSpPr/>
        </xdr:nvSpPr>
        <xdr:spPr>
          <a:xfrm>
            <a:off x="7990326" y="3498961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909" name="연회비"/>
          <xdr:cNvSpPr/>
        </xdr:nvSpPr>
        <xdr:spPr>
          <a:xfrm>
            <a:off x="10029769" y="3503724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910" name="해외"/>
          <xdr:cNvSpPr/>
        </xdr:nvSpPr>
        <xdr:spPr>
          <a:xfrm>
            <a:off x="12185090" y="3503724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VISA,MASTERCARD,UNION,DISCOVERY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170</xdr:row>
      <xdr:rowOff>0</xdr:rowOff>
    </xdr:from>
    <xdr:to>
      <xdr:col>22</xdr:col>
      <xdr:colOff>423203</xdr:colOff>
      <xdr:row>183</xdr:row>
      <xdr:rowOff>123825</xdr:rowOff>
    </xdr:to>
    <xdr:grpSp>
      <xdr:nvGrpSpPr>
        <xdr:cNvPr id="1438" name="카드 11"/>
        <xdr:cNvGrpSpPr/>
      </xdr:nvGrpSpPr>
      <xdr:grpSpPr>
        <a:xfrm>
          <a:off x="2078182" y="35727409"/>
          <a:ext cx="13585021" cy="2825461"/>
          <a:chOff x="2057400" y="36023550"/>
          <a:chExt cx="13453403" cy="2847975"/>
        </a:xfrm>
      </xdr:grpSpPr>
      <xdr:sp macro="" textlink="">
        <xdr:nvSpPr>
          <xdr:cNvPr id="912" name="직사각형 911"/>
          <xdr:cNvSpPr/>
        </xdr:nvSpPr>
        <xdr:spPr>
          <a:xfrm>
            <a:off x="5955505" y="375193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13" name="직사각형 912"/>
          <xdr:cNvSpPr/>
        </xdr:nvSpPr>
        <xdr:spPr>
          <a:xfrm>
            <a:off x="8031763" y="375193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14" name="직사각형 913"/>
          <xdr:cNvSpPr/>
        </xdr:nvSpPr>
        <xdr:spPr>
          <a:xfrm>
            <a:off x="10094589" y="375193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15" name="직사각형 914"/>
          <xdr:cNvSpPr/>
        </xdr:nvSpPr>
        <xdr:spPr>
          <a:xfrm>
            <a:off x="12168922" y="375193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1&quot;'" textlink="">
        <xdr:nvSpPr>
          <xdr:cNvPr id="916" name="비교 11"/>
          <xdr:cNvSpPr txBox="1"/>
        </xdr:nvSpPr>
        <xdr:spPr>
          <a:xfrm>
            <a:off x="2310412" y="382271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1&quot;'" textlink="">
        <xdr:nvSpPr>
          <xdr:cNvPr id="917" name="신청 11"/>
          <xdr:cNvSpPr/>
        </xdr:nvSpPr>
        <xdr:spPr>
          <a:xfrm>
            <a:off x="3820631" y="382657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18" name="카드이미지"/>
          <xdr:cNvSpPr/>
        </xdr:nvSpPr>
        <xdr:spPr>
          <a:xfrm>
            <a:off x="2057400" y="360235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19" name="설명"/>
          <xdr:cNvSpPr/>
        </xdr:nvSpPr>
        <xdr:spPr>
          <a:xfrm>
            <a:off x="5874389" y="36869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호텔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여행에 최대 </a:t>
            </a:r>
            <a:r>
              <a:rPr lang="en-US" altLang="ko-KR" sz="1800" b="0">
                <a:solidFill>
                  <a:schemeClr val="tx1"/>
                </a:solidFill>
              </a:rPr>
              <a:t>3% </a:t>
            </a:r>
            <a:r>
              <a:rPr lang="ko-KR" altLang="en-US" sz="1800" b="0">
                <a:solidFill>
                  <a:schemeClr val="tx1"/>
                </a:solidFill>
              </a:rPr>
              <a:t>할인 제공</a:t>
            </a:r>
          </a:p>
        </xdr:txBody>
      </xdr:sp>
      <xdr:sp macro="" textlink="">
        <xdr:nvSpPr>
          <xdr:cNvPr id="920" name="제목"/>
          <xdr:cNvSpPr/>
        </xdr:nvSpPr>
        <xdr:spPr>
          <a:xfrm>
            <a:off x="5874389" y="36107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UNITED™ EXPLORER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921" name="이자"/>
          <xdr:cNvSpPr/>
        </xdr:nvSpPr>
        <xdr:spPr>
          <a:xfrm>
            <a:off x="5950882" y="381804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3.50%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22" name="혜택"/>
          <xdr:cNvSpPr/>
        </xdr:nvSpPr>
        <xdr:spPr>
          <a:xfrm>
            <a:off x="7990326" y="381328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923" name="연회비"/>
          <xdr:cNvSpPr/>
        </xdr:nvSpPr>
        <xdr:spPr>
          <a:xfrm>
            <a:off x="10029769" y="381804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119,000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924" name="해외"/>
          <xdr:cNvSpPr/>
        </xdr:nvSpPr>
        <xdr:spPr>
          <a:xfrm>
            <a:off x="12185090" y="381804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VISA,DISCOVERY,BC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카드</a:t>
            </a:r>
          </a:p>
        </xdr:txBody>
      </xdr:sp>
    </xdr:grpSp>
    <xdr:clientData/>
  </xdr:twoCellAnchor>
  <xdr:twoCellAnchor>
    <xdr:from>
      <xdr:col>3</xdr:col>
      <xdr:colOff>0</xdr:colOff>
      <xdr:row>185</xdr:row>
      <xdr:rowOff>0</xdr:rowOff>
    </xdr:from>
    <xdr:to>
      <xdr:col>22</xdr:col>
      <xdr:colOff>423203</xdr:colOff>
      <xdr:row>198</xdr:row>
      <xdr:rowOff>123825</xdr:rowOff>
    </xdr:to>
    <xdr:grpSp>
      <xdr:nvGrpSpPr>
        <xdr:cNvPr id="1439" name="카드 12"/>
        <xdr:cNvGrpSpPr/>
      </xdr:nvGrpSpPr>
      <xdr:grpSpPr>
        <a:xfrm>
          <a:off x="2078182" y="38844682"/>
          <a:ext cx="13585021" cy="2825461"/>
          <a:chOff x="2057400" y="39166800"/>
          <a:chExt cx="13453403" cy="2847975"/>
        </a:xfrm>
      </xdr:grpSpPr>
      <xdr:sp macro="" textlink="">
        <xdr:nvSpPr>
          <xdr:cNvPr id="926" name="직사각형 925"/>
          <xdr:cNvSpPr/>
        </xdr:nvSpPr>
        <xdr:spPr>
          <a:xfrm>
            <a:off x="5955505" y="406625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27" name="직사각형 926"/>
          <xdr:cNvSpPr/>
        </xdr:nvSpPr>
        <xdr:spPr>
          <a:xfrm>
            <a:off x="8031763" y="406625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28" name="직사각형 927"/>
          <xdr:cNvSpPr/>
        </xdr:nvSpPr>
        <xdr:spPr>
          <a:xfrm>
            <a:off x="10094589" y="406625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29" name="직사각형 928"/>
          <xdr:cNvSpPr/>
        </xdr:nvSpPr>
        <xdr:spPr>
          <a:xfrm>
            <a:off x="12168922" y="406625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2&quot;'" textlink="">
        <xdr:nvSpPr>
          <xdr:cNvPr id="930" name="비교 12"/>
          <xdr:cNvSpPr txBox="1"/>
        </xdr:nvSpPr>
        <xdr:spPr>
          <a:xfrm>
            <a:off x="2310412" y="413703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2&quot;'" textlink="">
        <xdr:nvSpPr>
          <xdr:cNvPr id="931" name="신청 12"/>
          <xdr:cNvSpPr/>
        </xdr:nvSpPr>
        <xdr:spPr>
          <a:xfrm>
            <a:off x="3820631" y="414090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32" name="카드이미지"/>
          <xdr:cNvSpPr/>
        </xdr:nvSpPr>
        <xdr:spPr>
          <a:xfrm>
            <a:off x="2057400" y="391668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33" name="설명"/>
          <xdr:cNvSpPr/>
        </xdr:nvSpPr>
        <xdr:spPr>
          <a:xfrm>
            <a:off x="5874389" y="40012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호텔 숙박과 여행에 대한 </a:t>
            </a:r>
            <a:r>
              <a:rPr lang="en-US" altLang="ko-KR" sz="1800" b="0">
                <a:solidFill>
                  <a:schemeClr val="tx1"/>
                </a:solidFill>
              </a:rPr>
              <a:t>3% </a:t>
            </a:r>
            <a:r>
              <a:rPr lang="ko-KR" altLang="en-US" sz="1800" b="0">
                <a:solidFill>
                  <a:schemeClr val="tx1"/>
                </a:solidFill>
              </a:rPr>
              <a:t>할인</a:t>
            </a:r>
            <a:r>
              <a:rPr lang="en-US" altLang="ko-KR" sz="1800" b="0">
                <a:solidFill>
                  <a:schemeClr val="tx1"/>
                </a:solidFill>
              </a:rPr>
              <a:t>, 1% </a:t>
            </a:r>
            <a:r>
              <a:rPr lang="ko-KR" altLang="en-US" sz="1800" b="0">
                <a:solidFill>
                  <a:schemeClr val="tx1"/>
                </a:solidFill>
              </a:rPr>
              <a:t>적립 제공</a:t>
            </a:r>
          </a:p>
        </xdr:txBody>
      </xdr:sp>
      <xdr:sp macro="" textlink="">
        <xdr:nvSpPr>
          <xdr:cNvPr id="934" name="제목"/>
          <xdr:cNvSpPr/>
        </xdr:nvSpPr>
        <xdr:spPr>
          <a:xfrm>
            <a:off x="5874389" y="39250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British Airways Visa Signature®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935" name="이자"/>
          <xdr:cNvSpPr/>
        </xdr:nvSpPr>
        <xdr:spPr>
          <a:xfrm>
            <a:off x="5950882" y="413237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36" name="혜택"/>
          <xdr:cNvSpPr/>
        </xdr:nvSpPr>
        <xdr:spPr>
          <a:xfrm>
            <a:off x="7990326" y="412761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937" name="연회비"/>
          <xdr:cNvSpPr/>
        </xdr:nvSpPr>
        <xdr:spPr>
          <a:xfrm>
            <a:off x="10029769" y="413237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95,000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938" name="해외"/>
          <xdr:cNvSpPr/>
        </xdr:nvSpPr>
        <xdr:spPr>
          <a:xfrm>
            <a:off x="12185090" y="413237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200</xdr:row>
      <xdr:rowOff>0</xdr:rowOff>
    </xdr:from>
    <xdr:to>
      <xdr:col>22</xdr:col>
      <xdr:colOff>423203</xdr:colOff>
      <xdr:row>213</xdr:row>
      <xdr:rowOff>123825</xdr:rowOff>
    </xdr:to>
    <xdr:grpSp>
      <xdr:nvGrpSpPr>
        <xdr:cNvPr id="65" name="카드 13"/>
        <xdr:cNvGrpSpPr/>
      </xdr:nvGrpSpPr>
      <xdr:grpSpPr>
        <a:xfrm>
          <a:off x="2078182" y="41961955"/>
          <a:ext cx="13585021" cy="2825461"/>
          <a:chOff x="2057400" y="42310050"/>
          <a:chExt cx="13453403" cy="2847975"/>
        </a:xfrm>
      </xdr:grpSpPr>
      <xdr:sp macro="" textlink="">
        <xdr:nvSpPr>
          <xdr:cNvPr id="940" name="직사각형 939"/>
          <xdr:cNvSpPr/>
        </xdr:nvSpPr>
        <xdr:spPr>
          <a:xfrm>
            <a:off x="5955505" y="438058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41" name="직사각형 940"/>
          <xdr:cNvSpPr/>
        </xdr:nvSpPr>
        <xdr:spPr>
          <a:xfrm>
            <a:off x="8031763" y="438058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42" name="직사각형 941"/>
          <xdr:cNvSpPr/>
        </xdr:nvSpPr>
        <xdr:spPr>
          <a:xfrm>
            <a:off x="10094589" y="438058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43" name="직사각형 942"/>
          <xdr:cNvSpPr/>
        </xdr:nvSpPr>
        <xdr:spPr>
          <a:xfrm>
            <a:off x="12168922" y="438058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3&quot;'" textlink="">
        <xdr:nvSpPr>
          <xdr:cNvPr id="944" name="비교 13"/>
          <xdr:cNvSpPr txBox="1"/>
        </xdr:nvSpPr>
        <xdr:spPr>
          <a:xfrm>
            <a:off x="2310412" y="445136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3&quot;'" textlink="">
        <xdr:nvSpPr>
          <xdr:cNvPr id="945" name="신청 13"/>
          <xdr:cNvSpPr/>
        </xdr:nvSpPr>
        <xdr:spPr>
          <a:xfrm>
            <a:off x="3820631" y="445522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46" name="카드이미지"/>
          <xdr:cNvSpPr/>
        </xdr:nvSpPr>
        <xdr:spPr>
          <a:xfrm>
            <a:off x="2057400" y="423100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3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47" name="설명"/>
          <xdr:cNvSpPr/>
        </xdr:nvSpPr>
        <xdr:spPr>
          <a:xfrm>
            <a:off x="5874389" y="43155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호텔 숙박과 여행에 대한 </a:t>
            </a:r>
            <a:r>
              <a:rPr lang="en-US" altLang="ko-KR" sz="1800" b="0">
                <a:solidFill>
                  <a:schemeClr val="tx1"/>
                </a:solidFill>
              </a:rPr>
              <a:t>3% </a:t>
            </a:r>
            <a:r>
              <a:rPr lang="ko-KR" altLang="en-US" sz="1800" b="0">
                <a:solidFill>
                  <a:schemeClr val="tx1"/>
                </a:solidFill>
              </a:rPr>
              <a:t>할인</a:t>
            </a:r>
            <a:r>
              <a:rPr lang="en-US" altLang="ko-KR" sz="1800" b="0">
                <a:solidFill>
                  <a:schemeClr val="tx1"/>
                </a:solidFill>
              </a:rPr>
              <a:t>, 1% </a:t>
            </a:r>
            <a:r>
              <a:rPr lang="ko-KR" altLang="en-US" sz="1800" b="0">
                <a:solidFill>
                  <a:schemeClr val="tx1"/>
                </a:solidFill>
              </a:rPr>
              <a:t>적립 제공</a:t>
            </a:r>
          </a:p>
        </xdr:txBody>
      </xdr:sp>
      <xdr:sp macro="" textlink="">
        <xdr:nvSpPr>
          <xdr:cNvPr id="948" name="제목"/>
          <xdr:cNvSpPr/>
        </xdr:nvSpPr>
        <xdr:spPr>
          <a:xfrm>
            <a:off x="5874389" y="42393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Aer Lingus Visa Signature®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949" name="이자"/>
          <xdr:cNvSpPr/>
        </xdr:nvSpPr>
        <xdr:spPr>
          <a:xfrm>
            <a:off x="5950882" y="444669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50" name="혜택"/>
          <xdr:cNvSpPr/>
        </xdr:nvSpPr>
        <xdr:spPr>
          <a:xfrm>
            <a:off x="7990326" y="444193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951" name="연회비"/>
          <xdr:cNvSpPr/>
        </xdr:nvSpPr>
        <xdr:spPr>
          <a:xfrm>
            <a:off x="10029769" y="444669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95,000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952" name="해외"/>
          <xdr:cNvSpPr/>
        </xdr:nvSpPr>
        <xdr:spPr>
          <a:xfrm>
            <a:off x="12185090" y="444669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215</xdr:row>
      <xdr:rowOff>0</xdr:rowOff>
    </xdr:from>
    <xdr:to>
      <xdr:col>22</xdr:col>
      <xdr:colOff>423203</xdr:colOff>
      <xdr:row>228</xdr:row>
      <xdr:rowOff>123824</xdr:rowOff>
    </xdr:to>
    <xdr:grpSp>
      <xdr:nvGrpSpPr>
        <xdr:cNvPr id="68" name="카드 14"/>
        <xdr:cNvGrpSpPr/>
      </xdr:nvGrpSpPr>
      <xdr:grpSpPr>
        <a:xfrm>
          <a:off x="2078182" y="45079227"/>
          <a:ext cx="13585021" cy="2825461"/>
          <a:chOff x="2057400" y="45453300"/>
          <a:chExt cx="13453403" cy="2847974"/>
        </a:xfrm>
      </xdr:grpSpPr>
      <xdr:sp macro="" textlink="">
        <xdr:nvSpPr>
          <xdr:cNvPr id="954" name="직사각형 953"/>
          <xdr:cNvSpPr/>
        </xdr:nvSpPr>
        <xdr:spPr>
          <a:xfrm>
            <a:off x="5955505" y="4694909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55" name="직사각형 954"/>
          <xdr:cNvSpPr/>
        </xdr:nvSpPr>
        <xdr:spPr>
          <a:xfrm>
            <a:off x="8031763" y="4694909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56" name="직사각형 955"/>
          <xdr:cNvSpPr/>
        </xdr:nvSpPr>
        <xdr:spPr>
          <a:xfrm>
            <a:off x="10094589" y="4694909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57" name="직사각형 956"/>
          <xdr:cNvSpPr/>
        </xdr:nvSpPr>
        <xdr:spPr>
          <a:xfrm>
            <a:off x="12168922" y="4694909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4&quot;'" textlink="">
        <xdr:nvSpPr>
          <xdr:cNvPr id="958" name="비교 14"/>
          <xdr:cNvSpPr txBox="1"/>
        </xdr:nvSpPr>
        <xdr:spPr>
          <a:xfrm>
            <a:off x="2310412" y="4765685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4&quot;'" textlink="">
        <xdr:nvSpPr>
          <xdr:cNvPr id="959" name="신청 14"/>
          <xdr:cNvSpPr/>
        </xdr:nvSpPr>
        <xdr:spPr>
          <a:xfrm>
            <a:off x="3820631" y="4769554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60" name="카드이미지"/>
          <xdr:cNvSpPr/>
        </xdr:nvSpPr>
        <xdr:spPr>
          <a:xfrm>
            <a:off x="2057400" y="4545330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4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61" name="설명"/>
          <xdr:cNvSpPr/>
        </xdr:nvSpPr>
        <xdr:spPr>
          <a:xfrm>
            <a:off x="5874389" y="46299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쇼핑과 여행에 대한 </a:t>
            </a:r>
            <a:r>
              <a:rPr lang="en-US" altLang="ko-KR" sz="1800" b="0">
                <a:solidFill>
                  <a:schemeClr val="tx1"/>
                </a:solidFill>
              </a:rPr>
              <a:t>3% </a:t>
            </a:r>
            <a:r>
              <a:rPr lang="ko-KR" altLang="en-US" sz="1800" b="0">
                <a:solidFill>
                  <a:schemeClr val="tx1"/>
                </a:solidFill>
              </a:rPr>
              <a:t>할인</a:t>
            </a:r>
            <a:r>
              <a:rPr lang="en-US" altLang="ko-KR" sz="1800" b="0">
                <a:solidFill>
                  <a:schemeClr val="tx1"/>
                </a:solidFill>
              </a:rPr>
              <a:t>, 1% </a:t>
            </a:r>
            <a:r>
              <a:rPr lang="ko-KR" altLang="en-US" sz="1800" b="0">
                <a:solidFill>
                  <a:schemeClr val="tx1"/>
                </a:solidFill>
              </a:rPr>
              <a:t>적립 제공</a:t>
            </a:r>
          </a:p>
        </xdr:txBody>
      </xdr:sp>
      <xdr:sp macro="" textlink="">
        <xdr:nvSpPr>
          <xdr:cNvPr id="962" name="제목"/>
          <xdr:cNvSpPr/>
        </xdr:nvSpPr>
        <xdr:spPr>
          <a:xfrm>
            <a:off x="5874389" y="45537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lberia Visa Signature®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963" name="이자"/>
          <xdr:cNvSpPr/>
        </xdr:nvSpPr>
        <xdr:spPr>
          <a:xfrm>
            <a:off x="5950882" y="4761024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4.90%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64" name="혜택"/>
          <xdr:cNvSpPr/>
        </xdr:nvSpPr>
        <xdr:spPr>
          <a:xfrm>
            <a:off x="7990326" y="4756261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</a:p>
        </xdr:txBody>
      </xdr:sp>
      <xdr:sp macro="" textlink="">
        <xdr:nvSpPr>
          <xdr:cNvPr id="965" name="연회비"/>
          <xdr:cNvSpPr/>
        </xdr:nvSpPr>
        <xdr:spPr>
          <a:xfrm>
            <a:off x="10029769" y="4761024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95,000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966" name="해외"/>
          <xdr:cNvSpPr/>
        </xdr:nvSpPr>
        <xdr:spPr>
          <a:xfrm>
            <a:off x="12185090" y="4761024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230</xdr:row>
      <xdr:rowOff>0</xdr:rowOff>
    </xdr:from>
    <xdr:to>
      <xdr:col>22</xdr:col>
      <xdr:colOff>423203</xdr:colOff>
      <xdr:row>243</xdr:row>
      <xdr:rowOff>123825</xdr:rowOff>
    </xdr:to>
    <xdr:grpSp>
      <xdr:nvGrpSpPr>
        <xdr:cNvPr id="71" name="카드 15"/>
        <xdr:cNvGrpSpPr/>
      </xdr:nvGrpSpPr>
      <xdr:grpSpPr>
        <a:xfrm>
          <a:off x="2078182" y="48196500"/>
          <a:ext cx="13585021" cy="2825461"/>
          <a:chOff x="2057400" y="48596550"/>
          <a:chExt cx="13453403" cy="2847975"/>
        </a:xfrm>
      </xdr:grpSpPr>
      <xdr:sp macro="" textlink="">
        <xdr:nvSpPr>
          <xdr:cNvPr id="968" name="직사각형 967"/>
          <xdr:cNvSpPr/>
        </xdr:nvSpPr>
        <xdr:spPr>
          <a:xfrm>
            <a:off x="5955505" y="500923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69" name="직사각형 968"/>
          <xdr:cNvSpPr/>
        </xdr:nvSpPr>
        <xdr:spPr>
          <a:xfrm>
            <a:off x="8031763" y="500923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70" name="직사각형 969"/>
          <xdr:cNvSpPr/>
        </xdr:nvSpPr>
        <xdr:spPr>
          <a:xfrm>
            <a:off x="10094589" y="500923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71" name="직사각형 970"/>
          <xdr:cNvSpPr/>
        </xdr:nvSpPr>
        <xdr:spPr>
          <a:xfrm>
            <a:off x="12168922" y="500923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5&quot;'" textlink="">
        <xdr:nvSpPr>
          <xdr:cNvPr id="972" name="비교 15"/>
          <xdr:cNvSpPr txBox="1"/>
        </xdr:nvSpPr>
        <xdr:spPr>
          <a:xfrm>
            <a:off x="2310412" y="508001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5&quot;'" textlink="">
        <xdr:nvSpPr>
          <xdr:cNvPr id="973" name="신청 15"/>
          <xdr:cNvSpPr/>
        </xdr:nvSpPr>
        <xdr:spPr>
          <a:xfrm>
            <a:off x="3820631" y="508387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74" name="카드이미지"/>
          <xdr:cNvSpPr/>
        </xdr:nvSpPr>
        <xdr:spPr>
          <a:xfrm>
            <a:off x="2057400" y="485965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5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5" name="설명"/>
          <xdr:cNvSpPr/>
        </xdr:nvSpPr>
        <xdr:spPr>
          <a:xfrm>
            <a:off x="5874389" y="49442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호텔 숙박 최대 </a:t>
            </a:r>
            <a:r>
              <a:rPr lang="en-US" altLang="ko-KR" sz="1800" b="0">
                <a:solidFill>
                  <a:schemeClr val="tx1"/>
                </a:solidFill>
              </a:rPr>
              <a:t>10% </a:t>
            </a:r>
            <a:r>
              <a:rPr lang="ko-KR" altLang="en-US" sz="1800" b="0">
                <a:solidFill>
                  <a:schemeClr val="tx1"/>
                </a:solidFill>
              </a:rPr>
              <a:t>적립</a:t>
            </a:r>
          </a:p>
        </xdr:txBody>
      </xdr:sp>
      <xdr:sp macro="" textlink="">
        <xdr:nvSpPr>
          <xdr:cNvPr id="976" name="제목"/>
          <xdr:cNvSpPr/>
        </xdr:nvSpPr>
        <xdr:spPr>
          <a:xfrm>
            <a:off x="5874389" y="48680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Marriott Bonvoy Boundless™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977" name="이자"/>
          <xdr:cNvSpPr/>
        </xdr:nvSpPr>
        <xdr:spPr>
          <a:xfrm>
            <a:off x="5950882" y="507534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78" name="혜택"/>
          <xdr:cNvSpPr/>
        </xdr:nvSpPr>
        <xdr:spPr>
          <a:xfrm>
            <a:off x="7990326" y="507058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979" name="연회비"/>
          <xdr:cNvSpPr/>
        </xdr:nvSpPr>
        <xdr:spPr>
          <a:xfrm>
            <a:off x="10029769" y="507534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95,000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980" name="해외"/>
          <xdr:cNvSpPr/>
        </xdr:nvSpPr>
        <xdr:spPr>
          <a:xfrm>
            <a:off x="12185090" y="507534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VISA,MASTERCARD,DISCOVERY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245</xdr:row>
      <xdr:rowOff>0</xdr:rowOff>
    </xdr:from>
    <xdr:to>
      <xdr:col>22</xdr:col>
      <xdr:colOff>423203</xdr:colOff>
      <xdr:row>258</xdr:row>
      <xdr:rowOff>123825</xdr:rowOff>
    </xdr:to>
    <xdr:grpSp>
      <xdr:nvGrpSpPr>
        <xdr:cNvPr id="74" name="카드 16"/>
        <xdr:cNvGrpSpPr/>
      </xdr:nvGrpSpPr>
      <xdr:grpSpPr>
        <a:xfrm>
          <a:off x="2078182" y="51313773"/>
          <a:ext cx="13585021" cy="2825461"/>
          <a:chOff x="2057400" y="51739800"/>
          <a:chExt cx="13453403" cy="2847975"/>
        </a:xfrm>
      </xdr:grpSpPr>
      <xdr:sp macro="" textlink="">
        <xdr:nvSpPr>
          <xdr:cNvPr id="982" name="직사각형 981"/>
          <xdr:cNvSpPr/>
        </xdr:nvSpPr>
        <xdr:spPr>
          <a:xfrm>
            <a:off x="5955505" y="532355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83" name="직사각형 982"/>
          <xdr:cNvSpPr/>
        </xdr:nvSpPr>
        <xdr:spPr>
          <a:xfrm>
            <a:off x="8031763" y="532355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84" name="직사각형 983"/>
          <xdr:cNvSpPr/>
        </xdr:nvSpPr>
        <xdr:spPr>
          <a:xfrm>
            <a:off x="10094589" y="532355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85" name="직사각형 984"/>
          <xdr:cNvSpPr/>
        </xdr:nvSpPr>
        <xdr:spPr>
          <a:xfrm>
            <a:off x="12168922" y="532355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6&quot;'" textlink="">
        <xdr:nvSpPr>
          <xdr:cNvPr id="986" name="비교 16"/>
          <xdr:cNvSpPr txBox="1"/>
        </xdr:nvSpPr>
        <xdr:spPr>
          <a:xfrm>
            <a:off x="2310412" y="539433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6&quot;'" textlink="">
        <xdr:nvSpPr>
          <xdr:cNvPr id="987" name="신청 16"/>
          <xdr:cNvSpPr/>
        </xdr:nvSpPr>
        <xdr:spPr>
          <a:xfrm>
            <a:off x="3820631" y="539820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88" name="카드이미지"/>
          <xdr:cNvSpPr/>
        </xdr:nvSpPr>
        <xdr:spPr>
          <a:xfrm>
            <a:off x="2057400" y="517398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6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89" name="설명"/>
          <xdr:cNvSpPr/>
        </xdr:nvSpPr>
        <xdr:spPr>
          <a:xfrm>
            <a:off x="5874389" y="52585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호텔 숙박 최대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할인</a:t>
            </a:r>
          </a:p>
        </xdr:txBody>
      </xdr:sp>
      <xdr:sp macro="" textlink="">
        <xdr:nvSpPr>
          <xdr:cNvPr id="990" name="제목"/>
          <xdr:cNvSpPr/>
        </xdr:nvSpPr>
        <xdr:spPr>
          <a:xfrm>
            <a:off x="5874389" y="51823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Marriott Bonvoy Bold™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991" name="이자"/>
          <xdr:cNvSpPr/>
        </xdr:nvSpPr>
        <xdr:spPr>
          <a:xfrm>
            <a:off x="5950882" y="538967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92" name="혜택"/>
          <xdr:cNvSpPr/>
        </xdr:nvSpPr>
        <xdr:spPr>
          <a:xfrm>
            <a:off x="7990326" y="538491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993" name="연회비"/>
          <xdr:cNvSpPr/>
        </xdr:nvSpPr>
        <xdr:spPr>
          <a:xfrm>
            <a:off x="10029769" y="538967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994" name="해외"/>
          <xdr:cNvSpPr/>
        </xdr:nvSpPr>
        <xdr:spPr>
          <a:xfrm>
            <a:off x="12185090" y="538967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VISA,UNION,BC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카드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260</xdr:row>
      <xdr:rowOff>0</xdr:rowOff>
    </xdr:from>
    <xdr:to>
      <xdr:col>22</xdr:col>
      <xdr:colOff>423203</xdr:colOff>
      <xdr:row>273</xdr:row>
      <xdr:rowOff>123824</xdr:rowOff>
    </xdr:to>
    <xdr:grpSp>
      <xdr:nvGrpSpPr>
        <xdr:cNvPr id="77" name="카드 17"/>
        <xdr:cNvGrpSpPr/>
      </xdr:nvGrpSpPr>
      <xdr:grpSpPr>
        <a:xfrm>
          <a:off x="2078182" y="54431045"/>
          <a:ext cx="13585021" cy="2825461"/>
          <a:chOff x="2057400" y="54883050"/>
          <a:chExt cx="13453403" cy="2847974"/>
        </a:xfrm>
      </xdr:grpSpPr>
      <xdr:sp macro="" textlink="">
        <xdr:nvSpPr>
          <xdr:cNvPr id="996" name="직사각형 995"/>
          <xdr:cNvSpPr/>
        </xdr:nvSpPr>
        <xdr:spPr>
          <a:xfrm>
            <a:off x="5955505" y="5637884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97" name="직사각형 996"/>
          <xdr:cNvSpPr/>
        </xdr:nvSpPr>
        <xdr:spPr>
          <a:xfrm>
            <a:off x="8031763" y="5637884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98" name="직사각형 997"/>
          <xdr:cNvSpPr/>
        </xdr:nvSpPr>
        <xdr:spPr>
          <a:xfrm>
            <a:off x="10094589" y="5637884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999" name="직사각형 998"/>
          <xdr:cNvSpPr/>
        </xdr:nvSpPr>
        <xdr:spPr>
          <a:xfrm>
            <a:off x="12168922" y="5637884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7&quot;'" textlink="">
        <xdr:nvSpPr>
          <xdr:cNvPr id="1000" name="비교 17"/>
          <xdr:cNvSpPr txBox="1"/>
        </xdr:nvSpPr>
        <xdr:spPr>
          <a:xfrm>
            <a:off x="2310412" y="5708660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7&quot;'" textlink="">
        <xdr:nvSpPr>
          <xdr:cNvPr id="1001" name="신청 17"/>
          <xdr:cNvSpPr/>
        </xdr:nvSpPr>
        <xdr:spPr>
          <a:xfrm>
            <a:off x="3820631" y="5712529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002" name="카드이미지"/>
          <xdr:cNvSpPr/>
        </xdr:nvSpPr>
        <xdr:spPr>
          <a:xfrm>
            <a:off x="2057400" y="5488305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7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03" name="설명"/>
          <xdr:cNvSpPr/>
        </xdr:nvSpPr>
        <xdr:spPr>
          <a:xfrm>
            <a:off x="5874389" y="55728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세계 럭셔리 호텔 </a:t>
            </a:r>
            <a:r>
              <a:rPr lang="en-US" altLang="ko-KR" sz="1800" b="0">
                <a:solidFill>
                  <a:schemeClr val="tx1"/>
                </a:solidFill>
              </a:rPr>
              <a:t>5% </a:t>
            </a:r>
            <a:r>
              <a:rPr lang="ko-KR" altLang="en-US" sz="1800" b="0">
                <a:solidFill>
                  <a:schemeClr val="tx1"/>
                </a:solidFill>
              </a:rPr>
              <a:t>할인 제공</a:t>
            </a:r>
          </a:p>
        </xdr:txBody>
      </xdr:sp>
      <xdr:sp macro="" textlink="">
        <xdr:nvSpPr>
          <xdr:cNvPr id="1004" name="제목"/>
          <xdr:cNvSpPr/>
        </xdr:nvSpPr>
        <xdr:spPr>
          <a:xfrm>
            <a:off x="5874389" y="54966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World of Hyatt 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005" name="이자"/>
          <xdr:cNvSpPr/>
        </xdr:nvSpPr>
        <xdr:spPr>
          <a:xfrm>
            <a:off x="5950882" y="5703999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006" name="혜택"/>
          <xdr:cNvSpPr/>
        </xdr:nvSpPr>
        <xdr:spPr>
          <a:xfrm>
            <a:off x="7990326" y="5699236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1007" name="연회비"/>
          <xdr:cNvSpPr/>
        </xdr:nvSpPr>
        <xdr:spPr>
          <a:xfrm>
            <a:off x="10029769" y="5703999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95,000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008" name="해외"/>
          <xdr:cNvSpPr/>
        </xdr:nvSpPr>
        <xdr:spPr>
          <a:xfrm>
            <a:off x="12185090" y="5703999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VISA,MASTERCARD,UNION,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275</xdr:row>
      <xdr:rowOff>0</xdr:rowOff>
    </xdr:from>
    <xdr:to>
      <xdr:col>22</xdr:col>
      <xdr:colOff>423203</xdr:colOff>
      <xdr:row>288</xdr:row>
      <xdr:rowOff>123824</xdr:rowOff>
    </xdr:to>
    <xdr:grpSp>
      <xdr:nvGrpSpPr>
        <xdr:cNvPr id="81" name="카드 18"/>
        <xdr:cNvGrpSpPr/>
      </xdr:nvGrpSpPr>
      <xdr:grpSpPr>
        <a:xfrm>
          <a:off x="2078182" y="57548318"/>
          <a:ext cx="13585021" cy="2825461"/>
          <a:chOff x="2057400" y="58026300"/>
          <a:chExt cx="13453403" cy="2847974"/>
        </a:xfrm>
      </xdr:grpSpPr>
      <xdr:sp macro="" textlink="">
        <xdr:nvSpPr>
          <xdr:cNvPr id="1010" name="직사각형 1009"/>
          <xdr:cNvSpPr/>
        </xdr:nvSpPr>
        <xdr:spPr>
          <a:xfrm>
            <a:off x="5955505" y="5952209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11" name="직사각형 1010"/>
          <xdr:cNvSpPr/>
        </xdr:nvSpPr>
        <xdr:spPr>
          <a:xfrm>
            <a:off x="8031763" y="5952209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12" name="직사각형 1011"/>
          <xdr:cNvSpPr/>
        </xdr:nvSpPr>
        <xdr:spPr>
          <a:xfrm>
            <a:off x="10094589" y="5952209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13" name="직사각형 1012"/>
          <xdr:cNvSpPr/>
        </xdr:nvSpPr>
        <xdr:spPr>
          <a:xfrm>
            <a:off x="12168922" y="5952209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8&quot;'" textlink="">
        <xdr:nvSpPr>
          <xdr:cNvPr id="1014" name="비교 18"/>
          <xdr:cNvSpPr txBox="1"/>
        </xdr:nvSpPr>
        <xdr:spPr>
          <a:xfrm>
            <a:off x="2310412" y="6022985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8&quot;'" textlink="">
        <xdr:nvSpPr>
          <xdr:cNvPr id="1015" name="신청 18"/>
          <xdr:cNvSpPr/>
        </xdr:nvSpPr>
        <xdr:spPr>
          <a:xfrm>
            <a:off x="3820631" y="6026854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016" name="카드이미지"/>
          <xdr:cNvSpPr/>
        </xdr:nvSpPr>
        <xdr:spPr>
          <a:xfrm>
            <a:off x="2057400" y="5802630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8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17" name="설명"/>
          <xdr:cNvSpPr/>
        </xdr:nvSpPr>
        <xdr:spPr>
          <a:xfrm>
            <a:off x="5874389" y="58872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디즈니 세계 여행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최대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청구 할인</a:t>
            </a:r>
          </a:p>
        </xdr:txBody>
      </xdr:sp>
      <xdr:sp macro="" textlink="">
        <xdr:nvSpPr>
          <xdr:cNvPr id="1018" name="제목"/>
          <xdr:cNvSpPr/>
        </xdr:nvSpPr>
        <xdr:spPr>
          <a:xfrm>
            <a:off x="5874389" y="58110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Disney Premier Visa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019" name="이자"/>
          <xdr:cNvSpPr/>
        </xdr:nvSpPr>
        <xdr:spPr>
          <a:xfrm>
            <a:off x="5950882" y="6018324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4.90%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020" name="혜택"/>
          <xdr:cNvSpPr/>
        </xdr:nvSpPr>
        <xdr:spPr>
          <a:xfrm>
            <a:off x="7990326" y="6013561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1021" name="연회비"/>
          <xdr:cNvSpPr/>
        </xdr:nvSpPr>
        <xdr:spPr>
          <a:xfrm>
            <a:off x="10029769" y="6018324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49,000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022" name="해외"/>
          <xdr:cNvSpPr/>
        </xdr:nvSpPr>
        <xdr:spPr>
          <a:xfrm>
            <a:off x="12185090" y="6018324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290</xdr:row>
      <xdr:rowOff>0</xdr:rowOff>
    </xdr:from>
    <xdr:to>
      <xdr:col>22</xdr:col>
      <xdr:colOff>423203</xdr:colOff>
      <xdr:row>303</xdr:row>
      <xdr:rowOff>123825</xdr:rowOff>
    </xdr:to>
    <xdr:grpSp>
      <xdr:nvGrpSpPr>
        <xdr:cNvPr id="82" name="카드 19"/>
        <xdr:cNvGrpSpPr/>
      </xdr:nvGrpSpPr>
      <xdr:grpSpPr>
        <a:xfrm>
          <a:off x="2078182" y="60665591"/>
          <a:ext cx="13585021" cy="2825461"/>
          <a:chOff x="2057400" y="61169550"/>
          <a:chExt cx="13453403" cy="2847975"/>
        </a:xfrm>
      </xdr:grpSpPr>
      <xdr:sp macro="" textlink="">
        <xdr:nvSpPr>
          <xdr:cNvPr id="1024" name="직사각형 1023"/>
          <xdr:cNvSpPr/>
        </xdr:nvSpPr>
        <xdr:spPr>
          <a:xfrm>
            <a:off x="5955505" y="626653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25" name="직사각형 1024"/>
          <xdr:cNvSpPr/>
        </xdr:nvSpPr>
        <xdr:spPr>
          <a:xfrm>
            <a:off x="8031763" y="626653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26" name="직사각형 1025"/>
          <xdr:cNvSpPr/>
        </xdr:nvSpPr>
        <xdr:spPr>
          <a:xfrm>
            <a:off x="10094589" y="626653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27" name="직사각형 1026"/>
          <xdr:cNvSpPr/>
        </xdr:nvSpPr>
        <xdr:spPr>
          <a:xfrm>
            <a:off x="12168922" y="626653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19&quot;'" textlink="">
        <xdr:nvSpPr>
          <xdr:cNvPr id="1028" name="비교 19"/>
          <xdr:cNvSpPr txBox="1"/>
        </xdr:nvSpPr>
        <xdr:spPr>
          <a:xfrm>
            <a:off x="2310412" y="633731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19&quot;'" textlink="">
        <xdr:nvSpPr>
          <xdr:cNvPr id="1029" name="신청 19"/>
          <xdr:cNvSpPr/>
        </xdr:nvSpPr>
        <xdr:spPr>
          <a:xfrm>
            <a:off x="3820631" y="634117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030" name="카드이미지"/>
          <xdr:cNvSpPr/>
        </xdr:nvSpPr>
        <xdr:spPr>
          <a:xfrm>
            <a:off x="2057400" y="611695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9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31" name="설명"/>
          <xdr:cNvSpPr/>
        </xdr:nvSpPr>
        <xdr:spPr>
          <a:xfrm>
            <a:off x="5874389" y="62015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디즈니 세계 여행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숙박 청구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할인</a:t>
            </a:r>
          </a:p>
        </xdr:txBody>
      </xdr:sp>
      <xdr:sp macro="" textlink="">
        <xdr:nvSpPr>
          <xdr:cNvPr id="1032" name="제목"/>
          <xdr:cNvSpPr/>
        </xdr:nvSpPr>
        <xdr:spPr>
          <a:xfrm>
            <a:off x="5874389" y="61253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Disney Visa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033" name="이자"/>
          <xdr:cNvSpPr/>
        </xdr:nvSpPr>
        <xdr:spPr>
          <a:xfrm>
            <a:off x="5950882" y="633264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034" name="혜택"/>
          <xdr:cNvSpPr/>
        </xdr:nvSpPr>
        <xdr:spPr>
          <a:xfrm>
            <a:off x="7990326" y="632788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1035" name="연회비"/>
          <xdr:cNvSpPr/>
        </xdr:nvSpPr>
        <xdr:spPr>
          <a:xfrm>
            <a:off x="10029769" y="633264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036" name="해외"/>
          <xdr:cNvSpPr/>
        </xdr:nvSpPr>
        <xdr:spPr>
          <a:xfrm>
            <a:off x="12185090" y="633264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305</xdr:row>
      <xdr:rowOff>0</xdr:rowOff>
    </xdr:from>
    <xdr:to>
      <xdr:col>22</xdr:col>
      <xdr:colOff>423203</xdr:colOff>
      <xdr:row>318</xdr:row>
      <xdr:rowOff>123825</xdr:rowOff>
    </xdr:to>
    <xdr:grpSp>
      <xdr:nvGrpSpPr>
        <xdr:cNvPr id="83" name="카드 20"/>
        <xdr:cNvGrpSpPr/>
      </xdr:nvGrpSpPr>
      <xdr:grpSpPr>
        <a:xfrm>
          <a:off x="2078182" y="63782864"/>
          <a:ext cx="13585021" cy="2825461"/>
          <a:chOff x="2057400" y="64312800"/>
          <a:chExt cx="13453403" cy="2847975"/>
        </a:xfrm>
      </xdr:grpSpPr>
      <xdr:sp macro="" textlink="">
        <xdr:nvSpPr>
          <xdr:cNvPr id="1038" name="직사각형 1037"/>
          <xdr:cNvSpPr/>
        </xdr:nvSpPr>
        <xdr:spPr>
          <a:xfrm>
            <a:off x="5955505" y="658085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39" name="직사각형 1038"/>
          <xdr:cNvSpPr/>
        </xdr:nvSpPr>
        <xdr:spPr>
          <a:xfrm>
            <a:off x="8031763" y="658085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40" name="직사각형 1039"/>
          <xdr:cNvSpPr/>
        </xdr:nvSpPr>
        <xdr:spPr>
          <a:xfrm>
            <a:off x="10094589" y="658085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41" name="직사각형 1040"/>
          <xdr:cNvSpPr/>
        </xdr:nvSpPr>
        <xdr:spPr>
          <a:xfrm>
            <a:off x="12168922" y="658085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0&quot;'" textlink="">
        <xdr:nvSpPr>
          <xdr:cNvPr id="1042" name="비교 20"/>
          <xdr:cNvSpPr txBox="1"/>
        </xdr:nvSpPr>
        <xdr:spPr>
          <a:xfrm>
            <a:off x="2310412" y="665163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0&quot;'" textlink="">
        <xdr:nvSpPr>
          <xdr:cNvPr id="1043" name="신청 20"/>
          <xdr:cNvSpPr/>
        </xdr:nvSpPr>
        <xdr:spPr>
          <a:xfrm>
            <a:off x="3820631" y="665550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044" name="카드이미지"/>
          <xdr:cNvSpPr/>
        </xdr:nvSpPr>
        <xdr:spPr>
          <a:xfrm>
            <a:off x="2057400" y="643128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0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45" name="설명"/>
          <xdr:cNvSpPr/>
        </xdr:nvSpPr>
        <xdr:spPr>
          <a:xfrm>
            <a:off x="5874389" y="65158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1800" b="0">
                <a:solidFill>
                  <a:schemeClr val="tx1"/>
                </a:solidFill>
              </a:rPr>
              <a:t>IHG </a:t>
            </a:r>
            <a:r>
              <a:rPr lang="ko-KR" altLang="en-US" sz="1800" b="0">
                <a:solidFill>
                  <a:schemeClr val="tx1"/>
                </a:solidFill>
              </a:rPr>
              <a:t>프리미엄 클럽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숙박 </a:t>
            </a:r>
            <a:r>
              <a:rPr lang="en-US" altLang="ko-KR" sz="1800" b="0">
                <a:solidFill>
                  <a:schemeClr val="tx1"/>
                </a:solidFill>
              </a:rPr>
              <a:t>3% </a:t>
            </a:r>
            <a:r>
              <a:rPr lang="ko-KR" altLang="en-US" sz="1800" b="0">
                <a:solidFill>
                  <a:schemeClr val="tx1"/>
                </a:solidFill>
              </a:rPr>
              <a:t>청구 할인</a:t>
            </a:r>
          </a:p>
        </xdr:txBody>
      </xdr:sp>
      <xdr:sp macro="" textlink="">
        <xdr:nvSpPr>
          <xdr:cNvPr id="1046" name="제목"/>
          <xdr:cNvSpPr/>
        </xdr:nvSpPr>
        <xdr:spPr>
          <a:xfrm>
            <a:off x="5874389" y="64396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IHG Rewards Club Premier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047" name="이자"/>
          <xdr:cNvSpPr/>
        </xdr:nvSpPr>
        <xdr:spPr>
          <a:xfrm>
            <a:off x="5950882" y="664697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048" name="혜택"/>
          <xdr:cNvSpPr/>
        </xdr:nvSpPr>
        <xdr:spPr>
          <a:xfrm>
            <a:off x="7990326" y="664221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1049" name="연회비"/>
          <xdr:cNvSpPr/>
        </xdr:nvSpPr>
        <xdr:spPr>
          <a:xfrm>
            <a:off x="10029769" y="664697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89,000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050" name="해외"/>
          <xdr:cNvSpPr/>
        </xdr:nvSpPr>
        <xdr:spPr>
          <a:xfrm>
            <a:off x="12185090" y="664697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VISA,MASTERCARD,UNION,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320</xdr:row>
      <xdr:rowOff>0</xdr:rowOff>
    </xdr:from>
    <xdr:to>
      <xdr:col>22</xdr:col>
      <xdr:colOff>423203</xdr:colOff>
      <xdr:row>333</xdr:row>
      <xdr:rowOff>123824</xdr:rowOff>
    </xdr:to>
    <xdr:grpSp>
      <xdr:nvGrpSpPr>
        <xdr:cNvPr id="84" name="카드 21"/>
        <xdr:cNvGrpSpPr/>
      </xdr:nvGrpSpPr>
      <xdr:grpSpPr>
        <a:xfrm>
          <a:off x="2078182" y="66900136"/>
          <a:ext cx="13585021" cy="2825461"/>
          <a:chOff x="2057400" y="67456050"/>
          <a:chExt cx="13453403" cy="2847974"/>
        </a:xfrm>
      </xdr:grpSpPr>
      <xdr:sp macro="" textlink="">
        <xdr:nvSpPr>
          <xdr:cNvPr id="1052" name="직사각형 1051"/>
          <xdr:cNvSpPr/>
        </xdr:nvSpPr>
        <xdr:spPr>
          <a:xfrm>
            <a:off x="5955505" y="6895184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53" name="직사각형 1052"/>
          <xdr:cNvSpPr/>
        </xdr:nvSpPr>
        <xdr:spPr>
          <a:xfrm>
            <a:off x="8031763" y="6895184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54" name="직사각형 1053"/>
          <xdr:cNvSpPr/>
        </xdr:nvSpPr>
        <xdr:spPr>
          <a:xfrm>
            <a:off x="10094589" y="6895184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55" name="직사각형 1054"/>
          <xdr:cNvSpPr/>
        </xdr:nvSpPr>
        <xdr:spPr>
          <a:xfrm>
            <a:off x="12168922" y="6895184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1&quot;'" textlink="">
        <xdr:nvSpPr>
          <xdr:cNvPr id="1056" name="비교 21"/>
          <xdr:cNvSpPr txBox="1"/>
        </xdr:nvSpPr>
        <xdr:spPr>
          <a:xfrm>
            <a:off x="2310412" y="6965960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1&quot;'" textlink="">
        <xdr:nvSpPr>
          <xdr:cNvPr id="1057" name="신청 21"/>
          <xdr:cNvSpPr/>
        </xdr:nvSpPr>
        <xdr:spPr>
          <a:xfrm>
            <a:off x="3820631" y="6969829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058" name="카드이미지"/>
          <xdr:cNvSpPr/>
        </xdr:nvSpPr>
        <xdr:spPr>
          <a:xfrm>
            <a:off x="2057400" y="6745605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59" name="설명"/>
          <xdr:cNvSpPr/>
        </xdr:nvSpPr>
        <xdr:spPr>
          <a:xfrm>
            <a:off x="5874389" y="68301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1800" b="0">
                <a:solidFill>
                  <a:schemeClr val="tx1"/>
                </a:solidFill>
              </a:rPr>
              <a:t>IHG </a:t>
            </a:r>
            <a:r>
              <a:rPr lang="ko-KR" altLang="en-US" sz="1800" b="0">
                <a:solidFill>
                  <a:schemeClr val="tx1"/>
                </a:solidFill>
              </a:rPr>
              <a:t>여행 클럽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여행과 숙박 청구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할인</a:t>
            </a:r>
          </a:p>
        </xdr:txBody>
      </xdr:sp>
      <xdr:sp macro="" textlink="">
        <xdr:nvSpPr>
          <xdr:cNvPr id="1060" name="제목"/>
          <xdr:cNvSpPr/>
        </xdr:nvSpPr>
        <xdr:spPr>
          <a:xfrm>
            <a:off x="5874389" y="67539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IHG Rewards Club Traveler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061" name="이자"/>
          <xdr:cNvSpPr/>
        </xdr:nvSpPr>
        <xdr:spPr>
          <a:xfrm>
            <a:off x="5950882" y="6961299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3.50%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062" name="혜택"/>
          <xdr:cNvSpPr/>
        </xdr:nvSpPr>
        <xdr:spPr>
          <a:xfrm>
            <a:off x="7990326" y="6956536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</a:p>
        </xdr:txBody>
      </xdr:sp>
      <xdr:sp macro="" textlink="">
        <xdr:nvSpPr>
          <xdr:cNvPr id="1063" name="연회비"/>
          <xdr:cNvSpPr/>
        </xdr:nvSpPr>
        <xdr:spPr>
          <a:xfrm>
            <a:off x="10029769" y="6961299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064" name="해외"/>
          <xdr:cNvSpPr/>
        </xdr:nvSpPr>
        <xdr:spPr>
          <a:xfrm>
            <a:off x="12185090" y="6961299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335</xdr:row>
      <xdr:rowOff>0</xdr:rowOff>
    </xdr:from>
    <xdr:to>
      <xdr:col>22</xdr:col>
      <xdr:colOff>423203</xdr:colOff>
      <xdr:row>348</xdr:row>
      <xdr:rowOff>123825</xdr:rowOff>
    </xdr:to>
    <xdr:grpSp>
      <xdr:nvGrpSpPr>
        <xdr:cNvPr id="85" name="카드 22"/>
        <xdr:cNvGrpSpPr/>
      </xdr:nvGrpSpPr>
      <xdr:grpSpPr>
        <a:xfrm>
          <a:off x="2078182" y="70017409"/>
          <a:ext cx="13585021" cy="2825461"/>
          <a:chOff x="2057400" y="70599300"/>
          <a:chExt cx="13453403" cy="2847975"/>
        </a:xfrm>
      </xdr:grpSpPr>
      <xdr:sp macro="" textlink="">
        <xdr:nvSpPr>
          <xdr:cNvPr id="1066" name="직사각형 1065"/>
          <xdr:cNvSpPr/>
        </xdr:nvSpPr>
        <xdr:spPr>
          <a:xfrm>
            <a:off x="5955505" y="720950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67" name="직사각형 1066"/>
          <xdr:cNvSpPr/>
        </xdr:nvSpPr>
        <xdr:spPr>
          <a:xfrm>
            <a:off x="8031763" y="720950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68" name="직사각형 1067"/>
          <xdr:cNvSpPr/>
        </xdr:nvSpPr>
        <xdr:spPr>
          <a:xfrm>
            <a:off x="10094589" y="720950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69" name="직사각형 1068"/>
          <xdr:cNvSpPr/>
        </xdr:nvSpPr>
        <xdr:spPr>
          <a:xfrm>
            <a:off x="12168922" y="720950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2&quot;'" textlink="">
        <xdr:nvSpPr>
          <xdr:cNvPr id="1070" name="비교 22"/>
          <xdr:cNvSpPr txBox="1"/>
        </xdr:nvSpPr>
        <xdr:spPr>
          <a:xfrm>
            <a:off x="2310412" y="728028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2&quot;'" textlink="">
        <xdr:nvSpPr>
          <xdr:cNvPr id="1071" name="신청 22"/>
          <xdr:cNvSpPr/>
        </xdr:nvSpPr>
        <xdr:spPr>
          <a:xfrm>
            <a:off x="3820631" y="728415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072" name="카드이미지"/>
          <xdr:cNvSpPr/>
        </xdr:nvSpPr>
        <xdr:spPr>
          <a:xfrm>
            <a:off x="2057400" y="705993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2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73" name="설명"/>
          <xdr:cNvSpPr/>
        </xdr:nvSpPr>
        <xdr:spPr>
          <a:xfrm>
            <a:off x="5874389" y="71445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스타벅스 리워드</a:t>
            </a:r>
            <a:r>
              <a:rPr lang="en-US" altLang="ko-KR" sz="1800" b="0">
                <a:solidFill>
                  <a:schemeClr val="tx1"/>
                </a:solidFill>
              </a:rPr>
              <a:t>, 1% </a:t>
            </a:r>
            <a:r>
              <a:rPr lang="ko-KR" altLang="en-US" sz="1800" b="0">
                <a:solidFill>
                  <a:schemeClr val="tx1"/>
                </a:solidFill>
              </a:rPr>
              <a:t>적립 및 청구 할인</a:t>
            </a:r>
          </a:p>
        </xdr:txBody>
      </xdr:sp>
      <xdr:sp macro="" textlink="">
        <xdr:nvSpPr>
          <xdr:cNvPr id="1074" name="제목"/>
          <xdr:cNvSpPr/>
        </xdr:nvSpPr>
        <xdr:spPr>
          <a:xfrm>
            <a:off x="5874389" y="70683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Starbucks Rewards Visa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075" name="이자"/>
          <xdr:cNvSpPr/>
        </xdr:nvSpPr>
        <xdr:spPr>
          <a:xfrm>
            <a:off x="5950882" y="727562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5.90%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076" name="혜택"/>
          <xdr:cNvSpPr/>
        </xdr:nvSpPr>
        <xdr:spPr>
          <a:xfrm>
            <a:off x="7990326" y="727086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</a:p>
        </xdr:txBody>
      </xdr:sp>
      <xdr:sp macro="" textlink="">
        <xdr:nvSpPr>
          <xdr:cNvPr id="1077" name="연회비"/>
          <xdr:cNvSpPr/>
        </xdr:nvSpPr>
        <xdr:spPr>
          <a:xfrm>
            <a:off x="10029769" y="727562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49,000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078" name="해외"/>
          <xdr:cNvSpPr/>
        </xdr:nvSpPr>
        <xdr:spPr>
          <a:xfrm>
            <a:off x="12185090" y="727562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350</xdr:row>
      <xdr:rowOff>0</xdr:rowOff>
    </xdr:from>
    <xdr:to>
      <xdr:col>22</xdr:col>
      <xdr:colOff>423203</xdr:colOff>
      <xdr:row>363</xdr:row>
      <xdr:rowOff>123825</xdr:rowOff>
    </xdr:to>
    <xdr:grpSp>
      <xdr:nvGrpSpPr>
        <xdr:cNvPr id="86" name="카드 23"/>
        <xdr:cNvGrpSpPr/>
      </xdr:nvGrpSpPr>
      <xdr:grpSpPr>
        <a:xfrm>
          <a:off x="2078182" y="73134682"/>
          <a:ext cx="13585021" cy="2825461"/>
          <a:chOff x="2057400" y="73742550"/>
          <a:chExt cx="13453403" cy="2847975"/>
        </a:xfrm>
      </xdr:grpSpPr>
      <xdr:sp macro="" textlink="">
        <xdr:nvSpPr>
          <xdr:cNvPr id="1080" name="직사각형 1079"/>
          <xdr:cNvSpPr/>
        </xdr:nvSpPr>
        <xdr:spPr>
          <a:xfrm>
            <a:off x="5955505" y="752383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81" name="직사각형 1080"/>
          <xdr:cNvSpPr/>
        </xdr:nvSpPr>
        <xdr:spPr>
          <a:xfrm>
            <a:off x="8031763" y="752383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82" name="직사각형 1081"/>
          <xdr:cNvSpPr/>
        </xdr:nvSpPr>
        <xdr:spPr>
          <a:xfrm>
            <a:off x="10094589" y="752383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83" name="직사각형 1082"/>
          <xdr:cNvSpPr/>
        </xdr:nvSpPr>
        <xdr:spPr>
          <a:xfrm>
            <a:off x="12168922" y="752383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3&quot;'" textlink="">
        <xdr:nvSpPr>
          <xdr:cNvPr id="1084" name="비교 23"/>
          <xdr:cNvSpPr txBox="1"/>
        </xdr:nvSpPr>
        <xdr:spPr>
          <a:xfrm>
            <a:off x="2310412" y="759461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3&quot;'" textlink="">
        <xdr:nvSpPr>
          <xdr:cNvPr id="1085" name="신청 23"/>
          <xdr:cNvSpPr/>
        </xdr:nvSpPr>
        <xdr:spPr>
          <a:xfrm>
            <a:off x="3820631" y="759847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086" name="카드이미지"/>
          <xdr:cNvSpPr/>
        </xdr:nvSpPr>
        <xdr:spPr>
          <a:xfrm>
            <a:off x="2057400" y="737425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3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87" name="설명"/>
          <xdr:cNvSpPr/>
        </xdr:nvSpPr>
        <xdr:spPr>
          <a:xfrm>
            <a:off x="5874389" y="74588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쇼핑에 대한 </a:t>
            </a:r>
            <a:r>
              <a:rPr lang="en-US" altLang="ko-KR" sz="1800" b="0">
                <a:solidFill>
                  <a:schemeClr val="tx1"/>
                </a:solidFill>
              </a:rPr>
              <a:t>5% </a:t>
            </a:r>
            <a:r>
              <a:rPr lang="ko-KR" altLang="en-US" sz="1800" b="0">
                <a:solidFill>
                  <a:schemeClr val="tx1"/>
                </a:solidFill>
              </a:rPr>
              <a:t>할인 제공 및 연회비 없음</a:t>
            </a:r>
          </a:p>
        </xdr:txBody>
      </xdr:sp>
      <xdr:sp macro="" textlink="">
        <xdr:nvSpPr>
          <xdr:cNvPr id="1088" name="제목"/>
          <xdr:cNvSpPr/>
        </xdr:nvSpPr>
        <xdr:spPr>
          <a:xfrm>
            <a:off x="5874389" y="73826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Amazon Prime Rewards Visa Signature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089" name="이자"/>
          <xdr:cNvSpPr/>
        </xdr:nvSpPr>
        <xdr:spPr>
          <a:xfrm>
            <a:off x="5950882" y="758994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090" name="혜택"/>
          <xdr:cNvSpPr/>
        </xdr:nvSpPr>
        <xdr:spPr>
          <a:xfrm>
            <a:off x="7990326" y="758518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</a:p>
        </xdr:txBody>
      </xdr:sp>
      <xdr:sp macro="" textlink="">
        <xdr:nvSpPr>
          <xdr:cNvPr id="1091" name="연회비"/>
          <xdr:cNvSpPr/>
        </xdr:nvSpPr>
        <xdr:spPr>
          <a:xfrm>
            <a:off x="10029769" y="758994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092" name="해외"/>
          <xdr:cNvSpPr/>
        </xdr:nvSpPr>
        <xdr:spPr>
          <a:xfrm>
            <a:off x="12185090" y="758994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365</xdr:row>
      <xdr:rowOff>0</xdr:rowOff>
    </xdr:from>
    <xdr:to>
      <xdr:col>22</xdr:col>
      <xdr:colOff>423203</xdr:colOff>
      <xdr:row>378</xdr:row>
      <xdr:rowOff>123825</xdr:rowOff>
    </xdr:to>
    <xdr:grpSp>
      <xdr:nvGrpSpPr>
        <xdr:cNvPr id="87" name="카드 24"/>
        <xdr:cNvGrpSpPr/>
      </xdr:nvGrpSpPr>
      <xdr:grpSpPr>
        <a:xfrm>
          <a:off x="2078182" y="76251955"/>
          <a:ext cx="13585021" cy="2825461"/>
          <a:chOff x="2057400" y="76885800"/>
          <a:chExt cx="13453403" cy="2847975"/>
        </a:xfrm>
      </xdr:grpSpPr>
      <xdr:sp macro="" textlink="">
        <xdr:nvSpPr>
          <xdr:cNvPr id="1094" name="직사각형 1093"/>
          <xdr:cNvSpPr/>
        </xdr:nvSpPr>
        <xdr:spPr>
          <a:xfrm>
            <a:off x="5955505" y="783815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95" name="직사각형 1094"/>
          <xdr:cNvSpPr/>
        </xdr:nvSpPr>
        <xdr:spPr>
          <a:xfrm>
            <a:off x="8031763" y="783815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96" name="직사각형 1095"/>
          <xdr:cNvSpPr/>
        </xdr:nvSpPr>
        <xdr:spPr>
          <a:xfrm>
            <a:off x="10094589" y="783815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097" name="직사각형 1096"/>
          <xdr:cNvSpPr/>
        </xdr:nvSpPr>
        <xdr:spPr>
          <a:xfrm>
            <a:off x="12168922" y="783815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4&quot;'" textlink="">
        <xdr:nvSpPr>
          <xdr:cNvPr id="1098" name="비교 24"/>
          <xdr:cNvSpPr txBox="1"/>
        </xdr:nvSpPr>
        <xdr:spPr>
          <a:xfrm>
            <a:off x="2310412" y="790893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4&quot;'" textlink="">
        <xdr:nvSpPr>
          <xdr:cNvPr id="1099" name="신청 24"/>
          <xdr:cNvSpPr/>
        </xdr:nvSpPr>
        <xdr:spPr>
          <a:xfrm>
            <a:off x="3820631" y="791280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100" name="카드이미지"/>
          <xdr:cNvSpPr/>
        </xdr:nvSpPr>
        <xdr:spPr>
          <a:xfrm>
            <a:off x="2057400" y="768858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4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101" name="설명"/>
          <xdr:cNvSpPr/>
        </xdr:nvSpPr>
        <xdr:spPr>
          <a:xfrm>
            <a:off x="5874389" y="77731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항목 </a:t>
            </a:r>
            <a:r>
              <a:rPr lang="en-US" altLang="ko-KR" sz="1800" b="0">
                <a:solidFill>
                  <a:schemeClr val="tx1"/>
                </a:solidFill>
              </a:rPr>
              <a:t>1.5% </a:t>
            </a:r>
            <a:r>
              <a:rPr lang="ko-KR" altLang="en-US" sz="1800" b="0">
                <a:solidFill>
                  <a:schemeClr val="tx1"/>
                </a:solidFill>
              </a:rPr>
              <a:t>캐시백</a:t>
            </a:r>
          </a:p>
        </xdr:txBody>
      </xdr:sp>
      <xdr:sp macro="" textlink="">
        <xdr:nvSpPr>
          <xdr:cNvPr id="1102" name="제목"/>
          <xdr:cNvSpPr/>
        </xdr:nvSpPr>
        <xdr:spPr>
          <a:xfrm>
            <a:off x="5874389" y="769696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Ink Business Unlimited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103" name="이자"/>
          <xdr:cNvSpPr/>
        </xdr:nvSpPr>
        <xdr:spPr>
          <a:xfrm>
            <a:off x="5950882" y="790427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104" name="혜택"/>
          <xdr:cNvSpPr/>
        </xdr:nvSpPr>
        <xdr:spPr>
          <a:xfrm>
            <a:off x="7990326" y="789951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교통</a:t>
            </a:r>
          </a:p>
        </xdr:txBody>
      </xdr:sp>
      <xdr:sp macro="" textlink="">
        <xdr:nvSpPr>
          <xdr:cNvPr id="1105" name="연회비"/>
          <xdr:cNvSpPr/>
        </xdr:nvSpPr>
        <xdr:spPr>
          <a:xfrm>
            <a:off x="10029769" y="790427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106" name="해외"/>
          <xdr:cNvSpPr/>
        </xdr:nvSpPr>
        <xdr:spPr>
          <a:xfrm>
            <a:off x="12185090" y="790427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DISCOVERY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3</xdr:col>
      <xdr:colOff>0</xdr:colOff>
      <xdr:row>380</xdr:row>
      <xdr:rowOff>0</xdr:rowOff>
    </xdr:from>
    <xdr:to>
      <xdr:col>22</xdr:col>
      <xdr:colOff>423203</xdr:colOff>
      <xdr:row>393</xdr:row>
      <xdr:rowOff>123824</xdr:rowOff>
    </xdr:to>
    <xdr:grpSp>
      <xdr:nvGrpSpPr>
        <xdr:cNvPr id="88" name="카드 25"/>
        <xdr:cNvGrpSpPr/>
      </xdr:nvGrpSpPr>
      <xdr:grpSpPr>
        <a:xfrm>
          <a:off x="2078182" y="79369227"/>
          <a:ext cx="13585021" cy="2825461"/>
          <a:chOff x="2057400" y="80029050"/>
          <a:chExt cx="13453403" cy="2847974"/>
        </a:xfrm>
      </xdr:grpSpPr>
      <xdr:sp macro="" textlink="">
        <xdr:nvSpPr>
          <xdr:cNvPr id="1108" name="직사각형 1107"/>
          <xdr:cNvSpPr/>
        </xdr:nvSpPr>
        <xdr:spPr>
          <a:xfrm>
            <a:off x="5955505" y="81524844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09" name="직사각형 1108"/>
          <xdr:cNvSpPr/>
        </xdr:nvSpPr>
        <xdr:spPr>
          <a:xfrm>
            <a:off x="8031763" y="81524844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10" name="직사각형 1109"/>
          <xdr:cNvSpPr/>
        </xdr:nvSpPr>
        <xdr:spPr>
          <a:xfrm>
            <a:off x="10094589" y="81524844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11" name="직사각형 1110"/>
          <xdr:cNvSpPr/>
        </xdr:nvSpPr>
        <xdr:spPr>
          <a:xfrm>
            <a:off x="12168922" y="81524843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5&quot;'" textlink="">
        <xdr:nvSpPr>
          <xdr:cNvPr id="1112" name="비교 25"/>
          <xdr:cNvSpPr txBox="1"/>
        </xdr:nvSpPr>
        <xdr:spPr>
          <a:xfrm>
            <a:off x="2310412" y="82232600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5&quot;'" textlink="">
        <xdr:nvSpPr>
          <xdr:cNvPr id="1113" name="신청 25"/>
          <xdr:cNvSpPr/>
        </xdr:nvSpPr>
        <xdr:spPr>
          <a:xfrm>
            <a:off x="3820631" y="82271293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114" name="카드이미지"/>
          <xdr:cNvSpPr/>
        </xdr:nvSpPr>
        <xdr:spPr>
          <a:xfrm>
            <a:off x="2057400" y="80029050"/>
            <a:ext cx="3650140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5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115" name="설명"/>
          <xdr:cNvSpPr/>
        </xdr:nvSpPr>
        <xdr:spPr>
          <a:xfrm>
            <a:off x="5874389" y="80874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항목 </a:t>
            </a:r>
            <a:r>
              <a:rPr lang="en-US" altLang="ko-KR" sz="1800" b="0">
                <a:solidFill>
                  <a:schemeClr val="tx1"/>
                </a:solidFill>
              </a:rPr>
              <a:t>1.5% </a:t>
            </a:r>
            <a:r>
              <a:rPr lang="ko-KR" altLang="en-US" sz="1800" b="0">
                <a:solidFill>
                  <a:schemeClr val="tx1"/>
                </a:solidFill>
              </a:rPr>
              <a:t>적립</a:t>
            </a:r>
          </a:p>
        </xdr:txBody>
      </xdr:sp>
      <xdr:sp macro="" textlink="">
        <xdr:nvSpPr>
          <xdr:cNvPr id="1116" name="제목"/>
          <xdr:cNvSpPr/>
        </xdr:nvSpPr>
        <xdr:spPr>
          <a:xfrm>
            <a:off x="5874389" y="801129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Ink Business Cash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117" name="이자"/>
          <xdr:cNvSpPr/>
        </xdr:nvSpPr>
        <xdr:spPr>
          <a:xfrm>
            <a:off x="5950882" y="82185992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118" name="혜택"/>
          <xdr:cNvSpPr/>
        </xdr:nvSpPr>
        <xdr:spPr>
          <a:xfrm>
            <a:off x="7990326" y="82138365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교통</a:t>
            </a:r>
          </a:p>
        </xdr:txBody>
      </xdr:sp>
      <xdr:sp macro="" textlink="">
        <xdr:nvSpPr>
          <xdr:cNvPr id="1119" name="연회비"/>
          <xdr:cNvSpPr/>
        </xdr:nvSpPr>
        <xdr:spPr>
          <a:xfrm>
            <a:off x="10029769" y="82185990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120" name="해외"/>
          <xdr:cNvSpPr/>
        </xdr:nvSpPr>
        <xdr:spPr>
          <a:xfrm>
            <a:off x="12185090" y="82185990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국내전용</a:t>
            </a:r>
          </a:p>
        </xdr:txBody>
      </xdr:sp>
    </xdr:grpSp>
    <xdr:clientData/>
  </xdr:twoCellAnchor>
  <xdr:twoCellAnchor>
    <xdr:from>
      <xdr:col>3</xdr:col>
      <xdr:colOff>0</xdr:colOff>
      <xdr:row>395</xdr:row>
      <xdr:rowOff>0</xdr:rowOff>
    </xdr:from>
    <xdr:to>
      <xdr:col>22</xdr:col>
      <xdr:colOff>423203</xdr:colOff>
      <xdr:row>408</xdr:row>
      <xdr:rowOff>123825</xdr:rowOff>
    </xdr:to>
    <xdr:grpSp>
      <xdr:nvGrpSpPr>
        <xdr:cNvPr id="89" name="카드 26"/>
        <xdr:cNvGrpSpPr/>
      </xdr:nvGrpSpPr>
      <xdr:grpSpPr>
        <a:xfrm>
          <a:off x="2078182" y="82486500"/>
          <a:ext cx="13585021" cy="2825461"/>
          <a:chOff x="2057400" y="83172300"/>
          <a:chExt cx="13453403" cy="2847975"/>
        </a:xfrm>
      </xdr:grpSpPr>
      <xdr:sp macro="" textlink="">
        <xdr:nvSpPr>
          <xdr:cNvPr id="1122" name="직사각형 1121"/>
          <xdr:cNvSpPr/>
        </xdr:nvSpPr>
        <xdr:spPr>
          <a:xfrm>
            <a:off x="5955505" y="8466809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23" name="직사각형 1122"/>
          <xdr:cNvSpPr/>
        </xdr:nvSpPr>
        <xdr:spPr>
          <a:xfrm>
            <a:off x="8031763" y="8466809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24" name="직사각형 1123"/>
          <xdr:cNvSpPr/>
        </xdr:nvSpPr>
        <xdr:spPr>
          <a:xfrm>
            <a:off x="10094589" y="8466809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25" name="직사각형 1124"/>
          <xdr:cNvSpPr/>
        </xdr:nvSpPr>
        <xdr:spPr>
          <a:xfrm>
            <a:off x="12168922" y="8466809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6&quot;'" textlink="">
        <xdr:nvSpPr>
          <xdr:cNvPr id="1126" name="비교 26"/>
          <xdr:cNvSpPr txBox="1"/>
        </xdr:nvSpPr>
        <xdr:spPr>
          <a:xfrm>
            <a:off x="2310412" y="8537585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6&quot;'" textlink="">
        <xdr:nvSpPr>
          <xdr:cNvPr id="1127" name="신청 26"/>
          <xdr:cNvSpPr/>
        </xdr:nvSpPr>
        <xdr:spPr>
          <a:xfrm>
            <a:off x="3820631" y="8541454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128" name="카드이미지"/>
          <xdr:cNvSpPr/>
        </xdr:nvSpPr>
        <xdr:spPr>
          <a:xfrm>
            <a:off x="2057400" y="8317230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6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129" name="설명"/>
          <xdr:cNvSpPr/>
        </xdr:nvSpPr>
        <xdr:spPr>
          <a:xfrm>
            <a:off x="5874389" y="84018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비즈니스 클럽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적립 </a:t>
            </a:r>
            <a:r>
              <a:rPr lang="en-US" altLang="ko-KR" sz="1800" b="0">
                <a:solidFill>
                  <a:schemeClr val="tx1"/>
                </a:solidFill>
              </a:rPr>
              <a:t>1%</a:t>
            </a:r>
            <a:endParaRPr lang="ko-KR" altLang="en-US" sz="1800" b="0">
              <a:solidFill>
                <a:schemeClr val="tx1"/>
              </a:solidFill>
            </a:endParaRPr>
          </a:p>
        </xdr:txBody>
      </xdr:sp>
      <xdr:sp macro="" textlink="">
        <xdr:nvSpPr>
          <xdr:cNvPr id="1130" name="제목"/>
          <xdr:cNvSpPr/>
        </xdr:nvSpPr>
        <xdr:spPr>
          <a:xfrm>
            <a:off x="5874389" y="8325615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Ink Business Preferred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131" name="이자"/>
          <xdr:cNvSpPr/>
        </xdr:nvSpPr>
        <xdr:spPr>
          <a:xfrm>
            <a:off x="5950882" y="8532924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2.90%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132" name="혜택"/>
          <xdr:cNvSpPr/>
        </xdr:nvSpPr>
        <xdr:spPr>
          <a:xfrm>
            <a:off x="7990326" y="8528161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교통</a:t>
            </a:r>
          </a:p>
        </xdr:txBody>
      </xdr:sp>
      <xdr:sp macro="" textlink="">
        <xdr:nvSpPr>
          <xdr:cNvPr id="1133" name="연회비"/>
          <xdr:cNvSpPr/>
        </xdr:nvSpPr>
        <xdr:spPr>
          <a:xfrm>
            <a:off x="10029769" y="8532924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790,000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134" name="해외"/>
          <xdr:cNvSpPr/>
        </xdr:nvSpPr>
        <xdr:spPr>
          <a:xfrm>
            <a:off x="12185090" y="8532924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VISA,MASTERCARD,UNION,DISCOVERY,BC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카드</a:t>
            </a:r>
          </a:p>
        </xdr:txBody>
      </xdr:sp>
    </xdr:grpSp>
    <xdr:clientData/>
  </xdr:twoCellAnchor>
  <xdr:twoCellAnchor>
    <xdr:from>
      <xdr:col>3</xdr:col>
      <xdr:colOff>0</xdr:colOff>
      <xdr:row>410</xdr:row>
      <xdr:rowOff>0</xdr:rowOff>
    </xdr:from>
    <xdr:to>
      <xdr:col>22</xdr:col>
      <xdr:colOff>423203</xdr:colOff>
      <xdr:row>423</xdr:row>
      <xdr:rowOff>123825</xdr:rowOff>
    </xdr:to>
    <xdr:grpSp>
      <xdr:nvGrpSpPr>
        <xdr:cNvPr id="90" name="카드 27"/>
        <xdr:cNvGrpSpPr/>
      </xdr:nvGrpSpPr>
      <xdr:grpSpPr>
        <a:xfrm>
          <a:off x="2078182" y="85603773"/>
          <a:ext cx="13585021" cy="2825461"/>
          <a:chOff x="2057400" y="86315550"/>
          <a:chExt cx="13453403" cy="2847975"/>
        </a:xfrm>
      </xdr:grpSpPr>
      <xdr:sp macro="" textlink="">
        <xdr:nvSpPr>
          <xdr:cNvPr id="1136" name="직사각형 1135"/>
          <xdr:cNvSpPr/>
        </xdr:nvSpPr>
        <xdr:spPr>
          <a:xfrm>
            <a:off x="5955505" y="87811345"/>
            <a:ext cx="207625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37" name="직사각형 1136"/>
          <xdr:cNvSpPr/>
        </xdr:nvSpPr>
        <xdr:spPr>
          <a:xfrm>
            <a:off x="8031763" y="87811345"/>
            <a:ext cx="207060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38" name="직사각형 1137"/>
          <xdr:cNvSpPr/>
        </xdr:nvSpPr>
        <xdr:spPr>
          <a:xfrm>
            <a:off x="10094589" y="87811345"/>
            <a:ext cx="2070599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1139" name="직사각형 1138"/>
          <xdr:cNvSpPr/>
        </xdr:nvSpPr>
        <xdr:spPr>
          <a:xfrm>
            <a:off x="12168922" y="87811344"/>
            <a:ext cx="3341881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'카드비교하기 &quot;27&quot;'" textlink="">
        <xdr:nvSpPr>
          <xdr:cNvPr id="1140" name="비교 27"/>
          <xdr:cNvSpPr txBox="1"/>
        </xdr:nvSpPr>
        <xdr:spPr>
          <a:xfrm>
            <a:off x="2310412" y="88519101"/>
            <a:ext cx="1044762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'카드신청하기 &quot;27&quot;'" textlink="">
        <xdr:nvSpPr>
          <xdr:cNvPr id="1141" name="신청 27"/>
          <xdr:cNvSpPr/>
        </xdr:nvSpPr>
        <xdr:spPr>
          <a:xfrm>
            <a:off x="3820631" y="88557794"/>
            <a:ext cx="1691510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1142" name="카드이미지"/>
          <xdr:cNvSpPr/>
        </xdr:nvSpPr>
        <xdr:spPr>
          <a:xfrm>
            <a:off x="2057400" y="86315550"/>
            <a:ext cx="3650140" cy="2106707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27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143" name="설명"/>
          <xdr:cNvSpPr/>
        </xdr:nvSpPr>
        <xdr:spPr>
          <a:xfrm>
            <a:off x="5874389" y="87161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항목 </a:t>
            </a:r>
            <a:r>
              <a:rPr lang="en-US" altLang="ko-KR" sz="1800" b="0">
                <a:solidFill>
                  <a:schemeClr val="tx1"/>
                </a:solidFill>
              </a:rPr>
              <a:t>4% </a:t>
            </a:r>
            <a:r>
              <a:rPr lang="ko-KR" altLang="en-US" sz="1800" b="0">
                <a:solidFill>
                  <a:schemeClr val="tx1"/>
                </a:solidFill>
              </a:rPr>
              <a:t>적립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교통</a:t>
            </a:r>
            <a:r>
              <a:rPr lang="en-US" altLang="ko-KR" sz="1800" b="0">
                <a:solidFill>
                  <a:schemeClr val="tx1"/>
                </a:solidFill>
              </a:rPr>
              <a:t>, </a:t>
            </a:r>
            <a:r>
              <a:rPr lang="ko-KR" altLang="en-US" sz="1800" b="0">
                <a:solidFill>
                  <a:schemeClr val="tx1"/>
                </a:solidFill>
              </a:rPr>
              <a:t>외식 </a:t>
            </a:r>
            <a:r>
              <a:rPr lang="en-US" altLang="ko-KR" sz="1800" b="0">
                <a:solidFill>
                  <a:schemeClr val="tx1"/>
                </a:solidFill>
              </a:rPr>
              <a:t>20% </a:t>
            </a:r>
            <a:r>
              <a:rPr lang="ko-KR" altLang="en-US" sz="1800" b="0">
                <a:solidFill>
                  <a:schemeClr val="tx1"/>
                </a:solidFill>
              </a:rPr>
              <a:t>청구 할인</a:t>
            </a:r>
          </a:p>
        </xdr:txBody>
      </xdr:sp>
      <xdr:sp macro="" textlink="">
        <xdr:nvSpPr>
          <xdr:cNvPr id="1144" name="제목"/>
          <xdr:cNvSpPr/>
        </xdr:nvSpPr>
        <xdr:spPr>
          <a:xfrm>
            <a:off x="5874389" y="86399403"/>
            <a:ext cx="96016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Southwest Rapid Rewards Business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145" name="이자"/>
          <xdr:cNvSpPr/>
        </xdr:nvSpPr>
        <xdr:spPr>
          <a:xfrm>
            <a:off x="5950882" y="88472493"/>
            <a:ext cx="203944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1.90%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146" name="혜택"/>
          <xdr:cNvSpPr/>
        </xdr:nvSpPr>
        <xdr:spPr>
          <a:xfrm>
            <a:off x="7990326" y="88424866"/>
            <a:ext cx="2039442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외식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여행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쇼핑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,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교통</a:t>
            </a:r>
          </a:p>
        </xdr:txBody>
      </xdr:sp>
      <xdr:sp macro="" textlink="">
        <xdr:nvSpPr>
          <xdr:cNvPr id="1147" name="연회비"/>
          <xdr:cNvSpPr/>
        </xdr:nvSpPr>
        <xdr:spPr>
          <a:xfrm>
            <a:off x="10029769" y="88472491"/>
            <a:ext cx="2155321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1,790,000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148" name="해외"/>
          <xdr:cNvSpPr/>
        </xdr:nvSpPr>
        <xdr:spPr>
          <a:xfrm>
            <a:off x="12185090" y="88472491"/>
            <a:ext cx="3314095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MASTERCARD,UNION,DISCOVERY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100854</xdr:colOff>
      <xdr:row>4</xdr:row>
      <xdr:rowOff>73655</xdr:rowOff>
    </xdr:from>
    <xdr:to>
      <xdr:col>8</xdr:col>
      <xdr:colOff>2633382</xdr:colOff>
      <xdr:row>10</xdr:row>
      <xdr:rowOff>99323</xdr:rowOff>
    </xdr:to>
    <xdr:sp macro="" textlink="">
      <xdr:nvSpPr>
        <xdr:cNvPr id="7" name="그림 0"/>
        <xdr:cNvSpPr/>
      </xdr:nvSpPr>
      <xdr:spPr>
        <a:xfrm>
          <a:off x="5569325" y="1048567"/>
          <a:ext cx="2532528" cy="13031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blipFill dpi="0" rotWithShape="1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106458</xdr:colOff>
      <xdr:row>4</xdr:row>
      <xdr:rowOff>73655</xdr:rowOff>
    </xdr:from>
    <xdr:to>
      <xdr:col>9</xdr:col>
      <xdr:colOff>2638986</xdr:colOff>
      <xdr:row>10</xdr:row>
      <xdr:rowOff>99323</xdr:rowOff>
    </xdr:to>
    <xdr:sp macro="" textlink="">
      <xdr:nvSpPr>
        <xdr:cNvPr id="9" name="그림 1"/>
        <xdr:cNvSpPr/>
      </xdr:nvSpPr>
      <xdr:spPr>
        <a:xfrm>
          <a:off x="8297958" y="1048567"/>
          <a:ext cx="2532528" cy="13031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blipFill dpi="0" rotWithShape="1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112062</xdr:colOff>
      <xdr:row>4</xdr:row>
      <xdr:rowOff>73655</xdr:rowOff>
    </xdr:from>
    <xdr:to>
      <xdr:col>10</xdr:col>
      <xdr:colOff>2644590</xdr:colOff>
      <xdr:row>10</xdr:row>
      <xdr:rowOff>99323</xdr:rowOff>
    </xdr:to>
    <xdr:sp macro="" textlink="">
      <xdr:nvSpPr>
        <xdr:cNvPr id="10" name="그림 2"/>
        <xdr:cNvSpPr/>
      </xdr:nvSpPr>
      <xdr:spPr>
        <a:xfrm>
          <a:off x="11026591" y="1048567"/>
          <a:ext cx="2532528" cy="13031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blipFill dpi="0" rotWithShape="1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66675</xdr:colOff>
      <xdr:row>6</xdr:row>
      <xdr:rowOff>180975</xdr:rowOff>
    </xdr:from>
    <xdr:ext cx="3204467" cy="624530"/>
    <xdr:sp macro="" textlink="">
      <xdr:nvSpPr>
        <xdr:cNvPr id="2" name="TextBox 1"/>
        <xdr:cNvSpPr txBox="1"/>
      </xdr:nvSpPr>
      <xdr:spPr>
        <a:xfrm>
          <a:off x="1438275" y="1438275"/>
          <a:ext cx="3204467" cy="624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2400">
              <a:latin typeface="+mj-ea"/>
              <a:ea typeface="+mj-ea"/>
            </a:rPr>
            <a:t>안녕하세요</a:t>
          </a:r>
          <a:r>
            <a:rPr lang="en-US" altLang="ko-KR" sz="2400">
              <a:latin typeface="+mj-ea"/>
              <a:ea typeface="+mj-ea"/>
            </a:rPr>
            <a:t>? </a:t>
          </a:r>
          <a:r>
            <a:rPr lang="ko-KR" altLang="en-US" sz="2400">
              <a:latin typeface="+mj-ea"/>
              <a:ea typeface="+mj-ea"/>
            </a:rPr>
            <a:t>강강추님</a:t>
          </a:r>
          <a:endParaRPr lang="en-US" altLang="ko-KR" sz="2400">
            <a:latin typeface="+mj-ea"/>
            <a:ea typeface="+mj-ea"/>
          </a:endParaRPr>
        </a:p>
      </xdr:txBody>
    </xdr:sp>
    <xdr:clientData/>
  </xdr:oneCellAnchor>
  <xdr:twoCellAnchor>
    <xdr:from>
      <xdr:col>2</xdr:col>
      <xdr:colOff>66675</xdr:colOff>
      <xdr:row>9</xdr:row>
      <xdr:rowOff>161925</xdr:rowOff>
    </xdr:from>
    <xdr:to>
      <xdr:col>9</xdr:col>
      <xdr:colOff>468967</xdr:colOff>
      <xdr:row>20</xdr:row>
      <xdr:rowOff>161925</xdr:rowOff>
    </xdr:to>
    <xdr:sp macro="" textlink="">
      <xdr:nvSpPr>
        <xdr:cNvPr id="3" name="모서리가 둥근 직사각형 2"/>
        <xdr:cNvSpPr/>
      </xdr:nvSpPr>
      <xdr:spPr>
        <a:xfrm>
          <a:off x="1438275" y="2047875"/>
          <a:ext cx="5202892" cy="2305050"/>
        </a:xfrm>
        <a:prstGeom prst="roundRect">
          <a:avLst>
            <a:gd name="adj" fmla="val 7163"/>
          </a:avLst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66675</xdr:colOff>
      <xdr:row>22</xdr:row>
      <xdr:rowOff>0</xdr:rowOff>
    </xdr:from>
    <xdr:to>
      <xdr:col>9</xdr:col>
      <xdr:colOff>468967</xdr:colOff>
      <xdr:row>31</xdr:row>
      <xdr:rowOff>66675</xdr:rowOff>
    </xdr:to>
    <xdr:sp macro="" textlink="">
      <xdr:nvSpPr>
        <xdr:cNvPr id="4" name="모서리가 둥근 직사각형 3"/>
        <xdr:cNvSpPr/>
      </xdr:nvSpPr>
      <xdr:spPr>
        <a:xfrm>
          <a:off x="1438275" y="4610100"/>
          <a:ext cx="5202892" cy="1952625"/>
        </a:xfrm>
        <a:prstGeom prst="roundRect">
          <a:avLst>
            <a:gd name="adj" fmla="val 716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283508</xdr:colOff>
      <xdr:row>9</xdr:row>
      <xdr:rowOff>161924</xdr:rowOff>
    </xdr:from>
    <xdr:to>
      <xdr:col>14</xdr:col>
      <xdr:colOff>0</xdr:colOff>
      <xdr:row>24</xdr:row>
      <xdr:rowOff>209549</xdr:rowOff>
    </xdr:to>
    <xdr:sp macro="" textlink="">
      <xdr:nvSpPr>
        <xdr:cNvPr id="6" name="모서리가 둥근 직사각형 5"/>
        <xdr:cNvSpPr/>
      </xdr:nvSpPr>
      <xdr:spPr>
        <a:xfrm>
          <a:off x="7141508" y="2047874"/>
          <a:ext cx="2459692" cy="3190875"/>
        </a:xfrm>
        <a:prstGeom prst="roundRect">
          <a:avLst>
            <a:gd name="adj" fmla="val 716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</xdr:col>
      <xdr:colOff>399439</xdr:colOff>
      <xdr:row>10</xdr:row>
      <xdr:rowOff>160113</xdr:rowOff>
    </xdr:from>
    <xdr:to>
      <xdr:col>8</xdr:col>
      <xdr:colOff>211950</xdr:colOff>
      <xdr:row>16</xdr:row>
      <xdr:rowOff>86924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4239" y="2255613"/>
          <a:ext cx="1184111" cy="1184111"/>
        </a:xfrm>
        <a:prstGeom prst="rect">
          <a:avLst/>
        </a:prstGeom>
      </xdr:spPr>
    </xdr:pic>
    <xdr:clientData/>
  </xdr:twoCellAnchor>
  <xdr:twoCellAnchor editAs="oneCell">
    <xdr:from>
      <xdr:col>3</xdr:col>
      <xdr:colOff>206539</xdr:colOff>
      <xdr:row>10</xdr:row>
      <xdr:rowOff>160113</xdr:rowOff>
    </xdr:from>
    <xdr:to>
      <xdr:col>5</xdr:col>
      <xdr:colOff>19050</xdr:colOff>
      <xdr:row>16</xdr:row>
      <xdr:rowOff>86924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2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3939" y="2255613"/>
          <a:ext cx="1184111" cy="1184111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17</xdr:row>
      <xdr:rowOff>161925</xdr:rowOff>
    </xdr:from>
    <xdr:to>
      <xdr:col>5</xdr:col>
      <xdr:colOff>76200</xdr:colOff>
      <xdr:row>19</xdr:row>
      <xdr:rowOff>180975</xdr:rowOff>
    </xdr:to>
    <xdr:sp macro="" textlink="">
      <xdr:nvSpPr>
        <xdr:cNvPr id="10" name="모서리가 둥근 직사각형 9"/>
        <xdr:cNvSpPr/>
      </xdr:nvSpPr>
      <xdr:spPr>
        <a:xfrm>
          <a:off x="2181225" y="3724275"/>
          <a:ext cx="1323975" cy="438150"/>
        </a:xfrm>
        <a:prstGeom prst="roundRect">
          <a:avLst>
            <a:gd name="adj" fmla="val 35366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송금</a:t>
          </a:r>
        </a:p>
      </xdr:txBody>
    </xdr:sp>
    <xdr:clientData/>
  </xdr:twoCellAnchor>
  <xdr:twoCellAnchor>
    <xdr:from>
      <xdr:col>6</xdr:col>
      <xdr:colOff>323850</xdr:colOff>
      <xdr:row>17</xdr:row>
      <xdr:rowOff>161925</xdr:rowOff>
    </xdr:from>
    <xdr:to>
      <xdr:col>8</xdr:col>
      <xdr:colOff>276225</xdr:colOff>
      <xdr:row>19</xdr:row>
      <xdr:rowOff>180975</xdr:rowOff>
    </xdr:to>
    <xdr:sp macro="" textlink="">
      <xdr:nvSpPr>
        <xdr:cNvPr id="12" name="모서리가 둥근 직사각형 11"/>
        <xdr:cNvSpPr/>
      </xdr:nvSpPr>
      <xdr:spPr>
        <a:xfrm>
          <a:off x="4438650" y="3724275"/>
          <a:ext cx="1323975" cy="438150"/>
        </a:xfrm>
        <a:prstGeom prst="roundRect">
          <a:avLst>
            <a:gd name="adj" fmla="val 35366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쇼핑센터</a:t>
          </a:r>
        </a:p>
      </xdr:txBody>
    </xdr:sp>
    <xdr:clientData/>
  </xdr:twoCellAnchor>
  <xdr:twoCellAnchor>
    <xdr:from>
      <xdr:col>2</xdr:col>
      <xdr:colOff>295274</xdr:colOff>
      <xdr:row>22</xdr:row>
      <xdr:rowOff>181950</xdr:rowOff>
    </xdr:from>
    <xdr:to>
      <xdr:col>5</xdr:col>
      <xdr:colOff>514349</xdr:colOff>
      <xdr:row>30</xdr:row>
      <xdr:rowOff>166050</xdr:rowOff>
    </xdr:to>
    <xdr:sp macro="" textlink="">
      <xdr:nvSpPr>
        <xdr:cNvPr id="14" name="모서리가 둥근 직사각형 13"/>
        <xdr:cNvSpPr/>
      </xdr:nvSpPr>
      <xdr:spPr>
        <a:xfrm>
          <a:off x="1666874" y="4792050"/>
          <a:ext cx="2276475" cy="1660500"/>
        </a:xfrm>
        <a:prstGeom prst="roundRect">
          <a:avLst>
            <a:gd name="adj" fmla="val 7163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</xdr:col>
      <xdr:colOff>361950</xdr:colOff>
      <xdr:row>23</xdr:row>
      <xdr:rowOff>47625</xdr:rowOff>
    </xdr:from>
    <xdr:ext cx="1189172" cy="491417"/>
    <xdr:sp macro="" textlink="">
      <xdr:nvSpPr>
        <xdr:cNvPr id="13" name="TextBox 12"/>
        <xdr:cNvSpPr txBox="1"/>
      </xdr:nvSpPr>
      <xdr:spPr>
        <a:xfrm>
          <a:off x="1733550" y="4867275"/>
          <a:ext cx="1189172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800" b="1">
              <a:solidFill>
                <a:schemeClr val="accent5"/>
              </a:solidFill>
              <a:latin typeface="+mj-ea"/>
              <a:ea typeface="+mj-ea"/>
            </a:rPr>
            <a:t>계좌 잔액</a:t>
          </a:r>
          <a:endParaRPr lang="en-US" altLang="ko-KR" sz="1800" b="1">
            <a:solidFill>
              <a:schemeClr val="accent5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2</xdr:col>
      <xdr:colOff>361950</xdr:colOff>
      <xdr:row>24</xdr:row>
      <xdr:rowOff>190500</xdr:rowOff>
    </xdr:from>
    <xdr:ext cx="2076450" cy="491417"/>
    <xdr:sp macro="" textlink="">
      <xdr:nvSpPr>
        <xdr:cNvPr id="17" name="txt잔액"/>
        <xdr:cNvSpPr txBox="1"/>
      </xdr:nvSpPr>
      <xdr:spPr>
        <a:xfrm>
          <a:off x="1733550" y="5219700"/>
          <a:ext cx="2076450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altLang="ko-KR" sz="1800" b="1">
            <a:solidFill>
              <a:sysClr val="windowText" lastClr="000000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2</xdr:col>
      <xdr:colOff>361950</xdr:colOff>
      <xdr:row>26</xdr:row>
      <xdr:rowOff>152400</xdr:rowOff>
    </xdr:from>
    <xdr:ext cx="2076450" cy="269689"/>
    <xdr:sp macro="" textlink="">
      <xdr:nvSpPr>
        <xdr:cNvPr id="18" name="txt계좌"/>
        <xdr:cNvSpPr txBox="1"/>
      </xdr:nvSpPr>
      <xdr:spPr>
        <a:xfrm>
          <a:off x="1733550" y="5600700"/>
          <a:ext cx="2076450" cy="2696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altLang="ko-KR" sz="800" b="0">
            <a:solidFill>
              <a:sysClr val="windowText" lastClr="000000"/>
            </a:solidFill>
            <a:latin typeface="+mj-ea"/>
            <a:ea typeface="+mj-ea"/>
          </a:endParaRPr>
        </a:p>
      </xdr:txBody>
    </xdr:sp>
    <xdr:clientData/>
  </xdr:oneCellAnchor>
  <xdr:twoCellAnchor>
    <xdr:from>
      <xdr:col>2</xdr:col>
      <xdr:colOff>361950</xdr:colOff>
      <xdr:row>28</xdr:row>
      <xdr:rowOff>152400</xdr:rowOff>
    </xdr:from>
    <xdr:to>
      <xdr:col>5</xdr:col>
      <xdr:colOff>419100</xdr:colOff>
      <xdr:row>30</xdr:row>
      <xdr:rowOff>85725</xdr:rowOff>
    </xdr:to>
    <xdr:sp macro="" textlink="">
      <xdr:nvSpPr>
        <xdr:cNvPr id="19" name="모서리가 둥근 직사각형 18"/>
        <xdr:cNvSpPr/>
      </xdr:nvSpPr>
      <xdr:spPr>
        <a:xfrm>
          <a:off x="1733550" y="6019800"/>
          <a:ext cx="2114550" cy="352425"/>
        </a:xfrm>
        <a:prstGeom prst="roundRect">
          <a:avLst>
            <a:gd name="adj" fmla="val 22322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송금</a:t>
          </a:r>
        </a:p>
      </xdr:txBody>
    </xdr:sp>
    <xdr:clientData/>
  </xdr:twoCellAnchor>
  <xdr:twoCellAnchor>
    <xdr:from>
      <xdr:col>6</xdr:col>
      <xdr:colOff>95249</xdr:colOff>
      <xdr:row>22</xdr:row>
      <xdr:rowOff>181950</xdr:rowOff>
    </xdr:from>
    <xdr:to>
      <xdr:col>9</xdr:col>
      <xdr:colOff>314324</xdr:colOff>
      <xdr:row>30</xdr:row>
      <xdr:rowOff>166050</xdr:rowOff>
    </xdr:to>
    <xdr:sp macro="" textlink="">
      <xdr:nvSpPr>
        <xdr:cNvPr id="20" name="모서리가 둥근 직사각형 19"/>
        <xdr:cNvSpPr/>
      </xdr:nvSpPr>
      <xdr:spPr>
        <a:xfrm>
          <a:off x="4210049" y="4792050"/>
          <a:ext cx="2276475" cy="1660500"/>
        </a:xfrm>
        <a:prstGeom prst="roundRect">
          <a:avLst>
            <a:gd name="adj" fmla="val 7163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10</xdr:col>
      <xdr:colOff>447675</xdr:colOff>
      <xdr:row>10</xdr:row>
      <xdr:rowOff>47625</xdr:rowOff>
    </xdr:from>
    <xdr:ext cx="1189172" cy="491417"/>
    <xdr:sp macro="" textlink="">
      <xdr:nvSpPr>
        <xdr:cNvPr id="21" name="TextBox 20"/>
        <xdr:cNvSpPr txBox="1"/>
      </xdr:nvSpPr>
      <xdr:spPr>
        <a:xfrm>
          <a:off x="7305675" y="2143125"/>
          <a:ext cx="1189172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800" b="1">
              <a:solidFill>
                <a:schemeClr val="accent5"/>
              </a:solidFill>
              <a:latin typeface="+mj-ea"/>
              <a:ea typeface="+mj-ea"/>
            </a:rPr>
            <a:t>빠른 메뉴</a:t>
          </a:r>
          <a:endParaRPr lang="en-US" altLang="ko-KR" sz="1800" b="1">
            <a:solidFill>
              <a:schemeClr val="accent5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6</xdr:col>
      <xdr:colOff>152400</xdr:colOff>
      <xdr:row>24</xdr:row>
      <xdr:rowOff>200025</xdr:rowOff>
    </xdr:from>
    <xdr:ext cx="2076450" cy="491417"/>
    <xdr:sp macro="" textlink="">
      <xdr:nvSpPr>
        <xdr:cNvPr id="22" name="txt이용금액"/>
        <xdr:cNvSpPr txBox="1"/>
      </xdr:nvSpPr>
      <xdr:spPr>
        <a:xfrm>
          <a:off x="4267200" y="5229225"/>
          <a:ext cx="2076450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 b="1">
              <a:solidFill>
                <a:sysClr val="windowText" lastClr="000000"/>
              </a:solidFill>
              <a:latin typeface="+mj-ea"/>
              <a:ea typeface="+mj-ea"/>
            </a:rPr>
            <a:t>0</a:t>
          </a:r>
          <a:r>
            <a:rPr lang="ko-KR" altLang="en-US" sz="1800" b="1">
              <a:solidFill>
                <a:sysClr val="windowText" lastClr="000000"/>
              </a:solidFill>
              <a:latin typeface="+mj-ea"/>
              <a:ea typeface="+mj-ea"/>
            </a:rPr>
            <a:t>원</a:t>
          </a:r>
          <a:endParaRPr lang="en-US" altLang="ko-KR" sz="1800" b="1">
            <a:solidFill>
              <a:sysClr val="windowText" lastClr="000000"/>
            </a:solidFill>
            <a:latin typeface="+mj-ea"/>
            <a:ea typeface="+mj-ea"/>
          </a:endParaRPr>
        </a:p>
      </xdr:txBody>
    </xdr:sp>
    <xdr:clientData/>
  </xdr:oneCellAnchor>
  <xdr:oneCellAnchor>
    <xdr:from>
      <xdr:col>6</xdr:col>
      <xdr:colOff>152400</xdr:colOff>
      <xdr:row>26</xdr:row>
      <xdr:rowOff>152400</xdr:rowOff>
    </xdr:from>
    <xdr:ext cx="2076450" cy="269689"/>
    <xdr:sp macro="" textlink="">
      <xdr:nvSpPr>
        <xdr:cNvPr id="23" name="txt날짜"/>
        <xdr:cNvSpPr txBox="1"/>
      </xdr:nvSpPr>
      <xdr:spPr>
        <a:xfrm>
          <a:off x="4267200" y="5600700"/>
          <a:ext cx="2076450" cy="2696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800" b="0">
              <a:solidFill>
                <a:sysClr val="windowText" lastClr="000000"/>
              </a:solidFill>
              <a:latin typeface="+mj-ea"/>
              <a:ea typeface="+mj-ea"/>
            </a:rPr>
            <a:t>Aug, 1 - Aug, 1</a:t>
          </a:r>
        </a:p>
      </xdr:txBody>
    </xdr:sp>
    <xdr:clientData/>
  </xdr:oneCellAnchor>
  <xdr:twoCellAnchor>
    <xdr:from>
      <xdr:col>6</xdr:col>
      <xdr:colOff>152400</xdr:colOff>
      <xdr:row>28</xdr:row>
      <xdr:rowOff>133350</xdr:rowOff>
    </xdr:from>
    <xdr:to>
      <xdr:col>9</xdr:col>
      <xdr:colOff>209550</xdr:colOff>
      <xdr:row>30</xdr:row>
      <xdr:rowOff>85725</xdr:rowOff>
    </xdr:to>
    <xdr:sp macro="" textlink="">
      <xdr:nvSpPr>
        <xdr:cNvPr id="25" name="모서리가 둥근 직사각형 24"/>
        <xdr:cNvSpPr/>
      </xdr:nvSpPr>
      <xdr:spPr>
        <a:xfrm>
          <a:off x="4267200" y="6000750"/>
          <a:ext cx="2114550" cy="371475"/>
        </a:xfrm>
        <a:prstGeom prst="roundRect">
          <a:avLst>
            <a:gd name="adj" fmla="val 22322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납부하기</a:t>
          </a:r>
        </a:p>
      </xdr:txBody>
    </xdr:sp>
    <xdr:clientData/>
  </xdr:twoCellAnchor>
  <xdr:twoCellAnchor>
    <xdr:from>
      <xdr:col>10</xdr:col>
      <xdr:colOff>457200</xdr:colOff>
      <xdr:row>12</xdr:row>
      <xdr:rowOff>114300</xdr:rowOff>
    </xdr:from>
    <xdr:to>
      <xdr:col>13</xdr:col>
      <xdr:colOff>495300</xdr:colOff>
      <xdr:row>14</xdr:row>
      <xdr:rowOff>95250</xdr:rowOff>
    </xdr:to>
    <xdr:sp macro="" textlink="">
      <xdr:nvSpPr>
        <xdr:cNvPr id="26" name="모서리가 둥근 직사각형 25"/>
        <xdr:cNvSpPr/>
      </xdr:nvSpPr>
      <xdr:spPr>
        <a:xfrm>
          <a:off x="7315200" y="2628900"/>
          <a:ext cx="2095500" cy="400050"/>
        </a:xfrm>
        <a:prstGeom prst="roundRect">
          <a:avLst>
            <a:gd name="adj" fmla="val 22322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최근 내 활동 보기</a:t>
          </a:r>
        </a:p>
      </xdr:txBody>
    </xdr:sp>
    <xdr:clientData/>
  </xdr:twoCellAnchor>
  <xdr:twoCellAnchor>
    <xdr:from>
      <xdr:col>10</xdr:col>
      <xdr:colOff>457200</xdr:colOff>
      <xdr:row>15</xdr:row>
      <xdr:rowOff>123825</xdr:rowOff>
    </xdr:from>
    <xdr:to>
      <xdr:col>13</xdr:col>
      <xdr:colOff>495300</xdr:colOff>
      <xdr:row>17</xdr:row>
      <xdr:rowOff>104775</xdr:rowOff>
    </xdr:to>
    <xdr:sp macro="" textlink="">
      <xdr:nvSpPr>
        <xdr:cNvPr id="27" name="모서리가 둥근 직사각형 26"/>
        <xdr:cNvSpPr/>
      </xdr:nvSpPr>
      <xdr:spPr>
        <a:xfrm>
          <a:off x="7315200" y="3267075"/>
          <a:ext cx="2095500" cy="400050"/>
        </a:xfrm>
        <a:prstGeom prst="roundRect">
          <a:avLst>
            <a:gd name="adj" fmla="val 22322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내 카드 지갑</a:t>
          </a:r>
        </a:p>
      </xdr:txBody>
    </xdr:sp>
    <xdr:clientData/>
  </xdr:twoCellAnchor>
  <xdr:twoCellAnchor>
    <xdr:from>
      <xdr:col>10</xdr:col>
      <xdr:colOff>457200</xdr:colOff>
      <xdr:row>18</xdr:row>
      <xdr:rowOff>133350</xdr:rowOff>
    </xdr:from>
    <xdr:to>
      <xdr:col>13</xdr:col>
      <xdr:colOff>495300</xdr:colOff>
      <xdr:row>20</xdr:row>
      <xdr:rowOff>114300</xdr:rowOff>
    </xdr:to>
    <xdr:sp macro="" textlink="">
      <xdr:nvSpPr>
        <xdr:cNvPr id="28" name="모서리가 둥근 직사각형 27"/>
        <xdr:cNvSpPr/>
      </xdr:nvSpPr>
      <xdr:spPr>
        <a:xfrm>
          <a:off x="7315200" y="3905250"/>
          <a:ext cx="2095500" cy="400050"/>
        </a:xfrm>
        <a:prstGeom prst="roundRect">
          <a:avLst>
            <a:gd name="adj" fmla="val 22322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새로운 카드 찾기</a:t>
          </a:r>
        </a:p>
      </xdr:txBody>
    </xdr:sp>
    <xdr:clientData/>
  </xdr:twoCellAnchor>
  <xdr:twoCellAnchor>
    <xdr:from>
      <xdr:col>10</xdr:col>
      <xdr:colOff>457200</xdr:colOff>
      <xdr:row>21</xdr:row>
      <xdr:rowOff>142875</xdr:rowOff>
    </xdr:from>
    <xdr:to>
      <xdr:col>13</xdr:col>
      <xdr:colOff>495300</xdr:colOff>
      <xdr:row>23</xdr:row>
      <xdr:rowOff>123825</xdr:rowOff>
    </xdr:to>
    <xdr:sp macro="" textlink="">
      <xdr:nvSpPr>
        <xdr:cNvPr id="29" name="모서리가 둥근 직사각형 28"/>
        <xdr:cNvSpPr/>
      </xdr:nvSpPr>
      <xdr:spPr>
        <a:xfrm>
          <a:off x="7315200" y="4543425"/>
          <a:ext cx="2095500" cy="400050"/>
        </a:xfrm>
        <a:prstGeom prst="roundRect">
          <a:avLst>
            <a:gd name="adj" fmla="val 22322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>
              <a:solidFill>
                <a:schemeClr val="bg1"/>
              </a:solidFill>
            </a:rPr>
            <a:t>메인으로</a:t>
          </a:r>
        </a:p>
      </xdr:txBody>
    </xdr:sp>
    <xdr:clientData/>
  </xdr:twoCellAnchor>
  <xdr:oneCellAnchor>
    <xdr:from>
      <xdr:col>6</xdr:col>
      <xdr:colOff>152400</xdr:colOff>
      <xdr:row>23</xdr:row>
      <xdr:rowOff>47625</xdr:rowOff>
    </xdr:from>
    <xdr:ext cx="1732013" cy="491417"/>
    <xdr:sp macro="" textlink="">
      <xdr:nvSpPr>
        <xdr:cNvPr id="30" name="TextBox 29"/>
        <xdr:cNvSpPr txBox="1"/>
      </xdr:nvSpPr>
      <xdr:spPr>
        <a:xfrm>
          <a:off x="4267200" y="4867275"/>
          <a:ext cx="1732013" cy="491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800" b="1">
              <a:solidFill>
                <a:schemeClr val="accent5"/>
              </a:solidFill>
              <a:latin typeface="+mj-ea"/>
              <a:ea typeface="+mj-ea"/>
            </a:rPr>
            <a:t>카드 이용 금액</a:t>
          </a:r>
          <a:endParaRPr lang="en-US" altLang="ko-KR" sz="1800" b="1">
            <a:solidFill>
              <a:schemeClr val="accent5"/>
            </a:solidFill>
            <a:latin typeface="+mj-ea"/>
            <a:ea typeface="+mj-ea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112058</xdr:rowOff>
    </xdr:from>
    <xdr:to>
      <xdr:col>4</xdr:col>
      <xdr:colOff>335617</xdr:colOff>
      <xdr:row>6</xdr:row>
      <xdr:rowOff>70596</xdr:rowOff>
    </xdr:to>
    <xdr:sp macro="" textlink="">
      <xdr:nvSpPr>
        <xdr:cNvPr id="2" name="모서리가 둥근 직사각형 1"/>
        <xdr:cNvSpPr/>
      </xdr:nvSpPr>
      <xdr:spPr>
        <a:xfrm>
          <a:off x="571500" y="537882"/>
          <a:ext cx="2498352" cy="810185"/>
        </a:xfrm>
        <a:prstGeom prst="roundRect">
          <a:avLst>
            <a:gd name="adj" fmla="val 19466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47625</xdr:rowOff>
        </xdr:from>
        <xdr:to>
          <xdr:col>2</xdr:col>
          <xdr:colOff>400050</xdr:colOff>
          <xdr:row>5</xdr:row>
          <xdr:rowOff>133350</xdr:rowOff>
        </xdr:to>
        <xdr:sp macro="" textlink="">
          <xdr:nvSpPr>
            <xdr:cNvPr id="12289" name="Text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4</xdr:row>
          <xdr:rowOff>47625</xdr:rowOff>
        </xdr:from>
        <xdr:to>
          <xdr:col>4</xdr:col>
          <xdr:colOff>247650</xdr:colOff>
          <xdr:row>5</xdr:row>
          <xdr:rowOff>133350</xdr:rowOff>
        </xdr:to>
        <xdr:sp macro="" textlink="">
          <xdr:nvSpPr>
            <xdr:cNvPr id="12290" name="TextBox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</xdr:colOff>
      <xdr:row>2</xdr:row>
      <xdr:rowOff>41462</xdr:rowOff>
    </xdr:from>
    <xdr:to>
      <xdr:col>13</xdr:col>
      <xdr:colOff>0</xdr:colOff>
      <xdr:row>6</xdr:row>
      <xdr:rowOff>0</xdr:rowOff>
    </xdr:to>
    <xdr:sp macro="" textlink="">
      <xdr:nvSpPr>
        <xdr:cNvPr id="5" name="모서리가 둥근 직사각형 4"/>
        <xdr:cNvSpPr/>
      </xdr:nvSpPr>
      <xdr:spPr>
        <a:xfrm>
          <a:off x="3417795" y="467286"/>
          <a:ext cx="5468470" cy="810185"/>
        </a:xfrm>
        <a:prstGeom prst="roundRect">
          <a:avLst>
            <a:gd name="adj" fmla="val 19466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</xdr:row>
          <xdr:rowOff>95250</xdr:rowOff>
        </xdr:from>
        <xdr:to>
          <xdr:col>12</xdr:col>
          <xdr:colOff>619125</xdr:colOff>
          <xdr:row>5</xdr:row>
          <xdr:rowOff>180975</xdr:rowOff>
        </xdr:to>
        <xdr:sp macro="" textlink="">
          <xdr:nvSpPr>
            <xdr:cNvPr id="12291" name="TextBox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467283</xdr:colOff>
      <xdr:row>2</xdr:row>
      <xdr:rowOff>41462</xdr:rowOff>
    </xdr:from>
    <xdr:to>
      <xdr:col>15</xdr:col>
      <xdr:colOff>0</xdr:colOff>
      <xdr:row>6</xdr:row>
      <xdr:rowOff>0</xdr:rowOff>
    </xdr:to>
    <xdr:sp macro="[0]!활동내역초기화" textlink="">
      <xdr:nvSpPr>
        <xdr:cNvPr id="7" name="모서리가 둥근 직사각형 6"/>
        <xdr:cNvSpPr/>
      </xdr:nvSpPr>
      <xdr:spPr>
        <a:xfrm>
          <a:off x="9353548" y="467286"/>
          <a:ext cx="899834" cy="810185"/>
        </a:xfrm>
        <a:prstGeom prst="roundRect">
          <a:avLst>
            <a:gd name="adj" fmla="val 19466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4000">
              <a:solidFill>
                <a:schemeClr val="tx1"/>
              </a:solidFill>
              <a:sym typeface="Webdings" panose="05030102010509060703" pitchFamily="18" charset="2"/>
            </a:rPr>
            <a:t></a:t>
          </a:r>
          <a:endParaRPr lang="ko-KR" altLang="en-US" sz="4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17</xdr:col>
      <xdr:colOff>407486</xdr:colOff>
      <xdr:row>14</xdr:row>
      <xdr:rowOff>16809</xdr:rowOff>
    </xdr:to>
    <xdr:grpSp>
      <xdr:nvGrpSpPr>
        <xdr:cNvPr id="3" name="활동 1"/>
        <xdr:cNvGrpSpPr/>
      </xdr:nvGrpSpPr>
      <xdr:grpSpPr>
        <a:xfrm>
          <a:off x="692727" y="2008909"/>
          <a:ext cx="11491123" cy="1055900"/>
          <a:chOff x="685800" y="2019300"/>
          <a:chExt cx="11380286" cy="1064559"/>
        </a:xfrm>
      </xdr:grpSpPr>
      <xdr:sp macro="" textlink="">
        <xdr:nvSpPr>
          <xdr:cNvPr id="9" name="모서리가 둥근 직사각형 8"/>
          <xdr:cNvSpPr/>
        </xdr:nvSpPr>
        <xdr:spPr>
          <a:xfrm>
            <a:off x="685800" y="20193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0" name="제목"/>
          <xdr:cNvSpPr txBox="1"/>
        </xdr:nvSpPr>
        <xdr:spPr>
          <a:xfrm>
            <a:off x="790742" y="20641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김강추에서 입금</a:t>
            </a:r>
          </a:p>
        </xdr:txBody>
      </xdr:sp>
      <xdr:sp macro="" textlink="">
        <xdr:nvSpPr>
          <xdr:cNvPr id="11" name="거래"/>
          <xdr:cNvSpPr txBox="1"/>
        </xdr:nvSpPr>
        <xdr:spPr>
          <a:xfrm>
            <a:off x="790742" y="27140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2" name="날짜"/>
          <xdr:cNvSpPr txBox="1"/>
        </xdr:nvSpPr>
        <xdr:spPr>
          <a:xfrm>
            <a:off x="790742" y="24223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4, 21:05:00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3" name="금액"/>
          <xdr:cNvSpPr txBox="1"/>
        </xdr:nvSpPr>
        <xdr:spPr>
          <a:xfrm>
            <a:off x="9932283" y="20641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+ 150,000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0&quot;'" textlink="">
        <xdr:nvSpPr>
          <xdr:cNvPr id="14" name="보기 0"/>
          <xdr:cNvSpPr txBox="1"/>
        </xdr:nvSpPr>
        <xdr:spPr>
          <a:xfrm>
            <a:off x="11052056" y="26580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15</xdr:row>
      <xdr:rowOff>0</xdr:rowOff>
    </xdr:from>
    <xdr:to>
      <xdr:col>17</xdr:col>
      <xdr:colOff>407486</xdr:colOff>
      <xdr:row>20</xdr:row>
      <xdr:rowOff>16809</xdr:rowOff>
    </xdr:to>
    <xdr:grpSp>
      <xdr:nvGrpSpPr>
        <xdr:cNvPr id="4" name="활동 2"/>
        <xdr:cNvGrpSpPr/>
      </xdr:nvGrpSpPr>
      <xdr:grpSpPr>
        <a:xfrm>
          <a:off x="692727" y="3255818"/>
          <a:ext cx="11491123" cy="1055900"/>
          <a:chOff x="685800" y="3276600"/>
          <a:chExt cx="11380286" cy="1064559"/>
        </a:xfrm>
      </xdr:grpSpPr>
      <xdr:sp macro="" textlink="">
        <xdr:nvSpPr>
          <xdr:cNvPr id="16" name="모서리가 둥근 직사각형 15"/>
          <xdr:cNvSpPr/>
        </xdr:nvSpPr>
        <xdr:spPr>
          <a:xfrm>
            <a:off x="685800" y="32766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7" name="제목"/>
          <xdr:cNvSpPr txBox="1"/>
        </xdr:nvSpPr>
        <xdr:spPr>
          <a:xfrm>
            <a:off x="790742" y="33214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MARRIOTT INTERNATIONAL - </a:t>
            </a:r>
            <a:r>
              <a:rPr lang="ko-KR" altLang="en-US" sz="1400" b="1">
                <a:latin typeface="+mj-ea"/>
                <a:ea typeface="+mj-ea"/>
              </a:rPr>
              <a:t>신주쿠 워싱턴 호텔 도쿄</a:t>
            </a:r>
          </a:p>
        </xdr:txBody>
      </xdr:sp>
      <xdr:sp macro="" textlink="">
        <xdr:nvSpPr>
          <xdr:cNvPr id="18" name="거래"/>
          <xdr:cNvSpPr txBox="1"/>
        </xdr:nvSpPr>
        <xdr:spPr>
          <a:xfrm>
            <a:off x="790742" y="39713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19" name="날짜"/>
          <xdr:cNvSpPr txBox="1"/>
        </xdr:nvSpPr>
        <xdr:spPr>
          <a:xfrm>
            <a:off x="790742" y="36796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4, 20:49:00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20" name="금액"/>
          <xdr:cNvSpPr txBox="1"/>
        </xdr:nvSpPr>
        <xdr:spPr>
          <a:xfrm>
            <a:off x="9932283" y="33214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- 1,251,693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&quot;'" textlink="">
        <xdr:nvSpPr>
          <xdr:cNvPr id="21" name="보기 1"/>
          <xdr:cNvSpPr txBox="1"/>
        </xdr:nvSpPr>
        <xdr:spPr>
          <a:xfrm>
            <a:off x="11052056" y="39153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21</xdr:row>
      <xdr:rowOff>0</xdr:rowOff>
    </xdr:from>
    <xdr:to>
      <xdr:col>17</xdr:col>
      <xdr:colOff>407486</xdr:colOff>
      <xdr:row>26</xdr:row>
      <xdr:rowOff>16809</xdr:rowOff>
    </xdr:to>
    <xdr:grpSp>
      <xdr:nvGrpSpPr>
        <xdr:cNvPr id="6" name="활동 3"/>
        <xdr:cNvGrpSpPr/>
      </xdr:nvGrpSpPr>
      <xdr:grpSpPr>
        <a:xfrm>
          <a:off x="692727" y="4502727"/>
          <a:ext cx="11491123" cy="1055900"/>
          <a:chOff x="685800" y="4533900"/>
          <a:chExt cx="11380286" cy="1064559"/>
        </a:xfrm>
      </xdr:grpSpPr>
      <xdr:sp macro="" textlink="">
        <xdr:nvSpPr>
          <xdr:cNvPr id="23" name="모서리가 둥근 직사각형 22"/>
          <xdr:cNvSpPr/>
        </xdr:nvSpPr>
        <xdr:spPr>
          <a:xfrm>
            <a:off x="685800" y="45339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24" name="제목"/>
          <xdr:cNvSpPr txBox="1"/>
        </xdr:nvSpPr>
        <xdr:spPr>
          <a:xfrm>
            <a:off x="790742" y="45787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APPLE KOREA - iMac 27" 5K</a:t>
            </a:r>
            <a:endParaRPr lang="ko-KR" altLang="en-US" sz="1400" b="1">
              <a:latin typeface="+mj-ea"/>
              <a:ea typeface="+mj-ea"/>
            </a:endParaRPr>
          </a:p>
        </xdr:txBody>
      </xdr:sp>
      <xdr:sp macro="" textlink="">
        <xdr:nvSpPr>
          <xdr:cNvPr id="25" name="거래"/>
          <xdr:cNvSpPr txBox="1"/>
        </xdr:nvSpPr>
        <xdr:spPr>
          <a:xfrm>
            <a:off x="790742" y="52286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26" name="날짜"/>
          <xdr:cNvSpPr txBox="1"/>
        </xdr:nvSpPr>
        <xdr:spPr>
          <a:xfrm>
            <a:off x="790742" y="49369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4, 20:32:00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27" name="금액"/>
          <xdr:cNvSpPr txBox="1"/>
        </xdr:nvSpPr>
        <xdr:spPr>
          <a:xfrm>
            <a:off x="9932283" y="45787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- 2,870,910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&quot;'" textlink="">
        <xdr:nvSpPr>
          <xdr:cNvPr id="28" name="보기 2"/>
          <xdr:cNvSpPr txBox="1"/>
        </xdr:nvSpPr>
        <xdr:spPr>
          <a:xfrm>
            <a:off x="11052056" y="51726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27</xdr:row>
      <xdr:rowOff>0</xdr:rowOff>
    </xdr:from>
    <xdr:to>
      <xdr:col>17</xdr:col>
      <xdr:colOff>407486</xdr:colOff>
      <xdr:row>32</xdr:row>
      <xdr:rowOff>16809</xdr:rowOff>
    </xdr:to>
    <xdr:grpSp>
      <xdr:nvGrpSpPr>
        <xdr:cNvPr id="12288" name="활동 4"/>
        <xdr:cNvGrpSpPr/>
      </xdr:nvGrpSpPr>
      <xdr:grpSpPr>
        <a:xfrm>
          <a:off x="692727" y="5749636"/>
          <a:ext cx="11491123" cy="1055900"/>
          <a:chOff x="685800" y="5791200"/>
          <a:chExt cx="11380286" cy="1064559"/>
        </a:xfrm>
      </xdr:grpSpPr>
      <xdr:sp macro="" textlink="">
        <xdr:nvSpPr>
          <xdr:cNvPr id="30" name="모서리가 둥근 직사각형 29"/>
          <xdr:cNvSpPr/>
        </xdr:nvSpPr>
        <xdr:spPr>
          <a:xfrm>
            <a:off x="685800" y="57912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31" name="제목"/>
          <xdr:cNvSpPr txBox="1"/>
        </xdr:nvSpPr>
        <xdr:spPr>
          <a:xfrm>
            <a:off x="790742" y="58360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APPLE KOREA - iMac 27" 5K</a:t>
            </a:r>
            <a:endParaRPr lang="ko-KR" altLang="en-US" sz="1400" b="1">
              <a:latin typeface="+mj-ea"/>
              <a:ea typeface="+mj-ea"/>
            </a:endParaRPr>
          </a:p>
        </xdr:txBody>
      </xdr:sp>
      <xdr:sp macro="" textlink="">
        <xdr:nvSpPr>
          <xdr:cNvPr id="32" name="거래"/>
          <xdr:cNvSpPr txBox="1"/>
        </xdr:nvSpPr>
        <xdr:spPr>
          <a:xfrm>
            <a:off x="790742" y="64859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33" name="날짜"/>
          <xdr:cNvSpPr txBox="1"/>
        </xdr:nvSpPr>
        <xdr:spPr>
          <a:xfrm>
            <a:off x="790742" y="61942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4, 16:31:00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34" name="금액"/>
          <xdr:cNvSpPr txBox="1"/>
        </xdr:nvSpPr>
        <xdr:spPr>
          <a:xfrm>
            <a:off x="9932283" y="58360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- 2,898,810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3&quot;'" textlink="">
        <xdr:nvSpPr>
          <xdr:cNvPr id="35" name="보기 3"/>
          <xdr:cNvSpPr txBox="1"/>
        </xdr:nvSpPr>
        <xdr:spPr>
          <a:xfrm>
            <a:off x="11052056" y="64299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33</xdr:row>
      <xdr:rowOff>0</xdr:rowOff>
    </xdr:from>
    <xdr:to>
      <xdr:col>17</xdr:col>
      <xdr:colOff>407486</xdr:colOff>
      <xdr:row>38</xdr:row>
      <xdr:rowOff>16809</xdr:rowOff>
    </xdr:to>
    <xdr:grpSp>
      <xdr:nvGrpSpPr>
        <xdr:cNvPr id="12292" name="활동 5"/>
        <xdr:cNvGrpSpPr/>
      </xdr:nvGrpSpPr>
      <xdr:grpSpPr>
        <a:xfrm>
          <a:off x="692727" y="6996545"/>
          <a:ext cx="11491123" cy="1055900"/>
          <a:chOff x="685800" y="7048500"/>
          <a:chExt cx="11380286" cy="1064559"/>
        </a:xfrm>
      </xdr:grpSpPr>
      <xdr:sp macro="" textlink="">
        <xdr:nvSpPr>
          <xdr:cNvPr id="37" name="모서리가 둥근 직사각형 36"/>
          <xdr:cNvSpPr/>
        </xdr:nvSpPr>
        <xdr:spPr>
          <a:xfrm>
            <a:off x="685800" y="70485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38" name="제목"/>
          <xdr:cNvSpPr txBox="1"/>
        </xdr:nvSpPr>
        <xdr:spPr>
          <a:xfrm>
            <a:off x="790742" y="70933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KORAIL - KTX </a:t>
            </a:r>
            <a:r>
              <a:rPr lang="ko-KR" altLang="en-US" sz="1400" b="1">
                <a:latin typeface="+mj-ea"/>
                <a:ea typeface="+mj-ea"/>
              </a:rPr>
              <a:t>동대구 </a:t>
            </a:r>
            <a:r>
              <a:rPr lang="en-US" altLang="ko-KR" sz="1400" b="1">
                <a:latin typeface="+mj-ea"/>
                <a:ea typeface="+mj-ea"/>
              </a:rPr>
              <a:t>- </a:t>
            </a:r>
            <a:r>
              <a:rPr lang="ko-KR" altLang="en-US" sz="1400" b="1">
                <a:latin typeface="+mj-ea"/>
                <a:ea typeface="+mj-ea"/>
              </a:rPr>
              <a:t>신경주</a:t>
            </a:r>
          </a:p>
        </xdr:txBody>
      </xdr:sp>
      <xdr:sp macro="" textlink="">
        <xdr:nvSpPr>
          <xdr:cNvPr id="39" name="거래"/>
          <xdr:cNvSpPr txBox="1"/>
        </xdr:nvSpPr>
        <xdr:spPr>
          <a:xfrm>
            <a:off x="790742" y="77432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40" name="날짜"/>
          <xdr:cNvSpPr txBox="1"/>
        </xdr:nvSpPr>
        <xdr:spPr>
          <a:xfrm>
            <a:off x="790742" y="74515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4, 12:36:00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41" name="금액"/>
          <xdr:cNvSpPr txBox="1"/>
        </xdr:nvSpPr>
        <xdr:spPr>
          <a:xfrm>
            <a:off x="9932283" y="70933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- 49,300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4&quot;'" textlink="">
        <xdr:nvSpPr>
          <xdr:cNvPr id="42" name="보기 4"/>
          <xdr:cNvSpPr txBox="1"/>
        </xdr:nvSpPr>
        <xdr:spPr>
          <a:xfrm>
            <a:off x="11052056" y="76872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39</xdr:row>
      <xdr:rowOff>0</xdr:rowOff>
    </xdr:from>
    <xdr:to>
      <xdr:col>17</xdr:col>
      <xdr:colOff>407486</xdr:colOff>
      <xdr:row>44</xdr:row>
      <xdr:rowOff>16810</xdr:rowOff>
    </xdr:to>
    <xdr:grpSp>
      <xdr:nvGrpSpPr>
        <xdr:cNvPr id="12293" name="활동 6"/>
        <xdr:cNvGrpSpPr/>
      </xdr:nvGrpSpPr>
      <xdr:grpSpPr>
        <a:xfrm>
          <a:off x="692727" y="8243455"/>
          <a:ext cx="11491123" cy="1055900"/>
          <a:chOff x="685800" y="8305800"/>
          <a:chExt cx="11380286" cy="1064560"/>
        </a:xfrm>
      </xdr:grpSpPr>
      <xdr:sp macro="" textlink="">
        <xdr:nvSpPr>
          <xdr:cNvPr id="44" name="모서리가 둥근 직사각형 43"/>
          <xdr:cNvSpPr/>
        </xdr:nvSpPr>
        <xdr:spPr>
          <a:xfrm>
            <a:off x="685800" y="8305800"/>
            <a:ext cx="11380286" cy="1064560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45" name="제목"/>
          <xdr:cNvSpPr txBox="1"/>
        </xdr:nvSpPr>
        <xdr:spPr>
          <a:xfrm>
            <a:off x="790742" y="83506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CATHAY PACIFIC AIRWAYS - </a:t>
            </a:r>
            <a:r>
              <a:rPr lang="ko-KR" altLang="en-US" sz="1400" b="1">
                <a:latin typeface="+mj-ea"/>
                <a:ea typeface="+mj-ea"/>
              </a:rPr>
              <a:t>케세이 퍼시픽 </a:t>
            </a:r>
            <a:r>
              <a:rPr lang="en-US" altLang="ko-KR" sz="1400" b="1">
                <a:latin typeface="+mj-ea"/>
                <a:ea typeface="+mj-ea"/>
              </a:rPr>
              <a:t>ICN - DTW </a:t>
            </a:r>
            <a:r>
              <a:rPr lang="ko-KR" altLang="en-US" sz="1400" b="1">
                <a:latin typeface="+mj-ea"/>
                <a:ea typeface="+mj-ea"/>
              </a:rPr>
              <a:t>구간 퍼스트 클래스</a:t>
            </a:r>
          </a:p>
        </xdr:txBody>
      </xdr:sp>
      <xdr:sp macro="" textlink="">
        <xdr:nvSpPr>
          <xdr:cNvPr id="46" name="거래"/>
          <xdr:cNvSpPr txBox="1"/>
        </xdr:nvSpPr>
        <xdr:spPr>
          <a:xfrm>
            <a:off x="790742" y="9000567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47" name="날짜"/>
          <xdr:cNvSpPr txBox="1"/>
        </xdr:nvSpPr>
        <xdr:spPr>
          <a:xfrm>
            <a:off x="790742" y="87088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4, 09:22:00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48" name="금액"/>
          <xdr:cNvSpPr txBox="1"/>
        </xdr:nvSpPr>
        <xdr:spPr>
          <a:xfrm>
            <a:off x="9932283" y="83506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- 17,967,427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5&quot;'" textlink="">
        <xdr:nvSpPr>
          <xdr:cNvPr id="49" name="보기 5"/>
          <xdr:cNvSpPr txBox="1"/>
        </xdr:nvSpPr>
        <xdr:spPr>
          <a:xfrm>
            <a:off x="11052056" y="8944537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45</xdr:row>
      <xdr:rowOff>0</xdr:rowOff>
    </xdr:from>
    <xdr:to>
      <xdr:col>17</xdr:col>
      <xdr:colOff>407486</xdr:colOff>
      <xdr:row>50</xdr:row>
      <xdr:rowOff>16809</xdr:rowOff>
    </xdr:to>
    <xdr:grpSp>
      <xdr:nvGrpSpPr>
        <xdr:cNvPr id="12294" name="활동 7"/>
        <xdr:cNvGrpSpPr/>
      </xdr:nvGrpSpPr>
      <xdr:grpSpPr>
        <a:xfrm>
          <a:off x="692727" y="9490364"/>
          <a:ext cx="11491123" cy="1055900"/>
          <a:chOff x="685800" y="9563100"/>
          <a:chExt cx="11380286" cy="1064559"/>
        </a:xfrm>
      </xdr:grpSpPr>
      <xdr:sp macro="" textlink="">
        <xdr:nvSpPr>
          <xdr:cNvPr id="51" name="모서리가 둥근 직사각형 50"/>
          <xdr:cNvSpPr/>
        </xdr:nvSpPr>
        <xdr:spPr>
          <a:xfrm>
            <a:off x="685800" y="95631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52" name="제목"/>
          <xdr:cNvSpPr txBox="1"/>
        </xdr:nvSpPr>
        <xdr:spPr>
          <a:xfrm>
            <a:off x="790742" y="96079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WALMART.COM - </a:t>
            </a:r>
            <a:r>
              <a:rPr lang="ko-KR" altLang="en-US" sz="1400" b="1">
                <a:latin typeface="+mj-ea"/>
                <a:ea typeface="+mj-ea"/>
              </a:rPr>
              <a:t>맥북 프로 </a:t>
            </a:r>
            <a:r>
              <a:rPr lang="en-US" altLang="ko-KR" sz="1400" b="1">
                <a:latin typeface="+mj-ea"/>
                <a:ea typeface="+mj-ea"/>
              </a:rPr>
              <a:t>16" Intel</a:t>
            </a:r>
            <a:endParaRPr lang="ko-KR" altLang="en-US" sz="1400" b="1">
              <a:latin typeface="+mj-ea"/>
              <a:ea typeface="+mj-ea"/>
            </a:endParaRPr>
          </a:p>
        </xdr:txBody>
      </xdr:sp>
      <xdr:sp macro="" textlink="">
        <xdr:nvSpPr>
          <xdr:cNvPr id="53" name="거래"/>
          <xdr:cNvSpPr txBox="1"/>
        </xdr:nvSpPr>
        <xdr:spPr>
          <a:xfrm>
            <a:off x="790742" y="102578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54" name="날짜"/>
          <xdr:cNvSpPr txBox="1"/>
        </xdr:nvSpPr>
        <xdr:spPr>
          <a:xfrm>
            <a:off x="790742" y="99661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17, 23:25:00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55" name="금액"/>
          <xdr:cNvSpPr txBox="1"/>
        </xdr:nvSpPr>
        <xdr:spPr>
          <a:xfrm>
            <a:off x="9932283" y="96079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- 3,517,920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6&quot;'" textlink="">
        <xdr:nvSpPr>
          <xdr:cNvPr id="56" name="보기 6"/>
          <xdr:cNvSpPr txBox="1"/>
        </xdr:nvSpPr>
        <xdr:spPr>
          <a:xfrm>
            <a:off x="11052056" y="102018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51</xdr:row>
      <xdr:rowOff>0</xdr:rowOff>
    </xdr:from>
    <xdr:to>
      <xdr:col>17</xdr:col>
      <xdr:colOff>407486</xdr:colOff>
      <xdr:row>56</xdr:row>
      <xdr:rowOff>16809</xdr:rowOff>
    </xdr:to>
    <xdr:grpSp>
      <xdr:nvGrpSpPr>
        <xdr:cNvPr id="12295" name="활동 8"/>
        <xdr:cNvGrpSpPr/>
      </xdr:nvGrpSpPr>
      <xdr:grpSpPr>
        <a:xfrm>
          <a:off x="692727" y="10737273"/>
          <a:ext cx="11491123" cy="1055900"/>
          <a:chOff x="685800" y="10820400"/>
          <a:chExt cx="11380286" cy="1064559"/>
        </a:xfrm>
      </xdr:grpSpPr>
      <xdr:sp macro="" textlink="">
        <xdr:nvSpPr>
          <xdr:cNvPr id="58" name="모서리가 둥근 직사각형 57"/>
          <xdr:cNvSpPr/>
        </xdr:nvSpPr>
        <xdr:spPr>
          <a:xfrm>
            <a:off x="685800" y="108204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59" name="제목"/>
          <xdr:cNvSpPr txBox="1"/>
        </xdr:nvSpPr>
        <xdr:spPr>
          <a:xfrm>
            <a:off x="790742" y="108652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TOUS LES JOURS - </a:t>
            </a:r>
            <a:r>
              <a:rPr lang="ko-KR" altLang="en-US" sz="1400" b="1">
                <a:latin typeface="+mj-ea"/>
                <a:ea typeface="+mj-ea"/>
              </a:rPr>
              <a:t>실키롤케익</a:t>
            </a:r>
          </a:p>
        </xdr:txBody>
      </xdr:sp>
      <xdr:sp macro="" textlink="">
        <xdr:nvSpPr>
          <xdr:cNvPr id="60" name="거래"/>
          <xdr:cNvSpPr txBox="1"/>
        </xdr:nvSpPr>
        <xdr:spPr>
          <a:xfrm>
            <a:off x="790742" y="115151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61" name="날짜"/>
          <xdr:cNvSpPr txBox="1"/>
        </xdr:nvSpPr>
        <xdr:spPr>
          <a:xfrm>
            <a:off x="790742" y="112234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17, 23:03:00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62" name="금액"/>
          <xdr:cNvSpPr txBox="1"/>
        </xdr:nvSpPr>
        <xdr:spPr>
          <a:xfrm>
            <a:off x="9932283" y="108652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- 11,000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7&quot;'" textlink="">
        <xdr:nvSpPr>
          <xdr:cNvPr id="63" name="보기 7"/>
          <xdr:cNvSpPr txBox="1"/>
        </xdr:nvSpPr>
        <xdr:spPr>
          <a:xfrm>
            <a:off x="11052056" y="114591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407486</xdr:colOff>
      <xdr:row>62</xdr:row>
      <xdr:rowOff>16809</xdr:rowOff>
    </xdr:to>
    <xdr:grpSp>
      <xdr:nvGrpSpPr>
        <xdr:cNvPr id="12296" name="활동 9"/>
        <xdr:cNvGrpSpPr/>
      </xdr:nvGrpSpPr>
      <xdr:grpSpPr>
        <a:xfrm>
          <a:off x="692727" y="11984182"/>
          <a:ext cx="11491123" cy="1055900"/>
          <a:chOff x="685800" y="12077700"/>
          <a:chExt cx="11380286" cy="1064559"/>
        </a:xfrm>
      </xdr:grpSpPr>
      <xdr:sp macro="" textlink="">
        <xdr:nvSpPr>
          <xdr:cNvPr id="65" name="모서리가 둥근 직사각형 64"/>
          <xdr:cNvSpPr/>
        </xdr:nvSpPr>
        <xdr:spPr>
          <a:xfrm>
            <a:off x="685800" y="120777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66" name="제목"/>
          <xdr:cNvSpPr txBox="1"/>
        </xdr:nvSpPr>
        <xdr:spPr>
          <a:xfrm>
            <a:off x="790742" y="121225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GOOBNE - </a:t>
            </a:r>
            <a:r>
              <a:rPr lang="ko-KR" altLang="en-US" sz="1400" b="1">
                <a:latin typeface="+mj-ea"/>
                <a:ea typeface="+mj-ea"/>
              </a:rPr>
              <a:t>갈비천왕</a:t>
            </a:r>
          </a:p>
        </xdr:txBody>
      </xdr:sp>
      <xdr:sp macro="" textlink="">
        <xdr:nvSpPr>
          <xdr:cNvPr id="67" name="거래"/>
          <xdr:cNvSpPr txBox="1"/>
        </xdr:nvSpPr>
        <xdr:spPr>
          <a:xfrm>
            <a:off x="790742" y="127724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68" name="날짜"/>
          <xdr:cNvSpPr txBox="1"/>
        </xdr:nvSpPr>
        <xdr:spPr>
          <a:xfrm>
            <a:off x="790742" y="124807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17, 08:40:00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69" name="금액"/>
          <xdr:cNvSpPr txBox="1"/>
        </xdr:nvSpPr>
        <xdr:spPr>
          <a:xfrm>
            <a:off x="9932283" y="121225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- 31,470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8&quot;'" textlink="">
        <xdr:nvSpPr>
          <xdr:cNvPr id="70" name="보기 8"/>
          <xdr:cNvSpPr txBox="1"/>
        </xdr:nvSpPr>
        <xdr:spPr>
          <a:xfrm>
            <a:off x="11052056" y="127164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63</xdr:row>
      <xdr:rowOff>0</xdr:rowOff>
    </xdr:from>
    <xdr:to>
      <xdr:col>17</xdr:col>
      <xdr:colOff>407486</xdr:colOff>
      <xdr:row>68</xdr:row>
      <xdr:rowOff>16809</xdr:rowOff>
    </xdr:to>
    <xdr:grpSp>
      <xdr:nvGrpSpPr>
        <xdr:cNvPr id="12297" name="활동 10"/>
        <xdr:cNvGrpSpPr/>
      </xdr:nvGrpSpPr>
      <xdr:grpSpPr>
        <a:xfrm>
          <a:off x="692727" y="13231091"/>
          <a:ext cx="11491123" cy="1055900"/>
          <a:chOff x="685800" y="13335000"/>
          <a:chExt cx="11380286" cy="1064559"/>
        </a:xfrm>
      </xdr:grpSpPr>
      <xdr:sp macro="" textlink="">
        <xdr:nvSpPr>
          <xdr:cNvPr id="72" name="모서리가 둥근 직사각형 71"/>
          <xdr:cNvSpPr/>
        </xdr:nvSpPr>
        <xdr:spPr>
          <a:xfrm>
            <a:off x="685800" y="133350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73" name="제목"/>
          <xdr:cNvSpPr txBox="1"/>
        </xdr:nvSpPr>
        <xdr:spPr>
          <a:xfrm>
            <a:off x="790742" y="133798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400" b="1">
                <a:latin typeface="+mj-ea"/>
                <a:ea typeface="+mj-ea"/>
              </a:rPr>
              <a:t>PARIS BAGUETTE - </a:t>
            </a:r>
            <a:r>
              <a:rPr lang="ko-KR" altLang="en-US" sz="1400" b="1">
                <a:latin typeface="+mj-ea"/>
                <a:ea typeface="+mj-ea"/>
              </a:rPr>
              <a:t>초코가 달콤한시간</a:t>
            </a:r>
          </a:p>
        </xdr:txBody>
      </xdr:sp>
      <xdr:sp macro="" textlink="">
        <xdr:nvSpPr>
          <xdr:cNvPr id="74" name="거래"/>
          <xdr:cNvSpPr txBox="1"/>
        </xdr:nvSpPr>
        <xdr:spPr>
          <a:xfrm>
            <a:off x="790742" y="140297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카드결제</a:t>
            </a:r>
          </a:p>
        </xdr:txBody>
      </xdr:sp>
      <xdr:sp macro="" textlink="">
        <xdr:nvSpPr>
          <xdr:cNvPr id="75" name="날짜"/>
          <xdr:cNvSpPr txBox="1"/>
        </xdr:nvSpPr>
        <xdr:spPr>
          <a:xfrm>
            <a:off x="790742" y="137380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17, 07:35:00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76" name="금액"/>
          <xdr:cNvSpPr txBox="1"/>
        </xdr:nvSpPr>
        <xdr:spPr>
          <a:xfrm>
            <a:off x="9932283" y="133798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- 6,442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9&quot;'" textlink="">
        <xdr:nvSpPr>
          <xdr:cNvPr id="77" name="보기 9"/>
          <xdr:cNvSpPr txBox="1"/>
        </xdr:nvSpPr>
        <xdr:spPr>
          <a:xfrm>
            <a:off x="11052056" y="139737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69</xdr:row>
      <xdr:rowOff>0</xdr:rowOff>
    </xdr:from>
    <xdr:to>
      <xdr:col>17</xdr:col>
      <xdr:colOff>407486</xdr:colOff>
      <xdr:row>74</xdr:row>
      <xdr:rowOff>16809</xdr:rowOff>
    </xdr:to>
    <xdr:grpSp>
      <xdr:nvGrpSpPr>
        <xdr:cNvPr id="12298" name="활동 11"/>
        <xdr:cNvGrpSpPr/>
      </xdr:nvGrpSpPr>
      <xdr:grpSpPr>
        <a:xfrm>
          <a:off x="692727" y="14478000"/>
          <a:ext cx="11491123" cy="1055900"/>
          <a:chOff x="685800" y="14592300"/>
          <a:chExt cx="11380286" cy="1064559"/>
        </a:xfrm>
      </xdr:grpSpPr>
      <xdr:sp macro="" textlink="">
        <xdr:nvSpPr>
          <xdr:cNvPr id="79" name="모서리가 둥근 직사각형 78"/>
          <xdr:cNvSpPr/>
        </xdr:nvSpPr>
        <xdr:spPr>
          <a:xfrm>
            <a:off x="685800" y="145923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80" name="제목"/>
          <xdr:cNvSpPr txBox="1"/>
        </xdr:nvSpPr>
        <xdr:spPr>
          <a:xfrm>
            <a:off x="790742" y="146371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전유나에서 입금</a:t>
            </a:r>
          </a:p>
        </xdr:txBody>
      </xdr:sp>
      <xdr:sp macro="" textlink="">
        <xdr:nvSpPr>
          <xdr:cNvPr id="81" name="거래"/>
          <xdr:cNvSpPr txBox="1"/>
        </xdr:nvSpPr>
        <xdr:spPr>
          <a:xfrm>
            <a:off x="790742" y="152870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82" name="날짜"/>
          <xdr:cNvSpPr txBox="1"/>
        </xdr:nvSpPr>
        <xdr:spPr>
          <a:xfrm>
            <a:off x="790742" y="149953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11, 04:06:00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83" name="금액"/>
          <xdr:cNvSpPr txBox="1"/>
        </xdr:nvSpPr>
        <xdr:spPr>
          <a:xfrm>
            <a:off x="9932283" y="146371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+ 494,000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0&quot;'" textlink="">
        <xdr:nvSpPr>
          <xdr:cNvPr id="84" name="보기 10"/>
          <xdr:cNvSpPr txBox="1"/>
        </xdr:nvSpPr>
        <xdr:spPr>
          <a:xfrm>
            <a:off x="11052056" y="152310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75</xdr:row>
      <xdr:rowOff>0</xdr:rowOff>
    </xdr:from>
    <xdr:to>
      <xdr:col>17</xdr:col>
      <xdr:colOff>407486</xdr:colOff>
      <xdr:row>80</xdr:row>
      <xdr:rowOff>16809</xdr:rowOff>
    </xdr:to>
    <xdr:grpSp>
      <xdr:nvGrpSpPr>
        <xdr:cNvPr id="12299" name="활동 12"/>
        <xdr:cNvGrpSpPr/>
      </xdr:nvGrpSpPr>
      <xdr:grpSpPr>
        <a:xfrm>
          <a:off x="692727" y="15724909"/>
          <a:ext cx="11491123" cy="1055900"/>
          <a:chOff x="685800" y="15849600"/>
          <a:chExt cx="11380286" cy="1064559"/>
        </a:xfrm>
      </xdr:grpSpPr>
      <xdr:sp macro="" textlink="">
        <xdr:nvSpPr>
          <xdr:cNvPr id="86" name="모서리가 둥근 직사각형 85"/>
          <xdr:cNvSpPr/>
        </xdr:nvSpPr>
        <xdr:spPr>
          <a:xfrm>
            <a:off x="685800" y="158496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87" name="제목"/>
          <xdr:cNvSpPr txBox="1"/>
        </xdr:nvSpPr>
        <xdr:spPr>
          <a:xfrm>
            <a:off x="790742" y="158944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이석준에게 입금</a:t>
            </a:r>
          </a:p>
        </xdr:txBody>
      </xdr:sp>
      <xdr:sp macro="" textlink="">
        <xdr:nvSpPr>
          <xdr:cNvPr id="88" name="거래"/>
          <xdr:cNvSpPr txBox="1"/>
        </xdr:nvSpPr>
        <xdr:spPr>
          <a:xfrm>
            <a:off x="790742" y="165443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89" name="날짜"/>
          <xdr:cNvSpPr txBox="1"/>
        </xdr:nvSpPr>
        <xdr:spPr>
          <a:xfrm>
            <a:off x="790742" y="162526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11, 03:38:00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90" name="금액"/>
          <xdr:cNvSpPr txBox="1"/>
        </xdr:nvSpPr>
        <xdr:spPr>
          <a:xfrm>
            <a:off x="9932283" y="158944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- 5,000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1&quot;'" textlink="">
        <xdr:nvSpPr>
          <xdr:cNvPr id="91" name="보기 11"/>
          <xdr:cNvSpPr txBox="1"/>
        </xdr:nvSpPr>
        <xdr:spPr>
          <a:xfrm>
            <a:off x="11052056" y="164883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407486</xdr:colOff>
      <xdr:row>86</xdr:row>
      <xdr:rowOff>16809</xdr:rowOff>
    </xdr:to>
    <xdr:grpSp>
      <xdr:nvGrpSpPr>
        <xdr:cNvPr id="12300" name="활동 13"/>
        <xdr:cNvGrpSpPr/>
      </xdr:nvGrpSpPr>
      <xdr:grpSpPr>
        <a:xfrm>
          <a:off x="692727" y="16971818"/>
          <a:ext cx="11491123" cy="1055900"/>
          <a:chOff x="685800" y="17106900"/>
          <a:chExt cx="11380286" cy="1064559"/>
        </a:xfrm>
      </xdr:grpSpPr>
      <xdr:sp macro="" textlink="">
        <xdr:nvSpPr>
          <xdr:cNvPr id="93" name="모서리가 둥근 직사각형 92"/>
          <xdr:cNvSpPr/>
        </xdr:nvSpPr>
        <xdr:spPr>
          <a:xfrm>
            <a:off x="685800" y="171069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94" name="제목"/>
          <xdr:cNvSpPr txBox="1"/>
        </xdr:nvSpPr>
        <xdr:spPr>
          <a:xfrm>
            <a:off x="790742" y="171517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민지우에서 입금</a:t>
            </a:r>
          </a:p>
        </xdr:txBody>
      </xdr:sp>
      <xdr:sp macro="" textlink="">
        <xdr:nvSpPr>
          <xdr:cNvPr id="95" name="거래"/>
          <xdr:cNvSpPr txBox="1"/>
        </xdr:nvSpPr>
        <xdr:spPr>
          <a:xfrm>
            <a:off x="790742" y="178016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96" name="날짜"/>
          <xdr:cNvSpPr txBox="1"/>
        </xdr:nvSpPr>
        <xdr:spPr>
          <a:xfrm>
            <a:off x="790742" y="175099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9, 07:30:00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97" name="금액"/>
          <xdr:cNvSpPr txBox="1"/>
        </xdr:nvSpPr>
        <xdr:spPr>
          <a:xfrm>
            <a:off x="9932283" y="171517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+ 485,000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2&quot;'" textlink="">
        <xdr:nvSpPr>
          <xdr:cNvPr id="98" name="보기 12"/>
          <xdr:cNvSpPr txBox="1"/>
        </xdr:nvSpPr>
        <xdr:spPr>
          <a:xfrm>
            <a:off x="11052056" y="177456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87</xdr:row>
      <xdr:rowOff>0</xdr:rowOff>
    </xdr:from>
    <xdr:to>
      <xdr:col>17</xdr:col>
      <xdr:colOff>407486</xdr:colOff>
      <xdr:row>92</xdr:row>
      <xdr:rowOff>16809</xdr:rowOff>
    </xdr:to>
    <xdr:grpSp>
      <xdr:nvGrpSpPr>
        <xdr:cNvPr id="12301" name="활동 14"/>
        <xdr:cNvGrpSpPr/>
      </xdr:nvGrpSpPr>
      <xdr:grpSpPr>
        <a:xfrm>
          <a:off x="692727" y="18218727"/>
          <a:ext cx="11491123" cy="1055900"/>
          <a:chOff x="685800" y="18364200"/>
          <a:chExt cx="11380286" cy="1064559"/>
        </a:xfrm>
      </xdr:grpSpPr>
      <xdr:sp macro="" textlink="">
        <xdr:nvSpPr>
          <xdr:cNvPr id="100" name="모서리가 둥근 직사각형 99"/>
          <xdr:cNvSpPr/>
        </xdr:nvSpPr>
        <xdr:spPr>
          <a:xfrm>
            <a:off x="685800" y="183642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01" name="제목"/>
          <xdr:cNvSpPr txBox="1"/>
        </xdr:nvSpPr>
        <xdr:spPr>
          <a:xfrm>
            <a:off x="790742" y="184090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강강추에서 입금</a:t>
            </a:r>
          </a:p>
        </xdr:txBody>
      </xdr:sp>
      <xdr:sp macro="" textlink="">
        <xdr:nvSpPr>
          <xdr:cNvPr id="102" name="거래"/>
          <xdr:cNvSpPr txBox="1"/>
        </xdr:nvSpPr>
        <xdr:spPr>
          <a:xfrm>
            <a:off x="790742" y="190589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03" name="날짜"/>
          <xdr:cNvSpPr txBox="1"/>
        </xdr:nvSpPr>
        <xdr:spPr>
          <a:xfrm>
            <a:off x="790742" y="187672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8, 16:20:00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04" name="금액"/>
          <xdr:cNvSpPr txBox="1"/>
        </xdr:nvSpPr>
        <xdr:spPr>
          <a:xfrm>
            <a:off x="9932283" y="184090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+ 85,000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3&quot;'" textlink="">
        <xdr:nvSpPr>
          <xdr:cNvPr id="105" name="보기 13"/>
          <xdr:cNvSpPr txBox="1"/>
        </xdr:nvSpPr>
        <xdr:spPr>
          <a:xfrm>
            <a:off x="11052056" y="190029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93</xdr:row>
      <xdr:rowOff>0</xdr:rowOff>
    </xdr:from>
    <xdr:to>
      <xdr:col>17</xdr:col>
      <xdr:colOff>407486</xdr:colOff>
      <xdr:row>98</xdr:row>
      <xdr:rowOff>16809</xdr:rowOff>
    </xdr:to>
    <xdr:grpSp>
      <xdr:nvGrpSpPr>
        <xdr:cNvPr id="12302" name="활동 15"/>
        <xdr:cNvGrpSpPr/>
      </xdr:nvGrpSpPr>
      <xdr:grpSpPr>
        <a:xfrm>
          <a:off x="692727" y="19465636"/>
          <a:ext cx="11491123" cy="1055900"/>
          <a:chOff x="685800" y="19621500"/>
          <a:chExt cx="11380286" cy="1064559"/>
        </a:xfrm>
      </xdr:grpSpPr>
      <xdr:sp macro="" textlink="">
        <xdr:nvSpPr>
          <xdr:cNvPr id="107" name="모서리가 둥근 직사각형 106"/>
          <xdr:cNvSpPr/>
        </xdr:nvSpPr>
        <xdr:spPr>
          <a:xfrm>
            <a:off x="685800" y="196215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08" name="제목"/>
          <xdr:cNvSpPr txBox="1"/>
        </xdr:nvSpPr>
        <xdr:spPr>
          <a:xfrm>
            <a:off x="790742" y="196663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이도윤에서 입금</a:t>
            </a:r>
          </a:p>
        </xdr:txBody>
      </xdr:sp>
      <xdr:sp macro="" textlink="">
        <xdr:nvSpPr>
          <xdr:cNvPr id="109" name="거래"/>
          <xdr:cNvSpPr txBox="1"/>
        </xdr:nvSpPr>
        <xdr:spPr>
          <a:xfrm>
            <a:off x="790742" y="203162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10" name="날짜"/>
          <xdr:cNvSpPr txBox="1"/>
        </xdr:nvSpPr>
        <xdr:spPr>
          <a:xfrm>
            <a:off x="790742" y="200245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5, 13:07:00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11" name="금액"/>
          <xdr:cNvSpPr txBox="1"/>
        </xdr:nvSpPr>
        <xdr:spPr>
          <a:xfrm>
            <a:off x="9932283" y="196663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+ 76,000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4&quot;'" textlink="">
        <xdr:nvSpPr>
          <xdr:cNvPr id="112" name="보기 14"/>
          <xdr:cNvSpPr txBox="1"/>
        </xdr:nvSpPr>
        <xdr:spPr>
          <a:xfrm>
            <a:off x="11052056" y="202602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99</xdr:row>
      <xdr:rowOff>0</xdr:rowOff>
    </xdr:from>
    <xdr:to>
      <xdr:col>17</xdr:col>
      <xdr:colOff>407486</xdr:colOff>
      <xdr:row>104</xdr:row>
      <xdr:rowOff>16809</xdr:rowOff>
    </xdr:to>
    <xdr:grpSp>
      <xdr:nvGrpSpPr>
        <xdr:cNvPr id="12303" name="활동 16"/>
        <xdr:cNvGrpSpPr/>
      </xdr:nvGrpSpPr>
      <xdr:grpSpPr>
        <a:xfrm>
          <a:off x="692727" y="20712545"/>
          <a:ext cx="11491123" cy="1055900"/>
          <a:chOff x="685800" y="20878800"/>
          <a:chExt cx="11380286" cy="1064559"/>
        </a:xfrm>
      </xdr:grpSpPr>
      <xdr:sp macro="" textlink="">
        <xdr:nvSpPr>
          <xdr:cNvPr id="114" name="모서리가 둥근 직사각형 113"/>
          <xdr:cNvSpPr/>
        </xdr:nvSpPr>
        <xdr:spPr>
          <a:xfrm>
            <a:off x="685800" y="208788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15" name="제목"/>
          <xdr:cNvSpPr txBox="1"/>
        </xdr:nvSpPr>
        <xdr:spPr>
          <a:xfrm>
            <a:off x="790742" y="209236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최예진에게 입금</a:t>
            </a:r>
          </a:p>
        </xdr:txBody>
      </xdr:sp>
      <xdr:sp macro="" textlink="">
        <xdr:nvSpPr>
          <xdr:cNvPr id="116" name="거래"/>
          <xdr:cNvSpPr txBox="1"/>
        </xdr:nvSpPr>
        <xdr:spPr>
          <a:xfrm>
            <a:off x="790742" y="215735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17" name="날짜"/>
          <xdr:cNvSpPr txBox="1"/>
        </xdr:nvSpPr>
        <xdr:spPr>
          <a:xfrm>
            <a:off x="790742" y="212818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Sep, 4, 09:50:00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18" name="금액"/>
          <xdr:cNvSpPr txBox="1"/>
        </xdr:nvSpPr>
        <xdr:spPr>
          <a:xfrm>
            <a:off x="9932283" y="209236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- 81,000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5&quot;'" textlink="">
        <xdr:nvSpPr>
          <xdr:cNvPr id="119" name="보기 15"/>
          <xdr:cNvSpPr txBox="1"/>
        </xdr:nvSpPr>
        <xdr:spPr>
          <a:xfrm>
            <a:off x="11052056" y="215175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105</xdr:row>
      <xdr:rowOff>0</xdr:rowOff>
    </xdr:from>
    <xdr:to>
      <xdr:col>17</xdr:col>
      <xdr:colOff>407486</xdr:colOff>
      <xdr:row>110</xdr:row>
      <xdr:rowOff>16810</xdr:rowOff>
    </xdr:to>
    <xdr:grpSp>
      <xdr:nvGrpSpPr>
        <xdr:cNvPr id="12304" name="활동 17"/>
        <xdr:cNvGrpSpPr/>
      </xdr:nvGrpSpPr>
      <xdr:grpSpPr>
        <a:xfrm>
          <a:off x="692727" y="21959455"/>
          <a:ext cx="11491123" cy="1055900"/>
          <a:chOff x="685800" y="22136100"/>
          <a:chExt cx="11380286" cy="1064560"/>
        </a:xfrm>
      </xdr:grpSpPr>
      <xdr:sp macro="" textlink="">
        <xdr:nvSpPr>
          <xdr:cNvPr id="121" name="모서리가 둥근 직사각형 120"/>
          <xdr:cNvSpPr/>
        </xdr:nvSpPr>
        <xdr:spPr>
          <a:xfrm>
            <a:off x="685800" y="22136100"/>
            <a:ext cx="11380286" cy="1064560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22" name="제목"/>
          <xdr:cNvSpPr txBox="1"/>
        </xdr:nvSpPr>
        <xdr:spPr>
          <a:xfrm>
            <a:off x="790742" y="221809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최예진에게 입금</a:t>
            </a:r>
          </a:p>
        </xdr:txBody>
      </xdr:sp>
      <xdr:sp macro="" textlink="">
        <xdr:nvSpPr>
          <xdr:cNvPr id="123" name="거래"/>
          <xdr:cNvSpPr txBox="1"/>
        </xdr:nvSpPr>
        <xdr:spPr>
          <a:xfrm>
            <a:off x="790742" y="22830867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24" name="날짜"/>
          <xdr:cNvSpPr txBox="1"/>
        </xdr:nvSpPr>
        <xdr:spPr>
          <a:xfrm>
            <a:off x="790742" y="225391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29, 10:13:00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25" name="금액"/>
          <xdr:cNvSpPr txBox="1"/>
        </xdr:nvSpPr>
        <xdr:spPr>
          <a:xfrm>
            <a:off x="9932283" y="221809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- 11,000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6&quot;'" textlink="">
        <xdr:nvSpPr>
          <xdr:cNvPr id="126" name="보기 16"/>
          <xdr:cNvSpPr txBox="1"/>
        </xdr:nvSpPr>
        <xdr:spPr>
          <a:xfrm>
            <a:off x="11052056" y="22774837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111</xdr:row>
      <xdr:rowOff>0</xdr:rowOff>
    </xdr:from>
    <xdr:to>
      <xdr:col>17</xdr:col>
      <xdr:colOff>407486</xdr:colOff>
      <xdr:row>116</xdr:row>
      <xdr:rowOff>16809</xdr:rowOff>
    </xdr:to>
    <xdr:grpSp>
      <xdr:nvGrpSpPr>
        <xdr:cNvPr id="12305" name="활동 18"/>
        <xdr:cNvGrpSpPr/>
      </xdr:nvGrpSpPr>
      <xdr:grpSpPr>
        <a:xfrm>
          <a:off x="692727" y="23206364"/>
          <a:ext cx="11491123" cy="1055900"/>
          <a:chOff x="685800" y="23393400"/>
          <a:chExt cx="11380286" cy="1064559"/>
        </a:xfrm>
      </xdr:grpSpPr>
      <xdr:sp macro="" textlink="">
        <xdr:nvSpPr>
          <xdr:cNvPr id="128" name="모서리가 둥근 직사각형 127"/>
          <xdr:cNvSpPr/>
        </xdr:nvSpPr>
        <xdr:spPr>
          <a:xfrm>
            <a:off x="685800" y="233934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29" name="제목"/>
          <xdr:cNvSpPr txBox="1"/>
        </xdr:nvSpPr>
        <xdr:spPr>
          <a:xfrm>
            <a:off x="790742" y="234382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강강추에서 입금</a:t>
            </a:r>
          </a:p>
        </xdr:txBody>
      </xdr:sp>
      <xdr:sp macro="" textlink="">
        <xdr:nvSpPr>
          <xdr:cNvPr id="130" name="거래"/>
          <xdr:cNvSpPr txBox="1"/>
        </xdr:nvSpPr>
        <xdr:spPr>
          <a:xfrm>
            <a:off x="790742" y="240881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31" name="날짜"/>
          <xdr:cNvSpPr txBox="1"/>
        </xdr:nvSpPr>
        <xdr:spPr>
          <a:xfrm>
            <a:off x="790742" y="237964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28, 12:32:00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32" name="금액"/>
          <xdr:cNvSpPr txBox="1"/>
        </xdr:nvSpPr>
        <xdr:spPr>
          <a:xfrm>
            <a:off x="9932283" y="234382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+ 363,000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7&quot;'" textlink="">
        <xdr:nvSpPr>
          <xdr:cNvPr id="133" name="보기 17"/>
          <xdr:cNvSpPr txBox="1"/>
        </xdr:nvSpPr>
        <xdr:spPr>
          <a:xfrm>
            <a:off x="11052056" y="240321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117</xdr:row>
      <xdr:rowOff>0</xdr:rowOff>
    </xdr:from>
    <xdr:to>
      <xdr:col>17</xdr:col>
      <xdr:colOff>407486</xdr:colOff>
      <xdr:row>122</xdr:row>
      <xdr:rowOff>16809</xdr:rowOff>
    </xdr:to>
    <xdr:grpSp>
      <xdr:nvGrpSpPr>
        <xdr:cNvPr id="12306" name="활동 19"/>
        <xdr:cNvGrpSpPr/>
      </xdr:nvGrpSpPr>
      <xdr:grpSpPr>
        <a:xfrm>
          <a:off x="692727" y="24453273"/>
          <a:ext cx="11491123" cy="1055900"/>
          <a:chOff x="685800" y="24650700"/>
          <a:chExt cx="11380286" cy="1064559"/>
        </a:xfrm>
      </xdr:grpSpPr>
      <xdr:sp macro="" textlink="">
        <xdr:nvSpPr>
          <xdr:cNvPr id="135" name="모서리가 둥근 직사각형 134"/>
          <xdr:cNvSpPr/>
        </xdr:nvSpPr>
        <xdr:spPr>
          <a:xfrm>
            <a:off x="685800" y="246507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36" name="제목"/>
          <xdr:cNvSpPr txBox="1"/>
        </xdr:nvSpPr>
        <xdr:spPr>
          <a:xfrm>
            <a:off x="790742" y="246955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박민지에게 입금</a:t>
            </a:r>
          </a:p>
        </xdr:txBody>
      </xdr:sp>
      <xdr:sp macro="" textlink="">
        <xdr:nvSpPr>
          <xdr:cNvPr id="137" name="거래"/>
          <xdr:cNvSpPr txBox="1"/>
        </xdr:nvSpPr>
        <xdr:spPr>
          <a:xfrm>
            <a:off x="790742" y="253454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38" name="날짜"/>
          <xdr:cNvSpPr txBox="1"/>
        </xdr:nvSpPr>
        <xdr:spPr>
          <a:xfrm>
            <a:off x="790742" y="250537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25, 19:32:00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39" name="금액"/>
          <xdr:cNvSpPr txBox="1"/>
        </xdr:nvSpPr>
        <xdr:spPr>
          <a:xfrm>
            <a:off x="9932283" y="246955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- 16,000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8&quot;'" textlink="">
        <xdr:nvSpPr>
          <xdr:cNvPr id="140" name="보기 18"/>
          <xdr:cNvSpPr txBox="1"/>
        </xdr:nvSpPr>
        <xdr:spPr>
          <a:xfrm>
            <a:off x="11052056" y="252894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123</xdr:row>
      <xdr:rowOff>0</xdr:rowOff>
    </xdr:from>
    <xdr:to>
      <xdr:col>17</xdr:col>
      <xdr:colOff>407486</xdr:colOff>
      <xdr:row>128</xdr:row>
      <xdr:rowOff>16809</xdr:rowOff>
    </xdr:to>
    <xdr:grpSp>
      <xdr:nvGrpSpPr>
        <xdr:cNvPr id="12307" name="활동 20"/>
        <xdr:cNvGrpSpPr/>
      </xdr:nvGrpSpPr>
      <xdr:grpSpPr>
        <a:xfrm>
          <a:off x="692727" y="25700182"/>
          <a:ext cx="11491123" cy="1055900"/>
          <a:chOff x="685800" y="25908000"/>
          <a:chExt cx="11380286" cy="1064559"/>
        </a:xfrm>
      </xdr:grpSpPr>
      <xdr:sp macro="" textlink="">
        <xdr:nvSpPr>
          <xdr:cNvPr id="142" name="모서리가 둥근 직사각형 141"/>
          <xdr:cNvSpPr/>
        </xdr:nvSpPr>
        <xdr:spPr>
          <a:xfrm>
            <a:off x="685800" y="259080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43" name="제목"/>
          <xdr:cNvSpPr txBox="1"/>
        </xdr:nvSpPr>
        <xdr:spPr>
          <a:xfrm>
            <a:off x="790742" y="259528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오민성에서 입금</a:t>
            </a:r>
          </a:p>
        </xdr:txBody>
      </xdr:sp>
      <xdr:sp macro="" textlink="">
        <xdr:nvSpPr>
          <xdr:cNvPr id="144" name="거래"/>
          <xdr:cNvSpPr txBox="1"/>
        </xdr:nvSpPr>
        <xdr:spPr>
          <a:xfrm>
            <a:off x="790742" y="266027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45" name="날짜"/>
          <xdr:cNvSpPr txBox="1"/>
        </xdr:nvSpPr>
        <xdr:spPr>
          <a:xfrm>
            <a:off x="790742" y="263110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25, 05:32:00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46" name="금액"/>
          <xdr:cNvSpPr txBox="1"/>
        </xdr:nvSpPr>
        <xdr:spPr>
          <a:xfrm>
            <a:off x="9932283" y="259528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+ 341,000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19&quot;'" textlink="">
        <xdr:nvSpPr>
          <xdr:cNvPr id="147" name="보기 19"/>
          <xdr:cNvSpPr txBox="1"/>
        </xdr:nvSpPr>
        <xdr:spPr>
          <a:xfrm>
            <a:off x="11052056" y="265467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129</xdr:row>
      <xdr:rowOff>0</xdr:rowOff>
    </xdr:from>
    <xdr:to>
      <xdr:col>17</xdr:col>
      <xdr:colOff>407486</xdr:colOff>
      <xdr:row>134</xdr:row>
      <xdr:rowOff>16809</xdr:rowOff>
    </xdr:to>
    <xdr:grpSp>
      <xdr:nvGrpSpPr>
        <xdr:cNvPr id="12308" name="활동 21"/>
        <xdr:cNvGrpSpPr/>
      </xdr:nvGrpSpPr>
      <xdr:grpSpPr>
        <a:xfrm>
          <a:off x="692727" y="26947091"/>
          <a:ext cx="11491123" cy="1055900"/>
          <a:chOff x="685800" y="27165300"/>
          <a:chExt cx="11380286" cy="1064559"/>
        </a:xfrm>
      </xdr:grpSpPr>
      <xdr:sp macro="" textlink="">
        <xdr:nvSpPr>
          <xdr:cNvPr id="149" name="모서리가 둥근 직사각형 148"/>
          <xdr:cNvSpPr/>
        </xdr:nvSpPr>
        <xdr:spPr>
          <a:xfrm>
            <a:off x="685800" y="271653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50" name="제목"/>
          <xdr:cNvSpPr txBox="1"/>
        </xdr:nvSpPr>
        <xdr:spPr>
          <a:xfrm>
            <a:off x="790742" y="272101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김지호에서 입금</a:t>
            </a:r>
          </a:p>
        </xdr:txBody>
      </xdr:sp>
      <xdr:sp macro="" textlink="">
        <xdr:nvSpPr>
          <xdr:cNvPr id="151" name="거래"/>
          <xdr:cNvSpPr txBox="1"/>
        </xdr:nvSpPr>
        <xdr:spPr>
          <a:xfrm>
            <a:off x="790742" y="278600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52" name="날짜"/>
          <xdr:cNvSpPr txBox="1"/>
        </xdr:nvSpPr>
        <xdr:spPr>
          <a:xfrm>
            <a:off x="790742" y="275683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20, 22:58:00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53" name="금액"/>
          <xdr:cNvSpPr txBox="1"/>
        </xdr:nvSpPr>
        <xdr:spPr>
          <a:xfrm>
            <a:off x="9932283" y="272101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+ 94,000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0&quot;'" textlink="">
        <xdr:nvSpPr>
          <xdr:cNvPr id="154" name="보기 20"/>
          <xdr:cNvSpPr txBox="1"/>
        </xdr:nvSpPr>
        <xdr:spPr>
          <a:xfrm>
            <a:off x="11052056" y="278040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135</xdr:row>
      <xdr:rowOff>0</xdr:rowOff>
    </xdr:from>
    <xdr:to>
      <xdr:col>17</xdr:col>
      <xdr:colOff>407486</xdr:colOff>
      <xdr:row>140</xdr:row>
      <xdr:rowOff>16809</xdr:rowOff>
    </xdr:to>
    <xdr:grpSp>
      <xdr:nvGrpSpPr>
        <xdr:cNvPr id="12309" name="활동 22"/>
        <xdr:cNvGrpSpPr/>
      </xdr:nvGrpSpPr>
      <xdr:grpSpPr>
        <a:xfrm>
          <a:off x="692727" y="28194000"/>
          <a:ext cx="11491123" cy="1055900"/>
          <a:chOff x="685800" y="28422600"/>
          <a:chExt cx="11380286" cy="1064559"/>
        </a:xfrm>
      </xdr:grpSpPr>
      <xdr:sp macro="" textlink="">
        <xdr:nvSpPr>
          <xdr:cNvPr id="156" name="모서리가 둥근 직사각형 155"/>
          <xdr:cNvSpPr/>
        </xdr:nvSpPr>
        <xdr:spPr>
          <a:xfrm>
            <a:off x="685800" y="284226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57" name="제목"/>
          <xdr:cNvSpPr txBox="1"/>
        </xdr:nvSpPr>
        <xdr:spPr>
          <a:xfrm>
            <a:off x="790742" y="284674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문서윤에서 입금</a:t>
            </a:r>
          </a:p>
        </xdr:txBody>
      </xdr:sp>
      <xdr:sp macro="" textlink="">
        <xdr:nvSpPr>
          <xdr:cNvPr id="158" name="거래"/>
          <xdr:cNvSpPr txBox="1"/>
        </xdr:nvSpPr>
        <xdr:spPr>
          <a:xfrm>
            <a:off x="790742" y="291173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59" name="날짜"/>
          <xdr:cNvSpPr txBox="1"/>
        </xdr:nvSpPr>
        <xdr:spPr>
          <a:xfrm>
            <a:off x="790742" y="288256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14, 01:29:00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60" name="금액"/>
          <xdr:cNvSpPr txBox="1"/>
        </xdr:nvSpPr>
        <xdr:spPr>
          <a:xfrm>
            <a:off x="9932283" y="284674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+ 168,000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1&quot;'" textlink="">
        <xdr:nvSpPr>
          <xdr:cNvPr id="161" name="보기 21"/>
          <xdr:cNvSpPr txBox="1"/>
        </xdr:nvSpPr>
        <xdr:spPr>
          <a:xfrm>
            <a:off x="11052056" y="290613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141</xdr:row>
      <xdr:rowOff>0</xdr:rowOff>
    </xdr:from>
    <xdr:to>
      <xdr:col>17</xdr:col>
      <xdr:colOff>407486</xdr:colOff>
      <xdr:row>146</xdr:row>
      <xdr:rowOff>16809</xdr:rowOff>
    </xdr:to>
    <xdr:grpSp>
      <xdr:nvGrpSpPr>
        <xdr:cNvPr id="12310" name="활동 23"/>
        <xdr:cNvGrpSpPr/>
      </xdr:nvGrpSpPr>
      <xdr:grpSpPr>
        <a:xfrm>
          <a:off x="692727" y="29440909"/>
          <a:ext cx="11491123" cy="1055900"/>
          <a:chOff x="685800" y="29679900"/>
          <a:chExt cx="11380286" cy="1064559"/>
        </a:xfrm>
      </xdr:grpSpPr>
      <xdr:sp macro="" textlink="">
        <xdr:nvSpPr>
          <xdr:cNvPr id="163" name="모서리가 둥근 직사각형 162"/>
          <xdr:cNvSpPr/>
        </xdr:nvSpPr>
        <xdr:spPr>
          <a:xfrm>
            <a:off x="685800" y="296799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64" name="제목"/>
          <xdr:cNvSpPr txBox="1"/>
        </xdr:nvSpPr>
        <xdr:spPr>
          <a:xfrm>
            <a:off x="790742" y="297247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강예준에서 입금</a:t>
            </a:r>
          </a:p>
        </xdr:txBody>
      </xdr:sp>
      <xdr:sp macro="" textlink="">
        <xdr:nvSpPr>
          <xdr:cNvPr id="165" name="거래"/>
          <xdr:cNvSpPr txBox="1"/>
        </xdr:nvSpPr>
        <xdr:spPr>
          <a:xfrm>
            <a:off x="790742" y="303746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66" name="날짜"/>
          <xdr:cNvSpPr txBox="1"/>
        </xdr:nvSpPr>
        <xdr:spPr>
          <a:xfrm>
            <a:off x="790742" y="300829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12, 21:54:00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67" name="금액"/>
          <xdr:cNvSpPr txBox="1"/>
        </xdr:nvSpPr>
        <xdr:spPr>
          <a:xfrm>
            <a:off x="9932283" y="297247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+ 114,000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2&quot;'" textlink="">
        <xdr:nvSpPr>
          <xdr:cNvPr id="168" name="보기 22"/>
          <xdr:cNvSpPr txBox="1"/>
        </xdr:nvSpPr>
        <xdr:spPr>
          <a:xfrm>
            <a:off x="11052056" y="303186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147</xdr:row>
      <xdr:rowOff>0</xdr:rowOff>
    </xdr:from>
    <xdr:to>
      <xdr:col>17</xdr:col>
      <xdr:colOff>407486</xdr:colOff>
      <xdr:row>152</xdr:row>
      <xdr:rowOff>16809</xdr:rowOff>
    </xdr:to>
    <xdr:grpSp>
      <xdr:nvGrpSpPr>
        <xdr:cNvPr id="12311" name="활동 24"/>
        <xdr:cNvGrpSpPr/>
      </xdr:nvGrpSpPr>
      <xdr:grpSpPr>
        <a:xfrm>
          <a:off x="692727" y="30687818"/>
          <a:ext cx="11491123" cy="1055900"/>
          <a:chOff x="685800" y="30937200"/>
          <a:chExt cx="11380286" cy="1064559"/>
        </a:xfrm>
      </xdr:grpSpPr>
      <xdr:sp macro="" textlink="">
        <xdr:nvSpPr>
          <xdr:cNvPr id="170" name="모서리가 둥근 직사각형 169"/>
          <xdr:cNvSpPr/>
        </xdr:nvSpPr>
        <xdr:spPr>
          <a:xfrm>
            <a:off x="685800" y="309372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71" name="제목"/>
          <xdr:cNvSpPr txBox="1"/>
        </xdr:nvSpPr>
        <xdr:spPr>
          <a:xfrm>
            <a:off x="790742" y="309820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이석준에서 입금</a:t>
            </a:r>
          </a:p>
        </xdr:txBody>
      </xdr:sp>
      <xdr:sp macro="" textlink="">
        <xdr:nvSpPr>
          <xdr:cNvPr id="172" name="거래"/>
          <xdr:cNvSpPr txBox="1"/>
        </xdr:nvSpPr>
        <xdr:spPr>
          <a:xfrm>
            <a:off x="790742" y="316319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73" name="날짜"/>
          <xdr:cNvSpPr txBox="1"/>
        </xdr:nvSpPr>
        <xdr:spPr>
          <a:xfrm>
            <a:off x="790742" y="313402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11, 13:19:00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74" name="금액"/>
          <xdr:cNvSpPr txBox="1"/>
        </xdr:nvSpPr>
        <xdr:spPr>
          <a:xfrm>
            <a:off x="9932283" y="309820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+ 355,000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3&quot;'" textlink="">
        <xdr:nvSpPr>
          <xdr:cNvPr id="175" name="보기 23"/>
          <xdr:cNvSpPr txBox="1"/>
        </xdr:nvSpPr>
        <xdr:spPr>
          <a:xfrm>
            <a:off x="11052056" y="315759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153</xdr:row>
      <xdr:rowOff>0</xdr:rowOff>
    </xdr:from>
    <xdr:to>
      <xdr:col>17</xdr:col>
      <xdr:colOff>407486</xdr:colOff>
      <xdr:row>158</xdr:row>
      <xdr:rowOff>16809</xdr:rowOff>
    </xdr:to>
    <xdr:grpSp>
      <xdr:nvGrpSpPr>
        <xdr:cNvPr id="12312" name="활동 25"/>
        <xdr:cNvGrpSpPr/>
      </xdr:nvGrpSpPr>
      <xdr:grpSpPr>
        <a:xfrm>
          <a:off x="692727" y="31934727"/>
          <a:ext cx="11491123" cy="1055900"/>
          <a:chOff x="685800" y="32194500"/>
          <a:chExt cx="11380286" cy="1064559"/>
        </a:xfrm>
      </xdr:grpSpPr>
      <xdr:sp macro="" textlink="">
        <xdr:nvSpPr>
          <xdr:cNvPr id="177" name="모서리가 둥근 직사각형 176"/>
          <xdr:cNvSpPr/>
        </xdr:nvSpPr>
        <xdr:spPr>
          <a:xfrm>
            <a:off x="685800" y="321945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78" name="제목"/>
          <xdr:cNvSpPr txBox="1"/>
        </xdr:nvSpPr>
        <xdr:spPr>
          <a:xfrm>
            <a:off x="790742" y="322393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감강추에게 입금</a:t>
            </a:r>
          </a:p>
        </xdr:txBody>
      </xdr:sp>
      <xdr:sp macro="" textlink="">
        <xdr:nvSpPr>
          <xdr:cNvPr id="179" name="거래"/>
          <xdr:cNvSpPr txBox="1"/>
        </xdr:nvSpPr>
        <xdr:spPr>
          <a:xfrm>
            <a:off x="790742" y="328892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80" name="날짜"/>
          <xdr:cNvSpPr txBox="1"/>
        </xdr:nvSpPr>
        <xdr:spPr>
          <a:xfrm>
            <a:off x="790742" y="325975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10, 15:13:00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81" name="금액"/>
          <xdr:cNvSpPr txBox="1"/>
        </xdr:nvSpPr>
        <xdr:spPr>
          <a:xfrm>
            <a:off x="9932283" y="322393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- 292,000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4&quot;'" textlink="">
        <xdr:nvSpPr>
          <xdr:cNvPr id="182" name="보기 24"/>
          <xdr:cNvSpPr txBox="1"/>
        </xdr:nvSpPr>
        <xdr:spPr>
          <a:xfrm>
            <a:off x="11052056" y="328332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159</xdr:row>
      <xdr:rowOff>0</xdr:rowOff>
    </xdr:from>
    <xdr:to>
      <xdr:col>17</xdr:col>
      <xdr:colOff>407486</xdr:colOff>
      <xdr:row>164</xdr:row>
      <xdr:rowOff>16809</xdr:rowOff>
    </xdr:to>
    <xdr:grpSp>
      <xdr:nvGrpSpPr>
        <xdr:cNvPr id="12313" name="활동 26"/>
        <xdr:cNvGrpSpPr/>
      </xdr:nvGrpSpPr>
      <xdr:grpSpPr>
        <a:xfrm>
          <a:off x="692727" y="33181636"/>
          <a:ext cx="11491123" cy="1055900"/>
          <a:chOff x="685800" y="33451800"/>
          <a:chExt cx="11380286" cy="1064559"/>
        </a:xfrm>
      </xdr:grpSpPr>
      <xdr:sp macro="" textlink="">
        <xdr:nvSpPr>
          <xdr:cNvPr id="184" name="모서리가 둥근 직사각형 183"/>
          <xdr:cNvSpPr/>
        </xdr:nvSpPr>
        <xdr:spPr>
          <a:xfrm>
            <a:off x="685800" y="334518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85" name="제목"/>
          <xdr:cNvSpPr txBox="1"/>
        </xdr:nvSpPr>
        <xdr:spPr>
          <a:xfrm>
            <a:off x="790742" y="334966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감강추에서 입금</a:t>
            </a:r>
          </a:p>
        </xdr:txBody>
      </xdr:sp>
      <xdr:sp macro="" textlink="">
        <xdr:nvSpPr>
          <xdr:cNvPr id="186" name="거래"/>
          <xdr:cNvSpPr txBox="1"/>
        </xdr:nvSpPr>
        <xdr:spPr>
          <a:xfrm>
            <a:off x="790742" y="341465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87" name="날짜"/>
          <xdr:cNvSpPr txBox="1"/>
        </xdr:nvSpPr>
        <xdr:spPr>
          <a:xfrm>
            <a:off x="790742" y="338548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6, 01:54:00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88" name="금액"/>
          <xdr:cNvSpPr txBox="1"/>
        </xdr:nvSpPr>
        <xdr:spPr>
          <a:xfrm>
            <a:off x="9932283" y="334966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+ 458,000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5&quot;'" textlink="">
        <xdr:nvSpPr>
          <xdr:cNvPr id="189" name="보기 25"/>
          <xdr:cNvSpPr txBox="1"/>
        </xdr:nvSpPr>
        <xdr:spPr>
          <a:xfrm>
            <a:off x="11052056" y="340905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165</xdr:row>
      <xdr:rowOff>0</xdr:rowOff>
    </xdr:from>
    <xdr:to>
      <xdr:col>17</xdr:col>
      <xdr:colOff>407486</xdr:colOff>
      <xdr:row>170</xdr:row>
      <xdr:rowOff>16809</xdr:rowOff>
    </xdr:to>
    <xdr:grpSp>
      <xdr:nvGrpSpPr>
        <xdr:cNvPr id="12314" name="활동 27"/>
        <xdr:cNvGrpSpPr/>
      </xdr:nvGrpSpPr>
      <xdr:grpSpPr>
        <a:xfrm>
          <a:off x="692727" y="34428545"/>
          <a:ext cx="11491123" cy="1055900"/>
          <a:chOff x="685800" y="34709100"/>
          <a:chExt cx="11380286" cy="1064559"/>
        </a:xfrm>
      </xdr:grpSpPr>
      <xdr:sp macro="" textlink="">
        <xdr:nvSpPr>
          <xdr:cNvPr id="191" name="모서리가 둥근 직사각형 190"/>
          <xdr:cNvSpPr/>
        </xdr:nvSpPr>
        <xdr:spPr>
          <a:xfrm>
            <a:off x="685800" y="34709100"/>
            <a:ext cx="11380286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92" name="제목"/>
          <xdr:cNvSpPr txBox="1"/>
        </xdr:nvSpPr>
        <xdr:spPr>
          <a:xfrm>
            <a:off x="790742" y="347539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박준이에서 입금</a:t>
            </a:r>
          </a:p>
        </xdr:txBody>
      </xdr:sp>
      <xdr:sp macro="" textlink="">
        <xdr:nvSpPr>
          <xdr:cNvPr id="193" name="거래"/>
          <xdr:cNvSpPr txBox="1"/>
        </xdr:nvSpPr>
        <xdr:spPr>
          <a:xfrm>
            <a:off x="790742" y="35403866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194" name="날짜"/>
          <xdr:cNvSpPr txBox="1"/>
        </xdr:nvSpPr>
        <xdr:spPr>
          <a:xfrm>
            <a:off x="790742" y="351121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4, 20:26:00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195" name="금액"/>
          <xdr:cNvSpPr txBox="1"/>
        </xdr:nvSpPr>
        <xdr:spPr>
          <a:xfrm>
            <a:off x="9932283" y="347539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+ 300,000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6&quot;'" textlink="">
        <xdr:nvSpPr>
          <xdr:cNvPr id="196" name="보기 26"/>
          <xdr:cNvSpPr txBox="1"/>
        </xdr:nvSpPr>
        <xdr:spPr>
          <a:xfrm>
            <a:off x="11052056" y="35347836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171</xdr:row>
      <xdr:rowOff>0</xdr:rowOff>
    </xdr:from>
    <xdr:to>
      <xdr:col>17</xdr:col>
      <xdr:colOff>407486</xdr:colOff>
      <xdr:row>176</xdr:row>
      <xdr:rowOff>16810</xdr:rowOff>
    </xdr:to>
    <xdr:grpSp>
      <xdr:nvGrpSpPr>
        <xdr:cNvPr id="12315" name="활동 28"/>
        <xdr:cNvGrpSpPr/>
      </xdr:nvGrpSpPr>
      <xdr:grpSpPr>
        <a:xfrm>
          <a:off x="692727" y="35675455"/>
          <a:ext cx="11491123" cy="1055900"/>
          <a:chOff x="685800" y="35966400"/>
          <a:chExt cx="11380286" cy="1064560"/>
        </a:xfrm>
      </xdr:grpSpPr>
      <xdr:sp macro="" textlink="">
        <xdr:nvSpPr>
          <xdr:cNvPr id="198" name="모서리가 둥근 직사각형 197"/>
          <xdr:cNvSpPr/>
        </xdr:nvSpPr>
        <xdr:spPr>
          <a:xfrm>
            <a:off x="685800" y="35966400"/>
            <a:ext cx="11380286" cy="1064560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199" name="제목"/>
          <xdr:cNvSpPr txBox="1"/>
        </xdr:nvSpPr>
        <xdr:spPr>
          <a:xfrm>
            <a:off x="790742" y="36011224"/>
            <a:ext cx="8430274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감강추에게 입금</a:t>
            </a:r>
          </a:p>
        </xdr:txBody>
      </xdr:sp>
      <xdr:sp macro="" textlink="">
        <xdr:nvSpPr>
          <xdr:cNvPr id="200" name="거래"/>
          <xdr:cNvSpPr txBox="1"/>
        </xdr:nvSpPr>
        <xdr:spPr>
          <a:xfrm>
            <a:off x="790742" y="36661167"/>
            <a:ext cx="3749071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201" name="날짜"/>
          <xdr:cNvSpPr txBox="1"/>
        </xdr:nvSpPr>
        <xdr:spPr>
          <a:xfrm>
            <a:off x="790742" y="36369474"/>
            <a:ext cx="61195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Aug, 1, 20:16:21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202" name="금액"/>
          <xdr:cNvSpPr txBox="1"/>
        </xdr:nvSpPr>
        <xdr:spPr>
          <a:xfrm>
            <a:off x="9932283" y="36011224"/>
            <a:ext cx="2008742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- 995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'info &quot;27&quot;'" textlink="">
        <xdr:nvSpPr>
          <xdr:cNvPr id="203" name="보기 27"/>
          <xdr:cNvSpPr txBox="1"/>
        </xdr:nvSpPr>
        <xdr:spPr>
          <a:xfrm>
            <a:off x="11052056" y="36605137"/>
            <a:ext cx="888969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19</xdr:col>
      <xdr:colOff>665657</xdr:colOff>
      <xdr:row>15</xdr:row>
      <xdr:rowOff>123824</xdr:rowOff>
    </xdr:to>
    <xdr:grpSp>
      <xdr:nvGrpSpPr>
        <xdr:cNvPr id="2" name="카드 1"/>
        <xdr:cNvGrpSpPr/>
      </xdr:nvGrpSpPr>
      <xdr:grpSpPr>
        <a:xfrm>
          <a:off x="692727" y="415636"/>
          <a:ext cx="13585021" cy="2825461"/>
          <a:chOff x="694766" y="750793"/>
          <a:chExt cx="13010057" cy="2847974"/>
        </a:xfrm>
      </xdr:grpSpPr>
      <xdr:sp macro="" textlink="">
        <xdr:nvSpPr>
          <xdr:cNvPr id="3" name="직사각형 2"/>
          <xdr:cNvSpPr/>
        </xdr:nvSpPr>
        <xdr:spPr>
          <a:xfrm>
            <a:off x="4464412" y="2246587"/>
            <a:ext cx="2007836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할부 이자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4" name="직사각형 3"/>
          <xdr:cNvSpPr/>
        </xdr:nvSpPr>
        <xdr:spPr>
          <a:xfrm>
            <a:off x="6472249" y="2246587"/>
            <a:ext cx="2002367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혜택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5" name="직사각형 4"/>
          <xdr:cNvSpPr/>
        </xdr:nvSpPr>
        <xdr:spPr>
          <a:xfrm>
            <a:off x="8467096" y="2246587"/>
            <a:ext cx="2002364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연회비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6" name="직사각형 5"/>
          <xdr:cNvSpPr/>
        </xdr:nvSpPr>
        <xdr:spPr>
          <a:xfrm>
            <a:off x="10473071" y="2246586"/>
            <a:ext cx="3231752" cy="521864"/>
          </a:xfrm>
          <a:prstGeom prst="rect">
            <a:avLst/>
          </a:prstGeom>
          <a:solidFill>
            <a:srgbClr val="1B0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해외 결제</a:t>
            </a:r>
            <a:r>
              <a:rPr lang="en-US" altLang="ko-KR" sz="1100" b="1"/>
              <a:t>:</a:t>
            </a:r>
            <a:endParaRPr lang="ko-KR" altLang="en-US" sz="1100" b="1"/>
          </a:p>
        </xdr:txBody>
      </xdr:sp>
      <xdr:sp macro="" textlink="">
        <xdr:nvSpPr>
          <xdr:cNvPr id="7" name="비교"/>
          <xdr:cNvSpPr txBox="1"/>
        </xdr:nvSpPr>
        <xdr:spPr>
          <a:xfrm>
            <a:off x="939440" y="2954343"/>
            <a:ext cx="1010333" cy="4662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1600" b="1" u="sng">
                <a:solidFill>
                  <a:schemeClr val="accent5"/>
                </a:solidFill>
              </a:rPr>
              <a:t>카드비교</a:t>
            </a:r>
          </a:p>
        </xdr:txBody>
      </xdr:sp>
      <xdr:sp macro="" textlink="">
        <xdr:nvSpPr>
          <xdr:cNvPr id="8" name="신청"/>
          <xdr:cNvSpPr/>
        </xdr:nvSpPr>
        <xdr:spPr>
          <a:xfrm>
            <a:off x="2399891" y="2993036"/>
            <a:ext cx="1635768" cy="364354"/>
          </a:xfrm>
          <a:prstGeom prst="round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/>
              <a:t>신청하기</a:t>
            </a:r>
          </a:p>
        </xdr:txBody>
      </xdr:sp>
      <xdr:sp macro="" textlink="">
        <xdr:nvSpPr>
          <xdr:cNvPr id="9" name="카드이미지"/>
          <xdr:cNvSpPr/>
        </xdr:nvSpPr>
        <xdr:spPr>
          <a:xfrm>
            <a:off x="694766" y="750793"/>
            <a:ext cx="3529853" cy="2106706"/>
          </a:xfrm>
          <a:prstGeom prst="roundRect">
            <a:avLst>
              <a:gd name="adj" fmla="val 5497"/>
            </a:avLst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" name="설명"/>
          <xdr:cNvSpPr/>
        </xdr:nvSpPr>
        <xdr:spPr>
          <a:xfrm>
            <a:off x="4385969" y="1596646"/>
            <a:ext cx="9285207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800" b="0">
                <a:solidFill>
                  <a:schemeClr val="tx1"/>
                </a:solidFill>
              </a:rPr>
              <a:t>모든 구매에 대해서 </a:t>
            </a:r>
            <a:r>
              <a:rPr lang="en-US" altLang="ko-KR" sz="1800" b="0">
                <a:solidFill>
                  <a:schemeClr val="tx1"/>
                </a:solidFill>
              </a:rPr>
              <a:t>3% </a:t>
            </a:r>
            <a:r>
              <a:rPr lang="ko-KR" altLang="en-US" sz="1800" b="0">
                <a:solidFill>
                  <a:schemeClr val="tx1"/>
                </a:solidFill>
              </a:rPr>
              <a:t>캐시백 및 </a:t>
            </a:r>
            <a:r>
              <a:rPr lang="en-US" altLang="ko-KR" sz="1800" b="0">
                <a:solidFill>
                  <a:schemeClr val="tx1"/>
                </a:solidFill>
              </a:rPr>
              <a:t>1% </a:t>
            </a:r>
            <a:r>
              <a:rPr lang="ko-KR" altLang="en-US" sz="1800" b="0">
                <a:solidFill>
                  <a:schemeClr val="tx1"/>
                </a:solidFill>
              </a:rPr>
              <a:t>포인트 적립</a:t>
            </a:r>
          </a:p>
        </xdr:txBody>
      </xdr:sp>
      <xdr:sp macro="" textlink="">
        <xdr:nvSpPr>
          <xdr:cNvPr id="11" name="제목"/>
          <xdr:cNvSpPr/>
        </xdr:nvSpPr>
        <xdr:spPr>
          <a:xfrm>
            <a:off x="4385969" y="834646"/>
            <a:ext cx="9285207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3000" b="1">
                <a:solidFill>
                  <a:schemeClr val="tx1"/>
                </a:solidFill>
              </a:rPr>
              <a:t>Chase Freedom Unlimited™</a:t>
            </a:r>
            <a:endParaRPr lang="ko-KR" altLang="en-US" sz="30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이자"/>
          <xdr:cNvSpPr/>
        </xdr:nvSpPr>
        <xdr:spPr>
          <a:xfrm>
            <a:off x="4459941" y="2907735"/>
            <a:ext cx="1972234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0">
                <a:solidFill>
                  <a:schemeClr val="tx1"/>
                </a:solidFill>
                <a:latin typeface="+mj-ea"/>
                <a:ea typeface="+mj-ea"/>
              </a:rPr>
              <a:t>3.90%</a:t>
            </a:r>
            <a:endParaRPr lang="ko-KR" altLang="en-US" sz="1600" b="0"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13" name="혜택"/>
          <xdr:cNvSpPr/>
        </xdr:nvSpPr>
        <xdr:spPr>
          <a:xfrm>
            <a:off x="6432177" y="2860108"/>
            <a:ext cx="1972234" cy="7386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할인</a:t>
            </a:r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/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적립</a:t>
            </a:r>
          </a:p>
        </xdr:txBody>
      </xdr:sp>
      <xdr:sp macro="" textlink="">
        <xdr:nvSpPr>
          <xdr:cNvPr id="14" name="연회비"/>
          <xdr:cNvSpPr/>
        </xdr:nvSpPr>
        <xdr:spPr>
          <a:xfrm>
            <a:off x="8404412" y="2907733"/>
            <a:ext cx="2084294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0</a:t>
            </a:r>
            <a:r>
              <a:rPr lang="ko-KR" altLang="en-US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원</a:t>
            </a:r>
          </a:p>
        </xdr:txBody>
      </xdr:sp>
      <xdr:sp macro="" textlink="">
        <xdr:nvSpPr>
          <xdr:cNvPr id="15" name="해외"/>
          <xdr:cNvSpPr/>
        </xdr:nvSpPr>
        <xdr:spPr>
          <a:xfrm>
            <a:off x="10488706" y="2907733"/>
            <a:ext cx="3204882" cy="5218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altLang="ko-KR" sz="1400" b="0">
                <a:solidFill>
                  <a:schemeClr val="tx1"/>
                </a:solidFill>
                <a:latin typeface="+mj-ea"/>
                <a:ea typeface="+mj-ea"/>
                <a:cs typeface="+mn-cs"/>
              </a:rPr>
              <a:t>VISA, MASTERCARD, UNION</a:t>
            </a:r>
            <a:endParaRPr lang="ko-KR" altLang="en-US" sz="1400" b="0">
              <a:solidFill>
                <a:schemeClr val="tx1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1</xdr:col>
      <xdr:colOff>0</xdr:colOff>
      <xdr:row>16</xdr:row>
      <xdr:rowOff>0</xdr:rowOff>
    </xdr:from>
    <xdr:to>
      <xdr:col>16</xdr:col>
      <xdr:colOff>649941</xdr:colOff>
      <xdr:row>21</xdr:row>
      <xdr:rowOff>16809</xdr:rowOff>
    </xdr:to>
    <xdr:grpSp>
      <xdr:nvGrpSpPr>
        <xdr:cNvPr id="18" name="활동 1"/>
        <xdr:cNvGrpSpPr/>
      </xdr:nvGrpSpPr>
      <xdr:grpSpPr>
        <a:xfrm>
          <a:off x="692727" y="3325091"/>
          <a:ext cx="11491123" cy="1055900"/>
          <a:chOff x="683558" y="2061882"/>
          <a:chExt cx="10936941" cy="1064559"/>
        </a:xfrm>
      </xdr:grpSpPr>
      <xdr:sp macro="" textlink="">
        <xdr:nvSpPr>
          <xdr:cNvPr id="19" name="모서리가 둥근 직사각형 18"/>
          <xdr:cNvSpPr/>
        </xdr:nvSpPr>
        <xdr:spPr>
          <a:xfrm>
            <a:off x="683558" y="2061882"/>
            <a:ext cx="10936941" cy="1064559"/>
          </a:xfrm>
          <a:prstGeom prst="roundRect">
            <a:avLst>
              <a:gd name="adj" fmla="val 12097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atin typeface="+mj-ea"/>
              <a:ea typeface="+mj-ea"/>
            </a:endParaRPr>
          </a:p>
        </xdr:txBody>
      </xdr:sp>
      <xdr:sp macro="" textlink="">
        <xdr:nvSpPr>
          <xdr:cNvPr id="20" name="제목"/>
          <xdr:cNvSpPr txBox="1"/>
        </xdr:nvSpPr>
        <xdr:spPr>
          <a:xfrm>
            <a:off x="784412" y="2106706"/>
            <a:ext cx="8101853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김강추에게서 입금</a:t>
            </a:r>
          </a:p>
        </xdr:txBody>
      </xdr:sp>
      <xdr:sp macro="" textlink="">
        <xdr:nvSpPr>
          <xdr:cNvPr id="21" name="거래"/>
          <xdr:cNvSpPr txBox="1"/>
        </xdr:nvSpPr>
        <xdr:spPr>
          <a:xfrm>
            <a:off x="784412" y="2756648"/>
            <a:ext cx="360301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22" name="날짜"/>
          <xdr:cNvSpPr txBox="1"/>
        </xdr:nvSpPr>
        <xdr:spPr>
          <a:xfrm>
            <a:off x="784412" y="2464956"/>
            <a:ext cx="58811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04 21:05:05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23" name="금액"/>
          <xdr:cNvSpPr txBox="1"/>
        </xdr:nvSpPr>
        <xdr:spPr>
          <a:xfrm>
            <a:off x="9569823" y="2106706"/>
            <a:ext cx="1930487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+ 150,000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sp macro="" textlink="">
        <xdr:nvSpPr>
          <xdr:cNvPr id="24" name="상세보기"/>
          <xdr:cNvSpPr txBox="1"/>
        </xdr:nvSpPr>
        <xdr:spPr>
          <a:xfrm>
            <a:off x="10645973" y="2700618"/>
            <a:ext cx="854337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상세 보기</a:t>
            </a:r>
          </a:p>
        </xdr:txBody>
      </xdr:sp>
    </xdr:grpSp>
    <xdr:clientData/>
  </xdr:twoCellAnchor>
  <xdr:twoCellAnchor>
    <xdr:from>
      <xdr:col>1</xdr:col>
      <xdr:colOff>0</xdr:colOff>
      <xdr:row>23</xdr:row>
      <xdr:rowOff>989</xdr:rowOff>
    </xdr:from>
    <xdr:to>
      <xdr:col>14</xdr:col>
      <xdr:colOff>609599</xdr:colOff>
      <xdr:row>61</xdr:row>
      <xdr:rowOff>0</xdr:rowOff>
    </xdr:to>
    <xdr:grpSp>
      <xdr:nvGrpSpPr>
        <xdr:cNvPr id="25" name="영수증"/>
        <xdr:cNvGrpSpPr/>
      </xdr:nvGrpSpPr>
      <xdr:grpSpPr>
        <a:xfrm>
          <a:off x="692727" y="4780807"/>
          <a:ext cx="10065327" cy="7896102"/>
          <a:chOff x="683558" y="2000249"/>
          <a:chExt cx="9524999" cy="7960179"/>
        </a:xfrm>
      </xdr:grpSpPr>
      <xdr:sp macro="" textlink="">
        <xdr:nvSpPr>
          <xdr:cNvPr id="26" name="모서리가 둥근 직사각형 25"/>
          <xdr:cNvSpPr/>
        </xdr:nvSpPr>
        <xdr:spPr>
          <a:xfrm>
            <a:off x="683558" y="2000249"/>
            <a:ext cx="9524999" cy="7960179"/>
          </a:xfrm>
          <a:prstGeom prst="roundRect">
            <a:avLst>
              <a:gd name="adj" fmla="val 2543"/>
            </a:avLst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" name="제목"/>
          <xdr:cNvSpPr txBox="1"/>
        </xdr:nvSpPr>
        <xdr:spPr>
          <a:xfrm>
            <a:off x="802822" y="2081894"/>
            <a:ext cx="8101853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김강추에게서 입금</a:t>
            </a:r>
          </a:p>
        </xdr:txBody>
      </xdr:sp>
      <xdr:sp macro="" textlink="">
        <xdr:nvSpPr>
          <xdr:cNvPr id="28" name="거래"/>
          <xdr:cNvSpPr txBox="1"/>
        </xdr:nvSpPr>
        <xdr:spPr>
          <a:xfrm>
            <a:off x="802822" y="2731836"/>
            <a:ext cx="360301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100" b="0">
                <a:latin typeface="+mj-ea"/>
                <a:ea typeface="+mj-ea"/>
              </a:rPr>
              <a:t>계좌거래</a:t>
            </a:r>
          </a:p>
        </xdr:txBody>
      </xdr:sp>
      <xdr:sp macro="" textlink="">
        <xdr:nvSpPr>
          <xdr:cNvPr id="29" name="날짜"/>
          <xdr:cNvSpPr txBox="1"/>
        </xdr:nvSpPr>
        <xdr:spPr>
          <a:xfrm>
            <a:off x="802822" y="2440144"/>
            <a:ext cx="5881127" cy="336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0">
                <a:latin typeface="+mj-ea"/>
                <a:ea typeface="+mj-ea"/>
              </a:rPr>
              <a:t>Oct, 04 21:05:05</a:t>
            </a:r>
            <a:endParaRPr lang="ko-KR" altLang="en-US" sz="1100" b="0">
              <a:latin typeface="+mj-ea"/>
              <a:ea typeface="+mj-ea"/>
            </a:endParaRPr>
          </a:p>
        </xdr:txBody>
      </xdr:sp>
      <xdr:sp macro="" textlink="">
        <xdr:nvSpPr>
          <xdr:cNvPr id="30" name="금액"/>
          <xdr:cNvSpPr txBox="1"/>
        </xdr:nvSpPr>
        <xdr:spPr>
          <a:xfrm>
            <a:off x="8105053" y="2081894"/>
            <a:ext cx="1930487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US" altLang="ko-KR" sz="1400" b="1">
                <a:latin typeface="+mj-ea"/>
                <a:ea typeface="+mj-ea"/>
              </a:rPr>
              <a:t>+ 150,000</a:t>
            </a:r>
            <a:r>
              <a:rPr lang="ko-KR" altLang="en-US" sz="1400" b="1">
                <a:latin typeface="+mj-ea"/>
                <a:ea typeface="+mj-ea"/>
              </a:rPr>
              <a:t>원</a:t>
            </a:r>
          </a:p>
        </xdr:txBody>
      </xdr:sp>
      <xdr:cxnSp macro="">
        <xdr:nvCxnSpPr>
          <xdr:cNvPr id="31" name="직선 연결선 30"/>
          <xdr:cNvCxnSpPr/>
        </xdr:nvCxnSpPr>
        <xdr:spPr>
          <a:xfrm>
            <a:off x="898071" y="3190875"/>
            <a:ext cx="9035143" cy="0"/>
          </a:xfrm>
          <a:prstGeom prst="line">
            <a:avLst/>
          </a:prstGeom>
          <a:ln w="28575">
            <a:solidFill>
              <a:schemeClr val="accent5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제목"/>
          <xdr:cNvSpPr txBox="1"/>
        </xdr:nvSpPr>
        <xdr:spPr>
          <a:xfrm>
            <a:off x="843642" y="3415394"/>
            <a:ext cx="3238501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결제 정보</a:t>
            </a:r>
          </a:p>
        </xdr:txBody>
      </xdr:sp>
      <xdr:sp macro="" textlink="">
        <xdr:nvSpPr>
          <xdr:cNvPr id="33" name="제목"/>
          <xdr:cNvSpPr txBox="1"/>
        </xdr:nvSpPr>
        <xdr:spPr>
          <a:xfrm>
            <a:off x="5442857" y="3415394"/>
            <a:ext cx="3238501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상세 정보</a:t>
            </a:r>
          </a:p>
        </xdr:txBody>
      </xdr:sp>
      <xdr:sp macro="" textlink="">
        <xdr:nvSpPr>
          <xdr:cNvPr id="34" name="결제정보"/>
          <xdr:cNvSpPr txBox="1"/>
        </xdr:nvSpPr>
        <xdr:spPr>
          <a:xfrm>
            <a:off x="843642" y="3842626"/>
            <a:ext cx="4599215" cy="13689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200" b="0">
                <a:latin typeface="+mj-ea"/>
                <a:ea typeface="+mj-ea"/>
              </a:rPr>
              <a:t>Chase Total Checking Account</a:t>
            </a:r>
          </a:p>
          <a:p>
            <a:r>
              <a:rPr lang="ko-KR" altLang="en-US" sz="1200" b="0">
                <a:latin typeface="+mj-ea"/>
                <a:ea typeface="+mj-ea"/>
              </a:rPr>
              <a:t>거래 명세서에 </a:t>
            </a:r>
            <a:r>
              <a:rPr lang="en-US" altLang="ko-KR" sz="1200" b="0">
                <a:latin typeface="+mj-ea"/>
                <a:ea typeface="+mj-ea"/>
              </a:rPr>
              <a:t>"Chase"Tous Les Jours -</a:t>
            </a:r>
            <a:r>
              <a:rPr lang="en-US" altLang="ko-KR" sz="1200" b="0" baseline="0">
                <a:latin typeface="+mj-ea"/>
                <a:ea typeface="+mj-ea"/>
              </a:rPr>
              <a:t> </a:t>
            </a:r>
            <a:r>
              <a:rPr lang="ko-KR" altLang="en-US" sz="1200" b="0" baseline="0">
                <a:latin typeface="+mj-ea"/>
                <a:ea typeface="+mj-ea"/>
              </a:rPr>
              <a:t>실키롤케익 </a:t>
            </a:r>
            <a:r>
              <a:rPr lang="en-US" altLang="ko-KR" sz="1200" b="0" baseline="0">
                <a:latin typeface="+mj-ea"/>
                <a:ea typeface="+mj-ea"/>
              </a:rPr>
              <a:t>(</a:t>
            </a:r>
            <a:r>
              <a:rPr lang="ko-KR" altLang="en-US" sz="1200" b="0" baseline="0">
                <a:latin typeface="+mj-ea"/>
                <a:ea typeface="+mj-ea"/>
              </a:rPr>
              <a:t>으</a:t>
            </a:r>
            <a:r>
              <a:rPr lang="en-US" altLang="ko-KR" sz="1200" b="0" baseline="0">
                <a:latin typeface="+mj-ea"/>
                <a:ea typeface="+mj-ea"/>
              </a:rPr>
              <a:t>)</a:t>
            </a:r>
            <a:r>
              <a:rPr lang="ko-KR" altLang="en-US" sz="1200" b="0" baseline="0">
                <a:latin typeface="+mj-ea"/>
                <a:ea typeface="+mj-ea"/>
              </a:rPr>
              <a:t>로</a:t>
            </a:r>
            <a:endParaRPr lang="en-US" altLang="ko-KR" sz="1200" b="0" baseline="0">
              <a:latin typeface="+mj-ea"/>
              <a:ea typeface="+mj-ea"/>
            </a:endParaRPr>
          </a:p>
          <a:p>
            <a:r>
              <a:rPr lang="ko-KR" altLang="en-US" sz="1200" b="0" baseline="0">
                <a:latin typeface="+mj-ea"/>
                <a:ea typeface="+mj-ea"/>
              </a:rPr>
              <a:t>표시됩니다</a:t>
            </a:r>
            <a:r>
              <a:rPr lang="en-US" altLang="ko-KR" sz="1200" b="0" baseline="0">
                <a:latin typeface="+mj-ea"/>
                <a:ea typeface="+mj-ea"/>
              </a:rPr>
              <a:t>.</a:t>
            </a:r>
            <a:endParaRPr lang="ko-KR" altLang="en-US" sz="1200" b="0">
              <a:latin typeface="+mj-ea"/>
              <a:ea typeface="+mj-ea"/>
            </a:endParaRPr>
          </a:p>
        </xdr:txBody>
      </xdr:sp>
      <xdr:sp macro="" textlink="">
        <xdr:nvSpPr>
          <xdr:cNvPr id="35" name="상세정보"/>
          <xdr:cNvSpPr txBox="1"/>
        </xdr:nvSpPr>
        <xdr:spPr>
          <a:xfrm>
            <a:off x="5442857" y="3842626"/>
            <a:ext cx="3565072" cy="13689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200" b="0">
                <a:latin typeface="+mj-ea"/>
                <a:ea typeface="+mj-ea"/>
              </a:rPr>
              <a:t>Tous Les JOURS - </a:t>
            </a:r>
            <a:r>
              <a:rPr lang="ko-KR" altLang="en-US" sz="1200" b="0">
                <a:latin typeface="+mj-ea"/>
                <a:ea typeface="+mj-ea"/>
              </a:rPr>
              <a:t>실키롤케익</a:t>
            </a:r>
            <a:endParaRPr lang="en-US" altLang="ko-KR" sz="1200" b="0">
              <a:latin typeface="+mj-ea"/>
              <a:ea typeface="+mj-ea"/>
            </a:endParaRPr>
          </a:p>
          <a:p>
            <a:r>
              <a:rPr lang="ko-KR" altLang="en-US" sz="1200" b="0">
                <a:latin typeface="+mj-ea"/>
                <a:ea typeface="+mj-ea"/>
              </a:rPr>
              <a:t>거래 유형 </a:t>
            </a:r>
            <a:r>
              <a:rPr lang="en-US" altLang="ko-KR" sz="1200" b="0">
                <a:latin typeface="+mj-ea"/>
                <a:ea typeface="+mj-ea"/>
              </a:rPr>
              <a:t>- </a:t>
            </a:r>
            <a:r>
              <a:rPr lang="ko-KR" altLang="en-US" sz="1200" b="0">
                <a:latin typeface="+mj-ea"/>
                <a:ea typeface="+mj-ea"/>
              </a:rPr>
              <a:t>카드 거래</a:t>
            </a:r>
            <a:endParaRPr lang="en-US" altLang="ko-KR" sz="1200" b="0">
              <a:latin typeface="+mj-ea"/>
              <a:ea typeface="+mj-ea"/>
            </a:endParaRPr>
          </a:p>
          <a:p>
            <a:r>
              <a:rPr lang="ko-KR" altLang="en-US" sz="1200" b="0">
                <a:latin typeface="+mj-ea"/>
                <a:ea typeface="+mj-ea"/>
              </a:rPr>
              <a:t>거래 일시 </a:t>
            </a:r>
            <a:r>
              <a:rPr lang="en-US" altLang="ko-KR" sz="1200" b="0">
                <a:latin typeface="+mj-ea"/>
                <a:ea typeface="+mj-ea"/>
              </a:rPr>
              <a:t>: 2021-09-17 </a:t>
            </a:r>
            <a:r>
              <a:rPr lang="ko-KR" altLang="en-US" sz="1200" b="0">
                <a:latin typeface="+mj-ea"/>
                <a:ea typeface="+mj-ea"/>
              </a:rPr>
              <a:t>오후 </a:t>
            </a:r>
            <a:r>
              <a:rPr lang="en-US" altLang="ko-KR" sz="1200" b="0">
                <a:latin typeface="+mj-ea"/>
                <a:ea typeface="+mj-ea"/>
              </a:rPr>
              <a:t>11</a:t>
            </a:r>
            <a:r>
              <a:rPr lang="en-US" altLang="ko-KR" sz="1200" b="0" baseline="0">
                <a:latin typeface="+mj-ea"/>
                <a:ea typeface="+mj-ea"/>
              </a:rPr>
              <a:t>:03:24</a:t>
            </a:r>
            <a:endParaRPr lang="ko-KR" altLang="en-US" sz="1200" b="0">
              <a:latin typeface="+mj-ea"/>
              <a:ea typeface="+mj-ea"/>
            </a:endParaRPr>
          </a:p>
        </xdr:txBody>
      </xdr:sp>
      <xdr:sp macro="" textlink="">
        <xdr:nvSpPr>
          <xdr:cNvPr id="36" name="제목"/>
          <xdr:cNvSpPr txBox="1"/>
        </xdr:nvSpPr>
        <xdr:spPr>
          <a:xfrm>
            <a:off x="843642" y="5674179"/>
            <a:ext cx="3238501" cy="4028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400" b="1">
                <a:latin typeface="+mj-ea"/>
                <a:ea typeface="+mj-ea"/>
              </a:rPr>
              <a:t>배송 정보</a:t>
            </a:r>
          </a:p>
        </xdr:txBody>
      </xdr:sp>
      <xdr:sp macro="" textlink="">
        <xdr:nvSpPr>
          <xdr:cNvPr id="37" name="배송정보"/>
          <xdr:cNvSpPr txBox="1"/>
        </xdr:nvSpPr>
        <xdr:spPr>
          <a:xfrm>
            <a:off x="843642" y="6101410"/>
            <a:ext cx="4599215" cy="2430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ko-KR" altLang="en-US" sz="1200" b="0">
                <a:latin typeface="+mj-ea"/>
                <a:ea typeface="+mj-ea"/>
              </a:rPr>
              <a:t>강강추</a:t>
            </a:r>
            <a:endParaRPr lang="en-US" altLang="ko-KR" sz="1200" b="0">
              <a:latin typeface="+mj-ea"/>
              <a:ea typeface="+mj-ea"/>
            </a:endParaRPr>
          </a:p>
          <a:p>
            <a:r>
              <a:rPr lang="ko-KR" altLang="en-US" sz="1200" b="0">
                <a:latin typeface="+mj-ea"/>
                <a:ea typeface="+mj-ea"/>
              </a:rPr>
              <a:t>충청북도</a:t>
            </a:r>
            <a:r>
              <a:rPr lang="en-US" altLang="ko-KR" sz="1200" b="0">
                <a:latin typeface="+mj-ea"/>
                <a:ea typeface="+mj-ea"/>
              </a:rPr>
              <a:t>,</a:t>
            </a:r>
          </a:p>
          <a:p>
            <a:r>
              <a:rPr lang="ko-KR" altLang="en-US" sz="1200" b="0">
                <a:latin typeface="+mj-ea"/>
                <a:ea typeface="+mj-ea"/>
              </a:rPr>
              <a:t>청주시</a:t>
            </a:r>
            <a:r>
              <a:rPr lang="en-US" altLang="ko-KR" sz="1200" b="0">
                <a:latin typeface="+mj-ea"/>
                <a:ea typeface="+mj-ea"/>
              </a:rPr>
              <a:t>,</a:t>
            </a:r>
          </a:p>
          <a:p>
            <a:r>
              <a:rPr lang="ko-KR" altLang="en-US" sz="1200" b="0">
                <a:latin typeface="+mj-ea"/>
                <a:ea typeface="+mj-ea"/>
              </a:rPr>
              <a:t>영동군</a:t>
            </a:r>
            <a:r>
              <a:rPr lang="en-US" altLang="ko-KR" sz="1200" b="0">
                <a:latin typeface="+mj-ea"/>
                <a:ea typeface="+mj-ea"/>
              </a:rPr>
              <a:t>,</a:t>
            </a:r>
          </a:p>
          <a:p>
            <a:r>
              <a:rPr lang="ko-KR" altLang="en-US" sz="1200" b="0">
                <a:latin typeface="+mj-ea"/>
                <a:ea typeface="+mj-ea"/>
              </a:rPr>
              <a:t>영동읍</a:t>
            </a:r>
            <a:r>
              <a:rPr lang="en-US" altLang="ko-KR" sz="1200" b="0">
                <a:latin typeface="+mj-ea"/>
                <a:ea typeface="+mj-ea"/>
              </a:rPr>
              <a:t>,</a:t>
            </a:r>
          </a:p>
          <a:p>
            <a:r>
              <a:rPr lang="ko-KR" altLang="en-US" sz="1200" b="0">
                <a:latin typeface="+mj-ea"/>
                <a:ea typeface="+mj-ea"/>
              </a:rPr>
              <a:t>영산로</a:t>
            </a:r>
            <a:r>
              <a:rPr lang="en-US" altLang="ko-KR" sz="1200" b="0">
                <a:latin typeface="+mj-ea"/>
                <a:ea typeface="+mj-ea"/>
              </a:rPr>
              <a:t>,</a:t>
            </a:r>
          </a:p>
          <a:p>
            <a:r>
              <a:rPr lang="en-US" altLang="ko-KR" sz="1200" b="0">
                <a:latin typeface="+mj-ea"/>
                <a:ea typeface="+mj-ea"/>
              </a:rPr>
              <a:t>153-25</a:t>
            </a:r>
            <a:endParaRPr lang="ko-KR" altLang="en-US" sz="1200" b="0">
              <a:latin typeface="+mj-ea"/>
              <a:ea typeface="+mj-ea"/>
            </a:endParaRPr>
          </a:p>
        </xdr:txBody>
      </xdr:sp>
      <xdr:cxnSp macro="">
        <xdr:nvCxnSpPr>
          <xdr:cNvPr id="38" name="직선 연결선 37"/>
          <xdr:cNvCxnSpPr/>
        </xdr:nvCxnSpPr>
        <xdr:spPr>
          <a:xfrm>
            <a:off x="898071" y="9144000"/>
            <a:ext cx="9035143" cy="0"/>
          </a:xfrm>
          <a:prstGeom prst="line">
            <a:avLst/>
          </a:prstGeom>
          <a:ln w="28575">
            <a:solidFill>
              <a:schemeClr val="accent5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영수증출력하기" textlink="">
        <xdr:nvSpPr>
          <xdr:cNvPr id="39" name="출력"/>
          <xdr:cNvSpPr txBox="1"/>
        </xdr:nvSpPr>
        <xdr:spPr>
          <a:xfrm>
            <a:off x="802822" y="9375321"/>
            <a:ext cx="2598964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  <a:sym typeface="Webdings" panose="05030102010509060703" pitchFamily="18" charset="2"/>
              </a:rPr>
              <a:t></a:t>
            </a:r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영수증 출력하기</a:t>
            </a:r>
          </a:p>
        </xdr:txBody>
      </xdr:sp>
      <xdr:sp macro="[0]!활동내역초기화" textlink="">
        <xdr:nvSpPr>
          <xdr:cNvPr id="40" name="닫기"/>
          <xdr:cNvSpPr txBox="1"/>
        </xdr:nvSpPr>
        <xdr:spPr>
          <a:xfrm>
            <a:off x="7483929" y="9375321"/>
            <a:ext cx="2598964" cy="358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ko-KR" altLang="en-US" sz="1200" b="1">
                <a:solidFill>
                  <a:schemeClr val="accent5"/>
                </a:solidFill>
                <a:latin typeface="+mj-ea"/>
                <a:ea typeface="+mj-ea"/>
              </a:rPr>
              <a:t>닫기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201705</xdr:rowOff>
    </xdr:from>
    <xdr:to>
      <xdr:col>2</xdr:col>
      <xdr:colOff>1367118</xdr:colOff>
      <xdr:row>4</xdr:row>
      <xdr:rowOff>201706</xdr:rowOff>
    </xdr:to>
    <xdr:sp macro="" textlink="">
      <xdr:nvSpPr>
        <xdr:cNvPr id="2" name="shp로그아웃"/>
        <xdr:cNvSpPr/>
      </xdr:nvSpPr>
      <xdr:spPr>
        <a:xfrm>
          <a:off x="1367118" y="627529"/>
          <a:ext cx="1367118" cy="425824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/>
            <a:t>로그아웃</a:t>
          </a:r>
        </a:p>
      </xdr:txBody>
    </xdr:sp>
    <xdr:clientData/>
  </xdr:twoCellAnchor>
  <xdr:twoCellAnchor>
    <xdr:from>
      <xdr:col>2</xdr:col>
      <xdr:colOff>1613648</xdr:colOff>
      <xdr:row>2</xdr:row>
      <xdr:rowOff>201705</xdr:rowOff>
    </xdr:from>
    <xdr:to>
      <xdr:col>3</xdr:col>
      <xdr:colOff>156883</xdr:colOff>
      <xdr:row>4</xdr:row>
      <xdr:rowOff>201706</xdr:rowOff>
    </xdr:to>
    <xdr:sp macro="" textlink="">
      <xdr:nvSpPr>
        <xdr:cNvPr id="3" name="shp카드등록"/>
        <xdr:cNvSpPr/>
      </xdr:nvSpPr>
      <xdr:spPr>
        <a:xfrm>
          <a:off x="2980766" y="627529"/>
          <a:ext cx="1367117" cy="425824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/>
            <a:t>카드 등록</a:t>
          </a:r>
        </a:p>
      </xdr:txBody>
    </xdr:sp>
    <xdr:clientData/>
  </xdr:twoCellAnchor>
  <xdr:twoCellAnchor>
    <xdr:from>
      <xdr:col>4</xdr:col>
      <xdr:colOff>364190</xdr:colOff>
      <xdr:row>7</xdr:row>
      <xdr:rowOff>0</xdr:rowOff>
    </xdr:from>
    <xdr:to>
      <xdr:col>18</xdr:col>
      <xdr:colOff>0</xdr:colOff>
      <xdr:row>34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459441</xdr:colOff>
      <xdr:row>11</xdr:row>
      <xdr:rowOff>13607</xdr:rowOff>
    </xdr:from>
    <xdr:to>
      <xdr:col>19</xdr:col>
      <xdr:colOff>2136322</xdr:colOff>
      <xdr:row>38</xdr:row>
      <xdr:rowOff>13608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228194</xdr:colOff>
      <xdr:row>8</xdr:row>
      <xdr:rowOff>45842</xdr:rowOff>
    </xdr:from>
    <xdr:to>
      <xdr:col>17</xdr:col>
      <xdr:colOff>416656</xdr:colOff>
      <xdr:row>10</xdr:row>
      <xdr:rowOff>45843</xdr:rowOff>
    </xdr:to>
    <xdr:sp macro="[0]!Sheet12.뒤로" textlink="">
      <xdr:nvSpPr>
        <xdr:cNvPr id="6" name="shp뒤로가기"/>
        <xdr:cNvSpPr/>
      </xdr:nvSpPr>
      <xdr:spPr>
        <a:xfrm>
          <a:off x="13078285" y="1708387"/>
          <a:ext cx="1573916" cy="415638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200"/>
            <a:t>뒤로 가기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09.591571527781" createdVersion="6" refreshedVersion="6" minRefreshableVersion="3" recordCount="72">
  <cacheSource type="worksheet">
    <worksheetSource name="표5"/>
  </cacheSource>
  <cacheFields count="7">
    <cacheField name="카드번호" numFmtId="49">
      <sharedItems count="72">
        <s v="4147-4225-9961-9541"/>
        <s v="5469-2651-7075-7532"/>
        <s v="6235-7618-8935-4397"/>
        <s v="4555-3336-7116-6819"/>
        <s v="4274-5543-1470-3247"/>
        <s v="4656-6924-7890-5972"/>
        <s v="6171-5763-1229-8413"/>
        <s v="6133-6574-4571-8528"/>
        <s v="4653-7380-3898-9402"/>
        <s v="6257-9724-3237-6002"/>
        <s v="4554-2948-2495-4347"/>
        <s v="3543-1842-4955-1241"/>
        <s v="5491-0000-7419-8591"/>
        <s v="5417-8752-9361-8220"/>
        <s v="5492-7845-3998-3945"/>
        <s v="4459-8601-5503-0106"/>
        <s v="4664-6667-9542-8363"/>
        <s v="4289-1200-3178-0611"/>
        <s v="4508-9202-2526-8942"/>
        <s v="4152-1439-3522-2074"/>
        <s v="4228-9702-4276-8736"/>
        <s v="4501-1521-4471-7041"/>
        <s v="4291-4017-6463-5521"/>
        <s v="4915-0536-1544-4711"/>
        <s v="5477-9684-2872-1952"/>
        <s v="5446-9530-1580-4616"/>
        <s v="5411-7005-9496-8736"/>
        <s v="5430-8674-0726-5693"/>
        <s v="4894-8226-6996-5561"/>
        <s v="6110-7149-9555-0819"/>
        <s v="4318-4865-1001-7994"/>
        <s v="4998-1273-4593-5282"/>
        <s v="4703-3898-6020-9528"/>
        <s v="4338-6770-6552-0395"/>
        <s v="4778-6429-6549-3344"/>
        <s v="4277-5792-7574-8124"/>
        <s v="6258-2058-9776-1010"/>
        <s v="6167-4383-5951-5692"/>
        <s v="6112-1864-7089-7656"/>
        <s v="6162-5392-8943-4871"/>
        <s v="4622-2464-1000-3115"/>
        <s v="4697-4363-1410-5878"/>
        <s v="4197-2362-6207-8944"/>
        <s v="4980-8054-1807-7526"/>
        <s v="4357-6105-4676-7394"/>
        <s v="4251-0113-1119-8796"/>
        <s v="4528-5002-5615-3481"/>
        <s v="4897-8159-1822-7180"/>
        <s v="4438-1413-1616-2357"/>
        <s v="9590-0022-7805-2528"/>
        <s v="9672-9577-4413-7030"/>
        <s v="4779-3638-2693-2096"/>
        <s v="6298-0294-4920-2348"/>
        <s v="6238-1630-4153-1561"/>
        <s v="4668-1053-2246-9525"/>
        <s v="5488-3836-3430-7070"/>
        <s v="4764-2289-4098-2693"/>
        <s v="4124-1993-4558-0867"/>
        <s v="6295-5457-5347-2048"/>
        <s v="4754-1190-0633-2830"/>
        <s v="6198-0942-6914-9784"/>
        <s v="4139-9464-9242-9270"/>
        <s v="4508-1133-6156-2050"/>
        <s v="4304-5759-0122-0163"/>
        <s v="4278-6283-9998-2400"/>
        <s v="5449-1026-3931-0534"/>
        <s v="4405-7274-3586-7453"/>
        <s v="4291-6893-5280-8183"/>
        <s v="4316-7505-0711-0172"/>
        <s v="4285-6430-7448-7615"/>
        <s v="5445-6260-1923-9876"/>
        <s v="4135-8486-9179-4774"/>
      </sharedItems>
    </cacheField>
    <cacheField name="카드타입" numFmtId="0">
      <sharedItems containsSemiMixedTypes="0" containsString="0" containsNumber="1" containsInteger="1" minValue="1" maxValue="27"/>
    </cacheField>
    <cacheField name="해외 결제 브랜드" numFmtId="0">
      <sharedItems containsSemiMixedTypes="0" containsString="0" containsNumber="1" containsInteger="1" minValue="1" maxValue="6"/>
    </cacheField>
    <cacheField name="회원번호" numFmtId="0">
      <sharedItems containsSemiMixedTypes="0" containsString="0" containsNumber="1" containsInteger="1" minValue="1" maxValue="39"/>
    </cacheField>
    <cacheField name=" 카드포인트 " numFmtId="41">
      <sharedItems containsSemiMixedTypes="0" containsString="0" containsNumber="1" containsInteger="1" minValue="0" maxValue="1099993"/>
    </cacheField>
    <cacheField name="카드이름" numFmtId="0">
      <sharedItems count="20">
        <s v="Chase Freedom Unlimited™"/>
        <s v="Chase Sapphire Preferred"/>
        <s v="Chase Freedom Flex™"/>
        <s v="Chase Sapphire Reserve"/>
        <s v="Southwest Rapid Rewards Priority"/>
        <s v="Southwest Rapid Rewards Plus"/>
        <s v="Southwest Rapid Rewards Premier"/>
        <s v="United Club Infinite"/>
        <s v="United Gateway Mileage Plus"/>
        <s v="UNITED™ EXPLORER"/>
        <s v="British Airways Visa Signature®"/>
        <s v="Aer Lingus Visa Signature®"/>
        <s v="Marriott Bonvoy Bold™"/>
        <s v="Disney Premier Visa"/>
        <s v="Disney Visa"/>
        <s v="Amazon Prime Rewards Visa Signature"/>
        <s v="Ink Business Cash"/>
        <s v="Ink Business Preferred"/>
        <s v="Southwest Rapid Rewards Business"/>
        <s v="Chase Freedom Student"/>
      </sharedItems>
    </cacheField>
    <cacheField name="회원나이대" numFmtId="0">
      <sharedItems containsSemiMixedTypes="0" containsString="0" containsNumber="1" containsInteger="1" minValue="1" maxValue="41" count="27">
        <n v="3"/>
        <n v="1"/>
        <n v="4"/>
        <n v="2"/>
        <n v="34" u="1"/>
        <n v="13" u="1"/>
        <n v="38" u="1"/>
        <n v="14" u="1"/>
        <n v="40" u="1"/>
        <n v="15" u="1"/>
        <n v="16" u="1"/>
        <n v="17" u="1"/>
        <n v="18" u="1"/>
        <n v="19" u="1"/>
        <n v="33" u="1"/>
        <n v="21" u="1"/>
        <n v="35" u="1"/>
        <n v="22" u="1"/>
        <n v="37" u="1"/>
        <n v="23" u="1"/>
        <n v="24" u="1"/>
        <n v="41" u="1"/>
        <n v="26" u="1"/>
        <n v="10" u="1"/>
        <n v="28" u="1"/>
        <n v="30" u="1"/>
        <n v="3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n v="1"/>
    <n v="1"/>
    <n v="1"/>
    <n v="1018"/>
    <x v="0"/>
    <x v="0"/>
  </r>
  <r>
    <x v="1"/>
    <n v="1"/>
    <n v="2"/>
    <n v="4"/>
    <n v="151"/>
    <x v="0"/>
    <x v="0"/>
  </r>
  <r>
    <x v="2"/>
    <n v="1"/>
    <n v="3"/>
    <n v="2"/>
    <n v="0"/>
    <x v="0"/>
    <x v="1"/>
  </r>
  <r>
    <x v="3"/>
    <n v="1"/>
    <n v="1"/>
    <n v="3"/>
    <n v="4392"/>
    <x v="0"/>
    <x v="2"/>
  </r>
  <r>
    <x v="4"/>
    <n v="4"/>
    <n v="1"/>
    <n v="2"/>
    <n v="330"/>
    <x v="1"/>
    <x v="1"/>
  </r>
  <r>
    <x v="5"/>
    <n v="4"/>
    <n v="1"/>
    <n v="3"/>
    <n v="45"/>
    <x v="1"/>
    <x v="2"/>
  </r>
  <r>
    <x v="6"/>
    <n v="4"/>
    <n v="3"/>
    <n v="1"/>
    <n v="5120"/>
    <x v="1"/>
    <x v="0"/>
  </r>
  <r>
    <x v="7"/>
    <n v="4"/>
    <n v="3"/>
    <n v="4"/>
    <n v="7144"/>
    <x v="1"/>
    <x v="0"/>
  </r>
  <r>
    <x v="8"/>
    <n v="2"/>
    <n v="1"/>
    <n v="6"/>
    <n v="340"/>
    <x v="2"/>
    <x v="0"/>
  </r>
  <r>
    <x v="9"/>
    <n v="2"/>
    <n v="3"/>
    <n v="5"/>
    <n v="2490"/>
    <x v="2"/>
    <x v="3"/>
  </r>
  <r>
    <x v="10"/>
    <n v="5"/>
    <n v="1"/>
    <n v="5"/>
    <n v="978"/>
    <x v="3"/>
    <x v="3"/>
  </r>
  <r>
    <x v="11"/>
    <n v="5"/>
    <n v="5"/>
    <n v="6"/>
    <n v="8089"/>
    <x v="3"/>
    <x v="0"/>
  </r>
  <r>
    <x v="12"/>
    <n v="5"/>
    <n v="3"/>
    <n v="7"/>
    <n v="36"/>
    <x v="3"/>
    <x v="0"/>
  </r>
  <r>
    <x v="13"/>
    <n v="5"/>
    <n v="3"/>
    <n v="8"/>
    <n v="9443"/>
    <x v="3"/>
    <x v="0"/>
  </r>
  <r>
    <x v="14"/>
    <n v="1"/>
    <n v="2"/>
    <n v="7"/>
    <n v="3710"/>
    <x v="0"/>
    <x v="0"/>
  </r>
  <r>
    <x v="15"/>
    <n v="6"/>
    <n v="1"/>
    <n v="8"/>
    <n v="20677"/>
    <x v="4"/>
    <x v="0"/>
  </r>
  <r>
    <x v="16"/>
    <n v="7"/>
    <n v="1"/>
    <n v="9"/>
    <n v="9186"/>
    <x v="5"/>
    <x v="0"/>
  </r>
  <r>
    <x v="17"/>
    <n v="7"/>
    <n v="1"/>
    <n v="11"/>
    <n v="7191"/>
    <x v="5"/>
    <x v="0"/>
  </r>
  <r>
    <x v="18"/>
    <n v="7"/>
    <n v="1"/>
    <n v="10"/>
    <n v="8754"/>
    <x v="5"/>
    <x v="1"/>
  </r>
  <r>
    <x v="19"/>
    <n v="7"/>
    <n v="1"/>
    <n v="12"/>
    <n v="9539"/>
    <x v="5"/>
    <x v="2"/>
  </r>
  <r>
    <x v="20"/>
    <n v="8"/>
    <n v="1"/>
    <n v="10"/>
    <n v="8091"/>
    <x v="6"/>
    <x v="1"/>
  </r>
  <r>
    <x v="21"/>
    <n v="8"/>
    <n v="1"/>
    <n v="11"/>
    <n v="4228"/>
    <x v="6"/>
    <x v="0"/>
  </r>
  <r>
    <x v="22"/>
    <n v="8"/>
    <n v="1"/>
    <n v="9"/>
    <n v="5046"/>
    <x v="6"/>
    <x v="0"/>
  </r>
  <r>
    <x v="23"/>
    <n v="9"/>
    <n v="1"/>
    <n v="12"/>
    <n v="1687"/>
    <x v="7"/>
    <x v="2"/>
  </r>
  <r>
    <x v="24"/>
    <n v="9"/>
    <n v="2"/>
    <n v="13"/>
    <n v="4130"/>
    <x v="7"/>
    <x v="2"/>
  </r>
  <r>
    <x v="25"/>
    <n v="9"/>
    <n v="2"/>
    <n v="13"/>
    <n v="3611"/>
    <x v="7"/>
    <x v="2"/>
  </r>
  <r>
    <x v="26"/>
    <n v="9"/>
    <n v="2"/>
    <n v="14"/>
    <n v="396"/>
    <x v="7"/>
    <x v="1"/>
  </r>
  <r>
    <x v="27"/>
    <n v="9"/>
    <n v="2"/>
    <n v="15"/>
    <n v="1348"/>
    <x v="7"/>
    <x v="0"/>
  </r>
  <r>
    <x v="28"/>
    <n v="10"/>
    <n v="1"/>
    <n v="14"/>
    <n v="4586"/>
    <x v="8"/>
    <x v="1"/>
  </r>
  <r>
    <x v="29"/>
    <n v="11"/>
    <n v="5"/>
    <n v="15"/>
    <n v="2270"/>
    <x v="9"/>
    <x v="0"/>
  </r>
  <r>
    <x v="30"/>
    <n v="12"/>
    <n v="1"/>
    <n v="16"/>
    <n v="50402"/>
    <x v="10"/>
    <x v="3"/>
  </r>
  <r>
    <x v="31"/>
    <n v="13"/>
    <n v="1"/>
    <n v="17"/>
    <n v="1099993"/>
    <x v="11"/>
    <x v="0"/>
  </r>
  <r>
    <x v="32"/>
    <n v="16"/>
    <n v="1"/>
    <n v="17"/>
    <n v="6291"/>
    <x v="12"/>
    <x v="0"/>
  </r>
  <r>
    <x v="33"/>
    <n v="16"/>
    <n v="1"/>
    <n v="16"/>
    <n v="1764"/>
    <x v="12"/>
    <x v="3"/>
  </r>
  <r>
    <x v="34"/>
    <n v="16"/>
    <n v="1"/>
    <n v="18"/>
    <n v="7398"/>
    <x v="12"/>
    <x v="1"/>
  </r>
  <r>
    <x v="35"/>
    <n v="16"/>
    <n v="1"/>
    <n v="19"/>
    <n v="4328"/>
    <x v="12"/>
    <x v="1"/>
  </r>
  <r>
    <x v="36"/>
    <n v="16"/>
    <n v="3"/>
    <n v="20"/>
    <n v="410"/>
    <x v="12"/>
    <x v="3"/>
  </r>
  <r>
    <x v="37"/>
    <n v="16"/>
    <n v="5"/>
    <n v="24"/>
    <n v="2336"/>
    <x v="12"/>
    <x v="1"/>
  </r>
  <r>
    <x v="38"/>
    <n v="16"/>
    <n v="5"/>
    <n v="21"/>
    <n v="1409"/>
    <x v="12"/>
    <x v="0"/>
  </r>
  <r>
    <x v="39"/>
    <n v="16"/>
    <n v="5"/>
    <n v="22"/>
    <n v="1572"/>
    <x v="12"/>
    <x v="1"/>
  </r>
  <r>
    <x v="40"/>
    <n v="18"/>
    <n v="1"/>
    <n v="22"/>
    <n v="5062"/>
    <x v="13"/>
    <x v="1"/>
  </r>
  <r>
    <x v="41"/>
    <n v="18"/>
    <n v="1"/>
    <n v="21"/>
    <n v="5344"/>
    <x v="13"/>
    <x v="0"/>
  </r>
  <r>
    <x v="42"/>
    <n v="18"/>
    <n v="1"/>
    <n v="23"/>
    <n v="4093"/>
    <x v="13"/>
    <x v="0"/>
  </r>
  <r>
    <x v="43"/>
    <n v="18"/>
    <n v="1"/>
    <n v="20"/>
    <n v="5772"/>
    <x v="13"/>
    <x v="3"/>
  </r>
  <r>
    <x v="44"/>
    <n v="18"/>
    <n v="1"/>
    <n v="25"/>
    <n v="7549"/>
    <x v="13"/>
    <x v="2"/>
  </r>
  <r>
    <x v="45"/>
    <n v="19"/>
    <n v="1"/>
    <n v="26"/>
    <n v="1917"/>
    <x v="14"/>
    <x v="1"/>
  </r>
  <r>
    <x v="46"/>
    <n v="19"/>
    <n v="1"/>
    <n v="27"/>
    <n v="1821"/>
    <x v="14"/>
    <x v="0"/>
  </r>
  <r>
    <x v="47"/>
    <n v="23"/>
    <n v="1"/>
    <n v="28"/>
    <n v="8479"/>
    <x v="15"/>
    <x v="1"/>
  </r>
  <r>
    <x v="48"/>
    <n v="23"/>
    <n v="1"/>
    <n v="29"/>
    <n v="796"/>
    <x v="15"/>
    <x v="0"/>
  </r>
  <r>
    <x v="49"/>
    <n v="25"/>
    <n v="6"/>
    <n v="29"/>
    <n v="4462"/>
    <x v="16"/>
    <x v="0"/>
  </r>
  <r>
    <x v="50"/>
    <n v="25"/>
    <n v="6"/>
    <n v="28"/>
    <n v="3916"/>
    <x v="16"/>
    <x v="1"/>
  </r>
  <r>
    <x v="51"/>
    <n v="26"/>
    <n v="1"/>
    <n v="27"/>
    <n v="1514"/>
    <x v="17"/>
    <x v="0"/>
  </r>
  <r>
    <x v="52"/>
    <n v="26"/>
    <n v="3"/>
    <n v="26"/>
    <n v="152423"/>
    <x v="17"/>
    <x v="1"/>
  </r>
  <r>
    <x v="53"/>
    <n v="26"/>
    <n v="3"/>
    <n v="30"/>
    <n v="11652"/>
    <x v="17"/>
    <x v="3"/>
  </r>
  <r>
    <x v="54"/>
    <n v="26"/>
    <n v="1"/>
    <n v="30"/>
    <n v="67158"/>
    <x v="17"/>
    <x v="3"/>
  </r>
  <r>
    <x v="55"/>
    <n v="27"/>
    <n v="2"/>
    <n v="31"/>
    <n v="6950"/>
    <x v="18"/>
    <x v="1"/>
  </r>
  <r>
    <x v="56"/>
    <n v="27"/>
    <n v="1"/>
    <n v="31"/>
    <n v="1689"/>
    <x v="18"/>
    <x v="1"/>
  </r>
  <r>
    <x v="57"/>
    <n v="5"/>
    <n v="1"/>
    <n v="32"/>
    <n v="3064"/>
    <x v="3"/>
    <x v="1"/>
  </r>
  <r>
    <x v="58"/>
    <n v="4"/>
    <n v="3"/>
    <n v="19"/>
    <n v="6158"/>
    <x v="1"/>
    <x v="1"/>
  </r>
  <r>
    <x v="59"/>
    <n v="4"/>
    <n v="1"/>
    <n v="33"/>
    <n v="1586"/>
    <x v="1"/>
    <x v="3"/>
  </r>
  <r>
    <x v="60"/>
    <n v="4"/>
    <n v="5"/>
    <n v="34"/>
    <n v="9558"/>
    <x v="1"/>
    <x v="3"/>
  </r>
  <r>
    <x v="61"/>
    <n v="4"/>
    <n v="1"/>
    <n v="35"/>
    <n v="8167"/>
    <x v="1"/>
    <x v="0"/>
  </r>
  <r>
    <x v="62"/>
    <n v="4"/>
    <n v="1"/>
    <n v="36"/>
    <n v="896"/>
    <x v="1"/>
    <x v="3"/>
  </r>
  <r>
    <x v="63"/>
    <n v="4"/>
    <n v="1"/>
    <n v="37"/>
    <n v="6664"/>
    <x v="1"/>
    <x v="1"/>
  </r>
  <r>
    <x v="64"/>
    <n v="4"/>
    <n v="1"/>
    <n v="38"/>
    <n v="5103"/>
    <x v="1"/>
    <x v="1"/>
  </r>
  <r>
    <x v="65"/>
    <n v="3"/>
    <n v="2"/>
    <n v="39"/>
    <n v="6207"/>
    <x v="19"/>
    <x v="3"/>
  </r>
  <r>
    <x v="66"/>
    <n v="1"/>
    <n v="1"/>
    <n v="39"/>
    <n v="2456"/>
    <x v="0"/>
    <x v="3"/>
  </r>
  <r>
    <x v="67"/>
    <n v="1"/>
    <n v="1"/>
    <n v="37"/>
    <n v="3210"/>
    <x v="0"/>
    <x v="1"/>
  </r>
  <r>
    <x v="68"/>
    <n v="1"/>
    <n v="1"/>
    <n v="36"/>
    <n v="3470"/>
    <x v="0"/>
    <x v="3"/>
  </r>
  <r>
    <x v="69"/>
    <n v="1"/>
    <n v="1"/>
    <n v="32"/>
    <n v="1039"/>
    <x v="0"/>
    <x v="1"/>
  </r>
  <r>
    <x v="70"/>
    <n v="1"/>
    <n v="2"/>
    <n v="18"/>
    <n v="4293"/>
    <x v="0"/>
    <x v="1"/>
  </r>
  <r>
    <x v="71"/>
    <n v="1"/>
    <n v="1"/>
    <n v="2"/>
    <n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 rowHeaderCaption="카드 이름">
  <location ref="C8:D29" firstHeaderRow="1" firstDataRow="1" firstDataCol="1"/>
  <pivotFields count="7">
    <pivotField dataField="1" showAll="0"/>
    <pivotField showAll="0"/>
    <pivotField showAll="0"/>
    <pivotField showAll="0"/>
    <pivotField numFmtId="41" showAll="0"/>
    <pivotField name="카드 이름" axis="axisRow" showAll="0">
      <items count="21">
        <item x="11"/>
        <item x="15"/>
        <item x="10"/>
        <item x="2"/>
        <item x="19"/>
        <item x="0"/>
        <item x="1"/>
        <item x="3"/>
        <item x="13"/>
        <item x="14"/>
        <item x="16"/>
        <item x="17"/>
        <item x="12"/>
        <item x="18"/>
        <item x="5"/>
        <item x="6"/>
        <item x="4"/>
        <item x="7"/>
        <item x="8"/>
        <item x="9"/>
        <item t="default"/>
      </items>
    </pivotField>
    <pivotField showAll="0" defaultSubtotal="0"/>
  </pivotFields>
  <rowFields count="1"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발급 개수" fld="0" subtotal="count" baseField="5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J41" totalsRowShown="0" headerRowDxfId="82" dataDxfId="81">
  <tableColumns count="10">
    <tableColumn id="1" name="번호" dataDxfId="80"/>
    <tableColumn id="2" name="아이디" dataDxfId="79"/>
    <tableColumn id="3" name="비밀번호" dataDxfId="78"/>
    <tableColumn id="4" name="이름" dataDxfId="77"/>
    <tableColumn id="5" name="생년월일" dataDxfId="76"/>
    <tableColumn id="6" name="2차 비밀번호" dataDxfId="75"/>
    <tableColumn id="7" name="주소" dataDxfId="74"/>
    <tableColumn id="8" name="휴대폰번호" dataDxfId="73"/>
    <tableColumn id="9" name="계좌번호" dataDxfId="72"/>
    <tableColumn id="10" name="  잔고  " dataDxfId="71" dataCellStyle="쉼표 [0]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I28" totalsRowShown="0" headerRowDxfId="57" dataDxfId="56">
  <autoFilter ref="A1:I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번호" dataDxfId="55"/>
    <tableColumn id="2" name="이름" dataDxfId="54"/>
    <tableColumn id="3" name="내용" dataDxfId="53"/>
    <tableColumn id="4" name="타입" dataDxfId="52"/>
    <tableColumn id="5" name="카드 혜택" dataDxfId="51"/>
    <tableColumn id="6" name="할부이자" dataDxfId="50"/>
    <tableColumn id="7" name="해외 제휴 브랜드" dataDxfId="49"/>
    <tableColumn id="8" name="제휴 등급" dataDxfId="48"/>
    <tableColumn id="9" name=" 연회비 " dataDxfId="47" dataCellStyle="쉼표 [0]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F32" totalsRowShown="0" headerRowDxfId="46" dataDxfId="45">
  <autoFilter ref="A1:F3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44"/>
    <tableColumn id="2" name="항목" dataDxfId="43"/>
    <tableColumn id="3" name="내용" dataDxfId="42"/>
    <tableColumn id="4" name="적용 카테고리" dataDxfId="41"/>
    <tableColumn id="5" name="비율" dataDxfId="40"/>
    <tableColumn id="6" name="  전월실적  " dataDxfId="39" dataCellStyle="쉼표 [0]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H1:N7" totalsRowShown="0" headerRowDxfId="38" dataDxfId="37">
  <autoFilter ref="H1:N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번호" dataDxfId="36"/>
    <tableColumn id="2" name="이름" dataDxfId="35"/>
    <tableColumn id="3" name="등급1" dataDxfId="34"/>
    <tableColumn id="4" name="등급2" dataDxfId="33"/>
    <tableColumn id="5" name="등급3" dataDxfId="32"/>
    <tableColumn id="6" name="등급4" dataDxfId="31"/>
    <tableColumn id="7" name="등급5" dataDxfId="3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1:G74" totalsRowShown="0" headerRowDxfId="29" dataDxfId="28">
  <autoFilter ref="A1:G7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카드번호" dataDxfId="27"/>
    <tableColumn id="2" name="카드타입" dataDxfId="26"/>
    <tableColumn id="3" name="해외 결제 브랜드" dataDxfId="25"/>
    <tableColumn id="4" name="회원번호" dataDxfId="24"/>
    <tableColumn id="5" name=" 카드포인트 " dataDxfId="23" dataCellStyle="쉼표 [0]"/>
    <tableColumn id="6" name="카드이름" dataDxfId="22">
      <calculatedColumnFormula>VLOOKUP(표5[[#This Row],[카드타입]], 표2[], 2, 0)</calculatedColumnFormula>
    </tableColumn>
    <tableColumn id="7" name="회원나이대" dataDxfId="21">
      <calculatedColumnFormula>INT(DATEDIF(VLOOKUP(표5[[#This Row],[회원번호]], 표1[], 5, 0), TODAY(), "y")/10)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1:G91" totalsRowShown="0" headerRowDxfId="20" dataDxfId="19">
  <tableColumns count="7">
    <tableColumn id="1" name="번호" dataDxfId="18"/>
    <tableColumn id="2" name="카테고리" dataDxfId="17"/>
    <tableColumn id="3" name="이름" dataDxfId="16"/>
    <tableColumn id="4" name="판매처" dataDxfId="15"/>
    <tableColumn id="5" name="연락처" dataDxfId="14"/>
    <tableColumn id="6" name="가격" dataDxfId="13" dataCellStyle="쉼표 [0]"/>
    <tableColumn id="7" name="해외배송" dataDxfId="12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7" name="표7" displayName="표7" ref="A1:J476" totalsRowShown="0" headerRowDxfId="11" dataDxfId="10">
  <sortState ref="A2:J474">
    <sortCondition ref="B1:B474"/>
  </sortState>
  <tableColumns count="10">
    <tableColumn id="1" name="번호" dataDxfId="9"/>
    <tableColumn id="2" name="일시" dataDxfId="8"/>
    <tableColumn id="3" name="회원번호" dataDxfId="7"/>
    <tableColumn id="4" name="출금계좌" dataDxfId="6"/>
    <tableColumn id="5" name="입금계좌" dataDxfId="5"/>
    <tableColumn id="6" name="카드번호" dataDxfId="4"/>
    <tableColumn id="7" name="상품번호" dataDxfId="3"/>
    <tableColumn id="8" name=" 금액 " dataDxfId="2" dataCellStyle="쉼표 [0]"/>
    <tableColumn id="9" name="결제여부" dataDxfId="1"/>
    <tableColumn id="10" name="할부여부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rot="0" spcFirstLastPara="0" vertOverflow="clip" horzOverflow="clip" vert="horz" wrap="square" lIns="91440" tIns="45720" rIns="91440" bIns="45720" numCol="1" spcCol="0" rtlCol="0" fromWordArt="0" anchor="t" anchorCtr="0" forceAA="0" compatLnSpc="1">
        <a:prstTxWarp prst="textNoShape">
          <a:avLst/>
        </a:prstTxWarp>
        <a:noAutofit/>
      </a:bodyPr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3.emf"/><Relationship Id="rId4" Type="http://schemas.openxmlformats.org/officeDocument/2006/relationships/control" Target="../activeX/activeX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H12"/>
  <sheetViews>
    <sheetView tabSelected="1" zoomScale="70" zoomScaleNormal="70" workbookViewId="0">
      <selection activeCell="J45" sqref="J45"/>
    </sheetView>
  </sheetViews>
  <sheetFormatPr defaultRowHeight="16.5" x14ac:dyDescent="0.3"/>
  <cols>
    <col min="29" max="29" width="9.625" customWidth="1"/>
    <col min="34" max="34" width="14.875" customWidth="1"/>
  </cols>
  <sheetData>
    <row r="1" spans="1:34" ht="39" customHeight="1" x14ac:dyDescent="0.3">
      <c r="A1" s="9">
        <v>1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33"/>
      <c r="Z1" s="33"/>
      <c r="AA1" s="33"/>
      <c r="AB1" s="33"/>
      <c r="AC1" s="34"/>
      <c r="AD1" s="33"/>
      <c r="AE1" s="33"/>
      <c r="AF1" s="33"/>
      <c r="AG1" s="33"/>
      <c r="AH1" s="35"/>
    </row>
    <row r="2" spans="1:34" ht="39" customHeigh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34" ht="39" customHeigh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 spans="1:34" ht="39" customHeight="1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34" ht="39" customHeight="1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34" ht="39" customHeight="1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 spans="1:34" ht="39" customHeight="1" x14ac:dyDescent="0.3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34" ht="39" customHeight="1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spans="1:34" ht="39" customHeight="1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 spans="1:34" ht="39" customHeight="1" x14ac:dyDescent="0.3">
      <c r="A10" s="9">
        <v>1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2" spans="1:34" x14ac:dyDescent="0.3">
      <c r="W12" s="42"/>
    </row>
  </sheetData>
  <sheetProtection sheet="1" objects="1" scenarios="1" selectLockedCells="1" selectUnlockedCells="1"/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xtBox1">
          <controlPr autoLine="0" r:id="rId4">
            <anchor moveWithCells="1">
              <from>
                <xdr:col>17</xdr:col>
                <xdr:colOff>209550</xdr:colOff>
                <xdr:row>3</xdr:row>
                <xdr:rowOff>371475</xdr:rowOff>
              </from>
              <to>
                <xdr:col>22</xdr:col>
                <xdr:colOff>238125</xdr:colOff>
                <xdr:row>4</xdr:row>
                <xdr:rowOff>123825</xdr:rowOff>
              </to>
            </anchor>
          </controlPr>
        </control>
      </mc:Choice>
      <mc:Fallback>
        <control shapeId="1025" r:id="rId3" name="TextBox1"/>
      </mc:Fallback>
    </mc:AlternateContent>
    <mc:AlternateContent xmlns:mc="http://schemas.openxmlformats.org/markup-compatibility/2006">
      <mc:Choice Requires="x14">
        <control shapeId="1026" r:id="rId5" name="TextBox2">
          <controlPr autoLine="0" r:id="rId6">
            <anchor moveWithCells="1">
              <from>
                <xdr:col>17</xdr:col>
                <xdr:colOff>209550</xdr:colOff>
                <xdr:row>5</xdr:row>
                <xdr:rowOff>161925</xdr:rowOff>
              </from>
              <to>
                <xdr:col>22</xdr:col>
                <xdr:colOff>238125</xdr:colOff>
                <xdr:row>5</xdr:row>
                <xdr:rowOff>400050</xdr:rowOff>
              </to>
            </anchor>
          </controlPr>
        </control>
      </mc:Choice>
      <mc:Fallback>
        <control shapeId="1026" r:id="rId5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1"/>
  <sheetViews>
    <sheetView topLeftCell="F1" zoomScale="85" zoomScaleNormal="85" workbookViewId="0">
      <selection activeCell="P1" sqref="P1:Q1"/>
    </sheetView>
  </sheetViews>
  <sheetFormatPr defaultRowHeight="16.5" x14ac:dyDescent="0.3"/>
  <cols>
    <col min="1" max="2" width="9" style="1"/>
    <col min="3" max="3" width="10.25" style="1" customWidth="1"/>
    <col min="4" max="4" width="9" style="1"/>
    <col min="5" max="5" width="11.125" style="1" bestFit="1" customWidth="1"/>
    <col min="6" max="6" width="13.875" style="1" customWidth="1"/>
    <col min="7" max="7" width="43" style="1" bestFit="1" customWidth="1"/>
    <col min="8" max="8" width="14.375" style="1" bestFit="1" customWidth="1"/>
    <col min="9" max="9" width="17.5" style="1" bestFit="1" customWidth="1"/>
    <col min="10" max="10" width="13" style="3" bestFit="1" customWidth="1"/>
    <col min="12" max="17" width="9" customWidth="1"/>
  </cols>
  <sheetData>
    <row r="1" spans="1:1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9</v>
      </c>
      <c r="L1" s="43" t="s">
        <v>3</v>
      </c>
      <c r="M1" s="43" t="s">
        <v>7</v>
      </c>
      <c r="N1" s="43" t="s">
        <v>8</v>
      </c>
      <c r="P1" s="43" t="s">
        <v>3</v>
      </c>
      <c r="Q1" s="43" t="s">
        <v>8</v>
      </c>
    </row>
    <row r="2" spans="1:17" x14ac:dyDescent="0.3">
      <c r="A2" s="1">
        <v>1</v>
      </c>
      <c r="B2" s="1" t="s">
        <v>10</v>
      </c>
      <c r="C2" s="1" t="s">
        <v>11</v>
      </c>
      <c r="D2" s="1" t="s">
        <v>12</v>
      </c>
      <c r="E2" s="2">
        <v>31656</v>
      </c>
      <c r="F2" s="1">
        <v>896971</v>
      </c>
      <c r="G2" s="1" t="s">
        <v>13</v>
      </c>
      <c r="H2" s="1" t="s">
        <v>14</v>
      </c>
      <c r="I2" s="1" t="s">
        <v>15</v>
      </c>
      <c r="J2" s="3">
        <v>954636000</v>
      </c>
      <c r="L2" t="s">
        <v>759</v>
      </c>
      <c r="P2" s="1" t="s">
        <v>12</v>
      </c>
      <c r="Q2" s="1" t="s">
        <v>15</v>
      </c>
    </row>
    <row r="3" spans="1:17" x14ac:dyDescent="0.3">
      <c r="A3" s="1">
        <v>2</v>
      </c>
      <c r="B3" s="1" t="s">
        <v>16</v>
      </c>
      <c r="C3" s="1" t="s">
        <v>17</v>
      </c>
      <c r="D3" s="1" t="s">
        <v>18</v>
      </c>
      <c r="E3" s="2">
        <v>38188</v>
      </c>
      <c r="F3" s="1">
        <v>876298</v>
      </c>
      <c r="G3" s="1" t="s">
        <v>19</v>
      </c>
      <c r="H3" s="1" t="s">
        <v>20</v>
      </c>
      <c r="I3" s="1" t="s">
        <v>21</v>
      </c>
      <c r="J3" s="3">
        <v>2552816</v>
      </c>
      <c r="M3" t="s">
        <v>759</v>
      </c>
      <c r="P3" s="1" t="s">
        <v>18</v>
      </c>
      <c r="Q3" s="1" t="s">
        <v>21</v>
      </c>
    </row>
    <row r="4" spans="1:17" x14ac:dyDescent="0.3">
      <c r="A4" s="1">
        <v>3</v>
      </c>
      <c r="B4" s="1" t="s">
        <v>22</v>
      </c>
      <c r="C4" s="1" t="s">
        <v>23</v>
      </c>
      <c r="D4" s="1" t="s">
        <v>24</v>
      </c>
      <c r="E4" s="2">
        <v>29312</v>
      </c>
      <c r="F4" s="1">
        <v>565509</v>
      </c>
      <c r="G4" s="1" t="s">
        <v>25</v>
      </c>
      <c r="H4" s="1" t="s">
        <v>26</v>
      </c>
      <c r="I4" s="1" t="s">
        <v>27</v>
      </c>
      <c r="J4" s="3">
        <v>2894995</v>
      </c>
      <c r="N4" t="s">
        <v>759</v>
      </c>
      <c r="P4" s="1" t="s">
        <v>24</v>
      </c>
      <c r="Q4" s="1" t="s">
        <v>27</v>
      </c>
    </row>
    <row r="5" spans="1:17" x14ac:dyDescent="0.3">
      <c r="A5" s="1">
        <v>4</v>
      </c>
      <c r="B5" s="1" t="s">
        <v>28</v>
      </c>
      <c r="C5" s="1" t="s">
        <v>29</v>
      </c>
      <c r="D5" s="1" t="s">
        <v>30</v>
      </c>
      <c r="E5" s="2">
        <v>32184</v>
      </c>
      <c r="F5" s="1">
        <v>102864</v>
      </c>
      <c r="G5" s="1" t="s">
        <v>31</v>
      </c>
      <c r="H5" s="1" t="s">
        <v>32</v>
      </c>
      <c r="I5" s="1" t="s">
        <v>33</v>
      </c>
      <c r="J5" s="3">
        <v>1798938</v>
      </c>
      <c r="P5" s="1" t="s">
        <v>30</v>
      </c>
      <c r="Q5" s="1" t="s">
        <v>33</v>
      </c>
    </row>
    <row r="6" spans="1:17" x14ac:dyDescent="0.3">
      <c r="A6" s="1">
        <v>5</v>
      </c>
      <c r="B6" s="1" t="s">
        <v>34</v>
      </c>
      <c r="C6" s="1" t="s">
        <v>35</v>
      </c>
      <c r="D6" s="1" t="s">
        <v>36</v>
      </c>
      <c r="E6" s="2">
        <v>36364</v>
      </c>
      <c r="F6" s="1">
        <v>254346</v>
      </c>
      <c r="G6" s="1" t="s">
        <v>37</v>
      </c>
      <c r="H6" s="1" t="s">
        <v>38</v>
      </c>
      <c r="I6" s="1" t="s">
        <v>39</v>
      </c>
      <c r="J6" s="3">
        <v>37708530</v>
      </c>
      <c r="P6" s="1" t="s">
        <v>36</v>
      </c>
      <c r="Q6" s="1" t="s">
        <v>39</v>
      </c>
    </row>
    <row r="7" spans="1:17" x14ac:dyDescent="0.3">
      <c r="A7" s="1">
        <v>6</v>
      </c>
      <c r="B7" s="1" t="s">
        <v>40</v>
      </c>
      <c r="C7" s="1" t="s">
        <v>41</v>
      </c>
      <c r="D7" s="1" t="s">
        <v>42</v>
      </c>
      <c r="E7" s="2">
        <v>32127</v>
      </c>
      <c r="F7" s="1">
        <v>839240</v>
      </c>
      <c r="G7" s="1" t="s">
        <v>43</v>
      </c>
      <c r="H7" s="1" t="s">
        <v>44</v>
      </c>
      <c r="I7" s="1" t="s">
        <v>45</v>
      </c>
      <c r="J7" s="3">
        <v>2829500</v>
      </c>
      <c r="P7" s="1" t="s">
        <v>42</v>
      </c>
      <c r="Q7" s="1" t="s">
        <v>45</v>
      </c>
    </row>
    <row r="8" spans="1:17" x14ac:dyDescent="0.3">
      <c r="A8" s="1">
        <v>7</v>
      </c>
      <c r="B8" s="1" t="s">
        <v>46</v>
      </c>
      <c r="C8" s="1" t="s">
        <v>47</v>
      </c>
      <c r="D8" s="1" t="s">
        <v>48</v>
      </c>
      <c r="E8" s="2">
        <v>33318</v>
      </c>
      <c r="F8" s="1">
        <v>258192</v>
      </c>
      <c r="G8" s="1" t="s">
        <v>49</v>
      </c>
      <c r="H8" s="1" t="s">
        <v>50</v>
      </c>
      <c r="I8" s="1" t="s">
        <v>51</v>
      </c>
      <c r="J8" s="3">
        <v>24867973</v>
      </c>
      <c r="P8" s="1" t="s">
        <v>48</v>
      </c>
      <c r="Q8" s="1" t="s">
        <v>51</v>
      </c>
    </row>
    <row r="9" spans="1:17" x14ac:dyDescent="0.3">
      <c r="A9" s="1">
        <v>8</v>
      </c>
      <c r="B9" s="1" t="s">
        <v>52</v>
      </c>
      <c r="C9" s="1" t="s">
        <v>53</v>
      </c>
      <c r="D9" s="1" t="s">
        <v>54</v>
      </c>
      <c r="E9" s="2">
        <v>31956</v>
      </c>
      <c r="F9" s="1">
        <v>823667</v>
      </c>
      <c r="G9" s="1" t="s">
        <v>55</v>
      </c>
      <c r="H9" s="1" t="s">
        <v>56</v>
      </c>
      <c r="I9" s="1" t="s">
        <v>57</v>
      </c>
      <c r="J9" s="3">
        <v>5921330</v>
      </c>
      <c r="P9" s="1" t="s">
        <v>54</v>
      </c>
      <c r="Q9" s="1" t="s">
        <v>57</v>
      </c>
    </row>
    <row r="10" spans="1:17" x14ac:dyDescent="0.3">
      <c r="A10" s="1">
        <v>9</v>
      </c>
      <c r="B10" s="1" t="s">
        <v>58</v>
      </c>
      <c r="C10" s="1" t="s">
        <v>59</v>
      </c>
      <c r="D10" s="1" t="s">
        <v>60</v>
      </c>
      <c r="E10" s="2">
        <v>33428</v>
      </c>
      <c r="F10" s="1">
        <v>10746</v>
      </c>
      <c r="G10" s="1" t="s">
        <v>61</v>
      </c>
      <c r="H10" s="1" t="s">
        <v>62</v>
      </c>
      <c r="I10" s="1" t="s">
        <v>63</v>
      </c>
      <c r="J10" s="3">
        <v>8474200</v>
      </c>
      <c r="P10" s="1" t="s">
        <v>60</v>
      </c>
      <c r="Q10" s="1" t="s">
        <v>63</v>
      </c>
    </row>
    <row r="11" spans="1:17" x14ac:dyDescent="0.3">
      <c r="A11" s="1">
        <v>10</v>
      </c>
      <c r="B11" s="1" t="s">
        <v>64</v>
      </c>
      <c r="C11" s="1" t="s">
        <v>65</v>
      </c>
      <c r="D11" s="1" t="s">
        <v>66</v>
      </c>
      <c r="E11" s="2">
        <v>37305</v>
      </c>
      <c r="F11" s="1">
        <v>818477</v>
      </c>
      <c r="G11" s="1" t="s">
        <v>67</v>
      </c>
      <c r="H11" s="1" t="s">
        <v>68</v>
      </c>
      <c r="I11" s="1" t="s">
        <v>69</v>
      </c>
      <c r="J11" s="3">
        <v>5609240</v>
      </c>
      <c r="P11" s="1" t="s">
        <v>66</v>
      </c>
      <c r="Q11" s="1" t="s">
        <v>69</v>
      </c>
    </row>
    <row r="12" spans="1:17" x14ac:dyDescent="0.3">
      <c r="A12" s="1">
        <v>11</v>
      </c>
      <c r="B12" s="1" t="s">
        <v>70</v>
      </c>
      <c r="C12" s="1" t="s">
        <v>71</v>
      </c>
      <c r="D12" s="1" t="s">
        <v>72</v>
      </c>
      <c r="E12" s="2">
        <v>31537</v>
      </c>
      <c r="F12" s="1">
        <v>340638</v>
      </c>
      <c r="G12" s="1" t="s">
        <v>73</v>
      </c>
      <c r="H12" s="1" t="s">
        <v>74</v>
      </c>
      <c r="I12" s="1" t="s">
        <v>75</v>
      </c>
      <c r="J12" s="3">
        <v>2885050</v>
      </c>
      <c r="P12" s="1" t="s">
        <v>72</v>
      </c>
      <c r="Q12" s="1" t="s">
        <v>75</v>
      </c>
    </row>
    <row r="13" spans="1:17" x14ac:dyDescent="0.3">
      <c r="A13" s="1">
        <v>12</v>
      </c>
      <c r="B13" s="1" t="s">
        <v>76</v>
      </c>
      <c r="C13" s="1" t="s">
        <v>77</v>
      </c>
      <c r="D13" s="1" t="s">
        <v>78</v>
      </c>
      <c r="E13" s="2">
        <v>29470</v>
      </c>
      <c r="F13" s="1">
        <v>846118</v>
      </c>
      <c r="G13" s="1" t="s">
        <v>79</v>
      </c>
      <c r="H13" s="1" t="s">
        <v>80</v>
      </c>
      <c r="I13" s="1" t="s">
        <v>81</v>
      </c>
      <c r="J13" s="3">
        <v>3507500</v>
      </c>
      <c r="P13" s="1" t="s">
        <v>78</v>
      </c>
      <c r="Q13" s="1" t="s">
        <v>81</v>
      </c>
    </row>
    <row r="14" spans="1:17" x14ac:dyDescent="0.3">
      <c r="A14" s="1">
        <v>13</v>
      </c>
      <c r="B14" s="1" t="s">
        <v>82</v>
      </c>
      <c r="C14" s="1" t="s">
        <v>83</v>
      </c>
      <c r="D14" s="1" t="s">
        <v>84</v>
      </c>
      <c r="E14" s="2">
        <v>29714</v>
      </c>
      <c r="F14" s="1">
        <v>442183</v>
      </c>
      <c r="G14" s="1" t="s">
        <v>85</v>
      </c>
      <c r="H14" s="1" t="s">
        <v>86</v>
      </c>
      <c r="I14" s="1" t="s">
        <v>87</v>
      </c>
      <c r="J14" s="3">
        <v>3819600</v>
      </c>
      <c r="P14" s="1" t="s">
        <v>84</v>
      </c>
      <c r="Q14" s="1" t="s">
        <v>87</v>
      </c>
    </row>
    <row r="15" spans="1:17" x14ac:dyDescent="0.3">
      <c r="A15" s="1">
        <v>14</v>
      </c>
      <c r="B15" s="1" t="s">
        <v>88</v>
      </c>
      <c r="C15" s="1" t="s">
        <v>89</v>
      </c>
      <c r="D15" s="1" t="s">
        <v>90</v>
      </c>
      <c r="E15" s="2">
        <v>38723</v>
      </c>
      <c r="F15" s="1">
        <v>599763</v>
      </c>
      <c r="G15" s="1" t="s">
        <v>91</v>
      </c>
      <c r="H15" s="1" t="s">
        <v>92</v>
      </c>
      <c r="I15" s="1" t="s">
        <v>93</v>
      </c>
      <c r="J15" s="3">
        <v>4217500</v>
      </c>
      <c r="P15" s="1" t="s">
        <v>90</v>
      </c>
      <c r="Q15" s="1" t="s">
        <v>93</v>
      </c>
    </row>
    <row r="16" spans="1:17" x14ac:dyDescent="0.3">
      <c r="A16" s="1">
        <v>15</v>
      </c>
      <c r="B16" s="1" t="s">
        <v>94</v>
      </c>
      <c r="C16" s="1" t="s">
        <v>95</v>
      </c>
      <c r="D16" s="1" t="s">
        <v>96</v>
      </c>
      <c r="E16" s="2">
        <v>33167</v>
      </c>
      <c r="F16" s="1">
        <v>994163</v>
      </c>
      <c r="G16" s="1" t="s">
        <v>97</v>
      </c>
      <c r="H16" s="1" t="s">
        <v>98</v>
      </c>
      <c r="I16" s="1" t="s">
        <v>99</v>
      </c>
      <c r="J16" s="3">
        <v>5751100</v>
      </c>
      <c r="P16" s="1" t="s">
        <v>96</v>
      </c>
      <c r="Q16" s="1" t="s">
        <v>99</v>
      </c>
    </row>
    <row r="17" spans="1:17" x14ac:dyDescent="0.3">
      <c r="A17" s="1">
        <v>16</v>
      </c>
      <c r="B17" s="1" t="s">
        <v>100</v>
      </c>
      <c r="C17" s="1" t="s">
        <v>101</v>
      </c>
      <c r="D17" s="1" t="s">
        <v>102</v>
      </c>
      <c r="E17" s="2">
        <v>34071</v>
      </c>
      <c r="F17" s="1">
        <v>446633</v>
      </c>
      <c r="G17" s="1" t="s">
        <v>103</v>
      </c>
      <c r="H17" s="1" t="s">
        <v>104</v>
      </c>
      <c r="I17" s="1" t="s">
        <v>105</v>
      </c>
      <c r="J17" s="3">
        <v>3144100</v>
      </c>
      <c r="P17" s="1" t="s">
        <v>102</v>
      </c>
      <c r="Q17" s="1" t="s">
        <v>105</v>
      </c>
    </row>
    <row r="18" spans="1:17" x14ac:dyDescent="0.3">
      <c r="A18" s="1">
        <v>17</v>
      </c>
      <c r="B18" s="1" t="s">
        <v>106</v>
      </c>
      <c r="C18" s="1" t="s">
        <v>107</v>
      </c>
      <c r="D18" s="1" t="s">
        <v>108</v>
      </c>
      <c r="E18" s="2">
        <v>30714</v>
      </c>
      <c r="F18" s="1">
        <v>167410</v>
      </c>
      <c r="G18" s="1" t="s">
        <v>109</v>
      </c>
      <c r="H18" s="1" t="s">
        <v>110</v>
      </c>
      <c r="I18" s="1" t="s">
        <v>111</v>
      </c>
      <c r="J18" s="3">
        <v>6868300</v>
      </c>
      <c r="P18" s="1" t="s">
        <v>108</v>
      </c>
      <c r="Q18" s="1" t="s">
        <v>111</v>
      </c>
    </row>
    <row r="19" spans="1:17" x14ac:dyDescent="0.3">
      <c r="A19" s="1">
        <v>18</v>
      </c>
      <c r="B19" s="1" t="s">
        <v>112</v>
      </c>
      <c r="C19" s="1" t="s">
        <v>113</v>
      </c>
      <c r="D19" s="1" t="s">
        <v>114</v>
      </c>
      <c r="E19" s="2">
        <v>39061</v>
      </c>
      <c r="F19" s="1">
        <v>807744</v>
      </c>
      <c r="G19" s="1" t="s">
        <v>115</v>
      </c>
      <c r="H19" s="1" t="s">
        <v>116</v>
      </c>
      <c r="I19" s="1" t="s">
        <v>117</v>
      </c>
      <c r="J19" s="3">
        <v>68900</v>
      </c>
      <c r="P19" s="1" t="s">
        <v>114</v>
      </c>
      <c r="Q19" s="1" t="s">
        <v>117</v>
      </c>
    </row>
    <row r="20" spans="1:17" x14ac:dyDescent="0.3">
      <c r="A20" s="1">
        <v>19</v>
      </c>
      <c r="B20" s="1" t="s">
        <v>118</v>
      </c>
      <c r="C20" s="1" t="s">
        <v>119</v>
      </c>
      <c r="D20" s="1" t="s">
        <v>120</v>
      </c>
      <c r="E20" s="2">
        <v>39511</v>
      </c>
      <c r="F20" s="1">
        <v>330928</v>
      </c>
      <c r="G20" s="1" t="s">
        <v>121</v>
      </c>
      <c r="H20" s="1" t="s">
        <v>122</v>
      </c>
      <c r="I20" s="1" t="s">
        <v>123</v>
      </c>
      <c r="J20" s="3">
        <v>822100</v>
      </c>
      <c r="P20" s="1" t="s">
        <v>120</v>
      </c>
      <c r="Q20" s="1" t="s">
        <v>123</v>
      </c>
    </row>
    <row r="21" spans="1:17" x14ac:dyDescent="0.3">
      <c r="A21" s="1">
        <v>20</v>
      </c>
      <c r="B21" s="1" t="s">
        <v>124</v>
      </c>
      <c r="C21" s="1" t="s">
        <v>125</v>
      </c>
      <c r="D21" s="1" t="s">
        <v>126</v>
      </c>
      <c r="E21" s="2">
        <v>35444</v>
      </c>
      <c r="F21" s="1">
        <v>676219</v>
      </c>
      <c r="G21" s="1" t="s">
        <v>127</v>
      </c>
      <c r="H21" s="1" t="s">
        <v>128</v>
      </c>
      <c r="I21" s="1" t="s">
        <v>129</v>
      </c>
      <c r="J21" s="3">
        <v>5259600</v>
      </c>
      <c r="P21" s="1" t="s">
        <v>126</v>
      </c>
      <c r="Q21" s="1" t="s">
        <v>129</v>
      </c>
    </row>
    <row r="22" spans="1:17" x14ac:dyDescent="0.3">
      <c r="A22" s="1">
        <v>21</v>
      </c>
      <c r="B22" s="1" t="s">
        <v>130</v>
      </c>
      <c r="C22" s="1" t="s">
        <v>131</v>
      </c>
      <c r="D22" s="1" t="s">
        <v>132</v>
      </c>
      <c r="E22" s="2">
        <v>31567</v>
      </c>
      <c r="F22" s="1">
        <v>951310</v>
      </c>
      <c r="G22" s="1" t="s">
        <v>133</v>
      </c>
      <c r="H22" s="1" t="s">
        <v>134</v>
      </c>
      <c r="I22" s="1" t="s">
        <v>135</v>
      </c>
      <c r="J22" s="3">
        <v>381521120</v>
      </c>
      <c r="P22" s="1" t="s">
        <v>132</v>
      </c>
      <c r="Q22" s="1" t="s">
        <v>135</v>
      </c>
    </row>
    <row r="23" spans="1:17" x14ac:dyDescent="0.3">
      <c r="A23" s="1">
        <v>22</v>
      </c>
      <c r="B23" s="1" t="s">
        <v>136</v>
      </c>
      <c r="C23" s="1" t="s">
        <v>137</v>
      </c>
      <c r="D23" s="1" t="s">
        <v>138</v>
      </c>
      <c r="E23" s="2">
        <v>37887</v>
      </c>
      <c r="F23" s="1">
        <v>728121</v>
      </c>
      <c r="G23" s="1" t="s">
        <v>139</v>
      </c>
      <c r="H23" s="1" t="s">
        <v>140</v>
      </c>
      <c r="I23" s="1" t="s">
        <v>141</v>
      </c>
      <c r="J23" s="3">
        <v>10615900</v>
      </c>
      <c r="P23" s="1" t="s">
        <v>138</v>
      </c>
      <c r="Q23" s="1" t="s">
        <v>141</v>
      </c>
    </row>
    <row r="24" spans="1:17" x14ac:dyDescent="0.3">
      <c r="A24" s="1">
        <v>23</v>
      </c>
      <c r="B24" s="1" t="s">
        <v>142</v>
      </c>
      <c r="C24" s="1" t="s">
        <v>143</v>
      </c>
      <c r="D24" s="1" t="s">
        <v>144</v>
      </c>
      <c r="E24" s="2">
        <v>32825</v>
      </c>
      <c r="F24" s="1">
        <v>590141</v>
      </c>
      <c r="G24" s="1" t="s">
        <v>145</v>
      </c>
      <c r="H24" s="1" t="s">
        <v>146</v>
      </c>
      <c r="I24" s="1" t="s">
        <v>147</v>
      </c>
      <c r="J24" s="3">
        <v>93400</v>
      </c>
      <c r="P24" s="1" t="s">
        <v>144</v>
      </c>
      <c r="Q24" s="1" t="s">
        <v>147</v>
      </c>
    </row>
    <row r="25" spans="1:17" x14ac:dyDescent="0.3">
      <c r="A25" s="1">
        <v>24</v>
      </c>
      <c r="B25" s="1" t="s">
        <v>148</v>
      </c>
      <c r="C25" s="1" t="s">
        <v>149</v>
      </c>
      <c r="D25" s="1" t="s">
        <v>150</v>
      </c>
      <c r="E25" s="2">
        <v>37991</v>
      </c>
      <c r="F25" s="1">
        <v>985973</v>
      </c>
      <c r="G25" s="1" t="s">
        <v>151</v>
      </c>
      <c r="H25" s="1" t="s">
        <v>152</v>
      </c>
      <c r="I25" s="1" t="s">
        <v>153</v>
      </c>
      <c r="J25" s="3">
        <v>7679600</v>
      </c>
      <c r="P25" s="1" t="s">
        <v>150</v>
      </c>
      <c r="Q25" s="1" t="s">
        <v>153</v>
      </c>
    </row>
    <row r="26" spans="1:17" x14ac:dyDescent="0.3">
      <c r="A26" s="1">
        <v>25</v>
      </c>
      <c r="B26" s="1" t="s">
        <v>154</v>
      </c>
      <c r="C26" s="1" t="s">
        <v>155</v>
      </c>
      <c r="D26" s="1" t="s">
        <v>156</v>
      </c>
      <c r="E26" s="2">
        <v>29729</v>
      </c>
      <c r="F26" s="1">
        <v>134692</v>
      </c>
      <c r="G26" s="1" t="s">
        <v>157</v>
      </c>
      <c r="H26" s="1" t="s">
        <v>158</v>
      </c>
      <c r="I26" s="1" t="s">
        <v>159</v>
      </c>
      <c r="J26" s="3">
        <v>960000</v>
      </c>
      <c r="P26" s="1" t="s">
        <v>156</v>
      </c>
      <c r="Q26" s="1" t="s">
        <v>159</v>
      </c>
    </row>
    <row r="27" spans="1:17" x14ac:dyDescent="0.3">
      <c r="A27" s="1">
        <v>26</v>
      </c>
      <c r="B27" s="1" t="s">
        <v>160</v>
      </c>
      <c r="C27" s="1" t="s">
        <v>161</v>
      </c>
      <c r="D27" s="1" t="s">
        <v>162</v>
      </c>
      <c r="E27" s="2">
        <v>37623</v>
      </c>
      <c r="F27" s="1">
        <v>567218</v>
      </c>
      <c r="G27" s="1" t="s">
        <v>163</v>
      </c>
      <c r="H27" s="1" t="s">
        <v>164</v>
      </c>
      <c r="I27" s="1" t="s">
        <v>165</v>
      </c>
      <c r="J27" s="3">
        <v>66746280</v>
      </c>
      <c r="P27" s="1" t="s">
        <v>162</v>
      </c>
      <c r="Q27" s="1" t="s">
        <v>165</v>
      </c>
    </row>
    <row r="28" spans="1:17" x14ac:dyDescent="0.3">
      <c r="A28" s="1">
        <v>27</v>
      </c>
      <c r="B28" s="1" t="s">
        <v>166</v>
      </c>
      <c r="C28" s="1" t="s">
        <v>167</v>
      </c>
      <c r="D28" s="1" t="s">
        <v>168</v>
      </c>
      <c r="E28" s="2">
        <v>30443</v>
      </c>
      <c r="F28" s="1">
        <v>190328</v>
      </c>
      <c r="G28" s="1" t="s">
        <v>169</v>
      </c>
      <c r="H28" s="1" t="s">
        <v>170</v>
      </c>
      <c r="I28" s="1" t="s">
        <v>171</v>
      </c>
      <c r="J28" s="3">
        <v>3644690</v>
      </c>
      <c r="P28" s="1" t="s">
        <v>168</v>
      </c>
      <c r="Q28" s="1" t="s">
        <v>171</v>
      </c>
    </row>
    <row r="29" spans="1:17" x14ac:dyDescent="0.3">
      <c r="A29" s="1">
        <v>28</v>
      </c>
      <c r="B29" s="1" t="s">
        <v>172</v>
      </c>
      <c r="C29" s="1" t="s">
        <v>173</v>
      </c>
      <c r="D29" s="1" t="s">
        <v>174</v>
      </c>
      <c r="E29" s="2">
        <v>38399</v>
      </c>
      <c r="F29" s="1">
        <v>7080</v>
      </c>
      <c r="G29" s="1" t="s">
        <v>175</v>
      </c>
      <c r="H29" s="1" t="s">
        <v>176</v>
      </c>
      <c r="I29" s="1" t="s">
        <v>177</v>
      </c>
      <c r="J29" s="3">
        <v>8975500</v>
      </c>
      <c r="P29" s="1" t="s">
        <v>174</v>
      </c>
      <c r="Q29" s="1" t="s">
        <v>177</v>
      </c>
    </row>
    <row r="30" spans="1:17" x14ac:dyDescent="0.3">
      <c r="A30" s="1">
        <v>29</v>
      </c>
      <c r="B30" s="1" t="s">
        <v>178</v>
      </c>
      <c r="C30" s="1" t="s">
        <v>179</v>
      </c>
      <c r="D30" s="1" t="s">
        <v>180</v>
      </c>
      <c r="E30" s="2">
        <v>31980</v>
      </c>
      <c r="F30" s="1">
        <v>14306</v>
      </c>
      <c r="G30" s="1" t="s">
        <v>181</v>
      </c>
      <c r="H30" s="1" t="s">
        <v>182</v>
      </c>
      <c r="I30" s="1" t="s">
        <v>183</v>
      </c>
      <c r="J30" s="3">
        <v>9442400</v>
      </c>
      <c r="P30" s="1" t="s">
        <v>180</v>
      </c>
      <c r="Q30" s="1" t="s">
        <v>183</v>
      </c>
    </row>
    <row r="31" spans="1:17" x14ac:dyDescent="0.3">
      <c r="A31" s="1">
        <v>30</v>
      </c>
      <c r="B31" s="1" t="s">
        <v>184</v>
      </c>
      <c r="C31" s="1" t="s">
        <v>185</v>
      </c>
      <c r="D31" s="1" t="s">
        <v>186</v>
      </c>
      <c r="E31" s="2">
        <v>35585</v>
      </c>
      <c r="F31" s="1">
        <v>150249</v>
      </c>
      <c r="G31" s="1" t="s">
        <v>157</v>
      </c>
      <c r="H31" s="1" t="s">
        <v>187</v>
      </c>
      <c r="I31" s="1" t="s">
        <v>188</v>
      </c>
      <c r="J31" s="3">
        <v>1799100</v>
      </c>
      <c r="P31" s="1" t="s">
        <v>186</v>
      </c>
      <c r="Q31" s="1" t="s">
        <v>188</v>
      </c>
    </row>
    <row r="32" spans="1:17" x14ac:dyDescent="0.3">
      <c r="A32" s="1">
        <v>31</v>
      </c>
      <c r="B32" s="1" t="s">
        <v>189</v>
      </c>
      <c r="C32" s="1" t="s">
        <v>190</v>
      </c>
      <c r="D32" s="1" t="s">
        <v>191</v>
      </c>
      <c r="E32" s="2">
        <v>38207</v>
      </c>
      <c r="F32" s="1">
        <v>427268</v>
      </c>
      <c r="G32" s="1" t="s">
        <v>192</v>
      </c>
      <c r="H32" s="1" t="s">
        <v>193</v>
      </c>
      <c r="I32" s="1" t="s">
        <v>194</v>
      </c>
      <c r="J32" s="3">
        <v>8470600</v>
      </c>
      <c r="P32" s="1" t="s">
        <v>191</v>
      </c>
      <c r="Q32" s="1" t="s">
        <v>194</v>
      </c>
    </row>
    <row r="33" spans="1:17" x14ac:dyDescent="0.3">
      <c r="A33" s="1">
        <v>32</v>
      </c>
      <c r="B33" s="1" t="s">
        <v>195</v>
      </c>
      <c r="C33" s="1" t="s">
        <v>196</v>
      </c>
      <c r="D33" s="1" t="s">
        <v>197</v>
      </c>
      <c r="E33" s="2">
        <v>38826</v>
      </c>
      <c r="F33" s="1">
        <v>951908</v>
      </c>
      <c r="G33" s="1" t="s">
        <v>198</v>
      </c>
      <c r="H33" s="1" t="s">
        <v>199</v>
      </c>
      <c r="I33" s="1" t="s">
        <v>200</v>
      </c>
      <c r="J33" s="3">
        <v>8421200</v>
      </c>
      <c r="P33" s="1" t="s">
        <v>197</v>
      </c>
      <c r="Q33" s="1" t="s">
        <v>200</v>
      </c>
    </row>
    <row r="34" spans="1:17" x14ac:dyDescent="0.3">
      <c r="A34" s="1">
        <v>33</v>
      </c>
      <c r="B34" s="1" t="s">
        <v>201</v>
      </c>
      <c r="C34" s="1" t="s">
        <v>202</v>
      </c>
      <c r="D34" s="1" t="s">
        <v>203</v>
      </c>
      <c r="E34" s="2">
        <v>35900</v>
      </c>
      <c r="F34" s="1">
        <v>59526</v>
      </c>
      <c r="G34" s="1" t="s">
        <v>204</v>
      </c>
      <c r="H34" s="1" t="s">
        <v>205</v>
      </c>
      <c r="I34" s="1" t="s">
        <v>206</v>
      </c>
      <c r="J34" s="3">
        <v>5574800</v>
      </c>
      <c r="P34" s="1" t="s">
        <v>203</v>
      </c>
      <c r="Q34" s="1" t="s">
        <v>206</v>
      </c>
    </row>
    <row r="35" spans="1:17" x14ac:dyDescent="0.3">
      <c r="A35" s="1">
        <v>34</v>
      </c>
      <c r="B35" s="1" t="s">
        <v>207</v>
      </c>
      <c r="C35" s="1" t="s">
        <v>208</v>
      </c>
      <c r="D35" s="1" t="s">
        <v>209</v>
      </c>
      <c r="E35" s="2">
        <v>35965</v>
      </c>
      <c r="F35" s="1">
        <v>526764</v>
      </c>
      <c r="G35" s="1" t="s">
        <v>204</v>
      </c>
      <c r="H35" s="1" t="s">
        <v>210</v>
      </c>
      <c r="I35" s="1" t="s">
        <v>211</v>
      </c>
      <c r="J35" s="3">
        <v>42203230</v>
      </c>
      <c r="P35" s="1" t="s">
        <v>209</v>
      </c>
      <c r="Q35" s="1" t="s">
        <v>211</v>
      </c>
    </row>
    <row r="36" spans="1:17" x14ac:dyDescent="0.3">
      <c r="A36" s="1">
        <v>35</v>
      </c>
      <c r="B36" s="1" t="s">
        <v>212</v>
      </c>
      <c r="C36" s="1" t="s">
        <v>213</v>
      </c>
      <c r="D36" s="1" t="s">
        <v>214</v>
      </c>
      <c r="E36" s="2">
        <v>30677</v>
      </c>
      <c r="F36" s="1">
        <v>976777</v>
      </c>
      <c r="G36" s="1" t="s">
        <v>215</v>
      </c>
      <c r="H36" s="1" t="s">
        <v>216</v>
      </c>
      <c r="I36" s="1" t="s">
        <v>217</v>
      </c>
      <c r="J36" s="3">
        <v>8338800</v>
      </c>
      <c r="P36" s="1" t="s">
        <v>214</v>
      </c>
      <c r="Q36" s="1" t="s">
        <v>217</v>
      </c>
    </row>
    <row r="37" spans="1:17" x14ac:dyDescent="0.3">
      <c r="A37" s="1">
        <v>36</v>
      </c>
      <c r="B37" s="1" t="s">
        <v>218</v>
      </c>
      <c r="C37" s="1" t="s">
        <v>219</v>
      </c>
      <c r="D37" s="1" t="s">
        <v>220</v>
      </c>
      <c r="E37" s="2">
        <v>36393</v>
      </c>
      <c r="F37" s="1">
        <v>978018</v>
      </c>
      <c r="G37" s="1" t="s">
        <v>221</v>
      </c>
      <c r="H37" s="1" t="s">
        <v>222</v>
      </c>
      <c r="I37" s="1" t="s">
        <v>223</v>
      </c>
      <c r="J37" s="3">
        <v>2756320</v>
      </c>
      <c r="P37" s="1" t="s">
        <v>220</v>
      </c>
      <c r="Q37" s="1" t="s">
        <v>223</v>
      </c>
    </row>
    <row r="38" spans="1:17" x14ac:dyDescent="0.3">
      <c r="A38" s="1">
        <v>37</v>
      </c>
      <c r="B38" s="1" t="s">
        <v>224</v>
      </c>
      <c r="C38" s="1" t="s">
        <v>225</v>
      </c>
      <c r="D38" s="1" t="s">
        <v>226</v>
      </c>
      <c r="E38" s="2">
        <v>39075</v>
      </c>
      <c r="F38" s="1">
        <v>883213</v>
      </c>
      <c r="G38" s="1" t="s">
        <v>227</v>
      </c>
      <c r="H38" s="1" t="s">
        <v>228</v>
      </c>
      <c r="I38" s="1" t="s">
        <v>229</v>
      </c>
      <c r="J38" s="3">
        <v>9495100</v>
      </c>
      <c r="P38" s="1" t="s">
        <v>226</v>
      </c>
      <c r="Q38" s="1" t="s">
        <v>229</v>
      </c>
    </row>
    <row r="39" spans="1:17" x14ac:dyDescent="0.3">
      <c r="A39" s="1">
        <v>38</v>
      </c>
      <c r="B39" s="1" t="s">
        <v>230</v>
      </c>
      <c r="C39" s="1" t="s">
        <v>231</v>
      </c>
      <c r="D39" s="1" t="s">
        <v>232</v>
      </c>
      <c r="E39" s="2">
        <v>40494</v>
      </c>
      <c r="F39" s="1">
        <v>273036</v>
      </c>
      <c r="G39" s="1" t="s">
        <v>233</v>
      </c>
      <c r="H39" s="1" t="s">
        <v>234</v>
      </c>
      <c r="I39" s="1" t="s">
        <v>235</v>
      </c>
      <c r="J39" s="3">
        <v>9339900</v>
      </c>
      <c r="P39" s="1" t="s">
        <v>232</v>
      </c>
      <c r="Q39" s="1" t="s">
        <v>235</v>
      </c>
    </row>
    <row r="40" spans="1:17" x14ac:dyDescent="0.3">
      <c r="A40" s="1">
        <v>39</v>
      </c>
      <c r="B40" s="1" t="s">
        <v>236</v>
      </c>
      <c r="C40" s="1" t="s">
        <v>237</v>
      </c>
      <c r="D40" s="1" t="s">
        <v>238</v>
      </c>
      <c r="E40" s="2">
        <v>34841</v>
      </c>
      <c r="F40" s="1">
        <v>293452</v>
      </c>
      <c r="G40" s="1" t="s">
        <v>239</v>
      </c>
      <c r="H40" s="1" t="s">
        <v>240</v>
      </c>
      <c r="I40" s="1" t="s">
        <v>241</v>
      </c>
      <c r="J40" s="3">
        <v>3537700</v>
      </c>
      <c r="P40" s="1" t="s">
        <v>238</v>
      </c>
      <c r="Q40" s="1" t="s">
        <v>241</v>
      </c>
    </row>
    <row r="41" spans="1:17" x14ac:dyDescent="0.3">
      <c r="A41" s="1">
        <v>40</v>
      </c>
      <c r="B41" s="1" t="s">
        <v>242</v>
      </c>
      <c r="C41" s="1" t="s">
        <v>243</v>
      </c>
      <c r="D41" s="1" t="s">
        <v>244</v>
      </c>
      <c r="E41" s="2">
        <v>32976</v>
      </c>
      <c r="F41" s="1">
        <v>473638</v>
      </c>
      <c r="G41" s="1" t="s">
        <v>245</v>
      </c>
      <c r="H41" s="1" t="s">
        <v>246</v>
      </c>
      <c r="I41" s="1" t="s">
        <v>247</v>
      </c>
      <c r="J41" s="3">
        <v>4261900</v>
      </c>
      <c r="P41" s="1" t="s">
        <v>244</v>
      </c>
      <c r="Q41" s="1" t="s">
        <v>247</v>
      </c>
    </row>
    <row r="42" spans="1:17" x14ac:dyDescent="0.3">
      <c r="E42" s="2"/>
      <c r="J42" s="45"/>
    </row>
    <row r="43" spans="1:17" x14ac:dyDescent="0.3">
      <c r="E43" s="2"/>
      <c r="J43" s="45"/>
    </row>
    <row r="44" spans="1:17" x14ac:dyDescent="0.3">
      <c r="E44" s="2"/>
      <c r="J44" s="45"/>
    </row>
    <row r="45" spans="1:17" x14ac:dyDescent="0.3">
      <c r="E45" s="2"/>
      <c r="J45" s="45"/>
    </row>
    <row r="46" spans="1:17" x14ac:dyDescent="0.3">
      <c r="E46" s="2"/>
      <c r="J46" s="45"/>
    </row>
    <row r="47" spans="1:17" x14ac:dyDescent="0.3">
      <c r="E47" s="2"/>
      <c r="J47" s="45"/>
    </row>
    <row r="48" spans="1:17" x14ac:dyDescent="0.3">
      <c r="E48" s="2"/>
      <c r="J48" s="45"/>
    </row>
    <row r="49" spans="5:10" x14ac:dyDescent="0.3">
      <c r="E49" s="2"/>
      <c r="J49" s="45"/>
    </row>
    <row r="50" spans="5:10" x14ac:dyDescent="0.3">
      <c r="E50" s="2"/>
      <c r="J50" s="45"/>
    </row>
    <row r="51" spans="5:10" x14ac:dyDescent="0.3">
      <c r="E51" s="2"/>
      <c r="J51" s="45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W29"/>
  <sheetViews>
    <sheetView zoomScale="55" zoomScaleNormal="55" workbookViewId="0">
      <selection activeCell="C58" sqref="C58"/>
    </sheetView>
  </sheetViews>
  <sheetFormatPr defaultRowHeight="16.5" x14ac:dyDescent="0.3"/>
  <cols>
    <col min="1" max="1" width="9" style="1"/>
    <col min="2" max="2" width="37.125" style="1" bestFit="1" customWidth="1"/>
    <col min="3" max="3" width="54" style="1" bestFit="1" customWidth="1"/>
    <col min="4" max="4" width="9.75" style="1" bestFit="1" customWidth="1"/>
    <col min="5" max="5" width="10.875" style="1" customWidth="1"/>
    <col min="6" max="6" width="10.25" style="1" customWidth="1"/>
    <col min="7" max="7" width="17.125" style="1" customWidth="1"/>
    <col min="8" max="8" width="10.875" style="1" customWidth="1"/>
    <col min="9" max="9" width="9.625" style="3" customWidth="1"/>
    <col min="11" max="13" width="8.5" style="1" customWidth="1"/>
    <col min="14" max="14" width="3.25" style="1" customWidth="1"/>
    <col min="15" max="18" width="8.5" style="1" customWidth="1"/>
    <col min="19" max="19" width="3.25" style="1" customWidth="1"/>
    <col min="20" max="21" width="8.5" style="1" customWidth="1"/>
    <col min="22" max="22" width="3.25" style="1" customWidth="1"/>
    <col min="23" max="28" width="8.5" style="1" customWidth="1"/>
    <col min="29" max="29" width="3.25" style="1" customWidth="1"/>
    <col min="30" max="30" width="5.75" style="1" bestFit="1" customWidth="1"/>
    <col min="31" max="34" width="8.5" style="1" customWidth="1"/>
    <col min="35" max="35" width="3.625" style="1" customWidth="1"/>
    <col min="36" max="39" width="8.5" style="1" customWidth="1"/>
    <col min="40" max="40" width="3.625" style="1" customWidth="1"/>
    <col min="41" max="42" width="8.5" style="1" customWidth="1"/>
    <col min="43" max="43" width="3.625" style="1" customWidth="1"/>
    <col min="44" max="49" width="8.5" style="1" customWidth="1"/>
  </cols>
  <sheetData>
    <row r="1" spans="1:49" x14ac:dyDescent="0.3">
      <c r="A1" s="1" t="s">
        <v>0</v>
      </c>
      <c r="B1" s="1" t="s">
        <v>3</v>
      </c>
      <c r="C1" s="1" t="s">
        <v>248</v>
      </c>
      <c r="D1" s="1" t="s">
        <v>249</v>
      </c>
      <c r="E1" s="1" t="s">
        <v>250</v>
      </c>
      <c r="F1" s="1" t="s">
        <v>251</v>
      </c>
      <c r="G1" s="1" t="s">
        <v>252</v>
      </c>
      <c r="H1" s="1" t="s">
        <v>253</v>
      </c>
      <c r="I1" s="3" t="s">
        <v>254</v>
      </c>
      <c r="K1" s="10" t="s">
        <v>718</v>
      </c>
      <c r="L1" s="10" t="s">
        <v>719</v>
      </c>
      <c r="M1" s="10" t="s">
        <v>720</v>
      </c>
      <c r="N1" s="4" t="s">
        <v>721</v>
      </c>
      <c r="O1" s="10" t="s">
        <v>722</v>
      </c>
      <c r="P1" s="10" t="s">
        <v>723</v>
      </c>
      <c r="Q1" s="10" t="s">
        <v>724</v>
      </c>
      <c r="R1" s="10" t="s">
        <v>725</v>
      </c>
      <c r="S1" s="4" t="s">
        <v>726</v>
      </c>
      <c r="T1" s="10" t="s">
        <v>727</v>
      </c>
      <c r="U1" s="10" t="s">
        <v>728</v>
      </c>
      <c r="V1" s="4" t="s">
        <v>729</v>
      </c>
      <c r="W1" s="10" t="s">
        <v>730</v>
      </c>
      <c r="X1" s="10" t="s">
        <v>731</v>
      </c>
      <c r="Y1" s="10" t="s">
        <v>732</v>
      </c>
      <c r="Z1" s="10" t="s">
        <v>737</v>
      </c>
      <c r="AA1" s="10" t="s">
        <v>733</v>
      </c>
      <c r="AB1" s="10" t="s">
        <v>734</v>
      </c>
      <c r="AC1" s="4" t="s">
        <v>735</v>
      </c>
      <c r="AD1" s="4" t="s">
        <v>736</v>
      </c>
      <c r="AF1" s="12" t="s">
        <v>718</v>
      </c>
      <c r="AG1" s="12" t="s">
        <v>719</v>
      </c>
      <c r="AH1" s="12" t="s">
        <v>720</v>
      </c>
      <c r="AJ1" s="12" t="s">
        <v>722</v>
      </c>
      <c r="AK1" s="12" t="s">
        <v>723</v>
      </c>
      <c r="AL1" s="12" t="s">
        <v>724</v>
      </c>
      <c r="AM1" s="12" t="s">
        <v>725</v>
      </c>
      <c r="AO1" s="12" t="s">
        <v>727</v>
      </c>
      <c r="AP1" s="12" t="s">
        <v>728</v>
      </c>
      <c r="AR1" s="12" t="s">
        <v>730</v>
      </c>
      <c r="AS1" s="12" t="s">
        <v>731</v>
      </c>
      <c r="AT1" s="12" t="s">
        <v>732</v>
      </c>
      <c r="AU1" s="12" t="s">
        <v>737</v>
      </c>
      <c r="AV1" s="12" t="s">
        <v>733</v>
      </c>
      <c r="AW1" s="12" t="s">
        <v>734</v>
      </c>
    </row>
    <row r="2" spans="1:49" x14ac:dyDescent="0.3">
      <c r="A2" s="1">
        <v>1</v>
      </c>
      <c r="B2" s="1" t="s">
        <v>255</v>
      </c>
      <c r="C2" s="1" t="s">
        <v>256</v>
      </c>
      <c r="D2" s="1" t="s">
        <v>257</v>
      </c>
      <c r="E2" s="1" t="s">
        <v>258</v>
      </c>
      <c r="F2" s="5">
        <v>3.9E-2</v>
      </c>
      <c r="G2" s="1" t="s">
        <v>259</v>
      </c>
      <c r="H2" s="1">
        <v>4</v>
      </c>
      <c r="I2" s="3">
        <v>0</v>
      </c>
      <c r="K2" s="11">
        <f>OR(LEFT($D2, 2)=K$1, RIGHT($D2, 2)=K$1)*AF$2</f>
        <v>0</v>
      </c>
      <c r="L2" s="11">
        <f t="shared" ref="L2:L17" si="0">OR(LEFT($D2, 2)=L$1, RIGHT($D2, 2)=L$1)*AG$2</f>
        <v>0</v>
      </c>
      <c r="M2" s="11">
        <f>($D2=M$1)*AH$2</f>
        <v>0</v>
      </c>
      <c r="N2" s="4">
        <f>IF(COUNTIF($AF$2:$AH$2, "")=3,3, SUM(K2:M2))</f>
        <v>3</v>
      </c>
      <c r="O2" s="11">
        <f>fn카테고리($E2, O$1)*AJ$2</f>
        <v>0</v>
      </c>
      <c r="P2" s="11">
        <f t="shared" ref="P2:R17" si="1">fn카테고리($E2, P$1)*AK$2</f>
        <v>0</v>
      </c>
      <c r="Q2" s="11">
        <f t="shared" si="1"/>
        <v>0</v>
      </c>
      <c r="R2" s="11">
        <f t="shared" si="1"/>
        <v>0</v>
      </c>
      <c r="S2" s="4">
        <f>IF(COUNTIF($AJ$2:$AM$2,"")=4,4,SUM(O2:R2))</f>
        <v>4</v>
      </c>
      <c r="T2" s="11">
        <f>(($I2=0)*AO$2)*1</f>
        <v>0</v>
      </c>
      <c r="U2" s="11">
        <f>(($I2&gt;0)*AP$2)*1</f>
        <v>0</v>
      </c>
      <c r="V2" s="4">
        <f>IF(COUNTIF($AO$2:$AP$2,"")=2,2,SUM(T2:U2))</f>
        <v>2</v>
      </c>
      <c r="W2" s="11">
        <f>fn카드이름($G2, W$1)*AR$2</f>
        <v>0</v>
      </c>
      <c r="X2" s="11">
        <f t="shared" ref="X2:AB17" si="2">fn카드이름($G2, X$1)*AS$2</f>
        <v>0</v>
      </c>
      <c r="Y2" s="11">
        <f t="shared" si="2"/>
        <v>0</v>
      </c>
      <c r="Z2" s="11">
        <f t="shared" si="2"/>
        <v>0</v>
      </c>
      <c r="AA2" s="11">
        <f t="shared" si="2"/>
        <v>0</v>
      </c>
      <c r="AB2" s="11">
        <f t="shared" si="2"/>
        <v>0</v>
      </c>
      <c r="AC2" s="4">
        <f>IF(COUNTIF($AR$2:$AW$2,"")=6, 6, SUM(W2:AB2))</f>
        <v>6</v>
      </c>
      <c r="AD2" s="4">
        <f>PRODUCT(N2,S2,V2,AC2)</f>
        <v>144</v>
      </c>
      <c r="AF2" s="11"/>
      <c r="AG2" s="11"/>
      <c r="AH2" s="11"/>
      <c r="AJ2" s="11"/>
      <c r="AK2" s="11"/>
      <c r="AL2" s="11"/>
      <c r="AM2" s="11"/>
      <c r="AO2" s="11"/>
      <c r="AP2" s="11"/>
      <c r="AR2" s="11"/>
      <c r="AS2" s="11"/>
      <c r="AT2" s="11"/>
      <c r="AU2" s="11"/>
      <c r="AV2" s="11"/>
      <c r="AW2" s="11"/>
    </row>
    <row r="3" spans="1:49" x14ac:dyDescent="0.3">
      <c r="A3" s="1">
        <v>2</v>
      </c>
      <c r="B3" s="1" t="s">
        <v>260</v>
      </c>
      <c r="C3" s="1" t="s">
        <v>261</v>
      </c>
      <c r="D3" s="1" t="s">
        <v>257</v>
      </c>
      <c r="E3" s="1" t="s">
        <v>262</v>
      </c>
      <c r="F3" s="5">
        <v>4.9000000000000002E-2</v>
      </c>
      <c r="G3" s="1" t="s">
        <v>259</v>
      </c>
      <c r="H3" s="1">
        <v>5</v>
      </c>
      <c r="I3" s="3">
        <v>0</v>
      </c>
      <c r="K3" s="11">
        <f t="shared" ref="K3:K28" si="3">OR(LEFT($D3, 2)=K$1, RIGHT($D3, 2)=K$1)*AF$2</f>
        <v>0</v>
      </c>
      <c r="L3" s="11">
        <f t="shared" si="0"/>
        <v>0</v>
      </c>
      <c r="M3" s="11">
        <f t="shared" ref="M3:M28" si="4">($D3=M$1)*AH$2</f>
        <v>0</v>
      </c>
      <c r="N3" s="4">
        <f t="shared" ref="N3:N28" si="5">IF(COUNTIF($AF$2:$AH$2, "")=3,3, SUM(K3:M3))</f>
        <v>3</v>
      </c>
      <c r="O3" s="11">
        <f t="shared" ref="O3:O28" si="6">fn카테고리($E3, O$1)*AJ$2</f>
        <v>0</v>
      </c>
      <c r="P3" s="11">
        <f t="shared" si="1"/>
        <v>0</v>
      </c>
      <c r="Q3" s="11">
        <f t="shared" si="1"/>
        <v>0</v>
      </c>
      <c r="R3" s="11">
        <f t="shared" si="1"/>
        <v>0</v>
      </c>
      <c r="S3" s="4">
        <f t="shared" ref="S3:S28" si="7">IF(COUNTIF($AJ$2:$AM$2,"")=4,4,SUM(O3:R3))</f>
        <v>4</v>
      </c>
      <c r="T3" s="11">
        <f t="shared" ref="T3:T28" si="8">(($I3=0)*AO$2)*1</f>
        <v>0</v>
      </c>
      <c r="U3" s="11">
        <f t="shared" ref="U3:U28" si="9">(($I3&gt;0)*AP$2)*1</f>
        <v>0</v>
      </c>
      <c r="V3" s="4">
        <f t="shared" ref="V3:V28" si="10">IF(COUNTIF($AO$2:$AP$2,"")=2,2,SUM(T3:U3))</f>
        <v>2</v>
      </c>
      <c r="W3" s="11">
        <f t="shared" ref="W3:W28" si="11">fn카드이름($G3, W$1)*AR$2</f>
        <v>0</v>
      </c>
      <c r="X3" s="11">
        <f t="shared" si="2"/>
        <v>0</v>
      </c>
      <c r="Y3" s="11">
        <f t="shared" si="2"/>
        <v>0</v>
      </c>
      <c r="Z3" s="11">
        <f t="shared" si="2"/>
        <v>0</v>
      </c>
      <c r="AA3" s="11">
        <f t="shared" si="2"/>
        <v>0</v>
      </c>
      <c r="AB3" s="11">
        <f t="shared" si="2"/>
        <v>0</v>
      </c>
      <c r="AC3" s="4">
        <f t="shared" ref="AC3:AC28" si="12">IF(COUNTIF($AR$2:$AW$2,"")=6, 6, SUM(W3:AB3))</f>
        <v>6</v>
      </c>
      <c r="AD3" s="4">
        <f t="shared" ref="AD3:AD28" si="13">PRODUCT(N3,S3,V3,AC3)</f>
        <v>144</v>
      </c>
    </row>
    <row r="4" spans="1:49" x14ac:dyDescent="0.3">
      <c r="A4" s="1">
        <v>3</v>
      </c>
      <c r="B4" s="1" t="s">
        <v>263</v>
      </c>
      <c r="C4" s="1" t="s">
        <v>261</v>
      </c>
      <c r="D4" s="1" t="s">
        <v>257</v>
      </c>
      <c r="E4" s="1" t="s">
        <v>264</v>
      </c>
      <c r="F4" s="5">
        <v>2.9000000000000001E-2</v>
      </c>
      <c r="G4" s="1" t="s">
        <v>259</v>
      </c>
      <c r="H4" s="1">
        <v>5</v>
      </c>
      <c r="I4" s="3">
        <v>0</v>
      </c>
      <c r="K4" s="11">
        <f t="shared" si="3"/>
        <v>0</v>
      </c>
      <c r="L4" s="11">
        <f t="shared" si="0"/>
        <v>0</v>
      </c>
      <c r="M4" s="11">
        <f t="shared" si="4"/>
        <v>0</v>
      </c>
      <c r="N4" s="4">
        <f t="shared" si="5"/>
        <v>3</v>
      </c>
      <c r="O4" s="11">
        <f t="shared" si="6"/>
        <v>0</v>
      </c>
      <c r="P4" s="11">
        <f t="shared" si="1"/>
        <v>0</v>
      </c>
      <c r="Q4" s="11">
        <f t="shared" si="1"/>
        <v>0</v>
      </c>
      <c r="R4" s="11">
        <f t="shared" si="1"/>
        <v>0</v>
      </c>
      <c r="S4" s="4">
        <f t="shared" si="7"/>
        <v>4</v>
      </c>
      <c r="T4" s="11">
        <f t="shared" si="8"/>
        <v>0</v>
      </c>
      <c r="U4" s="11">
        <f t="shared" si="9"/>
        <v>0</v>
      </c>
      <c r="V4" s="4">
        <f t="shared" si="10"/>
        <v>2</v>
      </c>
      <c r="W4" s="11">
        <f t="shared" si="11"/>
        <v>0</v>
      </c>
      <c r="X4" s="11">
        <f t="shared" si="2"/>
        <v>0</v>
      </c>
      <c r="Y4" s="11">
        <f t="shared" si="2"/>
        <v>0</v>
      </c>
      <c r="Z4" s="11">
        <f t="shared" si="2"/>
        <v>0</v>
      </c>
      <c r="AA4" s="11">
        <f t="shared" si="2"/>
        <v>0</v>
      </c>
      <c r="AB4" s="11">
        <f t="shared" si="2"/>
        <v>0</v>
      </c>
      <c r="AC4" s="4">
        <f t="shared" si="12"/>
        <v>6</v>
      </c>
      <c r="AD4" s="4">
        <f t="shared" si="13"/>
        <v>144</v>
      </c>
    </row>
    <row r="5" spans="1:49" x14ac:dyDescent="0.3">
      <c r="A5" s="1">
        <v>4</v>
      </c>
      <c r="B5" s="1" t="s">
        <v>265</v>
      </c>
      <c r="C5" s="1" t="s">
        <v>266</v>
      </c>
      <c r="D5" s="1" t="s">
        <v>267</v>
      </c>
      <c r="E5" s="1">
        <v>7</v>
      </c>
      <c r="F5" s="5">
        <v>2.9000000000000001E-2</v>
      </c>
      <c r="G5" s="1" t="s">
        <v>268</v>
      </c>
      <c r="H5" s="1">
        <v>5</v>
      </c>
      <c r="I5" s="3">
        <v>95000</v>
      </c>
      <c r="K5" s="11">
        <f t="shared" si="3"/>
        <v>0</v>
      </c>
      <c r="L5" s="11">
        <f t="shared" si="0"/>
        <v>0</v>
      </c>
      <c r="M5" s="11">
        <f t="shared" si="4"/>
        <v>0</v>
      </c>
      <c r="N5" s="4">
        <f t="shared" si="5"/>
        <v>3</v>
      </c>
      <c r="O5" s="11">
        <f t="shared" si="6"/>
        <v>0</v>
      </c>
      <c r="P5" s="11">
        <f t="shared" si="1"/>
        <v>0</v>
      </c>
      <c r="Q5" s="11">
        <f t="shared" si="1"/>
        <v>0</v>
      </c>
      <c r="R5" s="11">
        <f t="shared" si="1"/>
        <v>0</v>
      </c>
      <c r="S5" s="4">
        <f t="shared" si="7"/>
        <v>4</v>
      </c>
      <c r="T5" s="11">
        <f t="shared" si="8"/>
        <v>0</v>
      </c>
      <c r="U5" s="11">
        <f t="shared" si="9"/>
        <v>0</v>
      </c>
      <c r="V5" s="4">
        <f t="shared" si="10"/>
        <v>2</v>
      </c>
      <c r="W5" s="11">
        <f t="shared" si="11"/>
        <v>0</v>
      </c>
      <c r="X5" s="11">
        <f t="shared" si="2"/>
        <v>0</v>
      </c>
      <c r="Y5" s="11">
        <f t="shared" si="2"/>
        <v>0</v>
      </c>
      <c r="Z5" s="11">
        <f t="shared" si="2"/>
        <v>0</v>
      </c>
      <c r="AA5" s="11">
        <f t="shared" si="2"/>
        <v>0</v>
      </c>
      <c r="AB5" s="11">
        <f t="shared" si="2"/>
        <v>0</v>
      </c>
      <c r="AC5" s="4">
        <f t="shared" si="12"/>
        <v>6</v>
      </c>
      <c r="AD5" s="4">
        <f t="shared" si="13"/>
        <v>144</v>
      </c>
    </row>
    <row r="6" spans="1:49" x14ac:dyDescent="0.3">
      <c r="A6" s="1">
        <v>5</v>
      </c>
      <c r="B6" s="1" t="s">
        <v>269</v>
      </c>
      <c r="C6" s="1" t="s">
        <v>270</v>
      </c>
      <c r="D6" s="1" t="s">
        <v>267</v>
      </c>
      <c r="E6" s="1" t="s">
        <v>271</v>
      </c>
      <c r="F6" s="5">
        <v>3.9E-2</v>
      </c>
      <c r="G6" s="1" t="s">
        <v>272</v>
      </c>
      <c r="H6" s="1">
        <v>3</v>
      </c>
      <c r="I6" s="3">
        <v>550000</v>
      </c>
      <c r="K6" s="11">
        <f t="shared" si="3"/>
        <v>0</v>
      </c>
      <c r="L6" s="11">
        <f t="shared" si="0"/>
        <v>0</v>
      </c>
      <c r="M6" s="11">
        <f t="shared" si="4"/>
        <v>0</v>
      </c>
      <c r="N6" s="4">
        <f t="shared" si="5"/>
        <v>3</v>
      </c>
      <c r="O6" s="11">
        <f t="shared" si="6"/>
        <v>0</v>
      </c>
      <c r="P6" s="11">
        <f t="shared" si="1"/>
        <v>0</v>
      </c>
      <c r="Q6" s="11">
        <f t="shared" si="1"/>
        <v>0</v>
      </c>
      <c r="R6" s="11">
        <f t="shared" si="1"/>
        <v>0</v>
      </c>
      <c r="S6" s="4">
        <f t="shared" si="7"/>
        <v>4</v>
      </c>
      <c r="T6" s="11">
        <f t="shared" si="8"/>
        <v>0</v>
      </c>
      <c r="U6" s="11">
        <f t="shared" si="9"/>
        <v>0</v>
      </c>
      <c r="V6" s="4">
        <f t="shared" si="10"/>
        <v>2</v>
      </c>
      <c r="W6" s="11">
        <f t="shared" si="11"/>
        <v>0</v>
      </c>
      <c r="X6" s="11">
        <f t="shared" si="2"/>
        <v>0</v>
      </c>
      <c r="Y6" s="11">
        <f t="shared" si="2"/>
        <v>0</v>
      </c>
      <c r="Z6" s="11">
        <f t="shared" si="2"/>
        <v>0</v>
      </c>
      <c r="AA6" s="11">
        <f t="shared" si="2"/>
        <v>0</v>
      </c>
      <c r="AB6" s="11">
        <f t="shared" si="2"/>
        <v>0</v>
      </c>
      <c r="AC6" s="4">
        <f t="shared" si="12"/>
        <v>6</v>
      </c>
      <c r="AD6" s="4">
        <f t="shared" si="13"/>
        <v>144</v>
      </c>
    </row>
    <row r="7" spans="1:49" x14ac:dyDescent="0.3">
      <c r="A7" s="1">
        <v>6</v>
      </c>
      <c r="B7" s="1" t="s">
        <v>273</v>
      </c>
      <c r="C7" s="1" t="s">
        <v>274</v>
      </c>
      <c r="D7" s="1" t="s">
        <v>267</v>
      </c>
      <c r="E7" s="1" t="s">
        <v>275</v>
      </c>
      <c r="F7" s="5">
        <v>5.8999999999999997E-2</v>
      </c>
      <c r="G7" s="1" t="s">
        <v>276</v>
      </c>
      <c r="H7" s="1">
        <v>4</v>
      </c>
      <c r="I7" s="3">
        <v>149000</v>
      </c>
      <c r="K7" s="11">
        <f t="shared" si="3"/>
        <v>0</v>
      </c>
      <c r="L7" s="11">
        <f t="shared" si="0"/>
        <v>0</v>
      </c>
      <c r="M7" s="11">
        <f t="shared" si="4"/>
        <v>0</v>
      </c>
      <c r="N7" s="4">
        <f t="shared" si="5"/>
        <v>3</v>
      </c>
      <c r="O7" s="11">
        <f t="shared" si="6"/>
        <v>0</v>
      </c>
      <c r="P7" s="11">
        <f t="shared" si="1"/>
        <v>0</v>
      </c>
      <c r="Q7" s="11">
        <f t="shared" si="1"/>
        <v>0</v>
      </c>
      <c r="R7" s="11">
        <f t="shared" si="1"/>
        <v>0</v>
      </c>
      <c r="S7" s="4">
        <f t="shared" si="7"/>
        <v>4</v>
      </c>
      <c r="T7" s="11">
        <f t="shared" si="8"/>
        <v>0</v>
      </c>
      <c r="U7" s="11">
        <f t="shared" si="9"/>
        <v>0</v>
      </c>
      <c r="V7" s="4">
        <f t="shared" si="10"/>
        <v>2</v>
      </c>
      <c r="W7" s="11">
        <f t="shared" si="11"/>
        <v>0</v>
      </c>
      <c r="X7" s="11">
        <f t="shared" si="2"/>
        <v>0</v>
      </c>
      <c r="Y7" s="11">
        <f t="shared" si="2"/>
        <v>0</v>
      </c>
      <c r="Z7" s="11">
        <f t="shared" si="2"/>
        <v>0</v>
      </c>
      <c r="AA7" s="11">
        <f t="shared" si="2"/>
        <v>0</v>
      </c>
      <c r="AB7" s="11">
        <f t="shared" si="2"/>
        <v>0</v>
      </c>
      <c r="AC7" s="4">
        <f t="shared" si="12"/>
        <v>6</v>
      </c>
      <c r="AD7" s="4">
        <f t="shared" si="13"/>
        <v>144</v>
      </c>
    </row>
    <row r="8" spans="1:49" x14ac:dyDescent="0.3">
      <c r="A8" s="1">
        <v>7</v>
      </c>
      <c r="B8" s="1" t="s">
        <v>277</v>
      </c>
      <c r="C8" s="1" t="s">
        <v>278</v>
      </c>
      <c r="D8" s="1" t="s">
        <v>267</v>
      </c>
      <c r="E8" s="1" t="s">
        <v>279</v>
      </c>
      <c r="F8" s="5">
        <v>4.9000000000000002E-2</v>
      </c>
      <c r="G8" s="1" t="s">
        <v>276</v>
      </c>
      <c r="H8" s="1">
        <v>5</v>
      </c>
      <c r="I8" s="3">
        <v>79000</v>
      </c>
      <c r="K8" s="11">
        <f t="shared" si="3"/>
        <v>0</v>
      </c>
      <c r="L8" s="11">
        <f t="shared" si="0"/>
        <v>0</v>
      </c>
      <c r="M8" s="11">
        <f t="shared" si="4"/>
        <v>0</v>
      </c>
      <c r="N8" s="4">
        <f t="shared" si="5"/>
        <v>3</v>
      </c>
      <c r="O8" s="11">
        <f t="shared" si="6"/>
        <v>0</v>
      </c>
      <c r="P8" s="11">
        <f t="shared" si="1"/>
        <v>0</v>
      </c>
      <c r="Q8" s="11">
        <f t="shared" si="1"/>
        <v>0</v>
      </c>
      <c r="R8" s="11">
        <f t="shared" si="1"/>
        <v>0</v>
      </c>
      <c r="S8" s="4">
        <f t="shared" si="7"/>
        <v>4</v>
      </c>
      <c r="T8" s="11">
        <f t="shared" si="8"/>
        <v>0</v>
      </c>
      <c r="U8" s="11">
        <f t="shared" si="9"/>
        <v>0</v>
      </c>
      <c r="V8" s="4">
        <f t="shared" si="10"/>
        <v>2</v>
      </c>
      <c r="W8" s="11">
        <f t="shared" si="11"/>
        <v>0</v>
      </c>
      <c r="X8" s="11">
        <f t="shared" si="2"/>
        <v>0</v>
      </c>
      <c r="Y8" s="11">
        <f t="shared" si="2"/>
        <v>0</v>
      </c>
      <c r="Z8" s="11">
        <f t="shared" si="2"/>
        <v>0</v>
      </c>
      <c r="AA8" s="11">
        <f t="shared" si="2"/>
        <v>0</v>
      </c>
      <c r="AB8" s="11">
        <f t="shared" si="2"/>
        <v>0</v>
      </c>
      <c r="AC8" s="4">
        <f t="shared" si="12"/>
        <v>6</v>
      </c>
      <c r="AD8" s="4">
        <f t="shared" si="13"/>
        <v>144</v>
      </c>
    </row>
    <row r="9" spans="1:49" x14ac:dyDescent="0.3">
      <c r="A9" s="1">
        <v>8</v>
      </c>
      <c r="B9" s="1" t="s">
        <v>280</v>
      </c>
      <c r="C9" s="1" t="s">
        <v>281</v>
      </c>
      <c r="D9" s="1" t="s">
        <v>267</v>
      </c>
      <c r="E9" s="1" t="s">
        <v>282</v>
      </c>
      <c r="F9" s="5">
        <v>3.9E-2</v>
      </c>
      <c r="G9" s="1" t="s">
        <v>276</v>
      </c>
      <c r="H9" s="1">
        <v>4</v>
      </c>
      <c r="I9" s="3">
        <v>129000</v>
      </c>
      <c r="K9" s="11">
        <f t="shared" si="3"/>
        <v>0</v>
      </c>
      <c r="L9" s="11">
        <f t="shared" si="0"/>
        <v>0</v>
      </c>
      <c r="M9" s="11">
        <f t="shared" si="4"/>
        <v>0</v>
      </c>
      <c r="N9" s="4">
        <f t="shared" si="5"/>
        <v>3</v>
      </c>
      <c r="O9" s="11">
        <f t="shared" si="6"/>
        <v>0</v>
      </c>
      <c r="P9" s="11">
        <f t="shared" si="1"/>
        <v>0</v>
      </c>
      <c r="Q9" s="11">
        <f t="shared" si="1"/>
        <v>0</v>
      </c>
      <c r="R9" s="11">
        <f t="shared" si="1"/>
        <v>0</v>
      </c>
      <c r="S9" s="4">
        <f t="shared" si="7"/>
        <v>4</v>
      </c>
      <c r="T9" s="11">
        <f t="shared" si="8"/>
        <v>0</v>
      </c>
      <c r="U9" s="11">
        <f t="shared" si="9"/>
        <v>0</v>
      </c>
      <c r="V9" s="4">
        <f t="shared" si="10"/>
        <v>2</v>
      </c>
      <c r="W9" s="11">
        <f t="shared" si="11"/>
        <v>0</v>
      </c>
      <c r="X9" s="11">
        <f t="shared" si="2"/>
        <v>0</v>
      </c>
      <c r="Y9" s="11">
        <f t="shared" si="2"/>
        <v>0</v>
      </c>
      <c r="Z9" s="11">
        <f t="shared" si="2"/>
        <v>0</v>
      </c>
      <c r="AA9" s="11">
        <f t="shared" si="2"/>
        <v>0</v>
      </c>
      <c r="AB9" s="11">
        <f t="shared" si="2"/>
        <v>0</v>
      </c>
      <c r="AC9" s="4">
        <f t="shared" si="12"/>
        <v>6</v>
      </c>
      <c r="AD9" s="4">
        <f t="shared" si="13"/>
        <v>144</v>
      </c>
    </row>
    <row r="10" spans="1:49" x14ac:dyDescent="0.3">
      <c r="A10" s="1">
        <v>9</v>
      </c>
      <c r="B10" s="1" t="s">
        <v>283</v>
      </c>
      <c r="C10" s="1" t="s">
        <v>284</v>
      </c>
      <c r="D10" s="1" t="s">
        <v>285</v>
      </c>
      <c r="E10" s="1">
        <v>13</v>
      </c>
      <c r="F10" s="5">
        <v>2.9000000000000001E-2</v>
      </c>
      <c r="G10" s="1" t="s">
        <v>258</v>
      </c>
      <c r="H10" s="1">
        <v>3</v>
      </c>
      <c r="I10" s="3">
        <v>790000</v>
      </c>
      <c r="K10" s="11">
        <f t="shared" si="3"/>
        <v>0</v>
      </c>
      <c r="L10" s="11">
        <f t="shared" si="0"/>
        <v>0</v>
      </c>
      <c r="M10" s="11">
        <f t="shared" si="4"/>
        <v>0</v>
      </c>
      <c r="N10" s="4">
        <f t="shared" si="5"/>
        <v>3</v>
      </c>
      <c r="O10" s="11">
        <f t="shared" si="6"/>
        <v>0</v>
      </c>
      <c r="P10" s="11">
        <f t="shared" si="1"/>
        <v>0</v>
      </c>
      <c r="Q10" s="11">
        <f t="shared" si="1"/>
        <v>0</v>
      </c>
      <c r="R10" s="11">
        <f t="shared" si="1"/>
        <v>0</v>
      </c>
      <c r="S10" s="4">
        <f t="shared" si="7"/>
        <v>4</v>
      </c>
      <c r="T10" s="11">
        <f t="shared" si="8"/>
        <v>0</v>
      </c>
      <c r="U10" s="11">
        <f t="shared" si="9"/>
        <v>0</v>
      </c>
      <c r="V10" s="4">
        <f t="shared" si="10"/>
        <v>2</v>
      </c>
      <c r="W10" s="11">
        <f t="shared" si="11"/>
        <v>0</v>
      </c>
      <c r="X10" s="11">
        <f t="shared" si="2"/>
        <v>0</v>
      </c>
      <c r="Y10" s="11">
        <f t="shared" si="2"/>
        <v>0</v>
      </c>
      <c r="Z10" s="11">
        <f t="shared" si="2"/>
        <v>0</v>
      </c>
      <c r="AA10" s="11">
        <f t="shared" si="2"/>
        <v>0</v>
      </c>
      <c r="AB10" s="11">
        <f t="shared" si="2"/>
        <v>0</v>
      </c>
      <c r="AC10" s="4">
        <f t="shared" si="12"/>
        <v>6</v>
      </c>
      <c r="AD10" s="4">
        <f t="shared" si="13"/>
        <v>144</v>
      </c>
    </row>
    <row r="11" spans="1:49" x14ac:dyDescent="0.3">
      <c r="A11" s="1">
        <v>10</v>
      </c>
      <c r="B11" s="1" t="s">
        <v>286</v>
      </c>
      <c r="C11" s="1" t="s">
        <v>287</v>
      </c>
      <c r="D11" s="1" t="s">
        <v>267</v>
      </c>
      <c r="E11" s="1">
        <v>14</v>
      </c>
      <c r="F11" s="5">
        <v>3.9E-2</v>
      </c>
      <c r="G11" s="1" t="s">
        <v>288</v>
      </c>
      <c r="H11" s="1">
        <v>5</v>
      </c>
      <c r="I11" s="3">
        <v>0</v>
      </c>
      <c r="K11" s="11">
        <f t="shared" si="3"/>
        <v>0</v>
      </c>
      <c r="L11" s="11">
        <f t="shared" si="0"/>
        <v>0</v>
      </c>
      <c r="M11" s="11">
        <f t="shared" si="4"/>
        <v>0</v>
      </c>
      <c r="N11" s="4">
        <f t="shared" si="5"/>
        <v>3</v>
      </c>
      <c r="O11" s="11">
        <f t="shared" si="6"/>
        <v>0</v>
      </c>
      <c r="P11" s="11">
        <f t="shared" si="1"/>
        <v>0</v>
      </c>
      <c r="Q11" s="11">
        <f t="shared" si="1"/>
        <v>0</v>
      </c>
      <c r="R11" s="11">
        <f t="shared" si="1"/>
        <v>0</v>
      </c>
      <c r="S11" s="4">
        <f t="shared" si="7"/>
        <v>4</v>
      </c>
      <c r="T11" s="11">
        <f t="shared" si="8"/>
        <v>0</v>
      </c>
      <c r="U11" s="11">
        <f t="shared" si="9"/>
        <v>0</v>
      </c>
      <c r="V11" s="4">
        <f t="shared" si="10"/>
        <v>2</v>
      </c>
      <c r="W11" s="11">
        <f t="shared" si="11"/>
        <v>0</v>
      </c>
      <c r="X11" s="11">
        <f t="shared" si="2"/>
        <v>0</v>
      </c>
      <c r="Y11" s="11">
        <f t="shared" si="2"/>
        <v>0</v>
      </c>
      <c r="Z11" s="11">
        <f t="shared" si="2"/>
        <v>0</v>
      </c>
      <c r="AA11" s="11">
        <f t="shared" si="2"/>
        <v>0</v>
      </c>
      <c r="AB11" s="11">
        <f t="shared" si="2"/>
        <v>0</v>
      </c>
      <c r="AC11" s="4">
        <f t="shared" si="12"/>
        <v>6</v>
      </c>
      <c r="AD11" s="4">
        <f t="shared" si="13"/>
        <v>144</v>
      </c>
    </row>
    <row r="12" spans="1:49" x14ac:dyDescent="0.3">
      <c r="A12" s="1">
        <v>11</v>
      </c>
      <c r="B12" s="1" t="s">
        <v>289</v>
      </c>
      <c r="C12" s="1" t="s">
        <v>290</v>
      </c>
      <c r="D12" s="1" t="s">
        <v>285</v>
      </c>
      <c r="E12" s="1">
        <v>15</v>
      </c>
      <c r="F12" s="5">
        <v>3.5000000000000003E-2</v>
      </c>
      <c r="G12" s="1" t="s">
        <v>291</v>
      </c>
      <c r="H12" s="1">
        <v>4</v>
      </c>
      <c r="I12" s="3">
        <v>119000</v>
      </c>
      <c r="K12" s="11">
        <f t="shared" si="3"/>
        <v>0</v>
      </c>
      <c r="L12" s="11">
        <f t="shared" si="0"/>
        <v>0</v>
      </c>
      <c r="M12" s="11">
        <f t="shared" si="4"/>
        <v>0</v>
      </c>
      <c r="N12" s="4">
        <f t="shared" si="5"/>
        <v>3</v>
      </c>
      <c r="O12" s="11">
        <f t="shared" si="6"/>
        <v>0</v>
      </c>
      <c r="P12" s="11">
        <f t="shared" si="1"/>
        <v>0</v>
      </c>
      <c r="Q12" s="11">
        <f t="shared" si="1"/>
        <v>0</v>
      </c>
      <c r="R12" s="11">
        <f t="shared" si="1"/>
        <v>0</v>
      </c>
      <c r="S12" s="4">
        <f t="shared" si="7"/>
        <v>4</v>
      </c>
      <c r="T12" s="11">
        <f t="shared" si="8"/>
        <v>0</v>
      </c>
      <c r="U12" s="11">
        <f t="shared" si="9"/>
        <v>0</v>
      </c>
      <c r="V12" s="4">
        <f t="shared" si="10"/>
        <v>2</v>
      </c>
      <c r="W12" s="11">
        <f t="shared" si="11"/>
        <v>0</v>
      </c>
      <c r="X12" s="11">
        <f t="shared" si="2"/>
        <v>0</v>
      </c>
      <c r="Y12" s="11">
        <f t="shared" si="2"/>
        <v>0</v>
      </c>
      <c r="Z12" s="11">
        <f t="shared" si="2"/>
        <v>0</v>
      </c>
      <c r="AA12" s="11">
        <f t="shared" si="2"/>
        <v>0</v>
      </c>
      <c r="AB12" s="11">
        <f t="shared" si="2"/>
        <v>0</v>
      </c>
      <c r="AC12" s="4">
        <f t="shared" si="12"/>
        <v>6</v>
      </c>
      <c r="AD12" s="4">
        <f t="shared" si="13"/>
        <v>144</v>
      </c>
    </row>
    <row r="13" spans="1:49" x14ac:dyDescent="0.3">
      <c r="A13" s="1">
        <v>12</v>
      </c>
      <c r="B13" s="1" t="s">
        <v>292</v>
      </c>
      <c r="C13" s="1" t="s">
        <v>293</v>
      </c>
      <c r="D13" s="1" t="s">
        <v>257</v>
      </c>
      <c r="E13" s="1" t="s">
        <v>294</v>
      </c>
      <c r="F13" s="5">
        <v>2.9000000000000001E-2</v>
      </c>
      <c r="G13" s="1">
        <v>1</v>
      </c>
      <c r="H13" s="1">
        <v>4</v>
      </c>
      <c r="I13" s="3">
        <v>95000</v>
      </c>
      <c r="K13" s="11">
        <f t="shared" si="3"/>
        <v>0</v>
      </c>
      <c r="L13" s="11">
        <f t="shared" si="0"/>
        <v>0</v>
      </c>
      <c r="M13" s="11">
        <f t="shared" si="4"/>
        <v>0</v>
      </c>
      <c r="N13" s="4">
        <f t="shared" si="5"/>
        <v>3</v>
      </c>
      <c r="O13" s="11">
        <f t="shared" si="6"/>
        <v>0</v>
      </c>
      <c r="P13" s="11">
        <f t="shared" si="1"/>
        <v>0</v>
      </c>
      <c r="Q13" s="11">
        <f t="shared" si="1"/>
        <v>0</v>
      </c>
      <c r="R13" s="11">
        <f t="shared" si="1"/>
        <v>0</v>
      </c>
      <c r="S13" s="4">
        <f t="shared" si="7"/>
        <v>4</v>
      </c>
      <c r="T13" s="11">
        <f t="shared" si="8"/>
        <v>0</v>
      </c>
      <c r="U13" s="11">
        <f t="shared" si="9"/>
        <v>0</v>
      </c>
      <c r="V13" s="4">
        <f t="shared" si="10"/>
        <v>2</v>
      </c>
      <c r="W13" s="11">
        <f t="shared" si="11"/>
        <v>0</v>
      </c>
      <c r="X13" s="11">
        <f t="shared" si="2"/>
        <v>0</v>
      </c>
      <c r="Y13" s="11">
        <f t="shared" si="2"/>
        <v>0</v>
      </c>
      <c r="Z13" s="11">
        <f t="shared" si="2"/>
        <v>0</v>
      </c>
      <c r="AA13" s="11">
        <f t="shared" si="2"/>
        <v>0</v>
      </c>
      <c r="AB13" s="11">
        <f t="shared" si="2"/>
        <v>0</v>
      </c>
      <c r="AC13" s="4">
        <f t="shared" si="12"/>
        <v>6</v>
      </c>
      <c r="AD13" s="4">
        <f t="shared" si="13"/>
        <v>144</v>
      </c>
    </row>
    <row r="14" spans="1:49" x14ac:dyDescent="0.3">
      <c r="A14" s="1">
        <v>13</v>
      </c>
      <c r="B14" s="1" t="s">
        <v>295</v>
      </c>
      <c r="C14" s="1" t="s">
        <v>293</v>
      </c>
      <c r="D14" s="1" t="s">
        <v>257</v>
      </c>
      <c r="E14" s="1" t="s">
        <v>294</v>
      </c>
      <c r="F14" s="5">
        <v>3.9E-2</v>
      </c>
      <c r="G14" s="1">
        <v>1</v>
      </c>
      <c r="H14" s="1">
        <v>4</v>
      </c>
      <c r="I14" s="3">
        <v>95000</v>
      </c>
      <c r="K14" s="11">
        <f t="shared" si="3"/>
        <v>0</v>
      </c>
      <c r="L14" s="11">
        <f t="shared" si="0"/>
        <v>0</v>
      </c>
      <c r="M14" s="11">
        <f t="shared" si="4"/>
        <v>0</v>
      </c>
      <c r="N14" s="4">
        <f t="shared" si="5"/>
        <v>3</v>
      </c>
      <c r="O14" s="11">
        <f t="shared" si="6"/>
        <v>0</v>
      </c>
      <c r="P14" s="11">
        <f t="shared" si="1"/>
        <v>0</v>
      </c>
      <c r="Q14" s="11">
        <f t="shared" si="1"/>
        <v>0</v>
      </c>
      <c r="R14" s="11">
        <f t="shared" si="1"/>
        <v>0</v>
      </c>
      <c r="S14" s="4">
        <f t="shared" si="7"/>
        <v>4</v>
      </c>
      <c r="T14" s="11">
        <f t="shared" si="8"/>
        <v>0</v>
      </c>
      <c r="U14" s="11">
        <f t="shared" si="9"/>
        <v>0</v>
      </c>
      <c r="V14" s="4">
        <f t="shared" si="10"/>
        <v>2</v>
      </c>
      <c r="W14" s="11">
        <f t="shared" si="11"/>
        <v>0</v>
      </c>
      <c r="X14" s="11">
        <f t="shared" si="2"/>
        <v>0</v>
      </c>
      <c r="Y14" s="11">
        <f t="shared" si="2"/>
        <v>0</v>
      </c>
      <c r="Z14" s="11">
        <f t="shared" si="2"/>
        <v>0</v>
      </c>
      <c r="AA14" s="11">
        <f t="shared" si="2"/>
        <v>0</v>
      </c>
      <c r="AB14" s="11">
        <f t="shared" si="2"/>
        <v>0</v>
      </c>
      <c r="AC14" s="4">
        <f t="shared" si="12"/>
        <v>6</v>
      </c>
      <c r="AD14" s="4">
        <f t="shared" si="13"/>
        <v>144</v>
      </c>
    </row>
    <row r="15" spans="1:49" x14ac:dyDescent="0.3">
      <c r="A15" s="1">
        <v>14</v>
      </c>
      <c r="B15" s="1" t="s">
        <v>296</v>
      </c>
      <c r="C15" s="1" t="s">
        <v>297</v>
      </c>
      <c r="D15" s="1" t="s">
        <v>257</v>
      </c>
      <c r="E15" s="1" t="s">
        <v>298</v>
      </c>
      <c r="F15" s="5">
        <v>4.9000000000000002E-2</v>
      </c>
      <c r="G15" s="1">
        <v>1</v>
      </c>
      <c r="H15" s="1">
        <v>4</v>
      </c>
      <c r="I15" s="3">
        <v>95000</v>
      </c>
      <c r="K15" s="11">
        <f t="shared" si="3"/>
        <v>0</v>
      </c>
      <c r="L15" s="11">
        <f t="shared" si="0"/>
        <v>0</v>
      </c>
      <c r="M15" s="11">
        <f t="shared" si="4"/>
        <v>0</v>
      </c>
      <c r="N15" s="4">
        <f t="shared" si="5"/>
        <v>3</v>
      </c>
      <c r="O15" s="11">
        <f t="shared" si="6"/>
        <v>0</v>
      </c>
      <c r="P15" s="11">
        <f t="shared" si="1"/>
        <v>0</v>
      </c>
      <c r="Q15" s="11">
        <f t="shared" si="1"/>
        <v>0</v>
      </c>
      <c r="R15" s="11">
        <f t="shared" si="1"/>
        <v>0</v>
      </c>
      <c r="S15" s="4">
        <f t="shared" si="7"/>
        <v>4</v>
      </c>
      <c r="T15" s="11">
        <f t="shared" si="8"/>
        <v>0</v>
      </c>
      <c r="U15" s="11">
        <f t="shared" si="9"/>
        <v>0</v>
      </c>
      <c r="V15" s="4">
        <f t="shared" si="10"/>
        <v>2</v>
      </c>
      <c r="W15" s="11">
        <f t="shared" si="11"/>
        <v>0</v>
      </c>
      <c r="X15" s="11">
        <f t="shared" si="2"/>
        <v>0</v>
      </c>
      <c r="Y15" s="11">
        <f t="shared" si="2"/>
        <v>0</v>
      </c>
      <c r="Z15" s="11">
        <f t="shared" si="2"/>
        <v>0</v>
      </c>
      <c r="AA15" s="11">
        <f t="shared" si="2"/>
        <v>0</v>
      </c>
      <c r="AB15" s="11">
        <f t="shared" si="2"/>
        <v>0</v>
      </c>
      <c r="AC15" s="4">
        <f t="shared" si="12"/>
        <v>6</v>
      </c>
      <c r="AD15" s="4">
        <f t="shared" si="13"/>
        <v>144</v>
      </c>
    </row>
    <row r="16" spans="1:49" x14ac:dyDescent="0.3">
      <c r="A16" s="1">
        <v>15</v>
      </c>
      <c r="B16" s="1" t="s">
        <v>299</v>
      </c>
      <c r="C16" s="1" t="s">
        <v>300</v>
      </c>
      <c r="D16" s="1" t="s">
        <v>267</v>
      </c>
      <c r="E16" s="1">
        <v>20</v>
      </c>
      <c r="F16" s="5">
        <v>3.9E-2</v>
      </c>
      <c r="G16" s="1" t="s">
        <v>301</v>
      </c>
      <c r="H16" s="1">
        <v>4</v>
      </c>
      <c r="I16" s="3">
        <v>95000</v>
      </c>
      <c r="K16" s="11">
        <f t="shared" si="3"/>
        <v>0</v>
      </c>
      <c r="L16" s="11">
        <f t="shared" si="0"/>
        <v>0</v>
      </c>
      <c r="M16" s="11">
        <f t="shared" si="4"/>
        <v>0</v>
      </c>
      <c r="N16" s="4">
        <f t="shared" si="5"/>
        <v>3</v>
      </c>
      <c r="O16" s="11">
        <f t="shared" si="6"/>
        <v>0</v>
      </c>
      <c r="P16" s="11">
        <f t="shared" si="1"/>
        <v>0</v>
      </c>
      <c r="Q16" s="11">
        <f t="shared" si="1"/>
        <v>0</v>
      </c>
      <c r="R16" s="11">
        <f t="shared" si="1"/>
        <v>0</v>
      </c>
      <c r="S16" s="4">
        <f t="shared" si="7"/>
        <v>4</v>
      </c>
      <c r="T16" s="11">
        <f t="shared" si="8"/>
        <v>0</v>
      </c>
      <c r="U16" s="11">
        <f t="shared" si="9"/>
        <v>0</v>
      </c>
      <c r="V16" s="4">
        <f t="shared" si="10"/>
        <v>2</v>
      </c>
      <c r="W16" s="11">
        <f t="shared" si="11"/>
        <v>0</v>
      </c>
      <c r="X16" s="11">
        <f t="shared" si="2"/>
        <v>0</v>
      </c>
      <c r="Y16" s="11">
        <f t="shared" si="2"/>
        <v>0</v>
      </c>
      <c r="Z16" s="11">
        <f t="shared" si="2"/>
        <v>0</v>
      </c>
      <c r="AA16" s="11">
        <f t="shared" si="2"/>
        <v>0</v>
      </c>
      <c r="AB16" s="11">
        <f t="shared" si="2"/>
        <v>0</v>
      </c>
      <c r="AC16" s="4">
        <f t="shared" si="12"/>
        <v>6</v>
      </c>
      <c r="AD16" s="4">
        <f t="shared" si="13"/>
        <v>144</v>
      </c>
    </row>
    <row r="17" spans="1:30" x14ac:dyDescent="0.3">
      <c r="A17" s="1">
        <v>16</v>
      </c>
      <c r="B17" s="1" t="s">
        <v>302</v>
      </c>
      <c r="C17" s="1" t="s">
        <v>303</v>
      </c>
      <c r="D17" s="1" t="s">
        <v>285</v>
      </c>
      <c r="E17" s="1">
        <v>21</v>
      </c>
      <c r="F17" s="5">
        <v>2.9000000000000001E-2</v>
      </c>
      <c r="G17" s="1" t="s">
        <v>304</v>
      </c>
      <c r="H17" s="1">
        <v>5</v>
      </c>
      <c r="I17" s="3">
        <v>0</v>
      </c>
      <c r="K17" s="11">
        <f t="shared" si="3"/>
        <v>0</v>
      </c>
      <c r="L17" s="11">
        <f t="shared" si="0"/>
        <v>0</v>
      </c>
      <c r="M17" s="11">
        <f t="shared" si="4"/>
        <v>0</v>
      </c>
      <c r="N17" s="4">
        <f t="shared" si="5"/>
        <v>3</v>
      </c>
      <c r="O17" s="11">
        <f t="shared" si="6"/>
        <v>0</v>
      </c>
      <c r="P17" s="11">
        <f t="shared" si="1"/>
        <v>0</v>
      </c>
      <c r="Q17" s="11">
        <f t="shared" si="1"/>
        <v>0</v>
      </c>
      <c r="R17" s="11">
        <f t="shared" si="1"/>
        <v>0</v>
      </c>
      <c r="S17" s="4">
        <f t="shared" si="7"/>
        <v>4</v>
      </c>
      <c r="T17" s="11">
        <f t="shared" si="8"/>
        <v>0</v>
      </c>
      <c r="U17" s="11">
        <f t="shared" si="9"/>
        <v>0</v>
      </c>
      <c r="V17" s="4">
        <f t="shared" si="10"/>
        <v>2</v>
      </c>
      <c r="W17" s="11">
        <f t="shared" si="11"/>
        <v>0</v>
      </c>
      <c r="X17" s="11">
        <f t="shared" si="2"/>
        <v>0</v>
      </c>
      <c r="Y17" s="11">
        <f t="shared" si="2"/>
        <v>0</v>
      </c>
      <c r="Z17" s="11">
        <f t="shared" si="2"/>
        <v>0</v>
      </c>
      <c r="AA17" s="11">
        <f t="shared" si="2"/>
        <v>0</v>
      </c>
      <c r="AB17" s="11">
        <f t="shared" si="2"/>
        <v>0</v>
      </c>
      <c r="AC17" s="4">
        <f t="shared" si="12"/>
        <v>6</v>
      </c>
      <c r="AD17" s="4">
        <f t="shared" si="13"/>
        <v>144</v>
      </c>
    </row>
    <row r="18" spans="1:30" x14ac:dyDescent="0.3">
      <c r="A18" s="1">
        <v>17</v>
      </c>
      <c r="B18" s="1" t="s">
        <v>305</v>
      </c>
      <c r="C18" s="1" t="s">
        <v>306</v>
      </c>
      <c r="D18" s="1" t="s">
        <v>285</v>
      </c>
      <c r="E18" s="1">
        <v>13</v>
      </c>
      <c r="F18" s="5">
        <v>3.9E-2</v>
      </c>
      <c r="G18" s="1" t="s">
        <v>307</v>
      </c>
      <c r="H18" s="1">
        <v>4</v>
      </c>
      <c r="I18" s="3">
        <v>95000</v>
      </c>
      <c r="K18" s="11">
        <f t="shared" si="3"/>
        <v>0</v>
      </c>
      <c r="L18" s="11">
        <f t="shared" ref="L18:L28" si="14">OR(LEFT($D18, 2)=L$1, RIGHT($D18, 2)=L$1)*AG$2</f>
        <v>0</v>
      </c>
      <c r="M18" s="11">
        <f t="shared" si="4"/>
        <v>0</v>
      </c>
      <c r="N18" s="4">
        <f t="shared" si="5"/>
        <v>3</v>
      </c>
      <c r="O18" s="11">
        <f t="shared" si="6"/>
        <v>0</v>
      </c>
      <c r="P18" s="11">
        <f t="shared" ref="P18:P28" si="15">fn카테고리($E18, P$1)*AK$2</f>
        <v>0</v>
      </c>
      <c r="Q18" s="11">
        <f t="shared" ref="Q18:Q28" si="16">fn카테고리($E18, Q$1)*AL$2</f>
        <v>0</v>
      </c>
      <c r="R18" s="11">
        <f t="shared" ref="R18:R28" si="17">fn카테고리($E18, R$1)*AM$2</f>
        <v>0</v>
      </c>
      <c r="S18" s="4">
        <f t="shared" si="7"/>
        <v>4</v>
      </c>
      <c r="T18" s="11">
        <f t="shared" si="8"/>
        <v>0</v>
      </c>
      <c r="U18" s="11">
        <f t="shared" si="9"/>
        <v>0</v>
      </c>
      <c r="V18" s="4">
        <f t="shared" si="10"/>
        <v>2</v>
      </c>
      <c r="W18" s="11">
        <f t="shared" si="11"/>
        <v>0</v>
      </c>
      <c r="X18" s="11">
        <f t="shared" ref="X18:X28" si="18">fn카드이름($G18, X$1)*AS$2</f>
        <v>0</v>
      </c>
      <c r="Y18" s="11">
        <f t="shared" ref="Y18:Y28" si="19">fn카드이름($G18, Y$1)*AT$2</f>
        <v>0</v>
      </c>
      <c r="Z18" s="11">
        <f t="shared" ref="Z18:Z28" si="20">fn카드이름($G18, Z$1)*AU$2</f>
        <v>0</v>
      </c>
      <c r="AA18" s="11">
        <f t="shared" ref="AA18:AA28" si="21">fn카드이름($G18, AA$1)*AV$2</f>
        <v>0</v>
      </c>
      <c r="AB18" s="11">
        <f t="shared" ref="AB18:AB28" si="22">fn카드이름($G18, AB$1)*AW$2</f>
        <v>0</v>
      </c>
      <c r="AC18" s="4">
        <f t="shared" si="12"/>
        <v>6</v>
      </c>
      <c r="AD18" s="4">
        <f t="shared" si="13"/>
        <v>144</v>
      </c>
    </row>
    <row r="19" spans="1:30" x14ac:dyDescent="0.3">
      <c r="A19" s="1">
        <v>18</v>
      </c>
      <c r="B19" s="1" t="s">
        <v>308</v>
      </c>
      <c r="C19" s="1" t="s">
        <v>309</v>
      </c>
      <c r="D19" s="1" t="s">
        <v>285</v>
      </c>
      <c r="E19" s="1">
        <v>21</v>
      </c>
      <c r="F19" s="5">
        <v>4.9000000000000002E-2</v>
      </c>
      <c r="G19" s="1">
        <v>1</v>
      </c>
      <c r="H19" s="1">
        <v>4</v>
      </c>
      <c r="I19" s="3">
        <v>49000</v>
      </c>
      <c r="K19" s="11">
        <f t="shared" si="3"/>
        <v>0</v>
      </c>
      <c r="L19" s="11">
        <f t="shared" si="14"/>
        <v>0</v>
      </c>
      <c r="M19" s="11">
        <f t="shared" si="4"/>
        <v>0</v>
      </c>
      <c r="N19" s="4">
        <f t="shared" si="5"/>
        <v>3</v>
      </c>
      <c r="O19" s="11">
        <f t="shared" si="6"/>
        <v>0</v>
      </c>
      <c r="P19" s="11">
        <f t="shared" si="15"/>
        <v>0</v>
      </c>
      <c r="Q19" s="11">
        <f t="shared" si="16"/>
        <v>0</v>
      </c>
      <c r="R19" s="11">
        <f t="shared" si="17"/>
        <v>0</v>
      </c>
      <c r="S19" s="4">
        <f t="shared" si="7"/>
        <v>4</v>
      </c>
      <c r="T19" s="11">
        <f t="shared" si="8"/>
        <v>0</v>
      </c>
      <c r="U19" s="11">
        <f t="shared" si="9"/>
        <v>0</v>
      </c>
      <c r="V19" s="4">
        <f t="shared" si="10"/>
        <v>2</v>
      </c>
      <c r="W19" s="11">
        <f t="shared" si="11"/>
        <v>0</v>
      </c>
      <c r="X19" s="11">
        <f t="shared" si="18"/>
        <v>0</v>
      </c>
      <c r="Y19" s="11">
        <f t="shared" si="19"/>
        <v>0</v>
      </c>
      <c r="Z19" s="11">
        <f t="shared" si="20"/>
        <v>0</v>
      </c>
      <c r="AA19" s="11">
        <f t="shared" si="21"/>
        <v>0</v>
      </c>
      <c r="AB19" s="11">
        <f t="shared" si="22"/>
        <v>0</v>
      </c>
      <c r="AC19" s="4">
        <f t="shared" si="12"/>
        <v>6</v>
      </c>
      <c r="AD19" s="4">
        <f t="shared" si="13"/>
        <v>144</v>
      </c>
    </row>
    <row r="20" spans="1:30" x14ac:dyDescent="0.3">
      <c r="A20" s="1">
        <v>19</v>
      </c>
      <c r="B20" s="1" t="s">
        <v>310</v>
      </c>
      <c r="C20" s="1" t="s">
        <v>311</v>
      </c>
      <c r="D20" s="1" t="s">
        <v>285</v>
      </c>
      <c r="E20" s="1">
        <v>22</v>
      </c>
      <c r="F20" s="5">
        <v>3.9E-2</v>
      </c>
      <c r="G20" s="1">
        <v>1</v>
      </c>
      <c r="H20" s="1">
        <v>4</v>
      </c>
      <c r="I20" s="3">
        <v>0</v>
      </c>
      <c r="K20" s="11">
        <f t="shared" si="3"/>
        <v>0</v>
      </c>
      <c r="L20" s="11">
        <f t="shared" si="14"/>
        <v>0</v>
      </c>
      <c r="M20" s="11">
        <f t="shared" si="4"/>
        <v>0</v>
      </c>
      <c r="N20" s="4">
        <f t="shared" si="5"/>
        <v>3</v>
      </c>
      <c r="O20" s="11">
        <f t="shared" si="6"/>
        <v>0</v>
      </c>
      <c r="P20" s="11">
        <f t="shared" si="15"/>
        <v>0</v>
      </c>
      <c r="Q20" s="11">
        <f t="shared" si="16"/>
        <v>0</v>
      </c>
      <c r="R20" s="11">
        <f t="shared" si="17"/>
        <v>0</v>
      </c>
      <c r="S20" s="4">
        <f t="shared" si="7"/>
        <v>4</v>
      </c>
      <c r="T20" s="11">
        <f t="shared" si="8"/>
        <v>0</v>
      </c>
      <c r="U20" s="11">
        <f t="shared" si="9"/>
        <v>0</v>
      </c>
      <c r="V20" s="4">
        <f t="shared" si="10"/>
        <v>2</v>
      </c>
      <c r="W20" s="11">
        <f t="shared" si="11"/>
        <v>0</v>
      </c>
      <c r="X20" s="11">
        <f t="shared" si="18"/>
        <v>0</v>
      </c>
      <c r="Y20" s="11">
        <f t="shared" si="19"/>
        <v>0</v>
      </c>
      <c r="Z20" s="11">
        <f t="shared" si="20"/>
        <v>0</v>
      </c>
      <c r="AA20" s="11">
        <f t="shared" si="21"/>
        <v>0</v>
      </c>
      <c r="AB20" s="11">
        <f t="shared" si="22"/>
        <v>0</v>
      </c>
      <c r="AC20" s="4">
        <f t="shared" si="12"/>
        <v>6</v>
      </c>
      <c r="AD20" s="4">
        <f t="shared" si="13"/>
        <v>144</v>
      </c>
    </row>
    <row r="21" spans="1:30" x14ac:dyDescent="0.3">
      <c r="A21" s="1">
        <v>20</v>
      </c>
      <c r="B21" s="1" t="s">
        <v>312</v>
      </c>
      <c r="C21" s="1" t="s">
        <v>313</v>
      </c>
      <c r="D21" s="1" t="s">
        <v>285</v>
      </c>
      <c r="E21" s="1">
        <v>18</v>
      </c>
      <c r="F21" s="5">
        <v>2.9000000000000001E-2</v>
      </c>
      <c r="G21" s="1" t="s">
        <v>307</v>
      </c>
      <c r="H21" s="1">
        <v>4</v>
      </c>
      <c r="I21" s="3">
        <v>89000</v>
      </c>
      <c r="K21" s="11">
        <f t="shared" si="3"/>
        <v>0</v>
      </c>
      <c r="L21" s="11">
        <f t="shared" si="14"/>
        <v>0</v>
      </c>
      <c r="M21" s="11">
        <f t="shared" si="4"/>
        <v>0</v>
      </c>
      <c r="N21" s="4">
        <f t="shared" si="5"/>
        <v>3</v>
      </c>
      <c r="O21" s="11">
        <f t="shared" si="6"/>
        <v>0</v>
      </c>
      <c r="P21" s="11">
        <f t="shared" si="15"/>
        <v>0</v>
      </c>
      <c r="Q21" s="11">
        <f t="shared" si="16"/>
        <v>0</v>
      </c>
      <c r="R21" s="11">
        <f t="shared" si="17"/>
        <v>0</v>
      </c>
      <c r="S21" s="4">
        <f t="shared" si="7"/>
        <v>4</v>
      </c>
      <c r="T21" s="11">
        <f t="shared" si="8"/>
        <v>0</v>
      </c>
      <c r="U21" s="11">
        <f t="shared" si="9"/>
        <v>0</v>
      </c>
      <c r="V21" s="4">
        <f t="shared" si="10"/>
        <v>2</v>
      </c>
      <c r="W21" s="11">
        <f t="shared" si="11"/>
        <v>0</v>
      </c>
      <c r="X21" s="11">
        <f t="shared" si="18"/>
        <v>0</v>
      </c>
      <c r="Y21" s="11">
        <f t="shared" si="19"/>
        <v>0</v>
      </c>
      <c r="Z21" s="11">
        <f t="shared" si="20"/>
        <v>0</v>
      </c>
      <c r="AA21" s="11">
        <f t="shared" si="21"/>
        <v>0</v>
      </c>
      <c r="AB21" s="11">
        <f t="shared" si="22"/>
        <v>0</v>
      </c>
      <c r="AC21" s="4">
        <f t="shared" si="12"/>
        <v>6</v>
      </c>
      <c r="AD21" s="4">
        <f t="shared" si="13"/>
        <v>144</v>
      </c>
    </row>
    <row r="22" spans="1:30" x14ac:dyDescent="0.3">
      <c r="A22" s="1">
        <v>21</v>
      </c>
      <c r="B22" s="1" t="s">
        <v>314</v>
      </c>
      <c r="C22" s="1" t="s">
        <v>315</v>
      </c>
      <c r="D22" s="1" t="s">
        <v>285</v>
      </c>
      <c r="E22" s="1">
        <v>21</v>
      </c>
      <c r="F22" s="5">
        <v>3.5000000000000003E-2</v>
      </c>
      <c r="G22" s="1" t="s">
        <v>276</v>
      </c>
      <c r="H22" s="1">
        <v>5</v>
      </c>
      <c r="I22" s="3">
        <v>0</v>
      </c>
      <c r="K22" s="11">
        <f t="shared" si="3"/>
        <v>0</v>
      </c>
      <c r="L22" s="11">
        <f t="shared" si="14"/>
        <v>0</v>
      </c>
      <c r="M22" s="11">
        <f t="shared" si="4"/>
        <v>0</v>
      </c>
      <c r="N22" s="4">
        <f t="shared" si="5"/>
        <v>3</v>
      </c>
      <c r="O22" s="11">
        <f t="shared" si="6"/>
        <v>0</v>
      </c>
      <c r="P22" s="11">
        <f t="shared" si="15"/>
        <v>0</v>
      </c>
      <c r="Q22" s="11">
        <f t="shared" si="16"/>
        <v>0</v>
      </c>
      <c r="R22" s="11">
        <f t="shared" si="17"/>
        <v>0</v>
      </c>
      <c r="S22" s="4">
        <f t="shared" si="7"/>
        <v>4</v>
      </c>
      <c r="T22" s="11">
        <f t="shared" si="8"/>
        <v>0</v>
      </c>
      <c r="U22" s="11">
        <f t="shared" si="9"/>
        <v>0</v>
      </c>
      <c r="V22" s="4">
        <f t="shared" si="10"/>
        <v>2</v>
      </c>
      <c r="W22" s="11">
        <f t="shared" si="11"/>
        <v>0</v>
      </c>
      <c r="X22" s="11">
        <f t="shared" si="18"/>
        <v>0</v>
      </c>
      <c r="Y22" s="11">
        <f t="shared" si="19"/>
        <v>0</v>
      </c>
      <c r="Z22" s="11">
        <f t="shared" si="20"/>
        <v>0</v>
      </c>
      <c r="AA22" s="11">
        <f t="shared" si="21"/>
        <v>0</v>
      </c>
      <c r="AB22" s="11">
        <f t="shared" si="22"/>
        <v>0</v>
      </c>
      <c r="AC22" s="4">
        <f t="shared" si="12"/>
        <v>6</v>
      </c>
      <c r="AD22" s="4">
        <f t="shared" si="13"/>
        <v>144</v>
      </c>
    </row>
    <row r="23" spans="1:30" x14ac:dyDescent="0.3">
      <c r="A23" s="1">
        <v>22</v>
      </c>
      <c r="B23" s="1" t="s">
        <v>316</v>
      </c>
      <c r="C23" s="1" t="s">
        <v>317</v>
      </c>
      <c r="D23" s="1" t="s">
        <v>257</v>
      </c>
      <c r="E23" s="1" t="s">
        <v>318</v>
      </c>
      <c r="F23" s="5">
        <v>5.8999999999999997E-2</v>
      </c>
      <c r="G23" s="1">
        <v>1</v>
      </c>
      <c r="H23" s="1">
        <v>5</v>
      </c>
      <c r="I23" s="3">
        <v>49000</v>
      </c>
      <c r="K23" s="11">
        <f t="shared" si="3"/>
        <v>0</v>
      </c>
      <c r="L23" s="11">
        <f t="shared" si="14"/>
        <v>0</v>
      </c>
      <c r="M23" s="11">
        <f t="shared" si="4"/>
        <v>0</v>
      </c>
      <c r="N23" s="4">
        <f t="shared" si="5"/>
        <v>3</v>
      </c>
      <c r="O23" s="11">
        <f t="shared" si="6"/>
        <v>0</v>
      </c>
      <c r="P23" s="11">
        <f t="shared" si="15"/>
        <v>0</v>
      </c>
      <c r="Q23" s="11">
        <f t="shared" si="16"/>
        <v>0</v>
      </c>
      <c r="R23" s="11">
        <f t="shared" si="17"/>
        <v>0</v>
      </c>
      <c r="S23" s="4">
        <f t="shared" si="7"/>
        <v>4</v>
      </c>
      <c r="T23" s="11">
        <f t="shared" si="8"/>
        <v>0</v>
      </c>
      <c r="U23" s="11">
        <f t="shared" si="9"/>
        <v>0</v>
      </c>
      <c r="V23" s="4">
        <f t="shared" si="10"/>
        <v>2</v>
      </c>
      <c r="W23" s="11">
        <f t="shared" si="11"/>
        <v>0</v>
      </c>
      <c r="X23" s="11">
        <f t="shared" si="18"/>
        <v>0</v>
      </c>
      <c r="Y23" s="11">
        <f t="shared" si="19"/>
        <v>0</v>
      </c>
      <c r="Z23" s="11">
        <f t="shared" si="20"/>
        <v>0</v>
      </c>
      <c r="AA23" s="11">
        <f t="shared" si="21"/>
        <v>0</v>
      </c>
      <c r="AB23" s="11">
        <f t="shared" si="22"/>
        <v>0</v>
      </c>
      <c r="AC23" s="4">
        <f t="shared" si="12"/>
        <v>6</v>
      </c>
      <c r="AD23" s="4">
        <f t="shared" si="13"/>
        <v>144</v>
      </c>
    </row>
    <row r="24" spans="1:30" x14ac:dyDescent="0.3">
      <c r="A24" s="1">
        <v>23</v>
      </c>
      <c r="B24" s="1" t="s">
        <v>319</v>
      </c>
      <c r="C24" s="1" t="s">
        <v>320</v>
      </c>
      <c r="D24" s="1" t="s">
        <v>285</v>
      </c>
      <c r="E24" s="1">
        <v>25</v>
      </c>
      <c r="F24" s="5">
        <v>2.9000000000000001E-2</v>
      </c>
      <c r="G24" s="1">
        <v>1</v>
      </c>
      <c r="H24" s="1">
        <v>5</v>
      </c>
      <c r="I24" s="3">
        <v>0</v>
      </c>
      <c r="K24" s="11">
        <f t="shared" si="3"/>
        <v>0</v>
      </c>
      <c r="L24" s="11">
        <f t="shared" si="14"/>
        <v>0</v>
      </c>
      <c r="M24" s="11">
        <f t="shared" si="4"/>
        <v>0</v>
      </c>
      <c r="N24" s="4">
        <f t="shared" si="5"/>
        <v>3</v>
      </c>
      <c r="O24" s="11">
        <f t="shared" si="6"/>
        <v>0</v>
      </c>
      <c r="P24" s="11">
        <f t="shared" si="15"/>
        <v>0</v>
      </c>
      <c r="Q24" s="11">
        <f t="shared" si="16"/>
        <v>0</v>
      </c>
      <c r="R24" s="11">
        <f t="shared" si="17"/>
        <v>0</v>
      </c>
      <c r="S24" s="4">
        <f t="shared" si="7"/>
        <v>4</v>
      </c>
      <c r="T24" s="11">
        <f t="shared" si="8"/>
        <v>0</v>
      </c>
      <c r="U24" s="11">
        <f t="shared" si="9"/>
        <v>0</v>
      </c>
      <c r="V24" s="4">
        <f t="shared" si="10"/>
        <v>2</v>
      </c>
      <c r="W24" s="11">
        <f t="shared" si="11"/>
        <v>0</v>
      </c>
      <c r="X24" s="11">
        <f t="shared" si="18"/>
        <v>0</v>
      </c>
      <c r="Y24" s="11">
        <f t="shared" si="19"/>
        <v>0</v>
      </c>
      <c r="Z24" s="11">
        <f t="shared" si="20"/>
        <v>0</v>
      </c>
      <c r="AA24" s="11">
        <f t="shared" si="21"/>
        <v>0</v>
      </c>
      <c r="AB24" s="11">
        <f t="shared" si="22"/>
        <v>0</v>
      </c>
      <c r="AC24" s="4">
        <f t="shared" si="12"/>
        <v>6</v>
      </c>
      <c r="AD24" s="4">
        <f t="shared" si="13"/>
        <v>144</v>
      </c>
    </row>
    <row r="25" spans="1:30" x14ac:dyDescent="0.3">
      <c r="A25" s="1">
        <v>24</v>
      </c>
      <c r="B25" s="1" t="s">
        <v>321</v>
      </c>
      <c r="C25" s="1" t="s">
        <v>322</v>
      </c>
      <c r="D25" s="1" t="s">
        <v>285</v>
      </c>
      <c r="E25" s="1">
        <v>26</v>
      </c>
      <c r="F25" s="5">
        <v>3.9E-2</v>
      </c>
      <c r="G25" s="1">
        <v>4</v>
      </c>
      <c r="H25" s="1">
        <v>5</v>
      </c>
      <c r="I25" s="3">
        <v>0</v>
      </c>
      <c r="K25" s="11">
        <f t="shared" si="3"/>
        <v>0</v>
      </c>
      <c r="L25" s="11">
        <f t="shared" si="14"/>
        <v>0</v>
      </c>
      <c r="M25" s="11">
        <f t="shared" si="4"/>
        <v>0</v>
      </c>
      <c r="N25" s="4">
        <f t="shared" si="5"/>
        <v>3</v>
      </c>
      <c r="O25" s="11">
        <f t="shared" si="6"/>
        <v>0</v>
      </c>
      <c r="P25" s="11">
        <f t="shared" si="15"/>
        <v>0</v>
      </c>
      <c r="Q25" s="11">
        <f t="shared" si="16"/>
        <v>0</v>
      </c>
      <c r="R25" s="11">
        <f t="shared" si="17"/>
        <v>0</v>
      </c>
      <c r="S25" s="4">
        <f t="shared" si="7"/>
        <v>4</v>
      </c>
      <c r="T25" s="11">
        <f t="shared" si="8"/>
        <v>0</v>
      </c>
      <c r="U25" s="11">
        <f t="shared" si="9"/>
        <v>0</v>
      </c>
      <c r="V25" s="4">
        <f t="shared" si="10"/>
        <v>2</v>
      </c>
      <c r="W25" s="11">
        <f t="shared" si="11"/>
        <v>0</v>
      </c>
      <c r="X25" s="11">
        <f t="shared" si="18"/>
        <v>0</v>
      </c>
      <c r="Y25" s="11">
        <f t="shared" si="19"/>
        <v>0</v>
      </c>
      <c r="Z25" s="11">
        <f t="shared" si="20"/>
        <v>0</v>
      </c>
      <c r="AA25" s="11">
        <f t="shared" si="21"/>
        <v>0</v>
      </c>
      <c r="AB25" s="11">
        <f t="shared" si="22"/>
        <v>0</v>
      </c>
      <c r="AC25" s="4">
        <f t="shared" si="12"/>
        <v>6</v>
      </c>
      <c r="AD25" s="4">
        <f t="shared" si="13"/>
        <v>144</v>
      </c>
    </row>
    <row r="26" spans="1:30" x14ac:dyDescent="0.3">
      <c r="A26" s="1">
        <v>25</v>
      </c>
      <c r="B26" s="1" t="s">
        <v>323</v>
      </c>
      <c r="C26" s="1" t="s">
        <v>324</v>
      </c>
      <c r="D26" s="1" t="s">
        <v>267</v>
      </c>
      <c r="E26" s="1">
        <v>27</v>
      </c>
      <c r="F26" s="5">
        <v>3.9E-2</v>
      </c>
      <c r="G26" s="1">
        <v>6</v>
      </c>
      <c r="H26" s="1">
        <v>5</v>
      </c>
      <c r="I26" s="3">
        <v>0</v>
      </c>
      <c r="K26" s="11">
        <f t="shared" si="3"/>
        <v>0</v>
      </c>
      <c r="L26" s="11">
        <f t="shared" si="14"/>
        <v>0</v>
      </c>
      <c r="M26" s="11">
        <f t="shared" si="4"/>
        <v>0</v>
      </c>
      <c r="N26" s="4">
        <f t="shared" si="5"/>
        <v>3</v>
      </c>
      <c r="O26" s="11">
        <f t="shared" si="6"/>
        <v>0</v>
      </c>
      <c r="P26" s="11">
        <f t="shared" si="15"/>
        <v>0</v>
      </c>
      <c r="Q26" s="11">
        <f t="shared" si="16"/>
        <v>0</v>
      </c>
      <c r="R26" s="11">
        <f t="shared" si="17"/>
        <v>0</v>
      </c>
      <c r="S26" s="4">
        <f t="shared" si="7"/>
        <v>4</v>
      </c>
      <c r="T26" s="11">
        <f t="shared" si="8"/>
        <v>0</v>
      </c>
      <c r="U26" s="11">
        <f t="shared" si="9"/>
        <v>0</v>
      </c>
      <c r="V26" s="4">
        <f t="shared" si="10"/>
        <v>2</v>
      </c>
      <c r="W26" s="11">
        <f t="shared" si="11"/>
        <v>0</v>
      </c>
      <c r="X26" s="11">
        <f t="shared" si="18"/>
        <v>0</v>
      </c>
      <c r="Y26" s="11">
        <f t="shared" si="19"/>
        <v>0</v>
      </c>
      <c r="Z26" s="11">
        <f t="shared" si="20"/>
        <v>0</v>
      </c>
      <c r="AA26" s="11">
        <f t="shared" si="21"/>
        <v>0</v>
      </c>
      <c r="AB26" s="11">
        <f t="shared" si="22"/>
        <v>0</v>
      </c>
      <c r="AC26" s="4">
        <f t="shared" si="12"/>
        <v>6</v>
      </c>
      <c r="AD26" s="4">
        <f t="shared" si="13"/>
        <v>144</v>
      </c>
    </row>
    <row r="27" spans="1:30" x14ac:dyDescent="0.3">
      <c r="A27" s="1">
        <v>26</v>
      </c>
      <c r="B27" s="1" t="s">
        <v>325</v>
      </c>
      <c r="C27" s="1" t="s">
        <v>326</v>
      </c>
      <c r="D27" s="1" t="s">
        <v>267</v>
      </c>
      <c r="E27" s="1">
        <v>28</v>
      </c>
      <c r="F27" s="5">
        <v>2.9000000000000001E-2</v>
      </c>
      <c r="G27" s="1" t="s">
        <v>327</v>
      </c>
      <c r="H27" s="1">
        <v>1</v>
      </c>
      <c r="I27" s="3">
        <v>790000</v>
      </c>
      <c r="K27" s="11">
        <f t="shared" si="3"/>
        <v>0</v>
      </c>
      <c r="L27" s="11">
        <f t="shared" si="14"/>
        <v>0</v>
      </c>
      <c r="M27" s="11">
        <f t="shared" si="4"/>
        <v>0</v>
      </c>
      <c r="N27" s="4">
        <f t="shared" si="5"/>
        <v>3</v>
      </c>
      <c r="O27" s="11">
        <f t="shared" si="6"/>
        <v>0</v>
      </c>
      <c r="P27" s="11">
        <f t="shared" si="15"/>
        <v>0</v>
      </c>
      <c r="Q27" s="11">
        <f t="shared" si="16"/>
        <v>0</v>
      </c>
      <c r="R27" s="11">
        <f t="shared" si="17"/>
        <v>0</v>
      </c>
      <c r="S27" s="4">
        <f t="shared" si="7"/>
        <v>4</v>
      </c>
      <c r="T27" s="11">
        <f t="shared" si="8"/>
        <v>0</v>
      </c>
      <c r="U27" s="11">
        <f t="shared" si="9"/>
        <v>0</v>
      </c>
      <c r="V27" s="4">
        <f t="shared" si="10"/>
        <v>2</v>
      </c>
      <c r="W27" s="11">
        <f t="shared" si="11"/>
        <v>0</v>
      </c>
      <c r="X27" s="11">
        <f t="shared" si="18"/>
        <v>0</v>
      </c>
      <c r="Y27" s="11">
        <f t="shared" si="19"/>
        <v>0</v>
      </c>
      <c r="Z27" s="11">
        <f t="shared" si="20"/>
        <v>0</v>
      </c>
      <c r="AA27" s="11">
        <f t="shared" si="21"/>
        <v>0</v>
      </c>
      <c r="AB27" s="11">
        <f t="shared" si="22"/>
        <v>0</v>
      </c>
      <c r="AC27" s="4">
        <f t="shared" si="12"/>
        <v>6</v>
      </c>
      <c r="AD27" s="4">
        <f t="shared" si="13"/>
        <v>144</v>
      </c>
    </row>
    <row r="28" spans="1:30" x14ac:dyDescent="0.3">
      <c r="A28" s="1">
        <v>27</v>
      </c>
      <c r="B28" s="1" t="s">
        <v>328</v>
      </c>
      <c r="C28" s="1" t="s">
        <v>329</v>
      </c>
      <c r="D28" s="1" t="s">
        <v>257</v>
      </c>
      <c r="E28" s="1" t="s">
        <v>330</v>
      </c>
      <c r="F28" s="5">
        <v>1.9E-2</v>
      </c>
      <c r="G28" s="1" t="s">
        <v>331</v>
      </c>
      <c r="H28" s="1">
        <v>1</v>
      </c>
      <c r="I28" s="3">
        <v>1790000</v>
      </c>
      <c r="K28" s="11">
        <f t="shared" si="3"/>
        <v>0</v>
      </c>
      <c r="L28" s="11">
        <f t="shared" si="14"/>
        <v>0</v>
      </c>
      <c r="M28" s="11">
        <f t="shared" si="4"/>
        <v>0</v>
      </c>
      <c r="N28" s="4">
        <f t="shared" si="5"/>
        <v>3</v>
      </c>
      <c r="O28" s="11">
        <f t="shared" si="6"/>
        <v>0</v>
      </c>
      <c r="P28" s="11">
        <f t="shared" si="15"/>
        <v>0</v>
      </c>
      <c r="Q28" s="11">
        <f t="shared" si="16"/>
        <v>0</v>
      </c>
      <c r="R28" s="11">
        <f t="shared" si="17"/>
        <v>0</v>
      </c>
      <c r="S28" s="4">
        <f t="shared" si="7"/>
        <v>4</v>
      </c>
      <c r="T28" s="11">
        <f t="shared" si="8"/>
        <v>0</v>
      </c>
      <c r="U28" s="11">
        <f t="shared" si="9"/>
        <v>0</v>
      </c>
      <c r="V28" s="4">
        <f t="shared" si="10"/>
        <v>2</v>
      </c>
      <c r="W28" s="11">
        <f t="shared" si="11"/>
        <v>0</v>
      </c>
      <c r="X28" s="11">
        <f t="shared" si="18"/>
        <v>0</v>
      </c>
      <c r="Y28" s="11">
        <f t="shared" si="19"/>
        <v>0</v>
      </c>
      <c r="Z28" s="11">
        <f t="shared" si="20"/>
        <v>0</v>
      </c>
      <c r="AA28" s="11">
        <f t="shared" si="21"/>
        <v>0</v>
      </c>
      <c r="AB28" s="11">
        <f t="shared" si="22"/>
        <v>0</v>
      </c>
      <c r="AC28" s="4">
        <f t="shared" si="12"/>
        <v>6</v>
      </c>
      <c r="AD28" s="4">
        <f t="shared" si="13"/>
        <v>144</v>
      </c>
    </row>
    <row r="29" spans="1:30" x14ac:dyDescent="0.3">
      <c r="F29" s="5"/>
      <c r="I29" s="48"/>
    </row>
  </sheetData>
  <phoneticPr fontId="2" type="noConversion"/>
  <conditionalFormatting sqref="K2:M28">
    <cfRule type="cellIs" dxfId="70" priority="15" operator="notEqual">
      <formula>0</formula>
    </cfRule>
  </conditionalFormatting>
  <conditionalFormatting sqref="N2:N28">
    <cfRule type="cellIs" dxfId="69" priority="14" operator="notEqual">
      <formula>0</formula>
    </cfRule>
  </conditionalFormatting>
  <conditionalFormatting sqref="O2:R28">
    <cfRule type="cellIs" dxfId="68" priority="13" operator="notEqual">
      <formula>0</formula>
    </cfRule>
  </conditionalFormatting>
  <conditionalFormatting sqref="S2:S28">
    <cfRule type="cellIs" dxfId="67" priority="11" operator="notEqual">
      <formula>0</formula>
    </cfRule>
  </conditionalFormatting>
  <conditionalFormatting sqref="V2:V28">
    <cfRule type="cellIs" dxfId="66" priority="10" operator="notEqual">
      <formula>0</formula>
    </cfRule>
  </conditionalFormatting>
  <conditionalFormatting sqref="AC2:AC28">
    <cfRule type="cellIs" dxfId="65" priority="9" operator="notEqual">
      <formula>0</formula>
    </cfRule>
  </conditionalFormatting>
  <conditionalFormatting sqref="T2:U28">
    <cfRule type="cellIs" dxfId="64" priority="8" operator="notEqual">
      <formula>0</formula>
    </cfRule>
  </conditionalFormatting>
  <conditionalFormatting sqref="W2:AB28">
    <cfRule type="cellIs" dxfId="63" priority="7" operator="notEqual">
      <formula>0</formula>
    </cfRule>
  </conditionalFormatting>
  <conditionalFormatting sqref="AD2:AD28">
    <cfRule type="cellIs" dxfId="62" priority="5" operator="notEqual">
      <formula>0</formula>
    </cfRule>
  </conditionalFormatting>
  <conditionalFormatting sqref="AF2:AH2">
    <cfRule type="cellIs" dxfId="61" priority="4" operator="equal">
      <formula>TRUE</formula>
    </cfRule>
  </conditionalFormatting>
  <conditionalFormatting sqref="AJ2:AM2">
    <cfRule type="cellIs" dxfId="60" priority="3" operator="equal">
      <formula>TRUE</formula>
    </cfRule>
  </conditionalFormatting>
  <conditionalFormatting sqref="AO2:AP2">
    <cfRule type="cellIs" dxfId="59" priority="2" operator="equal">
      <formula>TRUE</formula>
    </cfRule>
  </conditionalFormatting>
  <conditionalFormatting sqref="AR2:AW2">
    <cfRule type="cellIs" dxfId="58" priority="1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3"/>
  <sheetViews>
    <sheetView workbookViewId="0">
      <selection activeCell="H18" sqref="H18"/>
    </sheetView>
  </sheetViews>
  <sheetFormatPr defaultRowHeight="16.5" x14ac:dyDescent="0.3"/>
  <cols>
    <col min="1" max="2" width="9" style="1"/>
    <col min="3" max="3" width="47.75" style="1" bestFit="1" customWidth="1"/>
    <col min="4" max="4" width="18.5" style="1" bestFit="1" customWidth="1"/>
    <col min="5" max="5" width="9" style="1"/>
    <col min="6" max="6" width="12.75" style="3" customWidth="1"/>
    <col min="7" max="8" width="9" style="1"/>
    <col min="9" max="9" width="14" style="1" bestFit="1" customWidth="1"/>
    <col min="10" max="11" width="13.625" style="1" bestFit="1" customWidth="1"/>
    <col min="12" max="12" width="12.5" style="1" bestFit="1" customWidth="1"/>
    <col min="13" max="14" width="11.375" style="1" bestFit="1" customWidth="1"/>
  </cols>
  <sheetData>
    <row r="1" spans="1:14" x14ac:dyDescent="0.3">
      <c r="A1" s="1" t="s">
        <v>0</v>
      </c>
      <c r="B1" s="1" t="s">
        <v>332</v>
      </c>
      <c r="C1" s="1" t="s">
        <v>248</v>
      </c>
      <c r="D1" s="1" t="s">
        <v>333</v>
      </c>
      <c r="E1" s="1" t="s">
        <v>334</v>
      </c>
      <c r="F1" s="3" t="s">
        <v>335</v>
      </c>
      <c r="H1" s="1" t="s">
        <v>0</v>
      </c>
      <c r="I1" s="1" t="s">
        <v>3</v>
      </c>
      <c r="J1" s="1" t="s">
        <v>336</v>
      </c>
      <c r="K1" s="1" t="s">
        <v>337</v>
      </c>
      <c r="L1" s="1" t="s">
        <v>338</v>
      </c>
      <c r="M1" s="1" t="s">
        <v>339</v>
      </c>
      <c r="N1" s="1" t="s">
        <v>340</v>
      </c>
    </row>
    <row r="2" spans="1:14" x14ac:dyDescent="0.3">
      <c r="A2" s="1">
        <v>1</v>
      </c>
      <c r="B2" s="1" t="s">
        <v>285</v>
      </c>
      <c r="C2" s="1" t="s">
        <v>341</v>
      </c>
      <c r="D2" s="1" t="s">
        <v>342</v>
      </c>
      <c r="E2" s="6">
        <v>0.03</v>
      </c>
      <c r="F2" s="3">
        <v>300000</v>
      </c>
      <c r="H2" s="1">
        <v>1</v>
      </c>
      <c r="I2" s="1" t="s">
        <v>343</v>
      </c>
      <c r="J2" s="1" t="s">
        <v>344</v>
      </c>
      <c r="K2" s="1" t="s">
        <v>345</v>
      </c>
      <c r="L2" s="1" t="s">
        <v>346</v>
      </c>
      <c r="M2" s="1" t="s">
        <v>347</v>
      </c>
      <c r="N2" s="1" t="s">
        <v>348</v>
      </c>
    </row>
    <row r="3" spans="1:14" x14ac:dyDescent="0.3">
      <c r="A3" s="1">
        <v>2</v>
      </c>
      <c r="B3" s="1" t="s">
        <v>267</v>
      </c>
      <c r="C3" s="1" t="s">
        <v>349</v>
      </c>
      <c r="D3" s="1" t="s">
        <v>342</v>
      </c>
      <c r="E3" s="6">
        <v>0.01</v>
      </c>
      <c r="F3" s="3">
        <v>300000</v>
      </c>
      <c r="H3" s="1">
        <v>2</v>
      </c>
      <c r="I3" s="1" t="s">
        <v>350</v>
      </c>
      <c r="J3" s="1" t="s">
        <v>351</v>
      </c>
      <c r="K3" s="1" t="s">
        <v>352</v>
      </c>
      <c r="L3" s="1" t="s">
        <v>345</v>
      </c>
      <c r="M3" s="1" t="s">
        <v>353</v>
      </c>
      <c r="N3" s="1" t="s">
        <v>354</v>
      </c>
    </row>
    <row r="4" spans="1:14" x14ac:dyDescent="0.3">
      <c r="A4" s="1">
        <v>3</v>
      </c>
      <c r="B4" s="1" t="s">
        <v>285</v>
      </c>
      <c r="C4" s="1" t="s">
        <v>355</v>
      </c>
      <c r="D4" s="1" t="s">
        <v>342</v>
      </c>
      <c r="E4" s="6">
        <v>0.02</v>
      </c>
      <c r="F4" s="3">
        <v>300000</v>
      </c>
      <c r="H4" s="1">
        <v>3</v>
      </c>
      <c r="I4" s="1" t="s">
        <v>356</v>
      </c>
      <c r="J4" s="1" t="s">
        <v>357</v>
      </c>
      <c r="K4" s="1" t="s">
        <v>358</v>
      </c>
      <c r="L4" s="1" t="s">
        <v>359</v>
      </c>
      <c r="M4" s="1" t="s">
        <v>360</v>
      </c>
      <c r="N4" s="1" t="s">
        <v>361</v>
      </c>
    </row>
    <row r="5" spans="1:14" x14ac:dyDescent="0.3">
      <c r="A5" s="1">
        <v>4</v>
      </c>
      <c r="B5" s="1" t="s">
        <v>267</v>
      </c>
      <c r="C5" s="1" t="s">
        <v>349</v>
      </c>
      <c r="D5" s="1" t="s">
        <v>342</v>
      </c>
      <c r="E5" s="6">
        <v>0.01</v>
      </c>
      <c r="F5" s="3">
        <v>300000</v>
      </c>
      <c r="H5" s="1">
        <v>4</v>
      </c>
      <c r="I5" s="1" t="s">
        <v>362</v>
      </c>
      <c r="J5" s="1" t="s">
        <v>363</v>
      </c>
      <c r="K5" s="1" t="s">
        <v>364</v>
      </c>
      <c r="L5" s="1" t="s">
        <v>365</v>
      </c>
      <c r="M5" s="1" t="s">
        <v>366</v>
      </c>
      <c r="N5" s="1" t="s">
        <v>367</v>
      </c>
    </row>
    <row r="6" spans="1:14" x14ac:dyDescent="0.3">
      <c r="A6" s="1">
        <v>5</v>
      </c>
      <c r="B6" s="1" t="s">
        <v>285</v>
      </c>
      <c r="C6" s="1" t="s">
        <v>355</v>
      </c>
      <c r="D6" s="1" t="s">
        <v>342</v>
      </c>
      <c r="E6" s="6">
        <v>0.02</v>
      </c>
      <c r="F6" s="3">
        <v>300000</v>
      </c>
      <c r="H6" s="1">
        <v>5</v>
      </c>
      <c r="I6" s="1" t="s">
        <v>368</v>
      </c>
      <c r="J6" s="1" t="s">
        <v>369</v>
      </c>
      <c r="K6" s="1" t="s">
        <v>370</v>
      </c>
      <c r="L6" s="1" t="s">
        <v>371</v>
      </c>
      <c r="M6" s="1" t="s">
        <v>372</v>
      </c>
      <c r="N6" s="1" t="s">
        <v>348</v>
      </c>
    </row>
    <row r="7" spans="1:14" x14ac:dyDescent="0.3">
      <c r="A7" s="1">
        <v>6</v>
      </c>
      <c r="B7" s="1" t="s">
        <v>267</v>
      </c>
      <c r="C7" s="1" t="s">
        <v>349</v>
      </c>
      <c r="D7" s="1" t="s">
        <v>342</v>
      </c>
      <c r="E7" s="6">
        <v>0.01</v>
      </c>
      <c r="F7" s="3">
        <v>300000</v>
      </c>
      <c r="H7" s="1">
        <v>6</v>
      </c>
      <c r="I7" s="1" t="s">
        <v>373</v>
      </c>
      <c r="J7" s="1" t="s">
        <v>374</v>
      </c>
      <c r="K7" s="1" t="s">
        <v>374</v>
      </c>
      <c r="L7" s="1" t="s">
        <v>374</v>
      </c>
      <c r="M7" s="1" t="s">
        <v>374</v>
      </c>
      <c r="N7" s="1" t="s">
        <v>374</v>
      </c>
    </row>
    <row r="8" spans="1:14" x14ac:dyDescent="0.3">
      <c r="A8" s="1">
        <v>7</v>
      </c>
      <c r="B8" s="1" t="s">
        <v>267</v>
      </c>
      <c r="C8" s="1" t="s">
        <v>375</v>
      </c>
      <c r="D8" s="1" t="s">
        <v>376</v>
      </c>
      <c r="E8" s="6">
        <v>0.01</v>
      </c>
      <c r="F8" s="3">
        <v>500000</v>
      </c>
    </row>
    <row r="9" spans="1:14" x14ac:dyDescent="0.3">
      <c r="A9" s="1">
        <v>8</v>
      </c>
      <c r="B9" s="1" t="s">
        <v>267</v>
      </c>
      <c r="C9" s="1" t="s">
        <v>377</v>
      </c>
      <c r="D9" s="1" t="s">
        <v>378</v>
      </c>
      <c r="E9" s="6">
        <v>0.05</v>
      </c>
      <c r="F9" s="3">
        <v>500000</v>
      </c>
    </row>
    <row r="10" spans="1:14" x14ac:dyDescent="0.3">
      <c r="A10" s="1">
        <v>9</v>
      </c>
      <c r="B10" s="1" t="s">
        <v>267</v>
      </c>
      <c r="C10" s="1" t="s">
        <v>379</v>
      </c>
      <c r="D10" s="1" t="s">
        <v>380</v>
      </c>
      <c r="E10" s="6">
        <v>0.15</v>
      </c>
      <c r="F10" s="3">
        <v>500000</v>
      </c>
    </row>
    <row r="11" spans="1:14" x14ac:dyDescent="0.3">
      <c r="A11" s="1">
        <v>10</v>
      </c>
      <c r="B11" s="1" t="s">
        <v>267</v>
      </c>
      <c r="C11" s="1" t="s">
        <v>381</v>
      </c>
      <c r="D11" s="1" t="s">
        <v>378</v>
      </c>
      <c r="E11" s="5">
        <v>3.0000000000000001E-3</v>
      </c>
      <c r="F11" s="3">
        <v>0</v>
      </c>
    </row>
    <row r="12" spans="1:14" x14ac:dyDescent="0.3">
      <c r="A12" s="1">
        <v>11</v>
      </c>
      <c r="B12" s="1" t="s">
        <v>267</v>
      </c>
      <c r="C12" s="1" t="s">
        <v>382</v>
      </c>
      <c r="D12" s="1" t="s">
        <v>378</v>
      </c>
      <c r="E12" s="5">
        <v>1E-3</v>
      </c>
      <c r="F12" s="3">
        <v>0</v>
      </c>
    </row>
    <row r="13" spans="1:14" x14ac:dyDescent="0.3">
      <c r="A13" s="1">
        <v>12</v>
      </c>
      <c r="B13" s="1" t="s">
        <v>267</v>
      </c>
      <c r="C13" s="1" t="s">
        <v>383</v>
      </c>
      <c r="D13" s="1" t="s">
        <v>378</v>
      </c>
      <c r="E13" s="5">
        <v>2E-3</v>
      </c>
      <c r="F13" s="3">
        <v>0</v>
      </c>
      <c r="M13" s="5"/>
    </row>
    <row r="14" spans="1:14" x14ac:dyDescent="0.3">
      <c r="A14" s="1">
        <v>13</v>
      </c>
      <c r="B14" s="1" t="s">
        <v>285</v>
      </c>
      <c r="C14" s="1" t="s">
        <v>384</v>
      </c>
      <c r="D14" s="1" t="s">
        <v>378</v>
      </c>
      <c r="E14" s="6">
        <v>0.05</v>
      </c>
      <c r="F14" s="3">
        <v>300000</v>
      </c>
    </row>
    <row r="15" spans="1:14" x14ac:dyDescent="0.3">
      <c r="A15" s="1">
        <v>14</v>
      </c>
      <c r="B15" s="1" t="s">
        <v>267</v>
      </c>
      <c r="C15" s="1" t="s">
        <v>385</v>
      </c>
      <c r="D15" s="1" t="s">
        <v>378</v>
      </c>
      <c r="E15" s="5">
        <v>1E-3</v>
      </c>
      <c r="F15" s="3">
        <v>0</v>
      </c>
    </row>
    <row r="16" spans="1:14" x14ac:dyDescent="0.3">
      <c r="A16" s="1">
        <v>15</v>
      </c>
      <c r="B16" s="1" t="s">
        <v>285</v>
      </c>
      <c r="C16" s="1" t="s">
        <v>386</v>
      </c>
      <c r="D16" s="1" t="s">
        <v>378</v>
      </c>
      <c r="E16" s="6">
        <v>0.03</v>
      </c>
      <c r="F16" s="3">
        <v>300000</v>
      </c>
    </row>
    <row r="17" spans="1:6" x14ac:dyDescent="0.3">
      <c r="A17" s="1">
        <v>16</v>
      </c>
      <c r="B17" s="1" t="s">
        <v>285</v>
      </c>
      <c r="C17" s="1" t="s">
        <v>387</v>
      </c>
      <c r="D17" s="1" t="s">
        <v>388</v>
      </c>
      <c r="E17" s="6">
        <v>0.03</v>
      </c>
      <c r="F17" s="3">
        <v>500000</v>
      </c>
    </row>
    <row r="18" spans="1:6" x14ac:dyDescent="0.3">
      <c r="A18" s="1">
        <v>17</v>
      </c>
      <c r="B18" s="1" t="s">
        <v>267</v>
      </c>
      <c r="C18" s="1" t="s">
        <v>389</v>
      </c>
      <c r="D18" s="1" t="s">
        <v>388</v>
      </c>
      <c r="E18" s="6">
        <v>0.01</v>
      </c>
      <c r="F18" s="3">
        <v>0</v>
      </c>
    </row>
    <row r="19" spans="1:6" x14ac:dyDescent="0.3">
      <c r="A19" s="1">
        <v>18</v>
      </c>
      <c r="B19" s="1" t="s">
        <v>285</v>
      </c>
      <c r="C19" s="1" t="s">
        <v>390</v>
      </c>
      <c r="D19" s="1" t="s">
        <v>378</v>
      </c>
      <c r="E19" s="6">
        <v>0.03</v>
      </c>
      <c r="F19" s="3">
        <v>500000</v>
      </c>
    </row>
    <row r="20" spans="1:6" x14ac:dyDescent="0.3">
      <c r="A20" s="1">
        <v>19</v>
      </c>
      <c r="B20" s="1" t="s">
        <v>267</v>
      </c>
      <c r="C20" s="1" t="s">
        <v>391</v>
      </c>
      <c r="D20" s="1" t="s">
        <v>378</v>
      </c>
      <c r="E20" s="6">
        <v>0.01</v>
      </c>
      <c r="F20" s="3">
        <v>0</v>
      </c>
    </row>
    <row r="21" spans="1:6" x14ac:dyDescent="0.3">
      <c r="A21" s="1">
        <v>20</v>
      </c>
      <c r="B21" s="1" t="s">
        <v>267</v>
      </c>
      <c r="C21" s="1" t="s">
        <v>392</v>
      </c>
      <c r="D21" s="1" t="s">
        <v>378</v>
      </c>
      <c r="E21" s="6">
        <v>0.1</v>
      </c>
      <c r="F21" s="3">
        <v>700000</v>
      </c>
    </row>
    <row r="22" spans="1:6" x14ac:dyDescent="0.3">
      <c r="A22" s="1">
        <v>21</v>
      </c>
      <c r="B22" s="1" t="s">
        <v>285</v>
      </c>
      <c r="C22" s="1" t="s">
        <v>393</v>
      </c>
      <c r="D22" s="1" t="s">
        <v>378</v>
      </c>
      <c r="E22" s="6">
        <v>0.01</v>
      </c>
      <c r="F22" s="3">
        <v>300000</v>
      </c>
    </row>
    <row r="23" spans="1:6" x14ac:dyDescent="0.3">
      <c r="A23" s="1">
        <v>22</v>
      </c>
      <c r="B23" s="1" t="s">
        <v>285</v>
      </c>
      <c r="C23" s="1" t="s">
        <v>394</v>
      </c>
      <c r="D23" s="1" t="s">
        <v>378</v>
      </c>
      <c r="E23" s="6">
        <v>0.01</v>
      </c>
      <c r="F23" s="3">
        <v>300000</v>
      </c>
    </row>
    <row r="24" spans="1:6" x14ac:dyDescent="0.3">
      <c r="A24" s="1">
        <v>23</v>
      </c>
      <c r="B24" s="1" t="s">
        <v>285</v>
      </c>
      <c r="C24" s="1" t="s">
        <v>395</v>
      </c>
      <c r="D24" s="1" t="s">
        <v>380</v>
      </c>
      <c r="E24" s="6">
        <v>0.01</v>
      </c>
      <c r="F24" s="3">
        <v>300000</v>
      </c>
    </row>
    <row r="25" spans="1:6" x14ac:dyDescent="0.3">
      <c r="A25" s="1">
        <v>24</v>
      </c>
      <c r="B25" s="1" t="s">
        <v>267</v>
      </c>
      <c r="C25" s="1" t="s">
        <v>396</v>
      </c>
      <c r="D25" s="1" t="s">
        <v>380</v>
      </c>
      <c r="E25" s="6">
        <v>0.01</v>
      </c>
      <c r="F25" s="3">
        <v>300000</v>
      </c>
    </row>
    <row r="26" spans="1:6" x14ac:dyDescent="0.3">
      <c r="A26" s="1">
        <v>25</v>
      </c>
      <c r="B26" s="1" t="s">
        <v>285</v>
      </c>
      <c r="C26" s="1" t="s">
        <v>397</v>
      </c>
      <c r="D26" s="1" t="s">
        <v>388</v>
      </c>
      <c r="E26" s="6">
        <v>0.05</v>
      </c>
      <c r="F26" s="3">
        <v>700000</v>
      </c>
    </row>
    <row r="27" spans="1:6" x14ac:dyDescent="0.3">
      <c r="A27" s="1">
        <v>26</v>
      </c>
      <c r="B27" s="1" t="s">
        <v>285</v>
      </c>
      <c r="C27" s="1" t="s">
        <v>398</v>
      </c>
      <c r="D27" s="1" t="s">
        <v>342</v>
      </c>
      <c r="E27" s="5">
        <v>1.4999999999999999E-2</v>
      </c>
      <c r="F27" s="3">
        <v>300000</v>
      </c>
    </row>
    <row r="28" spans="1:6" x14ac:dyDescent="0.3">
      <c r="A28" s="1">
        <v>27</v>
      </c>
      <c r="B28" s="1" t="s">
        <v>267</v>
      </c>
      <c r="C28" s="1" t="s">
        <v>399</v>
      </c>
      <c r="D28" s="1" t="s">
        <v>342</v>
      </c>
      <c r="E28" s="5">
        <v>1.4999999999999999E-2</v>
      </c>
      <c r="F28" s="3">
        <v>300000</v>
      </c>
    </row>
    <row r="29" spans="1:6" x14ac:dyDescent="0.3">
      <c r="A29" s="1">
        <v>28</v>
      </c>
      <c r="B29" s="1" t="s">
        <v>267</v>
      </c>
      <c r="C29" s="1" t="s">
        <v>400</v>
      </c>
      <c r="D29" s="1" t="s">
        <v>342</v>
      </c>
      <c r="E29" s="6">
        <v>0.01</v>
      </c>
      <c r="F29" s="3">
        <v>0</v>
      </c>
    </row>
    <row r="30" spans="1:6" x14ac:dyDescent="0.3">
      <c r="A30" s="1">
        <v>29</v>
      </c>
      <c r="B30" s="1" t="s">
        <v>267</v>
      </c>
      <c r="C30" s="1" t="s">
        <v>401</v>
      </c>
      <c r="D30" s="1" t="s">
        <v>342</v>
      </c>
      <c r="E30" s="6">
        <v>0.05</v>
      </c>
      <c r="F30" s="3">
        <v>1000000</v>
      </c>
    </row>
    <row r="31" spans="1:6" x14ac:dyDescent="0.3">
      <c r="A31" s="1">
        <v>30</v>
      </c>
      <c r="B31" s="1" t="s">
        <v>285</v>
      </c>
      <c r="C31" s="1" t="s">
        <v>402</v>
      </c>
      <c r="D31" s="1" t="s">
        <v>403</v>
      </c>
      <c r="E31" s="6">
        <v>0.1</v>
      </c>
      <c r="F31" s="3">
        <v>0</v>
      </c>
    </row>
    <row r="32" spans="1:6" x14ac:dyDescent="0.3">
      <c r="A32" s="1">
        <v>31</v>
      </c>
      <c r="B32" s="1" t="s">
        <v>267</v>
      </c>
      <c r="C32" s="1" t="s">
        <v>404</v>
      </c>
      <c r="D32" s="1" t="s">
        <v>342</v>
      </c>
      <c r="E32" s="6">
        <v>0.04</v>
      </c>
      <c r="F32" s="3">
        <v>750000</v>
      </c>
    </row>
    <row r="33" spans="5:5" x14ac:dyDescent="0.3">
      <c r="E33" s="6"/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4"/>
  <sheetViews>
    <sheetView zoomScale="70" zoomScaleNormal="70" workbookViewId="0">
      <selection activeCell="D34" sqref="D34"/>
    </sheetView>
  </sheetViews>
  <sheetFormatPr defaultRowHeight="16.5" x14ac:dyDescent="0.3"/>
  <cols>
    <col min="1" max="1" width="20.75" style="7" bestFit="1" customWidth="1"/>
    <col min="2" max="2" width="10.25" style="1" customWidth="1"/>
    <col min="3" max="3" width="17.125" style="1" customWidth="1"/>
    <col min="4" max="4" width="10.25" style="1" customWidth="1"/>
    <col min="5" max="5" width="13.375" style="3" customWidth="1"/>
    <col min="6" max="6" width="37.125" bestFit="1" customWidth="1"/>
    <col min="7" max="7" width="11" bestFit="1" customWidth="1"/>
  </cols>
  <sheetData>
    <row r="1" spans="1:7" x14ac:dyDescent="0.3">
      <c r="A1" s="7" t="s">
        <v>405</v>
      </c>
      <c r="B1" s="1" t="s">
        <v>406</v>
      </c>
      <c r="C1" s="1" t="s">
        <v>407</v>
      </c>
      <c r="D1" s="1" t="s">
        <v>408</v>
      </c>
      <c r="E1" s="3" t="s">
        <v>409</v>
      </c>
      <c r="F1" s="1" t="s">
        <v>752</v>
      </c>
      <c r="G1" s="1" t="s">
        <v>756</v>
      </c>
    </row>
    <row r="2" spans="1:7" x14ac:dyDescent="0.3">
      <c r="A2" s="7" t="s">
        <v>646</v>
      </c>
      <c r="B2" s="1">
        <v>1</v>
      </c>
      <c r="C2" s="1">
        <v>1</v>
      </c>
      <c r="D2" s="1">
        <v>1</v>
      </c>
      <c r="E2" s="3">
        <v>1018</v>
      </c>
      <c r="F2" s="1" t="str">
        <f>VLOOKUP(표5[[#This Row],[카드타입]], 표2[], 2, 0)</f>
        <v>Chase Freedom Unlimited™</v>
      </c>
      <c r="G2" s="1">
        <f ca="1">INT(DATEDIF(VLOOKUP(표5[[#This Row],[회원번호]], 표1[], 5, 0), TODAY(), "y")/10)</f>
        <v>3</v>
      </c>
    </row>
    <row r="3" spans="1:7" x14ac:dyDescent="0.3">
      <c r="A3" s="7" t="s">
        <v>647</v>
      </c>
      <c r="B3" s="1">
        <v>1</v>
      </c>
      <c r="C3" s="1">
        <v>2</v>
      </c>
      <c r="D3" s="1">
        <v>4</v>
      </c>
      <c r="E3" s="3">
        <v>151</v>
      </c>
      <c r="F3" s="1" t="str">
        <f>VLOOKUP(표5[[#This Row],[카드타입]], 표2[], 2, 0)</f>
        <v>Chase Freedom Unlimited™</v>
      </c>
      <c r="G3" s="1">
        <f ca="1">INT(DATEDIF(VLOOKUP(표5[[#This Row],[회원번호]], 표1[], 5, 0), TODAY(), "y")/10)</f>
        <v>3</v>
      </c>
    </row>
    <row r="4" spans="1:7" x14ac:dyDescent="0.3">
      <c r="A4" s="7" t="s">
        <v>648</v>
      </c>
      <c r="B4" s="1">
        <v>1</v>
      </c>
      <c r="C4" s="1">
        <v>3</v>
      </c>
      <c r="D4" s="1">
        <v>2</v>
      </c>
      <c r="E4" s="3">
        <v>0</v>
      </c>
      <c r="F4" s="1" t="str">
        <f>VLOOKUP(표5[[#This Row],[카드타입]], 표2[], 2, 0)</f>
        <v>Chase Freedom Unlimited™</v>
      </c>
      <c r="G4" s="1">
        <f ca="1">INT(DATEDIF(VLOOKUP(표5[[#This Row],[회원번호]], 표1[], 5, 0), TODAY(), "y")/10)</f>
        <v>1</v>
      </c>
    </row>
    <row r="5" spans="1:7" x14ac:dyDescent="0.3">
      <c r="A5" s="7" t="s">
        <v>649</v>
      </c>
      <c r="B5" s="1">
        <v>1</v>
      </c>
      <c r="C5" s="1">
        <v>1</v>
      </c>
      <c r="D5" s="1">
        <v>3</v>
      </c>
      <c r="E5" s="3">
        <v>4392</v>
      </c>
      <c r="F5" s="1" t="str">
        <f>VLOOKUP(표5[[#This Row],[카드타입]], 표2[], 2, 0)</f>
        <v>Chase Freedom Unlimited™</v>
      </c>
      <c r="G5" s="1">
        <f ca="1">INT(DATEDIF(VLOOKUP(표5[[#This Row],[회원번호]], 표1[], 5, 0), TODAY(), "y")/10)</f>
        <v>4</v>
      </c>
    </row>
    <row r="6" spans="1:7" x14ac:dyDescent="0.3">
      <c r="A6" s="7" t="s">
        <v>650</v>
      </c>
      <c r="B6" s="1">
        <v>4</v>
      </c>
      <c r="C6" s="1">
        <v>1</v>
      </c>
      <c r="D6" s="1">
        <v>2</v>
      </c>
      <c r="E6" s="3">
        <v>330</v>
      </c>
      <c r="F6" s="1" t="str">
        <f>VLOOKUP(표5[[#This Row],[카드타입]], 표2[], 2, 0)</f>
        <v>Chase Sapphire Preferred</v>
      </c>
      <c r="G6" s="1">
        <f ca="1">INT(DATEDIF(VLOOKUP(표5[[#This Row],[회원번호]], 표1[], 5, 0), TODAY(), "y")/10)</f>
        <v>1</v>
      </c>
    </row>
    <row r="7" spans="1:7" x14ac:dyDescent="0.3">
      <c r="A7" s="7" t="s">
        <v>651</v>
      </c>
      <c r="B7" s="1">
        <v>4</v>
      </c>
      <c r="C7" s="1">
        <v>1</v>
      </c>
      <c r="D7" s="1">
        <v>3</v>
      </c>
      <c r="E7" s="3">
        <v>45</v>
      </c>
      <c r="F7" s="1" t="str">
        <f>VLOOKUP(표5[[#This Row],[카드타입]], 표2[], 2, 0)</f>
        <v>Chase Sapphire Preferred</v>
      </c>
      <c r="G7" s="1">
        <f ca="1">INT(DATEDIF(VLOOKUP(표5[[#This Row],[회원번호]], 표1[], 5, 0), TODAY(), "y")/10)</f>
        <v>4</v>
      </c>
    </row>
    <row r="8" spans="1:7" x14ac:dyDescent="0.3">
      <c r="A8" s="7" t="s">
        <v>652</v>
      </c>
      <c r="B8" s="1">
        <v>4</v>
      </c>
      <c r="C8" s="1">
        <v>3</v>
      </c>
      <c r="D8" s="1">
        <v>1</v>
      </c>
      <c r="E8" s="3">
        <v>5120</v>
      </c>
      <c r="F8" s="1" t="str">
        <f>VLOOKUP(표5[[#This Row],[카드타입]], 표2[], 2, 0)</f>
        <v>Chase Sapphire Preferred</v>
      </c>
      <c r="G8" s="1">
        <f ca="1">INT(DATEDIF(VLOOKUP(표5[[#This Row],[회원번호]], 표1[], 5, 0), TODAY(), "y")/10)</f>
        <v>3</v>
      </c>
    </row>
    <row r="9" spans="1:7" x14ac:dyDescent="0.3">
      <c r="A9" s="7" t="s">
        <v>653</v>
      </c>
      <c r="B9" s="1">
        <v>4</v>
      </c>
      <c r="C9" s="1">
        <v>3</v>
      </c>
      <c r="D9" s="1">
        <v>4</v>
      </c>
      <c r="E9" s="3">
        <v>7144</v>
      </c>
      <c r="F9" s="1" t="str">
        <f>VLOOKUP(표5[[#This Row],[카드타입]], 표2[], 2, 0)</f>
        <v>Chase Sapphire Preferred</v>
      </c>
      <c r="G9" s="1">
        <f ca="1">INT(DATEDIF(VLOOKUP(표5[[#This Row],[회원번호]], 표1[], 5, 0), TODAY(), "y")/10)</f>
        <v>3</v>
      </c>
    </row>
    <row r="10" spans="1:7" x14ac:dyDescent="0.3">
      <c r="A10" s="7" t="s">
        <v>654</v>
      </c>
      <c r="B10" s="1">
        <v>2</v>
      </c>
      <c r="C10" s="1">
        <v>1</v>
      </c>
      <c r="D10" s="1">
        <v>6</v>
      </c>
      <c r="E10" s="3">
        <v>340</v>
      </c>
      <c r="F10" s="1" t="str">
        <f>VLOOKUP(표5[[#This Row],[카드타입]], 표2[], 2, 0)</f>
        <v>Chase Freedom Flex™</v>
      </c>
      <c r="G10" s="1">
        <f ca="1">INT(DATEDIF(VLOOKUP(표5[[#This Row],[회원번호]], 표1[], 5, 0), TODAY(), "y")/10)</f>
        <v>3</v>
      </c>
    </row>
    <row r="11" spans="1:7" x14ac:dyDescent="0.3">
      <c r="A11" s="7" t="s">
        <v>655</v>
      </c>
      <c r="B11" s="1">
        <v>2</v>
      </c>
      <c r="C11" s="1">
        <v>3</v>
      </c>
      <c r="D11" s="1">
        <v>5</v>
      </c>
      <c r="E11" s="3">
        <v>2490</v>
      </c>
      <c r="F11" s="1" t="str">
        <f>VLOOKUP(표5[[#This Row],[카드타입]], 표2[], 2, 0)</f>
        <v>Chase Freedom Flex™</v>
      </c>
      <c r="G11" s="1">
        <f ca="1">INT(DATEDIF(VLOOKUP(표5[[#This Row],[회원번호]], 표1[], 5, 0), TODAY(), "y")/10)</f>
        <v>2</v>
      </c>
    </row>
    <row r="12" spans="1:7" x14ac:dyDescent="0.3">
      <c r="A12" s="7" t="s">
        <v>656</v>
      </c>
      <c r="B12" s="1">
        <v>5</v>
      </c>
      <c r="C12" s="1">
        <v>1</v>
      </c>
      <c r="D12" s="1">
        <v>5</v>
      </c>
      <c r="E12" s="3">
        <v>978</v>
      </c>
      <c r="F12" s="1" t="str">
        <f>VLOOKUP(표5[[#This Row],[카드타입]], 표2[], 2, 0)</f>
        <v>Chase Sapphire Reserve</v>
      </c>
      <c r="G12" s="1">
        <f ca="1">INT(DATEDIF(VLOOKUP(표5[[#This Row],[회원번호]], 표1[], 5, 0), TODAY(), "y")/10)</f>
        <v>2</v>
      </c>
    </row>
    <row r="13" spans="1:7" x14ac:dyDescent="0.3">
      <c r="A13" s="7" t="s">
        <v>657</v>
      </c>
      <c r="B13" s="1">
        <v>5</v>
      </c>
      <c r="C13" s="1">
        <v>5</v>
      </c>
      <c r="D13" s="1">
        <v>6</v>
      </c>
      <c r="E13" s="3">
        <v>8089</v>
      </c>
      <c r="F13" s="1" t="str">
        <f>VLOOKUP(표5[[#This Row],[카드타입]], 표2[], 2, 0)</f>
        <v>Chase Sapphire Reserve</v>
      </c>
      <c r="G13" s="1">
        <f ca="1">INT(DATEDIF(VLOOKUP(표5[[#This Row],[회원번호]], 표1[], 5, 0), TODAY(), "y")/10)</f>
        <v>3</v>
      </c>
    </row>
    <row r="14" spans="1:7" x14ac:dyDescent="0.3">
      <c r="A14" s="7" t="s">
        <v>658</v>
      </c>
      <c r="B14" s="1">
        <v>5</v>
      </c>
      <c r="C14" s="1">
        <v>3</v>
      </c>
      <c r="D14" s="1">
        <v>7</v>
      </c>
      <c r="E14" s="3">
        <v>36</v>
      </c>
      <c r="F14" s="1" t="str">
        <f>VLOOKUP(표5[[#This Row],[카드타입]], 표2[], 2, 0)</f>
        <v>Chase Sapphire Reserve</v>
      </c>
      <c r="G14" s="1">
        <f ca="1">INT(DATEDIF(VLOOKUP(표5[[#This Row],[회원번호]], 표1[], 5, 0), TODAY(), "y")/10)</f>
        <v>3</v>
      </c>
    </row>
    <row r="15" spans="1:7" x14ac:dyDescent="0.3">
      <c r="A15" s="7" t="s">
        <v>659</v>
      </c>
      <c r="B15" s="1">
        <v>5</v>
      </c>
      <c r="C15" s="1">
        <v>3</v>
      </c>
      <c r="D15" s="1">
        <v>8</v>
      </c>
      <c r="E15" s="3">
        <v>9443</v>
      </c>
      <c r="F15" s="1" t="str">
        <f>VLOOKUP(표5[[#This Row],[카드타입]], 표2[], 2, 0)</f>
        <v>Chase Sapphire Reserve</v>
      </c>
      <c r="G15" s="1">
        <f ca="1">INT(DATEDIF(VLOOKUP(표5[[#This Row],[회원번호]], 표1[], 5, 0), TODAY(), "y")/10)</f>
        <v>3</v>
      </c>
    </row>
    <row r="16" spans="1:7" x14ac:dyDescent="0.3">
      <c r="A16" s="7" t="s">
        <v>660</v>
      </c>
      <c r="B16" s="1">
        <v>1</v>
      </c>
      <c r="C16" s="1">
        <v>2</v>
      </c>
      <c r="D16" s="1">
        <v>7</v>
      </c>
      <c r="E16" s="3">
        <v>3710</v>
      </c>
      <c r="F16" s="1" t="str">
        <f>VLOOKUP(표5[[#This Row],[카드타입]], 표2[], 2, 0)</f>
        <v>Chase Freedom Unlimited™</v>
      </c>
      <c r="G16" s="1">
        <f ca="1">INT(DATEDIF(VLOOKUP(표5[[#This Row],[회원번호]], 표1[], 5, 0), TODAY(), "y")/10)</f>
        <v>3</v>
      </c>
    </row>
    <row r="17" spans="1:7" x14ac:dyDescent="0.3">
      <c r="A17" s="7" t="s">
        <v>661</v>
      </c>
      <c r="B17" s="1">
        <v>6</v>
      </c>
      <c r="C17" s="1">
        <v>1</v>
      </c>
      <c r="D17" s="1">
        <v>8</v>
      </c>
      <c r="E17" s="3">
        <v>20677</v>
      </c>
      <c r="F17" s="1" t="str">
        <f>VLOOKUP(표5[[#This Row],[카드타입]], 표2[], 2, 0)</f>
        <v>Southwest Rapid Rewards Priority</v>
      </c>
      <c r="G17" s="1">
        <f ca="1">INT(DATEDIF(VLOOKUP(표5[[#This Row],[회원번호]], 표1[], 5, 0), TODAY(), "y")/10)</f>
        <v>3</v>
      </c>
    </row>
    <row r="18" spans="1:7" x14ac:dyDescent="0.3">
      <c r="A18" s="7" t="s">
        <v>662</v>
      </c>
      <c r="B18" s="1">
        <v>7</v>
      </c>
      <c r="C18" s="1">
        <v>1</v>
      </c>
      <c r="D18" s="1">
        <v>9</v>
      </c>
      <c r="E18" s="3">
        <v>9186</v>
      </c>
      <c r="F18" s="1" t="str">
        <f>VLOOKUP(표5[[#This Row],[카드타입]], 표2[], 2, 0)</f>
        <v>Southwest Rapid Rewards Plus</v>
      </c>
      <c r="G18" s="1">
        <f ca="1">INT(DATEDIF(VLOOKUP(표5[[#This Row],[회원번호]], 표1[], 5, 0), TODAY(), "y")/10)</f>
        <v>3</v>
      </c>
    </row>
    <row r="19" spans="1:7" x14ac:dyDescent="0.3">
      <c r="A19" s="7" t="s">
        <v>663</v>
      </c>
      <c r="B19" s="1">
        <v>7</v>
      </c>
      <c r="C19" s="1">
        <v>1</v>
      </c>
      <c r="D19" s="1">
        <v>11</v>
      </c>
      <c r="E19" s="3">
        <v>7191</v>
      </c>
      <c r="F19" s="1" t="str">
        <f>VLOOKUP(표5[[#This Row],[카드타입]], 표2[], 2, 0)</f>
        <v>Southwest Rapid Rewards Plus</v>
      </c>
      <c r="G19" s="1">
        <f ca="1">INT(DATEDIF(VLOOKUP(표5[[#This Row],[회원번호]], 표1[], 5, 0), TODAY(), "y")/10)</f>
        <v>3</v>
      </c>
    </row>
    <row r="20" spans="1:7" x14ac:dyDescent="0.3">
      <c r="A20" s="7" t="s">
        <v>664</v>
      </c>
      <c r="B20" s="1">
        <v>7</v>
      </c>
      <c r="C20" s="1">
        <v>1</v>
      </c>
      <c r="D20" s="1">
        <v>10</v>
      </c>
      <c r="E20" s="3">
        <v>8754</v>
      </c>
      <c r="F20" s="1" t="str">
        <f>VLOOKUP(표5[[#This Row],[카드타입]], 표2[], 2, 0)</f>
        <v>Southwest Rapid Rewards Plus</v>
      </c>
      <c r="G20" s="1">
        <f ca="1">INT(DATEDIF(VLOOKUP(표5[[#This Row],[회원번호]], 표1[], 5, 0), TODAY(), "y")/10)</f>
        <v>1</v>
      </c>
    </row>
    <row r="21" spans="1:7" x14ac:dyDescent="0.3">
      <c r="A21" s="7" t="s">
        <v>665</v>
      </c>
      <c r="B21" s="1">
        <v>7</v>
      </c>
      <c r="C21" s="1">
        <v>1</v>
      </c>
      <c r="D21" s="1">
        <v>12</v>
      </c>
      <c r="E21" s="3">
        <v>9539</v>
      </c>
      <c r="F21" s="1" t="str">
        <f>VLOOKUP(표5[[#This Row],[카드타입]], 표2[], 2, 0)</f>
        <v>Southwest Rapid Rewards Plus</v>
      </c>
      <c r="G21" s="1">
        <f ca="1">INT(DATEDIF(VLOOKUP(표5[[#This Row],[회원번호]], 표1[], 5, 0), TODAY(), "y")/10)</f>
        <v>4</v>
      </c>
    </row>
    <row r="22" spans="1:7" x14ac:dyDescent="0.3">
      <c r="A22" s="7" t="s">
        <v>666</v>
      </c>
      <c r="B22" s="1">
        <v>8</v>
      </c>
      <c r="C22" s="1">
        <v>1</v>
      </c>
      <c r="D22" s="1">
        <v>10</v>
      </c>
      <c r="E22" s="3">
        <v>8091</v>
      </c>
      <c r="F22" s="1" t="str">
        <f>VLOOKUP(표5[[#This Row],[카드타입]], 표2[], 2, 0)</f>
        <v>Southwest Rapid Rewards Premier</v>
      </c>
      <c r="G22" s="1">
        <f ca="1">INT(DATEDIF(VLOOKUP(표5[[#This Row],[회원번호]], 표1[], 5, 0), TODAY(), "y")/10)</f>
        <v>1</v>
      </c>
    </row>
    <row r="23" spans="1:7" x14ac:dyDescent="0.3">
      <c r="A23" s="7" t="s">
        <v>667</v>
      </c>
      <c r="B23" s="1">
        <v>8</v>
      </c>
      <c r="C23" s="1">
        <v>1</v>
      </c>
      <c r="D23" s="1">
        <v>11</v>
      </c>
      <c r="E23" s="3">
        <v>4228</v>
      </c>
      <c r="F23" s="1" t="str">
        <f>VLOOKUP(표5[[#This Row],[카드타입]], 표2[], 2, 0)</f>
        <v>Southwest Rapid Rewards Premier</v>
      </c>
      <c r="G23" s="1">
        <f ca="1">INT(DATEDIF(VLOOKUP(표5[[#This Row],[회원번호]], 표1[], 5, 0), TODAY(), "y")/10)</f>
        <v>3</v>
      </c>
    </row>
    <row r="24" spans="1:7" x14ac:dyDescent="0.3">
      <c r="A24" s="7" t="s">
        <v>668</v>
      </c>
      <c r="B24" s="1">
        <v>8</v>
      </c>
      <c r="C24" s="1">
        <v>1</v>
      </c>
      <c r="D24" s="1">
        <v>9</v>
      </c>
      <c r="E24" s="3">
        <v>5046</v>
      </c>
      <c r="F24" s="1" t="str">
        <f>VLOOKUP(표5[[#This Row],[카드타입]], 표2[], 2, 0)</f>
        <v>Southwest Rapid Rewards Premier</v>
      </c>
      <c r="G24" s="1">
        <f ca="1">INT(DATEDIF(VLOOKUP(표5[[#This Row],[회원번호]], 표1[], 5, 0), TODAY(), "y")/10)</f>
        <v>3</v>
      </c>
    </row>
    <row r="25" spans="1:7" x14ac:dyDescent="0.3">
      <c r="A25" s="7" t="s">
        <v>669</v>
      </c>
      <c r="B25" s="1">
        <v>9</v>
      </c>
      <c r="C25" s="1">
        <v>1</v>
      </c>
      <c r="D25" s="1">
        <v>12</v>
      </c>
      <c r="E25" s="3">
        <v>1687</v>
      </c>
      <c r="F25" s="1" t="str">
        <f>VLOOKUP(표5[[#This Row],[카드타입]], 표2[], 2, 0)</f>
        <v>United Club Infinite</v>
      </c>
      <c r="G25" s="1">
        <f ca="1">INT(DATEDIF(VLOOKUP(표5[[#This Row],[회원번호]], 표1[], 5, 0), TODAY(), "y")/10)</f>
        <v>4</v>
      </c>
    </row>
    <row r="26" spans="1:7" x14ac:dyDescent="0.3">
      <c r="A26" s="7" t="s">
        <v>670</v>
      </c>
      <c r="B26" s="1">
        <v>9</v>
      </c>
      <c r="C26" s="1">
        <v>2</v>
      </c>
      <c r="D26" s="1">
        <v>13</v>
      </c>
      <c r="E26" s="3">
        <v>4130</v>
      </c>
      <c r="F26" s="1" t="str">
        <f>VLOOKUP(표5[[#This Row],[카드타입]], 표2[], 2, 0)</f>
        <v>United Club Infinite</v>
      </c>
      <c r="G26" s="1">
        <f ca="1">INT(DATEDIF(VLOOKUP(표5[[#This Row],[회원번호]], 표1[], 5, 0), TODAY(), "y")/10)</f>
        <v>4</v>
      </c>
    </row>
    <row r="27" spans="1:7" x14ac:dyDescent="0.3">
      <c r="A27" s="7" t="s">
        <v>671</v>
      </c>
      <c r="B27" s="1">
        <v>9</v>
      </c>
      <c r="C27" s="1">
        <v>2</v>
      </c>
      <c r="D27" s="1">
        <v>13</v>
      </c>
      <c r="E27" s="3">
        <v>3611</v>
      </c>
      <c r="F27" s="1" t="str">
        <f>VLOOKUP(표5[[#This Row],[카드타입]], 표2[], 2, 0)</f>
        <v>United Club Infinite</v>
      </c>
      <c r="G27" s="1">
        <f ca="1">INT(DATEDIF(VLOOKUP(표5[[#This Row],[회원번호]], 표1[], 5, 0), TODAY(), "y")/10)</f>
        <v>4</v>
      </c>
    </row>
    <row r="28" spans="1:7" x14ac:dyDescent="0.3">
      <c r="A28" s="7" t="s">
        <v>672</v>
      </c>
      <c r="B28" s="1">
        <v>9</v>
      </c>
      <c r="C28" s="1">
        <v>2</v>
      </c>
      <c r="D28" s="1">
        <v>14</v>
      </c>
      <c r="E28" s="3">
        <v>396</v>
      </c>
      <c r="F28" s="1" t="str">
        <f>VLOOKUP(표5[[#This Row],[카드타입]], 표2[], 2, 0)</f>
        <v>United Club Infinite</v>
      </c>
      <c r="G28" s="1">
        <f ca="1">INT(DATEDIF(VLOOKUP(표5[[#This Row],[회원번호]], 표1[], 5, 0), TODAY(), "y")/10)</f>
        <v>1</v>
      </c>
    </row>
    <row r="29" spans="1:7" x14ac:dyDescent="0.3">
      <c r="A29" s="7" t="s">
        <v>673</v>
      </c>
      <c r="B29" s="1">
        <v>9</v>
      </c>
      <c r="C29" s="1">
        <v>2</v>
      </c>
      <c r="D29" s="1">
        <v>15</v>
      </c>
      <c r="E29" s="3">
        <v>1348</v>
      </c>
      <c r="F29" s="1" t="str">
        <f>VLOOKUP(표5[[#This Row],[카드타입]], 표2[], 2, 0)</f>
        <v>United Club Infinite</v>
      </c>
      <c r="G29" s="1">
        <f ca="1">INT(DATEDIF(VLOOKUP(표5[[#This Row],[회원번호]], 표1[], 5, 0), TODAY(), "y")/10)</f>
        <v>3</v>
      </c>
    </row>
    <row r="30" spans="1:7" x14ac:dyDescent="0.3">
      <c r="A30" s="7" t="s">
        <v>674</v>
      </c>
      <c r="B30" s="1">
        <v>10</v>
      </c>
      <c r="C30" s="1">
        <v>1</v>
      </c>
      <c r="D30" s="1">
        <v>14</v>
      </c>
      <c r="E30" s="3">
        <v>4586</v>
      </c>
      <c r="F30" s="1" t="str">
        <f>VLOOKUP(표5[[#This Row],[카드타입]], 표2[], 2, 0)</f>
        <v>United Gateway Mileage Plus</v>
      </c>
      <c r="G30" s="1">
        <f ca="1">INT(DATEDIF(VLOOKUP(표5[[#This Row],[회원번호]], 표1[], 5, 0), TODAY(), "y")/10)</f>
        <v>1</v>
      </c>
    </row>
    <row r="31" spans="1:7" x14ac:dyDescent="0.3">
      <c r="A31" s="7" t="s">
        <v>675</v>
      </c>
      <c r="B31" s="1">
        <v>11</v>
      </c>
      <c r="C31" s="1">
        <v>5</v>
      </c>
      <c r="D31" s="1">
        <v>15</v>
      </c>
      <c r="E31" s="3">
        <v>2270</v>
      </c>
      <c r="F31" s="1" t="str">
        <f>VLOOKUP(표5[[#This Row],[카드타입]], 표2[], 2, 0)</f>
        <v>UNITED™ EXPLORER</v>
      </c>
      <c r="G31" s="1">
        <f ca="1">INT(DATEDIF(VLOOKUP(표5[[#This Row],[회원번호]], 표1[], 5, 0), TODAY(), "y")/10)</f>
        <v>3</v>
      </c>
    </row>
    <row r="32" spans="1:7" x14ac:dyDescent="0.3">
      <c r="A32" s="7" t="s">
        <v>676</v>
      </c>
      <c r="B32" s="1">
        <v>12</v>
      </c>
      <c r="C32" s="1">
        <v>1</v>
      </c>
      <c r="D32" s="1">
        <v>16</v>
      </c>
      <c r="E32" s="3">
        <v>50402</v>
      </c>
      <c r="F32" s="1" t="str">
        <f>VLOOKUP(표5[[#This Row],[카드타입]], 표2[], 2, 0)</f>
        <v>British Airways Visa Signature®</v>
      </c>
      <c r="G32" s="1">
        <f ca="1">INT(DATEDIF(VLOOKUP(표5[[#This Row],[회원번호]], 표1[], 5, 0), TODAY(), "y")/10)</f>
        <v>2</v>
      </c>
    </row>
    <row r="33" spans="1:7" x14ac:dyDescent="0.3">
      <c r="A33" s="7" t="s">
        <v>677</v>
      </c>
      <c r="B33" s="1">
        <v>13</v>
      </c>
      <c r="C33" s="1">
        <v>1</v>
      </c>
      <c r="D33" s="1">
        <v>17</v>
      </c>
      <c r="E33" s="3">
        <v>1099993</v>
      </c>
      <c r="F33" s="1" t="str">
        <f>VLOOKUP(표5[[#This Row],[카드타입]], 표2[], 2, 0)</f>
        <v>Aer Lingus Visa Signature®</v>
      </c>
      <c r="G33" s="1">
        <f ca="1">INT(DATEDIF(VLOOKUP(표5[[#This Row],[회원번호]], 표1[], 5, 0), TODAY(), "y")/10)</f>
        <v>3</v>
      </c>
    </row>
    <row r="34" spans="1:7" x14ac:dyDescent="0.3">
      <c r="A34" s="7" t="s">
        <v>678</v>
      </c>
      <c r="B34" s="1">
        <v>16</v>
      </c>
      <c r="C34" s="1">
        <v>1</v>
      </c>
      <c r="D34" s="1">
        <v>17</v>
      </c>
      <c r="E34" s="3">
        <v>6291</v>
      </c>
      <c r="F34" s="1" t="str">
        <f>VLOOKUP(표5[[#This Row],[카드타입]], 표2[], 2, 0)</f>
        <v>Marriott Bonvoy Bold™</v>
      </c>
      <c r="G34" s="1">
        <f ca="1">INT(DATEDIF(VLOOKUP(표5[[#This Row],[회원번호]], 표1[], 5, 0), TODAY(), "y")/10)</f>
        <v>3</v>
      </c>
    </row>
    <row r="35" spans="1:7" x14ac:dyDescent="0.3">
      <c r="A35" s="7" t="s">
        <v>679</v>
      </c>
      <c r="B35" s="1">
        <v>16</v>
      </c>
      <c r="C35" s="1">
        <v>1</v>
      </c>
      <c r="D35" s="1">
        <v>16</v>
      </c>
      <c r="E35" s="3">
        <v>1764</v>
      </c>
      <c r="F35" s="1" t="str">
        <f>VLOOKUP(표5[[#This Row],[카드타입]], 표2[], 2, 0)</f>
        <v>Marriott Bonvoy Bold™</v>
      </c>
      <c r="G35" s="1">
        <f ca="1">INT(DATEDIF(VLOOKUP(표5[[#This Row],[회원번호]], 표1[], 5, 0), TODAY(), "y")/10)</f>
        <v>2</v>
      </c>
    </row>
    <row r="36" spans="1:7" x14ac:dyDescent="0.3">
      <c r="A36" s="7" t="s">
        <v>680</v>
      </c>
      <c r="B36" s="1">
        <v>16</v>
      </c>
      <c r="C36" s="1">
        <v>1</v>
      </c>
      <c r="D36" s="1">
        <v>18</v>
      </c>
      <c r="E36" s="3">
        <v>7398</v>
      </c>
      <c r="F36" s="1" t="str">
        <f>VLOOKUP(표5[[#This Row],[카드타입]], 표2[], 2, 0)</f>
        <v>Marriott Bonvoy Bold™</v>
      </c>
      <c r="G36" s="1">
        <f ca="1">INT(DATEDIF(VLOOKUP(표5[[#This Row],[회원번호]], 표1[], 5, 0), TODAY(), "y")/10)</f>
        <v>1</v>
      </c>
    </row>
    <row r="37" spans="1:7" x14ac:dyDescent="0.3">
      <c r="A37" s="7" t="s">
        <v>681</v>
      </c>
      <c r="B37" s="1">
        <v>16</v>
      </c>
      <c r="C37" s="1">
        <v>1</v>
      </c>
      <c r="D37" s="1">
        <v>19</v>
      </c>
      <c r="E37" s="3">
        <v>4328</v>
      </c>
      <c r="F37" s="1" t="str">
        <f>VLOOKUP(표5[[#This Row],[카드타입]], 표2[], 2, 0)</f>
        <v>Marriott Bonvoy Bold™</v>
      </c>
      <c r="G37" s="1">
        <f ca="1">INT(DATEDIF(VLOOKUP(표5[[#This Row],[회원번호]], 표1[], 5, 0), TODAY(), "y")/10)</f>
        <v>1</v>
      </c>
    </row>
    <row r="38" spans="1:7" x14ac:dyDescent="0.3">
      <c r="A38" s="7" t="s">
        <v>682</v>
      </c>
      <c r="B38" s="1">
        <v>16</v>
      </c>
      <c r="C38" s="1">
        <v>3</v>
      </c>
      <c r="D38" s="1">
        <v>20</v>
      </c>
      <c r="E38" s="3">
        <v>410</v>
      </c>
      <c r="F38" s="1" t="str">
        <f>VLOOKUP(표5[[#This Row],[카드타입]], 표2[], 2, 0)</f>
        <v>Marriott Bonvoy Bold™</v>
      </c>
      <c r="G38" s="1">
        <f ca="1">INT(DATEDIF(VLOOKUP(표5[[#This Row],[회원번호]], 표1[], 5, 0), TODAY(), "y")/10)</f>
        <v>2</v>
      </c>
    </row>
    <row r="39" spans="1:7" x14ac:dyDescent="0.3">
      <c r="A39" s="7" t="s">
        <v>683</v>
      </c>
      <c r="B39" s="1">
        <v>16</v>
      </c>
      <c r="C39" s="1">
        <v>5</v>
      </c>
      <c r="D39" s="1">
        <v>24</v>
      </c>
      <c r="E39" s="3">
        <v>2336</v>
      </c>
      <c r="F39" s="1" t="str">
        <f>VLOOKUP(표5[[#This Row],[카드타입]], 표2[], 2, 0)</f>
        <v>Marriott Bonvoy Bold™</v>
      </c>
      <c r="G39" s="1">
        <f ca="1">INT(DATEDIF(VLOOKUP(표5[[#This Row],[회원번호]], 표1[], 5, 0), TODAY(), "y")/10)</f>
        <v>1</v>
      </c>
    </row>
    <row r="40" spans="1:7" x14ac:dyDescent="0.3">
      <c r="A40" s="7" t="s">
        <v>684</v>
      </c>
      <c r="B40" s="1">
        <v>16</v>
      </c>
      <c r="C40" s="1">
        <v>5</v>
      </c>
      <c r="D40" s="1">
        <v>21</v>
      </c>
      <c r="E40" s="3">
        <v>1409</v>
      </c>
      <c r="F40" s="1" t="str">
        <f>VLOOKUP(표5[[#This Row],[카드타입]], 표2[], 2, 0)</f>
        <v>Marriott Bonvoy Bold™</v>
      </c>
      <c r="G40" s="1">
        <f ca="1">INT(DATEDIF(VLOOKUP(표5[[#This Row],[회원번호]], 표1[], 5, 0), TODAY(), "y")/10)</f>
        <v>3</v>
      </c>
    </row>
    <row r="41" spans="1:7" x14ac:dyDescent="0.3">
      <c r="A41" s="7" t="s">
        <v>685</v>
      </c>
      <c r="B41" s="1">
        <v>16</v>
      </c>
      <c r="C41" s="1">
        <v>5</v>
      </c>
      <c r="D41" s="1">
        <v>22</v>
      </c>
      <c r="E41" s="3">
        <v>1572</v>
      </c>
      <c r="F41" s="1" t="str">
        <f>VLOOKUP(표5[[#This Row],[카드타입]], 표2[], 2, 0)</f>
        <v>Marriott Bonvoy Bold™</v>
      </c>
      <c r="G41" s="1">
        <f ca="1">INT(DATEDIF(VLOOKUP(표5[[#This Row],[회원번호]], 표1[], 5, 0), TODAY(), "y")/10)</f>
        <v>1</v>
      </c>
    </row>
    <row r="42" spans="1:7" x14ac:dyDescent="0.3">
      <c r="A42" s="7" t="s">
        <v>686</v>
      </c>
      <c r="B42" s="1">
        <v>18</v>
      </c>
      <c r="C42" s="1">
        <v>1</v>
      </c>
      <c r="D42" s="1">
        <v>22</v>
      </c>
      <c r="E42" s="3">
        <v>5062</v>
      </c>
      <c r="F42" s="1" t="str">
        <f>VLOOKUP(표5[[#This Row],[카드타입]], 표2[], 2, 0)</f>
        <v>Disney Premier Visa</v>
      </c>
      <c r="G42" s="1">
        <f ca="1">INT(DATEDIF(VLOOKUP(표5[[#This Row],[회원번호]], 표1[], 5, 0), TODAY(), "y")/10)</f>
        <v>1</v>
      </c>
    </row>
    <row r="43" spans="1:7" x14ac:dyDescent="0.3">
      <c r="A43" s="7" t="s">
        <v>687</v>
      </c>
      <c r="B43" s="1">
        <v>18</v>
      </c>
      <c r="C43" s="1">
        <v>1</v>
      </c>
      <c r="D43" s="1">
        <v>21</v>
      </c>
      <c r="E43" s="3">
        <v>5344</v>
      </c>
      <c r="F43" s="1" t="str">
        <f>VLOOKUP(표5[[#This Row],[카드타입]], 표2[], 2, 0)</f>
        <v>Disney Premier Visa</v>
      </c>
      <c r="G43" s="1">
        <f ca="1">INT(DATEDIF(VLOOKUP(표5[[#This Row],[회원번호]], 표1[], 5, 0), TODAY(), "y")/10)</f>
        <v>3</v>
      </c>
    </row>
    <row r="44" spans="1:7" x14ac:dyDescent="0.3">
      <c r="A44" s="7" t="s">
        <v>688</v>
      </c>
      <c r="B44" s="1">
        <v>18</v>
      </c>
      <c r="C44" s="1">
        <v>1</v>
      </c>
      <c r="D44" s="1">
        <v>23</v>
      </c>
      <c r="E44" s="3">
        <v>4093</v>
      </c>
      <c r="F44" s="1" t="str">
        <f>VLOOKUP(표5[[#This Row],[카드타입]], 표2[], 2, 0)</f>
        <v>Disney Premier Visa</v>
      </c>
      <c r="G44" s="1">
        <f ca="1">INT(DATEDIF(VLOOKUP(표5[[#This Row],[회원번호]], 표1[], 5, 0), TODAY(), "y")/10)</f>
        <v>3</v>
      </c>
    </row>
    <row r="45" spans="1:7" x14ac:dyDescent="0.3">
      <c r="A45" s="7" t="s">
        <v>689</v>
      </c>
      <c r="B45" s="1">
        <v>18</v>
      </c>
      <c r="C45" s="1">
        <v>1</v>
      </c>
      <c r="D45" s="1">
        <v>20</v>
      </c>
      <c r="E45" s="3">
        <v>5772</v>
      </c>
      <c r="F45" s="1" t="str">
        <f>VLOOKUP(표5[[#This Row],[카드타입]], 표2[], 2, 0)</f>
        <v>Disney Premier Visa</v>
      </c>
      <c r="G45" s="1">
        <f ca="1">INT(DATEDIF(VLOOKUP(표5[[#This Row],[회원번호]], 표1[], 5, 0), TODAY(), "y")/10)</f>
        <v>2</v>
      </c>
    </row>
    <row r="46" spans="1:7" x14ac:dyDescent="0.3">
      <c r="A46" s="7" t="s">
        <v>690</v>
      </c>
      <c r="B46" s="1">
        <v>18</v>
      </c>
      <c r="C46" s="1">
        <v>1</v>
      </c>
      <c r="D46" s="1">
        <v>25</v>
      </c>
      <c r="E46" s="3">
        <v>7549</v>
      </c>
      <c r="F46" s="1" t="str">
        <f>VLOOKUP(표5[[#This Row],[카드타입]], 표2[], 2, 0)</f>
        <v>Disney Premier Visa</v>
      </c>
      <c r="G46" s="1">
        <f ca="1">INT(DATEDIF(VLOOKUP(표5[[#This Row],[회원번호]], 표1[], 5, 0), TODAY(), "y")/10)</f>
        <v>4</v>
      </c>
    </row>
    <row r="47" spans="1:7" x14ac:dyDescent="0.3">
      <c r="A47" s="7" t="s">
        <v>691</v>
      </c>
      <c r="B47" s="1">
        <v>19</v>
      </c>
      <c r="C47" s="1">
        <v>1</v>
      </c>
      <c r="D47" s="1">
        <v>26</v>
      </c>
      <c r="E47" s="3">
        <v>1917</v>
      </c>
      <c r="F47" s="1" t="str">
        <f>VLOOKUP(표5[[#This Row],[카드타입]], 표2[], 2, 0)</f>
        <v>Disney Visa</v>
      </c>
      <c r="G47" s="1">
        <f ca="1">INT(DATEDIF(VLOOKUP(표5[[#This Row],[회원번호]], 표1[], 5, 0), TODAY(), "y")/10)</f>
        <v>1</v>
      </c>
    </row>
    <row r="48" spans="1:7" x14ac:dyDescent="0.3">
      <c r="A48" s="7" t="s">
        <v>692</v>
      </c>
      <c r="B48" s="1">
        <v>19</v>
      </c>
      <c r="C48" s="1">
        <v>1</v>
      </c>
      <c r="D48" s="1">
        <v>27</v>
      </c>
      <c r="E48" s="3">
        <v>1821</v>
      </c>
      <c r="F48" s="1" t="str">
        <f>VLOOKUP(표5[[#This Row],[카드타입]], 표2[], 2, 0)</f>
        <v>Disney Visa</v>
      </c>
      <c r="G48" s="1">
        <f ca="1">INT(DATEDIF(VLOOKUP(표5[[#This Row],[회원번호]], 표1[], 5, 0), TODAY(), "y")/10)</f>
        <v>3</v>
      </c>
    </row>
    <row r="49" spans="1:7" x14ac:dyDescent="0.3">
      <c r="A49" s="7" t="s">
        <v>693</v>
      </c>
      <c r="B49" s="1">
        <v>23</v>
      </c>
      <c r="C49" s="1">
        <v>1</v>
      </c>
      <c r="D49" s="1">
        <v>28</v>
      </c>
      <c r="E49" s="3">
        <v>8479</v>
      </c>
      <c r="F49" s="1" t="str">
        <f>VLOOKUP(표5[[#This Row],[카드타입]], 표2[], 2, 0)</f>
        <v>Amazon Prime Rewards Visa Signature</v>
      </c>
      <c r="G49" s="1">
        <f ca="1">INT(DATEDIF(VLOOKUP(표5[[#This Row],[회원번호]], 표1[], 5, 0), TODAY(), "y")/10)</f>
        <v>1</v>
      </c>
    </row>
    <row r="50" spans="1:7" x14ac:dyDescent="0.3">
      <c r="A50" s="7" t="s">
        <v>694</v>
      </c>
      <c r="B50" s="1">
        <v>23</v>
      </c>
      <c r="C50" s="1">
        <v>1</v>
      </c>
      <c r="D50" s="1">
        <v>29</v>
      </c>
      <c r="E50" s="3">
        <v>796</v>
      </c>
      <c r="F50" s="1" t="str">
        <f>VLOOKUP(표5[[#This Row],[카드타입]], 표2[], 2, 0)</f>
        <v>Amazon Prime Rewards Visa Signature</v>
      </c>
      <c r="G50" s="1">
        <f ca="1">INT(DATEDIF(VLOOKUP(표5[[#This Row],[회원번호]], 표1[], 5, 0), TODAY(), "y")/10)</f>
        <v>3</v>
      </c>
    </row>
    <row r="51" spans="1:7" x14ac:dyDescent="0.3">
      <c r="A51" s="7" t="s">
        <v>695</v>
      </c>
      <c r="B51" s="1">
        <v>25</v>
      </c>
      <c r="C51" s="1">
        <v>6</v>
      </c>
      <c r="D51" s="1">
        <v>29</v>
      </c>
      <c r="E51" s="3">
        <v>4462</v>
      </c>
      <c r="F51" s="1" t="str">
        <f>VLOOKUP(표5[[#This Row],[카드타입]], 표2[], 2, 0)</f>
        <v>Ink Business Cash</v>
      </c>
      <c r="G51" s="1">
        <f ca="1">INT(DATEDIF(VLOOKUP(표5[[#This Row],[회원번호]], 표1[], 5, 0), TODAY(), "y")/10)</f>
        <v>3</v>
      </c>
    </row>
    <row r="52" spans="1:7" x14ac:dyDescent="0.3">
      <c r="A52" s="7" t="s">
        <v>696</v>
      </c>
      <c r="B52" s="1">
        <v>25</v>
      </c>
      <c r="C52" s="1">
        <v>6</v>
      </c>
      <c r="D52" s="1">
        <v>28</v>
      </c>
      <c r="E52" s="3">
        <v>3916</v>
      </c>
      <c r="F52" s="1" t="str">
        <f>VLOOKUP(표5[[#This Row],[카드타입]], 표2[], 2, 0)</f>
        <v>Ink Business Cash</v>
      </c>
      <c r="G52" s="1">
        <f ca="1">INT(DATEDIF(VLOOKUP(표5[[#This Row],[회원번호]], 표1[], 5, 0), TODAY(), "y")/10)</f>
        <v>1</v>
      </c>
    </row>
    <row r="53" spans="1:7" x14ac:dyDescent="0.3">
      <c r="A53" s="7" t="s">
        <v>697</v>
      </c>
      <c r="B53" s="1">
        <v>26</v>
      </c>
      <c r="C53" s="1">
        <v>1</v>
      </c>
      <c r="D53" s="1">
        <v>27</v>
      </c>
      <c r="E53" s="3">
        <v>1514</v>
      </c>
      <c r="F53" s="1" t="str">
        <f>VLOOKUP(표5[[#This Row],[카드타입]], 표2[], 2, 0)</f>
        <v>Ink Business Preferred</v>
      </c>
      <c r="G53" s="1">
        <f ca="1">INT(DATEDIF(VLOOKUP(표5[[#This Row],[회원번호]], 표1[], 5, 0), TODAY(), "y")/10)</f>
        <v>3</v>
      </c>
    </row>
    <row r="54" spans="1:7" x14ac:dyDescent="0.3">
      <c r="A54" s="7" t="s">
        <v>698</v>
      </c>
      <c r="B54" s="1">
        <v>26</v>
      </c>
      <c r="C54" s="1">
        <v>3</v>
      </c>
      <c r="D54" s="1">
        <v>26</v>
      </c>
      <c r="E54" s="3">
        <v>152423</v>
      </c>
      <c r="F54" s="1" t="str">
        <f>VLOOKUP(표5[[#This Row],[카드타입]], 표2[], 2, 0)</f>
        <v>Ink Business Preferred</v>
      </c>
      <c r="G54" s="1">
        <f ca="1">INT(DATEDIF(VLOOKUP(표5[[#This Row],[회원번호]], 표1[], 5, 0), TODAY(), "y")/10)</f>
        <v>1</v>
      </c>
    </row>
    <row r="55" spans="1:7" x14ac:dyDescent="0.3">
      <c r="A55" s="7" t="s">
        <v>699</v>
      </c>
      <c r="B55" s="1">
        <v>26</v>
      </c>
      <c r="C55" s="1">
        <v>3</v>
      </c>
      <c r="D55" s="1">
        <v>30</v>
      </c>
      <c r="E55" s="3">
        <v>11652</v>
      </c>
      <c r="F55" s="1" t="str">
        <f>VLOOKUP(표5[[#This Row],[카드타입]], 표2[], 2, 0)</f>
        <v>Ink Business Preferred</v>
      </c>
      <c r="G55" s="1">
        <f ca="1">INT(DATEDIF(VLOOKUP(표5[[#This Row],[회원번호]], 표1[], 5, 0), TODAY(), "y")/10)</f>
        <v>2</v>
      </c>
    </row>
    <row r="56" spans="1:7" x14ac:dyDescent="0.3">
      <c r="A56" s="7" t="s">
        <v>700</v>
      </c>
      <c r="B56" s="1">
        <v>26</v>
      </c>
      <c r="C56" s="1">
        <v>1</v>
      </c>
      <c r="D56" s="1">
        <v>30</v>
      </c>
      <c r="E56" s="3">
        <v>67158</v>
      </c>
      <c r="F56" s="1" t="str">
        <f>VLOOKUP(표5[[#This Row],[카드타입]], 표2[], 2, 0)</f>
        <v>Ink Business Preferred</v>
      </c>
      <c r="G56" s="1">
        <f ca="1">INT(DATEDIF(VLOOKUP(표5[[#This Row],[회원번호]], 표1[], 5, 0), TODAY(), "y")/10)</f>
        <v>2</v>
      </c>
    </row>
    <row r="57" spans="1:7" x14ac:dyDescent="0.3">
      <c r="A57" s="7" t="s">
        <v>701</v>
      </c>
      <c r="B57" s="1">
        <v>27</v>
      </c>
      <c r="C57" s="1">
        <v>2</v>
      </c>
      <c r="D57" s="1">
        <v>31</v>
      </c>
      <c r="E57" s="3">
        <v>6950</v>
      </c>
      <c r="F57" s="1" t="str">
        <f>VLOOKUP(표5[[#This Row],[카드타입]], 표2[], 2, 0)</f>
        <v>Southwest Rapid Rewards Business</v>
      </c>
      <c r="G57" s="1">
        <f ca="1">INT(DATEDIF(VLOOKUP(표5[[#This Row],[회원번호]], 표1[], 5, 0), TODAY(), "y")/10)</f>
        <v>1</v>
      </c>
    </row>
    <row r="58" spans="1:7" x14ac:dyDescent="0.3">
      <c r="A58" s="7" t="s">
        <v>702</v>
      </c>
      <c r="B58" s="1">
        <v>27</v>
      </c>
      <c r="C58" s="1">
        <v>1</v>
      </c>
      <c r="D58" s="1">
        <v>31</v>
      </c>
      <c r="E58" s="3">
        <v>1689</v>
      </c>
      <c r="F58" s="1" t="str">
        <f>VLOOKUP(표5[[#This Row],[카드타입]], 표2[], 2, 0)</f>
        <v>Southwest Rapid Rewards Business</v>
      </c>
      <c r="G58" s="1">
        <f ca="1">INT(DATEDIF(VLOOKUP(표5[[#This Row],[회원번호]], 표1[], 5, 0), TODAY(), "y")/10)</f>
        <v>1</v>
      </c>
    </row>
    <row r="59" spans="1:7" x14ac:dyDescent="0.3">
      <c r="A59" s="7" t="s">
        <v>703</v>
      </c>
      <c r="B59" s="1">
        <v>5</v>
      </c>
      <c r="C59" s="1">
        <v>1</v>
      </c>
      <c r="D59" s="1">
        <v>32</v>
      </c>
      <c r="E59" s="3">
        <v>3064</v>
      </c>
      <c r="F59" s="1" t="str">
        <f>VLOOKUP(표5[[#This Row],[카드타입]], 표2[], 2, 0)</f>
        <v>Chase Sapphire Reserve</v>
      </c>
      <c r="G59" s="1">
        <f ca="1">INT(DATEDIF(VLOOKUP(표5[[#This Row],[회원번호]], 표1[], 5, 0), TODAY(), "y")/10)</f>
        <v>1</v>
      </c>
    </row>
    <row r="60" spans="1:7" x14ac:dyDescent="0.3">
      <c r="A60" s="7" t="s">
        <v>704</v>
      </c>
      <c r="B60" s="1">
        <v>4</v>
      </c>
      <c r="C60" s="1">
        <v>3</v>
      </c>
      <c r="D60" s="1">
        <v>19</v>
      </c>
      <c r="E60" s="3">
        <v>6158</v>
      </c>
      <c r="F60" s="1" t="str">
        <f>VLOOKUP(표5[[#This Row],[카드타입]], 표2[], 2, 0)</f>
        <v>Chase Sapphire Preferred</v>
      </c>
      <c r="G60" s="1">
        <f ca="1">INT(DATEDIF(VLOOKUP(표5[[#This Row],[회원번호]], 표1[], 5, 0), TODAY(), "y")/10)</f>
        <v>1</v>
      </c>
    </row>
    <row r="61" spans="1:7" x14ac:dyDescent="0.3">
      <c r="A61" s="7" t="s">
        <v>705</v>
      </c>
      <c r="B61" s="1">
        <v>4</v>
      </c>
      <c r="C61" s="1">
        <v>1</v>
      </c>
      <c r="D61" s="1">
        <v>33</v>
      </c>
      <c r="E61" s="3">
        <v>1586</v>
      </c>
      <c r="F61" s="1" t="str">
        <f>VLOOKUP(표5[[#This Row],[카드타입]], 표2[], 2, 0)</f>
        <v>Chase Sapphire Preferred</v>
      </c>
      <c r="G61" s="1">
        <f ca="1">INT(DATEDIF(VLOOKUP(표5[[#This Row],[회원번호]], 표1[], 5, 0), TODAY(), "y")/10)</f>
        <v>2</v>
      </c>
    </row>
    <row r="62" spans="1:7" x14ac:dyDescent="0.3">
      <c r="A62" s="7" t="s">
        <v>706</v>
      </c>
      <c r="B62" s="1">
        <v>4</v>
      </c>
      <c r="C62" s="1">
        <v>5</v>
      </c>
      <c r="D62" s="1">
        <v>34</v>
      </c>
      <c r="E62" s="3">
        <v>9558</v>
      </c>
      <c r="F62" s="1" t="str">
        <f>VLOOKUP(표5[[#This Row],[카드타입]], 표2[], 2, 0)</f>
        <v>Chase Sapphire Preferred</v>
      </c>
      <c r="G62" s="1">
        <f ca="1">INT(DATEDIF(VLOOKUP(표5[[#This Row],[회원번호]], 표1[], 5, 0), TODAY(), "y")/10)</f>
        <v>2</v>
      </c>
    </row>
    <row r="63" spans="1:7" x14ac:dyDescent="0.3">
      <c r="A63" s="7" t="s">
        <v>707</v>
      </c>
      <c r="B63" s="1">
        <v>4</v>
      </c>
      <c r="C63" s="1">
        <v>1</v>
      </c>
      <c r="D63" s="1">
        <v>35</v>
      </c>
      <c r="E63" s="3">
        <v>8167</v>
      </c>
      <c r="F63" s="1" t="str">
        <f>VLOOKUP(표5[[#This Row],[카드타입]], 표2[], 2, 0)</f>
        <v>Chase Sapphire Preferred</v>
      </c>
      <c r="G63" s="1">
        <f ca="1">INT(DATEDIF(VLOOKUP(표5[[#This Row],[회원번호]], 표1[], 5, 0), TODAY(), "y")/10)</f>
        <v>3</v>
      </c>
    </row>
    <row r="64" spans="1:7" x14ac:dyDescent="0.3">
      <c r="A64" s="7" t="s">
        <v>708</v>
      </c>
      <c r="B64" s="1">
        <v>4</v>
      </c>
      <c r="C64" s="1">
        <v>1</v>
      </c>
      <c r="D64" s="1">
        <v>36</v>
      </c>
      <c r="E64" s="3">
        <v>896</v>
      </c>
      <c r="F64" s="1" t="str">
        <f>VLOOKUP(표5[[#This Row],[카드타입]], 표2[], 2, 0)</f>
        <v>Chase Sapphire Preferred</v>
      </c>
      <c r="G64" s="1">
        <f ca="1">INT(DATEDIF(VLOOKUP(표5[[#This Row],[회원번호]], 표1[], 5, 0), TODAY(), "y")/10)</f>
        <v>2</v>
      </c>
    </row>
    <row r="65" spans="1:7" x14ac:dyDescent="0.3">
      <c r="A65" s="7" t="s">
        <v>709</v>
      </c>
      <c r="B65" s="1">
        <v>4</v>
      </c>
      <c r="C65" s="1">
        <v>1</v>
      </c>
      <c r="D65" s="1">
        <v>37</v>
      </c>
      <c r="E65" s="3">
        <v>6664</v>
      </c>
      <c r="F65" s="1" t="str">
        <f>VLOOKUP(표5[[#This Row],[카드타입]], 표2[], 2, 0)</f>
        <v>Chase Sapphire Preferred</v>
      </c>
      <c r="G65" s="1">
        <f ca="1">INT(DATEDIF(VLOOKUP(표5[[#This Row],[회원번호]], 표1[], 5, 0), TODAY(), "y")/10)</f>
        <v>1</v>
      </c>
    </row>
    <row r="66" spans="1:7" x14ac:dyDescent="0.3">
      <c r="A66" s="7" t="s">
        <v>710</v>
      </c>
      <c r="B66" s="1">
        <v>4</v>
      </c>
      <c r="C66" s="1">
        <v>1</v>
      </c>
      <c r="D66" s="1">
        <v>38</v>
      </c>
      <c r="E66" s="3">
        <v>5103</v>
      </c>
      <c r="F66" s="1" t="str">
        <f>VLOOKUP(표5[[#This Row],[카드타입]], 표2[], 2, 0)</f>
        <v>Chase Sapphire Preferred</v>
      </c>
      <c r="G66" s="1">
        <f ca="1">INT(DATEDIF(VLOOKUP(표5[[#This Row],[회원번호]], 표1[], 5, 0), TODAY(), "y")/10)</f>
        <v>1</v>
      </c>
    </row>
    <row r="67" spans="1:7" x14ac:dyDescent="0.3">
      <c r="A67" s="7" t="s">
        <v>711</v>
      </c>
      <c r="B67" s="1">
        <v>3</v>
      </c>
      <c r="C67" s="1">
        <v>2</v>
      </c>
      <c r="D67" s="1">
        <v>39</v>
      </c>
      <c r="E67" s="3">
        <v>6207</v>
      </c>
      <c r="F67" s="1" t="str">
        <f>VLOOKUP(표5[[#This Row],[카드타입]], 표2[], 2, 0)</f>
        <v>Chase Freedom Student</v>
      </c>
      <c r="G67" s="1">
        <f ca="1">INT(DATEDIF(VLOOKUP(표5[[#This Row],[회원번호]], 표1[], 5, 0), TODAY(), "y")/10)</f>
        <v>2</v>
      </c>
    </row>
    <row r="68" spans="1:7" x14ac:dyDescent="0.3">
      <c r="A68" s="7" t="s">
        <v>712</v>
      </c>
      <c r="B68" s="1">
        <v>1</v>
      </c>
      <c r="C68" s="1">
        <v>1</v>
      </c>
      <c r="D68" s="1">
        <v>39</v>
      </c>
      <c r="E68" s="3">
        <v>2456</v>
      </c>
      <c r="F68" s="1" t="str">
        <f>VLOOKUP(표5[[#This Row],[카드타입]], 표2[], 2, 0)</f>
        <v>Chase Freedom Unlimited™</v>
      </c>
      <c r="G68" s="1">
        <f ca="1">INT(DATEDIF(VLOOKUP(표5[[#This Row],[회원번호]], 표1[], 5, 0), TODAY(), "y")/10)</f>
        <v>2</v>
      </c>
    </row>
    <row r="69" spans="1:7" x14ac:dyDescent="0.3">
      <c r="A69" s="7" t="s">
        <v>713</v>
      </c>
      <c r="B69" s="1">
        <v>1</v>
      </c>
      <c r="C69" s="1">
        <v>1</v>
      </c>
      <c r="D69" s="1">
        <v>37</v>
      </c>
      <c r="E69" s="3">
        <v>3210</v>
      </c>
      <c r="F69" s="1" t="str">
        <f>VLOOKUP(표5[[#This Row],[카드타입]], 표2[], 2, 0)</f>
        <v>Chase Freedom Unlimited™</v>
      </c>
      <c r="G69" s="1">
        <f ca="1">INT(DATEDIF(VLOOKUP(표5[[#This Row],[회원번호]], 표1[], 5, 0), TODAY(), "y")/10)</f>
        <v>1</v>
      </c>
    </row>
    <row r="70" spans="1:7" x14ac:dyDescent="0.3">
      <c r="A70" s="7" t="s">
        <v>714</v>
      </c>
      <c r="B70" s="1">
        <v>1</v>
      </c>
      <c r="C70" s="1">
        <v>1</v>
      </c>
      <c r="D70" s="1">
        <v>36</v>
      </c>
      <c r="E70" s="3">
        <v>3470</v>
      </c>
      <c r="F70" s="1" t="str">
        <f>VLOOKUP(표5[[#This Row],[카드타입]], 표2[], 2, 0)</f>
        <v>Chase Freedom Unlimited™</v>
      </c>
      <c r="G70" s="1">
        <f ca="1">INT(DATEDIF(VLOOKUP(표5[[#This Row],[회원번호]], 표1[], 5, 0), TODAY(), "y")/10)</f>
        <v>2</v>
      </c>
    </row>
    <row r="71" spans="1:7" x14ac:dyDescent="0.3">
      <c r="A71" s="7" t="s">
        <v>715</v>
      </c>
      <c r="B71" s="1">
        <v>1</v>
      </c>
      <c r="C71" s="1">
        <v>1</v>
      </c>
      <c r="D71" s="1">
        <v>32</v>
      </c>
      <c r="E71" s="3">
        <v>1039</v>
      </c>
      <c r="F71" s="1" t="str">
        <f>VLOOKUP(표5[[#This Row],[카드타입]], 표2[], 2, 0)</f>
        <v>Chase Freedom Unlimited™</v>
      </c>
      <c r="G71" s="1">
        <f ca="1">INT(DATEDIF(VLOOKUP(표5[[#This Row],[회원번호]], 표1[], 5, 0), TODAY(), "y")/10)</f>
        <v>1</v>
      </c>
    </row>
    <row r="72" spans="1:7" x14ac:dyDescent="0.3">
      <c r="A72" s="7" t="s">
        <v>716</v>
      </c>
      <c r="B72" s="1">
        <v>1</v>
      </c>
      <c r="C72" s="1">
        <v>2</v>
      </c>
      <c r="D72" s="1">
        <v>18</v>
      </c>
      <c r="E72" s="3">
        <v>4293</v>
      </c>
      <c r="F72" s="1" t="str">
        <f>VLOOKUP(표5[[#This Row],[카드타입]], 표2[], 2, 0)</f>
        <v>Chase Freedom Unlimited™</v>
      </c>
      <c r="G72" s="1">
        <f ca="1">INT(DATEDIF(VLOOKUP(표5[[#This Row],[회원번호]], 표1[], 5, 0), TODAY(), "y")/10)</f>
        <v>1</v>
      </c>
    </row>
    <row r="73" spans="1:7" x14ac:dyDescent="0.3">
      <c r="A73" s="7" t="s">
        <v>717</v>
      </c>
      <c r="B73" s="1">
        <v>1</v>
      </c>
      <c r="C73" s="1">
        <v>1</v>
      </c>
      <c r="D73" s="1">
        <v>2</v>
      </c>
      <c r="E73" s="3">
        <v>0</v>
      </c>
      <c r="F73" s="1" t="str">
        <f>VLOOKUP(표5[[#This Row],[카드타입]], 표2[], 2, 0)</f>
        <v>Chase Freedom Unlimited™</v>
      </c>
      <c r="G73" s="1">
        <f ca="1">INT(DATEDIF(VLOOKUP(표5[[#This Row],[회원번호]], 표1[], 5, 0), TODAY(), "y")/10)</f>
        <v>1</v>
      </c>
    </row>
    <row r="74" spans="1:7" x14ac:dyDescent="0.3">
      <c r="A74" s="7" t="s">
        <v>758</v>
      </c>
      <c r="B74" s="1">
        <v>1</v>
      </c>
      <c r="C74" s="1">
        <v>1</v>
      </c>
      <c r="D74" s="1">
        <v>41</v>
      </c>
      <c r="E74" s="3">
        <v>0</v>
      </c>
      <c r="F74" s="39" t="str">
        <f>VLOOKUP(표5[[#This Row],[카드타입]], 표2[], 2, 0)</f>
        <v>Chase Freedom Unlimited™</v>
      </c>
      <c r="G74" s="39" t="e">
        <f ca="1">INT(DATEDIF(VLOOKUP(표5[[#This Row],[회원번호]], 표1[], 5, 0), TODAY(), "y")/10)</f>
        <v>#N/A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91"/>
  <sheetViews>
    <sheetView zoomScale="70" zoomScaleNormal="70" workbookViewId="0">
      <selection activeCell="V22" sqref="V22"/>
    </sheetView>
  </sheetViews>
  <sheetFormatPr defaultRowHeight="16.5" x14ac:dyDescent="0.3"/>
  <cols>
    <col min="1" max="1" width="9" style="1"/>
    <col min="2" max="2" width="10.25" style="1" customWidth="1"/>
    <col min="3" max="3" width="48.375" style="1" bestFit="1" customWidth="1"/>
    <col min="4" max="4" width="27.25" style="1" bestFit="1" customWidth="1"/>
    <col min="5" max="5" width="13.875" style="1" bestFit="1" customWidth="1"/>
    <col min="6" max="6" width="13" style="3" bestFit="1" customWidth="1"/>
    <col min="7" max="7" width="10.25" style="1" customWidth="1"/>
  </cols>
  <sheetData>
    <row r="1" spans="1:15" x14ac:dyDescent="0.3">
      <c r="A1" s="1" t="s">
        <v>0</v>
      </c>
      <c r="B1" s="1" t="s">
        <v>410</v>
      </c>
      <c r="C1" s="1" t="s">
        <v>3</v>
      </c>
      <c r="D1" s="1" t="s">
        <v>411</v>
      </c>
      <c r="E1" s="1" t="s">
        <v>412</v>
      </c>
      <c r="F1" s="3" t="s">
        <v>413</v>
      </c>
      <c r="G1" s="1" t="s">
        <v>414</v>
      </c>
      <c r="I1" t="s">
        <v>760</v>
      </c>
      <c r="J1" t="s">
        <v>761</v>
      </c>
      <c r="L1" s="43" t="s">
        <v>0</v>
      </c>
      <c r="M1" s="43" t="s">
        <v>3</v>
      </c>
      <c r="N1" s="46" t="s">
        <v>413</v>
      </c>
      <c r="O1" s="43" t="s">
        <v>414</v>
      </c>
    </row>
    <row r="2" spans="1:15" x14ac:dyDescent="0.3">
      <c r="A2" s="1">
        <v>1</v>
      </c>
      <c r="B2" s="1" t="s">
        <v>380</v>
      </c>
      <c r="C2" s="1" t="s">
        <v>415</v>
      </c>
      <c r="D2" s="1" t="s">
        <v>416</v>
      </c>
      <c r="E2" s="1" t="s">
        <v>417</v>
      </c>
      <c r="F2" s="3">
        <v>4300</v>
      </c>
      <c r="G2" s="1">
        <v>0</v>
      </c>
      <c r="I2" t="s">
        <v>722</v>
      </c>
      <c r="J2" t="s">
        <v>762</v>
      </c>
      <c r="L2" s="1">
        <v>1</v>
      </c>
      <c r="M2" s="1" t="s">
        <v>415</v>
      </c>
      <c r="N2" s="3">
        <v>4300</v>
      </c>
      <c r="O2" s="1" t="s">
        <v>763</v>
      </c>
    </row>
    <row r="3" spans="1:15" x14ac:dyDescent="0.3">
      <c r="A3" s="1">
        <v>2</v>
      </c>
      <c r="B3" s="1" t="s">
        <v>380</v>
      </c>
      <c r="C3" s="1" t="s">
        <v>418</v>
      </c>
      <c r="D3" s="1" t="s">
        <v>416</v>
      </c>
      <c r="E3" s="1" t="s">
        <v>417</v>
      </c>
      <c r="F3" s="3">
        <v>2400</v>
      </c>
      <c r="G3" s="1">
        <v>0</v>
      </c>
      <c r="L3" s="1">
        <v>2</v>
      </c>
      <c r="M3" s="1" t="s">
        <v>418</v>
      </c>
      <c r="N3" s="3">
        <v>2400</v>
      </c>
      <c r="O3" s="1" t="s">
        <v>763</v>
      </c>
    </row>
    <row r="4" spans="1:15" x14ac:dyDescent="0.3">
      <c r="A4" s="1">
        <v>3</v>
      </c>
      <c r="B4" s="1" t="s">
        <v>380</v>
      </c>
      <c r="C4" s="1" t="s">
        <v>419</v>
      </c>
      <c r="D4" s="1" t="s">
        <v>416</v>
      </c>
      <c r="E4" s="1" t="s">
        <v>417</v>
      </c>
      <c r="F4" s="3">
        <v>6200</v>
      </c>
      <c r="G4" s="1">
        <v>0</v>
      </c>
      <c r="L4" s="1">
        <v>3</v>
      </c>
      <c r="M4" s="1" t="s">
        <v>419</v>
      </c>
      <c r="N4" s="3">
        <v>6200</v>
      </c>
      <c r="O4" s="1" t="s">
        <v>763</v>
      </c>
    </row>
    <row r="5" spans="1:15" x14ac:dyDescent="0.3">
      <c r="A5" s="1">
        <v>4</v>
      </c>
      <c r="B5" s="1" t="s">
        <v>380</v>
      </c>
      <c r="C5" s="1" t="s">
        <v>420</v>
      </c>
      <c r="D5" s="1" t="s">
        <v>416</v>
      </c>
      <c r="E5" s="1" t="s">
        <v>417</v>
      </c>
      <c r="F5" s="3">
        <v>3800</v>
      </c>
      <c r="G5" s="1">
        <v>0</v>
      </c>
      <c r="L5" s="1">
        <v>4</v>
      </c>
      <c r="M5" s="1" t="s">
        <v>420</v>
      </c>
      <c r="N5" s="3">
        <v>3800</v>
      </c>
      <c r="O5" s="1" t="s">
        <v>763</v>
      </c>
    </row>
    <row r="6" spans="1:15" x14ac:dyDescent="0.3">
      <c r="A6" s="1">
        <v>5</v>
      </c>
      <c r="B6" s="1" t="s">
        <v>380</v>
      </c>
      <c r="C6" s="1" t="s">
        <v>421</v>
      </c>
      <c r="D6" s="1" t="s">
        <v>422</v>
      </c>
      <c r="E6" s="1" t="s">
        <v>423</v>
      </c>
      <c r="F6" s="3">
        <v>27000</v>
      </c>
      <c r="G6" s="1">
        <v>1</v>
      </c>
      <c r="L6" s="1">
        <v>5</v>
      </c>
      <c r="M6" s="1" t="s">
        <v>421</v>
      </c>
      <c r="N6" s="3">
        <v>27000</v>
      </c>
      <c r="O6" s="1" t="s">
        <v>764</v>
      </c>
    </row>
    <row r="7" spans="1:15" x14ac:dyDescent="0.3">
      <c r="A7" s="1">
        <v>6</v>
      </c>
      <c r="B7" s="1" t="s">
        <v>380</v>
      </c>
      <c r="C7" s="1" t="s">
        <v>424</v>
      </c>
      <c r="D7" s="1" t="s">
        <v>425</v>
      </c>
      <c r="E7" s="1" t="s">
        <v>426</v>
      </c>
      <c r="F7" s="3">
        <v>11000</v>
      </c>
      <c r="G7" s="1">
        <v>0</v>
      </c>
      <c r="L7" s="1">
        <v>6</v>
      </c>
      <c r="M7" s="1" t="s">
        <v>424</v>
      </c>
      <c r="N7" s="3">
        <v>11000</v>
      </c>
      <c r="O7" s="1" t="s">
        <v>763</v>
      </c>
    </row>
    <row r="8" spans="1:15" x14ac:dyDescent="0.3">
      <c r="A8" s="1">
        <v>7</v>
      </c>
      <c r="B8" s="1" t="s">
        <v>380</v>
      </c>
      <c r="C8" s="1" t="s">
        <v>427</v>
      </c>
      <c r="D8" s="1" t="s">
        <v>425</v>
      </c>
      <c r="E8" s="1" t="s">
        <v>426</v>
      </c>
      <c r="F8" s="3">
        <v>12000</v>
      </c>
      <c r="G8" s="1">
        <v>0</v>
      </c>
      <c r="L8" s="1">
        <v>7</v>
      </c>
      <c r="M8" s="1" t="s">
        <v>427</v>
      </c>
      <c r="N8" s="3">
        <v>12000</v>
      </c>
      <c r="O8" s="1" t="s">
        <v>763</v>
      </c>
    </row>
    <row r="9" spans="1:15" x14ac:dyDescent="0.3">
      <c r="A9" s="1">
        <v>8</v>
      </c>
      <c r="B9" s="1" t="s">
        <v>380</v>
      </c>
      <c r="C9" s="1" t="s">
        <v>428</v>
      </c>
      <c r="D9" s="1" t="s">
        <v>425</v>
      </c>
      <c r="E9" s="1" t="s">
        <v>426</v>
      </c>
      <c r="F9" s="3">
        <v>1500</v>
      </c>
      <c r="G9" s="1">
        <v>0</v>
      </c>
      <c r="L9" s="1">
        <v>8</v>
      </c>
      <c r="M9" s="1" t="s">
        <v>428</v>
      </c>
      <c r="N9" s="3">
        <v>1500</v>
      </c>
      <c r="O9" s="1" t="s">
        <v>763</v>
      </c>
    </row>
    <row r="10" spans="1:15" x14ac:dyDescent="0.3">
      <c r="A10" s="1">
        <v>9</v>
      </c>
      <c r="B10" s="1" t="s">
        <v>380</v>
      </c>
      <c r="C10" s="1" t="s">
        <v>429</v>
      </c>
      <c r="D10" s="1" t="s">
        <v>430</v>
      </c>
      <c r="E10" s="1" t="s">
        <v>431</v>
      </c>
      <c r="F10" s="3">
        <v>33000</v>
      </c>
      <c r="G10" s="1">
        <v>1</v>
      </c>
      <c r="L10" s="1">
        <v>9</v>
      </c>
      <c r="M10" s="1" t="s">
        <v>429</v>
      </c>
      <c r="N10" s="3">
        <v>33000</v>
      </c>
      <c r="O10" s="1" t="s">
        <v>764</v>
      </c>
    </row>
    <row r="11" spans="1:15" x14ac:dyDescent="0.3">
      <c r="A11" s="1">
        <v>10</v>
      </c>
      <c r="B11" s="1" t="s">
        <v>380</v>
      </c>
      <c r="C11" s="1" t="s">
        <v>432</v>
      </c>
      <c r="D11" s="1" t="s">
        <v>433</v>
      </c>
      <c r="E11" s="1" t="s">
        <v>434</v>
      </c>
      <c r="F11" s="3">
        <v>28900</v>
      </c>
      <c r="G11" s="1">
        <v>0</v>
      </c>
      <c r="L11" s="1">
        <v>10</v>
      </c>
      <c r="M11" s="1" t="s">
        <v>432</v>
      </c>
      <c r="N11" s="3">
        <v>28900</v>
      </c>
      <c r="O11" s="1" t="s">
        <v>763</v>
      </c>
    </row>
    <row r="12" spans="1:15" x14ac:dyDescent="0.3">
      <c r="A12" s="1">
        <v>11</v>
      </c>
      <c r="B12" s="1" t="s">
        <v>380</v>
      </c>
      <c r="C12" s="1" t="s">
        <v>435</v>
      </c>
      <c r="D12" s="1" t="s">
        <v>433</v>
      </c>
      <c r="E12" s="1" t="s">
        <v>434</v>
      </c>
      <c r="F12" s="3">
        <v>36900</v>
      </c>
      <c r="G12" s="1">
        <v>0</v>
      </c>
      <c r="L12" s="1">
        <v>11</v>
      </c>
      <c r="M12" s="1" t="s">
        <v>435</v>
      </c>
      <c r="N12" s="3">
        <v>36900</v>
      </c>
      <c r="O12" s="1" t="s">
        <v>763</v>
      </c>
    </row>
    <row r="13" spans="1:15" x14ac:dyDescent="0.3">
      <c r="A13" s="1">
        <v>12</v>
      </c>
      <c r="B13" s="1" t="s">
        <v>380</v>
      </c>
      <c r="C13" s="1" t="s">
        <v>436</v>
      </c>
      <c r="D13" s="1" t="s">
        <v>433</v>
      </c>
      <c r="E13" s="1" t="s">
        <v>434</v>
      </c>
      <c r="F13" s="3">
        <v>45700</v>
      </c>
      <c r="G13" s="1">
        <v>0</v>
      </c>
      <c r="L13" s="1">
        <v>12</v>
      </c>
      <c r="M13" s="1" t="s">
        <v>436</v>
      </c>
      <c r="N13" s="3">
        <v>45700</v>
      </c>
      <c r="O13" s="1" t="s">
        <v>763</v>
      </c>
    </row>
    <row r="14" spans="1:15" x14ac:dyDescent="0.3">
      <c r="A14" s="1">
        <v>13</v>
      </c>
      <c r="B14" s="1" t="s">
        <v>380</v>
      </c>
      <c r="C14" s="1" t="s">
        <v>437</v>
      </c>
      <c r="D14" s="1" t="s">
        <v>438</v>
      </c>
      <c r="E14" s="1" t="s">
        <v>439</v>
      </c>
      <c r="F14" s="3">
        <v>33700</v>
      </c>
      <c r="G14" s="1">
        <v>1</v>
      </c>
      <c r="L14" s="1">
        <v>13</v>
      </c>
      <c r="M14" s="1" t="s">
        <v>437</v>
      </c>
      <c r="N14" s="3">
        <v>33700</v>
      </c>
      <c r="O14" s="1" t="s">
        <v>764</v>
      </c>
    </row>
    <row r="15" spans="1:15" x14ac:dyDescent="0.3">
      <c r="A15" s="1">
        <v>14</v>
      </c>
      <c r="B15" s="1" t="s">
        <v>380</v>
      </c>
      <c r="C15" s="1" t="s">
        <v>440</v>
      </c>
      <c r="D15" s="1" t="s">
        <v>441</v>
      </c>
      <c r="E15" s="1" t="s">
        <v>442</v>
      </c>
      <c r="F15" s="3">
        <v>15000</v>
      </c>
      <c r="G15" s="1">
        <v>1</v>
      </c>
      <c r="L15" s="1">
        <v>14</v>
      </c>
      <c r="M15" s="1" t="s">
        <v>440</v>
      </c>
      <c r="N15" s="3">
        <v>15000</v>
      </c>
      <c r="O15" s="1" t="s">
        <v>764</v>
      </c>
    </row>
    <row r="16" spans="1:15" x14ac:dyDescent="0.3">
      <c r="A16" s="1">
        <v>15</v>
      </c>
      <c r="B16" s="1" t="s">
        <v>380</v>
      </c>
      <c r="C16" s="1" t="s">
        <v>443</v>
      </c>
      <c r="D16" s="1" t="s">
        <v>441</v>
      </c>
      <c r="E16" s="1" t="s">
        <v>442</v>
      </c>
      <c r="F16" s="3">
        <v>34700</v>
      </c>
      <c r="G16" s="1">
        <v>0</v>
      </c>
      <c r="L16" s="1">
        <v>15</v>
      </c>
      <c r="M16" s="1" t="s">
        <v>443</v>
      </c>
      <c r="N16" s="3">
        <v>34700</v>
      </c>
      <c r="O16" s="1" t="s">
        <v>763</v>
      </c>
    </row>
    <row r="17" spans="1:15" x14ac:dyDescent="0.3">
      <c r="A17" s="1">
        <v>16</v>
      </c>
      <c r="B17" s="1" t="s">
        <v>380</v>
      </c>
      <c r="C17" s="1" t="s">
        <v>444</v>
      </c>
      <c r="D17" s="1" t="s">
        <v>441</v>
      </c>
      <c r="E17" s="1" t="s">
        <v>442</v>
      </c>
      <c r="F17" s="3">
        <v>99000</v>
      </c>
      <c r="G17" s="1">
        <v>0</v>
      </c>
      <c r="L17" s="1">
        <v>16</v>
      </c>
      <c r="M17" s="1" t="s">
        <v>444</v>
      </c>
      <c r="N17" s="3">
        <v>99000</v>
      </c>
      <c r="O17" s="1" t="s">
        <v>763</v>
      </c>
    </row>
    <row r="18" spans="1:15" x14ac:dyDescent="0.3">
      <c r="A18" s="1">
        <v>17</v>
      </c>
      <c r="B18" s="1" t="s">
        <v>380</v>
      </c>
      <c r="C18" s="1" t="s">
        <v>445</v>
      </c>
      <c r="D18" s="1" t="s">
        <v>446</v>
      </c>
      <c r="E18" s="1" t="s">
        <v>447</v>
      </c>
      <c r="F18" s="3">
        <v>119900</v>
      </c>
      <c r="G18" s="1">
        <v>0</v>
      </c>
      <c r="L18" s="1">
        <v>17</v>
      </c>
      <c r="M18" s="1" t="s">
        <v>445</v>
      </c>
      <c r="N18" s="3">
        <v>119900</v>
      </c>
      <c r="O18" s="1" t="s">
        <v>763</v>
      </c>
    </row>
    <row r="19" spans="1:15" x14ac:dyDescent="0.3">
      <c r="A19" s="1">
        <v>18</v>
      </c>
      <c r="B19" s="1" t="s">
        <v>380</v>
      </c>
      <c r="C19" s="1" t="s">
        <v>448</v>
      </c>
      <c r="D19" s="1" t="s">
        <v>446</v>
      </c>
      <c r="E19" s="1" t="s">
        <v>447</v>
      </c>
      <c r="F19" s="3">
        <v>22900</v>
      </c>
      <c r="G19" s="1">
        <v>1</v>
      </c>
      <c r="L19" s="1">
        <v>18</v>
      </c>
      <c r="M19" s="1" t="s">
        <v>448</v>
      </c>
      <c r="N19" s="3">
        <v>22900</v>
      </c>
      <c r="O19" s="1" t="s">
        <v>764</v>
      </c>
    </row>
    <row r="20" spans="1:15" x14ac:dyDescent="0.3">
      <c r="A20" s="1">
        <v>19</v>
      </c>
      <c r="B20" s="1" t="s">
        <v>380</v>
      </c>
      <c r="C20" s="1" t="s">
        <v>449</v>
      </c>
      <c r="D20" s="1" t="s">
        <v>430</v>
      </c>
      <c r="E20" s="1" t="s">
        <v>431</v>
      </c>
      <c r="F20" s="3">
        <v>25900</v>
      </c>
      <c r="G20" s="1">
        <v>0</v>
      </c>
      <c r="L20" s="1">
        <v>19</v>
      </c>
      <c r="M20" s="1" t="s">
        <v>449</v>
      </c>
      <c r="N20" s="3">
        <v>25900</v>
      </c>
      <c r="O20" s="1" t="s">
        <v>763</v>
      </c>
    </row>
    <row r="21" spans="1:15" x14ac:dyDescent="0.3">
      <c r="A21" s="1">
        <v>20</v>
      </c>
      <c r="B21" s="1" t="s">
        <v>380</v>
      </c>
      <c r="C21" s="1" t="s">
        <v>450</v>
      </c>
      <c r="D21" s="1" t="s">
        <v>422</v>
      </c>
      <c r="E21" s="1" t="s">
        <v>423</v>
      </c>
      <c r="F21" s="3">
        <v>9200</v>
      </c>
      <c r="G21" s="1">
        <v>1</v>
      </c>
      <c r="L21" s="1">
        <v>20</v>
      </c>
      <c r="M21" s="1" t="s">
        <v>450</v>
      </c>
      <c r="N21" s="3">
        <v>9200</v>
      </c>
      <c r="O21" s="1" t="s">
        <v>764</v>
      </c>
    </row>
    <row r="22" spans="1:15" x14ac:dyDescent="0.3">
      <c r="A22" s="1">
        <v>21</v>
      </c>
      <c r="B22" s="1" t="s">
        <v>380</v>
      </c>
      <c r="C22" s="1" t="s">
        <v>451</v>
      </c>
      <c r="D22" s="1" t="s">
        <v>452</v>
      </c>
      <c r="E22" s="1" t="s">
        <v>453</v>
      </c>
      <c r="F22" s="3">
        <v>19000</v>
      </c>
      <c r="G22" s="1">
        <v>0</v>
      </c>
      <c r="L22" s="1">
        <v>21</v>
      </c>
      <c r="M22" s="1" t="s">
        <v>451</v>
      </c>
      <c r="N22" s="3">
        <v>19000</v>
      </c>
      <c r="O22" s="1" t="s">
        <v>763</v>
      </c>
    </row>
    <row r="23" spans="1:15" x14ac:dyDescent="0.3">
      <c r="A23" s="1">
        <v>22</v>
      </c>
      <c r="B23" s="1" t="s">
        <v>380</v>
      </c>
      <c r="C23" s="1" t="s">
        <v>454</v>
      </c>
      <c r="D23" s="1" t="s">
        <v>452</v>
      </c>
      <c r="E23" s="1" t="s">
        <v>453</v>
      </c>
      <c r="F23" s="3">
        <v>30000</v>
      </c>
      <c r="G23" s="1">
        <v>0</v>
      </c>
      <c r="L23" s="1">
        <v>22</v>
      </c>
      <c r="M23" s="1" t="s">
        <v>454</v>
      </c>
      <c r="N23" s="3">
        <v>30000</v>
      </c>
      <c r="O23" s="1" t="s">
        <v>763</v>
      </c>
    </row>
    <row r="24" spans="1:15" x14ac:dyDescent="0.3">
      <c r="A24" s="1">
        <v>23</v>
      </c>
      <c r="B24" s="1" t="s">
        <v>380</v>
      </c>
      <c r="C24" s="1" t="s">
        <v>455</v>
      </c>
      <c r="D24" s="1" t="s">
        <v>430</v>
      </c>
      <c r="E24" s="1" t="s">
        <v>431</v>
      </c>
      <c r="F24" s="3">
        <v>150000</v>
      </c>
      <c r="G24" s="1">
        <v>1</v>
      </c>
      <c r="L24" s="1">
        <v>23</v>
      </c>
      <c r="M24" s="1" t="s">
        <v>455</v>
      </c>
      <c r="N24" s="3">
        <v>150000</v>
      </c>
      <c r="O24" s="1" t="s">
        <v>764</v>
      </c>
    </row>
    <row r="25" spans="1:15" x14ac:dyDescent="0.3">
      <c r="A25" s="1">
        <v>24</v>
      </c>
      <c r="B25" s="1" t="s">
        <v>403</v>
      </c>
      <c r="C25" s="1" t="s">
        <v>456</v>
      </c>
      <c r="D25" s="1" t="s">
        <v>457</v>
      </c>
      <c r="E25" s="1" t="s">
        <v>458</v>
      </c>
      <c r="F25" s="3">
        <v>1101300</v>
      </c>
      <c r="G25" s="1">
        <v>0</v>
      </c>
      <c r="L25" s="1">
        <v>87</v>
      </c>
      <c r="M25" s="1" t="s">
        <v>572</v>
      </c>
      <c r="N25" s="3">
        <v>3000</v>
      </c>
      <c r="O25" s="1" t="s">
        <v>763</v>
      </c>
    </row>
    <row r="26" spans="1:15" x14ac:dyDescent="0.3">
      <c r="A26" s="1">
        <v>25</v>
      </c>
      <c r="B26" s="1" t="s">
        <v>403</v>
      </c>
      <c r="C26" s="1" t="s">
        <v>459</v>
      </c>
      <c r="D26" s="1" t="s">
        <v>457</v>
      </c>
      <c r="E26" s="1" t="s">
        <v>458</v>
      </c>
      <c r="F26" s="3">
        <v>1251300</v>
      </c>
      <c r="G26" s="1">
        <v>1</v>
      </c>
      <c r="L26" s="1">
        <v>88</v>
      </c>
      <c r="M26" s="1" t="s">
        <v>573</v>
      </c>
      <c r="N26" s="3">
        <v>1000</v>
      </c>
      <c r="O26" s="1" t="s">
        <v>763</v>
      </c>
    </row>
    <row r="27" spans="1:15" x14ac:dyDescent="0.3">
      <c r="A27" s="1">
        <v>26</v>
      </c>
      <c r="B27" s="1" t="s">
        <v>403</v>
      </c>
      <c r="C27" s="1" t="s">
        <v>460</v>
      </c>
      <c r="D27" s="1" t="s">
        <v>461</v>
      </c>
      <c r="E27" s="1" t="s">
        <v>462</v>
      </c>
      <c r="F27" s="3">
        <v>17293000</v>
      </c>
      <c r="G27" s="1">
        <v>0</v>
      </c>
    </row>
    <row r="28" spans="1:15" x14ac:dyDescent="0.3">
      <c r="A28" s="1">
        <v>27</v>
      </c>
      <c r="B28" s="1" t="s">
        <v>403</v>
      </c>
      <c r="C28" s="1" t="s">
        <v>463</v>
      </c>
      <c r="D28" s="1" t="s">
        <v>464</v>
      </c>
      <c r="E28" s="1" t="s">
        <v>465</v>
      </c>
      <c r="F28" s="3">
        <v>7392050</v>
      </c>
      <c r="G28" s="1">
        <v>1</v>
      </c>
    </row>
    <row r="29" spans="1:15" x14ac:dyDescent="0.3">
      <c r="A29" s="1">
        <v>28</v>
      </c>
      <c r="B29" s="1" t="s">
        <v>403</v>
      </c>
      <c r="C29" s="1" t="s">
        <v>466</v>
      </c>
      <c r="D29" s="1" t="s">
        <v>467</v>
      </c>
      <c r="E29" s="1" t="s">
        <v>468</v>
      </c>
      <c r="F29" s="3">
        <v>29000</v>
      </c>
      <c r="G29" s="1">
        <v>0</v>
      </c>
    </row>
    <row r="30" spans="1:15" x14ac:dyDescent="0.3">
      <c r="A30" s="1">
        <v>29</v>
      </c>
      <c r="B30" s="1" t="s">
        <v>403</v>
      </c>
      <c r="C30" s="1" t="s">
        <v>469</v>
      </c>
      <c r="D30" s="1" t="s">
        <v>467</v>
      </c>
      <c r="E30" s="1" t="s">
        <v>468</v>
      </c>
      <c r="F30" s="3">
        <v>73000</v>
      </c>
      <c r="G30" s="1">
        <v>0</v>
      </c>
    </row>
    <row r="31" spans="1:15" x14ac:dyDescent="0.3">
      <c r="A31" s="1">
        <v>30</v>
      </c>
      <c r="B31" s="1" t="s">
        <v>403</v>
      </c>
      <c r="C31" s="1" t="s">
        <v>470</v>
      </c>
      <c r="D31" s="1" t="s">
        <v>471</v>
      </c>
      <c r="E31" s="1" t="s">
        <v>472</v>
      </c>
      <c r="F31" s="3">
        <v>219000</v>
      </c>
      <c r="G31" s="1">
        <v>0</v>
      </c>
    </row>
    <row r="32" spans="1:15" x14ac:dyDescent="0.3">
      <c r="A32" s="1">
        <v>31</v>
      </c>
      <c r="B32" s="1" t="s">
        <v>403</v>
      </c>
      <c r="C32" s="1" t="s">
        <v>473</v>
      </c>
      <c r="D32" s="1" t="s">
        <v>474</v>
      </c>
      <c r="E32" s="1" t="s">
        <v>472</v>
      </c>
      <c r="F32" s="3">
        <v>329000</v>
      </c>
      <c r="G32" s="1">
        <v>0</v>
      </c>
    </row>
    <row r="33" spans="1:10" x14ac:dyDescent="0.3">
      <c r="A33" s="1">
        <v>32</v>
      </c>
      <c r="B33" s="1" t="s">
        <v>403</v>
      </c>
      <c r="C33" s="1" t="s">
        <v>475</v>
      </c>
      <c r="D33" s="1" t="s">
        <v>474</v>
      </c>
      <c r="E33" s="1" t="s">
        <v>472</v>
      </c>
      <c r="F33" s="3">
        <v>799000</v>
      </c>
      <c r="G33" s="1">
        <v>0</v>
      </c>
    </row>
    <row r="34" spans="1:10" x14ac:dyDescent="0.3">
      <c r="A34" s="1">
        <v>33</v>
      </c>
      <c r="B34" s="1" t="s">
        <v>378</v>
      </c>
      <c r="C34" s="1" t="s">
        <v>476</v>
      </c>
      <c r="D34" s="1" t="s">
        <v>477</v>
      </c>
      <c r="E34" s="1" t="s">
        <v>478</v>
      </c>
      <c r="F34" s="3">
        <v>5947300</v>
      </c>
      <c r="G34" s="1">
        <v>0</v>
      </c>
      <c r="J34" s="47"/>
    </row>
    <row r="35" spans="1:10" x14ac:dyDescent="0.3">
      <c r="A35" s="1">
        <v>34</v>
      </c>
      <c r="B35" s="1" t="s">
        <v>378</v>
      </c>
      <c r="C35" s="1" t="s">
        <v>479</v>
      </c>
      <c r="D35" s="1" t="s">
        <v>480</v>
      </c>
      <c r="E35" s="1" t="s">
        <v>481</v>
      </c>
      <c r="F35" s="3">
        <v>75000</v>
      </c>
      <c r="G35" s="1">
        <v>0</v>
      </c>
    </row>
    <row r="36" spans="1:10" x14ac:dyDescent="0.3">
      <c r="A36" s="1">
        <v>35</v>
      </c>
      <c r="B36" s="1" t="s">
        <v>378</v>
      </c>
      <c r="C36" s="1" t="s">
        <v>482</v>
      </c>
      <c r="D36" s="1" t="s">
        <v>480</v>
      </c>
      <c r="E36" s="1" t="s">
        <v>481</v>
      </c>
      <c r="F36" s="3">
        <v>7300000</v>
      </c>
      <c r="G36" s="1">
        <v>0</v>
      </c>
    </row>
    <row r="37" spans="1:10" x14ac:dyDescent="0.3">
      <c r="A37" s="1">
        <v>36</v>
      </c>
      <c r="B37" s="1" t="s">
        <v>378</v>
      </c>
      <c r="C37" s="1" t="s">
        <v>483</v>
      </c>
      <c r="D37" s="1" t="s">
        <v>484</v>
      </c>
      <c r="E37" s="1" t="s">
        <v>485</v>
      </c>
      <c r="F37" s="3">
        <v>2190000</v>
      </c>
      <c r="G37" s="1">
        <v>0</v>
      </c>
    </row>
    <row r="38" spans="1:10" x14ac:dyDescent="0.3">
      <c r="A38" s="1">
        <v>37</v>
      </c>
      <c r="B38" s="1" t="s">
        <v>378</v>
      </c>
      <c r="C38" s="1" t="s">
        <v>486</v>
      </c>
      <c r="D38" s="1" t="s">
        <v>487</v>
      </c>
      <c r="E38" s="1" t="s">
        <v>488</v>
      </c>
      <c r="F38" s="3">
        <v>230000</v>
      </c>
      <c r="G38" s="1">
        <v>0</v>
      </c>
    </row>
    <row r="39" spans="1:10" x14ac:dyDescent="0.3">
      <c r="A39" s="1">
        <v>38</v>
      </c>
      <c r="B39" s="1" t="s">
        <v>378</v>
      </c>
      <c r="C39" s="1" t="s">
        <v>489</v>
      </c>
      <c r="D39" s="1" t="s">
        <v>490</v>
      </c>
      <c r="E39" s="1" t="s">
        <v>491</v>
      </c>
      <c r="F39" s="3">
        <v>479000</v>
      </c>
      <c r="G39" s="1">
        <v>0</v>
      </c>
    </row>
    <row r="40" spans="1:10" x14ac:dyDescent="0.3">
      <c r="A40" s="1">
        <v>39</v>
      </c>
      <c r="B40" s="1" t="s">
        <v>378</v>
      </c>
      <c r="C40" s="1" t="s">
        <v>492</v>
      </c>
      <c r="D40" s="1" t="s">
        <v>493</v>
      </c>
      <c r="E40" s="1" t="s">
        <v>494</v>
      </c>
      <c r="F40" s="3">
        <v>1515325</v>
      </c>
      <c r="G40" s="1">
        <v>1</v>
      </c>
    </row>
    <row r="41" spans="1:10" x14ac:dyDescent="0.3">
      <c r="A41" s="1">
        <v>40</v>
      </c>
      <c r="B41" s="1" t="s">
        <v>378</v>
      </c>
      <c r="C41" s="1" t="s">
        <v>495</v>
      </c>
      <c r="D41" s="1" t="s">
        <v>490</v>
      </c>
      <c r="E41" s="1" t="s">
        <v>491</v>
      </c>
      <c r="F41" s="3">
        <v>1239300</v>
      </c>
      <c r="G41" s="1">
        <v>1</v>
      </c>
    </row>
    <row r="42" spans="1:10" x14ac:dyDescent="0.3">
      <c r="A42" s="1">
        <v>41</v>
      </c>
      <c r="B42" s="1" t="s">
        <v>378</v>
      </c>
      <c r="C42" s="1" t="s">
        <v>496</v>
      </c>
      <c r="D42" s="1" t="s">
        <v>490</v>
      </c>
      <c r="E42" s="1" t="s">
        <v>491</v>
      </c>
      <c r="F42" s="3">
        <v>1868700</v>
      </c>
      <c r="G42" s="1">
        <v>1</v>
      </c>
    </row>
    <row r="43" spans="1:10" x14ac:dyDescent="0.3">
      <c r="A43" s="1">
        <v>42</v>
      </c>
      <c r="B43" s="1" t="s">
        <v>378</v>
      </c>
      <c r="C43" s="1" t="s">
        <v>497</v>
      </c>
      <c r="D43" s="1" t="s">
        <v>498</v>
      </c>
      <c r="E43" s="1" t="s">
        <v>499</v>
      </c>
      <c r="F43" s="3">
        <v>2492300</v>
      </c>
      <c r="G43" s="1">
        <v>1</v>
      </c>
    </row>
    <row r="44" spans="1:10" x14ac:dyDescent="0.3">
      <c r="A44" s="1">
        <v>43</v>
      </c>
      <c r="B44" s="1" t="s">
        <v>378</v>
      </c>
      <c r="C44" s="1" t="s">
        <v>500</v>
      </c>
      <c r="D44" s="1" t="s">
        <v>501</v>
      </c>
      <c r="E44" s="1" t="s">
        <v>502</v>
      </c>
      <c r="F44" s="3">
        <v>4718700</v>
      </c>
      <c r="G44" s="1">
        <v>1</v>
      </c>
    </row>
    <row r="45" spans="1:10" x14ac:dyDescent="0.3">
      <c r="A45" s="1">
        <v>44</v>
      </c>
      <c r="B45" s="1" t="s">
        <v>378</v>
      </c>
      <c r="C45" s="1" t="s">
        <v>503</v>
      </c>
      <c r="D45" s="1" t="s">
        <v>504</v>
      </c>
      <c r="E45" s="1" t="s">
        <v>505</v>
      </c>
      <c r="F45" s="3">
        <v>5080100</v>
      </c>
      <c r="G45" s="1">
        <v>1</v>
      </c>
    </row>
    <row r="46" spans="1:10" x14ac:dyDescent="0.3">
      <c r="A46" s="1">
        <v>45</v>
      </c>
      <c r="B46" s="1" t="s">
        <v>378</v>
      </c>
      <c r="C46" s="1" t="s">
        <v>506</v>
      </c>
      <c r="D46" s="1" t="s">
        <v>490</v>
      </c>
      <c r="E46" s="1" t="s">
        <v>491</v>
      </c>
      <c r="F46" s="3">
        <v>2383830</v>
      </c>
      <c r="G46" s="1">
        <v>1</v>
      </c>
    </row>
    <row r="47" spans="1:10" x14ac:dyDescent="0.3">
      <c r="A47" s="1">
        <v>46</v>
      </c>
      <c r="B47" s="1" t="s">
        <v>378</v>
      </c>
      <c r="C47" s="1" t="s">
        <v>507</v>
      </c>
      <c r="D47" s="1" t="s">
        <v>504</v>
      </c>
      <c r="E47" s="1" t="s">
        <v>508</v>
      </c>
      <c r="F47" s="3">
        <v>6907800</v>
      </c>
      <c r="G47" s="1">
        <v>1</v>
      </c>
    </row>
    <row r="48" spans="1:10" x14ac:dyDescent="0.3">
      <c r="A48" s="1">
        <v>47</v>
      </c>
      <c r="B48" s="1" t="s">
        <v>403</v>
      </c>
      <c r="C48" s="1" t="s">
        <v>509</v>
      </c>
      <c r="D48" s="1" t="s">
        <v>510</v>
      </c>
      <c r="E48" s="1" t="s">
        <v>511</v>
      </c>
      <c r="F48" s="3">
        <v>65500</v>
      </c>
      <c r="G48" s="1">
        <v>0</v>
      </c>
    </row>
    <row r="49" spans="1:7" x14ac:dyDescent="0.3">
      <c r="A49" s="1">
        <v>48</v>
      </c>
      <c r="B49" s="1" t="s">
        <v>403</v>
      </c>
      <c r="C49" s="1" t="s">
        <v>512</v>
      </c>
      <c r="D49" s="1" t="s">
        <v>513</v>
      </c>
      <c r="E49" s="1" t="s">
        <v>514</v>
      </c>
      <c r="F49" s="3">
        <v>49300</v>
      </c>
      <c r="G49" s="1">
        <v>0</v>
      </c>
    </row>
    <row r="50" spans="1:7" x14ac:dyDescent="0.3">
      <c r="A50" s="1">
        <v>49</v>
      </c>
      <c r="B50" s="1" t="s">
        <v>403</v>
      </c>
      <c r="C50" s="1" t="s">
        <v>515</v>
      </c>
      <c r="D50" s="1" t="s">
        <v>513</v>
      </c>
      <c r="E50" s="1" t="s">
        <v>514</v>
      </c>
      <c r="F50" s="3">
        <v>59000</v>
      </c>
      <c r="G50" s="1">
        <v>0</v>
      </c>
    </row>
    <row r="51" spans="1:7" x14ac:dyDescent="0.3">
      <c r="A51" s="1">
        <v>50</v>
      </c>
      <c r="B51" s="1" t="s">
        <v>403</v>
      </c>
      <c r="C51" s="1" t="s">
        <v>516</v>
      </c>
      <c r="D51" s="1" t="s">
        <v>517</v>
      </c>
      <c r="E51" s="1" t="s">
        <v>518</v>
      </c>
      <c r="F51" s="3">
        <v>10000</v>
      </c>
      <c r="G51" s="1">
        <v>0</v>
      </c>
    </row>
    <row r="52" spans="1:7" x14ac:dyDescent="0.3">
      <c r="A52" s="1">
        <v>51</v>
      </c>
      <c r="B52" s="1" t="s">
        <v>403</v>
      </c>
      <c r="C52" s="1" t="s">
        <v>516</v>
      </c>
      <c r="D52" s="1" t="s">
        <v>517</v>
      </c>
      <c r="E52" s="1" t="s">
        <v>518</v>
      </c>
      <c r="F52" s="3">
        <v>30000</v>
      </c>
      <c r="G52" s="1">
        <v>0</v>
      </c>
    </row>
    <row r="53" spans="1:7" x14ac:dyDescent="0.3">
      <c r="A53" s="1">
        <v>52</v>
      </c>
      <c r="B53" s="1" t="s">
        <v>403</v>
      </c>
      <c r="C53" s="1" t="s">
        <v>516</v>
      </c>
      <c r="D53" s="1" t="s">
        <v>517</v>
      </c>
      <c r="E53" s="1" t="s">
        <v>518</v>
      </c>
      <c r="F53" s="3">
        <v>50000</v>
      </c>
      <c r="G53" s="1">
        <v>0</v>
      </c>
    </row>
    <row r="54" spans="1:7" x14ac:dyDescent="0.3">
      <c r="A54" s="1">
        <v>53</v>
      </c>
      <c r="B54" s="1" t="s">
        <v>403</v>
      </c>
      <c r="C54" s="1" t="s">
        <v>519</v>
      </c>
      <c r="D54" s="1" t="s">
        <v>513</v>
      </c>
      <c r="E54" s="1" t="s">
        <v>514</v>
      </c>
      <c r="F54" s="3">
        <v>83700</v>
      </c>
      <c r="G54" s="1">
        <v>0</v>
      </c>
    </row>
    <row r="55" spans="1:7" x14ac:dyDescent="0.3">
      <c r="A55" s="1">
        <v>54</v>
      </c>
      <c r="B55" s="1" t="s">
        <v>378</v>
      </c>
      <c r="C55" s="1" t="s">
        <v>520</v>
      </c>
      <c r="D55" s="1" t="s">
        <v>521</v>
      </c>
      <c r="E55" s="1" t="s">
        <v>522</v>
      </c>
      <c r="F55" s="3">
        <v>50000</v>
      </c>
      <c r="G55" s="1">
        <v>0</v>
      </c>
    </row>
    <row r="56" spans="1:7" x14ac:dyDescent="0.3">
      <c r="A56" s="1">
        <v>55</v>
      </c>
      <c r="B56" s="1" t="s">
        <v>378</v>
      </c>
      <c r="C56" s="1" t="s">
        <v>523</v>
      </c>
      <c r="D56" s="1" t="s">
        <v>521</v>
      </c>
      <c r="E56" s="1" t="s">
        <v>522</v>
      </c>
      <c r="F56" s="3">
        <v>25000</v>
      </c>
      <c r="G56" s="1">
        <v>0</v>
      </c>
    </row>
    <row r="57" spans="1:7" x14ac:dyDescent="0.3">
      <c r="A57" s="1">
        <v>56</v>
      </c>
      <c r="B57" s="1" t="s">
        <v>388</v>
      </c>
      <c r="C57" s="1" t="s">
        <v>524</v>
      </c>
      <c r="D57" s="1" t="s">
        <v>521</v>
      </c>
      <c r="E57" s="1" t="s">
        <v>522</v>
      </c>
      <c r="F57" s="3">
        <v>133000</v>
      </c>
      <c r="G57" s="1">
        <v>1</v>
      </c>
    </row>
    <row r="58" spans="1:7" x14ac:dyDescent="0.3">
      <c r="A58" s="1">
        <v>57</v>
      </c>
      <c r="B58" s="1" t="s">
        <v>388</v>
      </c>
      <c r="C58" s="1" t="s">
        <v>525</v>
      </c>
      <c r="D58" s="1" t="s">
        <v>521</v>
      </c>
      <c r="E58" s="1" t="s">
        <v>522</v>
      </c>
      <c r="F58" s="3">
        <v>18000</v>
      </c>
      <c r="G58" s="1">
        <v>1</v>
      </c>
    </row>
    <row r="59" spans="1:7" x14ac:dyDescent="0.3">
      <c r="A59" s="1">
        <v>58</v>
      </c>
      <c r="B59" s="1" t="s">
        <v>388</v>
      </c>
      <c r="C59" s="1" t="s">
        <v>526</v>
      </c>
      <c r="D59" s="1" t="s">
        <v>521</v>
      </c>
      <c r="E59" s="1" t="s">
        <v>522</v>
      </c>
      <c r="F59" s="3">
        <v>3700</v>
      </c>
      <c r="G59" s="1">
        <v>0</v>
      </c>
    </row>
    <row r="60" spans="1:7" x14ac:dyDescent="0.3">
      <c r="A60" s="1">
        <v>59</v>
      </c>
      <c r="B60" s="1" t="s">
        <v>388</v>
      </c>
      <c r="C60" s="1" t="s">
        <v>527</v>
      </c>
      <c r="D60" s="1" t="s">
        <v>521</v>
      </c>
      <c r="E60" s="1" t="s">
        <v>522</v>
      </c>
      <c r="F60" s="3">
        <v>369000</v>
      </c>
      <c r="G60" s="1">
        <v>1</v>
      </c>
    </row>
    <row r="61" spans="1:7" x14ac:dyDescent="0.3">
      <c r="A61" s="1">
        <v>60</v>
      </c>
      <c r="B61" s="1" t="s">
        <v>388</v>
      </c>
      <c r="C61" s="1" t="s">
        <v>528</v>
      </c>
      <c r="D61" s="1" t="s">
        <v>521</v>
      </c>
      <c r="E61" s="1" t="s">
        <v>522</v>
      </c>
      <c r="F61" s="3">
        <v>249000</v>
      </c>
      <c r="G61" s="1">
        <v>1</v>
      </c>
    </row>
    <row r="62" spans="1:7" x14ac:dyDescent="0.3">
      <c r="A62" s="1">
        <v>61</v>
      </c>
      <c r="B62" s="1" t="s">
        <v>388</v>
      </c>
      <c r="C62" s="1" t="s">
        <v>529</v>
      </c>
      <c r="D62" s="1" t="s">
        <v>521</v>
      </c>
      <c r="E62" s="1" t="s">
        <v>522</v>
      </c>
      <c r="F62" s="3">
        <v>342000</v>
      </c>
      <c r="G62" s="1">
        <v>1</v>
      </c>
    </row>
    <row r="63" spans="1:7" x14ac:dyDescent="0.3">
      <c r="A63" s="1">
        <v>62</v>
      </c>
      <c r="B63" s="1" t="s">
        <v>388</v>
      </c>
      <c r="C63" s="1" t="s">
        <v>530</v>
      </c>
      <c r="D63" s="1" t="s">
        <v>521</v>
      </c>
      <c r="E63" s="1" t="s">
        <v>522</v>
      </c>
      <c r="F63" s="3">
        <v>107000</v>
      </c>
      <c r="G63" s="1">
        <v>1</v>
      </c>
    </row>
    <row r="64" spans="1:7" x14ac:dyDescent="0.3">
      <c r="A64" s="1">
        <v>63</v>
      </c>
      <c r="B64" s="1" t="s">
        <v>388</v>
      </c>
      <c r="C64" s="1" t="s">
        <v>531</v>
      </c>
      <c r="D64" s="1" t="s">
        <v>532</v>
      </c>
      <c r="E64" s="1" t="s">
        <v>533</v>
      </c>
      <c r="F64" s="3">
        <v>14000</v>
      </c>
      <c r="G64" s="1">
        <v>1</v>
      </c>
    </row>
    <row r="65" spans="1:7" x14ac:dyDescent="0.3">
      <c r="A65" s="1">
        <v>64</v>
      </c>
      <c r="B65" s="1" t="s">
        <v>388</v>
      </c>
      <c r="C65" s="1" t="s">
        <v>534</v>
      </c>
      <c r="D65" s="1" t="s">
        <v>517</v>
      </c>
      <c r="E65" s="1" t="s">
        <v>535</v>
      </c>
      <c r="F65" s="3">
        <v>19900</v>
      </c>
      <c r="G65" s="1">
        <v>0</v>
      </c>
    </row>
    <row r="66" spans="1:7" x14ac:dyDescent="0.3">
      <c r="A66" s="1">
        <v>65</v>
      </c>
      <c r="B66" s="1" t="s">
        <v>388</v>
      </c>
      <c r="C66" s="1" t="s">
        <v>536</v>
      </c>
      <c r="D66" s="1" t="s">
        <v>537</v>
      </c>
      <c r="E66" s="1" t="s">
        <v>538</v>
      </c>
      <c r="F66" s="3">
        <v>3357000</v>
      </c>
      <c r="G66" s="1">
        <v>0</v>
      </c>
    </row>
    <row r="67" spans="1:7" x14ac:dyDescent="0.3">
      <c r="A67" s="1">
        <v>66</v>
      </c>
      <c r="B67" s="1" t="s">
        <v>388</v>
      </c>
      <c r="C67" s="1" t="s">
        <v>539</v>
      </c>
      <c r="D67" s="1" t="s">
        <v>537</v>
      </c>
      <c r="E67" s="1" t="s">
        <v>538</v>
      </c>
      <c r="F67" s="3">
        <v>1050000</v>
      </c>
      <c r="G67" s="1">
        <v>0</v>
      </c>
    </row>
    <row r="68" spans="1:7" x14ac:dyDescent="0.3">
      <c r="A68" s="1">
        <v>67</v>
      </c>
      <c r="B68" s="1" t="s">
        <v>403</v>
      </c>
      <c r="C68" s="1" t="s">
        <v>540</v>
      </c>
      <c r="D68" s="1" t="s">
        <v>541</v>
      </c>
      <c r="E68" s="1" t="s">
        <v>542</v>
      </c>
      <c r="F68" s="3">
        <v>730000</v>
      </c>
      <c r="G68" s="1">
        <v>0</v>
      </c>
    </row>
    <row r="69" spans="1:7" x14ac:dyDescent="0.3">
      <c r="A69" s="1">
        <v>68</v>
      </c>
      <c r="B69" s="1" t="s">
        <v>403</v>
      </c>
      <c r="C69" s="1" t="s">
        <v>543</v>
      </c>
      <c r="D69" s="1" t="s">
        <v>461</v>
      </c>
      <c r="E69" s="1" t="s">
        <v>462</v>
      </c>
      <c r="F69" s="3">
        <v>19000000</v>
      </c>
      <c r="G69" s="1">
        <v>0</v>
      </c>
    </row>
    <row r="70" spans="1:7" x14ac:dyDescent="0.3">
      <c r="A70" s="1">
        <v>69</v>
      </c>
      <c r="B70" s="1" t="s">
        <v>388</v>
      </c>
      <c r="C70" s="1" t="s">
        <v>544</v>
      </c>
      <c r="D70" s="1" t="s">
        <v>532</v>
      </c>
      <c r="E70" s="1" t="s">
        <v>533</v>
      </c>
      <c r="F70" s="3">
        <v>899000</v>
      </c>
      <c r="G70" s="1">
        <v>0</v>
      </c>
    </row>
    <row r="71" spans="1:7" x14ac:dyDescent="0.3">
      <c r="A71" s="1">
        <v>70</v>
      </c>
      <c r="B71" s="1" t="s">
        <v>388</v>
      </c>
      <c r="C71" s="1" t="s">
        <v>545</v>
      </c>
      <c r="D71" s="1" t="s">
        <v>541</v>
      </c>
      <c r="E71" s="1" t="s">
        <v>542</v>
      </c>
      <c r="F71" s="3">
        <v>1000</v>
      </c>
      <c r="G71" s="1">
        <v>0</v>
      </c>
    </row>
    <row r="72" spans="1:7" x14ac:dyDescent="0.3">
      <c r="A72" s="1">
        <v>71</v>
      </c>
      <c r="B72" s="1" t="s">
        <v>388</v>
      </c>
      <c r="C72" s="1" t="s">
        <v>546</v>
      </c>
      <c r="D72" s="1" t="s">
        <v>532</v>
      </c>
      <c r="E72" s="1" t="s">
        <v>533</v>
      </c>
      <c r="F72" s="3">
        <v>1199000</v>
      </c>
      <c r="G72" s="1">
        <v>0</v>
      </c>
    </row>
    <row r="73" spans="1:7" x14ac:dyDescent="0.3">
      <c r="A73" s="1">
        <v>72</v>
      </c>
      <c r="B73" s="1" t="s">
        <v>388</v>
      </c>
      <c r="C73" s="1" t="s">
        <v>547</v>
      </c>
      <c r="D73" s="1" t="s">
        <v>532</v>
      </c>
      <c r="E73" s="1" t="s">
        <v>533</v>
      </c>
      <c r="F73" s="3">
        <v>1599000</v>
      </c>
      <c r="G73" s="1">
        <v>0</v>
      </c>
    </row>
    <row r="74" spans="1:7" x14ac:dyDescent="0.3">
      <c r="A74" s="1">
        <v>73</v>
      </c>
      <c r="B74" s="1" t="s">
        <v>388</v>
      </c>
      <c r="C74" s="1" t="s">
        <v>548</v>
      </c>
      <c r="D74" s="1" t="s">
        <v>541</v>
      </c>
      <c r="E74" s="1" t="s">
        <v>542</v>
      </c>
      <c r="F74" s="3">
        <v>35000</v>
      </c>
      <c r="G74" s="1">
        <v>1</v>
      </c>
    </row>
    <row r="75" spans="1:7" x14ac:dyDescent="0.3">
      <c r="A75" s="1">
        <v>74</v>
      </c>
      <c r="B75" s="1" t="s">
        <v>388</v>
      </c>
      <c r="C75" s="1" t="s">
        <v>549</v>
      </c>
      <c r="D75" s="1" t="s">
        <v>550</v>
      </c>
      <c r="E75" s="1" t="s">
        <v>551</v>
      </c>
      <c r="F75" s="3">
        <v>2398000</v>
      </c>
      <c r="G75" s="1">
        <v>1</v>
      </c>
    </row>
    <row r="76" spans="1:7" x14ac:dyDescent="0.3">
      <c r="A76" s="1">
        <v>75</v>
      </c>
      <c r="B76" s="1" t="s">
        <v>388</v>
      </c>
      <c r="C76" s="1" t="s">
        <v>552</v>
      </c>
      <c r="D76" s="1" t="s">
        <v>532</v>
      </c>
      <c r="E76" s="1" t="s">
        <v>533</v>
      </c>
      <c r="F76" s="3">
        <v>1650000</v>
      </c>
      <c r="G76" s="1">
        <v>0</v>
      </c>
    </row>
    <row r="77" spans="1:7" x14ac:dyDescent="0.3">
      <c r="A77" s="1">
        <v>76</v>
      </c>
      <c r="B77" s="1" t="s">
        <v>388</v>
      </c>
      <c r="C77" s="1" t="s">
        <v>553</v>
      </c>
      <c r="D77" s="1" t="s">
        <v>554</v>
      </c>
      <c r="E77" s="1" t="s">
        <v>555</v>
      </c>
      <c r="F77" s="3">
        <v>45000</v>
      </c>
      <c r="G77" s="1">
        <v>1</v>
      </c>
    </row>
    <row r="78" spans="1:7" x14ac:dyDescent="0.3">
      <c r="A78" s="1">
        <v>77</v>
      </c>
      <c r="B78" s="1" t="s">
        <v>388</v>
      </c>
      <c r="C78" s="1" t="s">
        <v>556</v>
      </c>
      <c r="D78" s="1" t="s">
        <v>557</v>
      </c>
      <c r="E78" s="1" t="s">
        <v>558</v>
      </c>
      <c r="F78" s="3">
        <v>1199000</v>
      </c>
      <c r="G78" s="1">
        <v>0</v>
      </c>
    </row>
    <row r="79" spans="1:7" x14ac:dyDescent="0.3">
      <c r="A79" s="1">
        <v>78</v>
      </c>
      <c r="B79" s="1" t="s">
        <v>388</v>
      </c>
      <c r="C79" s="1" t="s">
        <v>559</v>
      </c>
      <c r="D79" s="1" t="s">
        <v>557</v>
      </c>
      <c r="E79" s="1" t="s">
        <v>558</v>
      </c>
      <c r="F79" s="3">
        <v>1690000</v>
      </c>
      <c r="G79" s="1">
        <v>0</v>
      </c>
    </row>
    <row r="80" spans="1:7" x14ac:dyDescent="0.3">
      <c r="A80" s="1">
        <v>79</v>
      </c>
      <c r="B80" s="1" t="s">
        <v>388</v>
      </c>
      <c r="C80" s="1" t="s">
        <v>560</v>
      </c>
      <c r="D80" s="1" t="s">
        <v>554</v>
      </c>
      <c r="E80" s="1" t="s">
        <v>555</v>
      </c>
      <c r="F80" s="3">
        <v>3490000</v>
      </c>
      <c r="G80" s="1">
        <v>1</v>
      </c>
    </row>
    <row r="81" spans="1:7" x14ac:dyDescent="0.3">
      <c r="A81" s="1">
        <v>80</v>
      </c>
      <c r="B81" s="1" t="s">
        <v>388</v>
      </c>
      <c r="C81" s="1" t="s">
        <v>561</v>
      </c>
      <c r="D81" s="1" t="s">
        <v>554</v>
      </c>
      <c r="E81" s="1" t="s">
        <v>555</v>
      </c>
      <c r="F81" s="3">
        <v>790000</v>
      </c>
      <c r="G81" s="1">
        <v>1</v>
      </c>
    </row>
    <row r="82" spans="1:7" x14ac:dyDescent="0.3">
      <c r="A82" s="1">
        <v>81</v>
      </c>
      <c r="B82" s="1" t="s">
        <v>388</v>
      </c>
      <c r="C82" s="1" t="s">
        <v>562</v>
      </c>
      <c r="D82" s="1" t="s">
        <v>557</v>
      </c>
      <c r="E82" s="1" t="s">
        <v>558</v>
      </c>
      <c r="F82" s="3">
        <v>2790000</v>
      </c>
      <c r="G82" s="1">
        <v>0</v>
      </c>
    </row>
    <row r="83" spans="1:7" x14ac:dyDescent="0.3">
      <c r="A83" s="1">
        <v>82</v>
      </c>
      <c r="B83" s="1" t="s">
        <v>388</v>
      </c>
      <c r="C83" s="1" t="s">
        <v>563</v>
      </c>
      <c r="D83" s="1" t="s">
        <v>557</v>
      </c>
      <c r="E83" s="1" t="s">
        <v>558</v>
      </c>
      <c r="F83" s="3">
        <v>1990000</v>
      </c>
      <c r="G83" s="1">
        <v>0</v>
      </c>
    </row>
    <row r="84" spans="1:7" x14ac:dyDescent="0.3">
      <c r="A84" s="1">
        <v>83</v>
      </c>
      <c r="B84" s="1" t="s">
        <v>388</v>
      </c>
      <c r="C84" s="1" t="s">
        <v>564</v>
      </c>
      <c r="D84" s="1" t="s">
        <v>557</v>
      </c>
      <c r="E84" s="1" t="s">
        <v>558</v>
      </c>
      <c r="F84" s="3">
        <v>1490000</v>
      </c>
      <c r="G84" s="1">
        <v>0</v>
      </c>
    </row>
    <row r="85" spans="1:7" x14ac:dyDescent="0.3">
      <c r="A85" s="1">
        <v>84</v>
      </c>
      <c r="B85" s="1" t="s">
        <v>388</v>
      </c>
      <c r="C85" s="1" t="s">
        <v>565</v>
      </c>
      <c r="D85" s="1" t="s">
        <v>566</v>
      </c>
      <c r="E85" s="1" t="s">
        <v>567</v>
      </c>
      <c r="F85" s="3">
        <v>79000</v>
      </c>
      <c r="G85" s="1">
        <v>1</v>
      </c>
    </row>
    <row r="86" spans="1:7" x14ac:dyDescent="0.3">
      <c r="A86" s="1">
        <v>85</v>
      </c>
      <c r="B86" s="1" t="s">
        <v>388</v>
      </c>
      <c r="C86" s="1" t="s">
        <v>568</v>
      </c>
      <c r="D86" s="1" t="s">
        <v>569</v>
      </c>
      <c r="E86" s="1" t="s">
        <v>570</v>
      </c>
      <c r="F86" s="3">
        <v>3000</v>
      </c>
      <c r="G86" s="1">
        <v>0</v>
      </c>
    </row>
    <row r="87" spans="1:7" x14ac:dyDescent="0.3">
      <c r="A87" s="1">
        <v>86</v>
      </c>
      <c r="B87" s="1" t="s">
        <v>388</v>
      </c>
      <c r="C87" s="1" t="s">
        <v>571</v>
      </c>
      <c r="D87" s="1" t="s">
        <v>532</v>
      </c>
      <c r="E87" s="1" t="s">
        <v>533</v>
      </c>
      <c r="F87" s="3">
        <v>549000</v>
      </c>
      <c r="G87" s="1">
        <v>1</v>
      </c>
    </row>
    <row r="88" spans="1:7" x14ac:dyDescent="0.3">
      <c r="A88" s="1">
        <v>87</v>
      </c>
      <c r="B88" s="1" t="s">
        <v>380</v>
      </c>
      <c r="C88" s="1" t="s">
        <v>572</v>
      </c>
      <c r="D88" s="1" t="s">
        <v>430</v>
      </c>
      <c r="E88" s="1" t="s">
        <v>431</v>
      </c>
      <c r="F88" s="3">
        <v>3000</v>
      </c>
      <c r="G88" s="1">
        <v>0</v>
      </c>
    </row>
    <row r="89" spans="1:7" x14ac:dyDescent="0.3">
      <c r="A89" s="1">
        <v>88</v>
      </c>
      <c r="B89" s="1" t="s">
        <v>380</v>
      </c>
      <c r="C89" s="1" t="s">
        <v>573</v>
      </c>
      <c r="D89" s="1" t="s">
        <v>430</v>
      </c>
      <c r="E89" s="1" t="s">
        <v>431</v>
      </c>
      <c r="F89" s="3">
        <v>1000</v>
      </c>
      <c r="G89" s="1">
        <v>0</v>
      </c>
    </row>
    <row r="90" spans="1:7" x14ac:dyDescent="0.3">
      <c r="A90" s="1">
        <v>89</v>
      </c>
      <c r="B90" s="1" t="s">
        <v>388</v>
      </c>
      <c r="C90" s="1" t="s">
        <v>574</v>
      </c>
      <c r="D90" s="1" t="s">
        <v>575</v>
      </c>
      <c r="E90" s="1" t="s">
        <v>576</v>
      </c>
      <c r="F90" s="3">
        <v>149000000</v>
      </c>
      <c r="G90" s="1">
        <v>1</v>
      </c>
    </row>
    <row r="91" spans="1:7" x14ac:dyDescent="0.3">
      <c r="A91" s="1">
        <v>90</v>
      </c>
      <c r="B91" s="1" t="s">
        <v>388</v>
      </c>
      <c r="C91" s="1" t="s">
        <v>577</v>
      </c>
      <c r="D91" s="1" t="s">
        <v>575</v>
      </c>
      <c r="E91" s="1" t="s">
        <v>576</v>
      </c>
      <c r="F91" s="3">
        <v>54900000</v>
      </c>
      <c r="G91" s="1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78"/>
  <sheetViews>
    <sheetView topLeftCell="A464" workbookViewId="0">
      <selection activeCell="D484" sqref="D484"/>
    </sheetView>
  </sheetViews>
  <sheetFormatPr defaultRowHeight="16.5" x14ac:dyDescent="0.3"/>
  <cols>
    <col min="1" max="1" width="9" style="1"/>
    <col min="2" max="2" width="16.625" style="1" bestFit="1" customWidth="1"/>
    <col min="3" max="3" width="10.25" style="1" customWidth="1"/>
    <col min="4" max="5" width="17.5" style="1" bestFit="1" customWidth="1"/>
    <col min="6" max="6" width="20.75" style="1" bestFit="1" customWidth="1"/>
    <col min="7" max="7" width="10.25" style="1" customWidth="1"/>
    <col min="8" max="8" width="13" style="3" bestFit="1" customWidth="1"/>
    <col min="9" max="10" width="10.25" style="1" customWidth="1"/>
  </cols>
  <sheetData>
    <row r="1" spans="1:15" x14ac:dyDescent="0.3">
      <c r="A1" s="1" t="s">
        <v>0</v>
      </c>
      <c r="B1" s="1" t="s">
        <v>578</v>
      </c>
      <c r="C1" s="1" t="s">
        <v>408</v>
      </c>
      <c r="D1" s="1" t="s">
        <v>579</v>
      </c>
      <c r="E1" s="1" t="s">
        <v>580</v>
      </c>
      <c r="F1" s="1" t="s">
        <v>405</v>
      </c>
      <c r="G1" s="1" t="s">
        <v>581</v>
      </c>
      <c r="H1" s="3" t="s">
        <v>582</v>
      </c>
      <c r="I1" s="1" t="s">
        <v>583</v>
      </c>
      <c r="J1" s="1" t="s">
        <v>584</v>
      </c>
    </row>
    <row r="2" spans="1:15" x14ac:dyDescent="0.3">
      <c r="A2" s="1">
        <v>1</v>
      </c>
      <c r="B2" s="8">
        <v>44409.084027777775</v>
      </c>
      <c r="C2" s="1">
        <v>3</v>
      </c>
      <c r="F2" s="1" t="s">
        <v>585</v>
      </c>
      <c r="G2" s="1">
        <v>46</v>
      </c>
      <c r="H2" s="3">
        <v>7179207</v>
      </c>
      <c r="I2" s="1">
        <v>0</v>
      </c>
      <c r="J2" s="1">
        <v>3</v>
      </c>
      <c r="L2" s="29"/>
      <c r="M2" s="29"/>
      <c r="O2" s="1"/>
    </row>
    <row r="3" spans="1:15" x14ac:dyDescent="0.3">
      <c r="A3" s="1">
        <v>2</v>
      </c>
      <c r="B3" s="8">
        <v>44409.168749999997</v>
      </c>
      <c r="C3" s="1">
        <v>18</v>
      </c>
      <c r="D3" s="1" t="s">
        <v>117</v>
      </c>
      <c r="E3" s="1" t="s">
        <v>27</v>
      </c>
      <c r="H3" s="3">
        <v>366000</v>
      </c>
      <c r="I3" s="1">
        <v>1</v>
      </c>
      <c r="J3" s="1">
        <v>1</v>
      </c>
      <c r="L3" s="29"/>
      <c r="M3" s="29"/>
      <c r="O3" s="1"/>
    </row>
    <row r="4" spans="1:15" x14ac:dyDescent="0.3">
      <c r="A4" s="1">
        <v>3</v>
      </c>
      <c r="B4" s="8">
        <v>44409.2</v>
      </c>
      <c r="C4" s="1">
        <v>28</v>
      </c>
      <c r="F4" s="1" t="s">
        <v>586</v>
      </c>
      <c r="G4" s="1">
        <v>5</v>
      </c>
      <c r="H4" s="3">
        <v>28061</v>
      </c>
      <c r="I4" s="1">
        <v>0</v>
      </c>
      <c r="J4" s="1">
        <v>1</v>
      </c>
      <c r="L4" s="29"/>
      <c r="O4" s="1"/>
    </row>
    <row r="5" spans="1:15" x14ac:dyDescent="0.3">
      <c r="A5" s="1">
        <v>4</v>
      </c>
      <c r="B5" s="8">
        <v>44409.418055555558</v>
      </c>
      <c r="C5" s="1">
        <v>33</v>
      </c>
      <c r="F5" s="1" t="s">
        <v>587</v>
      </c>
      <c r="G5" s="1">
        <v>10</v>
      </c>
      <c r="H5" s="3">
        <v>29738</v>
      </c>
      <c r="I5" s="1">
        <v>0</v>
      </c>
      <c r="J5" s="1">
        <v>2</v>
      </c>
      <c r="L5" s="29"/>
      <c r="O5" s="1"/>
    </row>
    <row r="6" spans="1:15" x14ac:dyDescent="0.3">
      <c r="A6" s="1">
        <v>5</v>
      </c>
      <c r="B6" s="8">
        <v>44409.550694444442</v>
      </c>
      <c r="C6" s="1">
        <v>14</v>
      </c>
      <c r="F6" s="1" t="s">
        <v>588</v>
      </c>
      <c r="G6" s="1">
        <v>73</v>
      </c>
      <c r="H6" s="3">
        <v>36159</v>
      </c>
      <c r="I6" s="1">
        <v>0</v>
      </c>
      <c r="J6" s="1">
        <v>6</v>
      </c>
      <c r="L6" s="29"/>
      <c r="O6" s="1"/>
    </row>
    <row r="7" spans="1:15" x14ac:dyDescent="0.3">
      <c r="A7" s="1">
        <v>6</v>
      </c>
      <c r="B7" s="8">
        <v>44409.820833333331</v>
      </c>
      <c r="C7" s="1">
        <v>5</v>
      </c>
      <c r="F7" s="1" t="s">
        <v>589</v>
      </c>
      <c r="G7" s="1">
        <v>6</v>
      </c>
      <c r="H7" s="3">
        <v>11429</v>
      </c>
      <c r="I7" s="1">
        <v>0</v>
      </c>
      <c r="J7" s="1">
        <v>3</v>
      </c>
      <c r="L7" s="29"/>
      <c r="O7" s="1"/>
    </row>
    <row r="8" spans="1:15" x14ac:dyDescent="0.3">
      <c r="A8" s="1">
        <v>7</v>
      </c>
      <c r="B8" s="8">
        <v>44410.043749999997</v>
      </c>
      <c r="C8" s="1">
        <v>5</v>
      </c>
      <c r="F8" s="1" t="s">
        <v>589</v>
      </c>
      <c r="G8" s="1">
        <v>14</v>
      </c>
      <c r="H8" s="3">
        <v>15090</v>
      </c>
      <c r="I8" s="1">
        <v>0</v>
      </c>
      <c r="J8" s="1">
        <v>0</v>
      </c>
      <c r="L8" s="29"/>
      <c r="O8" s="1"/>
    </row>
    <row r="9" spans="1:15" x14ac:dyDescent="0.3">
      <c r="A9" s="1">
        <v>8</v>
      </c>
      <c r="B9" s="8">
        <v>44410.059027777781</v>
      </c>
      <c r="C9" s="1">
        <v>6</v>
      </c>
      <c r="F9" s="1" t="s">
        <v>590</v>
      </c>
      <c r="G9" s="1">
        <v>10</v>
      </c>
      <c r="H9" s="3">
        <v>30027</v>
      </c>
      <c r="I9" s="1">
        <v>0</v>
      </c>
      <c r="J9" s="1">
        <v>2</v>
      </c>
      <c r="L9" s="29"/>
      <c r="O9" s="1"/>
    </row>
    <row r="10" spans="1:15" x14ac:dyDescent="0.3">
      <c r="A10" s="1">
        <v>9</v>
      </c>
      <c r="B10" s="8">
        <v>44410.09097222222</v>
      </c>
      <c r="C10" s="1">
        <v>39</v>
      </c>
      <c r="F10" s="1" t="s">
        <v>591</v>
      </c>
      <c r="G10" s="1">
        <v>86</v>
      </c>
      <c r="H10" s="3">
        <v>557235</v>
      </c>
      <c r="I10" s="1">
        <v>0</v>
      </c>
      <c r="J10" s="1">
        <v>0</v>
      </c>
      <c r="L10" s="29"/>
      <c r="O10" s="1"/>
    </row>
    <row r="11" spans="1:15" x14ac:dyDescent="0.3">
      <c r="A11" s="1">
        <v>10</v>
      </c>
      <c r="B11" s="8">
        <v>44410.507638888892</v>
      </c>
      <c r="C11" s="1">
        <v>36</v>
      </c>
      <c r="F11" s="1" t="s">
        <v>592</v>
      </c>
      <c r="G11" s="1">
        <v>16</v>
      </c>
      <c r="H11" s="3">
        <v>102861</v>
      </c>
      <c r="I11" s="1">
        <v>0</v>
      </c>
      <c r="J11" s="1">
        <v>1</v>
      </c>
      <c r="L11" s="29"/>
      <c r="O11" s="1"/>
    </row>
    <row r="12" spans="1:15" x14ac:dyDescent="0.3">
      <c r="A12" s="1">
        <v>11</v>
      </c>
      <c r="B12" s="8">
        <v>44410.511805555558</v>
      </c>
      <c r="C12" s="1">
        <v>6</v>
      </c>
      <c r="F12" s="1" t="s">
        <v>593</v>
      </c>
      <c r="G12" s="1">
        <v>35</v>
      </c>
      <c r="H12" s="3">
        <v>7657700</v>
      </c>
      <c r="I12" s="1">
        <v>0</v>
      </c>
      <c r="J12" s="1">
        <v>6</v>
      </c>
      <c r="L12" s="29"/>
      <c r="O12" s="1"/>
    </row>
    <row r="13" spans="1:15" x14ac:dyDescent="0.3">
      <c r="A13" s="1">
        <v>12</v>
      </c>
      <c r="B13" s="8">
        <v>44411.057638888888</v>
      </c>
      <c r="C13" s="1">
        <v>27</v>
      </c>
      <c r="D13" s="1" t="s">
        <v>171</v>
      </c>
      <c r="E13" s="1" t="s">
        <v>206</v>
      </c>
      <c r="H13" s="3">
        <v>439000</v>
      </c>
      <c r="I13" s="1">
        <v>1</v>
      </c>
      <c r="J13" s="1">
        <v>1</v>
      </c>
      <c r="L13" s="29"/>
      <c r="O13" s="1"/>
    </row>
    <row r="14" spans="1:15" x14ac:dyDescent="0.3">
      <c r="A14" s="1">
        <v>13</v>
      </c>
      <c r="B14" s="8">
        <v>44411.085416666669</v>
      </c>
      <c r="C14" s="1">
        <v>29</v>
      </c>
      <c r="D14" s="1" t="s">
        <v>183</v>
      </c>
      <c r="E14" s="1" t="s">
        <v>165</v>
      </c>
      <c r="H14" s="3">
        <v>168000</v>
      </c>
      <c r="I14" s="1">
        <v>1</v>
      </c>
      <c r="J14" s="1">
        <v>1</v>
      </c>
      <c r="L14" s="29"/>
      <c r="O14" s="1"/>
    </row>
    <row r="15" spans="1:15" x14ac:dyDescent="0.3">
      <c r="A15" s="1">
        <v>14</v>
      </c>
      <c r="B15" s="8">
        <v>44411.148611111108</v>
      </c>
      <c r="C15" s="1">
        <v>8</v>
      </c>
      <c r="F15" s="1" t="s">
        <v>594</v>
      </c>
      <c r="G15" s="1">
        <v>47</v>
      </c>
      <c r="H15" s="3">
        <v>68055</v>
      </c>
      <c r="I15" s="1">
        <v>0</v>
      </c>
      <c r="J15" s="1">
        <v>3</v>
      </c>
      <c r="L15" s="29"/>
      <c r="O15" s="1"/>
    </row>
    <row r="16" spans="1:15" x14ac:dyDescent="0.3">
      <c r="A16" s="1">
        <v>15</v>
      </c>
      <c r="B16" s="8">
        <v>44411.54791666667</v>
      </c>
      <c r="C16" s="1">
        <v>11</v>
      </c>
      <c r="D16" s="1" t="s">
        <v>75</v>
      </c>
      <c r="E16" s="1" t="s">
        <v>135</v>
      </c>
      <c r="H16" s="3">
        <v>304000</v>
      </c>
      <c r="I16" s="1">
        <v>1</v>
      </c>
      <c r="J16" s="1">
        <v>1</v>
      </c>
      <c r="L16" s="29"/>
      <c r="O16" s="1"/>
    </row>
    <row r="17" spans="1:15" x14ac:dyDescent="0.3">
      <c r="A17" s="1">
        <v>16</v>
      </c>
      <c r="B17" s="8">
        <v>44411.665972222225</v>
      </c>
      <c r="C17" s="1">
        <v>26</v>
      </c>
      <c r="F17" s="1" t="s">
        <v>595</v>
      </c>
      <c r="G17" s="1">
        <v>71</v>
      </c>
      <c r="H17" s="3">
        <v>1199000</v>
      </c>
      <c r="I17" s="1">
        <v>0</v>
      </c>
      <c r="J17" s="1">
        <v>0</v>
      </c>
      <c r="L17" s="29"/>
      <c r="O17" s="1"/>
    </row>
    <row r="18" spans="1:15" x14ac:dyDescent="0.3">
      <c r="A18" s="1">
        <v>17</v>
      </c>
      <c r="B18" s="8">
        <v>44411.6875</v>
      </c>
      <c r="C18" s="1">
        <v>11</v>
      </c>
      <c r="F18" s="1" t="s">
        <v>596</v>
      </c>
      <c r="G18" s="1">
        <v>19</v>
      </c>
      <c r="H18" s="3">
        <v>27169</v>
      </c>
      <c r="I18" s="1">
        <v>0</v>
      </c>
      <c r="J18" s="1">
        <v>2</v>
      </c>
      <c r="L18" s="29"/>
      <c r="O18" s="1"/>
    </row>
    <row r="19" spans="1:15" x14ac:dyDescent="0.3">
      <c r="A19" s="1">
        <v>18</v>
      </c>
      <c r="B19" s="8">
        <v>44411.689583333333</v>
      </c>
      <c r="C19" s="1">
        <v>14</v>
      </c>
      <c r="D19" s="1" t="s">
        <v>93</v>
      </c>
      <c r="E19" s="1" t="s">
        <v>200</v>
      </c>
      <c r="H19" s="3">
        <v>447000</v>
      </c>
      <c r="I19" s="1">
        <v>1</v>
      </c>
      <c r="J19" s="1">
        <v>1</v>
      </c>
      <c r="L19" s="29"/>
      <c r="O19" s="1"/>
    </row>
    <row r="20" spans="1:15" x14ac:dyDescent="0.3">
      <c r="A20" s="1">
        <v>19</v>
      </c>
      <c r="B20" s="8">
        <v>44411.829861111109</v>
      </c>
      <c r="C20" s="1">
        <v>4</v>
      </c>
      <c r="D20" s="1" t="s">
        <v>33</v>
      </c>
      <c r="E20" s="1" t="s">
        <v>223</v>
      </c>
      <c r="H20" s="3">
        <v>313000</v>
      </c>
      <c r="I20" s="1">
        <v>1</v>
      </c>
      <c r="J20" s="1">
        <v>1</v>
      </c>
      <c r="L20" s="29"/>
      <c r="O20" s="1"/>
    </row>
    <row r="21" spans="1:15" x14ac:dyDescent="0.3">
      <c r="A21" s="1">
        <v>20</v>
      </c>
      <c r="B21" s="8">
        <v>44412.114583333336</v>
      </c>
      <c r="C21" s="1">
        <v>33</v>
      </c>
      <c r="F21" s="1" t="s">
        <v>587</v>
      </c>
      <c r="G21" s="1">
        <v>50</v>
      </c>
      <c r="H21" s="3">
        <v>10290</v>
      </c>
      <c r="I21" s="1">
        <v>0</v>
      </c>
      <c r="J21" s="1">
        <v>3</v>
      </c>
      <c r="L21" s="29"/>
      <c r="O21" s="1"/>
    </row>
    <row r="22" spans="1:15" x14ac:dyDescent="0.3">
      <c r="A22" s="1">
        <v>21</v>
      </c>
      <c r="B22" s="8">
        <v>44412.294444444444</v>
      </c>
      <c r="C22" s="1">
        <v>33</v>
      </c>
      <c r="F22" s="1" t="s">
        <v>587</v>
      </c>
      <c r="G22" s="1">
        <v>5</v>
      </c>
      <c r="H22" s="3">
        <v>28061</v>
      </c>
      <c r="I22" s="1">
        <v>0</v>
      </c>
      <c r="J22" s="1">
        <v>5</v>
      </c>
      <c r="L22" s="29"/>
      <c r="O22" s="1"/>
    </row>
    <row r="23" spans="1:15" x14ac:dyDescent="0.3">
      <c r="A23" s="1">
        <v>22</v>
      </c>
      <c r="B23" s="8">
        <v>44412.486805555556</v>
      </c>
      <c r="C23" s="1">
        <v>21</v>
      </c>
      <c r="D23" s="1" t="s">
        <v>135</v>
      </c>
      <c r="E23" s="1" t="s">
        <v>141</v>
      </c>
      <c r="H23" s="3">
        <v>61000</v>
      </c>
      <c r="I23" s="1">
        <v>1</v>
      </c>
      <c r="J23" s="1">
        <v>1</v>
      </c>
      <c r="L23" s="29"/>
      <c r="O23" s="1"/>
    </row>
    <row r="24" spans="1:15" x14ac:dyDescent="0.3">
      <c r="A24" s="1">
        <v>23</v>
      </c>
      <c r="B24" s="8">
        <v>44412.663194444445</v>
      </c>
      <c r="C24" s="1">
        <v>15</v>
      </c>
      <c r="F24" s="1" t="s">
        <v>597</v>
      </c>
      <c r="G24" s="1">
        <v>41</v>
      </c>
      <c r="H24" s="3">
        <v>1930584</v>
      </c>
      <c r="I24" s="1">
        <v>0</v>
      </c>
      <c r="J24" s="1">
        <v>12</v>
      </c>
      <c r="L24" s="29"/>
      <c r="O24" s="1"/>
    </row>
    <row r="25" spans="1:15" x14ac:dyDescent="0.3">
      <c r="A25" s="1">
        <v>24</v>
      </c>
      <c r="B25" s="8">
        <v>44412.793749999997</v>
      </c>
      <c r="C25" s="1">
        <v>26</v>
      </c>
      <c r="F25" s="1" t="s">
        <v>595</v>
      </c>
      <c r="G25" s="1">
        <v>33</v>
      </c>
      <c r="H25" s="3">
        <v>5947300</v>
      </c>
      <c r="I25" s="1">
        <v>0</v>
      </c>
      <c r="J25" s="1">
        <v>0</v>
      </c>
      <c r="L25" s="29"/>
      <c r="O25" s="1"/>
    </row>
    <row r="26" spans="1:15" x14ac:dyDescent="0.3">
      <c r="A26" s="1">
        <v>25</v>
      </c>
      <c r="B26" s="8">
        <v>44412.851388888892</v>
      </c>
      <c r="C26" s="1">
        <v>13</v>
      </c>
      <c r="D26" s="1" t="s">
        <v>87</v>
      </c>
      <c r="E26" s="1" t="s">
        <v>15</v>
      </c>
      <c r="H26" s="3">
        <v>300000</v>
      </c>
      <c r="I26" s="1">
        <v>1</v>
      </c>
      <c r="J26" s="1">
        <v>1</v>
      </c>
      <c r="L26" s="29"/>
      <c r="O26" s="1"/>
    </row>
    <row r="27" spans="1:15" x14ac:dyDescent="0.3">
      <c r="A27" s="1">
        <v>26</v>
      </c>
      <c r="B27" s="8">
        <v>44413.095833333333</v>
      </c>
      <c r="C27" s="1">
        <v>14</v>
      </c>
      <c r="F27" s="1" t="s">
        <v>588</v>
      </c>
      <c r="G27" s="1">
        <v>50</v>
      </c>
      <c r="H27" s="3">
        <v>10290</v>
      </c>
      <c r="I27" s="1">
        <v>0</v>
      </c>
      <c r="J27" s="1">
        <v>2</v>
      </c>
      <c r="L27" s="29"/>
      <c r="O27" s="1"/>
    </row>
    <row r="28" spans="1:15" x14ac:dyDescent="0.3">
      <c r="A28" s="1">
        <v>27</v>
      </c>
      <c r="B28" s="8">
        <v>44413.339583333334</v>
      </c>
      <c r="C28" s="1">
        <v>15</v>
      </c>
      <c r="D28" s="1" t="s">
        <v>99</v>
      </c>
      <c r="E28" s="1" t="s">
        <v>51</v>
      </c>
      <c r="H28" s="3">
        <v>480000</v>
      </c>
      <c r="I28" s="1">
        <v>1</v>
      </c>
      <c r="J28" s="1">
        <v>1</v>
      </c>
      <c r="L28" s="29"/>
      <c r="O28" s="1"/>
    </row>
    <row r="29" spans="1:15" x14ac:dyDescent="0.3">
      <c r="A29" s="1">
        <v>28</v>
      </c>
      <c r="B29" s="8">
        <v>44413.341666666667</v>
      </c>
      <c r="C29" s="1">
        <v>5</v>
      </c>
      <c r="F29" s="1" t="s">
        <v>598</v>
      </c>
      <c r="G29" s="1">
        <v>34</v>
      </c>
      <c r="H29" s="3">
        <v>78675</v>
      </c>
      <c r="I29" s="1">
        <v>0</v>
      </c>
      <c r="J29" s="1">
        <v>5</v>
      </c>
      <c r="L29" s="29"/>
      <c r="O29" s="1"/>
    </row>
    <row r="30" spans="1:15" x14ac:dyDescent="0.3">
      <c r="A30" s="1">
        <v>29</v>
      </c>
      <c r="B30" s="8">
        <v>44413.40902777778</v>
      </c>
      <c r="C30" s="1">
        <v>6</v>
      </c>
      <c r="F30" s="1" t="s">
        <v>590</v>
      </c>
      <c r="G30" s="1">
        <v>29</v>
      </c>
      <c r="H30" s="3">
        <v>75847</v>
      </c>
      <c r="I30" s="1">
        <v>0</v>
      </c>
      <c r="J30" s="1">
        <v>4</v>
      </c>
      <c r="L30" s="29"/>
      <c r="O30" s="1"/>
    </row>
    <row r="31" spans="1:15" x14ac:dyDescent="0.3">
      <c r="A31" s="1">
        <v>30</v>
      </c>
      <c r="B31" s="8">
        <v>44413.620833333334</v>
      </c>
      <c r="C31" s="1">
        <v>20</v>
      </c>
      <c r="D31" s="1" t="s">
        <v>129</v>
      </c>
      <c r="E31" s="1" t="s">
        <v>241</v>
      </c>
      <c r="H31" s="3">
        <v>70000</v>
      </c>
      <c r="I31" s="1">
        <v>1</v>
      </c>
      <c r="J31" s="1">
        <v>1</v>
      </c>
      <c r="L31" s="29"/>
      <c r="O31" s="1"/>
    </row>
    <row r="32" spans="1:15" x14ac:dyDescent="0.3">
      <c r="A32" s="1">
        <v>31</v>
      </c>
      <c r="B32" s="8">
        <v>44413.62222222222</v>
      </c>
      <c r="C32" s="1">
        <v>38</v>
      </c>
      <c r="F32" s="1" t="s">
        <v>599</v>
      </c>
      <c r="G32" s="1">
        <v>63</v>
      </c>
      <c r="H32" s="3">
        <v>14140</v>
      </c>
      <c r="I32" s="1">
        <v>0</v>
      </c>
      <c r="J32" s="1">
        <v>0</v>
      </c>
      <c r="L32" s="29"/>
      <c r="O32" s="1"/>
    </row>
    <row r="33" spans="1:15" x14ac:dyDescent="0.3">
      <c r="A33" s="1">
        <v>32</v>
      </c>
      <c r="B33" s="8">
        <v>44413.636805555558</v>
      </c>
      <c r="C33" s="1">
        <v>26</v>
      </c>
      <c r="D33" s="1" t="s">
        <v>165</v>
      </c>
      <c r="E33" s="1" t="s">
        <v>217</v>
      </c>
      <c r="H33" s="3">
        <v>130000</v>
      </c>
      <c r="I33" s="1">
        <v>1</v>
      </c>
      <c r="J33" s="1">
        <v>1</v>
      </c>
      <c r="L33" s="29"/>
      <c r="O33" s="1"/>
    </row>
    <row r="34" spans="1:15" x14ac:dyDescent="0.3">
      <c r="A34" s="1">
        <v>33</v>
      </c>
      <c r="B34" s="8">
        <v>44413.911805555559</v>
      </c>
      <c r="C34" s="1">
        <v>4</v>
      </c>
      <c r="F34" s="1" t="s">
        <v>600</v>
      </c>
      <c r="G34" s="1">
        <v>74</v>
      </c>
      <c r="H34" s="3">
        <v>2590919</v>
      </c>
      <c r="I34" s="1">
        <v>0</v>
      </c>
      <c r="J34" s="1">
        <v>12</v>
      </c>
      <c r="L34" s="29"/>
      <c r="O34" s="1"/>
    </row>
    <row r="35" spans="1:15" x14ac:dyDescent="0.3">
      <c r="A35" s="1">
        <v>34</v>
      </c>
      <c r="B35" s="8">
        <v>44414.07916666667</v>
      </c>
      <c r="C35" s="1">
        <v>3</v>
      </c>
      <c r="D35" s="1" t="s">
        <v>27</v>
      </c>
      <c r="E35" s="1" t="s">
        <v>15</v>
      </c>
      <c r="H35" s="3">
        <v>458000</v>
      </c>
      <c r="I35" s="1">
        <v>1</v>
      </c>
      <c r="J35" s="1">
        <v>1</v>
      </c>
      <c r="L35" s="29"/>
      <c r="O35" s="1"/>
    </row>
    <row r="36" spans="1:15" x14ac:dyDescent="0.3">
      <c r="A36" s="1">
        <v>35</v>
      </c>
      <c r="B36" s="8">
        <v>44414.086805555555</v>
      </c>
      <c r="C36" s="1">
        <v>36</v>
      </c>
      <c r="F36" s="1" t="s">
        <v>592</v>
      </c>
      <c r="G36" s="1">
        <v>39</v>
      </c>
      <c r="H36" s="3">
        <v>1587018</v>
      </c>
      <c r="I36" s="1">
        <v>0</v>
      </c>
      <c r="J36" s="1">
        <v>12</v>
      </c>
      <c r="L36" s="29"/>
      <c r="O36" s="1"/>
    </row>
    <row r="37" spans="1:15" x14ac:dyDescent="0.3">
      <c r="A37" s="1">
        <v>36</v>
      </c>
      <c r="B37" s="8">
        <v>44414.199305555558</v>
      </c>
      <c r="C37" s="1">
        <v>13</v>
      </c>
      <c r="D37" s="1" t="s">
        <v>87</v>
      </c>
      <c r="E37" s="1" t="s">
        <v>229</v>
      </c>
      <c r="H37" s="3">
        <v>251000</v>
      </c>
      <c r="I37" s="1">
        <v>1</v>
      </c>
      <c r="J37" s="1">
        <v>1</v>
      </c>
      <c r="L37" s="29"/>
      <c r="O37" s="1"/>
    </row>
    <row r="38" spans="1:15" x14ac:dyDescent="0.3">
      <c r="A38" s="1">
        <v>37</v>
      </c>
      <c r="B38" s="8">
        <v>44414.217361111114</v>
      </c>
      <c r="C38" s="1">
        <v>10</v>
      </c>
      <c r="D38" s="1" t="s">
        <v>69</v>
      </c>
      <c r="E38" s="1" t="s">
        <v>165</v>
      </c>
      <c r="H38" s="3">
        <v>4880</v>
      </c>
      <c r="I38" s="1">
        <v>1</v>
      </c>
      <c r="J38" s="1">
        <v>1</v>
      </c>
      <c r="L38" s="29"/>
      <c r="O38" s="1"/>
    </row>
    <row r="39" spans="1:15" x14ac:dyDescent="0.3">
      <c r="A39" s="1">
        <v>38</v>
      </c>
      <c r="B39" s="8">
        <v>44414.399305555555</v>
      </c>
      <c r="C39" s="1">
        <v>24</v>
      </c>
      <c r="F39" s="1" t="s">
        <v>601</v>
      </c>
      <c r="G39" s="1">
        <v>76</v>
      </c>
      <c r="H39" s="3">
        <v>46768</v>
      </c>
      <c r="I39" s="1">
        <v>0</v>
      </c>
      <c r="J39" s="1">
        <v>6</v>
      </c>
      <c r="L39" s="29"/>
      <c r="O39" s="1"/>
    </row>
    <row r="40" spans="1:15" x14ac:dyDescent="0.3">
      <c r="A40" s="1">
        <v>39</v>
      </c>
      <c r="B40" s="8">
        <v>44414.591666666667</v>
      </c>
      <c r="C40" s="1">
        <v>37</v>
      </c>
      <c r="D40" s="1" t="s">
        <v>229</v>
      </c>
      <c r="E40" s="1" t="s">
        <v>69</v>
      </c>
      <c r="H40" s="3">
        <v>161000</v>
      </c>
      <c r="I40" s="1">
        <v>1</v>
      </c>
      <c r="J40" s="1">
        <v>1</v>
      </c>
      <c r="L40" s="29"/>
      <c r="O40" s="1"/>
    </row>
    <row r="41" spans="1:15" x14ac:dyDescent="0.3">
      <c r="A41" s="1">
        <v>40</v>
      </c>
      <c r="B41" s="8">
        <v>44414.877083333333</v>
      </c>
      <c r="C41" s="1">
        <v>12</v>
      </c>
      <c r="D41" s="1" t="s">
        <v>81</v>
      </c>
      <c r="E41" s="1" t="s">
        <v>217</v>
      </c>
      <c r="H41" s="3">
        <v>275000</v>
      </c>
      <c r="I41" s="1">
        <v>1</v>
      </c>
      <c r="J41" s="1">
        <v>1</v>
      </c>
      <c r="L41" s="29"/>
      <c r="O41" s="1"/>
    </row>
    <row r="42" spans="1:15" x14ac:dyDescent="0.3">
      <c r="A42" s="1">
        <v>41</v>
      </c>
      <c r="B42" s="8">
        <v>44414.901388888888</v>
      </c>
      <c r="C42" s="1">
        <v>33</v>
      </c>
      <c r="F42" s="1" t="s">
        <v>587</v>
      </c>
      <c r="G42" s="1">
        <v>10</v>
      </c>
      <c r="H42" s="3">
        <v>29738</v>
      </c>
      <c r="I42" s="1">
        <v>0</v>
      </c>
      <c r="J42" s="1">
        <v>1</v>
      </c>
      <c r="L42" s="29"/>
      <c r="O42" s="1"/>
    </row>
    <row r="43" spans="1:15" x14ac:dyDescent="0.3">
      <c r="A43" s="1">
        <v>42</v>
      </c>
      <c r="B43" s="8">
        <v>44415.05</v>
      </c>
      <c r="C43" s="1">
        <v>31</v>
      </c>
      <c r="D43" s="1" t="s">
        <v>194</v>
      </c>
      <c r="E43" s="1" t="s">
        <v>241</v>
      </c>
      <c r="H43" s="3">
        <v>163000</v>
      </c>
      <c r="I43" s="1">
        <v>1</v>
      </c>
      <c r="J43" s="1">
        <v>1</v>
      </c>
      <c r="L43" s="29"/>
      <c r="O43" s="1"/>
    </row>
    <row r="44" spans="1:15" x14ac:dyDescent="0.3">
      <c r="A44" s="1">
        <v>43</v>
      </c>
      <c r="B44" s="8">
        <v>44415.292361111111</v>
      </c>
      <c r="C44" s="1">
        <v>12</v>
      </c>
      <c r="F44" s="1" t="s">
        <v>602</v>
      </c>
      <c r="G44" s="1">
        <v>6</v>
      </c>
      <c r="H44" s="3">
        <v>11000</v>
      </c>
      <c r="I44" s="1">
        <v>0</v>
      </c>
      <c r="J44" s="1">
        <v>0</v>
      </c>
      <c r="L44" s="29"/>
      <c r="O44" s="1"/>
    </row>
    <row r="45" spans="1:15" x14ac:dyDescent="0.3">
      <c r="A45" s="1">
        <v>44</v>
      </c>
      <c r="B45" s="8">
        <v>44415.418055555558</v>
      </c>
      <c r="C45" s="1">
        <v>3</v>
      </c>
      <c r="D45" s="1" t="s">
        <v>27</v>
      </c>
      <c r="E45" s="1" t="s">
        <v>57</v>
      </c>
      <c r="H45" s="3">
        <v>38000</v>
      </c>
      <c r="I45" s="1">
        <v>1</v>
      </c>
      <c r="J45" s="1">
        <v>1</v>
      </c>
      <c r="L45" s="29"/>
      <c r="O45" s="1"/>
    </row>
    <row r="46" spans="1:15" x14ac:dyDescent="0.3">
      <c r="A46" s="1">
        <v>45</v>
      </c>
      <c r="B46" s="8">
        <v>44415.515277777777</v>
      </c>
      <c r="C46" s="1">
        <v>11</v>
      </c>
      <c r="F46" s="1" t="s">
        <v>596</v>
      </c>
      <c r="G46" s="1">
        <v>11</v>
      </c>
      <c r="H46" s="3">
        <v>36900</v>
      </c>
      <c r="I46" s="1">
        <v>0</v>
      </c>
      <c r="J46" s="1">
        <v>0</v>
      </c>
      <c r="L46" s="29"/>
      <c r="O46" s="1"/>
    </row>
    <row r="47" spans="1:15" x14ac:dyDescent="0.3">
      <c r="A47" s="1">
        <v>46</v>
      </c>
      <c r="B47" s="8">
        <v>44415.574999999997</v>
      </c>
      <c r="C47" s="1">
        <v>10</v>
      </c>
      <c r="D47" s="1" t="s">
        <v>69</v>
      </c>
      <c r="E47" s="1" t="s">
        <v>33</v>
      </c>
      <c r="H47" s="3">
        <v>2910</v>
      </c>
      <c r="I47" s="1">
        <v>1</v>
      </c>
      <c r="J47" s="1">
        <v>1</v>
      </c>
      <c r="L47" s="29"/>
      <c r="O47" s="1"/>
    </row>
    <row r="48" spans="1:15" x14ac:dyDescent="0.3">
      <c r="A48" s="1">
        <v>47</v>
      </c>
      <c r="B48" s="8">
        <v>44415.775694444441</v>
      </c>
      <c r="C48" s="1">
        <v>14</v>
      </c>
      <c r="D48" s="1" t="s">
        <v>93</v>
      </c>
      <c r="E48" s="1" t="s">
        <v>141</v>
      </c>
      <c r="H48" s="3">
        <v>124000</v>
      </c>
      <c r="I48" s="1">
        <v>1</v>
      </c>
      <c r="J48" s="1">
        <v>1</v>
      </c>
      <c r="L48" s="29"/>
      <c r="O48" s="1"/>
    </row>
    <row r="49" spans="1:15" x14ac:dyDescent="0.3">
      <c r="A49" s="1">
        <v>48</v>
      </c>
      <c r="B49" s="8">
        <v>44415.847916666666</v>
      </c>
      <c r="C49" s="1">
        <v>14</v>
      </c>
      <c r="D49" s="1" t="s">
        <v>93</v>
      </c>
      <c r="E49" s="1" t="s">
        <v>200</v>
      </c>
      <c r="H49" s="3">
        <v>45000</v>
      </c>
      <c r="I49" s="1">
        <v>1</v>
      </c>
      <c r="J49" s="1">
        <v>1</v>
      </c>
      <c r="L49" s="29"/>
      <c r="O49" s="1"/>
    </row>
    <row r="50" spans="1:15" x14ac:dyDescent="0.3">
      <c r="A50" s="1">
        <v>49</v>
      </c>
      <c r="B50" s="8">
        <v>44415.873611111114</v>
      </c>
      <c r="C50" s="1">
        <v>34</v>
      </c>
      <c r="F50" s="1" t="s">
        <v>603</v>
      </c>
      <c r="G50" s="1">
        <v>70</v>
      </c>
      <c r="H50" s="3">
        <v>1029</v>
      </c>
      <c r="I50" s="1">
        <v>2</v>
      </c>
      <c r="J50" s="1">
        <v>1</v>
      </c>
      <c r="L50" s="29"/>
      <c r="O50" s="1"/>
    </row>
    <row r="51" spans="1:15" x14ac:dyDescent="0.3">
      <c r="A51" s="1">
        <v>50</v>
      </c>
      <c r="B51" s="8">
        <v>44415.913194444445</v>
      </c>
      <c r="C51" s="1">
        <v>34</v>
      </c>
      <c r="F51" s="1" t="s">
        <v>603</v>
      </c>
      <c r="G51" s="1">
        <v>30</v>
      </c>
      <c r="H51" s="3">
        <v>225351</v>
      </c>
      <c r="I51" s="1">
        <v>0</v>
      </c>
      <c r="J51" s="1">
        <v>4</v>
      </c>
      <c r="L51" s="29"/>
      <c r="O51" s="1"/>
    </row>
    <row r="52" spans="1:15" x14ac:dyDescent="0.3">
      <c r="A52" s="1">
        <v>51</v>
      </c>
      <c r="B52" s="8">
        <v>44416.054861111108</v>
      </c>
      <c r="C52" s="1">
        <v>15</v>
      </c>
      <c r="D52" s="1" t="s">
        <v>99</v>
      </c>
      <c r="E52" s="1" t="s">
        <v>183</v>
      </c>
      <c r="H52" s="3">
        <v>139000</v>
      </c>
      <c r="I52" s="1">
        <v>1</v>
      </c>
      <c r="J52" s="1">
        <v>1</v>
      </c>
      <c r="L52" s="29"/>
      <c r="O52" s="1"/>
    </row>
    <row r="53" spans="1:15" x14ac:dyDescent="0.3">
      <c r="A53" s="1">
        <v>52</v>
      </c>
      <c r="B53" s="8">
        <v>44416.081944444442</v>
      </c>
      <c r="C53" s="1">
        <v>14</v>
      </c>
      <c r="D53" s="1" t="s">
        <v>93</v>
      </c>
      <c r="E53" s="1" t="s">
        <v>194</v>
      </c>
      <c r="H53" s="3">
        <v>115000</v>
      </c>
      <c r="I53" s="1">
        <v>1</v>
      </c>
      <c r="J53" s="1">
        <v>1</v>
      </c>
      <c r="L53" s="29"/>
      <c r="O53" s="1"/>
    </row>
    <row r="54" spans="1:15" x14ac:dyDescent="0.3">
      <c r="A54" s="1">
        <v>53</v>
      </c>
      <c r="B54" s="8">
        <v>44416.20208333333</v>
      </c>
      <c r="C54" s="1">
        <v>2</v>
      </c>
      <c r="F54" s="1" t="s">
        <v>604</v>
      </c>
      <c r="G54" s="1">
        <v>70</v>
      </c>
      <c r="H54" s="3">
        <v>1000</v>
      </c>
      <c r="I54" s="1">
        <v>0</v>
      </c>
      <c r="J54" s="1">
        <v>0</v>
      </c>
      <c r="L54" s="29"/>
      <c r="O54" s="1"/>
    </row>
    <row r="55" spans="1:15" x14ac:dyDescent="0.3">
      <c r="A55" s="1">
        <v>54</v>
      </c>
      <c r="B55" s="8">
        <v>44416.234722222223</v>
      </c>
      <c r="C55" s="1">
        <v>15</v>
      </c>
      <c r="D55" s="1" t="s">
        <v>99</v>
      </c>
      <c r="E55" s="1" t="s">
        <v>165</v>
      </c>
      <c r="H55" s="3">
        <v>22000</v>
      </c>
      <c r="I55" s="1">
        <v>1</v>
      </c>
      <c r="J55" s="1">
        <v>1</v>
      </c>
      <c r="L55" s="29"/>
      <c r="O55" s="1"/>
    </row>
    <row r="56" spans="1:15" x14ac:dyDescent="0.3">
      <c r="A56" s="1">
        <v>55</v>
      </c>
      <c r="B56" s="8">
        <v>44416.359027777777</v>
      </c>
      <c r="C56" s="1">
        <v>38</v>
      </c>
      <c r="D56" s="1" t="s">
        <v>235</v>
      </c>
      <c r="E56" s="1" t="s">
        <v>39</v>
      </c>
      <c r="H56" s="3">
        <v>416000</v>
      </c>
      <c r="I56" s="1">
        <v>1</v>
      </c>
      <c r="J56" s="1">
        <v>1</v>
      </c>
      <c r="L56" s="29"/>
      <c r="O56" s="1"/>
    </row>
    <row r="57" spans="1:15" x14ac:dyDescent="0.3">
      <c r="A57" s="1">
        <v>56</v>
      </c>
      <c r="B57" s="8">
        <v>44416.379166666666</v>
      </c>
      <c r="C57" s="1">
        <v>24</v>
      </c>
      <c r="D57" s="1" t="s">
        <v>153</v>
      </c>
      <c r="E57" s="1" t="s">
        <v>57</v>
      </c>
      <c r="H57" s="3">
        <v>449000</v>
      </c>
      <c r="I57" s="1">
        <v>1</v>
      </c>
      <c r="J57" s="1">
        <v>1</v>
      </c>
      <c r="L57" s="29"/>
      <c r="O57" s="1"/>
    </row>
    <row r="58" spans="1:15" x14ac:dyDescent="0.3">
      <c r="A58" s="1">
        <v>57</v>
      </c>
      <c r="B58" s="8">
        <v>44416.718055555553</v>
      </c>
      <c r="C58" s="1">
        <v>20</v>
      </c>
      <c r="F58" s="1" t="s">
        <v>605</v>
      </c>
      <c r="G58" s="1">
        <v>21</v>
      </c>
      <c r="H58" s="3">
        <v>19000</v>
      </c>
      <c r="I58" s="1">
        <v>0</v>
      </c>
      <c r="J58" s="1">
        <v>0</v>
      </c>
      <c r="L58" s="29"/>
      <c r="O58" s="1"/>
    </row>
    <row r="59" spans="1:15" x14ac:dyDescent="0.3">
      <c r="A59" s="1">
        <v>58</v>
      </c>
      <c r="B59" s="8">
        <v>44416.899305555555</v>
      </c>
      <c r="C59" s="1">
        <v>4</v>
      </c>
      <c r="D59" s="1" t="s">
        <v>33</v>
      </c>
      <c r="E59" s="1" t="s">
        <v>27</v>
      </c>
      <c r="H59" s="3">
        <v>404000</v>
      </c>
      <c r="I59" s="1">
        <v>1</v>
      </c>
      <c r="J59" s="1">
        <v>1</v>
      </c>
      <c r="L59" s="29"/>
      <c r="O59" s="1"/>
    </row>
    <row r="60" spans="1:15" x14ac:dyDescent="0.3">
      <c r="A60" s="1">
        <v>59</v>
      </c>
      <c r="B60" s="8">
        <v>44416.988194444442</v>
      </c>
      <c r="C60" s="1">
        <v>17</v>
      </c>
      <c r="D60" s="1" t="s">
        <v>111</v>
      </c>
      <c r="E60" s="1" t="s">
        <v>57</v>
      </c>
      <c r="H60" s="3">
        <v>36000</v>
      </c>
      <c r="I60" s="1">
        <v>1</v>
      </c>
      <c r="J60" s="1">
        <v>1</v>
      </c>
      <c r="L60" s="29"/>
      <c r="O60" s="1"/>
    </row>
    <row r="61" spans="1:15" x14ac:dyDescent="0.3">
      <c r="A61" s="1">
        <v>60</v>
      </c>
      <c r="B61" s="8">
        <v>44416.989583333336</v>
      </c>
      <c r="C61" s="1">
        <v>10</v>
      </c>
      <c r="F61" s="1" t="s">
        <v>606</v>
      </c>
      <c r="G61" s="1">
        <v>55</v>
      </c>
      <c r="H61" s="3">
        <v>26225</v>
      </c>
      <c r="I61" s="1">
        <v>0</v>
      </c>
      <c r="J61" s="1">
        <v>1</v>
      </c>
      <c r="L61" s="29"/>
      <c r="O61" s="1"/>
    </row>
    <row r="62" spans="1:15" x14ac:dyDescent="0.3">
      <c r="A62" s="1">
        <v>61</v>
      </c>
      <c r="B62" s="8">
        <v>44417.052083333336</v>
      </c>
      <c r="C62" s="1">
        <v>15</v>
      </c>
      <c r="D62" s="1" t="s">
        <v>99</v>
      </c>
      <c r="E62" s="1" t="s">
        <v>141</v>
      </c>
      <c r="H62" s="3">
        <v>489000</v>
      </c>
      <c r="I62" s="1">
        <v>1</v>
      </c>
      <c r="J62" s="1">
        <v>1</v>
      </c>
      <c r="L62" s="29"/>
      <c r="O62" s="1"/>
    </row>
    <row r="63" spans="1:15" x14ac:dyDescent="0.3">
      <c r="A63" s="1">
        <v>62</v>
      </c>
      <c r="B63" s="8">
        <v>44417.082638888889</v>
      </c>
      <c r="C63" s="1">
        <v>14</v>
      </c>
      <c r="F63" s="1" t="s">
        <v>607</v>
      </c>
      <c r="G63" s="1">
        <v>39</v>
      </c>
      <c r="H63" s="3">
        <v>1590167</v>
      </c>
      <c r="I63" s="1">
        <v>0</v>
      </c>
      <c r="J63" s="1">
        <v>4</v>
      </c>
      <c r="L63" s="29"/>
      <c r="O63" s="1"/>
    </row>
    <row r="64" spans="1:15" x14ac:dyDescent="0.3">
      <c r="A64" s="1">
        <v>63</v>
      </c>
      <c r="B64" s="8">
        <v>44417.19027777778</v>
      </c>
      <c r="C64" s="1">
        <v>15</v>
      </c>
      <c r="F64" s="1" t="s">
        <v>597</v>
      </c>
      <c r="G64" s="1">
        <v>84</v>
      </c>
      <c r="H64" s="3">
        <v>79316</v>
      </c>
      <c r="I64" s="1">
        <v>0</v>
      </c>
      <c r="J64" s="1">
        <v>0</v>
      </c>
      <c r="L64" s="29"/>
      <c r="O64" s="1"/>
    </row>
    <row r="65" spans="1:15" x14ac:dyDescent="0.3">
      <c r="A65" s="1">
        <v>64</v>
      </c>
      <c r="B65" s="8">
        <v>44417.261111111111</v>
      </c>
      <c r="C65" s="1">
        <v>29</v>
      </c>
      <c r="F65" s="1" t="s">
        <v>608</v>
      </c>
      <c r="G65" s="1">
        <v>20</v>
      </c>
      <c r="H65" s="3">
        <v>9561</v>
      </c>
      <c r="I65" s="1">
        <v>0</v>
      </c>
      <c r="J65" s="1">
        <v>2</v>
      </c>
      <c r="L65" s="29"/>
      <c r="O65" s="1"/>
    </row>
    <row r="66" spans="1:15" x14ac:dyDescent="0.3">
      <c r="A66" s="1">
        <v>65</v>
      </c>
      <c r="B66" s="8">
        <v>44417.53402777778</v>
      </c>
      <c r="C66" s="1">
        <v>10</v>
      </c>
      <c r="D66" s="1" t="s">
        <v>69</v>
      </c>
      <c r="E66" s="1" t="s">
        <v>63</v>
      </c>
      <c r="H66" s="3">
        <v>380000</v>
      </c>
      <c r="I66" s="1">
        <v>1</v>
      </c>
      <c r="J66" s="1">
        <v>1</v>
      </c>
      <c r="L66" s="29"/>
      <c r="O66" s="1"/>
    </row>
    <row r="67" spans="1:15" x14ac:dyDescent="0.3">
      <c r="A67" s="1">
        <v>66</v>
      </c>
      <c r="B67" s="8">
        <v>44417.661111111112</v>
      </c>
      <c r="C67" s="1">
        <v>7</v>
      </c>
      <c r="D67" s="1" t="s">
        <v>51</v>
      </c>
      <c r="E67" s="1" t="s">
        <v>63</v>
      </c>
      <c r="H67" s="3">
        <v>58000</v>
      </c>
      <c r="I67" s="1">
        <v>1</v>
      </c>
      <c r="J67" s="1">
        <v>1</v>
      </c>
      <c r="L67" s="29"/>
      <c r="O67" s="1"/>
    </row>
    <row r="68" spans="1:15" x14ac:dyDescent="0.3">
      <c r="A68" s="1">
        <v>67</v>
      </c>
      <c r="B68" s="8">
        <v>44417.674305555556</v>
      </c>
      <c r="C68" s="1">
        <v>13</v>
      </c>
      <c r="D68" s="1" t="s">
        <v>87</v>
      </c>
      <c r="E68" s="1" t="s">
        <v>247</v>
      </c>
      <c r="H68" s="3">
        <v>319000</v>
      </c>
      <c r="I68" s="1">
        <v>1</v>
      </c>
      <c r="J68" s="1">
        <v>1</v>
      </c>
      <c r="L68" s="29"/>
      <c r="O68" s="1"/>
    </row>
    <row r="69" spans="1:15" x14ac:dyDescent="0.3">
      <c r="A69" s="1">
        <v>68</v>
      </c>
      <c r="B69" s="8">
        <v>44417.738888888889</v>
      </c>
      <c r="C69" s="1">
        <v>38</v>
      </c>
      <c r="F69" s="1" t="s">
        <v>599</v>
      </c>
      <c r="G69" s="1">
        <v>64</v>
      </c>
      <c r="H69" s="3">
        <v>19900</v>
      </c>
      <c r="I69" s="1">
        <v>0</v>
      </c>
      <c r="J69" s="1">
        <v>0</v>
      </c>
      <c r="L69" s="29"/>
      <c r="O69" s="1"/>
    </row>
    <row r="70" spans="1:15" x14ac:dyDescent="0.3">
      <c r="A70" s="1">
        <v>69</v>
      </c>
      <c r="B70" s="8">
        <v>44417.907638888886</v>
      </c>
      <c r="C70" s="1">
        <v>3</v>
      </c>
      <c r="F70" s="1" t="s">
        <v>585</v>
      </c>
      <c r="G70" s="1">
        <v>60</v>
      </c>
      <c r="H70" s="3">
        <v>258783</v>
      </c>
      <c r="I70" s="1">
        <v>0</v>
      </c>
      <c r="J70" s="1">
        <v>9</v>
      </c>
      <c r="L70" s="29"/>
      <c r="O70" s="1"/>
    </row>
    <row r="71" spans="1:15" x14ac:dyDescent="0.3">
      <c r="A71" s="1">
        <v>70</v>
      </c>
      <c r="B71" s="8">
        <v>44417.915972222225</v>
      </c>
      <c r="C71" s="1">
        <v>15</v>
      </c>
      <c r="F71" s="1" t="s">
        <v>597</v>
      </c>
      <c r="G71" s="1">
        <v>88</v>
      </c>
      <c r="H71" s="3">
        <v>1000</v>
      </c>
      <c r="I71" s="1">
        <v>1</v>
      </c>
      <c r="J71" s="1">
        <v>0</v>
      </c>
      <c r="L71" s="29"/>
      <c r="O71" s="1"/>
    </row>
    <row r="72" spans="1:15" x14ac:dyDescent="0.3">
      <c r="A72" s="1">
        <v>71</v>
      </c>
      <c r="B72" s="8">
        <v>44418.222222222219</v>
      </c>
      <c r="C72" s="1">
        <v>10</v>
      </c>
      <c r="D72" s="1" t="s">
        <v>69</v>
      </c>
      <c r="E72" s="1" t="s">
        <v>135</v>
      </c>
      <c r="H72" s="3">
        <v>25400</v>
      </c>
      <c r="I72" s="1">
        <v>1</v>
      </c>
      <c r="J72" s="1">
        <v>1</v>
      </c>
      <c r="L72" s="29"/>
      <c r="O72" s="1"/>
    </row>
    <row r="73" spans="1:15" x14ac:dyDescent="0.3">
      <c r="A73" s="1">
        <v>72</v>
      </c>
      <c r="B73" s="8">
        <v>44418.3</v>
      </c>
      <c r="C73" s="1">
        <v>34</v>
      </c>
      <c r="F73" s="1" t="s">
        <v>603</v>
      </c>
      <c r="G73" s="1">
        <v>17</v>
      </c>
      <c r="H73" s="3">
        <v>119900</v>
      </c>
      <c r="I73" s="1">
        <v>0</v>
      </c>
      <c r="J73" s="1">
        <v>0</v>
      </c>
      <c r="L73" s="29"/>
      <c r="O73" s="1"/>
    </row>
    <row r="74" spans="1:15" x14ac:dyDescent="0.3">
      <c r="A74" s="1">
        <v>73</v>
      </c>
      <c r="B74" s="8">
        <v>44418.438888888886</v>
      </c>
      <c r="C74" s="1">
        <v>8</v>
      </c>
      <c r="D74" s="1" t="s">
        <v>57</v>
      </c>
      <c r="E74" s="1" t="s">
        <v>211</v>
      </c>
      <c r="H74" s="3">
        <v>2630</v>
      </c>
      <c r="I74" s="1">
        <v>1</v>
      </c>
      <c r="J74" s="1">
        <v>1</v>
      </c>
      <c r="L74" s="29"/>
      <c r="O74" s="1"/>
    </row>
    <row r="75" spans="1:15" x14ac:dyDescent="0.3">
      <c r="A75" s="1">
        <v>74</v>
      </c>
      <c r="B75" s="8">
        <v>44418.506249999999</v>
      </c>
      <c r="C75" s="1">
        <v>40</v>
      </c>
      <c r="D75" s="1" t="s">
        <v>247</v>
      </c>
      <c r="E75" s="1" t="s">
        <v>27</v>
      </c>
      <c r="H75" s="3">
        <v>378000</v>
      </c>
      <c r="I75" s="1">
        <v>1</v>
      </c>
      <c r="J75" s="1">
        <v>1</v>
      </c>
      <c r="L75" s="29"/>
      <c r="O75" s="1"/>
    </row>
    <row r="76" spans="1:15" x14ac:dyDescent="0.3">
      <c r="A76" s="1">
        <v>75</v>
      </c>
      <c r="B76" s="8">
        <v>44418.509722222225</v>
      </c>
      <c r="C76" s="1">
        <v>26</v>
      </c>
      <c r="F76" s="1" t="s">
        <v>595</v>
      </c>
      <c r="G76" s="1">
        <v>60</v>
      </c>
      <c r="H76" s="3">
        <v>250992</v>
      </c>
      <c r="I76" s="1">
        <v>0</v>
      </c>
      <c r="J76" s="1">
        <v>0</v>
      </c>
      <c r="L76" s="29"/>
      <c r="O76" s="1"/>
    </row>
    <row r="77" spans="1:15" x14ac:dyDescent="0.3">
      <c r="A77" s="1">
        <v>76</v>
      </c>
      <c r="B77" s="8">
        <v>44418.602083333331</v>
      </c>
      <c r="C77" s="1">
        <v>28</v>
      </c>
      <c r="D77" s="1" t="s">
        <v>177</v>
      </c>
      <c r="E77" s="1" t="s">
        <v>45</v>
      </c>
      <c r="H77" s="3">
        <v>263000</v>
      </c>
      <c r="I77" s="1">
        <v>1</v>
      </c>
      <c r="J77" s="1">
        <v>1</v>
      </c>
      <c r="L77" s="29"/>
      <c r="O77" s="1"/>
    </row>
    <row r="78" spans="1:15" x14ac:dyDescent="0.3">
      <c r="A78" s="1">
        <v>77</v>
      </c>
      <c r="B78" s="8">
        <v>44418.634027777778</v>
      </c>
      <c r="C78" s="1">
        <v>1</v>
      </c>
      <c r="D78" s="1" t="s">
        <v>15</v>
      </c>
      <c r="E78" s="1" t="s">
        <v>27</v>
      </c>
      <c r="H78" s="3">
        <v>292000</v>
      </c>
      <c r="I78" s="1">
        <v>1</v>
      </c>
      <c r="J78" s="1">
        <v>1</v>
      </c>
      <c r="L78" s="29"/>
      <c r="O78" s="1"/>
    </row>
    <row r="79" spans="1:15" x14ac:dyDescent="0.3">
      <c r="A79" s="1">
        <v>78</v>
      </c>
      <c r="B79" s="8">
        <v>44418.711111111108</v>
      </c>
      <c r="C79" s="1">
        <v>38</v>
      </c>
      <c r="F79" s="1" t="s">
        <v>599</v>
      </c>
      <c r="G79" s="1">
        <v>47</v>
      </c>
      <c r="H79" s="3">
        <v>65500</v>
      </c>
      <c r="I79" s="1">
        <v>0</v>
      </c>
      <c r="J79" s="1">
        <v>0</v>
      </c>
      <c r="L79" s="29"/>
      <c r="O79" s="1"/>
    </row>
    <row r="80" spans="1:15" x14ac:dyDescent="0.3">
      <c r="A80" s="1">
        <v>79</v>
      </c>
      <c r="B80" s="8">
        <v>44418.777777777781</v>
      </c>
      <c r="C80" s="1">
        <v>22</v>
      </c>
      <c r="D80" s="1" t="s">
        <v>141</v>
      </c>
      <c r="E80" s="1" t="s">
        <v>81</v>
      </c>
      <c r="H80" s="3">
        <v>475000</v>
      </c>
      <c r="I80" s="1">
        <v>1</v>
      </c>
      <c r="J80" s="1">
        <v>1</v>
      </c>
      <c r="L80" s="29"/>
      <c r="O80" s="1"/>
    </row>
    <row r="81" spans="1:15" x14ac:dyDescent="0.3">
      <c r="A81" s="1">
        <v>80</v>
      </c>
      <c r="B81" s="8">
        <v>44418.874305555553</v>
      </c>
      <c r="C81" s="1">
        <v>7</v>
      </c>
      <c r="D81" s="1" t="s">
        <v>51</v>
      </c>
      <c r="E81" s="1" t="s">
        <v>63</v>
      </c>
      <c r="H81" s="3">
        <v>344000</v>
      </c>
      <c r="I81" s="1">
        <v>1</v>
      </c>
      <c r="J81" s="1">
        <v>1</v>
      </c>
      <c r="L81" s="29"/>
      <c r="O81" s="1"/>
    </row>
    <row r="82" spans="1:15" x14ac:dyDescent="0.3">
      <c r="A82" s="1">
        <v>81</v>
      </c>
      <c r="B82" s="8">
        <v>44419.146527777775</v>
      </c>
      <c r="C82" s="1">
        <v>12</v>
      </c>
      <c r="F82" s="1" t="s">
        <v>602</v>
      </c>
      <c r="G82" s="1">
        <v>19</v>
      </c>
      <c r="H82" s="3">
        <v>26651</v>
      </c>
      <c r="I82" s="1">
        <v>0</v>
      </c>
      <c r="J82" s="1">
        <v>1</v>
      </c>
      <c r="L82" s="29"/>
      <c r="O82" s="1"/>
    </row>
    <row r="83" spans="1:15" x14ac:dyDescent="0.3">
      <c r="A83" s="1">
        <v>82</v>
      </c>
      <c r="B83" s="8">
        <v>44419.469444444447</v>
      </c>
      <c r="C83" s="1">
        <v>7</v>
      </c>
      <c r="F83" s="1" t="s">
        <v>609</v>
      </c>
      <c r="G83" s="1">
        <v>3</v>
      </c>
      <c r="H83" s="3">
        <v>6442</v>
      </c>
      <c r="I83" s="1">
        <v>5</v>
      </c>
      <c r="J83" s="1">
        <v>4</v>
      </c>
      <c r="L83" s="29"/>
      <c r="O83" s="1"/>
    </row>
    <row r="84" spans="1:15" x14ac:dyDescent="0.3">
      <c r="A84" s="1">
        <v>83</v>
      </c>
      <c r="B84" s="8">
        <v>44419.50277777778</v>
      </c>
      <c r="C84" s="1">
        <v>20</v>
      </c>
      <c r="F84" s="1" t="s">
        <v>610</v>
      </c>
      <c r="G84" s="1">
        <v>11</v>
      </c>
      <c r="H84" s="3">
        <v>37970</v>
      </c>
      <c r="I84" s="1">
        <v>0</v>
      </c>
      <c r="J84" s="1">
        <v>1</v>
      </c>
      <c r="L84" s="29"/>
      <c r="O84" s="1"/>
    </row>
    <row r="85" spans="1:15" x14ac:dyDescent="0.3">
      <c r="A85" s="1">
        <v>84</v>
      </c>
      <c r="B85" s="8">
        <v>44419.523611111108</v>
      </c>
      <c r="C85" s="1">
        <v>14</v>
      </c>
      <c r="D85" s="1" t="s">
        <v>93</v>
      </c>
      <c r="E85" s="1" t="s">
        <v>241</v>
      </c>
      <c r="H85" s="3">
        <v>117000</v>
      </c>
      <c r="I85" s="1">
        <v>1</v>
      </c>
      <c r="J85" s="1">
        <v>1</v>
      </c>
      <c r="L85" s="29"/>
      <c r="O85" s="1"/>
    </row>
    <row r="86" spans="1:15" x14ac:dyDescent="0.3">
      <c r="A86" s="1">
        <v>85</v>
      </c>
      <c r="B86" s="8">
        <v>44419.554861111108</v>
      </c>
      <c r="C86" s="1">
        <v>4</v>
      </c>
      <c r="D86" s="1" t="s">
        <v>33</v>
      </c>
      <c r="E86" s="1" t="s">
        <v>15</v>
      </c>
      <c r="H86" s="3">
        <v>355000</v>
      </c>
      <c r="I86" s="1">
        <v>1</v>
      </c>
      <c r="J86" s="1">
        <v>1</v>
      </c>
      <c r="L86" s="29"/>
      <c r="O86" s="1"/>
    </row>
    <row r="87" spans="1:15" x14ac:dyDescent="0.3">
      <c r="A87" s="1">
        <v>86</v>
      </c>
      <c r="B87" s="8">
        <v>44419.563194444447</v>
      </c>
      <c r="C87" s="1">
        <v>29</v>
      </c>
      <c r="F87" s="1" t="s">
        <v>608</v>
      </c>
      <c r="G87" s="1">
        <v>64</v>
      </c>
      <c r="H87" s="3">
        <v>20477</v>
      </c>
      <c r="I87" s="1">
        <v>0</v>
      </c>
      <c r="J87" s="1">
        <v>2</v>
      </c>
      <c r="L87" s="29"/>
      <c r="O87" s="1"/>
    </row>
    <row r="88" spans="1:15" x14ac:dyDescent="0.3">
      <c r="A88" s="1">
        <v>87</v>
      </c>
      <c r="B88" s="8">
        <v>44419.711805555555</v>
      </c>
      <c r="C88" s="1">
        <v>14</v>
      </c>
      <c r="D88" s="1" t="s">
        <v>93</v>
      </c>
      <c r="E88" s="1" t="s">
        <v>141</v>
      </c>
      <c r="H88" s="3">
        <v>492000</v>
      </c>
      <c r="I88" s="1">
        <v>1</v>
      </c>
      <c r="J88" s="1">
        <v>1</v>
      </c>
      <c r="L88" s="29"/>
      <c r="O88" s="1"/>
    </row>
    <row r="89" spans="1:15" x14ac:dyDescent="0.3">
      <c r="A89" s="1">
        <v>88</v>
      </c>
      <c r="B89" s="8">
        <v>44419.714583333334</v>
      </c>
      <c r="C89" s="1">
        <v>4</v>
      </c>
      <c r="D89" s="1" t="s">
        <v>33</v>
      </c>
      <c r="E89" s="1" t="s">
        <v>51</v>
      </c>
      <c r="H89" s="3">
        <v>167000</v>
      </c>
      <c r="I89" s="1">
        <v>1</v>
      </c>
      <c r="J89" s="1">
        <v>1</v>
      </c>
      <c r="L89" s="29"/>
      <c r="O89" s="1"/>
    </row>
    <row r="90" spans="1:15" x14ac:dyDescent="0.3">
      <c r="A90" s="1">
        <v>89</v>
      </c>
      <c r="B90" s="8">
        <v>44419.995138888888</v>
      </c>
      <c r="C90" s="1">
        <v>10</v>
      </c>
      <c r="D90" s="1" t="s">
        <v>69</v>
      </c>
      <c r="E90" s="1" t="s">
        <v>200</v>
      </c>
      <c r="H90" s="3">
        <v>449000</v>
      </c>
      <c r="I90" s="1">
        <v>1</v>
      </c>
      <c r="J90" s="1">
        <v>1</v>
      </c>
      <c r="L90" s="29"/>
      <c r="O90" s="1"/>
    </row>
    <row r="91" spans="1:15" x14ac:dyDescent="0.3">
      <c r="A91" s="1">
        <v>90</v>
      </c>
      <c r="B91" s="8">
        <v>44420.120833333334</v>
      </c>
      <c r="C91" s="1">
        <v>14</v>
      </c>
      <c r="F91" s="1" t="s">
        <v>588</v>
      </c>
      <c r="G91" s="1">
        <v>32</v>
      </c>
      <c r="H91" s="3">
        <v>822171</v>
      </c>
      <c r="I91" s="1">
        <v>0</v>
      </c>
      <c r="J91" s="1">
        <v>6</v>
      </c>
      <c r="L91" s="29"/>
      <c r="O91" s="1"/>
    </row>
    <row r="92" spans="1:15" x14ac:dyDescent="0.3">
      <c r="A92" s="1">
        <v>91</v>
      </c>
      <c r="B92" s="8">
        <v>44420.226388888892</v>
      </c>
      <c r="C92" s="1">
        <v>21</v>
      </c>
      <c r="D92" s="1" t="s">
        <v>135</v>
      </c>
      <c r="E92" s="1" t="s">
        <v>141</v>
      </c>
      <c r="H92" s="3">
        <v>2000</v>
      </c>
      <c r="I92" s="1">
        <v>1</v>
      </c>
      <c r="J92" s="1">
        <v>1</v>
      </c>
      <c r="L92" s="29"/>
      <c r="O92" s="1"/>
    </row>
    <row r="93" spans="1:15" x14ac:dyDescent="0.3">
      <c r="A93" s="1">
        <v>92</v>
      </c>
      <c r="B93" s="8">
        <v>44420.894444444442</v>
      </c>
      <c r="C93" s="1">
        <v>22</v>
      </c>
      <c r="D93" s="1" t="s">
        <v>141</v>
      </c>
      <c r="E93" s="1" t="s">
        <v>247</v>
      </c>
      <c r="H93" s="3">
        <v>76000</v>
      </c>
      <c r="I93" s="1">
        <v>1</v>
      </c>
      <c r="J93" s="1">
        <v>1</v>
      </c>
      <c r="L93" s="29"/>
      <c r="O93" s="1"/>
    </row>
    <row r="94" spans="1:15" x14ac:dyDescent="0.3">
      <c r="A94" s="1">
        <v>93</v>
      </c>
      <c r="B94" s="8">
        <v>44420.912499999999</v>
      </c>
      <c r="C94" s="1">
        <v>5</v>
      </c>
      <c r="D94" s="1" t="s">
        <v>39</v>
      </c>
      <c r="E94" s="1" t="s">
        <v>15</v>
      </c>
      <c r="H94" s="3">
        <v>114000</v>
      </c>
      <c r="I94" s="1">
        <v>1</v>
      </c>
      <c r="J94" s="1">
        <v>1</v>
      </c>
      <c r="L94" s="29"/>
      <c r="O94" s="1"/>
    </row>
    <row r="95" spans="1:15" x14ac:dyDescent="0.3">
      <c r="A95" s="1">
        <v>94</v>
      </c>
      <c r="B95" s="8">
        <v>44420.915972222225</v>
      </c>
      <c r="C95" s="1">
        <v>11</v>
      </c>
      <c r="D95" s="1" t="s">
        <v>75</v>
      </c>
      <c r="E95" s="1" t="s">
        <v>63</v>
      </c>
      <c r="H95" s="3">
        <v>131000</v>
      </c>
      <c r="I95" s="1">
        <v>1</v>
      </c>
      <c r="J95" s="1">
        <v>1</v>
      </c>
      <c r="L95" s="29"/>
      <c r="O95" s="1"/>
    </row>
    <row r="96" spans="1:15" x14ac:dyDescent="0.3">
      <c r="A96" s="1">
        <v>95</v>
      </c>
      <c r="B96" s="8">
        <v>44421.150694444441</v>
      </c>
      <c r="C96" s="1">
        <v>30</v>
      </c>
      <c r="D96" s="1" t="s">
        <v>188</v>
      </c>
      <c r="E96" s="1" t="s">
        <v>229</v>
      </c>
      <c r="H96" s="3">
        <v>251000</v>
      </c>
      <c r="I96" s="1">
        <v>1</v>
      </c>
      <c r="J96" s="1">
        <v>1</v>
      </c>
      <c r="L96" s="29"/>
      <c r="O96" s="1"/>
    </row>
    <row r="97" spans="1:15" x14ac:dyDescent="0.3">
      <c r="A97" s="1">
        <v>96</v>
      </c>
      <c r="B97" s="8">
        <v>44421.165277777778</v>
      </c>
      <c r="C97" s="1">
        <v>10</v>
      </c>
      <c r="F97" s="1" t="s">
        <v>611</v>
      </c>
      <c r="G97" s="1">
        <v>37</v>
      </c>
      <c r="H97" s="3">
        <v>238970</v>
      </c>
      <c r="I97" s="1">
        <v>0</v>
      </c>
      <c r="J97" s="1">
        <v>3</v>
      </c>
      <c r="L97" s="29"/>
      <c r="O97" s="1"/>
    </row>
    <row r="98" spans="1:15" x14ac:dyDescent="0.3">
      <c r="A98" s="1">
        <v>97</v>
      </c>
      <c r="B98" s="8">
        <v>44421.225694444445</v>
      </c>
      <c r="C98" s="1">
        <v>4</v>
      </c>
      <c r="F98" s="1" t="s">
        <v>600</v>
      </c>
      <c r="G98" s="1">
        <v>12</v>
      </c>
      <c r="H98" s="3">
        <v>45700</v>
      </c>
      <c r="I98" s="1">
        <v>0</v>
      </c>
      <c r="J98" s="1">
        <v>0</v>
      </c>
      <c r="L98" s="29"/>
      <c r="O98" s="1"/>
    </row>
    <row r="99" spans="1:15" x14ac:dyDescent="0.3">
      <c r="A99" s="1">
        <v>98</v>
      </c>
      <c r="B99" s="8">
        <v>44421.321527777778</v>
      </c>
      <c r="C99" s="1">
        <v>19</v>
      </c>
      <c r="F99" s="1" t="s">
        <v>612</v>
      </c>
      <c r="G99" s="1">
        <v>50</v>
      </c>
      <c r="H99" s="3">
        <v>10290</v>
      </c>
      <c r="I99" s="1">
        <v>0</v>
      </c>
      <c r="J99" s="1">
        <v>1</v>
      </c>
      <c r="L99" s="29"/>
      <c r="O99" s="1"/>
    </row>
    <row r="100" spans="1:15" x14ac:dyDescent="0.3">
      <c r="A100" s="1">
        <v>99</v>
      </c>
      <c r="B100" s="8">
        <v>44421.429166666669</v>
      </c>
      <c r="C100" s="1">
        <v>14</v>
      </c>
      <c r="F100" s="1" t="s">
        <v>588</v>
      </c>
      <c r="G100" s="1">
        <v>9</v>
      </c>
      <c r="H100" s="3">
        <v>34093</v>
      </c>
      <c r="I100" s="1">
        <v>0</v>
      </c>
      <c r="J100" s="1">
        <v>5</v>
      </c>
      <c r="L100" s="29"/>
      <c r="O100" s="1"/>
    </row>
    <row r="101" spans="1:15" x14ac:dyDescent="0.3">
      <c r="A101" s="1">
        <v>100</v>
      </c>
      <c r="B101" s="8">
        <v>44421.515277777777</v>
      </c>
      <c r="C101" s="1">
        <v>26</v>
      </c>
      <c r="F101" s="1" t="s">
        <v>595</v>
      </c>
      <c r="G101" s="1">
        <v>17</v>
      </c>
      <c r="H101" s="3">
        <v>124576</v>
      </c>
      <c r="I101" s="1">
        <v>0</v>
      </c>
      <c r="J101" s="1">
        <v>1</v>
      </c>
      <c r="L101" s="29"/>
      <c r="O101" s="1"/>
    </row>
    <row r="102" spans="1:15" x14ac:dyDescent="0.3">
      <c r="A102" s="1">
        <v>101</v>
      </c>
      <c r="B102" s="8">
        <v>44421.654166666667</v>
      </c>
      <c r="C102" s="1">
        <v>8</v>
      </c>
      <c r="D102" s="1" t="s">
        <v>57</v>
      </c>
      <c r="E102" s="1" t="s">
        <v>223</v>
      </c>
      <c r="H102" s="3">
        <v>2520</v>
      </c>
      <c r="I102" s="1">
        <v>1</v>
      </c>
      <c r="J102" s="1">
        <v>1</v>
      </c>
      <c r="L102" s="29"/>
      <c r="O102" s="1"/>
    </row>
    <row r="103" spans="1:15" x14ac:dyDescent="0.3">
      <c r="A103" s="1">
        <v>102</v>
      </c>
      <c r="B103" s="8">
        <v>44422.061805555553</v>
      </c>
      <c r="C103" s="1">
        <v>21</v>
      </c>
      <c r="D103" s="1" t="s">
        <v>135</v>
      </c>
      <c r="E103" s="1" t="s">
        <v>15</v>
      </c>
      <c r="H103" s="3">
        <v>168000</v>
      </c>
      <c r="I103" s="1">
        <v>1</v>
      </c>
      <c r="J103" s="1">
        <v>1</v>
      </c>
      <c r="L103" s="29"/>
      <c r="O103" s="1"/>
    </row>
    <row r="104" spans="1:15" x14ac:dyDescent="0.3">
      <c r="A104" s="1">
        <v>103</v>
      </c>
      <c r="B104" s="8">
        <v>44422.113194444442</v>
      </c>
      <c r="C104" s="1">
        <v>15</v>
      </c>
      <c r="F104" s="1" t="s">
        <v>597</v>
      </c>
      <c r="G104" s="1">
        <v>38</v>
      </c>
      <c r="H104" s="3">
        <v>492891</v>
      </c>
      <c r="I104" s="1">
        <v>0</v>
      </c>
      <c r="J104" s="1">
        <v>2</v>
      </c>
      <c r="L104" s="29"/>
      <c r="O104" s="1"/>
    </row>
    <row r="105" spans="1:15" x14ac:dyDescent="0.3">
      <c r="A105" s="1">
        <v>104</v>
      </c>
      <c r="B105" s="8">
        <v>44422.53125</v>
      </c>
      <c r="C105" s="1">
        <v>14</v>
      </c>
      <c r="D105" s="1" t="s">
        <v>93</v>
      </c>
      <c r="E105" s="1" t="s">
        <v>223</v>
      </c>
      <c r="H105" s="3">
        <v>55000</v>
      </c>
      <c r="I105" s="1">
        <v>1</v>
      </c>
      <c r="J105" s="1">
        <v>1</v>
      </c>
      <c r="L105" s="29"/>
      <c r="O105" s="1"/>
    </row>
    <row r="106" spans="1:15" x14ac:dyDescent="0.3">
      <c r="A106" s="1">
        <v>105</v>
      </c>
      <c r="B106" s="8">
        <v>44422.656944444447</v>
      </c>
      <c r="C106" s="1">
        <v>19</v>
      </c>
      <c r="D106" s="1" t="s">
        <v>123</v>
      </c>
      <c r="E106" s="1" t="s">
        <v>135</v>
      </c>
      <c r="H106" s="3">
        <v>249000</v>
      </c>
      <c r="I106" s="1">
        <v>1</v>
      </c>
      <c r="J106" s="1">
        <v>1</v>
      </c>
      <c r="L106" s="29"/>
      <c r="O106" s="1"/>
    </row>
    <row r="107" spans="1:15" x14ac:dyDescent="0.3">
      <c r="A107" s="1">
        <v>106</v>
      </c>
      <c r="B107" s="8">
        <v>44422.926388888889</v>
      </c>
      <c r="C107" s="1">
        <v>26</v>
      </c>
      <c r="F107" s="1" t="s">
        <v>595</v>
      </c>
      <c r="G107" s="1">
        <v>36</v>
      </c>
      <c r="H107" s="3">
        <v>2190000</v>
      </c>
      <c r="I107" s="1">
        <v>0</v>
      </c>
      <c r="J107" s="1">
        <v>0</v>
      </c>
      <c r="L107" s="29"/>
      <c r="O107" s="1"/>
    </row>
    <row r="108" spans="1:15" x14ac:dyDescent="0.3">
      <c r="A108" s="1">
        <v>107</v>
      </c>
      <c r="B108" s="8">
        <v>44422.938194444447</v>
      </c>
      <c r="C108" s="1">
        <v>11</v>
      </c>
      <c r="F108" s="1" t="s">
        <v>596</v>
      </c>
      <c r="G108" s="1">
        <v>57</v>
      </c>
      <c r="H108" s="3">
        <v>19071</v>
      </c>
      <c r="I108" s="1">
        <v>0</v>
      </c>
      <c r="J108" s="1">
        <v>2</v>
      </c>
      <c r="L108" s="29"/>
      <c r="O108" s="1"/>
    </row>
    <row r="109" spans="1:15" x14ac:dyDescent="0.3">
      <c r="A109" s="1">
        <v>108</v>
      </c>
      <c r="B109" s="8">
        <v>44423.1</v>
      </c>
      <c r="C109" s="1">
        <v>29</v>
      </c>
      <c r="F109" s="1" t="s">
        <v>608</v>
      </c>
      <c r="G109" s="1">
        <v>3</v>
      </c>
      <c r="H109" s="3">
        <v>6200</v>
      </c>
      <c r="I109" s="1">
        <v>1</v>
      </c>
      <c r="J109" s="1">
        <v>0</v>
      </c>
      <c r="L109" s="29"/>
      <c r="O109" s="1"/>
    </row>
    <row r="110" spans="1:15" x14ac:dyDescent="0.3">
      <c r="A110" s="1">
        <v>109</v>
      </c>
      <c r="B110" s="8">
        <v>44423.363888888889</v>
      </c>
      <c r="C110" s="1">
        <v>27</v>
      </c>
      <c r="D110" s="1" t="s">
        <v>171</v>
      </c>
      <c r="E110" s="1" t="s">
        <v>63</v>
      </c>
      <c r="H110" s="3">
        <v>174000</v>
      </c>
      <c r="I110" s="1">
        <v>1</v>
      </c>
      <c r="J110" s="1">
        <v>1</v>
      </c>
      <c r="L110" s="29"/>
      <c r="O110" s="1"/>
    </row>
    <row r="111" spans="1:15" x14ac:dyDescent="0.3">
      <c r="A111" s="1">
        <v>110</v>
      </c>
      <c r="B111" s="8">
        <v>44423.60833333333</v>
      </c>
      <c r="C111" s="1">
        <v>15</v>
      </c>
      <c r="F111" s="1" t="s">
        <v>613</v>
      </c>
      <c r="G111" s="1">
        <v>37</v>
      </c>
      <c r="H111" s="3">
        <v>238050</v>
      </c>
      <c r="I111" s="1">
        <v>0</v>
      </c>
      <c r="J111" s="1">
        <v>1</v>
      </c>
      <c r="L111" s="29"/>
      <c r="O111" s="1"/>
    </row>
    <row r="112" spans="1:15" x14ac:dyDescent="0.3">
      <c r="A112" s="1">
        <v>111</v>
      </c>
      <c r="B112" s="8">
        <v>44423.609027777777</v>
      </c>
      <c r="C112" s="1">
        <v>28</v>
      </c>
      <c r="F112" s="1" t="s">
        <v>586</v>
      </c>
      <c r="G112" s="1">
        <v>19</v>
      </c>
      <c r="H112" s="3">
        <v>25900</v>
      </c>
      <c r="I112" s="1">
        <v>0</v>
      </c>
      <c r="J112" s="1">
        <v>0</v>
      </c>
      <c r="L112" s="29"/>
      <c r="O112" s="1"/>
    </row>
    <row r="113" spans="1:15" x14ac:dyDescent="0.3">
      <c r="A113" s="1">
        <v>112</v>
      </c>
      <c r="B113" s="8">
        <v>44424.056250000001</v>
      </c>
      <c r="C113" s="1">
        <v>6</v>
      </c>
      <c r="D113" s="1" t="s">
        <v>45</v>
      </c>
      <c r="E113" s="1" t="s">
        <v>27</v>
      </c>
      <c r="H113" s="3">
        <v>321000</v>
      </c>
      <c r="I113" s="1">
        <v>1</v>
      </c>
      <c r="J113" s="1">
        <v>1</v>
      </c>
      <c r="L113" s="29"/>
      <c r="O113" s="1"/>
    </row>
    <row r="114" spans="1:15" x14ac:dyDescent="0.3">
      <c r="A114" s="1">
        <v>113</v>
      </c>
      <c r="B114" s="8">
        <v>44424.199305555558</v>
      </c>
      <c r="C114" s="1">
        <v>38</v>
      </c>
      <c r="D114" s="1" t="s">
        <v>235</v>
      </c>
      <c r="E114" s="1" t="s">
        <v>63</v>
      </c>
      <c r="H114" s="3">
        <v>370000</v>
      </c>
      <c r="I114" s="1">
        <v>1</v>
      </c>
      <c r="J114" s="1">
        <v>1</v>
      </c>
      <c r="L114" s="29"/>
      <c r="O114" s="1"/>
    </row>
    <row r="115" spans="1:15" x14ac:dyDescent="0.3">
      <c r="A115" s="1">
        <v>114</v>
      </c>
      <c r="B115" s="8">
        <v>44424.292361111111</v>
      </c>
      <c r="C115" s="1">
        <v>12</v>
      </c>
      <c r="D115" s="1" t="s">
        <v>81</v>
      </c>
      <c r="E115" s="1" t="s">
        <v>177</v>
      </c>
      <c r="H115" s="3">
        <v>41500</v>
      </c>
      <c r="I115" s="1">
        <v>1</v>
      </c>
      <c r="J115" s="1">
        <v>1</v>
      </c>
      <c r="L115" s="29"/>
      <c r="O115" s="1"/>
    </row>
    <row r="116" spans="1:15" x14ac:dyDescent="0.3">
      <c r="A116" s="1">
        <v>115</v>
      </c>
      <c r="B116" s="8">
        <v>44424.361805555556</v>
      </c>
      <c r="C116" s="1">
        <v>10</v>
      </c>
      <c r="D116" s="1" t="s">
        <v>69</v>
      </c>
      <c r="E116" s="1" t="s">
        <v>153</v>
      </c>
      <c r="H116" s="3">
        <v>109000</v>
      </c>
      <c r="I116" s="1">
        <v>1</v>
      </c>
      <c r="J116" s="1">
        <v>1</v>
      </c>
      <c r="L116" s="29"/>
      <c r="O116" s="1"/>
    </row>
    <row r="117" spans="1:15" x14ac:dyDescent="0.3">
      <c r="A117" s="1">
        <v>116</v>
      </c>
      <c r="B117" s="8">
        <v>44424.413888888892</v>
      </c>
      <c r="C117" s="1">
        <v>11</v>
      </c>
      <c r="F117" s="1" t="s">
        <v>614</v>
      </c>
      <c r="G117" s="1">
        <v>50</v>
      </c>
      <c r="H117" s="3">
        <v>10390</v>
      </c>
      <c r="I117" s="1">
        <v>0</v>
      </c>
      <c r="J117" s="1">
        <v>2</v>
      </c>
      <c r="L117" s="29"/>
      <c r="O117" s="1"/>
    </row>
    <row r="118" spans="1:15" x14ac:dyDescent="0.3">
      <c r="A118" s="1">
        <v>117</v>
      </c>
      <c r="B118" s="8">
        <v>44424.559027777781</v>
      </c>
      <c r="C118" s="1">
        <v>11</v>
      </c>
      <c r="F118" s="1" t="s">
        <v>596</v>
      </c>
      <c r="G118" s="1">
        <v>71</v>
      </c>
      <c r="H118" s="3">
        <v>1257751</v>
      </c>
      <c r="I118" s="1">
        <v>0</v>
      </c>
      <c r="J118" s="1">
        <v>3</v>
      </c>
      <c r="L118" s="29"/>
      <c r="O118" s="1"/>
    </row>
    <row r="119" spans="1:15" x14ac:dyDescent="0.3">
      <c r="A119" s="1">
        <v>118</v>
      </c>
      <c r="B119" s="8">
        <v>44424.618055555555</v>
      </c>
      <c r="C119" s="1">
        <v>6</v>
      </c>
      <c r="F119" s="1" t="s">
        <v>593</v>
      </c>
      <c r="G119" s="1">
        <v>23</v>
      </c>
      <c r="H119" s="3">
        <v>158924</v>
      </c>
      <c r="I119" s="1">
        <v>0</v>
      </c>
      <c r="J119" s="1">
        <v>3</v>
      </c>
      <c r="L119" s="29"/>
      <c r="O119" s="1"/>
    </row>
    <row r="120" spans="1:15" x14ac:dyDescent="0.3">
      <c r="A120" s="1">
        <v>119</v>
      </c>
      <c r="B120" s="8">
        <v>44424.648611111108</v>
      </c>
      <c r="C120" s="1">
        <v>6</v>
      </c>
      <c r="D120" s="1" t="s">
        <v>45</v>
      </c>
      <c r="E120" s="1" t="s">
        <v>200</v>
      </c>
      <c r="H120" s="3">
        <v>370000</v>
      </c>
      <c r="I120" s="1">
        <v>1</v>
      </c>
      <c r="J120" s="1">
        <v>1</v>
      </c>
      <c r="L120" s="29"/>
      <c r="O120" s="1"/>
    </row>
    <row r="121" spans="1:15" x14ac:dyDescent="0.3">
      <c r="A121" s="1">
        <v>120</v>
      </c>
      <c r="B121" s="8">
        <v>44424.988888888889</v>
      </c>
      <c r="C121" s="1">
        <v>14</v>
      </c>
      <c r="F121" s="1" t="s">
        <v>588</v>
      </c>
      <c r="G121" s="1">
        <v>50</v>
      </c>
      <c r="H121" s="3">
        <v>10290</v>
      </c>
      <c r="I121" s="1">
        <v>0</v>
      </c>
      <c r="J121" s="1">
        <v>2</v>
      </c>
      <c r="L121" s="29"/>
      <c r="O121" s="1"/>
    </row>
    <row r="122" spans="1:15" x14ac:dyDescent="0.3">
      <c r="A122" s="1">
        <v>121</v>
      </c>
      <c r="B122" s="8">
        <v>44425.065972222219</v>
      </c>
      <c r="C122" s="1">
        <v>37</v>
      </c>
      <c r="F122" s="1" t="s">
        <v>615</v>
      </c>
      <c r="G122" s="1">
        <v>72</v>
      </c>
      <c r="H122" s="3">
        <v>1661361</v>
      </c>
      <c r="I122" s="1">
        <v>0</v>
      </c>
      <c r="J122" s="1">
        <v>2</v>
      </c>
      <c r="L122" s="29"/>
      <c r="O122" s="1"/>
    </row>
    <row r="123" spans="1:15" x14ac:dyDescent="0.3">
      <c r="A123" s="1">
        <v>122</v>
      </c>
      <c r="B123" s="8">
        <v>44425.275694444441</v>
      </c>
      <c r="C123" s="1">
        <v>17</v>
      </c>
      <c r="F123" s="1" t="s">
        <v>616</v>
      </c>
      <c r="G123" s="1">
        <v>50</v>
      </c>
      <c r="H123" s="3">
        <v>10000</v>
      </c>
      <c r="I123" s="1">
        <v>0</v>
      </c>
      <c r="J123" s="1">
        <v>0</v>
      </c>
      <c r="L123" s="29"/>
      <c r="O123" s="1"/>
    </row>
    <row r="124" spans="1:15" x14ac:dyDescent="0.3">
      <c r="A124" s="1">
        <v>123</v>
      </c>
      <c r="B124" s="8">
        <v>44425.281944444447</v>
      </c>
      <c r="C124" s="1">
        <v>17</v>
      </c>
      <c r="D124" s="1" t="s">
        <v>111</v>
      </c>
      <c r="E124" s="1" t="s">
        <v>217</v>
      </c>
      <c r="H124" s="3">
        <v>91000</v>
      </c>
      <c r="I124" s="1">
        <v>1</v>
      </c>
      <c r="J124" s="1">
        <v>1</v>
      </c>
      <c r="L124" s="29"/>
      <c r="O124" s="1"/>
    </row>
    <row r="125" spans="1:15" x14ac:dyDescent="0.3">
      <c r="A125" s="1">
        <v>124</v>
      </c>
      <c r="B125" s="8">
        <v>44425.306250000001</v>
      </c>
      <c r="C125" s="1">
        <v>2</v>
      </c>
      <c r="F125" s="1" t="s">
        <v>617</v>
      </c>
      <c r="G125" s="1">
        <v>54</v>
      </c>
      <c r="H125" s="3">
        <v>51450</v>
      </c>
      <c r="I125" s="1">
        <v>3</v>
      </c>
      <c r="J125" s="1">
        <v>12</v>
      </c>
      <c r="L125" s="29"/>
      <c r="O125" s="1"/>
    </row>
    <row r="126" spans="1:15" x14ac:dyDescent="0.3">
      <c r="A126" s="1">
        <v>125</v>
      </c>
      <c r="B126" s="8">
        <v>44425.422222222223</v>
      </c>
      <c r="C126" s="1">
        <v>14</v>
      </c>
      <c r="F126" s="1" t="s">
        <v>588</v>
      </c>
      <c r="G126" s="1">
        <v>38</v>
      </c>
      <c r="H126" s="3">
        <v>492891</v>
      </c>
      <c r="I126" s="1">
        <v>0</v>
      </c>
      <c r="J126" s="1">
        <v>2</v>
      </c>
      <c r="L126" s="29"/>
      <c r="O126" s="1"/>
    </row>
    <row r="127" spans="1:15" x14ac:dyDescent="0.3">
      <c r="A127" s="1">
        <v>126</v>
      </c>
      <c r="B127" s="8">
        <v>44425.431250000001</v>
      </c>
      <c r="C127" s="1">
        <v>6</v>
      </c>
      <c r="F127" s="1" t="s">
        <v>593</v>
      </c>
      <c r="G127" s="1">
        <v>26</v>
      </c>
      <c r="H127" s="3">
        <v>18140357</v>
      </c>
      <c r="I127" s="1">
        <v>0</v>
      </c>
      <c r="J127" s="1">
        <v>12</v>
      </c>
      <c r="L127" s="29"/>
      <c r="O127" s="1"/>
    </row>
    <row r="128" spans="1:15" x14ac:dyDescent="0.3">
      <c r="A128" s="1">
        <v>127</v>
      </c>
      <c r="B128" s="8">
        <v>44425.447916666664</v>
      </c>
      <c r="C128" s="1">
        <v>20</v>
      </c>
      <c r="F128" s="1" t="s">
        <v>610</v>
      </c>
      <c r="G128" s="1">
        <v>30</v>
      </c>
      <c r="H128" s="3">
        <v>225351</v>
      </c>
      <c r="I128" s="1">
        <v>0</v>
      </c>
      <c r="J128" s="1">
        <v>9</v>
      </c>
      <c r="L128" s="29"/>
      <c r="O128" s="1"/>
    </row>
    <row r="129" spans="1:15" x14ac:dyDescent="0.3">
      <c r="A129" s="1">
        <v>128</v>
      </c>
      <c r="B129" s="8">
        <v>44425.47152777778</v>
      </c>
      <c r="C129" s="1">
        <v>11</v>
      </c>
      <c r="F129" s="1" t="s">
        <v>596</v>
      </c>
      <c r="G129" s="1">
        <v>47</v>
      </c>
      <c r="H129" s="3">
        <v>68710</v>
      </c>
      <c r="I129" s="1">
        <v>0</v>
      </c>
      <c r="J129" s="1">
        <v>3</v>
      </c>
      <c r="L129" s="29"/>
      <c r="O129" s="1"/>
    </row>
    <row r="130" spans="1:15" x14ac:dyDescent="0.3">
      <c r="A130" s="1">
        <v>129</v>
      </c>
      <c r="B130" s="8">
        <v>44425.563888888886</v>
      </c>
      <c r="C130" s="1">
        <v>14</v>
      </c>
      <c r="F130" s="1" t="s">
        <v>588</v>
      </c>
      <c r="G130" s="1">
        <v>85</v>
      </c>
      <c r="H130" s="3">
        <v>3087</v>
      </c>
      <c r="I130" s="1">
        <v>0</v>
      </c>
      <c r="J130" s="1">
        <v>1</v>
      </c>
      <c r="L130" s="29"/>
      <c r="O130" s="1"/>
    </row>
    <row r="131" spans="1:15" x14ac:dyDescent="0.3">
      <c r="A131" s="1">
        <v>130</v>
      </c>
      <c r="B131" s="8">
        <v>44425.741666666669</v>
      </c>
      <c r="C131" s="1">
        <v>34</v>
      </c>
      <c r="F131" s="1" t="s">
        <v>603</v>
      </c>
      <c r="G131" s="1">
        <v>48</v>
      </c>
      <c r="H131" s="3">
        <v>49300</v>
      </c>
      <c r="I131" s="1">
        <v>0</v>
      </c>
      <c r="J131" s="1">
        <v>0</v>
      </c>
      <c r="L131" s="29"/>
      <c r="O131" s="1"/>
    </row>
    <row r="132" spans="1:15" x14ac:dyDescent="0.3">
      <c r="A132" s="1">
        <v>131</v>
      </c>
      <c r="B132" s="8">
        <v>44425.816666666666</v>
      </c>
      <c r="C132" s="1">
        <v>11</v>
      </c>
      <c r="F132" s="1" t="s">
        <v>596</v>
      </c>
      <c r="G132" s="1">
        <v>20</v>
      </c>
      <c r="H132" s="3">
        <v>9747</v>
      </c>
      <c r="I132" s="1">
        <v>0</v>
      </c>
      <c r="J132" s="1">
        <v>1</v>
      </c>
      <c r="L132" s="29"/>
      <c r="O132" s="1"/>
    </row>
    <row r="133" spans="1:15" x14ac:dyDescent="0.3">
      <c r="A133" s="1">
        <v>132</v>
      </c>
      <c r="B133" s="8">
        <v>44426.071527777778</v>
      </c>
      <c r="C133" s="1">
        <v>16</v>
      </c>
      <c r="D133" s="1" t="s">
        <v>105</v>
      </c>
      <c r="E133" s="1" t="s">
        <v>223</v>
      </c>
      <c r="H133" s="3">
        <v>124000</v>
      </c>
      <c r="I133" s="1">
        <v>1</v>
      </c>
      <c r="J133" s="1">
        <v>1</v>
      </c>
      <c r="L133" s="29"/>
      <c r="O133" s="1"/>
    </row>
    <row r="134" spans="1:15" x14ac:dyDescent="0.3">
      <c r="A134" s="1">
        <v>133</v>
      </c>
      <c r="B134" s="8">
        <v>44426.115972222222</v>
      </c>
      <c r="C134" s="1">
        <v>5</v>
      </c>
      <c r="F134" s="1" t="s">
        <v>589</v>
      </c>
      <c r="G134" s="1">
        <v>12</v>
      </c>
      <c r="H134" s="3">
        <v>47482</v>
      </c>
      <c r="I134" s="1">
        <v>0</v>
      </c>
      <c r="J134" s="1">
        <v>6</v>
      </c>
      <c r="L134" s="29"/>
      <c r="O134" s="1"/>
    </row>
    <row r="135" spans="1:15" x14ac:dyDescent="0.3">
      <c r="A135" s="1">
        <v>134</v>
      </c>
      <c r="B135" s="8">
        <v>44426.379861111112</v>
      </c>
      <c r="C135" s="1">
        <v>6</v>
      </c>
      <c r="F135" s="1" t="s">
        <v>590</v>
      </c>
      <c r="G135" s="1">
        <v>54</v>
      </c>
      <c r="H135" s="3">
        <v>51950</v>
      </c>
      <c r="I135" s="1">
        <v>0</v>
      </c>
      <c r="J135" s="1">
        <v>2</v>
      </c>
      <c r="L135" s="29"/>
      <c r="O135" s="1"/>
    </row>
    <row r="136" spans="1:15" x14ac:dyDescent="0.3">
      <c r="A136" s="1">
        <v>135</v>
      </c>
      <c r="B136" s="8">
        <v>44426.392361111109</v>
      </c>
      <c r="C136" s="1">
        <v>35</v>
      </c>
      <c r="F136" s="1" t="s">
        <v>618</v>
      </c>
      <c r="G136" s="1">
        <v>10</v>
      </c>
      <c r="H136" s="3">
        <v>28900</v>
      </c>
      <c r="I136" s="1">
        <v>0</v>
      </c>
      <c r="J136" s="1">
        <v>0</v>
      </c>
      <c r="L136" s="29"/>
      <c r="O136" s="1"/>
    </row>
    <row r="137" spans="1:15" x14ac:dyDescent="0.3">
      <c r="A137" s="1">
        <v>136</v>
      </c>
      <c r="B137" s="8">
        <v>44426.709027777775</v>
      </c>
      <c r="C137" s="1">
        <v>12</v>
      </c>
      <c r="F137" s="1" t="s">
        <v>619</v>
      </c>
      <c r="G137" s="1">
        <v>83</v>
      </c>
      <c r="H137" s="3">
        <v>1563010</v>
      </c>
      <c r="I137" s="1">
        <v>0</v>
      </c>
      <c r="J137" s="1">
        <v>3</v>
      </c>
      <c r="L137" s="29"/>
      <c r="O137" s="1"/>
    </row>
    <row r="138" spans="1:15" x14ac:dyDescent="0.3">
      <c r="A138" s="1">
        <v>137</v>
      </c>
      <c r="B138" s="8">
        <v>44426.820833333331</v>
      </c>
      <c r="C138" s="1">
        <v>12</v>
      </c>
      <c r="F138" s="1" t="s">
        <v>619</v>
      </c>
      <c r="G138" s="1">
        <v>66</v>
      </c>
      <c r="H138" s="3">
        <v>1101450</v>
      </c>
      <c r="I138" s="1">
        <v>0</v>
      </c>
      <c r="J138" s="1">
        <v>4</v>
      </c>
      <c r="L138" s="29"/>
      <c r="O138" s="1"/>
    </row>
    <row r="139" spans="1:15" x14ac:dyDescent="0.3">
      <c r="A139" s="1">
        <v>138</v>
      </c>
      <c r="B139" s="8">
        <v>44426.835416666669</v>
      </c>
      <c r="C139" s="1">
        <v>2</v>
      </c>
      <c r="F139" s="1" t="s">
        <v>617</v>
      </c>
      <c r="G139" s="1">
        <v>21</v>
      </c>
      <c r="H139" s="3">
        <v>19000</v>
      </c>
      <c r="I139" s="1">
        <v>0</v>
      </c>
      <c r="J139" s="1">
        <v>0</v>
      </c>
      <c r="L139" s="29"/>
      <c r="O139" s="1"/>
    </row>
    <row r="140" spans="1:15" x14ac:dyDescent="0.3">
      <c r="A140" s="1">
        <v>139</v>
      </c>
      <c r="B140" s="8">
        <v>44426.956944444442</v>
      </c>
      <c r="C140" s="1">
        <v>11</v>
      </c>
      <c r="F140" s="1" t="s">
        <v>614</v>
      </c>
      <c r="G140" s="1">
        <v>30</v>
      </c>
      <c r="H140" s="3">
        <v>227541</v>
      </c>
      <c r="I140" s="1">
        <v>0</v>
      </c>
      <c r="J140" s="1">
        <v>2</v>
      </c>
      <c r="L140" s="29"/>
      <c r="O140" s="1"/>
    </row>
    <row r="141" spans="1:15" x14ac:dyDescent="0.3">
      <c r="A141" s="1">
        <v>140</v>
      </c>
      <c r="B141" s="8">
        <v>44427.078472222223</v>
      </c>
      <c r="C141" s="1">
        <v>2</v>
      </c>
      <c r="F141" s="1" t="s">
        <v>604</v>
      </c>
      <c r="G141" s="1">
        <v>1</v>
      </c>
      <c r="H141" s="3">
        <v>4468</v>
      </c>
      <c r="I141" s="1">
        <v>0</v>
      </c>
      <c r="J141" s="1">
        <v>12</v>
      </c>
      <c r="L141" s="29"/>
      <c r="O141" s="1"/>
    </row>
    <row r="142" spans="1:15" x14ac:dyDescent="0.3">
      <c r="A142" s="1">
        <v>141</v>
      </c>
      <c r="B142" s="8">
        <v>44427.342361111114</v>
      </c>
      <c r="C142" s="1">
        <v>31</v>
      </c>
      <c r="F142" s="1" t="s">
        <v>620</v>
      </c>
      <c r="G142" s="1">
        <v>69</v>
      </c>
      <c r="H142" s="3">
        <v>809100</v>
      </c>
      <c r="I142" s="1">
        <v>0</v>
      </c>
      <c r="J142" s="1">
        <v>0</v>
      </c>
      <c r="L142" s="29"/>
      <c r="O142" s="1"/>
    </row>
    <row r="143" spans="1:15" x14ac:dyDescent="0.3">
      <c r="A143" s="1">
        <v>142</v>
      </c>
      <c r="B143" s="8">
        <v>44427.37222222222</v>
      </c>
      <c r="C143" s="1">
        <v>5</v>
      </c>
      <c r="F143" s="1" t="s">
        <v>598</v>
      </c>
      <c r="G143" s="1">
        <v>24</v>
      </c>
      <c r="H143" s="3">
        <v>1155264</v>
      </c>
      <c r="I143" s="1">
        <v>0</v>
      </c>
      <c r="J143" s="1">
        <v>4</v>
      </c>
      <c r="L143" s="29"/>
      <c r="O143" s="1"/>
    </row>
    <row r="144" spans="1:15" x14ac:dyDescent="0.3">
      <c r="A144" s="1">
        <v>143</v>
      </c>
      <c r="B144" s="8">
        <v>44427.442361111112</v>
      </c>
      <c r="C144" s="1">
        <v>23</v>
      </c>
      <c r="D144" s="1" t="s">
        <v>147</v>
      </c>
      <c r="E144" s="1" t="s">
        <v>194</v>
      </c>
      <c r="H144" s="3">
        <v>460000</v>
      </c>
      <c r="I144" s="1">
        <v>1</v>
      </c>
      <c r="J144" s="1">
        <v>1</v>
      </c>
      <c r="L144" s="29"/>
      <c r="O144" s="1"/>
    </row>
    <row r="145" spans="1:15" x14ac:dyDescent="0.3">
      <c r="A145" s="1">
        <v>144</v>
      </c>
      <c r="B145" s="8">
        <v>44427.456250000003</v>
      </c>
      <c r="C145" s="1">
        <v>3</v>
      </c>
      <c r="D145" s="1" t="s">
        <v>27</v>
      </c>
      <c r="E145" s="1" t="s">
        <v>188</v>
      </c>
      <c r="H145" s="3">
        <v>165000</v>
      </c>
      <c r="I145" s="1">
        <v>1</v>
      </c>
      <c r="J145" s="1">
        <v>1</v>
      </c>
      <c r="L145" s="29"/>
      <c r="O145" s="1"/>
    </row>
    <row r="146" spans="1:15" x14ac:dyDescent="0.3">
      <c r="A146" s="1">
        <v>145</v>
      </c>
      <c r="B146" s="8">
        <v>44427.479166666664</v>
      </c>
      <c r="C146" s="1">
        <v>17</v>
      </c>
      <c r="F146" s="1" t="s">
        <v>616</v>
      </c>
      <c r="G146" s="1">
        <v>90</v>
      </c>
      <c r="H146" s="3">
        <v>57497429</v>
      </c>
      <c r="I146" s="1">
        <v>0</v>
      </c>
      <c r="J146" s="1">
        <v>12</v>
      </c>
      <c r="L146" s="29"/>
      <c r="O146" s="1"/>
    </row>
    <row r="147" spans="1:15" x14ac:dyDescent="0.3">
      <c r="A147" s="1">
        <v>146</v>
      </c>
      <c r="B147" s="8">
        <v>44427.529166666667</v>
      </c>
      <c r="C147" s="1">
        <v>8</v>
      </c>
      <c r="F147" s="1" t="s">
        <v>621</v>
      </c>
      <c r="G147" s="1">
        <v>62</v>
      </c>
      <c r="H147" s="3">
        <v>114220</v>
      </c>
      <c r="I147" s="1">
        <v>0</v>
      </c>
      <c r="J147" s="1">
        <v>4</v>
      </c>
      <c r="L147" s="29"/>
      <c r="O147" s="1"/>
    </row>
    <row r="148" spans="1:15" x14ac:dyDescent="0.3">
      <c r="A148" s="1">
        <v>147</v>
      </c>
      <c r="B148" s="8">
        <v>44427.555555555555</v>
      </c>
      <c r="C148" s="1">
        <v>23</v>
      </c>
      <c r="D148" s="1" t="s">
        <v>147</v>
      </c>
      <c r="E148" s="1" t="s">
        <v>183</v>
      </c>
      <c r="H148" s="3">
        <v>245000</v>
      </c>
      <c r="I148" s="1">
        <v>1</v>
      </c>
      <c r="J148" s="1">
        <v>1</v>
      </c>
      <c r="L148" s="29"/>
      <c r="O148" s="1"/>
    </row>
    <row r="149" spans="1:15" x14ac:dyDescent="0.3">
      <c r="A149" s="1">
        <v>148</v>
      </c>
      <c r="B149" s="8">
        <v>44427.600694444445</v>
      </c>
      <c r="C149" s="1">
        <v>17</v>
      </c>
      <c r="F149" s="1" t="s">
        <v>616</v>
      </c>
      <c r="G149" s="1">
        <v>9</v>
      </c>
      <c r="H149" s="3">
        <v>34561</v>
      </c>
      <c r="I149" s="1">
        <v>0</v>
      </c>
      <c r="J149" s="1">
        <v>1</v>
      </c>
      <c r="L149" s="29"/>
      <c r="O149" s="1"/>
    </row>
    <row r="150" spans="1:15" x14ac:dyDescent="0.3">
      <c r="A150" s="1">
        <v>149</v>
      </c>
      <c r="B150" s="8">
        <v>44427.852083333331</v>
      </c>
      <c r="C150" s="1">
        <v>8</v>
      </c>
      <c r="F150" s="1" t="s">
        <v>621</v>
      </c>
      <c r="G150" s="1">
        <v>25</v>
      </c>
      <c r="H150" s="3">
        <v>1335728</v>
      </c>
      <c r="I150" s="1">
        <v>0</v>
      </c>
      <c r="J150" s="1">
        <v>12</v>
      </c>
      <c r="L150" s="29"/>
      <c r="O150" s="1"/>
    </row>
    <row r="151" spans="1:15" x14ac:dyDescent="0.3">
      <c r="A151" s="1">
        <v>150</v>
      </c>
      <c r="B151" s="8">
        <v>44427.875694444447</v>
      </c>
      <c r="C151" s="1">
        <v>15</v>
      </c>
      <c r="F151" s="1" t="s">
        <v>597</v>
      </c>
      <c r="G151" s="1">
        <v>10</v>
      </c>
      <c r="H151" s="3">
        <v>29738</v>
      </c>
      <c r="I151" s="1">
        <v>0</v>
      </c>
      <c r="J151" s="1">
        <v>2</v>
      </c>
      <c r="L151" s="29"/>
      <c r="O151" s="1"/>
    </row>
    <row r="152" spans="1:15" x14ac:dyDescent="0.3">
      <c r="A152" s="1">
        <v>151</v>
      </c>
      <c r="B152" s="8">
        <v>44428.259027777778</v>
      </c>
      <c r="C152" s="1">
        <v>11</v>
      </c>
      <c r="D152" s="1" t="s">
        <v>75</v>
      </c>
      <c r="E152" s="1" t="s">
        <v>123</v>
      </c>
      <c r="H152" s="3">
        <v>157000</v>
      </c>
      <c r="I152" s="1">
        <v>1</v>
      </c>
      <c r="J152" s="1">
        <v>1</v>
      </c>
      <c r="L152" s="29"/>
      <c r="O152" s="1"/>
    </row>
    <row r="153" spans="1:15" x14ac:dyDescent="0.3">
      <c r="A153" s="1">
        <v>152</v>
      </c>
      <c r="B153" s="8">
        <v>44428.29791666667</v>
      </c>
      <c r="C153" s="1">
        <v>5</v>
      </c>
      <c r="F153" s="1" t="s">
        <v>589</v>
      </c>
      <c r="G153" s="1">
        <v>22</v>
      </c>
      <c r="H153" s="3">
        <v>31170</v>
      </c>
      <c r="I153" s="1">
        <v>0</v>
      </c>
      <c r="J153" s="1">
        <v>1</v>
      </c>
      <c r="L153" s="29"/>
      <c r="O153" s="1"/>
    </row>
    <row r="154" spans="1:15" x14ac:dyDescent="0.3">
      <c r="A154" s="1">
        <v>153</v>
      </c>
      <c r="B154" s="8">
        <v>44428.418055555558</v>
      </c>
      <c r="C154" s="1">
        <v>5</v>
      </c>
      <c r="F154" s="1" t="s">
        <v>598</v>
      </c>
      <c r="G154" s="1">
        <v>35</v>
      </c>
      <c r="H154" s="3">
        <v>7657700</v>
      </c>
      <c r="I154" s="1">
        <v>0</v>
      </c>
      <c r="J154" s="1">
        <v>12</v>
      </c>
      <c r="L154" s="29"/>
      <c r="O154" s="1"/>
    </row>
    <row r="155" spans="1:15" x14ac:dyDescent="0.3">
      <c r="A155" s="1">
        <v>154</v>
      </c>
      <c r="B155" s="8">
        <v>44428.500694444447</v>
      </c>
      <c r="C155" s="1">
        <v>22</v>
      </c>
      <c r="F155" s="1" t="s">
        <v>622</v>
      </c>
      <c r="G155" s="1">
        <v>19</v>
      </c>
      <c r="H155" s="3">
        <v>25900</v>
      </c>
      <c r="I155" s="1">
        <v>0</v>
      </c>
      <c r="J155" s="1">
        <v>0</v>
      </c>
      <c r="L155" s="29"/>
      <c r="O155" s="1"/>
    </row>
    <row r="156" spans="1:15" x14ac:dyDescent="0.3">
      <c r="A156" s="1">
        <v>155</v>
      </c>
      <c r="B156" s="8">
        <v>44428.570833333331</v>
      </c>
      <c r="C156" s="1">
        <v>38</v>
      </c>
      <c r="F156" s="1" t="s">
        <v>599</v>
      </c>
      <c r="G156" s="1">
        <v>7</v>
      </c>
      <c r="H156" s="3">
        <v>12000</v>
      </c>
      <c r="I156" s="1">
        <v>0</v>
      </c>
      <c r="J156" s="1">
        <v>0</v>
      </c>
      <c r="L156" s="29"/>
      <c r="O156" s="1"/>
    </row>
    <row r="157" spans="1:15" x14ac:dyDescent="0.3">
      <c r="A157" s="1">
        <v>156</v>
      </c>
      <c r="B157" s="8">
        <v>44428.60833333333</v>
      </c>
      <c r="C157" s="1">
        <v>14</v>
      </c>
      <c r="F157" s="1" t="s">
        <v>588</v>
      </c>
      <c r="G157" s="1">
        <v>79</v>
      </c>
      <c r="H157" s="3">
        <v>3605575</v>
      </c>
      <c r="I157" s="1">
        <v>0</v>
      </c>
      <c r="J157" s="1">
        <v>6</v>
      </c>
      <c r="L157" s="29"/>
      <c r="O157" s="1"/>
    </row>
    <row r="158" spans="1:15" x14ac:dyDescent="0.3">
      <c r="A158" s="1">
        <v>157</v>
      </c>
      <c r="B158" s="8">
        <v>44428.709027777775</v>
      </c>
      <c r="C158" s="1">
        <v>32</v>
      </c>
      <c r="F158" s="1" t="s">
        <v>623</v>
      </c>
      <c r="G158" s="1">
        <v>9</v>
      </c>
      <c r="H158" s="3">
        <v>34493</v>
      </c>
      <c r="I158" s="1">
        <v>0</v>
      </c>
      <c r="J158" s="1">
        <v>2</v>
      </c>
      <c r="L158" s="29"/>
      <c r="O158" s="1"/>
    </row>
    <row r="159" spans="1:15" x14ac:dyDescent="0.3">
      <c r="A159" s="1">
        <v>158</v>
      </c>
      <c r="B159" s="8">
        <v>44428.822916666664</v>
      </c>
      <c r="C159" s="1">
        <v>40</v>
      </c>
      <c r="D159" s="1" t="s">
        <v>247</v>
      </c>
      <c r="E159" s="1" t="s">
        <v>206</v>
      </c>
      <c r="H159" s="3">
        <v>321000</v>
      </c>
      <c r="I159" s="1">
        <v>1</v>
      </c>
      <c r="J159" s="1">
        <v>1</v>
      </c>
      <c r="L159" s="29"/>
      <c r="O159" s="1"/>
    </row>
    <row r="160" spans="1:15" x14ac:dyDescent="0.3">
      <c r="A160" s="1">
        <v>159</v>
      </c>
      <c r="B160" s="8">
        <v>44428.925694444442</v>
      </c>
      <c r="C160" s="1">
        <v>5</v>
      </c>
      <c r="D160" s="1" t="s">
        <v>39</v>
      </c>
      <c r="E160" s="1" t="s">
        <v>27</v>
      </c>
      <c r="H160" s="3">
        <v>475000</v>
      </c>
      <c r="I160" s="1">
        <v>1</v>
      </c>
      <c r="J160" s="1">
        <v>1</v>
      </c>
      <c r="L160" s="29"/>
      <c r="O160" s="1"/>
    </row>
    <row r="161" spans="1:15" x14ac:dyDescent="0.3">
      <c r="A161" s="1">
        <v>160</v>
      </c>
      <c r="B161" s="8">
        <v>44428.956944444442</v>
      </c>
      <c r="C161" s="1">
        <v>10</v>
      </c>
      <c r="D161" s="1" t="s">
        <v>69</v>
      </c>
      <c r="E161" s="1" t="s">
        <v>15</v>
      </c>
      <c r="H161" s="3">
        <v>94000</v>
      </c>
      <c r="I161" s="1">
        <v>1</v>
      </c>
      <c r="J161" s="1">
        <v>1</v>
      </c>
      <c r="L161" s="29"/>
      <c r="O161" s="1"/>
    </row>
    <row r="162" spans="1:15" x14ac:dyDescent="0.3">
      <c r="A162" s="1">
        <v>161</v>
      </c>
      <c r="B162" s="8">
        <v>44429.113194444442</v>
      </c>
      <c r="C162" s="1">
        <v>6</v>
      </c>
      <c r="F162" s="1" t="s">
        <v>593</v>
      </c>
      <c r="G162" s="1">
        <v>24</v>
      </c>
      <c r="H162" s="3">
        <v>1155264</v>
      </c>
      <c r="I162" s="1">
        <v>0</v>
      </c>
      <c r="J162" s="1">
        <v>3</v>
      </c>
      <c r="L162" s="29"/>
      <c r="O162" s="1"/>
    </row>
    <row r="163" spans="1:15" x14ac:dyDescent="0.3">
      <c r="A163" s="1">
        <v>162</v>
      </c>
      <c r="B163" s="8">
        <v>44429.154861111114</v>
      </c>
      <c r="C163" s="1">
        <v>13</v>
      </c>
      <c r="D163" s="1" t="s">
        <v>87</v>
      </c>
      <c r="E163" s="1" t="s">
        <v>57</v>
      </c>
      <c r="H163" s="3">
        <v>234000</v>
      </c>
      <c r="I163" s="1">
        <v>1</v>
      </c>
      <c r="J163" s="1">
        <v>1</v>
      </c>
      <c r="L163" s="29"/>
      <c r="O163" s="1"/>
    </row>
    <row r="164" spans="1:15" x14ac:dyDescent="0.3">
      <c r="A164" s="1">
        <v>163</v>
      </c>
      <c r="B164" s="8">
        <v>44429.243750000001</v>
      </c>
      <c r="C164" s="1">
        <v>10</v>
      </c>
      <c r="D164" s="1" t="s">
        <v>69</v>
      </c>
      <c r="E164" s="1" t="s">
        <v>235</v>
      </c>
      <c r="H164" s="3">
        <v>103000</v>
      </c>
      <c r="I164" s="1">
        <v>1</v>
      </c>
      <c r="J164" s="1">
        <v>1</v>
      </c>
      <c r="L164" s="29"/>
      <c r="O164" s="1"/>
    </row>
    <row r="165" spans="1:15" x14ac:dyDescent="0.3">
      <c r="A165" s="1">
        <v>164</v>
      </c>
      <c r="B165" s="8">
        <v>44429.270138888889</v>
      </c>
      <c r="C165" s="1">
        <v>18</v>
      </c>
      <c r="F165" s="1" t="s">
        <v>624</v>
      </c>
      <c r="G165" s="1">
        <v>8</v>
      </c>
      <c r="H165" s="3">
        <v>1544</v>
      </c>
      <c r="I165" s="1">
        <v>3</v>
      </c>
      <c r="J165" s="1">
        <v>2</v>
      </c>
      <c r="L165" s="29"/>
      <c r="O165" s="1"/>
    </row>
    <row r="166" spans="1:15" x14ac:dyDescent="0.3">
      <c r="A166" s="1">
        <v>165</v>
      </c>
      <c r="B166" s="8">
        <v>44429.659722222219</v>
      </c>
      <c r="C166" s="1">
        <v>6</v>
      </c>
      <c r="D166" s="1" t="s">
        <v>45</v>
      </c>
      <c r="E166" s="1" t="s">
        <v>194</v>
      </c>
      <c r="H166" s="3">
        <v>343000</v>
      </c>
      <c r="I166" s="1">
        <v>1</v>
      </c>
      <c r="J166" s="1">
        <v>1</v>
      </c>
      <c r="L166" s="29"/>
      <c r="O166" s="1"/>
    </row>
    <row r="167" spans="1:15" x14ac:dyDescent="0.3">
      <c r="A167" s="1">
        <v>166</v>
      </c>
      <c r="B167" s="8">
        <v>44429.695833333331</v>
      </c>
      <c r="C167" s="1">
        <v>12</v>
      </c>
      <c r="F167" s="1" t="s">
        <v>619</v>
      </c>
      <c r="G167" s="1">
        <v>2</v>
      </c>
      <c r="H167" s="3">
        <v>2518</v>
      </c>
      <c r="I167" s="1">
        <v>0</v>
      </c>
      <c r="J167" s="1">
        <v>1</v>
      </c>
      <c r="L167" s="29"/>
      <c r="O167" s="1"/>
    </row>
    <row r="168" spans="1:15" x14ac:dyDescent="0.3">
      <c r="A168" s="1">
        <v>167</v>
      </c>
      <c r="B168" s="8">
        <v>44430.179166666669</v>
      </c>
      <c r="C168" s="1">
        <v>13</v>
      </c>
      <c r="F168" s="1" t="s">
        <v>625</v>
      </c>
      <c r="G168" s="1">
        <v>54</v>
      </c>
      <c r="H168" s="3">
        <v>51450</v>
      </c>
      <c r="I168" s="1">
        <v>0</v>
      </c>
      <c r="J168" s="1">
        <v>3</v>
      </c>
      <c r="L168" s="29"/>
      <c r="O168" s="1"/>
    </row>
    <row r="169" spans="1:15" x14ac:dyDescent="0.3">
      <c r="A169" s="1">
        <v>168</v>
      </c>
      <c r="B169" s="8">
        <v>44430.288888888892</v>
      </c>
      <c r="C169" s="1">
        <v>14</v>
      </c>
      <c r="F169" s="1" t="s">
        <v>588</v>
      </c>
      <c r="G169" s="1">
        <v>6</v>
      </c>
      <c r="H169" s="3">
        <v>11319</v>
      </c>
      <c r="I169" s="1">
        <v>0</v>
      </c>
      <c r="J169" s="1">
        <v>3</v>
      </c>
      <c r="L169" s="29"/>
      <c r="O169" s="1"/>
    </row>
    <row r="170" spans="1:15" x14ac:dyDescent="0.3">
      <c r="A170" s="1">
        <v>169</v>
      </c>
      <c r="B170" s="8">
        <v>44430.519444444442</v>
      </c>
      <c r="C170" s="1">
        <v>10</v>
      </c>
      <c r="D170" s="1" t="s">
        <v>69</v>
      </c>
      <c r="E170" s="1" t="s">
        <v>235</v>
      </c>
      <c r="H170" s="3">
        <v>4480</v>
      </c>
      <c r="I170" s="1">
        <v>1</v>
      </c>
      <c r="J170" s="1">
        <v>1</v>
      </c>
      <c r="L170" s="29"/>
      <c r="O170" s="1"/>
    </row>
    <row r="171" spans="1:15" x14ac:dyDescent="0.3">
      <c r="A171" s="1">
        <v>170</v>
      </c>
      <c r="B171" s="8">
        <v>44430.695833333331</v>
      </c>
      <c r="C171" s="1">
        <v>7</v>
      </c>
      <c r="F171" s="1" t="s">
        <v>626</v>
      </c>
      <c r="G171" s="1">
        <v>67</v>
      </c>
      <c r="H171" s="3">
        <v>758470</v>
      </c>
      <c r="I171" s="1">
        <v>0</v>
      </c>
      <c r="J171" s="1">
        <v>6</v>
      </c>
      <c r="L171" s="29"/>
      <c r="O171" s="1"/>
    </row>
    <row r="172" spans="1:15" x14ac:dyDescent="0.3">
      <c r="A172" s="1">
        <v>171</v>
      </c>
      <c r="B172" s="8">
        <v>44430.884722222225</v>
      </c>
      <c r="C172" s="1">
        <v>26</v>
      </c>
      <c r="F172" s="1" t="s">
        <v>595</v>
      </c>
      <c r="G172" s="1">
        <v>37</v>
      </c>
      <c r="H172" s="3">
        <v>230000</v>
      </c>
      <c r="I172" s="1">
        <v>0</v>
      </c>
      <c r="J172" s="1">
        <v>0</v>
      </c>
      <c r="L172" s="29"/>
      <c r="O172" s="1"/>
    </row>
    <row r="173" spans="1:15" x14ac:dyDescent="0.3">
      <c r="A173" s="1">
        <v>172</v>
      </c>
      <c r="B173" s="8">
        <v>44430.913888888892</v>
      </c>
      <c r="C173" s="1">
        <v>10</v>
      </c>
      <c r="F173" s="1" t="s">
        <v>611</v>
      </c>
      <c r="G173" s="1">
        <v>49</v>
      </c>
      <c r="H173" s="3">
        <v>61301</v>
      </c>
      <c r="I173" s="1">
        <v>0</v>
      </c>
      <c r="J173" s="1">
        <v>5</v>
      </c>
      <c r="L173" s="29"/>
      <c r="O173" s="1"/>
    </row>
    <row r="174" spans="1:15" x14ac:dyDescent="0.3">
      <c r="A174" s="1">
        <v>173</v>
      </c>
      <c r="B174" s="8">
        <v>44430.918055555558</v>
      </c>
      <c r="C174" s="1">
        <v>7</v>
      </c>
      <c r="F174" s="1" t="s">
        <v>609</v>
      </c>
      <c r="G174" s="1">
        <v>4</v>
      </c>
      <c r="H174" s="3">
        <v>3800</v>
      </c>
      <c r="I174" s="1">
        <v>0</v>
      </c>
      <c r="J174" s="1">
        <v>0</v>
      </c>
      <c r="L174" s="29"/>
      <c r="O174" s="1"/>
    </row>
    <row r="175" spans="1:15" x14ac:dyDescent="0.3">
      <c r="A175" s="1">
        <v>174</v>
      </c>
      <c r="B175" s="8">
        <v>44430.979861111111</v>
      </c>
      <c r="C175" s="1">
        <v>10</v>
      </c>
      <c r="D175" s="1" t="s">
        <v>69</v>
      </c>
      <c r="E175" s="1" t="s">
        <v>153</v>
      </c>
      <c r="H175" s="3">
        <v>219000</v>
      </c>
      <c r="I175" s="1">
        <v>1</v>
      </c>
      <c r="J175" s="1">
        <v>1</v>
      </c>
      <c r="L175" s="29"/>
      <c r="O175" s="1"/>
    </row>
    <row r="176" spans="1:15" x14ac:dyDescent="0.3">
      <c r="A176" s="1">
        <v>175</v>
      </c>
      <c r="B176" s="8">
        <v>44431.115277777775</v>
      </c>
      <c r="C176" s="1">
        <v>37</v>
      </c>
      <c r="F176" s="1" t="s">
        <v>627</v>
      </c>
      <c r="G176" s="1">
        <v>18</v>
      </c>
      <c r="H176" s="3">
        <v>23800</v>
      </c>
      <c r="I176" s="1">
        <v>0</v>
      </c>
      <c r="J176" s="1">
        <v>3</v>
      </c>
      <c r="L176" s="29"/>
      <c r="O176" s="1"/>
    </row>
    <row r="177" spans="1:15" x14ac:dyDescent="0.3">
      <c r="A177" s="1">
        <v>176</v>
      </c>
      <c r="B177" s="8">
        <v>44431.138194444444</v>
      </c>
      <c r="C177" s="1">
        <v>12</v>
      </c>
      <c r="F177" s="1" t="s">
        <v>619</v>
      </c>
      <c r="G177" s="1">
        <v>28</v>
      </c>
      <c r="H177" s="3">
        <v>30421</v>
      </c>
      <c r="I177" s="1">
        <v>0</v>
      </c>
      <c r="J177" s="1">
        <v>2</v>
      </c>
      <c r="L177" s="29"/>
      <c r="O177" s="1"/>
    </row>
    <row r="178" spans="1:15" x14ac:dyDescent="0.3">
      <c r="A178" s="1">
        <v>177</v>
      </c>
      <c r="B178" s="8">
        <v>44431.29583333333</v>
      </c>
      <c r="C178" s="1">
        <v>12</v>
      </c>
      <c r="F178" s="1" t="s">
        <v>602</v>
      </c>
      <c r="G178" s="1">
        <v>16</v>
      </c>
      <c r="H178" s="3">
        <v>101871</v>
      </c>
      <c r="I178" s="1">
        <v>0</v>
      </c>
      <c r="J178" s="1">
        <v>1</v>
      </c>
      <c r="L178" s="29"/>
      <c r="O178" s="1"/>
    </row>
    <row r="179" spans="1:15" x14ac:dyDescent="0.3">
      <c r="A179" s="1">
        <v>178</v>
      </c>
      <c r="B179" s="8">
        <v>44431.376388888886</v>
      </c>
      <c r="C179" s="1">
        <v>5</v>
      </c>
      <c r="F179" s="1" t="s">
        <v>589</v>
      </c>
      <c r="G179" s="1">
        <v>77</v>
      </c>
      <c r="H179" s="3">
        <v>1245761</v>
      </c>
      <c r="I179" s="1">
        <v>0</v>
      </c>
      <c r="J179" s="1">
        <v>11</v>
      </c>
      <c r="L179" s="29"/>
      <c r="O179" s="1"/>
    </row>
    <row r="180" spans="1:15" x14ac:dyDescent="0.3">
      <c r="A180" s="1">
        <v>179</v>
      </c>
      <c r="B180" s="8">
        <v>44431.446527777778</v>
      </c>
      <c r="C180" s="1">
        <v>32</v>
      </c>
      <c r="D180" s="1" t="s">
        <v>200</v>
      </c>
      <c r="E180" s="1" t="s">
        <v>211</v>
      </c>
      <c r="H180" s="3">
        <v>456000</v>
      </c>
      <c r="I180" s="1">
        <v>1</v>
      </c>
      <c r="J180" s="1">
        <v>1</v>
      </c>
      <c r="L180" s="29"/>
      <c r="O180" s="1"/>
    </row>
    <row r="181" spans="1:15" x14ac:dyDescent="0.3">
      <c r="A181" s="1">
        <v>180</v>
      </c>
      <c r="B181" s="8">
        <v>44431.457638888889</v>
      </c>
      <c r="C181" s="1">
        <v>33</v>
      </c>
      <c r="F181" s="1" t="s">
        <v>587</v>
      </c>
      <c r="G181" s="1">
        <v>30</v>
      </c>
      <c r="H181" s="3">
        <v>225351</v>
      </c>
      <c r="I181" s="1">
        <v>0</v>
      </c>
      <c r="J181" s="1">
        <v>2</v>
      </c>
      <c r="L181" s="29"/>
      <c r="O181" s="1"/>
    </row>
    <row r="182" spans="1:15" x14ac:dyDescent="0.3">
      <c r="A182" s="1">
        <v>181</v>
      </c>
      <c r="B182" s="8">
        <v>44431.537499999999</v>
      </c>
      <c r="C182" s="1">
        <v>30</v>
      </c>
      <c r="F182" s="1" t="s">
        <v>628</v>
      </c>
      <c r="G182" s="1">
        <v>9</v>
      </c>
      <c r="H182" s="3">
        <v>33991</v>
      </c>
      <c r="I182" s="1">
        <v>0</v>
      </c>
      <c r="J182" s="1">
        <v>1</v>
      </c>
      <c r="L182" s="29"/>
      <c r="O182" s="1"/>
    </row>
    <row r="183" spans="1:15" x14ac:dyDescent="0.3">
      <c r="A183" s="1">
        <v>182</v>
      </c>
      <c r="B183" s="8">
        <v>44431.538888888892</v>
      </c>
      <c r="C183" s="1">
        <v>12</v>
      </c>
      <c r="D183" s="1" t="s">
        <v>81</v>
      </c>
      <c r="E183" s="1" t="s">
        <v>183</v>
      </c>
      <c r="H183" s="3">
        <v>50000</v>
      </c>
      <c r="I183" s="1">
        <v>1</v>
      </c>
      <c r="J183" s="1">
        <v>1</v>
      </c>
      <c r="L183" s="29"/>
      <c r="O183" s="1"/>
    </row>
    <row r="184" spans="1:15" x14ac:dyDescent="0.3">
      <c r="A184" s="1">
        <v>183</v>
      </c>
      <c r="B184" s="8">
        <v>44431.739583333336</v>
      </c>
      <c r="C184" s="1">
        <v>3</v>
      </c>
      <c r="D184" s="1" t="s">
        <v>27</v>
      </c>
      <c r="E184" s="1" t="s">
        <v>39</v>
      </c>
      <c r="H184" s="3">
        <v>12000</v>
      </c>
      <c r="I184" s="1">
        <v>1</v>
      </c>
      <c r="J184" s="1">
        <v>1</v>
      </c>
      <c r="L184" s="29"/>
      <c r="O184" s="1"/>
    </row>
    <row r="185" spans="1:15" x14ac:dyDescent="0.3">
      <c r="A185" s="1">
        <v>184</v>
      </c>
      <c r="B185" s="8">
        <v>44431.974305555559</v>
      </c>
      <c r="C185" s="1">
        <v>5</v>
      </c>
      <c r="D185" s="1" t="s">
        <v>39</v>
      </c>
      <c r="E185" s="1" t="s">
        <v>188</v>
      </c>
      <c r="H185" s="3">
        <v>347000</v>
      </c>
      <c r="I185" s="1">
        <v>1</v>
      </c>
      <c r="J185" s="1">
        <v>1</v>
      </c>
      <c r="L185" s="29"/>
      <c r="O185" s="1"/>
    </row>
    <row r="186" spans="1:15" x14ac:dyDescent="0.3">
      <c r="A186" s="1">
        <v>185</v>
      </c>
      <c r="B186" s="8">
        <v>44431.974305555559</v>
      </c>
      <c r="C186" s="1">
        <v>13</v>
      </c>
      <c r="F186" s="1" t="s">
        <v>625</v>
      </c>
      <c r="G186" s="1">
        <v>32</v>
      </c>
      <c r="H186" s="3">
        <v>822171</v>
      </c>
      <c r="I186" s="1">
        <v>0</v>
      </c>
      <c r="J186" s="1">
        <v>3</v>
      </c>
      <c r="L186" s="29"/>
      <c r="O186" s="1"/>
    </row>
    <row r="187" spans="1:15" x14ac:dyDescent="0.3">
      <c r="A187" s="1">
        <v>186</v>
      </c>
      <c r="B187" s="8">
        <v>44432.055555555555</v>
      </c>
      <c r="C187" s="1">
        <v>29</v>
      </c>
      <c r="D187" s="1" t="s">
        <v>183</v>
      </c>
      <c r="E187" s="1" t="s">
        <v>206</v>
      </c>
      <c r="H187" s="3">
        <v>370000</v>
      </c>
      <c r="I187" s="1">
        <v>1</v>
      </c>
      <c r="J187" s="1">
        <v>1</v>
      </c>
      <c r="L187" s="29"/>
      <c r="O187" s="1"/>
    </row>
    <row r="188" spans="1:15" x14ac:dyDescent="0.3">
      <c r="A188" s="1">
        <v>187</v>
      </c>
      <c r="B188" s="8">
        <v>44432.095833333333</v>
      </c>
      <c r="C188" s="1">
        <v>12</v>
      </c>
      <c r="F188" s="1" t="s">
        <v>619</v>
      </c>
      <c r="G188" s="1">
        <v>21</v>
      </c>
      <c r="H188" s="3">
        <v>19931</v>
      </c>
      <c r="I188" s="1">
        <v>0</v>
      </c>
      <c r="J188" s="1">
        <v>1</v>
      </c>
      <c r="L188" s="29"/>
      <c r="O188" s="1"/>
    </row>
    <row r="189" spans="1:15" x14ac:dyDescent="0.3">
      <c r="A189" s="1">
        <v>188</v>
      </c>
      <c r="B189" s="8">
        <v>44432.109722222223</v>
      </c>
      <c r="C189" s="1">
        <v>11</v>
      </c>
      <c r="D189" s="1" t="s">
        <v>75</v>
      </c>
      <c r="E189" s="1" t="s">
        <v>81</v>
      </c>
      <c r="H189" s="3">
        <v>160000</v>
      </c>
      <c r="I189" s="1">
        <v>1</v>
      </c>
      <c r="J189" s="1">
        <v>1</v>
      </c>
      <c r="L189" s="29"/>
      <c r="O189" s="1"/>
    </row>
    <row r="190" spans="1:15" x14ac:dyDescent="0.3">
      <c r="A190" s="1">
        <v>189</v>
      </c>
      <c r="B190" s="8">
        <v>44432.170138888891</v>
      </c>
      <c r="C190" s="1">
        <v>12</v>
      </c>
      <c r="F190" s="1" t="s">
        <v>619</v>
      </c>
      <c r="G190" s="1">
        <v>53</v>
      </c>
      <c r="H190" s="3">
        <v>87801</v>
      </c>
      <c r="I190" s="1">
        <v>0</v>
      </c>
      <c r="J190" s="1">
        <v>3</v>
      </c>
      <c r="L190" s="29"/>
      <c r="O190" s="1"/>
    </row>
    <row r="191" spans="1:15" x14ac:dyDescent="0.3">
      <c r="A191" s="1">
        <v>190</v>
      </c>
      <c r="B191" s="8">
        <v>44432.245138888888</v>
      </c>
      <c r="C191" s="1">
        <v>7</v>
      </c>
      <c r="F191" s="1" t="s">
        <v>626</v>
      </c>
      <c r="G191" s="1">
        <v>37</v>
      </c>
      <c r="H191" s="3">
        <v>230000</v>
      </c>
      <c r="I191" s="1">
        <v>0</v>
      </c>
      <c r="J191" s="1">
        <v>0</v>
      </c>
      <c r="L191" s="29"/>
      <c r="O191" s="1"/>
    </row>
    <row r="192" spans="1:15" x14ac:dyDescent="0.3">
      <c r="A192" s="1">
        <v>191</v>
      </c>
      <c r="B192" s="8">
        <v>44432.271527777775</v>
      </c>
      <c r="C192" s="1">
        <v>34</v>
      </c>
      <c r="D192" s="1" t="s">
        <v>211</v>
      </c>
      <c r="E192" s="1" t="s">
        <v>171</v>
      </c>
      <c r="H192" s="3">
        <v>210000</v>
      </c>
      <c r="I192" s="1">
        <v>1</v>
      </c>
      <c r="J192" s="1">
        <v>1</v>
      </c>
      <c r="L192" s="29"/>
      <c r="O192" s="1"/>
    </row>
    <row r="193" spans="1:15" x14ac:dyDescent="0.3">
      <c r="A193" s="1">
        <v>192</v>
      </c>
      <c r="B193" s="8">
        <v>44432.273611111108</v>
      </c>
      <c r="C193" s="1">
        <v>33</v>
      </c>
      <c r="D193" s="1" t="s">
        <v>206</v>
      </c>
      <c r="E193" s="1" t="s">
        <v>217</v>
      </c>
      <c r="H193" s="3">
        <v>471000</v>
      </c>
      <c r="I193" s="1">
        <v>1</v>
      </c>
      <c r="J193" s="1">
        <v>1</v>
      </c>
      <c r="L193" s="29"/>
      <c r="O193" s="1"/>
    </row>
    <row r="194" spans="1:15" x14ac:dyDescent="0.3">
      <c r="A194" s="1">
        <v>193</v>
      </c>
      <c r="B194" s="8">
        <v>44432.347222222219</v>
      </c>
      <c r="C194" s="1">
        <v>11</v>
      </c>
      <c r="D194" s="1" t="s">
        <v>75</v>
      </c>
      <c r="E194" s="1" t="s">
        <v>117</v>
      </c>
      <c r="H194" s="3">
        <v>250000</v>
      </c>
      <c r="I194" s="1">
        <v>1</v>
      </c>
      <c r="J194" s="1">
        <v>1</v>
      </c>
      <c r="L194" s="29"/>
      <c r="O194" s="1"/>
    </row>
    <row r="195" spans="1:15" x14ac:dyDescent="0.3">
      <c r="A195" s="1">
        <v>194</v>
      </c>
      <c r="B195" s="8">
        <v>44432.646527777775</v>
      </c>
      <c r="C195" s="1">
        <v>14</v>
      </c>
      <c r="F195" s="1" t="s">
        <v>588</v>
      </c>
      <c r="G195" s="1">
        <v>34</v>
      </c>
      <c r="H195" s="3">
        <v>77175</v>
      </c>
      <c r="I195" s="1">
        <v>0</v>
      </c>
      <c r="J195" s="1">
        <v>3</v>
      </c>
      <c r="L195" s="29"/>
      <c r="O195" s="1"/>
    </row>
    <row r="196" spans="1:15" x14ac:dyDescent="0.3">
      <c r="A196" s="1">
        <v>195</v>
      </c>
      <c r="B196" s="8">
        <v>44432.894444444442</v>
      </c>
      <c r="C196" s="1">
        <v>5</v>
      </c>
      <c r="D196" s="1" t="s">
        <v>39</v>
      </c>
      <c r="E196" s="1" t="s">
        <v>57</v>
      </c>
      <c r="H196" s="3">
        <v>41000</v>
      </c>
      <c r="I196" s="1">
        <v>1</v>
      </c>
      <c r="J196" s="1">
        <v>1</v>
      </c>
      <c r="L196" s="29"/>
      <c r="O196" s="1"/>
    </row>
    <row r="197" spans="1:15" x14ac:dyDescent="0.3">
      <c r="A197" s="1">
        <v>196</v>
      </c>
      <c r="B197" s="8">
        <v>44432.912499999999</v>
      </c>
      <c r="C197" s="1">
        <v>2</v>
      </c>
      <c r="F197" s="1" t="s">
        <v>629</v>
      </c>
      <c r="G197" s="1">
        <v>3</v>
      </c>
      <c r="H197" s="3">
        <v>6200</v>
      </c>
      <c r="I197" s="1">
        <v>0</v>
      </c>
      <c r="J197" s="1">
        <v>0</v>
      </c>
      <c r="L197" s="29"/>
      <c r="O197" s="1"/>
    </row>
    <row r="198" spans="1:15" x14ac:dyDescent="0.3">
      <c r="A198" s="1">
        <v>197</v>
      </c>
      <c r="B198" s="8">
        <v>44433.230555555558</v>
      </c>
      <c r="C198" s="1">
        <v>40</v>
      </c>
      <c r="D198" s="1" t="s">
        <v>247</v>
      </c>
      <c r="E198" s="1" t="s">
        <v>15</v>
      </c>
      <c r="H198" s="3">
        <v>341000</v>
      </c>
      <c r="I198" s="1">
        <v>1</v>
      </c>
      <c r="J198" s="1">
        <v>1</v>
      </c>
      <c r="L198" s="29"/>
      <c r="O198" s="1"/>
    </row>
    <row r="199" spans="1:15" x14ac:dyDescent="0.3">
      <c r="A199" s="1">
        <v>198</v>
      </c>
      <c r="B199" s="8">
        <v>44433.386111111111</v>
      </c>
      <c r="C199" s="1">
        <v>39</v>
      </c>
      <c r="F199" s="1" t="s">
        <v>630</v>
      </c>
      <c r="G199" s="1">
        <v>7</v>
      </c>
      <c r="H199" s="3">
        <v>12000</v>
      </c>
      <c r="I199" s="1">
        <v>0</v>
      </c>
      <c r="J199" s="1">
        <v>0</v>
      </c>
      <c r="L199" s="29"/>
      <c r="O199" s="1"/>
    </row>
    <row r="200" spans="1:15" x14ac:dyDescent="0.3">
      <c r="A200" s="1">
        <v>199</v>
      </c>
      <c r="B200" s="8">
        <v>44433.42291666667</v>
      </c>
      <c r="C200" s="1">
        <v>31</v>
      </c>
      <c r="D200" s="1" t="s">
        <v>194</v>
      </c>
      <c r="E200" s="1" t="s">
        <v>188</v>
      </c>
      <c r="H200" s="3">
        <v>381000</v>
      </c>
      <c r="I200" s="1">
        <v>1</v>
      </c>
      <c r="J200" s="1">
        <v>1</v>
      </c>
      <c r="L200" s="29"/>
      <c r="O200" s="1"/>
    </row>
    <row r="201" spans="1:15" x14ac:dyDescent="0.3">
      <c r="A201" s="1">
        <v>200</v>
      </c>
      <c r="B201" s="8">
        <v>44433.584027777775</v>
      </c>
      <c r="C201" s="1">
        <v>6</v>
      </c>
      <c r="F201" s="1" t="s">
        <v>590</v>
      </c>
      <c r="G201" s="1">
        <v>34</v>
      </c>
      <c r="H201" s="3">
        <v>77925</v>
      </c>
      <c r="I201" s="1">
        <v>0</v>
      </c>
      <c r="J201" s="1">
        <v>6</v>
      </c>
      <c r="L201" s="29"/>
      <c r="O201" s="1"/>
    </row>
    <row r="202" spans="1:15" x14ac:dyDescent="0.3">
      <c r="A202" s="1">
        <v>201</v>
      </c>
      <c r="B202" s="8">
        <v>44433.602083333331</v>
      </c>
      <c r="C202" s="1">
        <v>24</v>
      </c>
      <c r="D202" s="1" t="s">
        <v>153</v>
      </c>
      <c r="E202" s="1" t="s">
        <v>200</v>
      </c>
      <c r="H202" s="3">
        <v>367000</v>
      </c>
      <c r="I202" s="1">
        <v>1</v>
      </c>
      <c r="J202" s="1">
        <v>1</v>
      </c>
      <c r="L202" s="29"/>
      <c r="O202" s="1"/>
    </row>
    <row r="203" spans="1:15" x14ac:dyDescent="0.3">
      <c r="A203" s="1">
        <v>202</v>
      </c>
      <c r="B203" s="8">
        <v>44433.756944444445</v>
      </c>
      <c r="C203" s="1">
        <v>36</v>
      </c>
      <c r="D203" s="1" t="s">
        <v>223</v>
      </c>
      <c r="E203" s="1" t="s">
        <v>235</v>
      </c>
      <c r="H203" s="3">
        <v>129000</v>
      </c>
      <c r="I203" s="1">
        <v>1</v>
      </c>
      <c r="J203" s="1">
        <v>1</v>
      </c>
      <c r="L203" s="29"/>
      <c r="O203" s="1"/>
    </row>
    <row r="204" spans="1:15" x14ac:dyDescent="0.3">
      <c r="A204" s="1">
        <v>203</v>
      </c>
      <c r="B204" s="8">
        <v>44433.813888888886</v>
      </c>
      <c r="C204" s="1">
        <v>1</v>
      </c>
      <c r="D204" s="1" t="s">
        <v>15</v>
      </c>
      <c r="E204" s="1" t="s">
        <v>194</v>
      </c>
      <c r="H204" s="3">
        <v>16000</v>
      </c>
      <c r="I204" s="1">
        <v>1</v>
      </c>
      <c r="J204" s="1">
        <v>1</v>
      </c>
      <c r="L204" s="29"/>
      <c r="O204" s="1"/>
    </row>
    <row r="205" spans="1:15" x14ac:dyDescent="0.3">
      <c r="A205" s="1">
        <v>204</v>
      </c>
      <c r="B205" s="8">
        <v>44434.059027777781</v>
      </c>
      <c r="C205" s="1">
        <v>35</v>
      </c>
      <c r="D205" s="1" t="s">
        <v>217</v>
      </c>
      <c r="E205" s="1" t="s">
        <v>45</v>
      </c>
      <c r="H205" s="3">
        <v>233000</v>
      </c>
      <c r="I205" s="1">
        <v>1</v>
      </c>
      <c r="J205" s="1">
        <v>1</v>
      </c>
      <c r="L205" s="29"/>
      <c r="O205" s="1"/>
    </row>
    <row r="206" spans="1:15" x14ac:dyDescent="0.3">
      <c r="A206" s="1">
        <v>205</v>
      </c>
      <c r="B206" s="8">
        <v>44434.066666666666</v>
      </c>
      <c r="C206" s="1">
        <v>19</v>
      </c>
      <c r="F206" s="1" t="s">
        <v>612</v>
      </c>
      <c r="G206" s="1">
        <v>10</v>
      </c>
      <c r="H206" s="3">
        <v>28900</v>
      </c>
      <c r="I206" s="1">
        <v>0</v>
      </c>
      <c r="J206" s="1">
        <v>0</v>
      </c>
      <c r="L206" s="29"/>
      <c r="O206" s="1"/>
    </row>
    <row r="207" spans="1:15" x14ac:dyDescent="0.3">
      <c r="A207" s="1">
        <v>206</v>
      </c>
      <c r="B207" s="8">
        <v>44434.175000000003</v>
      </c>
      <c r="C207" s="1">
        <v>21</v>
      </c>
      <c r="D207" s="1" t="s">
        <v>135</v>
      </c>
      <c r="E207" s="1" t="s">
        <v>247</v>
      </c>
      <c r="H207" s="3">
        <v>453000</v>
      </c>
      <c r="I207" s="1">
        <v>1</v>
      </c>
      <c r="J207" s="1">
        <v>1</v>
      </c>
      <c r="L207" s="29"/>
      <c r="O207" s="1"/>
    </row>
    <row r="208" spans="1:15" x14ac:dyDescent="0.3">
      <c r="A208" s="1">
        <v>207</v>
      </c>
      <c r="B208" s="8">
        <v>44434.335416666669</v>
      </c>
      <c r="C208" s="1">
        <v>19</v>
      </c>
      <c r="F208" s="1" t="s">
        <v>612</v>
      </c>
      <c r="G208" s="1">
        <v>17</v>
      </c>
      <c r="H208" s="3">
        <v>123377</v>
      </c>
      <c r="I208" s="1">
        <v>0</v>
      </c>
      <c r="J208" s="1">
        <v>1</v>
      </c>
      <c r="L208" s="29"/>
      <c r="O208" s="1"/>
    </row>
    <row r="209" spans="1:15" x14ac:dyDescent="0.3">
      <c r="A209" s="1">
        <v>208</v>
      </c>
      <c r="B209" s="8">
        <v>44434.352777777778</v>
      </c>
      <c r="C209" s="1">
        <v>6</v>
      </c>
      <c r="D209" s="1" t="s">
        <v>45</v>
      </c>
      <c r="E209" s="1" t="s">
        <v>123</v>
      </c>
      <c r="H209" s="3">
        <v>389000</v>
      </c>
      <c r="I209" s="1">
        <v>1</v>
      </c>
      <c r="J209" s="1">
        <v>1</v>
      </c>
      <c r="L209" s="29"/>
      <c r="O209" s="1"/>
    </row>
    <row r="210" spans="1:15" x14ac:dyDescent="0.3">
      <c r="A210" s="1">
        <v>209</v>
      </c>
      <c r="B210" s="8">
        <v>44434.449305555558</v>
      </c>
      <c r="C210" s="1">
        <v>10</v>
      </c>
      <c r="F210" s="1" t="s">
        <v>606</v>
      </c>
      <c r="G210" s="1">
        <v>13</v>
      </c>
      <c r="H210" s="3">
        <v>35705</v>
      </c>
      <c r="I210" s="1">
        <v>0</v>
      </c>
      <c r="J210" s="1">
        <v>1</v>
      </c>
      <c r="L210" s="29"/>
      <c r="O210" s="1"/>
    </row>
    <row r="211" spans="1:15" x14ac:dyDescent="0.3">
      <c r="A211" s="1">
        <v>210</v>
      </c>
      <c r="B211" s="8">
        <v>44434.461111111108</v>
      </c>
      <c r="C211" s="1">
        <v>35</v>
      </c>
      <c r="F211" s="1" t="s">
        <v>618</v>
      </c>
      <c r="G211" s="1">
        <v>6</v>
      </c>
      <c r="H211" s="3">
        <v>11000</v>
      </c>
      <c r="I211" s="1">
        <v>0</v>
      </c>
      <c r="J211" s="1">
        <v>0</v>
      </c>
      <c r="L211" s="29"/>
      <c r="O211" s="1"/>
    </row>
    <row r="212" spans="1:15" x14ac:dyDescent="0.3">
      <c r="A212" s="1">
        <v>211</v>
      </c>
      <c r="B212" s="8">
        <v>44434.657638888886</v>
      </c>
      <c r="C212" s="1">
        <v>35</v>
      </c>
      <c r="D212" s="1" t="s">
        <v>217</v>
      </c>
      <c r="E212" s="1" t="s">
        <v>206</v>
      </c>
      <c r="H212" s="3">
        <v>496000</v>
      </c>
      <c r="I212" s="1">
        <v>1</v>
      </c>
      <c r="J212" s="1">
        <v>1</v>
      </c>
      <c r="L212" s="29"/>
      <c r="O212" s="1"/>
    </row>
    <row r="213" spans="1:15" x14ac:dyDescent="0.3">
      <c r="A213" s="1">
        <v>212</v>
      </c>
      <c r="B213" s="8">
        <v>44434.689583333333</v>
      </c>
      <c r="C213" s="1">
        <v>7</v>
      </c>
      <c r="D213" s="1" t="s">
        <v>51</v>
      </c>
      <c r="E213" s="1" t="s">
        <v>171</v>
      </c>
      <c r="H213" s="3">
        <v>31000</v>
      </c>
      <c r="I213" s="1">
        <v>1</v>
      </c>
      <c r="J213" s="1">
        <v>1</v>
      </c>
      <c r="L213" s="29"/>
      <c r="O213" s="1"/>
    </row>
    <row r="214" spans="1:15" x14ac:dyDescent="0.3">
      <c r="A214" s="1">
        <v>213</v>
      </c>
      <c r="B214" s="8">
        <v>44434.868750000001</v>
      </c>
      <c r="C214" s="1">
        <v>7</v>
      </c>
      <c r="D214" s="1" t="s">
        <v>51</v>
      </c>
      <c r="E214" s="1" t="s">
        <v>223</v>
      </c>
      <c r="H214" s="3">
        <v>474000</v>
      </c>
      <c r="I214" s="1">
        <v>1</v>
      </c>
      <c r="J214" s="1">
        <v>1</v>
      </c>
      <c r="L214" s="29"/>
      <c r="O214" s="1"/>
    </row>
    <row r="215" spans="1:15" x14ac:dyDescent="0.3">
      <c r="A215" s="1">
        <v>214</v>
      </c>
      <c r="B215" s="8">
        <v>44434.979861111111</v>
      </c>
      <c r="C215" s="1">
        <v>39</v>
      </c>
      <c r="F215" s="1" t="s">
        <v>630</v>
      </c>
      <c r="G215" s="1">
        <v>12</v>
      </c>
      <c r="H215" s="3">
        <v>45700</v>
      </c>
      <c r="I215" s="1">
        <v>0</v>
      </c>
      <c r="J215" s="1">
        <v>0</v>
      </c>
      <c r="L215" s="29"/>
      <c r="O215" s="1"/>
    </row>
    <row r="216" spans="1:15" x14ac:dyDescent="0.3">
      <c r="A216" s="1">
        <v>215</v>
      </c>
      <c r="B216" s="8">
        <v>44436.12777777778</v>
      </c>
      <c r="C216" s="1">
        <v>33</v>
      </c>
      <c r="F216" s="1" t="s">
        <v>587</v>
      </c>
      <c r="G216" s="1">
        <v>45</v>
      </c>
      <c r="H216" s="3">
        <v>2477491</v>
      </c>
      <c r="I216" s="1">
        <v>0</v>
      </c>
      <c r="J216" s="1">
        <v>3</v>
      </c>
      <c r="L216" s="29"/>
      <c r="O216" s="1"/>
    </row>
    <row r="217" spans="1:15" x14ac:dyDescent="0.3">
      <c r="A217" s="1">
        <v>216</v>
      </c>
      <c r="B217" s="8">
        <v>44436.302083333336</v>
      </c>
      <c r="C217" s="1">
        <v>12</v>
      </c>
      <c r="F217" s="1" t="s">
        <v>619</v>
      </c>
      <c r="G217" s="1">
        <v>12</v>
      </c>
      <c r="H217" s="3">
        <v>47939</v>
      </c>
      <c r="I217" s="1">
        <v>0</v>
      </c>
      <c r="J217" s="1">
        <v>3</v>
      </c>
      <c r="L217" s="29"/>
      <c r="O217" s="1"/>
    </row>
    <row r="218" spans="1:15" x14ac:dyDescent="0.3">
      <c r="A218" s="1">
        <v>217</v>
      </c>
      <c r="B218" s="8">
        <v>44436.428472222222</v>
      </c>
      <c r="C218" s="1">
        <v>17</v>
      </c>
      <c r="D218" s="1" t="s">
        <v>111</v>
      </c>
      <c r="E218" s="1" t="s">
        <v>235</v>
      </c>
      <c r="H218" s="3">
        <v>372000</v>
      </c>
      <c r="I218" s="1">
        <v>1</v>
      </c>
      <c r="J218" s="1">
        <v>1</v>
      </c>
      <c r="L218" s="29"/>
      <c r="O218" s="1"/>
    </row>
    <row r="219" spans="1:15" x14ac:dyDescent="0.3">
      <c r="A219" s="1">
        <v>218</v>
      </c>
      <c r="B219" s="8">
        <v>44436.470138888886</v>
      </c>
      <c r="C219" s="1">
        <v>5</v>
      </c>
      <c r="D219" s="1" t="s">
        <v>39</v>
      </c>
      <c r="E219" s="1" t="s">
        <v>69</v>
      </c>
      <c r="H219" s="3">
        <v>35000</v>
      </c>
      <c r="I219" s="1">
        <v>1</v>
      </c>
      <c r="J219" s="1">
        <v>1</v>
      </c>
      <c r="L219" s="29"/>
      <c r="O219" s="1"/>
    </row>
    <row r="220" spans="1:15" x14ac:dyDescent="0.3">
      <c r="A220" s="1">
        <v>219</v>
      </c>
      <c r="B220" s="8">
        <v>44436.522222222222</v>
      </c>
      <c r="C220" s="1">
        <v>2</v>
      </c>
      <c r="D220" s="1" t="s">
        <v>15</v>
      </c>
      <c r="E220" s="1" t="s">
        <v>27</v>
      </c>
      <c r="H220" s="3">
        <v>363000</v>
      </c>
      <c r="I220" s="1">
        <v>1</v>
      </c>
      <c r="J220" s="1">
        <v>1</v>
      </c>
      <c r="L220" s="29"/>
      <c r="O220" s="1"/>
    </row>
    <row r="221" spans="1:15" x14ac:dyDescent="0.3">
      <c r="A221" s="1">
        <v>220</v>
      </c>
      <c r="B221" s="8">
        <v>44436.558333333334</v>
      </c>
      <c r="C221" s="1">
        <v>13</v>
      </c>
      <c r="F221" s="1" t="s">
        <v>631</v>
      </c>
      <c r="G221" s="1">
        <v>84</v>
      </c>
      <c r="H221" s="3">
        <v>81616</v>
      </c>
      <c r="I221" s="1">
        <v>0</v>
      </c>
      <c r="J221" s="1">
        <v>4</v>
      </c>
      <c r="L221" s="29"/>
      <c r="O221" s="1"/>
    </row>
    <row r="222" spans="1:15" x14ac:dyDescent="0.3">
      <c r="A222" s="1">
        <v>221</v>
      </c>
      <c r="B222" s="8">
        <v>44436.929861111108</v>
      </c>
      <c r="C222" s="1">
        <v>29</v>
      </c>
      <c r="D222" s="1" t="s">
        <v>183</v>
      </c>
      <c r="E222" s="1" t="s">
        <v>159</v>
      </c>
      <c r="H222" s="3">
        <v>486000</v>
      </c>
      <c r="I222" s="1">
        <v>1</v>
      </c>
      <c r="J222" s="1">
        <v>1</v>
      </c>
      <c r="L222" s="29"/>
      <c r="O222" s="1"/>
    </row>
    <row r="223" spans="1:15" x14ac:dyDescent="0.3">
      <c r="A223" s="1">
        <v>222</v>
      </c>
      <c r="B223" s="8">
        <v>44436.975694444445</v>
      </c>
      <c r="C223" s="1">
        <v>13</v>
      </c>
      <c r="D223" s="1" t="s">
        <v>87</v>
      </c>
      <c r="E223" s="1" t="s">
        <v>75</v>
      </c>
      <c r="H223" s="3">
        <v>465000</v>
      </c>
      <c r="I223" s="1">
        <v>1</v>
      </c>
      <c r="J223" s="1">
        <v>1</v>
      </c>
      <c r="L223" s="29"/>
      <c r="O223" s="1"/>
    </row>
    <row r="224" spans="1:15" x14ac:dyDescent="0.3">
      <c r="A224" s="1">
        <v>223</v>
      </c>
      <c r="B224" s="8">
        <v>44437.061805555553</v>
      </c>
      <c r="C224" s="1">
        <v>5</v>
      </c>
      <c r="D224" s="1" t="s">
        <v>39</v>
      </c>
      <c r="E224" s="1" t="s">
        <v>117</v>
      </c>
      <c r="H224" s="3">
        <v>126000</v>
      </c>
      <c r="I224" s="1">
        <v>1</v>
      </c>
      <c r="J224" s="1">
        <v>1</v>
      </c>
      <c r="L224" s="29"/>
      <c r="O224" s="1"/>
    </row>
    <row r="225" spans="1:15" x14ac:dyDescent="0.3">
      <c r="A225" s="1">
        <v>224</v>
      </c>
      <c r="B225" s="8">
        <v>44437.15347222222</v>
      </c>
      <c r="C225" s="1">
        <v>38</v>
      </c>
      <c r="F225" s="1" t="s">
        <v>599</v>
      </c>
      <c r="G225" s="1">
        <v>39</v>
      </c>
      <c r="H225" s="3">
        <v>1530478</v>
      </c>
      <c r="I225" s="1">
        <v>0</v>
      </c>
      <c r="J225" s="1">
        <v>0</v>
      </c>
      <c r="L225" s="29"/>
      <c r="O225" s="1"/>
    </row>
    <row r="226" spans="1:15" x14ac:dyDescent="0.3">
      <c r="A226" s="1">
        <v>225</v>
      </c>
      <c r="B226" s="8">
        <v>44437.202777777777</v>
      </c>
      <c r="C226" s="1">
        <v>31</v>
      </c>
      <c r="F226" s="1" t="s">
        <v>632</v>
      </c>
      <c r="G226" s="1">
        <v>64</v>
      </c>
      <c r="H226" s="3">
        <v>18250</v>
      </c>
      <c r="I226" s="1">
        <v>0</v>
      </c>
      <c r="J226" s="1">
        <v>1</v>
      </c>
      <c r="L226" s="29"/>
      <c r="O226" s="1"/>
    </row>
    <row r="227" spans="1:15" x14ac:dyDescent="0.3">
      <c r="A227" s="1">
        <v>226</v>
      </c>
      <c r="B227" s="8">
        <v>44437.22152777778</v>
      </c>
      <c r="C227" s="1">
        <v>15</v>
      </c>
      <c r="F227" s="1" t="s">
        <v>597</v>
      </c>
      <c r="G227" s="1">
        <v>7</v>
      </c>
      <c r="H227" s="3">
        <v>12000</v>
      </c>
      <c r="I227" s="1">
        <v>0</v>
      </c>
      <c r="J227" s="1">
        <v>0</v>
      </c>
      <c r="L227" s="29"/>
      <c r="O227" s="1"/>
    </row>
    <row r="228" spans="1:15" x14ac:dyDescent="0.3">
      <c r="A228" s="1">
        <v>227</v>
      </c>
      <c r="B228" s="8">
        <v>44437.30972222222</v>
      </c>
      <c r="C228" s="1">
        <v>37</v>
      </c>
      <c r="D228" s="1" t="s">
        <v>229</v>
      </c>
      <c r="E228" s="1" t="s">
        <v>57</v>
      </c>
      <c r="H228" s="3">
        <v>478000</v>
      </c>
      <c r="I228" s="1">
        <v>1</v>
      </c>
      <c r="J228" s="1">
        <v>1</v>
      </c>
      <c r="L228" s="29"/>
      <c r="O228" s="1"/>
    </row>
    <row r="229" spans="1:15" x14ac:dyDescent="0.3">
      <c r="A229" s="1">
        <v>228</v>
      </c>
      <c r="B229" s="8">
        <v>44437.359027777777</v>
      </c>
      <c r="C229" s="1">
        <v>3</v>
      </c>
      <c r="D229" s="1" t="s">
        <v>27</v>
      </c>
      <c r="E229" s="1" t="s">
        <v>75</v>
      </c>
      <c r="H229" s="3">
        <v>60000</v>
      </c>
      <c r="I229" s="1">
        <v>1</v>
      </c>
      <c r="J229" s="1">
        <v>1</v>
      </c>
      <c r="L229" s="29"/>
      <c r="O229" s="1"/>
    </row>
    <row r="230" spans="1:15" x14ac:dyDescent="0.3">
      <c r="A230" s="1">
        <v>229</v>
      </c>
      <c r="B230" s="8">
        <v>44437.425694444442</v>
      </c>
      <c r="C230" s="1">
        <v>1</v>
      </c>
      <c r="D230" s="1" t="s">
        <v>15</v>
      </c>
      <c r="E230" s="1" t="s">
        <v>200</v>
      </c>
      <c r="H230" s="3">
        <v>11000</v>
      </c>
      <c r="I230" s="1">
        <v>1</v>
      </c>
      <c r="J230" s="1">
        <v>1</v>
      </c>
      <c r="L230" s="29"/>
      <c r="O230" s="1"/>
    </row>
    <row r="231" spans="1:15" x14ac:dyDescent="0.3">
      <c r="A231" s="1">
        <v>230</v>
      </c>
      <c r="B231" s="8">
        <v>44437.73333333333</v>
      </c>
      <c r="C231" s="1">
        <v>21</v>
      </c>
      <c r="F231" s="1" t="s">
        <v>633</v>
      </c>
      <c r="G231" s="1">
        <v>89</v>
      </c>
      <c r="H231" s="3">
        <v>150490000</v>
      </c>
      <c r="I231" s="1">
        <v>0</v>
      </c>
      <c r="J231" s="1">
        <v>0</v>
      </c>
      <c r="L231" s="29"/>
      <c r="O231" s="1"/>
    </row>
    <row r="232" spans="1:15" x14ac:dyDescent="0.3">
      <c r="A232" s="1">
        <v>231</v>
      </c>
      <c r="B232" s="8">
        <v>44437.90625</v>
      </c>
      <c r="C232" s="1">
        <v>24</v>
      </c>
      <c r="F232" s="1" t="s">
        <v>601</v>
      </c>
      <c r="G232" s="1">
        <v>47</v>
      </c>
      <c r="H232" s="3">
        <v>67400</v>
      </c>
      <c r="I232" s="1">
        <v>0</v>
      </c>
      <c r="J232" s="1">
        <v>6</v>
      </c>
      <c r="L232" s="29"/>
      <c r="O232" s="1"/>
    </row>
    <row r="233" spans="1:15" x14ac:dyDescent="0.3">
      <c r="A233" s="1">
        <v>232</v>
      </c>
      <c r="B233" s="8">
        <v>44437.953472222223</v>
      </c>
      <c r="C233" s="1">
        <v>11</v>
      </c>
      <c r="F233" s="1" t="s">
        <v>596</v>
      </c>
      <c r="G233" s="1">
        <v>16</v>
      </c>
      <c r="H233" s="3">
        <v>103851</v>
      </c>
      <c r="I233" s="1">
        <v>0</v>
      </c>
      <c r="J233" s="1">
        <v>2</v>
      </c>
      <c r="L233" s="29"/>
      <c r="O233" s="1"/>
    </row>
    <row r="234" spans="1:15" x14ac:dyDescent="0.3">
      <c r="A234" s="1">
        <v>233</v>
      </c>
      <c r="B234" s="8">
        <v>44438.061111111114</v>
      </c>
      <c r="C234" s="1">
        <v>6</v>
      </c>
      <c r="D234" s="1" t="s">
        <v>45</v>
      </c>
      <c r="E234" s="1" t="s">
        <v>141</v>
      </c>
      <c r="H234" s="3">
        <v>217000</v>
      </c>
      <c r="I234" s="1">
        <v>1</v>
      </c>
      <c r="J234" s="1">
        <v>1</v>
      </c>
      <c r="L234" s="29"/>
      <c r="O234" s="1"/>
    </row>
    <row r="235" spans="1:15" x14ac:dyDescent="0.3">
      <c r="A235" s="1">
        <v>234</v>
      </c>
      <c r="B235" s="8">
        <v>44438.111111111109</v>
      </c>
      <c r="C235" s="1">
        <v>13</v>
      </c>
      <c r="F235" s="1" t="s">
        <v>625</v>
      </c>
      <c r="G235" s="1">
        <v>15</v>
      </c>
      <c r="H235" s="3">
        <v>35706</v>
      </c>
      <c r="I235" s="1">
        <v>0</v>
      </c>
      <c r="J235" s="1">
        <v>11</v>
      </c>
      <c r="L235" s="29"/>
      <c r="O235" s="1"/>
    </row>
    <row r="236" spans="1:15" x14ac:dyDescent="0.3">
      <c r="A236" s="1">
        <v>235</v>
      </c>
      <c r="B236" s="8">
        <v>44438.513194444444</v>
      </c>
      <c r="C236" s="1">
        <v>27</v>
      </c>
      <c r="F236" s="1" t="s">
        <v>634</v>
      </c>
      <c r="G236" s="1">
        <v>15</v>
      </c>
      <c r="H236" s="3">
        <v>36053</v>
      </c>
      <c r="I236" s="1">
        <v>0</v>
      </c>
      <c r="J236" s="1">
        <v>1</v>
      </c>
      <c r="L236" s="29"/>
      <c r="O236" s="1"/>
    </row>
    <row r="237" spans="1:15" x14ac:dyDescent="0.3">
      <c r="A237" s="1">
        <v>236</v>
      </c>
      <c r="B237" s="8">
        <v>44438.738194444442</v>
      </c>
      <c r="C237" s="1">
        <v>11</v>
      </c>
      <c r="F237" s="1" t="s">
        <v>596</v>
      </c>
      <c r="G237" s="1">
        <v>47</v>
      </c>
      <c r="H237" s="3">
        <v>68710</v>
      </c>
      <c r="I237" s="1">
        <v>0</v>
      </c>
      <c r="J237" s="1">
        <v>2</v>
      </c>
      <c r="L237" s="29"/>
      <c r="O237" s="1"/>
    </row>
    <row r="238" spans="1:15" x14ac:dyDescent="0.3">
      <c r="A238" s="1">
        <v>237</v>
      </c>
      <c r="B238" s="8">
        <v>44438.804166666669</v>
      </c>
      <c r="C238" s="1">
        <v>38</v>
      </c>
      <c r="D238" s="1" t="s">
        <v>235</v>
      </c>
      <c r="E238" s="1" t="s">
        <v>177</v>
      </c>
      <c r="H238" s="3">
        <v>122000</v>
      </c>
      <c r="I238" s="1">
        <v>1</v>
      </c>
      <c r="J238" s="1">
        <v>1</v>
      </c>
      <c r="L238" s="29"/>
      <c r="O238" s="1"/>
    </row>
    <row r="239" spans="1:15" x14ac:dyDescent="0.3">
      <c r="A239" s="1">
        <v>238</v>
      </c>
      <c r="B239" s="8">
        <v>44438.825694444444</v>
      </c>
      <c r="C239" s="1">
        <v>33</v>
      </c>
      <c r="D239" s="1" t="s">
        <v>206</v>
      </c>
      <c r="E239" s="1" t="s">
        <v>63</v>
      </c>
      <c r="H239" s="3">
        <v>166000</v>
      </c>
      <c r="I239" s="1">
        <v>1</v>
      </c>
      <c r="J239" s="1">
        <v>1</v>
      </c>
      <c r="L239" s="29"/>
      <c r="O239" s="1"/>
    </row>
    <row r="240" spans="1:15" x14ac:dyDescent="0.3">
      <c r="A240" s="1">
        <v>239</v>
      </c>
      <c r="B240" s="8">
        <v>44438.999305555553</v>
      </c>
      <c r="C240" s="1">
        <v>11</v>
      </c>
      <c r="F240" s="1" t="s">
        <v>596</v>
      </c>
      <c r="G240" s="1">
        <v>20</v>
      </c>
      <c r="H240" s="3">
        <v>9747</v>
      </c>
      <c r="I240" s="1">
        <v>0</v>
      </c>
      <c r="J240" s="1">
        <v>2</v>
      </c>
      <c r="L240" s="29"/>
      <c r="O240" s="1"/>
    </row>
    <row r="241" spans="1:15" x14ac:dyDescent="0.3">
      <c r="A241" s="1">
        <v>240</v>
      </c>
      <c r="B241" s="8">
        <v>44440.177083333336</v>
      </c>
      <c r="C241" s="1">
        <v>28</v>
      </c>
      <c r="D241" s="1" t="s">
        <v>177</v>
      </c>
      <c r="E241" s="1" t="s">
        <v>235</v>
      </c>
      <c r="H241" s="3">
        <v>356000</v>
      </c>
      <c r="I241" s="1">
        <v>1</v>
      </c>
      <c r="J241" s="1">
        <v>1</v>
      </c>
      <c r="L241" s="29"/>
      <c r="O241" s="1"/>
    </row>
    <row r="242" spans="1:15" x14ac:dyDescent="0.3">
      <c r="A242" s="1">
        <v>241</v>
      </c>
      <c r="B242" s="8">
        <v>44440.46597222222</v>
      </c>
      <c r="C242" s="1">
        <v>29</v>
      </c>
      <c r="F242" s="1" t="s">
        <v>635</v>
      </c>
      <c r="G242" s="1">
        <v>55</v>
      </c>
      <c r="H242" s="3">
        <v>25000</v>
      </c>
      <c r="I242" s="1">
        <v>0</v>
      </c>
      <c r="J242" s="1">
        <v>0</v>
      </c>
      <c r="L242" s="29"/>
      <c r="O242" s="1"/>
    </row>
    <row r="243" spans="1:15" x14ac:dyDescent="0.3">
      <c r="A243" s="1">
        <v>242</v>
      </c>
      <c r="B243" s="8">
        <v>44440.59097222222</v>
      </c>
      <c r="C243" s="1">
        <v>3</v>
      </c>
      <c r="F243" s="1" t="s">
        <v>585</v>
      </c>
      <c r="G243" s="1">
        <v>57</v>
      </c>
      <c r="H243" s="3">
        <v>18180</v>
      </c>
      <c r="I243" s="1">
        <v>0</v>
      </c>
      <c r="J243" s="1">
        <v>0</v>
      </c>
      <c r="L243" s="29"/>
      <c r="O243" s="1"/>
    </row>
    <row r="244" spans="1:15" x14ac:dyDescent="0.3">
      <c r="A244" s="1">
        <v>243</v>
      </c>
      <c r="B244" s="8">
        <v>44441.074999999997</v>
      </c>
      <c r="C244" s="1">
        <v>7</v>
      </c>
      <c r="F244" s="1" t="s">
        <v>626</v>
      </c>
      <c r="G244" s="1">
        <v>58</v>
      </c>
      <c r="H244" s="3">
        <v>3844</v>
      </c>
      <c r="I244" s="1">
        <v>0</v>
      </c>
      <c r="J244" s="1">
        <v>3</v>
      </c>
      <c r="L244" s="29"/>
      <c r="O244" s="1"/>
    </row>
    <row r="245" spans="1:15" x14ac:dyDescent="0.3">
      <c r="A245" s="1">
        <v>244</v>
      </c>
      <c r="B245" s="8">
        <v>44441.239583333336</v>
      </c>
      <c r="C245" s="1">
        <v>39</v>
      </c>
      <c r="F245" s="1" t="s">
        <v>591</v>
      </c>
      <c r="G245" s="1">
        <v>73</v>
      </c>
      <c r="H245" s="3">
        <v>35525</v>
      </c>
      <c r="I245" s="1">
        <v>0</v>
      </c>
      <c r="J245" s="1">
        <v>0</v>
      </c>
      <c r="L245" s="29"/>
      <c r="O245" s="1"/>
    </row>
    <row r="246" spans="1:15" x14ac:dyDescent="0.3">
      <c r="A246" s="1">
        <v>245</v>
      </c>
      <c r="B246" s="8">
        <v>44441.390277777777</v>
      </c>
      <c r="C246" s="1">
        <v>38</v>
      </c>
      <c r="D246" s="1" t="s">
        <v>235</v>
      </c>
      <c r="E246" s="1" t="s">
        <v>194</v>
      </c>
      <c r="H246" s="3">
        <v>330000</v>
      </c>
      <c r="I246" s="1">
        <v>1</v>
      </c>
      <c r="J246" s="1">
        <v>1</v>
      </c>
      <c r="L246" s="29"/>
      <c r="O246" s="1"/>
    </row>
    <row r="247" spans="1:15" x14ac:dyDescent="0.3">
      <c r="A247" s="1">
        <v>246</v>
      </c>
      <c r="B247" s="8">
        <v>44441.620138888888</v>
      </c>
      <c r="C247" s="1">
        <v>8</v>
      </c>
      <c r="D247" s="1" t="s">
        <v>57</v>
      </c>
      <c r="E247" s="1" t="s">
        <v>75</v>
      </c>
      <c r="H247" s="3">
        <v>4350</v>
      </c>
      <c r="I247" s="1">
        <v>1</v>
      </c>
      <c r="J247" s="1">
        <v>1</v>
      </c>
      <c r="L247" s="29"/>
      <c r="O247" s="1"/>
    </row>
    <row r="248" spans="1:15" x14ac:dyDescent="0.3">
      <c r="A248" s="1">
        <v>247</v>
      </c>
      <c r="B248" s="8">
        <v>44441.622916666667</v>
      </c>
      <c r="C248" s="1">
        <v>25</v>
      </c>
      <c r="F248" s="1" t="s">
        <v>636</v>
      </c>
      <c r="G248" s="1">
        <v>43</v>
      </c>
      <c r="H248" s="3">
        <v>4756450</v>
      </c>
      <c r="I248" s="1">
        <v>0</v>
      </c>
      <c r="J248" s="1">
        <v>0</v>
      </c>
      <c r="L248" s="29"/>
      <c r="O248" s="1"/>
    </row>
    <row r="249" spans="1:15" x14ac:dyDescent="0.3">
      <c r="A249" s="1">
        <v>248</v>
      </c>
      <c r="B249" s="8">
        <v>44441.906944444447</v>
      </c>
      <c r="C249" s="1">
        <v>8</v>
      </c>
      <c r="D249" s="1" t="s">
        <v>57</v>
      </c>
      <c r="E249" s="1" t="s">
        <v>135</v>
      </c>
      <c r="H249" s="3">
        <v>1890</v>
      </c>
      <c r="I249" s="1">
        <v>1</v>
      </c>
      <c r="J249" s="1">
        <v>1</v>
      </c>
      <c r="L249" s="29"/>
      <c r="O249" s="1"/>
    </row>
    <row r="250" spans="1:15" x14ac:dyDescent="0.3">
      <c r="A250" s="1">
        <v>249</v>
      </c>
      <c r="B250" s="8">
        <v>44442.331250000003</v>
      </c>
      <c r="C250" s="1">
        <v>15</v>
      </c>
      <c r="F250" s="1" t="s">
        <v>597</v>
      </c>
      <c r="G250" s="1">
        <v>17</v>
      </c>
      <c r="H250" s="3">
        <v>123377</v>
      </c>
      <c r="I250" s="1">
        <v>0</v>
      </c>
      <c r="J250" s="1">
        <v>3</v>
      </c>
      <c r="L250" s="29"/>
      <c r="O250" s="1"/>
    </row>
    <row r="251" spans="1:15" x14ac:dyDescent="0.3">
      <c r="A251" s="1">
        <v>250</v>
      </c>
      <c r="B251" s="8">
        <v>44442.35</v>
      </c>
      <c r="C251" s="1">
        <v>5</v>
      </c>
      <c r="D251" s="1" t="s">
        <v>39</v>
      </c>
      <c r="E251" s="1" t="s">
        <v>235</v>
      </c>
      <c r="H251" s="3">
        <v>29000</v>
      </c>
      <c r="I251" s="1">
        <v>1</v>
      </c>
      <c r="J251" s="1">
        <v>1</v>
      </c>
      <c r="L251" s="29"/>
      <c r="O251" s="1"/>
    </row>
    <row r="252" spans="1:15" x14ac:dyDescent="0.3">
      <c r="A252" s="1">
        <v>251</v>
      </c>
      <c r="B252" s="8">
        <v>44442.368055555555</v>
      </c>
      <c r="C252" s="1">
        <v>8</v>
      </c>
      <c r="F252" s="1" t="s">
        <v>621</v>
      </c>
      <c r="G252" s="1">
        <v>31</v>
      </c>
      <c r="H252" s="3">
        <v>348411</v>
      </c>
      <c r="I252" s="1">
        <v>0</v>
      </c>
      <c r="J252" s="1">
        <v>5</v>
      </c>
      <c r="L252" s="29"/>
      <c r="O252" s="1"/>
    </row>
    <row r="253" spans="1:15" x14ac:dyDescent="0.3">
      <c r="A253" s="1">
        <v>252</v>
      </c>
      <c r="B253" s="8">
        <v>44442.390277777777</v>
      </c>
      <c r="C253" s="1">
        <v>11</v>
      </c>
      <c r="F253" s="1" t="s">
        <v>596</v>
      </c>
      <c r="G253" s="1">
        <v>30</v>
      </c>
      <c r="H253" s="3">
        <v>229731</v>
      </c>
      <c r="I253" s="1">
        <v>0</v>
      </c>
      <c r="J253" s="1">
        <v>2</v>
      </c>
      <c r="L253" s="29"/>
      <c r="O253" s="1"/>
    </row>
    <row r="254" spans="1:15" x14ac:dyDescent="0.3">
      <c r="A254" s="1">
        <v>253</v>
      </c>
      <c r="B254" s="8">
        <v>44442.479861111111</v>
      </c>
      <c r="C254" s="1">
        <v>10</v>
      </c>
      <c r="D254" s="1" t="s">
        <v>69</v>
      </c>
      <c r="E254" s="1" t="s">
        <v>194</v>
      </c>
      <c r="H254" s="3">
        <v>33400</v>
      </c>
      <c r="I254" s="1">
        <v>1</v>
      </c>
      <c r="J254" s="1">
        <v>1</v>
      </c>
      <c r="L254" s="29"/>
      <c r="O254" s="1"/>
    </row>
    <row r="255" spans="1:15" x14ac:dyDescent="0.3">
      <c r="A255" s="1">
        <v>254</v>
      </c>
      <c r="B255" s="8">
        <v>44442.61041666667</v>
      </c>
      <c r="C255" s="1">
        <v>6</v>
      </c>
      <c r="F255" s="1" t="s">
        <v>593</v>
      </c>
      <c r="G255" s="1">
        <v>37</v>
      </c>
      <c r="H255" s="3">
        <v>241270</v>
      </c>
      <c r="I255" s="1">
        <v>0</v>
      </c>
      <c r="J255" s="1">
        <v>12</v>
      </c>
      <c r="L255" s="29"/>
      <c r="O255" s="1"/>
    </row>
    <row r="256" spans="1:15" x14ac:dyDescent="0.3">
      <c r="A256" s="1">
        <v>255</v>
      </c>
      <c r="B256" s="8">
        <v>44442.635416666664</v>
      </c>
      <c r="C256" s="1">
        <v>28</v>
      </c>
      <c r="F256" s="1" t="s">
        <v>586</v>
      </c>
      <c r="G256" s="1">
        <v>60</v>
      </c>
      <c r="H256" s="3">
        <v>258783</v>
      </c>
      <c r="I256" s="1">
        <v>0</v>
      </c>
      <c r="J256" s="1">
        <v>3</v>
      </c>
      <c r="L256" s="29"/>
      <c r="O256" s="1"/>
    </row>
    <row r="257" spans="1:15" x14ac:dyDescent="0.3">
      <c r="A257" s="1">
        <v>256</v>
      </c>
      <c r="B257" s="8">
        <v>44442.675694444442</v>
      </c>
      <c r="C257" s="1">
        <v>20</v>
      </c>
      <c r="F257" s="1" t="s">
        <v>610</v>
      </c>
      <c r="G257" s="1">
        <v>12</v>
      </c>
      <c r="H257" s="3">
        <v>45700</v>
      </c>
      <c r="I257" s="1">
        <v>0</v>
      </c>
      <c r="J257" s="1">
        <v>0</v>
      </c>
      <c r="L257" s="29"/>
      <c r="O257" s="1"/>
    </row>
    <row r="258" spans="1:15" x14ac:dyDescent="0.3">
      <c r="A258" s="1">
        <v>257</v>
      </c>
      <c r="B258" s="8">
        <v>44442.71875</v>
      </c>
      <c r="C258" s="1">
        <v>40</v>
      </c>
      <c r="D258" s="1" t="s">
        <v>247</v>
      </c>
      <c r="E258" s="1" t="s">
        <v>141</v>
      </c>
      <c r="H258" s="3">
        <v>196000</v>
      </c>
      <c r="I258" s="1">
        <v>1</v>
      </c>
      <c r="J258" s="1">
        <v>1</v>
      </c>
      <c r="L258" s="29"/>
      <c r="O258" s="1"/>
    </row>
    <row r="259" spans="1:15" x14ac:dyDescent="0.3">
      <c r="A259" s="1">
        <v>258</v>
      </c>
      <c r="B259" s="8">
        <v>44442.95416666667</v>
      </c>
      <c r="C259" s="1">
        <v>8</v>
      </c>
      <c r="D259" s="1" t="s">
        <v>57</v>
      </c>
      <c r="E259" s="1" t="s">
        <v>141</v>
      </c>
      <c r="H259" s="3">
        <v>2000</v>
      </c>
      <c r="I259" s="1">
        <v>1</v>
      </c>
      <c r="J259" s="1">
        <v>1</v>
      </c>
      <c r="L259" s="29"/>
      <c r="O259" s="1"/>
    </row>
    <row r="260" spans="1:15" x14ac:dyDescent="0.3">
      <c r="A260" s="1">
        <v>259</v>
      </c>
      <c r="B260" s="8">
        <v>44442.970833333333</v>
      </c>
      <c r="C260" s="1">
        <v>5</v>
      </c>
      <c r="D260" s="1" t="s">
        <v>39</v>
      </c>
      <c r="E260" s="1" t="s">
        <v>51</v>
      </c>
      <c r="H260" s="3">
        <v>416000</v>
      </c>
      <c r="I260" s="1">
        <v>1</v>
      </c>
      <c r="J260" s="1">
        <v>1</v>
      </c>
      <c r="L260" s="29"/>
      <c r="O260" s="1"/>
    </row>
    <row r="261" spans="1:15" x14ac:dyDescent="0.3">
      <c r="A261" s="1">
        <v>260</v>
      </c>
      <c r="B261" s="8">
        <v>44443.126388888886</v>
      </c>
      <c r="C261" s="1">
        <v>8</v>
      </c>
      <c r="D261" s="1" t="s">
        <v>57</v>
      </c>
      <c r="E261" s="1" t="s">
        <v>63</v>
      </c>
      <c r="H261" s="3">
        <v>174000</v>
      </c>
      <c r="I261" s="1">
        <v>1</v>
      </c>
      <c r="J261" s="1">
        <v>1</v>
      </c>
      <c r="L261" s="29"/>
      <c r="O261" s="1"/>
    </row>
    <row r="262" spans="1:15" x14ac:dyDescent="0.3">
      <c r="A262" s="1">
        <v>261</v>
      </c>
      <c r="B262" s="8">
        <v>44443.30972222222</v>
      </c>
      <c r="C262" s="1">
        <v>4</v>
      </c>
      <c r="D262" s="1" t="s">
        <v>33</v>
      </c>
      <c r="E262" s="1" t="s">
        <v>27</v>
      </c>
      <c r="H262" s="3">
        <v>105000</v>
      </c>
      <c r="I262" s="1">
        <v>1</v>
      </c>
      <c r="J262" s="1">
        <v>1</v>
      </c>
      <c r="L262" s="29"/>
      <c r="O262" s="1"/>
    </row>
    <row r="263" spans="1:15" x14ac:dyDescent="0.3">
      <c r="A263" s="1">
        <v>262</v>
      </c>
      <c r="B263" s="8">
        <v>44443.409722222219</v>
      </c>
      <c r="C263" s="1">
        <v>1</v>
      </c>
      <c r="D263" s="1" t="s">
        <v>15</v>
      </c>
      <c r="E263" s="1" t="s">
        <v>200</v>
      </c>
      <c r="H263" s="3">
        <v>81000</v>
      </c>
      <c r="I263" s="1">
        <v>1</v>
      </c>
      <c r="J263" s="1">
        <v>1</v>
      </c>
      <c r="L263" s="29"/>
      <c r="O263" s="1"/>
    </row>
    <row r="264" spans="1:15" x14ac:dyDescent="0.3">
      <c r="A264" s="1">
        <v>263</v>
      </c>
      <c r="B264" s="8">
        <v>44443.92083333333</v>
      </c>
      <c r="C264" s="1">
        <v>11</v>
      </c>
      <c r="F264" s="1" t="s">
        <v>596</v>
      </c>
      <c r="G264" s="1">
        <v>38</v>
      </c>
      <c r="H264" s="3">
        <v>502471</v>
      </c>
      <c r="I264" s="1">
        <v>0</v>
      </c>
      <c r="J264" s="1">
        <v>2</v>
      </c>
      <c r="L264" s="29"/>
      <c r="O264" s="1"/>
    </row>
    <row r="265" spans="1:15" x14ac:dyDescent="0.3">
      <c r="A265" s="1">
        <v>264</v>
      </c>
      <c r="B265" s="8">
        <v>44443.938194444447</v>
      </c>
      <c r="C265" s="1">
        <v>6</v>
      </c>
      <c r="F265" s="1" t="s">
        <v>593</v>
      </c>
      <c r="G265" s="1">
        <v>75</v>
      </c>
      <c r="H265" s="3">
        <v>1730850</v>
      </c>
      <c r="I265" s="1">
        <v>0</v>
      </c>
      <c r="J265" s="1">
        <v>3</v>
      </c>
      <c r="L265" s="29"/>
      <c r="O265" s="1"/>
    </row>
    <row r="266" spans="1:15" x14ac:dyDescent="0.3">
      <c r="A266" s="1">
        <v>265</v>
      </c>
      <c r="B266" s="8">
        <v>44444.154861111114</v>
      </c>
      <c r="C266" s="1">
        <v>34</v>
      </c>
      <c r="F266" s="1" t="s">
        <v>603</v>
      </c>
      <c r="G266" s="1">
        <v>9</v>
      </c>
      <c r="H266" s="3">
        <v>33330</v>
      </c>
      <c r="I266" s="1">
        <v>0</v>
      </c>
      <c r="J266" s="1">
        <v>0</v>
      </c>
      <c r="L266" s="29"/>
      <c r="O266" s="1"/>
    </row>
    <row r="267" spans="1:15" x14ac:dyDescent="0.3">
      <c r="A267" s="1">
        <v>266</v>
      </c>
      <c r="B267" s="8">
        <v>44444.175000000003</v>
      </c>
      <c r="C267" s="1">
        <v>27</v>
      </c>
      <c r="F267" s="1" t="s">
        <v>634</v>
      </c>
      <c r="G267" s="1">
        <v>21</v>
      </c>
      <c r="H267" s="3">
        <v>19000</v>
      </c>
      <c r="I267" s="1">
        <v>0</v>
      </c>
      <c r="J267" s="1">
        <v>0</v>
      </c>
      <c r="L267" s="29"/>
      <c r="O267" s="1"/>
    </row>
    <row r="268" spans="1:15" x14ac:dyDescent="0.3">
      <c r="A268" s="1">
        <v>267</v>
      </c>
      <c r="B268" s="8">
        <v>44444.546527777777</v>
      </c>
      <c r="C268" s="1">
        <v>6</v>
      </c>
      <c r="D268" s="1" t="s">
        <v>45</v>
      </c>
      <c r="E268" s="1" t="s">
        <v>15</v>
      </c>
      <c r="H268" s="3">
        <v>76000</v>
      </c>
      <c r="I268" s="1">
        <v>1</v>
      </c>
      <c r="J268" s="1">
        <v>1</v>
      </c>
      <c r="L268" s="29"/>
      <c r="O268" s="1"/>
    </row>
    <row r="269" spans="1:15" x14ac:dyDescent="0.3">
      <c r="A269" s="1">
        <v>268</v>
      </c>
      <c r="B269" s="8">
        <v>44444.68472222222</v>
      </c>
      <c r="C269" s="1">
        <v>13</v>
      </c>
      <c r="D269" s="1" t="s">
        <v>87</v>
      </c>
      <c r="E269" s="1" t="s">
        <v>217</v>
      </c>
      <c r="H269" s="3">
        <v>383000</v>
      </c>
      <c r="I269" s="1">
        <v>1</v>
      </c>
      <c r="J269" s="1">
        <v>1</v>
      </c>
      <c r="L269" s="29"/>
      <c r="O269" s="1"/>
    </row>
    <row r="270" spans="1:15" x14ac:dyDescent="0.3">
      <c r="A270" s="1">
        <v>269</v>
      </c>
      <c r="B270" s="8">
        <v>44444.724999999999</v>
      </c>
      <c r="C270" s="1">
        <v>11</v>
      </c>
      <c r="D270" s="1" t="s">
        <v>75</v>
      </c>
      <c r="E270" s="1" t="s">
        <v>93</v>
      </c>
      <c r="H270" s="3">
        <v>326000</v>
      </c>
      <c r="I270" s="1">
        <v>1</v>
      </c>
      <c r="J270" s="1">
        <v>1</v>
      </c>
      <c r="L270" s="29"/>
      <c r="O270" s="1"/>
    </row>
    <row r="271" spans="1:15" x14ac:dyDescent="0.3">
      <c r="A271" s="1">
        <v>270</v>
      </c>
      <c r="B271" s="8">
        <v>44444.738888888889</v>
      </c>
      <c r="C271" s="1">
        <v>38</v>
      </c>
      <c r="F271" s="1" t="s">
        <v>599</v>
      </c>
      <c r="G271" s="1">
        <v>62</v>
      </c>
      <c r="H271" s="3">
        <v>108070</v>
      </c>
      <c r="I271" s="1">
        <v>0</v>
      </c>
      <c r="J271" s="1">
        <v>0</v>
      </c>
      <c r="L271" s="29"/>
      <c r="O271" s="1"/>
    </row>
    <row r="272" spans="1:15" x14ac:dyDescent="0.3">
      <c r="A272" s="1">
        <v>271</v>
      </c>
      <c r="B272" s="8">
        <v>44445.049305555556</v>
      </c>
      <c r="C272" s="1">
        <v>12</v>
      </c>
      <c r="D272" s="1" t="s">
        <v>81</v>
      </c>
      <c r="E272" s="1" t="s">
        <v>235</v>
      </c>
      <c r="H272" s="3">
        <v>407000</v>
      </c>
      <c r="I272" s="1">
        <v>1</v>
      </c>
      <c r="J272" s="1">
        <v>1</v>
      </c>
      <c r="L272" s="29"/>
      <c r="O272" s="1"/>
    </row>
    <row r="273" spans="1:15" x14ac:dyDescent="0.3">
      <c r="A273" s="1">
        <v>272</v>
      </c>
      <c r="B273" s="8">
        <v>44445.06527777778</v>
      </c>
      <c r="C273" s="1">
        <v>15</v>
      </c>
      <c r="D273" s="1" t="s">
        <v>99</v>
      </c>
      <c r="E273" s="1" t="s">
        <v>235</v>
      </c>
      <c r="H273" s="3">
        <v>295000</v>
      </c>
      <c r="I273" s="1">
        <v>1</v>
      </c>
      <c r="J273" s="1">
        <v>1</v>
      </c>
      <c r="L273" s="29"/>
      <c r="O273" s="1"/>
    </row>
    <row r="274" spans="1:15" x14ac:dyDescent="0.3">
      <c r="A274" s="1">
        <v>273</v>
      </c>
      <c r="B274" s="8">
        <v>44445.137499999997</v>
      </c>
      <c r="C274" s="1">
        <v>28</v>
      </c>
      <c r="F274" s="1" t="s">
        <v>637</v>
      </c>
      <c r="G274" s="1">
        <v>50</v>
      </c>
      <c r="H274" s="3">
        <v>10000</v>
      </c>
      <c r="I274" s="1">
        <v>0</v>
      </c>
      <c r="J274" s="1">
        <v>0</v>
      </c>
      <c r="L274" s="29"/>
      <c r="O274" s="1"/>
    </row>
    <row r="275" spans="1:15" x14ac:dyDescent="0.3">
      <c r="A275" s="1">
        <v>274</v>
      </c>
      <c r="B275" s="8">
        <v>44445.179166666669</v>
      </c>
      <c r="C275" s="1">
        <v>10</v>
      </c>
      <c r="D275" s="1" t="s">
        <v>69</v>
      </c>
      <c r="E275" s="1" t="s">
        <v>165</v>
      </c>
      <c r="H275" s="3">
        <v>49600</v>
      </c>
      <c r="I275" s="1">
        <v>1</v>
      </c>
      <c r="J275" s="1">
        <v>1</v>
      </c>
      <c r="L275" s="29"/>
      <c r="O275" s="1"/>
    </row>
    <row r="276" spans="1:15" x14ac:dyDescent="0.3">
      <c r="A276" s="1">
        <v>275</v>
      </c>
      <c r="B276" s="8">
        <v>44445.249305555553</v>
      </c>
      <c r="C276" s="1">
        <v>15</v>
      </c>
      <c r="D276" s="1" t="s">
        <v>99</v>
      </c>
      <c r="E276" s="1" t="s">
        <v>229</v>
      </c>
      <c r="H276" s="3">
        <v>290000</v>
      </c>
      <c r="I276" s="1">
        <v>1</v>
      </c>
      <c r="J276" s="1">
        <v>1</v>
      </c>
      <c r="L276" s="29"/>
      <c r="O276" s="1"/>
    </row>
    <row r="277" spans="1:15" x14ac:dyDescent="0.3">
      <c r="A277" s="1">
        <v>276</v>
      </c>
      <c r="B277" s="8">
        <v>44445.287499999999</v>
      </c>
      <c r="C277" s="1">
        <v>38</v>
      </c>
      <c r="F277" s="1" t="s">
        <v>599</v>
      </c>
      <c r="G277" s="1">
        <v>37</v>
      </c>
      <c r="H277" s="3">
        <v>230000</v>
      </c>
      <c r="I277" s="1">
        <v>0</v>
      </c>
      <c r="J277" s="1">
        <v>0</v>
      </c>
      <c r="L277" s="29"/>
      <c r="O277" s="1"/>
    </row>
    <row r="278" spans="1:15" x14ac:dyDescent="0.3">
      <c r="A278" s="1">
        <v>277</v>
      </c>
      <c r="B278" s="8">
        <v>44445.365277777775</v>
      </c>
      <c r="C278" s="1">
        <v>17</v>
      </c>
      <c r="F278" s="1" t="s">
        <v>616</v>
      </c>
      <c r="G278" s="1">
        <v>21</v>
      </c>
      <c r="H278" s="3">
        <v>19741</v>
      </c>
      <c r="I278" s="1">
        <v>0</v>
      </c>
      <c r="J278" s="1">
        <v>3</v>
      </c>
      <c r="L278" s="29"/>
      <c r="O278" s="1"/>
    </row>
    <row r="279" spans="1:15" x14ac:dyDescent="0.3">
      <c r="A279" s="1">
        <v>278</v>
      </c>
      <c r="B279" s="8">
        <v>44445.404166666667</v>
      </c>
      <c r="C279" s="1">
        <v>33</v>
      </c>
      <c r="F279" s="1" t="s">
        <v>587</v>
      </c>
      <c r="G279" s="1">
        <v>65</v>
      </c>
      <c r="H279" s="3">
        <v>3454353</v>
      </c>
      <c r="I279" s="1">
        <v>0</v>
      </c>
      <c r="J279" s="1">
        <v>7</v>
      </c>
      <c r="L279" s="29"/>
      <c r="O279" s="1"/>
    </row>
    <row r="280" spans="1:15" x14ac:dyDescent="0.3">
      <c r="A280" s="1">
        <v>279</v>
      </c>
      <c r="B280" s="8">
        <v>44445.486111111109</v>
      </c>
      <c r="C280" s="1">
        <v>36</v>
      </c>
      <c r="F280" s="1" t="s">
        <v>592</v>
      </c>
      <c r="G280" s="1">
        <v>21</v>
      </c>
      <c r="H280" s="3">
        <v>19000</v>
      </c>
      <c r="I280" s="1">
        <v>0</v>
      </c>
      <c r="J280" s="1">
        <v>0</v>
      </c>
      <c r="L280" s="29"/>
      <c r="O280" s="1"/>
    </row>
    <row r="281" spans="1:15" x14ac:dyDescent="0.3">
      <c r="A281" s="1">
        <v>280</v>
      </c>
      <c r="B281" s="8">
        <v>44445.866666666669</v>
      </c>
      <c r="C281" s="1">
        <v>11</v>
      </c>
      <c r="D281" s="1" t="s">
        <v>75</v>
      </c>
      <c r="E281" s="1" t="s">
        <v>99</v>
      </c>
      <c r="H281" s="3">
        <v>445000</v>
      </c>
      <c r="I281" s="1">
        <v>1</v>
      </c>
      <c r="J281" s="1">
        <v>1</v>
      </c>
      <c r="L281" s="29"/>
      <c r="O281" s="1"/>
    </row>
    <row r="282" spans="1:15" x14ac:dyDescent="0.3">
      <c r="A282" s="1">
        <v>281</v>
      </c>
      <c r="B282" s="8">
        <v>44445.876388888886</v>
      </c>
      <c r="C282" s="1">
        <v>35</v>
      </c>
      <c r="D282" s="1" t="s">
        <v>217</v>
      </c>
      <c r="E282" s="1" t="s">
        <v>75</v>
      </c>
      <c r="H282" s="3">
        <v>354000</v>
      </c>
      <c r="I282" s="1">
        <v>1</v>
      </c>
      <c r="J282" s="1">
        <v>1</v>
      </c>
      <c r="L282" s="29"/>
      <c r="O282" s="1"/>
    </row>
    <row r="283" spans="1:15" x14ac:dyDescent="0.3">
      <c r="A283" s="1">
        <v>282</v>
      </c>
      <c r="B283" s="8">
        <v>44445.90902777778</v>
      </c>
      <c r="C283" s="1">
        <v>27</v>
      </c>
      <c r="F283" s="1" t="s">
        <v>634</v>
      </c>
      <c r="G283" s="1">
        <v>35</v>
      </c>
      <c r="H283" s="3">
        <v>7584700</v>
      </c>
      <c r="I283" s="1">
        <v>0</v>
      </c>
      <c r="J283" s="1">
        <v>12</v>
      </c>
      <c r="L283" s="29"/>
      <c r="O283" s="1"/>
    </row>
    <row r="284" spans="1:15" x14ac:dyDescent="0.3">
      <c r="A284" s="1">
        <v>283</v>
      </c>
      <c r="B284" s="8">
        <v>44445.99722222222</v>
      </c>
      <c r="C284" s="1">
        <v>10</v>
      </c>
      <c r="D284" s="1" t="s">
        <v>69</v>
      </c>
      <c r="E284" s="1" t="s">
        <v>194</v>
      </c>
      <c r="H284" s="3">
        <v>421000</v>
      </c>
      <c r="I284" s="1">
        <v>1</v>
      </c>
      <c r="J284" s="1">
        <v>1</v>
      </c>
      <c r="L284" s="29"/>
      <c r="O284" s="1"/>
    </row>
    <row r="285" spans="1:15" x14ac:dyDescent="0.3">
      <c r="A285" s="1">
        <v>284</v>
      </c>
      <c r="B285" s="8">
        <v>44446.095833333333</v>
      </c>
      <c r="C285" s="1">
        <v>29</v>
      </c>
      <c r="F285" s="1" t="s">
        <v>608</v>
      </c>
      <c r="G285" s="1">
        <v>9</v>
      </c>
      <c r="H285" s="3">
        <v>34297</v>
      </c>
      <c r="I285" s="1">
        <v>0</v>
      </c>
      <c r="J285" s="1">
        <v>1</v>
      </c>
      <c r="L285" s="29"/>
      <c r="O285" s="1"/>
    </row>
    <row r="286" spans="1:15" x14ac:dyDescent="0.3">
      <c r="A286" s="1">
        <v>285</v>
      </c>
      <c r="B286" s="8">
        <v>44446.143750000003</v>
      </c>
      <c r="C286" s="1">
        <v>8</v>
      </c>
      <c r="F286" s="1" t="s">
        <v>621</v>
      </c>
      <c r="G286" s="1">
        <v>59</v>
      </c>
      <c r="H286" s="3">
        <v>393897</v>
      </c>
      <c r="I286" s="1">
        <v>0</v>
      </c>
      <c r="J286" s="1">
        <v>3</v>
      </c>
      <c r="L286" s="29"/>
      <c r="O286" s="1"/>
    </row>
    <row r="287" spans="1:15" x14ac:dyDescent="0.3">
      <c r="A287" s="1">
        <v>286</v>
      </c>
      <c r="B287" s="8">
        <v>44446.154166666667</v>
      </c>
      <c r="C287" s="1">
        <v>16</v>
      </c>
      <c r="F287" s="1" t="s">
        <v>638</v>
      </c>
      <c r="G287" s="1">
        <v>45</v>
      </c>
      <c r="H287" s="3">
        <v>2472585</v>
      </c>
      <c r="I287" s="1">
        <v>0</v>
      </c>
      <c r="J287" s="1">
        <v>3</v>
      </c>
      <c r="L287" s="29"/>
      <c r="O287" s="1"/>
    </row>
    <row r="288" spans="1:15" x14ac:dyDescent="0.3">
      <c r="A288" s="1">
        <v>287</v>
      </c>
      <c r="B288" s="8">
        <v>44446.2</v>
      </c>
      <c r="C288" s="1">
        <v>5</v>
      </c>
      <c r="D288" s="1" t="s">
        <v>39</v>
      </c>
      <c r="E288" s="1" t="s">
        <v>51</v>
      </c>
      <c r="H288" s="3">
        <v>34000</v>
      </c>
      <c r="I288" s="1">
        <v>1</v>
      </c>
      <c r="J288" s="1">
        <v>1</v>
      </c>
      <c r="L288" s="29"/>
      <c r="O288" s="1"/>
    </row>
    <row r="289" spans="1:15" x14ac:dyDescent="0.3">
      <c r="A289" s="1">
        <v>288</v>
      </c>
      <c r="B289" s="8">
        <v>44446.28402777778</v>
      </c>
      <c r="C289" s="1">
        <v>2</v>
      </c>
      <c r="F289" s="1" t="s">
        <v>604</v>
      </c>
      <c r="G289" s="1">
        <v>82</v>
      </c>
      <c r="H289" s="3">
        <v>2067610</v>
      </c>
      <c r="I289" s="1">
        <v>0</v>
      </c>
      <c r="J289" s="1">
        <v>12</v>
      </c>
      <c r="L289" s="29"/>
      <c r="O289" s="1"/>
    </row>
    <row r="290" spans="1:15" x14ac:dyDescent="0.3">
      <c r="A290" s="1">
        <v>289</v>
      </c>
      <c r="B290" s="8">
        <v>44446.286111111112</v>
      </c>
      <c r="C290" s="1">
        <v>5</v>
      </c>
      <c r="D290" s="1" t="s">
        <v>39</v>
      </c>
      <c r="E290" s="1" t="s">
        <v>141</v>
      </c>
      <c r="H290" s="3">
        <v>377000</v>
      </c>
      <c r="I290" s="1">
        <v>1</v>
      </c>
      <c r="J290" s="1">
        <v>1</v>
      </c>
      <c r="L290" s="29"/>
      <c r="O290" s="1"/>
    </row>
    <row r="291" spans="1:15" x14ac:dyDescent="0.3">
      <c r="A291" s="1">
        <v>290</v>
      </c>
      <c r="B291" s="8">
        <v>44446.342361111114</v>
      </c>
      <c r="C291" s="1">
        <v>15</v>
      </c>
      <c r="D291" s="1" t="s">
        <v>99</v>
      </c>
      <c r="E291" s="1" t="s">
        <v>217</v>
      </c>
      <c r="H291" s="3">
        <v>237000</v>
      </c>
      <c r="I291" s="1">
        <v>1</v>
      </c>
      <c r="J291" s="1">
        <v>1</v>
      </c>
      <c r="L291" s="29"/>
      <c r="O291" s="1"/>
    </row>
    <row r="292" spans="1:15" x14ac:dyDescent="0.3">
      <c r="A292" s="1">
        <v>291</v>
      </c>
      <c r="B292" s="8">
        <v>44446.42083333333</v>
      </c>
      <c r="C292" s="1">
        <v>32</v>
      </c>
      <c r="D292" s="1" t="s">
        <v>200</v>
      </c>
      <c r="E292" s="1" t="s">
        <v>57</v>
      </c>
      <c r="H292" s="3">
        <v>294000</v>
      </c>
      <c r="I292" s="1">
        <v>1</v>
      </c>
      <c r="J292" s="1">
        <v>1</v>
      </c>
      <c r="L292" s="29"/>
      <c r="O292" s="1"/>
    </row>
    <row r="293" spans="1:15" x14ac:dyDescent="0.3">
      <c r="A293" s="1">
        <v>292</v>
      </c>
      <c r="B293" s="8">
        <v>44446.720833333333</v>
      </c>
      <c r="C293" s="1">
        <v>6</v>
      </c>
      <c r="F293" s="1" t="s">
        <v>590</v>
      </c>
      <c r="G293" s="1">
        <v>15</v>
      </c>
      <c r="H293" s="3">
        <v>36053</v>
      </c>
      <c r="I293" s="1">
        <v>0</v>
      </c>
      <c r="J293" s="1">
        <v>2</v>
      </c>
      <c r="L293" s="29"/>
      <c r="O293" s="1"/>
    </row>
    <row r="294" spans="1:15" x14ac:dyDescent="0.3">
      <c r="A294" s="1">
        <v>293</v>
      </c>
      <c r="B294" s="8">
        <v>44446.810416666667</v>
      </c>
      <c r="C294" s="1">
        <v>31</v>
      </c>
      <c r="F294" s="1" t="s">
        <v>620</v>
      </c>
      <c r="G294" s="1">
        <v>37</v>
      </c>
      <c r="H294" s="3">
        <v>207000</v>
      </c>
      <c r="I294" s="1">
        <v>0</v>
      </c>
      <c r="J294" s="1">
        <v>0</v>
      </c>
      <c r="L294" s="29"/>
      <c r="O294" s="1"/>
    </row>
    <row r="295" spans="1:15" x14ac:dyDescent="0.3">
      <c r="A295" s="1">
        <v>294</v>
      </c>
      <c r="B295" s="8">
        <v>44447.111805555556</v>
      </c>
      <c r="C295" s="1">
        <v>15</v>
      </c>
      <c r="F295" s="1" t="s">
        <v>597</v>
      </c>
      <c r="G295" s="1">
        <v>29</v>
      </c>
      <c r="H295" s="3">
        <v>75117</v>
      </c>
      <c r="I295" s="1">
        <v>0</v>
      </c>
      <c r="J295" s="1">
        <v>3</v>
      </c>
      <c r="L295" s="29"/>
      <c r="O295" s="1"/>
    </row>
    <row r="296" spans="1:15" x14ac:dyDescent="0.3">
      <c r="A296" s="1">
        <v>295</v>
      </c>
      <c r="B296" s="8">
        <v>44447.142361111109</v>
      </c>
      <c r="C296" s="1">
        <v>28</v>
      </c>
      <c r="F296" s="1" t="s">
        <v>586</v>
      </c>
      <c r="G296" s="1">
        <v>82</v>
      </c>
      <c r="H296" s="3">
        <v>2047710</v>
      </c>
      <c r="I296" s="1">
        <v>0</v>
      </c>
      <c r="J296" s="1">
        <v>12</v>
      </c>
      <c r="L296" s="29"/>
      <c r="O296" s="1"/>
    </row>
    <row r="297" spans="1:15" x14ac:dyDescent="0.3">
      <c r="A297" s="1">
        <v>296</v>
      </c>
      <c r="B297" s="8">
        <v>44447.168055555558</v>
      </c>
      <c r="C297" s="1">
        <v>5</v>
      </c>
      <c r="F297" s="1" t="s">
        <v>598</v>
      </c>
      <c r="G297" s="1">
        <v>3</v>
      </c>
      <c r="H297" s="3">
        <v>6504</v>
      </c>
      <c r="I297" s="1">
        <v>4</v>
      </c>
      <c r="J297" s="1">
        <v>3</v>
      </c>
      <c r="L297" s="29"/>
      <c r="O297" s="1"/>
    </row>
    <row r="298" spans="1:15" x14ac:dyDescent="0.3">
      <c r="A298" s="1">
        <v>297</v>
      </c>
      <c r="B298" s="8">
        <v>44447.205555555556</v>
      </c>
      <c r="C298" s="1">
        <v>13</v>
      </c>
      <c r="F298" s="1" t="s">
        <v>625</v>
      </c>
      <c r="G298" s="1">
        <v>38</v>
      </c>
      <c r="H298" s="3">
        <v>492891</v>
      </c>
      <c r="I298" s="1">
        <v>0</v>
      </c>
      <c r="J298" s="1">
        <v>3</v>
      </c>
      <c r="L298" s="29"/>
      <c r="O298" s="1"/>
    </row>
    <row r="299" spans="1:15" x14ac:dyDescent="0.3">
      <c r="A299" s="1">
        <v>298</v>
      </c>
      <c r="B299" s="8">
        <v>44447.367361111108</v>
      </c>
      <c r="C299" s="1">
        <v>4</v>
      </c>
      <c r="F299" s="1" t="s">
        <v>639</v>
      </c>
      <c r="G299" s="1">
        <v>87</v>
      </c>
      <c r="H299" s="3">
        <v>3117</v>
      </c>
      <c r="I299" s="1">
        <v>4</v>
      </c>
      <c r="J299" s="1">
        <v>2</v>
      </c>
      <c r="L299" s="29"/>
      <c r="O299" s="1"/>
    </row>
    <row r="300" spans="1:15" x14ac:dyDescent="0.3">
      <c r="A300" s="1">
        <v>299</v>
      </c>
      <c r="B300" s="8">
        <v>44447.502083333333</v>
      </c>
      <c r="C300" s="1">
        <v>34</v>
      </c>
      <c r="F300" s="1" t="s">
        <v>603</v>
      </c>
      <c r="G300" s="1">
        <v>53</v>
      </c>
      <c r="H300" s="3">
        <v>86127</v>
      </c>
      <c r="I300" s="1">
        <v>0</v>
      </c>
      <c r="J300" s="1">
        <v>3</v>
      </c>
      <c r="L300" s="29"/>
      <c r="O300" s="1"/>
    </row>
    <row r="301" spans="1:15" x14ac:dyDescent="0.3">
      <c r="A301" s="1">
        <v>300</v>
      </c>
      <c r="B301" s="8">
        <v>44447.513888888891</v>
      </c>
      <c r="C301" s="1">
        <v>26</v>
      </c>
      <c r="F301" s="1" t="s">
        <v>640</v>
      </c>
      <c r="G301" s="1">
        <v>35</v>
      </c>
      <c r="H301" s="3">
        <v>7300000</v>
      </c>
      <c r="I301" s="1">
        <v>0</v>
      </c>
      <c r="J301" s="1">
        <v>0</v>
      </c>
      <c r="L301" s="29"/>
      <c r="O301" s="1"/>
    </row>
    <row r="302" spans="1:15" x14ac:dyDescent="0.3">
      <c r="A302" s="1">
        <v>301</v>
      </c>
      <c r="B302" s="8">
        <v>44447.680555555555</v>
      </c>
      <c r="C302" s="1">
        <v>2</v>
      </c>
      <c r="D302" s="1" t="s">
        <v>15</v>
      </c>
      <c r="E302" s="1" t="s">
        <v>27</v>
      </c>
      <c r="H302" s="3">
        <v>85000</v>
      </c>
      <c r="I302" s="1">
        <v>1</v>
      </c>
      <c r="J302" s="1">
        <v>1</v>
      </c>
      <c r="L302" s="29"/>
      <c r="O302" s="1"/>
    </row>
    <row r="303" spans="1:15" x14ac:dyDescent="0.3">
      <c r="A303" s="1">
        <v>302</v>
      </c>
      <c r="B303" s="8">
        <v>44447.80972222222</v>
      </c>
      <c r="C303" s="1">
        <v>20</v>
      </c>
      <c r="D303" s="1" t="s">
        <v>129</v>
      </c>
      <c r="E303" s="1" t="s">
        <v>211</v>
      </c>
      <c r="H303" s="3">
        <v>170000</v>
      </c>
      <c r="I303" s="1">
        <v>1</v>
      </c>
      <c r="J303" s="1">
        <v>1</v>
      </c>
      <c r="L303" s="29"/>
      <c r="O303" s="1"/>
    </row>
    <row r="304" spans="1:15" x14ac:dyDescent="0.3">
      <c r="A304" s="1">
        <v>303</v>
      </c>
      <c r="B304" s="8">
        <v>44448.3125</v>
      </c>
      <c r="C304" s="1">
        <v>22</v>
      </c>
      <c r="D304" s="1" t="s">
        <v>141</v>
      </c>
      <c r="E304" s="1" t="s">
        <v>15</v>
      </c>
      <c r="H304" s="3">
        <v>485000</v>
      </c>
      <c r="I304" s="1">
        <v>1</v>
      </c>
      <c r="J304" s="1">
        <v>1</v>
      </c>
      <c r="L304" s="29"/>
      <c r="O304" s="1"/>
    </row>
    <row r="305" spans="1:15" x14ac:dyDescent="0.3">
      <c r="A305" s="1">
        <v>304</v>
      </c>
      <c r="B305" s="8">
        <v>44448.342361111114</v>
      </c>
      <c r="C305" s="1">
        <v>4</v>
      </c>
      <c r="D305" s="1" t="s">
        <v>33</v>
      </c>
      <c r="E305" s="1" t="s">
        <v>75</v>
      </c>
      <c r="H305" s="3">
        <v>141000</v>
      </c>
      <c r="I305" s="1">
        <v>1</v>
      </c>
      <c r="J305" s="1">
        <v>1</v>
      </c>
      <c r="L305" s="29"/>
      <c r="O305" s="1"/>
    </row>
    <row r="306" spans="1:15" x14ac:dyDescent="0.3">
      <c r="A306" s="1">
        <v>305</v>
      </c>
      <c r="B306" s="8">
        <v>44448.371527777781</v>
      </c>
      <c r="C306" s="1">
        <v>8</v>
      </c>
      <c r="F306" s="1" t="s">
        <v>621</v>
      </c>
      <c r="G306" s="1">
        <v>87</v>
      </c>
      <c r="H306" s="3">
        <v>3177</v>
      </c>
      <c r="I306" s="1">
        <v>2</v>
      </c>
      <c r="J306" s="1">
        <v>1</v>
      </c>
      <c r="L306" s="29"/>
      <c r="O306" s="1"/>
    </row>
    <row r="307" spans="1:15" x14ac:dyDescent="0.3">
      <c r="A307" s="1">
        <v>306</v>
      </c>
      <c r="B307" s="8">
        <v>44448.408333333333</v>
      </c>
      <c r="C307" s="1">
        <v>11</v>
      </c>
      <c r="F307" s="1" t="s">
        <v>596</v>
      </c>
      <c r="G307" s="1">
        <v>25</v>
      </c>
      <c r="H307" s="3">
        <v>1325740</v>
      </c>
      <c r="I307" s="1">
        <v>0</v>
      </c>
      <c r="J307" s="1">
        <v>3</v>
      </c>
      <c r="L307" s="29"/>
      <c r="O307" s="1"/>
    </row>
    <row r="308" spans="1:15" x14ac:dyDescent="0.3">
      <c r="A308" s="1">
        <v>307</v>
      </c>
      <c r="B308" s="8">
        <v>44449.369444444441</v>
      </c>
      <c r="C308" s="1">
        <v>14</v>
      </c>
      <c r="F308" s="1" t="s">
        <v>607</v>
      </c>
      <c r="G308" s="1">
        <v>85</v>
      </c>
      <c r="H308" s="3">
        <v>3117</v>
      </c>
      <c r="I308" s="1">
        <v>3</v>
      </c>
      <c r="J308" s="1">
        <v>2</v>
      </c>
      <c r="L308" s="29"/>
      <c r="O308" s="1"/>
    </row>
    <row r="309" spans="1:15" x14ac:dyDescent="0.3">
      <c r="A309" s="1">
        <v>308</v>
      </c>
      <c r="B309" s="8">
        <v>44449.456250000003</v>
      </c>
      <c r="C309" s="1">
        <v>15</v>
      </c>
      <c r="D309" s="1" t="s">
        <v>99</v>
      </c>
      <c r="E309" s="1" t="s">
        <v>235</v>
      </c>
      <c r="H309" s="3">
        <v>343000</v>
      </c>
      <c r="I309" s="1">
        <v>1</v>
      </c>
      <c r="J309" s="1">
        <v>1</v>
      </c>
      <c r="L309" s="29"/>
      <c r="O309" s="1"/>
    </row>
    <row r="310" spans="1:15" x14ac:dyDescent="0.3">
      <c r="A310" s="1">
        <v>309</v>
      </c>
      <c r="B310" s="8">
        <v>44450.05972222222</v>
      </c>
      <c r="C310" s="1">
        <v>8</v>
      </c>
      <c r="F310" s="1" t="s">
        <v>621</v>
      </c>
      <c r="G310" s="1">
        <v>20</v>
      </c>
      <c r="H310" s="3">
        <v>9821</v>
      </c>
      <c r="I310" s="1">
        <v>0</v>
      </c>
      <c r="J310" s="1">
        <v>2</v>
      </c>
      <c r="L310" s="29"/>
      <c r="O310" s="1"/>
    </row>
    <row r="311" spans="1:15" x14ac:dyDescent="0.3">
      <c r="A311" s="1">
        <v>310</v>
      </c>
      <c r="B311" s="8">
        <v>44450.093055555553</v>
      </c>
      <c r="C311" s="1">
        <v>38</v>
      </c>
      <c r="F311" s="1" t="s">
        <v>599</v>
      </c>
      <c r="G311" s="1">
        <v>12</v>
      </c>
      <c r="H311" s="3">
        <v>45700</v>
      </c>
      <c r="I311" s="1">
        <v>0</v>
      </c>
      <c r="J311" s="1">
        <v>0</v>
      </c>
      <c r="L311" s="29"/>
      <c r="O311" s="1"/>
    </row>
    <row r="312" spans="1:15" x14ac:dyDescent="0.3">
      <c r="A312" s="1">
        <v>311</v>
      </c>
      <c r="B312" s="8">
        <v>44450.151388888888</v>
      </c>
      <c r="C312" s="1">
        <v>1</v>
      </c>
      <c r="D312" s="1" t="s">
        <v>15</v>
      </c>
      <c r="E312" s="1" t="s">
        <v>33</v>
      </c>
      <c r="H312" s="3">
        <v>5000</v>
      </c>
      <c r="I312" s="1">
        <v>1</v>
      </c>
      <c r="J312" s="1">
        <v>1</v>
      </c>
      <c r="L312" s="29"/>
      <c r="O312" s="1"/>
    </row>
    <row r="313" spans="1:15" x14ac:dyDescent="0.3">
      <c r="A313" s="1">
        <v>312</v>
      </c>
      <c r="B313" s="8">
        <v>44450.154861111114</v>
      </c>
      <c r="C313" s="1">
        <v>7</v>
      </c>
      <c r="F313" s="1" t="s">
        <v>609</v>
      </c>
      <c r="G313" s="1">
        <v>61</v>
      </c>
      <c r="H313" s="3">
        <v>356049</v>
      </c>
      <c r="I313" s="1">
        <v>0</v>
      </c>
      <c r="J313" s="1">
        <v>2</v>
      </c>
      <c r="L313" s="29"/>
      <c r="O313" s="1"/>
    </row>
    <row r="314" spans="1:15" x14ac:dyDescent="0.3">
      <c r="A314" s="1">
        <v>313</v>
      </c>
      <c r="B314" s="8">
        <v>44450.17083333333</v>
      </c>
      <c r="C314" s="1">
        <v>34</v>
      </c>
      <c r="D314" s="1" t="s">
        <v>211</v>
      </c>
      <c r="E314" s="1" t="s">
        <v>15</v>
      </c>
      <c r="H314" s="3">
        <v>494000</v>
      </c>
      <c r="I314" s="1">
        <v>1</v>
      </c>
      <c r="J314" s="1">
        <v>1</v>
      </c>
      <c r="L314" s="29"/>
      <c r="O314" s="1"/>
    </row>
    <row r="315" spans="1:15" x14ac:dyDescent="0.3">
      <c r="A315" s="1">
        <v>314</v>
      </c>
      <c r="B315" s="8">
        <v>44450.284722222219</v>
      </c>
      <c r="C315" s="1">
        <v>4</v>
      </c>
      <c r="F315" s="1" t="s">
        <v>600</v>
      </c>
      <c r="G315" s="1">
        <v>42</v>
      </c>
      <c r="H315" s="3">
        <v>2692806</v>
      </c>
      <c r="I315" s="1">
        <v>1</v>
      </c>
      <c r="J315" s="1">
        <v>12</v>
      </c>
      <c r="L315" s="29"/>
      <c r="O315" s="1"/>
    </row>
    <row r="316" spans="1:15" x14ac:dyDescent="0.3">
      <c r="A316" s="1">
        <v>315</v>
      </c>
      <c r="B316" s="8">
        <v>44450.286805555559</v>
      </c>
      <c r="C316" s="1">
        <v>10</v>
      </c>
      <c r="F316" s="1" t="s">
        <v>611</v>
      </c>
      <c r="G316" s="1">
        <v>8</v>
      </c>
      <c r="H316" s="3">
        <v>1559</v>
      </c>
      <c r="I316" s="1">
        <v>2</v>
      </c>
      <c r="J316" s="1">
        <v>1</v>
      </c>
      <c r="L316" s="29"/>
      <c r="O316" s="1"/>
    </row>
    <row r="317" spans="1:15" x14ac:dyDescent="0.3">
      <c r="A317" s="1">
        <v>316</v>
      </c>
      <c r="B317" s="8">
        <v>44450.311805555553</v>
      </c>
      <c r="C317" s="1">
        <v>6</v>
      </c>
      <c r="F317" s="1" t="s">
        <v>590</v>
      </c>
      <c r="G317" s="1">
        <v>70</v>
      </c>
      <c r="H317" s="3">
        <v>1039</v>
      </c>
      <c r="I317" s="1">
        <v>2</v>
      </c>
      <c r="J317" s="1">
        <v>1</v>
      </c>
      <c r="L317" s="29"/>
      <c r="O317" s="1"/>
    </row>
    <row r="318" spans="1:15" x14ac:dyDescent="0.3">
      <c r="A318" s="1">
        <v>317</v>
      </c>
      <c r="B318" s="8">
        <v>44450.48541666667</v>
      </c>
      <c r="C318" s="1">
        <v>30</v>
      </c>
      <c r="F318" s="1" t="s">
        <v>628</v>
      </c>
      <c r="G318" s="1">
        <v>21</v>
      </c>
      <c r="H318" s="3">
        <v>19551</v>
      </c>
      <c r="I318" s="1">
        <v>0</v>
      </c>
      <c r="J318" s="1">
        <v>1</v>
      </c>
      <c r="L318" s="29"/>
      <c r="O318" s="1"/>
    </row>
    <row r="319" spans="1:15" x14ac:dyDescent="0.3">
      <c r="A319" s="1">
        <v>318</v>
      </c>
      <c r="B319" s="8">
        <v>44450.603472222225</v>
      </c>
      <c r="C319" s="1">
        <v>7</v>
      </c>
      <c r="D319" s="1" t="s">
        <v>51</v>
      </c>
      <c r="E319" s="1" t="s">
        <v>229</v>
      </c>
      <c r="H319" s="3">
        <v>246000</v>
      </c>
      <c r="I319" s="1">
        <v>1</v>
      </c>
      <c r="J319" s="1">
        <v>1</v>
      </c>
      <c r="L319" s="29"/>
      <c r="O319" s="1"/>
    </row>
    <row r="320" spans="1:15" x14ac:dyDescent="0.3">
      <c r="A320" s="1">
        <v>319</v>
      </c>
      <c r="B320" s="8">
        <v>44450.963194444441</v>
      </c>
      <c r="C320" s="1">
        <v>12</v>
      </c>
      <c r="F320" s="1" t="s">
        <v>602</v>
      </c>
      <c r="G320" s="1">
        <v>87</v>
      </c>
      <c r="H320" s="3">
        <v>3087</v>
      </c>
      <c r="I320" s="1">
        <v>3</v>
      </c>
      <c r="J320" s="1">
        <v>2</v>
      </c>
      <c r="L320" s="29"/>
      <c r="O320" s="1"/>
    </row>
    <row r="321" spans="1:15" x14ac:dyDescent="0.3">
      <c r="A321" s="1">
        <v>320</v>
      </c>
      <c r="B321" s="8">
        <v>44451.056944444441</v>
      </c>
      <c r="C321" s="1">
        <v>36</v>
      </c>
      <c r="F321" s="1" t="s">
        <v>592</v>
      </c>
      <c r="G321" s="1">
        <v>13</v>
      </c>
      <c r="H321" s="3">
        <v>35294</v>
      </c>
      <c r="I321" s="1">
        <v>0</v>
      </c>
      <c r="J321" s="1">
        <v>1</v>
      </c>
      <c r="L321" s="29"/>
      <c r="O321" s="1"/>
    </row>
    <row r="322" spans="1:15" x14ac:dyDescent="0.3">
      <c r="A322" s="1">
        <v>321</v>
      </c>
      <c r="B322" s="8">
        <v>44451.51666666667</v>
      </c>
      <c r="C322" s="1">
        <v>7</v>
      </c>
      <c r="F322" s="1" t="s">
        <v>609</v>
      </c>
      <c r="G322" s="1">
        <v>10</v>
      </c>
      <c r="H322" s="3">
        <v>30027</v>
      </c>
      <c r="I322" s="1">
        <v>1</v>
      </c>
      <c r="J322" s="1">
        <v>1</v>
      </c>
      <c r="L322" s="29"/>
      <c r="O322" s="1"/>
    </row>
    <row r="323" spans="1:15" x14ac:dyDescent="0.3">
      <c r="A323" s="1">
        <v>322</v>
      </c>
      <c r="B323" s="8">
        <v>44451.611111111109</v>
      </c>
      <c r="C323" s="1">
        <v>15</v>
      </c>
      <c r="F323" s="1" t="s">
        <v>597</v>
      </c>
      <c r="G323" s="1">
        <v>13</v>
      </c>
      <c r="H323" s="3">
        <v>33835</v>
      </c>
      <c r="I323" s="1">
        <v>0</v>
      </c>
      <c r="J323" s="1">
        <v>0</v>
      </c>
      <c r="L323" s="29"/>
      <c r="O323" s="1"/>
    </row>
    <row r="324" spans="1:15" x14ac:dyDescent="0.3">
      <c r="A324" s="1">
        <v>323</v>
      </c>
      <c r="B324" s="8">
        <v>44451.69027777778</v>
      </c>
      <c r="C324" s="1">
        <v>8</v>
      </c>
      <c r="F324" s="1" t="s">
        <v>621</v>
      </c>
      <c r="G324" s="1">
        <v>82</v>
      </c>
      <c r="H324" s="3">
        <v>2107410</v>
      </c>
      <c r="I324" s="1">
        <v>0</v>
      </c>
      <c r="J324" s="1">
        <v>3</v>
      </c>
      <c r="L324" s="29"/>
      <c r="O324" s="1"/>
    </row>
    <row r="325" spans="1:15" x14ac:dyDescent="0.3">
      <c r="A325" s="1">
        <v>324</v>
      </c>
      <c r="B325" s="8">
        <v>44451.722222222219</v>
      </c>
      <c r="C325" s="1">
        <v>26</v>
      </c>
      <c r="D325" s="1" t="s">
        <v>165</v>
      </c>
      <c r="E325" s="1" t="s">
        <v>69</v>
      </c>
      <c r="H325" s="3">
        <v>129000</v>
      </c>
      <c r="I325" s="1">
        <v>1</v>
      </c>
      <c r="J325" s="1">
        <v>1</v>
      </c>
      <c r="L325" s="29"/>
      <c r="O325" s="1"/>
    </row>
    <row r="326" spans="1:15" x14ac:dyDescent="0.3">
      <c r="A326" s="1">
        <v>325</v>
      </c>
      <c r="B326" s="8">
        <v>44451.918055555558</v>
      </c>
      <c r="C326" s="1">
        <v>36</v>
      </c>
      <c r="D326" s="1" t="s">
        <v>223</v>
      </c>
      <c r="E326" s="1" t="s">
        <v>69</v>
      </c>
      <c r="H326" s="3">
        <v>82000</v>
      </c>
      <c r="I326" s="1">
        <v>1</v>
      </c>
      <c r="J326" s="1">
        <v>1</v>
      </c>
      <c r="L326" s="29"/>
      <c r="O326" s="1"/>
    </row>
    <row r="327" spans="1:15" x14ac:dyDescent="0.3">
      <c r="A327" s="1">
        <v>326</v>
      </c>
      <c r="B327" s="8">
        <v>44452.160416666666</v>
      </c>
      <c r="C327" s="1">
        <v>20</v>
      </c>
      <c r="F327" s="1" t="s">
        <v>610</v>
      </c>
      <c r="G327" s="1">
        <v>20</v>
      </c>
      <c r="H327" s="3">
        <v>9660</v>
      </c>
      <c r="I327" s="1">
        <v>0</v>
      </c>
      <c r="J327" s="1">
        <v>0</v>
      </c>
      <c r="L327" s="29"/>
      <c r="O327" s="1"/>
    </row>
    <row r="328" spans="1:15" x14ac:dyDescent="0.3">
      <c r="A328" s="1">
        <v>327</v>
      </c>
      <c r="B328" s="8">
        <v>44452.217361111114</v>
      </c>
      <c r="C328" s="1">
        <v>19</v>
      </c>
      <c r="D328" s="1" t="s">
        <v>123</v>
      </c>
      <c r="E328" s="1" t="s">
        <v>194</v>
      </c>
      <c r="H328" s="3">
        <v>319000</v>
      </c>
      <c r="I328" s="1">
        <v>1</v>
      </c>
      <c r="J328" s="1">
        <v>1</v>
      </c>
      <c r="L328" s="29"/>
      <c r="O328" s="1"/>
    </row>
    <row r="329" spans="1:15" x14ac:dyDescent="0.3">
      <c r="A329" s="1">
        <v>328</v>
      </c>
      <c r="B329" s="8">
        <v>44452.552083333336</v>
      </c>
      <c r="C329" s="1">
        <v>5</v>
      </c>
      <c r="F329" s="1" t="s">
        <v>589</v>
      </c>
      <c r="G329" s="1">
        <v>37</v>
      </c>
      <c r="H329" s="3">
        <v>238970</v>
      </c>
      <c r="I329" s="1">
        <v>0</v>
      </c>
      <c r="J329" s="1">
        <v>4</v>
      </c>
      <c r="L329" s="29"/>
      <c r="O329" s="1"/>
    </row>
    <row r="330" spans="1:15" x14ac:dyDescent="0.3">
      <c r="A330" s="1">
        <v>329</v>
      </c>
      <c r="B330" s="8">
        <v>44453.511111111111</v>
      </c>
      <c r="C330" s="1">
        <v>4</v>
      </c>
      <c r="F330" s="1" t="s">
        <v>639</v>
      </c>
      <c r="G330" s="1">
        <v>42</v>
      </c>
      <c r="H330" s="3">
        <v>2620574</v>
      </c>
      <c r="I330" s="1">
        <v>0</v>
      </c>
      <c r="J330" s="1">
        <v>5</v>
      </c>
      <c r="L330" s="29"/>
      <c r="O330" s="1"/>
    </row>
    <row r="331" spans="1:15" x14ac:dyDescent="0.3">
      <c r="A331" s="1">
        <v>330</v>
      </c>
      <c r="B331" s="8">
        <v>44453.734722222223</v>
      </c>
      <c r="C331" s="1">
        <v>25</v>
      </c>
      <c r="D331" s="1" t="s">
        <v>159</v>
      </c>
      <c r="E331" s="1" t="s">
        <v>33</v>
      </c>
      <c r="H331" s="3">
        <v>397000</v>
      </c>
      <c r="I331" s="1">
        <v>1</v>
      </c>
      <c r="J331" s="1">
        <v>1</v>
      </c>
      <c r="L331" s="29"/>
      <c r="O331" s="1"/>
    </row>
    <row r="332" spans="1:15" x14ac:dyDescent="0.3">
      <c r="A332" s="1">
        <v>331</v>
      </c>
      <c r="B332" s="8">
        <v>44453.845138888886</v>
      </c>
      <c r="C332" s="1">
        <v>23</v>
      </c>
      <c r="D332" s="1" t="s">
        <v>147</v>
      </c>
      <c r="E332" s="1" t="s">
        <v>75</v>
      </c>
      <c r="H332" s="3">
        <v>201000</v>
      </c>
      <c r="I332" s="1">
        <v>1</v>
      </c>
      <c r="J332" s="1">
        <v>1</v>
      </c>
      <c r="L332" s="29"/>
      <c r="O332" s="1"/>
    </row>
    <row r="333" spans="1:15" x14ac:dyDescent="0.3">
      <c r="A333" s="1">
        <v>332</v>
      </c>
      <c r="B333" s="8">
        <v>44453.855555555558</v>
      </c>
      <c r="C333" s="1">
        <v>3</v>
      </c>
      <c r="D333" s="1" t="s">
        <v>27</v>
      </c>
      <c r="E333" s="1" t="s">
        <v>194</v>
      </c>
      <c r="H333" s="3">
        <v>83000</v>
      </c>
      <c r="I333" s="1">
        <v>1</v>
      </c>
      <c r="J333" s="1">
        <v>1</v>
      </c>
      <c r="L333" s="29"/>
      <c r="O333" s="1"/>
    </row>
    <row r="334" spans="1:15" x14ac:dyDescent="0.3">
      <c r="A334" s="1">
        <v>333</v>
      </c>
      <c r="B334" s="8">
        <v>44453.879166666666</v>
      </c>
      <c r="C334" s="1">
        <v>21</v>
      </c>
      <c r="D334" s="1" t="s">
        <v>135</v>
      </c>
      <c r="E334" s="1" t="s">
        <v>188</v>
      </c>
      <c r="H334" s="3">
        <v>19000</v>
      </c>
      <c r="I334" s="1">
        <v>1</v>
      </c>
      <c r="J334" s="1">
        <v>1</v>
      </c>
      <c r="L334" s="29"/>
      <c r="O334" s="1"/>
    </row>
    <row r="335" spans="1:15" x14ac:dyDescent="0.3">
      <c r="A335" s="1">
        <v>334</v>
      </c>
      <c r="B335" s="8">
        <v>44453.944444444445</v>
      </c>
      <c r="C335" s="1">
        <v>15</v>
      </c>
      <c r="F335" s="1" t="s">
        <v>597</v>
      </c>
      <c r="G335" s="1">
        <v>2</v>
      </c>
      <c r="H335" s="3">
        <v>2400</v>
      </c>
      <c r="I335" s="1">
        <v>1</v>
      </c>
      <c r="J335" s="1">
        <v>0</v>
      </c>
      <c r="L335" s="29"/>
      <c r="O335" s="1"/>
    </row>
    <row r="336" spans="1:15" x14ac:dyDescent="0.3">
      <c r="A336" s="1">
        <v>335</v>
      </c>
      <c r="B336" s="8">
        <v>44453.947916666664</v>
      </c>
      <c r="C336" s="1">
        <v>15</v>
      </c>
      <c r="F336" s="1" t="s">
        <v>597</v>
      </c>
      <c r="G336" s="1">
        <v>87</v>
      </c>
      <c r="H336" s="3">
        <v>3087</v>
      </c>
      <c r="I336" s="1">
        <v>4</v>
      </c>
      <c r="J336" s="1">
        <v>3</v>
      </c>
      <c r="L336" s="29"/>
      <c r="O336" s="1"/>
    </row>
    <row r="337" spans="1:15" x14ac:dyDescent="0.3">
      <c r="A337" s="1">
        <v>336</v>
      </c>
      <c r="B337" s="8">
        <v>44453.99722222222</v>
      </c>
      <c r="C337" s="1">
        <v>36</v>
      </c>
      <c r="F337" s="1" t="s">
        <v>592</v>
      </c>
      <c r="G337" s="1">
        <v>45</v>
      </c>
      <c r="H337" s="3">
        <v>2496614</v>
      </c>
      <c r="I337" s="1">
        <v>0</v>
      </c>
      <c r="J337" s="1">
        <v>12</v>
      </c>
      <c r="L337" s="29"/>
      <c r="O337" s="1"/>
    </row>
    <row r="338" spans="1:15" x14ac:dyDescent="0.3">
      <c r="A338" s="1">
        <v>337</v>
      </c>
      <c r="B338" s="8">
        <v>44454.176388888889</v>
      </c>
      <c r="C338" s="1">
        <v>33</v>
      </c>
      <c r="D338" s="1" t="s">
        <v>206</v>
      </c>
      <c r="E338" s="1" t="s">
        <v>200</v>
      </c>
      <c r="H338" s="3">
        <v>209000</v>
      </c>
      <c r="I338" s="1">
        <v>1</v>
      </c>
      <c r="J338" s="1">
        <v>1</v>
      </c>
      <c r="L338" s="29"/>
      <c r="O338" s="1"/>
    </row>
    <row r="339" spans="1:15" x14ac:dyDescent="0.3">
      <c r="A339" s="1">
        <v>338</v>
      </c>
      <c r="B339" s="8">
        <v>44454.253472222219</v>
      </c>
      <c r="C339" s="1">
        <v>37</v>
      </c>
      <c r="F339" s="1" t="s">
        <v>627</v>
      </c>
      <c r="G339" s="1">
        <v>62</v>
      </c>
      <c r="H339" s="3">
        <v>111204</v>
      </c>
      <c r="I339" s="1">
        <v>0</v>
      </c>
      <c r="J339" s="1">
        <v>5</v>
      </c>
      <c r="L339" s="29"/>
      <c r="O339" s="1"/>
    </row>
    <row r="340" spans="1:15" x14ac:dyDescent="0.3">
      <c r="A340" s="1">
        <v>339</v>
      </c>
      <c r="B340" s="8">
        <v>44454.47152777778</v>
      </c>
      <c r="C340" s="1">
        <v>36</v>
      </c>
      <c r="F340" s="1" t="s">
        <v>592</v>
      </c>
      <c r="G340" s="1">
        <v>8</v>
      </c>
      <c r="H340" s="3">
        <v>1500</v>
      </c>
      <c r="I340" s="1">
        <v>1</v>
      </c>
      <c r="J340" s="1">
        <v>0</v>
      </c>
      <c r="L340" s="29"/>
      <c r="O340" s="1"/>
    </row>
    <row r="341" spans="1:15" x14ac:dyDescent="0.3">
      <c r="A341" s="1">
        <v>340</v>
      </c>
      <c r="B341" s="8">
        <v>44454.595833333333</v>
      </c>
      <c r="C341" s="1">
        <v>8</v>
      </c>
      <c r="F341" s="1" t="s">
        <v>621</v>
      </c>
      <c r="G341" s="1">
        <v>14</v>
      </c>
      <c r="H341" s="3">
        <v>15120</v>
      </c>
      <c r="I341" s="1">
        <v>0</v>
      </c>
      <c r="J341" s="1">
        <v>0</v>
      </c>
      <c r="L341" s="29"/>
      <c r="O341" s="1"/>
    </row>
    <row r="342" spans="1:15" x14ac:dyDescent="0.3">
      <c r="A342" s="1">
        <v>341</v>
      </c>
      <c r="B342" s="8">
        <v>44454.661111111112</v>
      </c>
      <c r="C342" s="1">
        <v>35</v>
      </c>
      <c r="F342" s="1" t="s">
        <v>618</v>
      </c>
      <c r="G342" s="1">
        <v>8</v>
      </c>
      <c r="H342" s="3">
        <v>1500</v>
      </c>
      <c r="I342" s="1">
        <v>1</v>
      </c>
      <c r="J342" s="1">
        <v>0</v>
      </c>
      <c r="L342" s="29"/>
      <c r="O342" s="1"/>
    </row>
    <row r="343" spans="1:15" x14ac:dyDescent="0.3">
      <c r="A343" s="1">
        <v>342</v>
      </c>
      <c r="B343" s="8">
        <v>44454.68472222222</v>
      </c>
      <c r="C343" s="1">
        <v>10</v>
      </c>
      <c r="D343" s="1" t="s">
        <v>69</v>
      </c>
      <c r="E343" s="1" t="s">
        <v>39</v>
      </c>
      <c r="H343" s="3">
        <v>22200</v>
      </c>
      <c r="I343" s="1">
        <v>1</v>
      </c>
      <c r="J343" s="1">
        <v>1</v>
      </c>
      <c r="L343" s="29"/>
      <c r="O343" s="1"/>
    </row>
    <row r="344" spans="1:15" x14ac:dyDescent="0.3">
      <c r="A344" s="1">
        <v>343</v>
      </c>
      <c r="B344" s="8">
        <v>44454.765972222223</v>
      </c>
      <c r="C344" s="1">
        <v>7</v>
      </c>
      <c r="F344" s="1" t="s">
        <v>609</v>
      </c>
      <c r="G344" s="1">
        <v>39</v>
      </c>
      <c r="H344" s="3">
        <v>1518356</v>
      </c>
      <c r="I344" s="1">
        <v>0</v>
      </c>
      <c r="J344" s="1">
        <v>0</v>
      </c>
      <c r="L344" s="29"/>
      <c r="O344" s="1"/>
    </row>
    <row r="345" spans="1:15" x14ac:dyDescent="0.3">
      <c r="A345" s="1">
        <v>344</v>
      </c>
      <c r="B345" s="8">
        <v>44454.822222222225</v>
      </c>
      <c r="C345" s="1">
        <v>29</v>
      </c>
      <c r="F345" s="1" t="s">
        <v>608</v>
      </c>
      <c r="G345" s="1">
        <v>53</v>
      </c>
      <c r="H345" s="3">
        <v>86127</v>
      </c>
      <c r="I345" s="1">
        <v>0</v>
      </c>
      <c r="J345" s="1">
        <v>7</v>
      </c>
      <c r="L345" s="29"/>
      <c r="O345" s="1"/>
    </row>
    <row r="346" spans="1:15" x14ac:dyDescent="0.3">
      <c r="A346" s="1">
        <v>345</v>
      </c>
      <c r="B346" s="8">
        <v>44454.856249999997</v>
      </c>
      <c r="C346" s="1">
        <v>11</v>
      </c>
      <c r="F346" s="1" t="s">
        <v>596</v>
      </c>
      <c r="G346" s="1">
        <v>50</v>
      </c>
      <c r="H346" s="3">
        <v>10490</v>
      </c>
      <c r="I346" s="1">
        <v>0</v>
      </c>
      <c r="J346" s="1">
        <v>4</v>
      </c>
      <c r="L346" s="29"/>
      <c r="O346" s="1"/>
    </row>
    <row r="347" spans="1:15" x14ac:dyDescent="0.3">
      <c r="A347" s="1">
        <v>346</v>
      </c>
      <c r="B347" s="8">
        <v>44454.895833333336</v>
      </c>
      <c r="C347" s="1">
        <v>13</v>
      </c>
      <c r="D347" s="1" t="s">
        <v>87</v>
      </c>
      <c r="E347" s="1" t="s">
        <v>63</v>
      </c>
      <c r="H347" s="3">
        <v>334000</v>
      </c>
      <c r="I347" s="1">
        <v>1</v>
      </c>
      <c r="J347" s="1">
        <v>1</v>
      </c>
      <c r="L347" s="29"/>
      <c r="O347" s="1"/>
    </row>
    <row r="348" spans="1:15" x14ac:dyDescent="0.3">
      <c r="A348" s="1">
        <v>347</v>
      </c>
      <c r="B348" s="8">
        <v>44455.052083333336</v>
      </c>
      <c r="C348" s="1">
        <v>30</v>
      </c>
      <c r="F348" s="1" t="s">
        <v>628</v>
      </c>
      <c r="G348" s="1">
        <v>14</v>
      </c>
      <c r="H348" s="3">
        <v>15450</v>
      </c>
      <c r="I348" s="1">
        <v>0</v>
      </c>
      <c r="J348" s="1">
        <v>1</v>
      </c>
      <c r="L348" s="29"/>
      <c r="O348" s="1"/>
    </row>
    <row r="349" spans="1:15" x14ac:dyDescent="0.3">
      <c r="A349" s="1">
        <v>348</v>
      </c>
      <c r="B349" s="8">
        <v>44455.197222222225</v>
      </c>
      <c r="C349" s="1">
        <v>7</v>
      </c>
      <c r="D349" s="1" t="s">
        <v>51</v>
      </c>
      <c r="E349" s="1" t="s">
        <v>217</v>
      </c>
      <c r="H349" s="3">
        <v>464000</v>
      </c>
      <c r="I349" s="1">
        <v>1</v>
      </c>
      <c r="J349" s="1">
        <v>1</v>
      </c>
      <c r="L349" s="29"/>
      <c r="O349" s="1"/>
    </row>
    <row r="350" spans="1:15" x14ac:dyDescent="0.3">
      <c r="A350" s="1">
        <v>349</v>
      </c>
      <c r="B350" s="8">
        <v>44455.294444444444</v>
      </c>
      <c r="C350" s="1">
        <v>15</v>
      </c>
      <c r="D350" s="1" t="s">
        <v>99</v>
      </c>
      <c r="E350" s="1" t="s">
        <v>165</v>
      </c>
      <c r="H350" s="3">
        <v>156000</v>
      </c>
      <c r="I350" s="1">
        <v>1</v>
      </c>
      <c r="J350" s="1">
        <v>1</v>
      </c>
      <c r="L350" s="29"/>
      <c r="O350" s="1"/>
    </row>
    <row r="351" spans="1:15" x14ac:dyDescent="0.3">
      <c r="A351" s="1">
        <v>350</v>
      </c>
      <c r="B351" s="8">
        <v>44455.316666666666</v>
      </c>
      <c r="C351" s="1">
        <v>22</v>
      </c>
      <c r="F351" s="1" t="s">
        <v>641</v>
      </c>
      <c r="G351" s="1">
        <v>64</v>
      </c>
      <c r="H351" s="3">
        <v>19900</v>
      </c>
      <c r="I351" s="1">
        <v>0</v>
      </c>
      <c r="J351" s="1">
        <v>0</v>
      </c>
      <c r="L351" s="29"/>
      <c r="O351" s="1"/>
    </row>
    <row r="352" spans="1:15" x14ac:dyDescent="0.3">
      <c r="A352" s="1">
        <v>351</v>
      </c>
      <c r="B352" s="8">
        <v>44455.418749999997</v>
      </c>
      <c r="C352" s="1">
        <v>5</v>
      </c>
      <c r="D352" s="1" t="s">
        <v>39</v>
      </c>
      <c r="E352" s="1" t="s">
        <v>147</v>
      </c>
      <c r="H352" s="3">
        <v>303000</v>
      </c>
      <c r="I352" s="1">
        <v>1</v>
      </c>
      <c r="J352" s="1">
        <v>1</v>
      </c>
      <c r="L352" s="29"/>
      <c r="O352" s="1"/>
    </row>
    <row r="353" spans="1:15" x14ac:dyDescent="0.3">
      <c r="A353" s="1">
        <v>352</v>
      </c>
      <c r="B353" s="8">
        <v>44455.495138888888</v>
      </c>
      <c r="C353" s="1">
        <v>35</v>
      </c>
      <c r="F353" s="1" t="s">
        <v>618</v>
      </c>
      <c r="G353" s="1">
        <v>50</v>
      </c>
      <c r="H353" s="3">
        <v>10000</v>
      </c>
      <c r="I353" s="1">
        <v>0</v>
      </c>
      <c r="J353" s="1">
        <v>0</v>
      </c>
      <c r="L353" s="29"/>
      <c r="O353" s="1"/>
    </row>
    <row r="354" spans="1:15" x14ac:dyDescent="0.3">
      <c r="A354" s="1">
        <v>353</v>
      </c>
      <c r="B354" s="8">
        <v>44455.602777777778</v>
      </c>
      <c r="C354" s="1">
        <v>26</v>
      </c>
      <c r="F354" s="1" t="s">
        <v>640</v>
      </c>
      <c r="G354" s="1">
        <v>27</v>
      </c>
      <c r="H354" s="3">
        <v>7399442</v>
      </c>
      <c r="I354" s="1">
        <v>0</v>
      </c>
      <c r="J354" s="1">
        <v>0</v>
      </c>
      <c r="L354" s="29"/>
      <c r="O354" s="1"/>
    </row>
    <row r="355" spans="1:15" x14ac:dyDescent="0.3">
      <c r="A355" s="1">
        <v>354</v>
      </c>
      <c r="B355" s="8">
        <v>44455.752083333333</v>
      </c>
      <c r="C355" s="1">
        <v>10</v>
      </c>
      <c r="D355" s="1" t="s">
        <v>69</v>
      </c>
      <c r="E355" s="1" t="s">
        <v>171</v>
      </c>
      <c r="H355" s="3">
        <v>1790</v>
      </c>
      <c r="I355" s="1">
        <v>1</v>
      </c>
      <c r="J355" s="1">
        <v>1</v>
      </c>
      <c r="L355" s="29"/>
      <c r="O355" s="1"/>
    </row>
    <row r="356" spans="1:15" x14ac:dyDescent="0.3">
      <c r="A356" s="1">
        <v>355</v>
      </c>
      <c r="B356" s="8">
        <v>44455.847222222219</v>
      </c>
      <c r="C356" s="1">
        <v>15</v>
      </c>
      <c r="F356" s="1" t="s">
        <v>597</v>
      </c>
      <c r="G356" s="1">
        <v>65</v>
      </c>
      <c r="H356" s="3">
        <v>3357000</v>
      </c>
      <c r="I356" s="1">
        <v>0</v>
      </c>
      <c r="J356" s="1">
        <v>0</v>
      </c>
      <c r="L356" s="29"/>
      <c r="O356" s="1"/>
    </row>
    <row r="357" spans="1:15" x14ac:dyDescent="0.3">
      <c r="A357" s="1">
        <v>356</v>
      </c>
      <c r="B357" s="8">
        <v>44455.870138888888</v>
      </c>
      <c r="C357" s="1">
        <v>4</v>
      </c>
      <c r="F357" s="1" t="s">
        <v>600</v>
      </c>
      <c r="G357" s="1">
        <v>69</v>
      </c>
      <c r="H357" s="3">
        <v>925071</v>
      </c>
      <c r="I357" s="1">
        <v>0</v>
      </c>
      <c r="J357" s="1">
        <v>12</v>
      </c>
      <c r="L357" s="29"/>
      <c r="O357" s="1"/>
    </row>
    <row r="358" spans="1:15" x14ac:dyDescent="0.3">
      <c r="A358" s="1">
        <v>357</v>
      </c>
      <c r="B358" s="8">
        <v>44455.914583333331</v>
      </c>
      <c r="C358" s="1">
        <v>4</v>
      </c>
      <c r="D358" s="1" t="s">
        <v>33</v>
      </c>
      <c r="E358" s="1" t="s">
        <v>211</v>
      </c>
      <c r="H358" s="3">
        <v>308000</v>
      </c>
      <c r="I358" s="1">
        <v>1</v>
      </c>
      <c r="J358" s="1">
        <v>1</v>
      </c>
      <c r="L358" s="29"/>
      <c r="O358" s="1"/>
    </row>
    <row r="359" spans="1:15" x14ac:dyDescent="0.3">
      <c r="A359" s="1">
        <v>358</v>
      </c>
      <c r="B359" s="8">
        <v>44455.965277777781</v>
      </c>
      <c r="C359" s="1">
        <v>21</v>
      </c>
      <c r="D359" s="1" t="s">
        <v>135</v>
      </c>
      <c r="E359" s="1" t="s">
        <v>45</v>
      </c>
      <c r="H359" s="3">
        <v>2000</v>
      </c>
      <c r="I359" s="1">
        <v>1</v>
      </c>
      <c r="J359" s="1">
        <v>1</v>
      </c>
      <c r="L359" s="29"/>
      <c r="O359" s="1"/>
    </row>
    <row r="360" spans="1:15" x14ac:dyDescent="0.3">
      <c r="A360" s="1">
        <v>359</v>
      </c>
      <c r="B360" s="8">
        <v>44456.043749999997</v>
      </c>
      <c r="C360" s="1">
        <v>5</v>
      </c>
      <c r="F360" s="1" t="s">
        <v>589</v>
      </c>
      <c r="G360" s="1">
        <v>20</v>
      </c>
      <c r="H360" s="3">
        <v>9616</v>
      </c>
      <c r="I360" s="1">
        <v>0</v>
      </c>
      <c r="J360" s="1">
        <v>1</v>
      </c>
      <c r="L360" s="29"/>
      <c r="O360" s="1"/>
    </row>
    <row r="361" spans="1:15" x14ac:dyDescent="0.3">
      <c r="A361" s="1">
        <v>360</v>
      </c>
      <c r="B361" s="8">
        <v>44456.272916666669</v>
      </c>
      <c r="C361" s="1">
        <v>35</v>
      </c>
      <c r="F361" s="1" t="s">
        <v>618</v>
      </c>
      <c r="G361" s="1">
        <v>18</v>
      </c>
      <c r="H361" s="3">
        <v>23129</v>
      </c>
      <c r="I361" s="1">
        <v>0</v>
      </c>
      <c r="J361" s="1">
        <v>0</v>
      </c>
      <c r="L361" s="29"/>
      <c r="O361" s="1"/>
    </row>
    <row r="362" spans="1:15" x14ac:dyDescent="0.3">
      <c r="A362" s="1">
        <v>361</v>
      </c>
      <c r="B362" s="8">
        <v>44456.315972222219</v>
      </c>
      <c r="C362" s="1">
        <v>1</v>
      </c>
      <c r="F362" s="1" t="s">
        <v>617</v>
      </c>
      <c r="G362" s="1">
        <v>3</v>
      </c>
      <c r="H362" s="3">
        <v>6442</v>
      </c>
      <c r="I362" s="1">
        <v>0</v>
      </c>
      <c r="J362" s="1">
        <v>2</v>
      </c>
      <c r="L362" s="29"/>
      <c r="O362" s="1"/>
    </row>
    <row r="363" spans="1:15" x14ac:dyDescent="0.3">
      <c r="A363" s="1">
        <v>362</v>
      </c>
      <c r="B363" s="8">
        <v>44456.361111111109</v>
      </c>
      <c r="C363" s="1">
        <v>1</v>
      </c>
      <c r="F363" s="1" t="s">
        <v>617</v>
      </c>
      <c r="G363" s="1">
        <v>22</v>
      </c>
      <c r="H363" s="3">
        <v>31470</v>
      </c>
      <c r="I363" s="1">
        <v>0</v>
      </c>
      <c r="J363" s="1">
        <v>2</v>
      </c>
      <c r="L363" s="29"/>
      <c r="O363" s="1"/>
    </row>
    <row r="364" spans="1:15" x14ac:dyDescent="0.3">
      <c r="A364" s="1">
        <v>363</v>
      </c>
      <c r="B364" s="8">
        <v>44456.434027777781</v>
      </c>
      <c r="C364" s="1">
        <v>10</v>
      </c>
      <c r="F364" s="1" t="s">
        <v>611</v>
      </c>
      <c r="G364" s="1">
        <v>38</v>
      </c>
      <c r="H364" s="3">
        <v>497681</v>
      </c>
      <c r="I364" s="1">
        <v>0</v>
      </c>
      <c r="J364" s="1">
        <v>3</v>
      </c>
      <c r="L364" s="29"/>
      <c r="O364" s="1"/>
    </row>
    <row r="365" spans="1:15" x14ac:dyDescent="0.3">
      <c r="A365" s="1">
        <v>364</v>
      </c>
      <c r="B365" s="8">
        <v>44456.47152777778</v>
      </c>
      <c r="C365" s="1">
        <v>14</v>
      </c>
      <c r="F365" s="1" t="s">
        <v>588</v>
      </c>
      <c r="G365" s="1">
        <v>46</v>
      </c>
      <c r="H365" s="3">
        <v>7136559</v>
      </c>
      <c r="I365" s="1">
        <v>0</v>
      </c>
      <c r="J365" s="1">
        <v>2</v>
      </c>
      <c r="L365" s="29"/>
      <c r="O365" s="1"/>
    </row>
    <row r="366" spans="1:15" x14ac:dyDescent="0.3">
      <c r="A366" s="1">
        <v>365</v>
      </c>
      <c r="B366" s="8">
        <v>44456.594444444447</v>
      </c>
      <c r="C366" s="1">
        <v>17</v>
      </c>
      <c r="D366" s="1" t="s">
        <v>111</v>
      </c>
      <c r="E366" s="1" t="s">
        <v>147</v>
      </c>
      <c r="H366" s="3">
        <v>483000</v>
      </c>
      <c r="I366" s="1">
        <v>1</v>
      </c>
      <c r="J366" s="1">
        <v>1</v>
      </c>
      <c r="L366" s="29"/>
      <c r="O366" s="1"/>
    </row>
    <row r="367" spans="1:15" x14ac:dyDescent="0.3">
      <c r="A367" s="1">
        <v>366</v>
      </c>
      <c r="B367" s="8">
        <v>44456.638888888891</v>
      </c>
      <c r="C367" s="1">
        <v>3</v>
      </c>
      <c r="F367" s="1" t="s">
        <v>642</v>
      </c>
      <c r="G367" s="1">
        <v>14</v>
      </c>
      <c r="H367" s="3">
        <v>15120</v>
      </c>
      <c r="I367" s="1">
        <v>0</v>
      </c>
      <c r="J367" s="1">
        <v>0</v>
      </c>
      <c r="L367" s="29"/>
      <c r="O367" s="1"/>
    </row>
    <row r="368" spans="1:15" x14ac:dyDescent="0.3">
      <c r="A368" s="1">
        <v>367</v>
      </c>
      <c r="B368" s="8">
        <v>44456.935416666667</v>
      </c>
      <c r="C368" s="1">
        <v>21</v>
      </c>
      <c r="F368" s="1" t="s">
        <v>633</v>
      </c>
      <c r="G368" s="1">
        <v>19</v>
      </c>
      <c r="H368" s="3">
        <v>26651</v>
      </c>
      <c r="I368" s="1">
        <v>0</v>
      </c>
      <c r="J368" s="1">
        <v>4</v>
      </c>
      <c r="L368" s="29"/>
      <c r="O368" s="1"/>
    </row>
    <row r="369" spans="1:15" x14ac:dyDescent="0.3">
      <c r="A369" s="1">
        <v>368</v>
      </c>
      <c r="B369" s="8">
        <v>44456.960416666669</v>
      </c>
      <c r="C369" s="1">
        <v>1</v>
      </c>
      <c r="F369" s="1" t="s">
        <v>617</v>
      </c>
      <c r="G369" s="1">
        <v>6</v>
      </c>
      <c r="H369" s="3">
        <v>11000</v>
      </c>
      <c r="I369" s="1">
        <v>0</v>
      </c>
      <c r="J369" s="1">
        <v>0</v>
      </c>
      <c r="L369" s="29"/>
      <c r="O369" s="1"/>
    </row>
    <row r="370" spans="1:15" x14ac:dyDescent="0.3">
      <c r="A370" s="1">
        <v>369</v>
      </c>
      <c r="B370" s="8">
        <v>44456.975694444445</v>
      </c>
      <c r="C370" s="1">
        <v>1</v>
      </c>
      <c r="F370" s="1" t="s">
        <v>617</v>
      </c>
      <c r="G370" s="1">
        <v>79</v>
      </c>
      <c r="H370" s="3">
        <v>3517920</v>
      </c>
      <c r="I370" s="1">
        <v>0</v>
      </c>
      <c r="J370" s="1">
        <v>0</v>
      </c>
      <c r="L370" s="29"/>
      <c r="O370" s="1"/>
    </row>
    <row r="371" spans="1:15" x14ac:dyDescent="0.3">
      <c r="A371" s="1">
        <v>370</v>
      </c>
      <c r="B371" s="8">
        <v>44457.145833333336</v>
      </c>
      <c r="C371" s="1">
        <v>21</v>
      </c>
      <c r="F371" s="1" t="s">
        <v>643</v>
      </c>
      <c r="G371" s="1">
        <v>68</v>
      </c>
      <c r="H371" s="3">
        <v>19931000</v>
      </c>
      <c r="I371" s="1">
        <v>0</v>
      </c>
      <c r="J371" s="1">
        <v>12</v>
      </c>
      <c r="L371" s="29"/>
      <c r="O371" s="1"/>
    </row>
    <row r="372" spans="1:15" x14ac:dyDescent="0.3">
      <c r="A372" s="1">
        <v>371</v>
      </c>
      <c r="B372" s="8">
        <v>44457.161111111112</v>
      </c>
      <c r="C372" s="1">
        <v>16</v>
      </c>
      <c r="D372" s="1" t="s">
        <v>105</v>
      </c>
      <c r="E372" s="1" t="s">
        <v>63</v>
      </c>
      <c r="H372" s="3">
        <v>170000</v>
      </c>
      <c r="I372" s="1">
        <v>1</v>
      </c>
      <c r="J372" s="1">
        <v>1</v>
      </c>
      <c r="L372" s="29"/>
      <c r="O372" s="1"/>
    </row>
    <row r="373" spans="1:15" x14ac:dyDescent="0.3">
      <c r="A373" s="1">
        <v>372</v>
      </c>
      <c r="B373" s="8">
        <v>44457.380555555559</v>
      </c>
      <c r="C373" s="1">
        <v>7</v>
      </c>
      <c r="D373" s="1" t="s">
        <v>51</v>
      </c>
      <c r="E373" s="1" t="s">
        <v>171</v>
      </c>
      <c r="H373" s="3">
        <v>330000</v>
      </c>
      <c r="I373" s="1">
        <v>1</v>
      </c>
      <c r="J373" s="1">
        <v>1</v>
      </c>
      <c r="L373" s="29"/>
      <c r="O373" s="1"/>
    </row>
    <row r="374" spans="1:15" x14ac:dyDescent="0.3">
      <c r="A374" s="1">
        <v>373</v>
      </c>
      <c r="B374" s="8">
        <v>44457.543055555558</v>
      </c>
      <c r="C374" s="1">
        <v>34</v>
      </c>
      <c r="D374" s="1" t="s">
        <v>211</v>
      </c>
      <c r="E374" s="1" t="s">
        <v>188</v>
      </c>
      <c r="H374" s="3">
        <v>475000</v>
      </c>
      <c r="I374" s="1">
        <v>1</v>
      </c>
      <c r="J374" s="1">
        <v>1</v>
      </c>
      <c r="L374" s="29"/>
      <c r="O374" s="1"/>
    </row>
    <row r="375" spans="1:15" x14ac:dyDescent="0.3">
      <c r="A375" s="1">
        <v>374</v>
      </c>
      <c r="B375" s="8">
        <v>44457.777777777781</v>
      </c>
      <c r="C375" s="1">
        <v>15</v>
      </c>
      <c r="F375" s="1" t="s">
        <v>597</v>
      </c>
      <c r="G375" s="1">
        <v>23</v>
      </c>
      <c r="H375" s="3">
        <v>154967</v>
      </c>
      <c r="I375" s="1">
        <v>0</v>
      </c>
      <c r="J375" s="1">
        <v>3</v>
      </c>
      <c r="L375" s="29"/>
      <c r="O375" s="1"/>
    </row>
    <row r="376" spans="1:15" x14ac:dyDescent="0.3">
      <c r="A376" s="1">
        <v>375</v>
      </c>
      <c r="B376" s="8">
        <v>44457.970833333333</v>
      </c>
      <c r="C376" s="1">
        <v>3</v>
      </c>
      <c r="D376" s="1" t="s">
        <v>27</v>
      </c>
      <c r="E376" s="1" t="s">
        <v>217</v>
      </c>
      <c r="H376" s="3">
        <v>59000</v>
      </c>
      <c r="I376" s="1">
        <v>1</v>
      </c>
      <c r="J376" s="1">
        <v>1</v>
      </c>
      <c r="L376" s="29"/>
      <c r="O376" s="1"/>
    </row>
    <row r="377" spans="1:15" x14ac:dyDescent="0.3">
      <c r="A377" s="1">
        <v>376</v>
      </c>
      <c r="B377" s="8">
        <v>44458.337500000001</v>
      </c>
      <c r="C377" s="1">
        <v>24</v>
      </c>
      <c r="D377" s="1" t="s">
        <v>153</v>
      </c>
      <c r="E377" s="1" t="s">
        <v>39</v>
      </c>
      <c r="H377" s="3">
        <v>291000</v>
      </c>
      <c r="I377" s="1">
        <v>1</v>
      </c>
      <c r="J377" s="1">
        <v>1</v>
      </c>
      <c r="L377" s="29"/>
      <c r="O377" s="1"/>
    </row>
    <row r="378" spans="1:15" x14ac:dyDescent="0.3">
      <c r="A378" s="1">
        <v>377</v>
      </c>
      <c r="B378" s="8">
        <v>44458.465277777781</v>
      </c>
      <c r="C378" s="1">
        <v>10</v>
      </c>
      <c r="F378" s="1" t="s">
        <v>606</v>
      </c>
      <c r="G378" s="1">
        <v>83</v>
      </c>
      <c r="H378" s="3">
        <v>1563010</v>
      </c>
      <c r="I378" s="1">
        <v>0</v>
      </c>
      <c r="J378" s="1">
        <v>2</v>
      </c>
      <c r="L378" s="29"/>
      <c r="O378" s="1"/>
    </row>
    <row r="379" spans="1:15" x14ac:dyDescent="0.3">
      <c r="A379" s="1">
        <v>378</v>
      </c>
      <c r="B379" s="8">
        <v>44458.497916666667</v>
      </c>
      <c r="C379" s="1">
        <v>5</v>
      </c>
      <c r="F379" s="1" t="s">
        <v>589</v>
      </c>
      <c r="G379" s="1">
        <v>79</v>
      </c>
      <c r="H379" s="3">
        <v>3647867</v>
      </c>
      <c r="I379" s="1">
        <v>1</v>
      </c>
      <c r="J379" s="1">
        <v>12</v>
      </c>
      <c r="L379" s="29"/>
      <c r="O379" s="1"/>
    </row>
    <row r="380" spans="1:15" x14ac:dyDescent="0.3">
      <c r="A380" s="1">
        <v>379</v>
      </c>
      <c r="B380" s="8">
        <v>44458.527083333334</v>
      </c>
      <c r="C380" s="1">
        <v>4</v>
      </c>
      <c r="F380" s="1" t="s">
        <v>600</v>
      </c>
      <c r="G380" s="1">
        <v>54</v>
      </c>
      <c r="H380" s="3">
        <v>51450</v>
      </c>
      <c r="I380" s="1">
        <v>0</v>
      </c>
      <c r="J380" s="1">
        <v>7</v>
      </c>
      <c r="L380" s="29"/>
      <c r="O380" s="1"/>
    </row>
    <row r="381" spans="1:15" x14ac:dyDescent="0.3">
      <c r="A381" s="1">
        <v>380</v>
      </c>
      <c r="B381" s="8">
        <v>44458.884722222225</v>
      </c>
      <c r="C381" s="1">
        <v>14</v>
      </c>
      <c r="F381" s="1" t="s">
        <v>588</v>
      </c>
      <c r="G381" s="1">
        <v>2</v>
      </c>
      <c r="H381" s="3">
        <v>2470</v>
      </c>
      <c r="I381" s="1">
        <v>4</v>
      </c>
      <c r="J381" s="1">
        <v>3</v>
      </c>
      <c r="L381" s="29"/>
      <c r="O381" s="1"/>
    </row>
    <row r="382" spans="1:15" x14ac:dyDescent="0.3">
      <c r="A382" s="1">
        <v>381</v>
      </c>
      <c r="B382" s="8">
        <v>44459.213194444441</v>
      </c>
      <c r="C382" s="1">
        <v>14</v>
      </c>
      <c r="F382" s="1" t="s">
        <v>607</v>
      </c>
      <c r="G382" s="1">
        <v>50</v>
      </c>
      <c r="H382" s="3">
        <v>10390</v>
      </c>
      <c r="I382" s="1">
        <v>0</v>
      </c>
      <c r="J382" s="1">
        <v>3</v>
      </c>
      <c r="L382" s="29"/>
      <c r="O382" s="1"/>
    </row>
    <row r="383" spans="1:15" x14ac:dyDescent="0.3">
      <c r="A383" s="1">
        <v>382</v>
      </c>
      <c r="B383" s="8">
        <v>44459.704861111109</v>
      </c>
      <c r="C383" s="1">
        <v>21</v>
      </c>
      <c r="D383" s="1" t="s">
        <v>135</v>
      </c>
      <c r="E383" s="1" t="s">
        <v>247</v>
      </c>
      <c r="H383" s="3">
        <v>277000</v>
      </c>
      <c r="I383" s="1">
        <v>1</v>
      </c>
      <c r="J383" s="1">
        <v>1</v>
      </c>
      <c r="L383" s="29"/>
      <c r="O383" s="1"/>
    </row>
    <row r="384" spans="1:15" x14ac:dyDescent="0.3">
      <c r="A384" s="1">
        <v>383</v>
      </c>
      <c r="B384" s="8">
        <v>44459.979861111111</v>
      </c>
      <c r="C384" s="1">
        <v>8</v>
      </c>
      <c r="F384" s="1" t="s">
        <v>594</v>
      </c>
      <c r="G384" s="1">
        <v>9</v>
      </c>
      <c r="H384" s="3">
        <v>34356</v>
      </c>
      <c r="I384" s="1">
        <v>0</v>
      </c>
      <c r="J384" s="1">
        <v>2</v>
      </c>
      <c r="L384" s="29"/>
      <c r="O384" s="1"/>
    </row>
    <row r="385" spans="1:15" x14ac:dyDescent="0.3">
      <c r="A385" s="1">
        <v>384</v>
      </c>
      <c r="B385" s="8">
        <v>44460.428472222222</v>
      </c>
      <c r="C385" s="1">
        <v>13</v>
      </c>
      <c r="F385" s="1" t="s">
        <v>631</v>
      </c>
      <c r="G385" s="1">
        <v>23</v>
      </c>
      <c r="H385" s="3">
        <v>154967</v>
      </c>
      <c r="I385" s="1">
        <v>0</v>
      </c>
      <c r="J385" s="1">
        <v>12</v>
      </c>
      <c r="L385" s="29"/>
      <c r="O385" s="1"/>
    </row>
    <row r="386" spans="1:15" x14ac:dyDescent="0.3">
      <c r="A386" s="1">
        <v>385</v>
      </c>
      <c r="B386" s="8">
        <v>44460.588194444441</v>
      </c>
      <c r="C386" s="1">
        <v>32</v>
      </c>
      <c r="F386" s="1" t="s">
        <v>644</v>
      </c>
      <c r="G386" s="1">
        <v>50</v>
      </c>
      <c r="H386" s="3">
        <v>10390</v>
      </c>
      <c r="I386" s="1">
        <v>0</v>
      </c>
      <c r="J386" s="1">
        <v>1</v>
      </c>
      <c r="L386" s="29"/>
      <c r="O386" s="1"/>
    </row>
    <row r="387" spans="1:15" x14ac:dyDescent="0.3">
      <c r="A387" s="1">
        <v>386</v>
      </c>
      <c r="B387" s="8">
        <v>44460.663888888892</v>
      </c>
      <c r="C387" s="1">
        <v>2</v>
      </c>
      <c r="F387" s="1" t="s">
        <v>604</v>
      </c>
      <c r="G387" s="1">
        <v>13</v>
      </c>
      <c r="H387" s="3">
        <v>35119</v>
      </c>
      <c r="I387" s="1">
        <v>11</v>
      </c>
      <c r="J387" s="1">
        <v>12</v>
      </c>
      <c r="L387" s="29"/>
      <c r="O387" s="1"/>
    </row>
    <row r="388" spans="1:15" x14ac:dyDescent="0.3">
      <c r="A388" s="1">
        <v>387</v>
      </c>
      <c r="B388" s="8">
        <v>44460.800000000003</v>
      </c>
      <c r="C388" s="1">
        <v>10</v>
      </c>
      <c r="F388" s="1" t="s">
        <v>606</v>
      </c>
      <c r="G388" s="1">
        <v>10</v>
      </c>
      <c r="H388" s="3">
        <v>30316</v>
      </c>
      <c r="I388" s="1">
        <v>0</v>
      </c>
      <c r="J388" s="1">
        <v>3</v>
      </c>
      <c r="L388" s="29"/>
      <c r="O388" s="1"/>
    </row>
    <row r="389" spans="1:15" x14ac:dyDescent="0.3">
      <c r="A389" s="1">
        <v>388</v>
      </c>
      <c r="B389" s="8">
        <v>44460.910416666666</v>
      </c>
      <c r="C389" s="1">
        <v>39</v>
      </c>
      <c r="D389" s="1" t="s">
        <v>241</v>
      </c>
      <c r="E389" s="1" t="s">
        <v>45</v>
      </c>
      <c r="H389" s="3">
        <v>423000</v>
      </c>
      <c r="I389" s="1">
        <v>1</v>
      </c>
      <c r="J389" s="1">
        <v>1</v>
      </c>
      <c r="L389" s="29"/>
      <c r="O389" s="1"/>
    </row>
    <row r="390" spans="1:15" x14ac:dyDescent="0.3">
      <c r="A390" s="1">
        <v>389</v>
      </c>
      <c r="B390" s="8">
        <v>44460.974305555559</v>
      </c>
      <c r="C390" s="1">
        <v>5</v>
      </c>
      <c r="F390" s="1" t="s">
        <v>598</v>
      </c>
      <c r="G390" s="1">
        <v>50</v>
      </c>
      <c r="H390" s="3">
        <v>10490</v>
      </c>
      <c r="I390" s="1">
        <v>0</v>
      </c>
      <c r="J390" s="1">
        <v>5</v>
      </c>
      <c r="L390" s="29"/>
      <c r="O390" s="1"/>
    </row>
    <row r="391" spans="1:15" x14ac:dyDescent="0.3">
      <c r="A391" s="1">
        <v>390</v>
      </c>
      <c r="B391" s="8">
        <v>44461.07708333333</v>
      </c>
      <c r="C391" s="1">
        <v>14</v>
      </c>
      <c r="F391" s="1" t="s">
        <v>607</v>
      </c>
      <c r="G391" s="1">
        <v>19</v>
      </c>
      <c r="H391" s="3">
        <v>26910</v>
      </c>
      <c r="I391" s="1">
        <v>0</v>
      </c>
      <c r="J391" s="1">
        <v>1</v>
      </c>
      <c r="L391" s="29"/>
      <c r="O391" s="1"/>
    </row>
    <row r="392" spans="1:15" x14ac:dyDescent="0.3">
      <c r="A392" s="1">
        <v>391</v>
      </c>
      <c r="B392" s="8">
        <v>44461.250694444447</v>
      </c>
      <c r="C392" s="1">
        <v>39</v>
      </c>
      <c r="D392" s="1" t="s">
        <v>241</v>
      </c>
      <c r="E392" s="1" t="s">
        <v>206</v>
      </c>
      <c r="H392" s="3">
        <v>399000</v>
      </c>
      <c r="I392" s="1">
        <v>1</v>
      </c>
      <c r="J392" s="1">
        <v>1</v>
      </c>
      <c r="L392" s="29"/>
      <c r="O392" s="1"/>
    </row>
    <row r="393" spans="1:15" x14ac:dyDescent="0.3">
      <c r="A393" s="1">
        <v>392</v>
      </c>
      <c r="B393" s="8">
        <v>44461.286111111112</v>
      </c>
      <c r="C393" s="1">
        <v>20</v>
      </c>
      <c r="D393" s="1" t="s">
        <v>129</v>
      </c>
      <c r="E393" s="1" t="s">
        <v>39</v>
      </c>
      <c r="H393" s="3">
        <v>207000</v>
      </c>
      <c r="I393" s="1">
        <v>1</v>
      </c>
      <c r="J393" s="1">
        <v>1</v>
      </c>
      <c r="L393" s="29"/>
      <c r="O393" s="1"/>
    </row>
    <row r="394" spans="1:15" x14ac:dyDescent="0.3">
      <c r="A394" s="1">
        <v>393</v>
      </c>
      <c r="B394" s="8">
        <v>44461.320138888892</v>
      </c>
      <c r="C394" s="1">
        <v>12</v>
      </c>
      <c r="D394" s="1" t="s">
        <v>81</v>
      </c>
      <c r="E394" s="1" t="s">
        <v>63</v>
      </c>
      <c r="H394" s="3">
        <v>223000</v>
      </c>
      <c r="I394" s="1">
        <v>1</v>
      </c>
      <c r="J394" s="1">
        <v>1</v>
      </c>
      <c r="L394" s="29"/>
      <c r="O394" s="1"/>
    </row>
    <row r="395" spans="1:15" x14ac:dyDescent="0.3">
      <c r="A395" s="1">
        <v>394</v>
      </c>
      <c r="B395" s="8">
        <v>44461.395138888889</v>
      </c>
      <c r="C395" s="1">
        <v>12</v>
      </c>
      <c r="D395" s="1" t="s">
        <v>81</v>
      </c>
      <c r="E395" s="1" t="s">
        <v>165</v>
      </c>
      <c r="H395" s="3">
        <v>294000</v>
      </c>
      <c r="I395" s="1">
        <v>1</v>
      </c>
      <c r="J395" s="1">
        <v>1</v>
      </c>
      <c r="L395" s="29"/>
      <c r="O395" s="1"/>
    </row>
    <row r="396" spans="1:15" x14ac:dyDescent="0.3">
      <c r="A396" s="1">
        <v>395</v>
      </c>
      <c r="B396" s="8">
        <v>44461.456250000003</v>
      </c>
      <c r="C396" s="1">
        <v>11</v>
      </c>
      <c r="D396" s="1" t="s">
        <v>75</v>
      </c>
      <c r="E396" s="1" t="s">
        <v>153</v>
      </c>
      <c r="H396" s="3">
        <v>309000</v>
      </c>
      <c r="I396" s="1">
        <v>1</v>
      </c>
      <c r="J396" s="1">
        <v>1</v>
      </c>
      <c r="L396" s="29"/>
      <c r="O396" s="1"/>
    </row>
    <row r="397" spans="1:15" x14ac:dyDescent="0.3">
      <c r="A397" s="1">
        <v>396</v>
      </c>
      <c r="B397" s="8">
        <v>44461.644444444442</v>
      </c>
      <c r="C397" s="1">
        <v>14</v>
      </c>
      <c r="D397" s="1" t="s">
        <v>93</v>
      </c>
      <c r="E397" s="1" t="s">
        <v>39</v>
      </c>
      <c r="H397" s="3">
        <v>195000</v>
      </c>
      <c r="I397" s="1">
        <v>1</v>
      </c>
      <c r="J397" s="1">
        <v>1</v>
      </c>
      <c r="L397" s="29"/>
      <c r="O397" s="1"/>
    </row>
    <row r="398" spans="1:15" x14ac:dyDescent="0.3">
      <c r="A398" s="1">
        <v>397</v>
      </c>
      <c r="B398" s="8">
        <v>44461.734722222223</v>
      </c>
      <c r="C398" s="1">
        <v>5</v>
      </c>
      <c r="F398" s="1" t="s">
        <v>589</v>
      </c>
      <c r="G398" s="1">
        <v>8</v>
      </c>
      <c r="H398" s="3">
        <v>1500</v>
      </c>
      <c r="I398" s="1">
        <v>0</v>
      </c>
      <c r="J398" s="1">
        <v>0</v>
      </c>
      <c r="L398" s="29"/>
      <c r="O398" s="1"/>
    </row>
    <row r="399" spans="1:15" x14ac:dyDescent="0.3">
      <c r="A399" s="1">
        <v>398</v>
      </c>
      <c r="B399" s="8">
        <v>44461.811805555553</v>
      </c>
      <c r="C399" s="1">
        <v>6</v>
      </c>
      <c r="D399" s="1" t="s">
        <v>45</v>
      </c>
      <c r="E399" s="1" t="s">
        <v>51</v>
      </c>
      <c r="H399" s="3">
        <v>109000</v>
      </c>
      <c r="I399" s="1">
        <v>1</v>
      </c>
      <c r="J399" s="1">
        <v>1</v>
      </c>
      <c r="L399" s="29"/>
      <c r="O399" s="1"/>
    </row>
    <row r="400" spans="1:15" x14ac:dyDescent="0.3">
      <c r="A400" s="1">
        <v>399</v>
      </c>
      <c r="B400" s="8">
        <v>44461.824305555558</v>
      </c>
      <c r="C400" s="1">
        <v>39</v>
      </c>
      <c r="D400" s="1" t="s">
        <v>241</v>
      </c>
      <c r="E400" s="1" t="s">
        <v>229</v>
      </c>
      <c r="H400" s="3">
        <v>499000</v>
      </c>
      <c r="I400" s="1">
        <v>1</v>
      </c>
      <c r="J400" s="1">
        <v>1</v>
      </c>
      <c r="L400" s="29"/>
      <c r="O400" s="1"/>
    </row>
    <row r="401" spans="1:15" x14ac:dyDescent="0.3">
      <c r="A401" s="1">
        <v>400</v>
      </c>
      <c r="B401" s="8">
        <v>44462.042361111111</v>
      </c>
      <c r="C401" s="1">
        <v>8</v>
      </c>
      <c r="F401" s="1" t="s">
        <v>621</v>
      </c>
      <c r="G401" s="1">
        <v>42</v>
      </c>
      <c r="H401" s="3">
        <v>2660460</v>
      </c>
      <c r="I401" s="1">
        <v>0</v>
      </c>
      <c r="J401" s="1">
        <v>2</v>
      </c>
      <c r="L401" s="29"/>
      <c r="O401" s="1"/>
    </row>
    <row r="402" spans="1:15" x14ac:dyDescent="0.3">
      <c r="A402" s="1">
        <v>401</v>
      </c>
      <c r="B402" s="8">
        <v>44462.402083333334</v>
      </c>
      <c r="C402" s="1">
        <v>5</v>
      </c>
      <c r="F402" s="1" t="s">
        <v>598</v>
      </c>
      <c r="G402" s="1">
        <v>16</v>
      </c>
      <c r="H402" s="3">
        <v>103851</v>
      </c>
      <c r="I402" s="1">
        <v>0</v>
      </c>
      <c r="J402" s="1">
        <v>2</v>
      </c>
      <c r="L402" s="29"/>
      <c r="O402" s="1"/>
    </row>
    <row r="403" spans="1:15" x14ac:dyDescent="0.3">
      <c r="A403" s="1">
        <v>402</v>
      </c>
      <c r="B403" s="8">
        <v>44462.671527777777</v>
      </c>
      <c r="C403" s="1">
        <v>5</v>
      </c>
      <c r="D403" s="1" t="s">
        <v>39</v>
      </c>
      <c r="E403" s="1" t="s">
        <v>247</v>
      </c>
      <c r="H403" s="3">
        <v>303000</v>
      </c>
      <c r="I403" s="1">
        <v>1</v>
      </c>
      <c r="J403" s="1">
        <v>1</v>
      </c>
      <c r="L403" s="29"/>
      <c r="O403" s="1"/>
    </row>
    <row r="404" spans="1:15" x14ac:dyDescent="0.3">
      <c r="A404" s="1">
        <v>403</v>
      </c>
      <c r="B404" s="8">
        <v>44463.067361111112</v>
      </c>
      <c r="C404" s="1">
        <v>5</v>
      </c>
      <c r="D404" s="1" t="s">
        <v>39</v>
      </c>
      <c r="E404" s="1" t="s">
        <v>183</v>
      </c>
      <c r="H404" s="3">
        <v>475000</v>
      </c>
      <c r="I404" s="1">
        <v>1</v>
      </c>
      <c r="J404" s="1">
        <v>1</v>
      </c>
      <c r="L404" s="29"/>
      <c r="O404" s="1"/>
    </row>
    <row r="405" spans="1:15" x14ac:dyDescent="0.3">
      <c r="A405" s="1">
        <v>404</v>
      </c>
      <c r="B405" s="8">
        <v>44463.11041666667</v>
      </c>
      <c r="C405" s="1">
        <v>7</v>
      </c>
      <c r="D405" s="1" t="s">
        <v>51</v>
      </c>
      <c r="E405" s="1" t="s">
        <v>223</v>
      </c>
      <c r="H405" s="3">
        <v>85000</v>
      </c>
      <c r="I405" s="1">
        <v>1</v>
      </c>
      <c r="J405" s="1">
        <v>1</v>
      </c>
      <c r="L405" s="29"/>
      <c r="O405" s="1"/>
    </row>
    <row r="406" spans="1:15" x14ac:dyDescent="0.3">
      <c r="A406" s="1">
        <v>405</v>
      </c>
      <c r="B406" s="8">
        <v>44463.184027777781</v>
      </c>
      <c r="C406" s="1">
        <v>11</v>
      </c>
      <c r="F406" s="1" t="s">
        <v>614</v>
      </c>
      <c r="G406" s="1">
        <v>62</v>
      </c>
      <c r="H406" s="3">
        <v>112062</v>
      </c>
      <c r="I406" s="1">
        <v>0</v>
      </c>
      <c r="J406" s="1">
        <v>3</v>
      </c>
      <c r="L406" s="29"/>
      <c r="O406" s="1"/>
    </row>
    <row r="407" spans="1:15" x14ac:dyDescent="0.3">
      <c r="A407" s="1">
        <v>406</v>
      </c>
      <c r="B407" s="8">
        <v>44463.260416666664</v>
      </c>
      <c r="C407" s="1">
        <v>15</v>
      </c>
      <c r="D407" s="1" t="s">
        <v>99</v>
      </c>
      <c r="E407" s="1" t="s">
        <v>159</v>
      </c>
      <c r="H407" s="3">
        <v>18000</v>
      </c>
      <c r="I407" s="1">
        <v>1</v>
      </c>
      <c r="J407" s="1">
        <v>1</v>
      </c>
      <c r="L407" s="29"/>
      <c r="O407" s="1"/>
    </row>
    <row r="408" spans="1:15" x14ac:dyDescent="0.3">
      <c r="A408" s="1">
        <v>407</v>
      </c>
      <c r="B408" s="8">
        <v>44463.26458333333</v>
      </c>
      <c r="C408" s="1">
        <v>13</v>
      </c>
      <c r="F408" s="1" t="s">
        <v>631</v>
      </c>
      <c r="G408" s="1">
        <v>11</v>
      </c>
      <c r="H408" s="3">
        <v>37970</v>
      </c>
      <c r="I408" s="1">
        <v>0</v>
      </c>
      <c r="J408" s="1">
        <v>3</v>
      </c>
      <c r="L408" s="29"/>
      <c r="O408" s="1"/>
    </row>
    <row r="409" spans="1:15" x14ac:dyDescent="0.3">
      <c r="A409" s="1">
        <v>408</v>
      </c>
      <c r="B409" s="8">
        <v>44463.334027777775</v>
      </c>
      <c r="C409" s="1">
        <v>24</v>
      </c>
      <c r="F409" s="1" t="s">
        <v>601</v>
      </c>
      <c r="G409" s="1">
        <v>50</v>
      </c>
      <c r="H409" s="3">
        <v>10290</v>
      </c>
      <c r="I409" s="1">
        <v>0</v>
      </c>
      <c r="J409" s="1">
        <v>2</v>
      </c>
      <c r="L409" s="29"/>
      <c r="O409" s="1"/>
    </row>
    <row r="410" spans="1:15" x14ac:dyDescent="0.3">
      <c r="A410" s="1">
        <v>409</v>
      </c>
      <c r="B410" s="8">
        <v>44463.609027777777</v>
      </c>
      <c r="C410" s="1">
        <v>29</v>
      </c>
      <c r="F410" s="1" t="s">
        <v>608</v>
      </c>
      <c r="G410" s="1">
        <v>28</v>
      </c>
      <c r="H410" s="3">
        <v>29841</v>
      </c>
      <c r="I410" s="1">
        <v>0</v>
      </c>
      <c r="J410" s="1">
        <v>3</v>
      </c>
      <c r="L410" s="29"/>
      <c r="O410" s="1"/>
    </row>
    <row r="411" spans="1:15" x14ac:dyDescent="0.3">
      <c r="A411" s="1">
        <v>410</v>
      </c>
      <c r="B411" s="8">
        <v>44463.65</v>
      </c>
      <c r="C411" s="1">
        <v>3</v>
      </c>
      <c r="F411" s="1" t="s">
        <v>642</v>
      </c>
      <c r="G411" s="1">
        <v>73</v>
      </c>
      <c r="H411" s="3">
        <v>36656</v>
      </c>
      <c r="I411" s="1">
        <v>0</v>
      </c>
      <c r="J411" s="1">
        <v>5</v>
      </c>
      <c r="L411" s="29"/>
      <c r="O411" s="1"/>
    </row>
    <row r="412" spans="1:15" x14ac:dyDescent="0.3">
      <c r="A412" s="1">
        <v>411</v>
      </c>
      <c r="B412" s="8">
        <v>44463.674305555556</v>
      </c>
      <c r="C412" s="1">
        <v>19</v>
      </c>
      <c r="F412" s="1" t="s">
        <v>612</v>
      </c>
      <c r="G412" s="1">
        <v>6</v>
      </c>
      <c r="H412" s="3">
        <v>11000</v>
      </c>
      <c r="I412" s="1">
        <v>0</v>
      </c>
      <c r="J412" s="1">
        <v>0</v>
      </c>
      <c r="L412" s="29"/>
      <c r="O412" s="1"/>
    </row>
    <row r="413" spans="1:15" x14ac:dyDescent="0.3">
      <c r="A413" s="1">
        <v>412</v>
      </c>
      <c r="B413" s="8">
        <v>44463.70208333333</v>
      </c>
      <c r="C413" s="1">
        <v>4</v>
      </c>
      <c r="D413" s="1" t="s">
        <v>33</v>
      </c>
      <c r="E413" s="1" t="s">
        <v>241</v>
      </c>
      <c r="H413" s="3">
        <v>420000</v>
      </c>
      <c r="I413" s="1">
        <v>1</v>
      </c>
      <c r="J413" s="1">
        <v>1</v>
      </c>
      <c r="L413" s="29"/>
      <c r="O413" s="1"/>
    </row>
    <row r="414" spans="1:15" x14ac:dyDescent="0.3">
      <c r="A414" s="1">
        <v>413</v>
      </c>
      <c r="B414" s="8">
        <v>44463.722916666666</v>
      </c>
      <c r="C414" s="1">
        <v>10</v>
      </c>
      <c r="F414" s="1" t="s">
        <v>611</v>
      </c>
      <c r="G414" s="1">
        <v>81</v>
      </c>
      <c r="H414" s="3">
        <v>2898810</v>
      </c>
      <c r="I414" s="1">
        <v>0</v>
      </c>
      <c r="J414" s="1">
        <v>1</v>
      </c>
      <c r="L414" s="29"/>
      <c r="O414" s="1"/>
    </row>
    <row r="415" spans="1:15" x14ac:dyDescent="0.3">
      <c r="A415" s="1">
        <v>414</v>
      </c>
      <c r="B415" s="8">
        <v>44463.955555555556</v>
      </c>
      <c r="C415" s="1">
        <v>10</v>
      </c>
      <c r="F415" s="1" t="s">
        <v>611</v>
      </c>
      <c r="G415" s="1">
        <v>10</v>
      </c>
      <c r="H415" s="3">
        <v>30027</v>
      </c>
      <c r="I415" s="1">
        <v>0</v>
      </c>
      <c r="J415" s="1">
        <v>2</v>
      </c>
      <c r="L415" s="29"/>
      <c r="O415" s="1"/>
    </row>
    <row r="416" spans="1:15" x14ac:dyDescent="0.3">
      <c r="A416" s="1">
        <v>415</v>
      </c>
      <c r="B416" s="8">
        <v>44464.287499999999</v>
      </c>
      <c r="C416" s="1">
        <v>10</v>
      </c>
      <c r="F416" s="1" t="s">
        <v>606</v>
      </c>
      <c r="G416" s="1">
        <v>42</v>
      </c>
      <c r="H416" s="3">
        <v>2640567</v>
      </c>
      <c r="I416" s="1">
        <v>0</v>
      </c>
      <c r="J416" s="1">
        <v>1</v>
      </c>
      <c r="L416" s="29"/>
      <c r="O416" s="1"/>
    </row>
    <row r="417" spans="1:15" x14ac:dyDescent="0.3">
      <c r="A417" s="1">
        <v>416</v>
      </c>
      <c r="B417" s="8">
        <v>44464.421527777777</v>
      </c>
      <c r="C417" s="1">
        <v>3</v>
      </c>
      <c r="F417" s="1" t="s">
        <v>642</v>
      </c>
      <c r="G417" s="1">
        <v>9</v>
      </c>
      <c r="H417" s="3">
        <v>33264</v>
      </c>
      <c r="I417" s="1">
        <v>0</v>
      </c>
      <c r="J417" s="1">
        <v>0</v>
      </c>
      <c r="L417" s="29"/>
      <c r="O417" s="1"/>
    </row>
    <row r="418" spans="1:15" x14ac:dyDescent="0.3">
      <c r="A418" s="1">
        <v>417</v>
      </c>
      <c r="B418" s="8">
        <v>44464.56527777778</v>
      </c>
      <c r="C418" s="1">
        <v>32</v>
      </c>
      <c r="F418" s="1" t="s">
        <v>623</v>
      </c>
      <c r="G418" s="1">
        <v>65</v>
      </c>
      <c r="H418" s="3">
        <v>3487923</v>
      </c>
      <c r="I418" s="1">
        <v>0</v>
      </c>
      <c r="J418" s="1">
        <v>4</v>
      </c>
      <c r="L418" s="29"/>
      <c r="O418" s="1"/>
    </row>
    <row r="419" spans="1:15" x14ac:dyDescent="0.3">
      <c r="A419" s="1">
        <v>418</v>
      </c>
      <c r="B419" s="8">
        <v>44464.743750000001</v>
      </c>
      <c r="C419" s="1">
        <v>17</v>
      </c>
      <c r="D419" s="1" t="s">
        <v>111</v>
      </c>
      <c r="E419" s="1" t="s">
        <v>165</v>
      </c>
      <c r="H419" s="3">
        <v>234000</v>
      </c>
      <c r="I419" s="1">
        <v>1</v>
      </c>
      <c r="J419" s="1">
        <v>1</v>
      </c>
      <c r="L419" s="29"/>
      <c r="O419" s="1"/>
    </row>
    <row r="420" spans="1:15" x14ac:dyDescent="0.3">
      <c r="A420" s="1">
        <v>419</v>
      </c>
      <c r="B420" s="8">
        <v>44465.189583333333</v>
      </c>
      <c r="C420" s="1">
        <v>30</v>
      </c>
      <c r="F420" s="1" t="s">
        <v>628</v>
      </c>
      <c r="G420" s="1">
        <v>64</v>
      </c>
      <c r="H420" s="3">
        <v>19900</v>
      </c>
      <c r="I420" s="1">
        <v>0</v>
      </c>
      <c r="J420" s="1">
        <v>0</v>
      </c>
      <c r="L420" s="29"/>
      <c r="O420" s="1"/>
    </row>
    <row r="421" spans="1:15" x14ac:dyDescent="0.3">
      <c r="A421" s="1">
        <v>420</v>
      </c>
      <c r="B421" s="8">
        <v>44465.197222222225</v>
      </c>
      <c r="C421" s="1">
        <v>8</v>
      </c>
      <c r="F421" s="1" t="s">
        <v>594</v>
      </c>
      <c r="G421" s="1">
        <v>9</v>
      </c>
      <c r="H421" s="3">
        <v>33066</v>
      </c>
      <c r="I421" s="1">
        <v>0</v>
      </c>
      <c r="J421" s="1">
        <v>0</v>
      </c>
      <c r="L421" s="29"/>
      <c r="O421" s="1"/>
    </row>
    <row r="422" spans="1:15" x14ac:dyDescent="0.3">
      <c r="A422" s="1">
        <v>421</v>
      </c>
      <c r="B422" s="8">
        <v>44465.254166666666</v>
      </c>
      <c r="C422" s="1">
        <v>7</v>
      </c>
      <c r="F422" s="1" t="s">
        <v>626</v>
      </c>
      <c r="G422" s="1">
        <v>35</v>
      </c>
      <c r="H422" s="3">
        <v>7584700</v>
      </c>
      <c r="I422" s="1">
        <v>0</v>
      </c>
      <c r="J422" s="1">
        <v>3</v>
      </c>
      <c r="L422" s="29"/>
      <c r="O422" s="1"/>
    </row>
    <row r="423" spans="1:15" x14ac:dyDescent="0.3">
      <c r="A423" s="1">
        <v>422</v>
      </c>
      <c r="B423" s="8">
        <v>44465.259722222225</v>
      </c>
      <c r="C423" s="1">
        <v>3</v>
      </c>
      <c r="F423" s="1" t="s">
        <v>585</v>
      </c>
      <c r="G423" s="1">
        <v>25</v>
      </c>
      <c r="H423" s="3">
        <v>1300464</v>
      </c>
      <c r="I423" s="1">
        <v>0</v>
      </c>
      <c r="J423" s="1">
        <v>12</v>
      </c>
      <c r="L423" s="29"/>
      <c r="O423" s="1"/>
    </row>
    <row r="424" spans="1:15" x14ac:dyDescent="0.3">
      <c r="A424" s="1">
        <v>423</v>
      </c>
      <c r="B424" s="8">
        <v>44465.301388888889</v>
      </c>
      <c r="C424" s="1">
        <v>38</v>
      </c>
      <c r="F424" s="1" t="s">
        <v>599</v>
      </c>
      <c r="G424" s="1">
        <v>85</v>
      </c>
      <c r="H424" s="3">
        <v>3000</v>
      </c>
      <c r="I424" s="1">
        <v>1</v>
      </c>
      <c r="J424" s="1">
        <v>0</v>
      </c>
      <c r="L424" s="29"/>
      <c r="O424" s="1"/>
    </row>
    <row r="425" spans="1:15" x14ac:dyDescent="0.3">
      <c r="A425" s="1">
        <v>424</v>
      </c>
      <c r="B425" s="8">
        <v>44465.316666666666</v>
      </c>
      <c r="C425" s="1">
        <v>10</v>
      </c>
      <c r="F425" s="1" t="s">
        <v>611</v>
      </c>
      <c r="G425" s="1">
        <v>54</v>
      </c>
      <c r="H425" s="3">
        <v>50000</v>
      </c>
      <c r="I425" s="1">
        <v>0</v>
      </c>
      <c r="J425" s="1">
        <v>0</v>
      </c>
      <c r="L425" s="29"/>
      <c r="O425" s="1"/>
    </row>
    <row r="426" spans="1:15" x14ac:dyDescent="0.3">
      <c r="A426" s="1">
        <v>425</v>
      </c>
      <c r="B426" s="8">
        <v>44465.570833333331</v>
      </c>
      <c r="C426" s="1">
        <v>11</v>
      </c>
      <c r="D426" s="1" t="s">
        <v>75</v>
      </c>
      <c r="E426" s="1" t="s">
        <v>87</v>
      </c>
      <c r="H426" s="3">
        <v>32000</v>
      </c>
      <c r="I426" s="1">
        <v>1</v>
      </c>
      <c r="J426" s="1">
        <v>1</v>
      </c>
      <c r="L426" s="29"/>
      <c r="O426" s="1"/>
    </row>
    <row r="427" spans="1:15" x14ac:dyDescent="0.3">
      <c r="A427" s="1">
        <v>426</v>
      </c>
      <c r="B427" s="8">
        <v>44465.616666666669</v>
      </c>
      <c r="C427" s="1">
        <v>33</v>
      </c>
      <c r="D427" s="1" t="s">
        <v>206</v>
      </c>
      <c r="E427" s="1" t="s">
        <v>229</v>
      </c>
      <c r="H427" s="3">
        <v>253000</v>
      </c>
      <c r="I427" s="1">
        <v>1</v>
      </c>
      <c r="J427" s="1">
        <v>1</v>
      </c>
      <c r="L427" s="29"/>
      <c r="O427" s="1"/>
    </row>
    <row r="428" spans="1:15" x14ac:dyDescent="0.3">
      <c r="A428" s="1">
        <v>427</v>
      </c>
      <c r="B428" s="8">
        <v>44466.36041666667</v>
      </c>
      <c r="C428" s="1">
        <v>27</v>
      </c>
      <c r="F428" s="1" t="s">
        <v>634</v>
      </c>
      <c r="G428" s="1">
        <v>24</v>
      </c>
      <c r="H428" s="3">
        <v>1101300</v>
      </c>
      <c r="I428" s="1">
        <v>0</v>
      </c>
      <c r="J428" s="1">
        <v>0</v>
      </c>
      <c r="L428" s="29"/>
      <c r="O428" s="1"/>
    </row>
    <row r="429" spans="1:15" x14ac:dyDescent="0.3">
      <c r="A429" s="1">
        <v>428</v>
      </c>
      <c r="B429" s="8">
        <v>44466.487500000003</v>
      </c>
      <c r="C429" s="1">
        <v>10</v>
      </c>
      <c r="D429" s="1" t="s">
        <v>69</v>
      </c>
      <c r="E429" s="1" t="s">
        <v>111</v>
      </c>
      <c r="H429" s="3">
        <v>1000</v>
      </c>
      <c r="I429" s="1">
        <v>1</v>
      </c>
      <c r="J429" s="1">
        <v>1</v>
      </c>
      <c r="L429" s="29"/>
      <c r="O429" s="1"/>
    </row>
    <row r="430" spans="1:15" x14ac:dyDescent="0.3">
      <c r="A430" s="1">
        <v>429</v>
      </c>
      <c r="B430" s="8">
        <v>44466.576388888891</v>
      </c>
      <c r="C430" s="1">
        <v>10</v>
      </c>
      <c r="D430" s="1" t="s">
        <v>69</v>
      </c>
      <c r="E430" s="1" t="s">
        <v>51</v>
      </c>
      <c r="H430" s="3">
        <v>362000</v>
      </c>
      <c r="I430" s="1">
        <v>1</v>
      </c>
      <c r="J430" s="1">
        <v>1</v>
      </c>
      <c r="L430" s="29"/>
      <c r="O430" s="1"/>
    </row>
    <row r="431" spans="1:15" x14ac:dyDescent="0.3">
      <c r="A431" s="1">
        <v>430</v>
      </c>
      <c r="B431" s="8">
        <v>44466.59375</v>
      </c>
      <c r="C431" s="1">
        <v>34</v>
      </c>
      <c r="F431" s="1" t="s">
        <v>603</v>
      </c>
      <c r="G431" s="1">
        <v>7</v>
      </c>
      <c r="H431" s="3">
        <v>12348</v>
      </c>
      <c r="I431" s="1">
        <v>0</v>
      </c>
      <c r="J431" s="1">
        <v>4</v>
      </c>
      <c r="L431" s="29"/>
      <c r="O431" s="1"/>
    </row>
    <row r="432" spans="1:15" x14ac:dyDescent="0.3">
      <c r="A432" s="1">
        <v>431</v>
      </c>
      <c r="B432" s="8">
        <v>44466.75277777778</v>
      </c>
      <c r="C432" s="1">
        <v>37</v>
      </c>
      <c r="D432" s="1" t="s">
        <v>229</v>
      </c>
      <c r="E432" s="1" t="s">
        <v>57</v>
      </c>
      <c r="H432" s="3">
        <v>59000</v>
      </c>
      <c r="I432" s="1">
        <v>1</v>
      </c>
      <c r="J432" s="1">
        <v>1</v>
      </c>
      <c r="L432" s="29"/>
      <c r="O432" s="1"/>
    </row>
    <row r="433" spans="1:15" x14ac:dyDescent="0.3">
      <c r="A433" s="1">
        <v>432</v>
      </c>
      <c r="B433" s="8">
        <v>44466.794444444444</v>
      </c>
      <c r="C433" s="1">
        <v>31</v>
      </c>
      <c r="F433" s="1" t="s">
        <v>620</v>
      </c>
      <c r="G433" s="1">
        <v>19</v>
      </c>
      <c r="H433" s="3">
        <v>23753</v>
      </c>
      <c r="I433" s="1">
        <v>0</v>
      </c>
      <c r="J433" s="1">
        <v>3</v>
      </c>
      <c r="L433" s="29"/>
      <c r="O433" s="1"/>
    </row>
    <row r="434" spans="1:15" x14ac:dyDescent="0.3">
      <c r="A434" s="1">
        <v>433</v>
      </c>
      <c r="B434" s="8">
        <v>44466.913888888892</v>
      </c>
      <c r="C434" s="1">
        <v>5</v>
      </c>
      <c r="F434" s="1" t="s">
        <v>589</v>
      </c>
      <c r="G434" s="1">
        <v>22</v>
      </c>
      <c r="H434" s="3">
        <v>31170</v>
      </c>
      <c r="I434" s="1">
        <v>0</v>
      </c>
      <c r="J434" s="1">
        <v>3</v>
      </c>
      <c r="L434" s="29"/>
      <c r="O434" s="1"/>
    </row>
    <row r="435" spans="1:15" x14ac:dyDescent="0.3">
      <c r="A435" s="1">
        <v>434</v>
      </c>
      <c r="B435" s="8">
        <v>44467.123611111114</v>
      </c>
      <c r="C435" s="1">
        <v>32</v>
      </c>
      <c r="F435" s="1" t="s">
        <v>623</v>
      </c>
      <c r="G435" s="1">
        <v>41</v>
      </c>
      <c r="H435" s="3">
        <v>1879912</v>
      </c>
      <c r="I435" s="1">
        <v>0</v>
      </c>
      <c r="J435" s="1">
        <v>0</v>
      </c>
      <c r="L435" s="29"/>
      <c r="O435" s="1"/>
    </row>
    <row r="436" spans="1:15" x14ac:dyDescent="0.3">
      <c r="A436" s="1">
        <v>435</v>
      </c>
      <c r="B436" s="8">
        <v>44467.536111111112</v>
      </c>
      <c r="C436" s="1">
        <v>18</v>
      </c>
      <c r="D436" s="1" t="s">
        <v>117</v>
      </c>
      <c r="E436" s="1" t="s">
        <v>159</v>
      </c>
      <c r="H436" s="3">
        <v>273000</v>
      </c>
      <c r="I436" s="1">
        <v>1</v>
      </c>
      <c r="J436" s="1">
        <v>1</v>
      </c>
      <c r="L436" s="29"/>
      <c r="O436" s="1"/>
    </row>
    <row r="437" spans="1:15" x14ac:dyDescent="0.3">
      <c r="A437" s="1">
        <v>436</v>
      </c>
      <c r="B437" s="8">
        <v>44467.595138888886</v>
      </c>
      <c r="C437" s="1">
        <v>18</v>
      </c>
      <c r="D437" s="1" t="s">
        <v>117</v>
      </c>
      <c r="E437" s="1" t="s">
        <v>241</v>
      </c>
      <c r="H437" s="3">
        <v>94000</v>
      </c>
      <c r="I437" s="1">
        <v>1</v>
      </c>
      <c r="J437" s="1">
        <v>1</v>
      </c>
      <c r="L437" s="29"/>
      <c r="O437" s="1"/>
    </row>
    <row r="438" spans="1:15" x14ac:dyDescent="0.3">
      <c r="A438" s="1">
        <v>437</v>
      </c>
      <c r="B438" s="8">
        <v>44467.612500000003</v>
      </c>
      <c r="C438" s="1">
        <v>12</v>
      </c>
      <c r="F438" s="1" t="s">
        <v>602</v>
      </c>
      <c r="G438" s="1">
        <v>21</v>
      </c>
      <c r="H438" s="3">
        <v>19551</v>
      </c>
      <c r="I438" s="1">
        <v>0</v>
      </c>
      <c r="J438" s="1">
        <v>2</v>
      </c>
      <c r="L438" s="29"/>
      <c r="O438" s="1"/>
    </row>
    <row r="439" spans="1:15" x14ac:dyDescent="0.3">
      <c r="A439" s="1">
        <v>438</v>
      </c>
      <c r="B439" s="8">
        <v>44467.691666666666</v>
      </c>
      <c r="C439" s="1">
        <v>28</v>
      </c>
      <c r="F439" s="1" t="s">
        <v>586</v>
      </c>
      <c r="G439" s="1">
        <v>9</v>
      </c>
      <c r="H439" s="3">
        <v>33330</v>
      </c>
      <c r="I439" s="1">
        <v>0</v>
      </c>
      <c r="J439" s="1">
        <v>0</v>
      </c>
      <c r="L439" s="29"/>
      <c r="O439" s="1"/>
    </row>
    <row r="440" spans="1:15" x14ac:dyDescent="0.3">
      <c r="A440" s="1">
        <v>439</v>
      </c>
      <c r="B440" s="8">
        <v>44467.706250000003</v>
      </c>
      <c r="C440" s="1">
        <v>7</v>
      </c>
      <c r="F440" s="1" t="s">
        <v>626</v>
      </c>
      <c r="G440" s="1">
        <v>88</v>
      </c>
      <c r="H440" s="3">
        <v>1039</v>
      </c>
      <c r="I440" s="1">
        <v>11</v>
      </c>
      <c r="J440" s="1">
        <v>10</v>
      </c>
      <c r="L440" s="29"/>
      <c r="O440" s="1"/>
    </row>
    <row r="441" spans="1:15" x14ac:dyDescent="0.3">
      <c r="A441" s="1">
        <v>440</v>
      </c>
      <c r="B441" s="8">
        <v>44467.784722222219</v>
      </c>
      <c r="C441" s="1">
        <v>14</v>
      </c>
      <c r="F441" s="1" t="s">
        <v>588</v>
      </c>
      <c r="G441" s="1">
        <v>50</v>
      </c>
      <c r="H441" s="3">
        <v>10290</v>
      </c>
      <c r="I441" s="1">
        <v>0</v>
      </c>
      <c r="J441" s="1">
        <v>2</v>
      </c>
      <c r="L441" s="29"/>
      <c r="O441" s="1"/>
    </row>
    <row r="442" spans="1:15" x14ac:dyDescent="0.3">
      <c r="A442" s="1">
        <v>441</v>
      </c>
      <c r="B442" s="8">
        <v>44467.914583333331</v>
      </c>
      <c r="C442" s="1">
        <v>11</v>
      </c>
      <c r="D442" s="1" t="s">
        <v>75</v>
      </c>
      <c r="E442" s="1" t="s">
        <v>45</v>
      </c>
      <c r="H442" s="3">
        <v>295000</v>
      </c>
      <c r="I442" s="1">
        <v>1</v>
      </c>
      <c r="J442" s="1">
        <v>1</v>
      </c>
      <c r="L442" s="29"/>
      <c r="O442" s="1"/>
    </row>
    <row r="443" spans="1:15" x14ac:dyDescent="0.3">
      <c r="A443" s="1">
        <v>442</v>
      </c>
      <c r="B443" s="8">
        <v>44468.230555555558</v>
      </c>
      <c r="C443" s="1">
        <v>39</v>
      </c>
      <c r="F443" s="1" t="s">
        <v>630</v>
      </c>
      <c r="G443" s="1">
        <v>34</v>
      </c>
      <c r="H443" s="3">
        <v>77925</v>
      </c>
      <c r="I443" s="1">
        <v>0</v>
      </c>
      <c r="J443" s="1">
        <v>1</v>
      </c>
      <c r="L443" s="29"/>
      <c r="O443" s="1"/>
    </row>
    <row r="444" spans="1:15" x14ac:dyDescent="0.3">
      <c r="A444" s="1">
        <v>443</v>
      </c>
      <c r="B444" s="8">
        <v>44468.28402777778</v>
      </c>
      <c r="C444" s="1">
        <v>29</v>
      </c>
      <c r="D444" s="1" t="s">
        <v>183</v>
      </c>
      <c r="E444" s="1" t="s">
        <v>241</v>
      </c>
      <c r="H444" s="3">
        <v>22000</v>
      </c>
      <c r="I444" s="1">
        <v>1</v>
      </c>
      <c r="J444" s="1">
        <v>1</v>
      </c>
      <c r="L444" s="29"/>
      <c r="O444" s="1"/>
    </row>
    <row r="445" spans="1:15" x14ac:dyDescent="0.3">
      <c r="A445" s="1">
        <v>444</v>
      </c>
      <c r="B445" s="8">
        <v>44468.409722222219</v>
      </c>
      <c r="C445" s="1">
        <v>17</v>
      </c>
      <c r="D445" s="1" t="s">
        <v>111</v>
      </c>
      <c r="E445" s="1" t="s">
        <v>247</v>
      </c>
      <c r="H445" s="3">
        <v>465000</v>
      </c>
      <c r="I445" s="1">
        <v>1</v>
      </c>
      <c r="J445" s="1">
        <v>1</v>
      </c>
      <c r="L445" s="29"/>
      <c r="O445" s="1"/>
    </row>
    <row r="446" spans="1:15" x14ac:dyDescent="0.3">
      <c r="A446" s="1">
        <v>445</v>
      </c>
      <c r="B446" s="8">
        <v>44468.847916666666</v>
      </c>
      <c r="C446" s="1">
        <v>22</v>
      </c>
      <c r="F446" s="1" t="s">
        <v>641</v>
      </c>
      <c r="G446" s="1">
        <v>10</v>
      </c>
      <c r="H446" s="3">
        <v>28900</v>
      </c>
      <c r="I446" s="1">
        <v>0</v>
      </c>
      <c r="J446" s="1">
        <v>0</v>
      </c>
      <c r="L446" s="29"/>
      <c r="O446" s="1"/>
    </row>
    <row r="447" spans="1:15" x14ac:dyDescent="0.3">
      <c r="A447" s="1">
        <v>446</v>
      </c>
      <c r="B447" s="8">
        <v>44469.053472222222</v>
      </c>
      <c r="C447" s="1">
        <v>39</v>
      </c>
      <c r="F447" s="1" t="s">
        <v>591</v>
      </c>
      <c r="G447" s="1">
        <v>54</v>
      </c>
      <c r="H447" s="3">
        <v>50000</v>
      </c>
      <c r="I447" s="1">
        <v>0</v>
      </c>
      <c r="J447" s="1">
        <v>0</v>
      </c>
      <c r="L447" s="29"/>
      <c r="O447" s="1"/>
    </row>
    <row r="448" spans="1:15" x14ac:dyDescent="0.3">
      <c r="A448" s="1">
        <v>447</v>
      </c>
      <c r="B448" s="8">
        <v>44469.054166666669</v>
      </c>
      <c r="C448" s="1">
        <v>30</v>
      </c>
      <c r="D448" s="1" t="s">
        <v>188</v>
      </c>
      <c r="E448" s="1" t="s">
        <v>57</v>
      </c>
      <c r="H448" s="3">
        <v>437000</v>
      </c>
      <c r="I448" s="1">
        <v>1</v>
      </c>
      <c r="J448" s="1">
        <v>1</v>
      </c>
      <c r="L448" s="29"/>
      <c r="O448" s="1"/>
    </row>
    <row r="449" spans="1:15" x14ac:dyDescent="0.3">
      <c r="A449" s="1">
        <v>448</v>
      </c>
      <c r="B449" s="8">
        <v>44469.077777777777</v>
      </c>
      <c r="C449" s="1">
        <v>6</v>
      </c>
      <c r="D449" s="1" t="s">
        <v>45</v>
      </c>
      <c r="E449" s="1" t="s">
        <v>63</v>
      </c>
      <c r="H449" s="3">
        <v>478000</v>
      </c>
      <c r="I449" s="1">
        <v>1</v>
      </c>
      <c r="J449" s="1">
        <v>1</v>
      </c>
      <c r="L449" s="29"/>
      <c r="O449" s="1"/>
    </row>
    <row r="450" spans="1:15" x14ac:dyDescent="0.3">
      <c r="A450" s="1">
        <v>449</v>
      </c>
      <c r="B450" s="8">
        <v>44469.390277777777</v>
      </c>
      <c r="C450" s="1">
        <v>8</v>
      </c>
      <c r="F450" s="1" t="s">
        <v>594</v>
      </c>
      <c r="G450" s="1">
        <v>77</v>
      </c>
      <c r="H450" s="3">
        <v>1245761</v>
      </c>
      <c r="I450" s="1">
        <v>0</v>
      </c>
      <c r="J450" s="1">
        <v>4</v>
      </c>
      <c r="L450" s="29"/>
      <c r="O450" s="1"/>
    </row>
    <row r="451" spans="1:15" x14ac:dyDescent="0.3">
      <c r="A451" s="1">
        <v>450</v>
      </c>
      <c r="B451" s="8">
        <v>44469.525000000001</v>
      </c>
      <c r="C451" s="1">
        <v>29</v>
      </c>
      <c r="D451" s="1" t="s">
        <v>183</v>
      </c>
      <c r="E451" s="1" t="s">
        <v>69</v>
      </c>
      <c r="H451" s="3">
        <v>166000</v>
      </c>
      <c r="I451" s="1">
        <v>1</v>
      </c>
      <c r="J451" s="1">
        <v>1</v>
      </c>
      <c r="L451" s="29"/>
      <c r="O451" s="1"/>
    </row>
    <row r="452" spans="1:15" x14ac:dyDescent="0.3">
      <c r="A452" s="1">
        <v>451</v>
      </c>
      <c r="B452" s="8">
        <v>44469.688194444447</v>
      </c>
      <c r="C452" s="1">
        <v>7</v>
      </c>
      <c r="F452" s="1" t="s">
        <v>609</v>
      </c>
      <c r="G452" s="1">
        <v>18</v>
      </c>
      <c r="H452" s="3">
        <v>23841</v>
      </c>
      <c r="I452" s="1">
        <v>0</v>
      </c>
      <c r="J452" s="1">
        <v>3</v>
      </c>
      <c r="L452" s="29"/>
      <c r="O452" s="1"/>
    </row>
    <row r="453" spans="1:15" x14ac:dyDescent="0.3">
      <c r="A453" s="1">
        <v>452</v>
      </c>
      <c r="B453" s="8">
        <v>44469.855555555558</v>
      </c>
      <c r="C453" s="1">
        <v>13</v>
      </c>
      <c r="F453" s="1" t="s">
        <v>625</v>
      </c>
      <c r="G453" s="1">
        <v>47</v>
      </c>
      <c r="H453" s="3">
        <v>67400</v>
      </c>
      <c r="I453" s="1">
        <v>0</v>
      </c>
      <c r="J453" s="1">
        <v>4</v>
      </c>
      <c r="L453" s="29"/>
      <c r="O453" s="1"/>
    </row>
    <row r="454" spans="1:15" x14ac:dyDescent="0.3">
      <c r="A454" s="1">
        <v>453</v>
      </c>
      <c r="B454" s="8">
        <v>44469.867361111108</v>
      </c>
      <c r="C454" s="1">
        <v>7</v>
      </c>
      <c r="D454" s="1" t="s">
        <v>51</v>
      </c>
      <c r="E454" s="1" t="s">
        <v>45</v>
      </c>
      <c r="H454" s="3">
        <v>461000</v>
      </c>
      <c r="I454" s="1">
        <v>1</v>
      </c>
      <c r="J454" s="1">
        <v>1</v>
      </c>
      <c r="L454" s="29"/>
      <c r="O454" s="1"/>
    </row>
    <row r="455" spans="1:15" x14ac:dyDescent="0.3">
      <c r="A455" s="1">
        <v>454</v>
      </c>
      <c r="B455" s="8">
        <v>44469.878472222219</v>
      </c>
      <c r="C455" s="1">
        <v>35</v>
      </c>
      <c r="F455" s="1" t="s">
        <v>618</v>
      </c>
      <c r="G455" s="1">
        <v>38</v>
      </c>
      <c r="H455" s="3">
        <v>479000</v>
      </c>
      <c r="I455" s="1">
        <v>0</v>
      </c>
      <c r="J455" s="1">
        <v>0</v>
      </c>
      <c r="L455" s="29"/>
      <c r="O455" s="1"/>
    </row>
    <row r="456" spans="1:15" x14ac:dyDescent="0.3">
      <c r="A456" s="1">
        <v>455</v>
      </c>
      <c r="B456" s="8">
        <v>44469.981944444444</v>
      </c>
      <c r="C456" s="1">
        <v>23</v>
      </c>
      <c r="D456" s="1" t="s">
        <v>147</v>
      </c>
      <c r="E456" s="1" t="s">
        <v>223</v>
      </c>
      <c r="H456" s="3">
        <v>264000</v>
      </c>
      <c r="I456" s="1">
        <v>1</v>
      </c>
      <c r="J456" s="1">
        <v>1</v>
      </c>
      <c r="L456" s="29"/>
      <c r="O456" s="1"/>
    </row>
    <row r="457" spans="1:15" x14ac:dyDescent="0.3">
      <c r="A457" s="1">
        <v>456</v>
      </c>
      <c r="B457" s="8">
        <v>44470.196527777778</v>
      </c>
      <c r="C457" s="1">
        <v>5</v>
      </c>
      <c r="F457" s="1" t="s">
        <v>589</v>
      </c>
      <c r="G457" s="1">
        <v>56</v>
      </c>
      <c r="H457" s="3">
        <v>139016</v>
      </c>
      <c r="I457" s="1">
        <v>0</v>
      </c>
      <c r="J457" s="1">
        <v>4</v>
      </c>
      <c r="L457" s="29"/>
      <c r="O457" s="1"/>
    </row>
    <row r="458" spans="1:15" x14ac:dyDescent="0.3">
      <c r="A458" s="1">
        <v>457</v>
      </c>
      <c r="B458" s="8">
        <v>44470.224999999999</v>
      </c>
      <c r="C458" s="1">
        <v>15</v>
      </c>
      <c r="F458" s="1" t="s">
        <v>597</v>
      </c>
      <c r="G458" s="1">
        <v>54</v>
      </c>
      <c r="H458" s="3">
        <v>51450</v>
      </c>
      <c r="I458" s="1">
        <v>0</v>
      </c>
      <c r="J458" s="1">
        <v>1</v>
      </c>
      <c r="L458" s="29"/>
      <c r="O458" s="1"/>
    </row>
    <row r="459" spans="1:15" x14ac:dyDescent="0.3">
      <c r="A459" s="1">
        <v>458</v>
      </c>
      <c r="B459" s="8">
        <v>44470.254166666666</v>
      </c>
      <c r="C459" s="1">
        <v>3</v>
      </c>
      <c r="F459" s="1" t="s">
        <v>585</v>
      </c>
      <c r="G459" s="1">
        <v>50</v>
      </c>
      <c r="H459" s="3">
        <v>10000</v>
      </c>
      <c r="I459" s="1">
        <v>0</v>
      </c>
      <c r="J459" s="1">
        <v>0</v>
      </c>
      <c r="L459" s="29"/>
      <c r="O459" s="1"/>
    </row>
    <row r="460" spans="1:15" x14ac:dyDescent="0.3">
      <c r="A460" s="1">
        <v>459</v>
      </c>
      <c r="B460" s="8">
        <v>44470.35</v>
      </c>
      <c r="C460" s="1">
        <v>13</v>
      </c>
      <c r="F460" s="1" t="s">
        <v>631</v>
      </c>
      <c r="G460" s="1">
        <v>28</v>
      </c>
      <c r="H460" s="3">
        <v>29841</v>
      </c>
      <c r="I460" s="1">
        <v>0</v>
      </c>
      <c r="J460" s="1">
        <v>5</v>
      </c>
      <c r="L460" s="29"/>
      <c r="O460" s="1"/>
    </row>
    <row r="461" spans="1:15" x14ac:dyDescent="0.3">
      <c r="A461" s="1">
        <v>460</v>
      </c>
      <c r="B461" s="8">
        <v>44470.384722222225</v>
      </c>
      <c r="C461" s="1">
        <v>4</v>
      </c>
      <c r="D461" s="1" t="s">
        <v>33</v>
      </c>
      <c r="E461" s="1" t="s">
        <v>63</v>
      </c>
      <c r="H461" s="3">
        <v>206000</v>
      </c>
      <c r="I461" s="1">
        <v>1</v>
      </c>
      <c r="J461" s="1">
        <v>1</v>
      </c>
      <c r="L461" s="29"/>
      <c r="O461" s="1"/>
    </row>
    <row r="462" spans="1:15" x14ac:dyDescent="0.3">
      <c r="A462" s="1">
        <v>461</v>
      </c>
      <c r="B462" s="8">
        <v>44471.057638888888</v>
      </c>
      <c r="C462" s="1">
        <v>39</v>
      </c>
      <c r="D462" s="1" t="s">
        <v>241</v>
      </c>
      <c r="E462" s="1" t="s">
        <v>69</v>
      </c>
      <c r="H462" s="3">
        <v>307000</v>
      </c>
      <c r="I462" s="1">
        <v>1</v>
      </c>
      <c r="J462" s="1">
        <v>1</v>
      </c>
      <c r="L462" s="29"/>
      <c r="O462" s="1"/>
    </row>
    <row r="463" spans="1:15" x14ac:dyDescent="0.3">
      <c r="A463" s="1">
        <v>462</v>
      </c>
      <c r="B463" s="8">
        <v>44471.200694444444</v>
      </c>
      <c r="C463" s="1">
        <v>31</v>
      </c>
      <c r="F463" s="1" t="s">
        <v>620</v>
      </c>
      <c r="G463" s="1">
        <v>12</v>
      </c>
      <c r="H463" s="3">
        <v>41911</v>
      </c>
      <c r="I463" s="1">
        <v>0</v>
      </c>
      <c r="J463" s="1">
        <v>2</v>
      </c>
      <c r="L463" s="29"/>
      <c r="O463" s="1"/>
    </row>
    <row r="464" spans="1:15" x14ac:dyDescent="0.3">
      <c r="A464" s="1">
        <v>463</v>
      </c>
      <c r="B464" s="8">
        <v>44471.213194444441</v>
      </c>
      <c r="C464" s="1">
        <v>20</v>
      </c>
      <c r="D464" s="1" t="s">
        <v>129</v>
      </c>
      <c r="E464" s="1" t="s">
        <v>135</v>
      </c>
      <c r="H464" s="3">
        <v>399000</v>
      </c>
      <c r="I464" s="1">
        <v>1</v>
      </c>
      <c r="J464" s="1">
        <v>1</v>
      </c>
      <c r="L464" s="29"/>
      <c r="O464" s="1"/>
    </row>
    <row r="465" spans="1:15" x14ac:dyDescent="0.3">
      <c r="A465" s="1">
        <v>464</v>
      </c>
      <c r="B465" s="8">
        <v>44471.463194444441</v>
      </c>
      <c r="C465" s="1">
        <v>4</v>
      </c>
      <c r="F465" s="1" t="s">
        <v>600</v>
      </c>
      <c r="G465" s="1">
        <v>81</v>
      </c>
      <c r="H465" s="3">
        <v>2870910</v>
      </c>
      <c r="I465" s="1">
        <v>2</v>
      </c>
      <c r="J465" s="1">
        <v>12</v>
      </c>
      <c r="L465" s="29"/>
      <c r="O465" s="1"/>
    </row>
    <row r="466" spans="1:15" x14ac:dyDescent="0.3">
      <c r="A466" s="1">
        <v>465</v>
      </c>
      <c r="B466" s="8">
        <v>44471.902083333334</v>
      </c>
      <c r="C466" s="1">
        <v>22</v>
      </c>
      <c r="F466" s="1" t="s">
        <v>641</v>
      </c>
      <c r="G466" s="1">
        <v>40</v>
      </c>
      <c r="H466" s="3">
        <v>1251693</v>
      </c>
      <c r="I466" s="1">
        <v>0</v>
      </c>
      <c r="J466" s="1">
        <v>0</v>
      </c>
      <c r="L466" s="29"/>
      <c r="O466" s="1"/>
    </row>
    <row r="467" spans="1:15" x14ac:dyDescent="0.3">
      <c r="A467" s="1">
        <v>466</v>
      </c>
      <c r="B467" s="8">
        <v>44472.154166666667</v>
      </c>
      <c r="C467" s="1">
        <v>8</v>
      </c>
      <c r="D467" s="1" t="s">
        <v>57</v>
      </c>
      <c r="E467" s="1" t="s">
        <v>206</v>
      </c>
      <c r="H467" s="3">
        <v>5900</v>
      </c>
      <c r="I467" s="1">
        <v>1</v>
      </c>
      <c r="J467" s="1">
        <v>1</v>
      </c>
      <c r="L467" s="29"/>
      <c r="O467" s="1"/>
    </row>
    <row r="468" spans="1:15" x14ac:dyDescent="0.3">
      <c r="A468" s="1">
        <v>467</v>
      </c>
      <c r="B468" s="8">
        <v>44472.178472222222</v>
      </c>
      <c r="C468" s="1">
        <v>32</v>
      </c>
      <c r="D468" s="1" t="s">
        <v>200</v>
      </c>
      <c r="E468" s="1" t="s">
        <v>229</v>
      </c>
      <c r="H468" s="3">
        <v>78000</v>
      </c>
      <c r="I468" s="1">
        <v>1</v>
      </c>
      <c r="J468" s="1">
        <v>1</v>
      </c>
      <c r="L468" s="29"/>
      <c r="O468" s="1"/>
    </row>
    <row r="469" spans="1:15" x14ac:dyDescent="0.3">
      <c r="A469" s="1">
        <v>468</v>
      </c>
      <c r="B469" s="8">
        <v>44473.390277777777</v>
      </c>
      <c r="C469" s="1">
        <v>1</v>
      </c>
      <c r="F469" s="1" t="s">
        <v>645</v>
      </c>
      <c r="G469" s="1">
        <v>26</v>
      </c>
      <c r="H469" s="3">
        <v>17967427</v>
      </c>
      <c r="I469" s="1">
        <v>0</v>
      </c>
      <c r="J469" s="1">
        <v>6</v>
      </c>
      <c r="L469" s="29"/>
      <c r="O469" s="1"/>
    </row>
    <row r="470" spans="1:15" x14ac:dyDescent="0.3">
      <c r="A470" s="1">
        <v>469</v>
      </c>
      <c r="B470" s="8">
        <v>44473.525000000001</v>
      </c>
      <c r="C470" s="1">
        <v>1</v>
      </c>
      <c r="F470" s="1" t="s">
        <v>645</v>
      </c>
      <c r="G470" s="1">
        <v>48</v>
      </c>
      <c r="H470" s="3">
        <v>49300</v>
      </c>
      <c r="I470" s="1">
        <v>0</v>
      </c>
      <c r="J470" s="1">
        <v>0</v>
      </c>
      <c r="L470" s="29"/>
      <c r="O470" s="1"/>
    </row>
    <row r="471" spans="1:15" x14ac:dyDescent="0.3">
      <c r="A471" s="1">
        <v>470</v>
      </c>
      <c r="B471" s="8">
        <v>44473.688194444447</v>
      </c>
      <c r="C471" s="1">
        <v>1</v>
      </c>
      <c r="F471" s="1" t="s">
        <v>645</v>
      </c>
      <c r="G471" s="1">
        <v>81</v>
      </c>
      <c r="H471" s="3">
        <v>2898810</v>
      </c>
      <c r="I471" s="1">
        <v>0</v>
      </c>
      <c r="J471" s="1">
        <v>4</v>
      </c>
      <c r="L471" s="29"/>
      <c r="O471" s="1"/>
    </row>
    <row r="472" spans="1:15" x14ac:dyDescent="0.3">
      <c r="A472" s="1">
        <v>471</v>
      </c>
      <c r="B472" s="8">
        <v>44473.855555555558</v>
      </c>
      <c r="C472" s="1">
        <v>1</v>
      </c>
      <c r="F472" s="1" t="s">
        <v>645</v>
      </c>
      <c r="G472" s="1">
        <v>81</v>
      </c>
      <c r="H472" s="3">
        <v>2870910</v>
      </c>
      <c r="I472" s="1">
        <v>2</v>
      </c>
      <c r="J472" s="1">
        <v>12</v>
      </c>
      <c r="L472" s="29"/>
      <c r="O472" s="1"/>
    </row>
    <row r="473" spans="1:15" x14ac:dyDescent="0.3">
      <c r="A473" s="1">
        <v>472</v>
      </c>
      <c r="B473" s="8">
        <v>44473.867361111108</v>
      </c>
      <c r="C473" s="1">
        <v>1</v>
      </c>
      <c r="F473" s="1" t="s">
        <v>645</v>
      </c>
      <c r="G473" s="1">
        <v>40</v>
      </c>
      <c r="H473" s="3">
        <v>1251693</v>
      </c>
      <c r="I473" s="1">
        <v>0</v>
      </c>
      <c r="J473" s="1">
        <v>0</v>
      </c>
      <c r="L473" s="29"/>
      <c r="O473" s="1"/>
    </row>
    <row r="474" spans="1:15" x14ac:dyDescent="0.3">
      <c r="A474" s="1">
        <v>473</v>
      </c>
      <c r="B474" s="8">
        <v>44473.878472222219</v>
      </c>
      <c r="C474" s="1">
        <v>2</v>
      </c>
      <c r="D474" s="1" t="s">
        <v>21</v>
      </c>
      <c r="E474" s="1" t="s">
        <v>15</v>
      </c>
      <c r="H474" s="3">
        <v>150000</v>
      </c>
      <c r="I474" s="1">
        <v>1</v>
      </c>
      <c r="J474" s="1">
        <v>1</v>
      </c>
      <c r="L474" s="29"/>
      <c r="O474" s="1"/>
    </row>
    <row r="475" spans="1:15" x14ac:dyDescent="0.3">
      <c r="A475" s="1">
        <v>474</v>
      </c>
      <c r="B475" s="8">
        <v>44409.844687500001</v>
      </c>
      <c r="C475" s="1">
        <v>1</v>
      </c>
      <c r="D475" s="1" t="s">
        <v>15</v>
      </c>
      <c r="E475" s="1" t="s">
        <v>27</v>
      </c>
      <c r="H475" s="45">
        <v>995</v>
      </c>
      <c r="I475" s="1">
        <v>1</v>
      </c>
      <c r="J475" s="1">
        <v>1</v>
      </c>
      <c r="L475" s="29"/>
    </row>
    <row r="476" spans="1:15" x14ac:dyDescent="0.3">
      <c r="A476" s="1">
        <v>475</v>
      </c>
      <c r="B476" s="8">
        <v>44410.405173611114</v>
      </c>
      <c r="C476" s="1">
        <v>1</v>
      </c>
      <c r="F476" s="1" t="s">
        <v>645</v>
      </c>
      <c r="G476" s="1">
        <v>15</v>
      </c>
      <c r="H476" s="45">
        <v>34700</v>
      </c>
      <c r="I476" s="1">
        <v>0</v>
      </c>
      <c r="J476" s="1">
        <v>2</v>
      </c>
    </row>
    <row r="477" spans="1:15" x14ac:dyDescent="0.3">
      <c r="B477" s="8"/>
      <c r="H477" s="45"/>
    </row>
    <row r="478" spans="1:15" x14ac:dyDescent="0.3">
      <c r="B478" s="8"/>
      <c r="H478" s="45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V22"/>
  <sheetViews>
    <sheetView zoomScale="55" zoomScaleNormal="55" workbookViewId="0">
      <selection activeCell="D411" sqref="D411"/>
    </sheetView>
  </sheetViews>
  <sheetFormatPr defaultRowHeight="16.5" x14ac:dyDescent="0.3"/>
  <sheetData>
    <row r="4" spans="2:4" ht="26.25" x14ac:dyDescent="0.3">
      <c r="D4" s="13" t="s">
        <v>738</v>
      </c>
    </row>
    <row r="5" spans="2:4" x14ac:dyDescent="0.3">
      <c r="B5">
        <f>_xlfn.UNICODE("P")</f>
        <v>80</v>
      </c>
    </row>
    <row r="17" spans="4:22" ht="38.25" x14ac:dyDescent="0.3">
      <c r="D17" s="40" t="s">
        <v>757</v>
      </c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</row>
    <row r="22" spans="4:22" x14ac:dyDescent="0.3">
      <c r="H22" t="s">
        <v>739</v>
      </c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I4:K36"/>
  <sheetViews>
    <sheetView zoomScale="85" zoomScaleNormal="85" workbookViewId="0">
      <selection activeCell="D30" sqref="D30"/>
    </sheetView>
  </sheetViews>
  <sheetFormatPr defaultRowHeight="16.5" x14ac:dyDescent="0.3"/>
  <cols>
    <col min="9" max="11" width="35.75" customWidth="1"/>
  </cols>
  <sheetData>
    <row r="4" spans="9:11" ht="26.25" x14ac:dyDescent="0.3">
      <c r="J4" s="15" t="s">
        <v>740</v>
      </c>
    </row>
    <row r="5" spans="9:11" x14ac:dyDescent="0.3">
      <c r="I5" s="17"/>
      <c r="J5" s="18"/>
      <c r="K5" s="19"/>
    </row>
    <row r="6" spans="9:11" x14ac:dyDescent="0.3">
      <c r="I6" s="17"/>
      <c r="J6" s="18"/>
      <c r="K6" s="19"/>
    </row>
    <row r="7" spans="9:11" x14ac:dyDescent="0.3">
      <c r="I7" s="17"/>
      <c r="J7" s="18"/>
      <c r="K7" s="19"/>
    </row>
    <row r="8" spans="9:11" x14ac:dyDescent="0.3">
      <c r="I8" s="17"/>
      <c r="J8" s="18"/>
      <c r="K8" s="19"/>
    </row>
    <row r="9" spans="9:11" x14ac:dyDescent="0.3">
      <c r="I9" s="17"/>
      <c r="J9" s="18"/>
      <c r="K9" s="19"/>
    </row>
    <row r="10" spans="9:11" x14ac:dyDescent="0.3">
      <c r="I10" s="17"/>
      <c r="J10" s="18"/>
      <c r="K10" s="19"/>
    </row>
    <row r="11" spans="9:11" x14ac:dyDescent="0.3">
      <c r="I11" s="17"/>
      <c r="J11" s="18"/>
      <c r="K11" s="19"/>
    </row>
    <row r="12" spans="9:11" x14ac:dyDescent="0.3">
      <c r="I12" s="20"/>
      <c r="J12" s="14"/>
      <c r="K12" s="21"/>
    </row>
    <row r="13" spans="9:11" x14ac:dyDescent="0.3">
      <c r="I13" s="22"/>
      <c r="J13" s="16" t="s">
        <v>741</v>
      </c>
      <c r="K13" s="23"/>
    </row>
    <row r="14" spans="9:11" x14ac:dyDescent="0.3">
      <c r="I14" s="49"/>
      <c r="J14" s="50"/>
      <c r="K14" s="51"/>
    </row>
    <row r="15" spans="9:11" x14ac:dyDescent="0.3">
      <c r="I15" s="49"/>
      <c r="J15" s="50"/>
      <c r="K15" s="51"/>
    </row>
    <row r="16" spans="9:11" x14ac:dyDescent="0.3">
      <c r="I16" s="49"/>
      <c r="J16" s="50"/>
      <c r="K16" s="51"/>
    </row>
    <row r="17" spans="9:11" x14ac:dyDescent="0.3">
      <c r="I17" s="24"/>
      <c r="J17" s="25" t="s">
        <v>742</v>
      </c>
      <c r="K17" s="26"/>
    </row>
    <row r="18" spans="9:11" x14ac:dyDescent="0.3">
      <c r="I18" s="49"/>
      <c r="J18" s="50"/>
      <c r="K18" s="51"/>
    </row>
    <row r="19" spans="9:11" x14ac:dyDescent="0.3">
      <c r="I19" s="49"/>
      <c r="J19" s="50"/>
      <c r="K19" s="51"/>
    </row>
    <row r="20" spans="9:11" x14ac:dyDescent="0.3">
      <c r="I20" s="49"/>
      <c r="J20" s="50"/>
      <c r="K20" s="51"/>
    </row>
    <row r="21" spans="9:11" x14ac:dyDescent="0.3">
      <c r="I21" s="24"/>
      <c r="J21" s="25" t="s">
        <v>743</v>
      </c>
      <c r="K21" s="26"/>
    </row>
    <row r="22" spans="9:11" x14ac:dyDescent="0.3">
      <c r="I22" s="49"/>
      <c r="J22" s="50"/>
      <c r="K22" s="51"/>
    </row>
    <row r="23" spans="9:11" x14ac:dyDescent="0.3">
      <c r="I23" s="49"/>
      <c r="J23" s="50"/>
      <c r="K23" s="51"/>
    </row>
    <row r="24" spans="9:11" x14ac:dyDescent="0.3">
      <c r="I24" s="49"/>
      <c r="J24" s="50"/>
      <c r="K24" s="51"/>
    </row>
    <row r="25" spans="9:11" x14ac:dyDescent="0.3">
      <c r="I25" s="24"/>
      <c r="J25" s="25" t="s">
        <v>744</v>
      </c>
      <c r="K25" s="26"/>
    </row>
    <row r="26" spans="9:11" x14ac:dyDescent="0.3">
      <c r="I26" s="49"/>
      <c r="J26" s="50"/>
      <c r="K26" s="51"/>
    </row>
    <row r="27" spans="9:11" x14ac:dyDescent="0.3">
      <c r="I27" s="49"/>
      <c r="J27" s="50"/>
      <c r="K27" s="51"/>
    </row>
    <row r="28" spans="9:11" x14ac:dyDescent="0.3">
      <c r="I28" s="49"/>
      <c r="J28" s="50"/>
      <c r="K28" s="51"/>
    </row>
    <row r="29" spans="9:11" x14ac:dyDescent="0.3">
      <c r="I29" s="24"/>
      <c r="J29" s="25" t="s">
        <v>745</v>
      </c>
      <c r="K29" s="26"/>
    </row>
    <row r="30" spans="9:11" x14ac:dyDescent="0.3">
      <c r="I30" s="52"/>
      <c r="J30" s="53"/>
      <c r="K30" s="54"/>
    </row>
    <row r="31" spans="9:11" x14ac:dyDescent="0.3">
      <c r="I31" s="49"/>
      <c r="J31" s="50"/>
      <c r="K31" s="51"/>
    </row>
    <row r="32" spans="9:11" x14ac:dyDescent="0.3">
      <c r="I32" s="49"/>
      <c r="J32" s="50"/>
      <c r="K32" s="51"/>
    </row>
    <row r="33" spans="9:11" x14ac:dyDescent="0.3">
      <c r="I33" s="24"/>
      <c r="J33" s="25" t="s">
        <v>746</v>
      </c>
      <c r="K33" s="26"/>
    </row>
    <row r="34" spans="9:11" x14ac:dyDescent="0.3">
      <c r="I34" s="49"/>
      <c r="J34" s="50"/>
      <c r="K34" s="51"/>
    </row>
    <row r="35" spans="9:11" x14ac:dyDescent="0.3">
      <c r="I35" s="49"/>
      <c r="J35" s="50"/>
      <c r="K35" s="51"/>
    </row>
    <row r="36" spans="9:11" x14ac:dyDescent="0.3">
      <c r="I36" s="49"/>
      <c r="J36" s="50"/>
      <c r="K36" s="51"/>
    </row>
  </sheetData>
  <mergeCells count="18">
    <mergeCell ref="I14:I16"/>
    <mergeCell ref="J14:J16"/>
    <mergeCell ref="K14:K16"/>
    <mergeCell ref="I18:I20"/>
    <mergeCell ref="J18:J20"/>
    <mergeCell ref="K18:K20"/>
    <mergeCell ref="I22:I24"/>
    <mergeCell ref="J22:J24"/>
    <mergeCell ref="K22:K24"/>
    <mergeCell ref="I34:I36"/>
    <mergeCell ref="J34:J36"/>
    <mergeCell ref="K34:K36"/>
    <mergeCell ref="I26:I28"/>
    <mergeCell ref="J26:J28"/>
    <mergeCell ref="K26:K28"/>
    <mergeCell ref="I30:I32"/>
    <mergeCell ref="J30:J32"/>
    <mergeCell ref="K30:K32"/>
  </mergeCells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topLeftCell="A4" workbookViewId="0">
      <selection activeCell="N31" sqref="N31"/>
    </sheetView>
  </sheetViews>
  <sheetFormatPr defaultRowHeight="16.5" x14ac:dyDescent="0.3"/>
  <cols>
    <col min="1" max="16384" width="9" style="27"/>
  </cols>
  <sheetData/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4:F9"/>
  <sheetViews>
    <sheetView topLeftCell="A61" zoomScale="55" zoomScaleNormal="55" workbookViewId="0">
      <selection activeCell="U15" sqref="U15"/>
    </sheetView>
  </sheetViews>
  <sheetFormatPr defaultRowHeight="16.5" x14ac:dyDescent="0.3"/>
  <sheetData>
    <row r="4" spans="2:6" x14ac:dyDescent="0.3">
      <c r="B4" t="s">
        <v>747</v>
      </c>
      <c r="C4" s="28" t="s">
        <v>748</v>
      </c>
    </row>
    <row r="9" spans="2:6" s="18" customFormat="1" ht="27" customHeight="1" x14ac:dyDescent="0.3">
      <c r="B9" s="30" t="s">
        <v>749</v>
      </c>
      <c r="C9" s="31"/>
      <c r="D9" s="32" t="s">
        <v>750</v>
      </c>
      <c r="E9" s="32"/>
      <c r="F9" s="32" t="s">
        <v>751</v>
      </c>
    </row>
  </sheetData>
  <phoneticPr fontId="2" type="noConversion"/>
  <pageMargins left="0.7" right="0.7" top="0.75" bottom="0.75" header="0.3" footer="0.3"/>
  <pageSetup paperSize="9" scale="55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TextBox1">
          <controlPr defaultSize="0" autoLine="0" r:id="rId5">
            <anchor moveWithCells="1">
              <from>
                <xdr:col>1</xdr:col>
                <xdr:colOff>0</xdr:colOff>
                <xdr:row>4</xdr:row>
                <xdr:rowOff>47625</xdr:rowOff>
              </from>
              <to>
                <xdr:col>2</xdr:col>
                <xdr:colOff>400050</xdr:colOff>
                <xdr:row>5</xdr:row>
                <xdr:rowOff>133350</xdr:rowOff>
              </to>
            </anchor>
          </controlPr>
        </control>
      </mc:Choice>
      <mc:Fallback>
        <control shapeId="12289" r:id="rId4" name="TextBox1"/>
      </mc:Fallback>
    </mc:AlternateContent>
    <mc:AlternateContent xmlns:mc="http://schemas.openxmlformats.org/markup-compatibility/2006">
      <mc:Choice Requires="x14">
        <control shapeId="12290" r:id="rId6" name="TextBox2">
          <controlPr defaultSize="0" autoLine="0" r:id="rId5">
            <anchor moveWithCells="1">
              <from>
                <xdr:col>2</xdr:col>
                <xdr:colOff>533400</xdr:colOff>
                <xdr:row>4</xdr:row>
                <xdr:rowOff>47625</xdr:rowOff>
              </from>
              <to>
                <xdr:col>4</xdr:col>
                <xdr:colOff>247650</xdr:colOff>
                <xdr:row>5</xdr:row>
                <xdr:rowOff>133350</xdr:rowOff>
              </to>
            </anchor>
          </controlPr>
        </control>
      </mc:Choice>
      <mc:Fallback>
        <control shapeId="12290" r:id="rId6" name="TextBox2"/>
      </mc:Fallback>
    </mc:AlternateContent>
    <mc:AlternateContent xmlns:mc="http://schemas.openxmlformats.org/markup-compatibility/2006">
      <mc:Choice Requires="x14">
        <control shapeId="12291" r:id="rId7" name="TextBox3">
          <controlPr defaultSize="0" autoLine="0" r:id="rId8">
            <anchor moveWithCells="1">
              <from>
                <xdr:col>5</xdr:col>
                <xdr:colOff>66675</xdr:colOff>
                <xdr:row>2</xdr:row>
                <xdr:rowOff>95250</xdr:rowOff>
              </from>
              <to>
                <xdr:col>12</xdr:col>
                <xdr:colOff>619125</xdr:colOff>
                <xdr:row>5</xdr:row>
                <xdr:rowOff>180975</xdr:rowOff>
              </to>
            </anchor>
          </controlPr>
        </control>
      </mc:Choice>
      <mc:Fallback>
        <control shapeId="12291" r:id="rId7" name="TextBox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P5"/>
  <sheetViews>
    <sheetView showGridLines="0" zoomScale="55" zoomScaleNormal="55" workbookViewId="0">
      <selection activeCell="U18" sqref="U18"/>
    </sheetView>
  </sheetViews>
  <sheetFormatPr defaultRowHeight="16.5" x14ac:dyDescent="0.3"/>
  <cols>
    <col min="5" max="5" width="12.25" bestFit="1" customWidth="1"/>
    <col min="10" max="10" width="11.75" bestFit="1" customWidth="1"/>
    <col min="16" max="16" width="9" customWidth="1"/>
  </cols>
  <sheetData>
    <row r="1" spans="2:16" x14ac:dyDescent="0.3">
      <c r="B1" t="str">
        <f>IFERROR(VLOOKUP($A$1, 표1[], 2, 0), "")</f>
        <v/>
      </c>
      <c r="C1" t="str">
        <f>IFERROR(VLOOKUP($A$1, 표1[], 3, 0), "")</f>
        <v/>
      </c>
      <c r="D1" t="str">
        <f>IFERROR(VLOOKUP($A$1, 표1[], 4, 0), "")</f>
        <v/>
      </c>
      <c r="E1" t="str">
        <f>IFERROR(VLOOKUP($A$1, 표1[], 5, 0), "")</f>
        <v/>
      </c>
      <c r="F1" t="str">
        <f>IFERROR(VLOOKUP($A$1, 표1[], 6, 0), "")</f>
        <v/>
      </c>
      <c r="G1" t="str">
        <f>IFERROR(VLOOKUP($A$1, 표1[], 7, 0), "")</f>
        <v/>
      </c>
      <c r="H1" t="str">
        <f>IFERROR(VLOOKUP($A$1, 표1[], 8, 0), "")</f>
        <v/>
      </c>
      <c r="I1" t="str">
        <f>IFERROR(VLOOKUP($A$1, 표1[], 9, 0), "")</f>
        <v/>
      </c>
      <c r="J1" t="str">
        <f>IFERROR(VLOOKUP($A$1, 표1[], 10, 0), "")</f>
        <v/>
      </c>
      <c r="N1" t="str">
        <f>IF(A1="", "로그인", "로그아웃")</f>
        <v>로그인</v>
      </c>
      <c r="P1" t="str">
        <f>이름 &amp; "님, 안녕하세요?"</f>
        <v>님, 안녕하세요?</v>
      </c>
    </row>
    <row r="2" spans="2:16" x14ac:dyDescent="0.3">
      <c r="P2" t="str">
        <f>"계좌 잔액 (" &amp; 계좌 &amp; ")"</f>
        <v>계좌 잔액 ()</v>
      </c>
    </row>
    <row r="3" spans="2:16" x14ac:dyDescent="0.3">
      <c r="P3" s="44" t="str">
        <f>잔액</f>
        <v/>
      </c>
    </row>
    <row r="4" spans="2:16" x14ac:dyDescent="0.3">
      <c r="P4" t="str">
        <f>"카드 이용 내역"</f>
        <v>카드 이용 내역</v>
      </c>
    </row>
    <row r="5" spans="2:16" x14ac:dyDescent="0.3">
      <c r="P5" s="44">
        <f ca="1">SUMIFS(표7[ [ 금액 ] ],표7[회원번호], 번호, 표7[일시], "&lt;=" &amp; TODAY(), 표7[일시], "&gt;=" &amp; DATE(YEAR(TODAY()), MONTH(TODAY())+1, 1)-1)</f>
        <v>0</v>
      </c>
    </row>
  </sheetData>
  <phoneticPr fontId="2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W29"/>
  <sheetViews>
    <sheetView zoomScale="55" zoomScaleNormal="55" workbookViewId="0">
      <selection activeCell="H49" sqref="H49"/>
    </sheetView>
  </sheetViews>
  <sheetFormatPr defaultRowHeight="16.5" x14ac:dyDescent="0.3"/>
  <cols>
    <col min="3" max="3" width="39.875" customWidth="1"/>
    <col min="4" max="4" width="10.625" customWidth="1"/>
    <col min="9" max="9" width="9" customWidth="1"/>
    <col min="20" max="20" width="39.875" bestFit="1" customWidth="1"/>
    <col min="21" max="21" width="3.125" style="1" bestFit="1" customWidth="1"/>
    <col min="22" max="22" width="5.75" style="1" bestFit="1" customWidth="1"/>
  </cols>
  <sheetData>
    <row r="1" spans="3:23" x14ac:dyDescent="0.3">
      <c r="T1" t="s">
        <v>765</v>
      </c>
      <c r="V1" s="1" t="str">
        <f>(ROW()*10) &amp; "대"</f>
        <v>10대</v>
      </c>
      <c r="W1" s="1">
        <f ca="1">COUNTIFS(표5[회원나이대], 1, 표5[카드이름], $T$1)</f>
        <v>0</v>
      </c>
    </row>
    <row r="2" spans="3:23" x14ac:dyDescent="0.3">
      <c r="V2" s="1" t="str">
        <f>(ROW()*10) &amp; "대"</f>
        <v>20대</v>
      </c>
      <c r="W2" s="1">
        <f ca="1">COUNTIFS(표5[회원나이대], 2, 표5[카드이름], $T$1)</f>
        <v>1</v>
      </c>
    </row>
    <row r="3" spans="3:23" x14ac:dyDescent="0.3">
      <c r="V3" s="1" t="str">
        <f>(ROW()*10) &amp; "대"</f>
        <v>30대</v>
      </c>
      <c r="W3" s="1">
        <f ca="1">COUNTIFS(표5[회원나이대], 3, 표5[카드이름], $T$1)</f>
        <v>0</v>
      </c>
    </row>
    <row r="4" spans="3:23" x14ac:dyDescent="0.3">
      <c r="V4" s="1" t="str">
        <f>(ROW()*10) &amp; "대"</f>
        <v>40대</v>
      </c>
      <c r="W4" s="1">
        <f ca="1">COUNTIFS(표5[회원나이대], 4, 표5[카드이름], $T$1)</f>
        <v>0</v>
      </c>
    </row>
    <row r="5" spans="3:23" x14ac:dyDescent="0.3">
      <c r="V5" s="1" t="str">
        <f>(ROW()*10) &amp; "대"</f>
        <v>50대</v>
      </c>
      <c r="W5" s="1">
        <f ca="1">COUNTIFS(표5[회원나이대], 5, 표5[카드이름], $T$1)</f>
        <v>0</v>
      </c>
    </row>
    <row r="6" spans="3:23" x14ac:dyDescent="0.3">
      <c r="V6" s="39"/>
    </row>
    <row r="7" spans="3:23" x14ac:dyDescent="0.3">
      <c r="V7" s="39"/>
    </row>
    <row r="8" spans="3:23" x14ac:dyDescent="0.3">
      <c r="C8" s="36" t="s">
        <v>755</v>
      </c>
      <c r="D8" t="s">
        <v>754</v>
      </c>
      <c r="V8" s="39"/>
    </row>
    <row r="9" spans="3:23" x14ac:dyDescent="0.3">
      <c r="C9" s="37" t="s">
        <v>295</v>
      </c>
      <c r="D9" s="38">
        <v>1</v>
      </c>
    </row>
    <row r="10" spans="3:23" x14ac:dyDescent="0.3">
      <c r="C10" s="37" t="s">
        <v>319</v>
      </c>
      <c r="D10" s="38">
        <v>2</v>
      </c>
    </row>
    <row r="11" spans="3:23" x14ac:dyDescent="0.3">
      <c r="C11" s="37" t="s">
        <v>292</v>
      </c>
      <c r="D11" s="38">
        <v>1</v>
      </c>
    </row>
    <row r="12" spans="3:23" x14ac:dyDescent="0.3">
      <c r="C12" s="37" t="s">
        <v>260</v>
      </c>
      <c r="D12" s="38">
        <v>2</v>
      </c>
    </row>
    <row r="13" spans="3:23" x14ac:dyDescent="0.3">
      <c r="C13" s="37" t="s">
        <v>263</v>
      </c>
      <c r="D13" s="38">
        <v>1</v>
      </c>
    </row>
    <row r="14" spans="3:23" x14ac:dyDescent="0.3">
      <c r="C14" s="37" t="s">
        <v>255</v>
      </c>
      <c r="D14" s="38">
        <v>11</v>
      </c>
    </row>
    <row r="15" spans="3:23" x14ac:dyDescent="0.3">
      <c r="C15" s="37" t="s">
        <v>265</v>
      </c>
      <c r="D15" s="38">
        <v>11</v>
      </c>
    </row>
    <row r="16" spans="3:23" x14ac:dyDescent="0.3">
      <c r="C16" s="37" t="s">
        <v>269</v>
      </c>
      <c r="D16" s="38">
        <v>5</v>
      </c>
    </row>
    <row r="17" spans="3:4" x14ac:dyDescent="0.3">
      <c r="C17" s="37" t="s">
        <v>308</v>
      </c>
      <c r="D17" s="38">
        <v>5</v>
      </c>
    </row>
    <row r="18" spans="3:4" x14ac:dyDescent="0.3">
      <c r="C18" s="37" t="s">
        <v>310</v>
      </c>
      <c r="D18" s="38">
        <v>2</v>
      </c>
    </row>
    <row r="19" spans="3:4" x14ac:dyDescent="0.3">
      <c r="C19" s="37" t="s">
        <v>323</v>
      </c>
      <c r="D19" s="38">
        <v>2</v>
      </c>
    </row>
    <row r="20" spans="3:4" x14ac:dyDescent="0.3">
      <c r="C20" s="37" t="s">
        <v>325</v>
      </c>
      <c r="D20" s="38">
        <v>4</v>
      </c>
    </row>
    <row r="21" spans="3:4" x14ac:dyDescent="0.3">
      <c r="C21" s="37" t="s">
        <v>302</v>
      </c>
      <c r="D21" s="38">
        <v>8</v>
      </c>
    </row>
    <row r="22" spans="3:4" x14ac:dyDescent="0.3">
      <c r="C22" s="37" t="s">
        <v>328</v>
      </c>
      <c r="D22" s="38">
        <v>2</v>
      </c>
    </row>
    <row r="23" spans="3:4" x14ac:dyDescent="0.3">
      <c r="C23" s="37" t="s">
        <v>277</v>
      </c>
      <c r="D23" s="38">
        <v>4</v>
      </c>
    </row>
    <row r="24" spans="3:4" x14ac:dyDescent="0.3">
      <c r="C24" s="37" t="s">
        <v>280</v>
      </c>
      <c r="D24" s="38">
        <v>3</v>
      </c>
    </row>
    <row r="25" spans="3:4" x14ac:dyDescent="0.3">
      <c r="C25" s="37" t="s">
        <v>273</v>
      </c>
      <c r="D25" s="38">
        <v>1</v>
      </c>
    </row>
    <row r="26" spans="3:4" x14ac:dyDescent="0.3">
      <c r="C26" s="37" t="s">
        <v>283</v>
      </c>
      <c r="D26" s="38">
        <v>5</v>
      </c>
    </row>
    <row r="27" spans="3:4" x14ac:dyDescent="0.3">
      <c r="C27" s="37" t="s">
        <v>286</v>
      </c>
      <c r="D27" s="38">
        <v>1</v>
      </c>
    </row>
    <row r="28" spans="3:4" x14ac:dyDescent="0.3">
      <c r="C28" s="37" t="s">
        <v>289</v>
      </c>
      <c r="D28" s="38">
        <v>1</v>
      </c>
    </row>
    <row r="29" spans="3:4" x14ac:dyDescent="0.3">
      <c r="C29" s="37" t="s">
        <v>753</v>
      </c>
      <c r="D29" s="38">
        <v>72</v>
      </c>
    </row>
  </sheetData>
  <phoneticPr fontId="2" type="noConversion"/>
  <pageMargins left="0.7" right="0.7" top="0.75" bottom="0.75" header="0.3" footer="0.3"/>
  <pageSetup paperSize="9"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12</vt:i4>
      </vt:variant>
    </vt:vector>
  </HeadingPairs>
  <TitlesOfParts>
    <vt:vector size="25" baseType="lpstr">
      <vt:lpstr>메인</vt:lpstr>
      <vt:lpstr>회원목록</vt:lpstr>
      <vt:lpstr>카드목록</vt:lpstr>
      <vt:lpstr>카드정보</vt:lpstr>
      <vt:lpstr>카드발급</vt:lpstr>
      <vt:lpstr>상품목록</vt:lpstr>
      <vt:lpstr>거래내역</vt:lpstr>
      <vt:lpstr>카드</vt:lpstr>
      <vt:lpstr>카드비교</vt:lpstr>
      <vt:lpstr>뱅킹</vt:lpstr>
      <vt:lpstr>활동내역</vt:lpstr>
      <vt:lpstr>디자인</vt:lpstr>
      <vt:lpstr>통계</vt:lpstr>
      <vt:lpstr>거래내역!Criteria</vt:lpstr>
      <vt:lpstr>상품목록!Criteria</vt:lpstr>
      <vt:lpstr>회원목록!Criteria</vt:lpstr>
      <vt:lpstr>거래내역!Extract</vt:lpstr>
      <vt:lpstr>상품목록!Extract</vt:lpstr>
      <vt:lpstr>회원목록!Extract</vt:lpstr>
      <vt:lpstr>계좌</vt:lpstr>
      <vt:lpstr>번호</vt:lpstr>
      <vt:lpstr>이름</vt:lpstr>
      <vt:lpstr>이차비밀번호</vt:lpstr>
      <vt:lpstr>잔액</vt:lpstr>
      <vt:lpstr>주소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cp:lastPrinted>2021-08-01T02:28:15Z</cp:lastPrinted>
  <dcterms:created xsi:type="dcterms:W3CDTF">2021-07-30T01:20:09Z</dcterms:created>
  <dcterms:modified xsi:type="dcterms:W3CDTF">2021-08-05T00:15:34Z</dcterms:modified>
</cp:coreProperties>
</file>