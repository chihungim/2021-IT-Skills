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defaultThemeVersion="164011"/>
  <mc:AlternateContent xmlns:mc="http://schemas.openxmlformats.org/markup-compatibility/2006">
    <mc:Choice Requires="x15">
      <x15ac:absPath xmlns:x15ac="http://schemas.microsoft.com/office/spreadsheetml/2010/11/ac" url="C:\Users\YSH\Desktop\전공심화 동아리\2021_전국대회_문제지,학생풀이,해법\시도출제과제_구현해법_YSH\엑셀\강원엑셀_이동윤,백창관\2021강원엑셀_백창관_검색예약폼(미해결)_20210805\"/>
    </mc:Choice>
  </mc:AlternateContent>
  <bookViews>
    <workbookView xWindow="0" yWindow="0" windowWidth="19200" windowHeight="11415" activeTab="5"/>
  </bookViews>
  <sheets>
    <sheet name="메인" sheetId="1" r:id="rId1"/>
    <sheet name="규칙" sheetId="2" r:id="rId2"/>
    <sheet name="관광지" sheetId="3" r:id="rId3"/>
    <sheet name="회원" sheetId="4" r:id="rId4"/>
    <sheet name="축제" sheetId="5" r:id="rId5"/>
    <sheet name="패키지" sheetId="6" r:id="rId6"/>
    <sheet name="예약 내역" sheetId="7" r:id="rId7"/>
    <sheet name="리뷰" sheetId="8" r:id="rId8"/>
    <sheet name="쿠폰" sheetId="9" r:id="rId9"/>
    <sheet name="쿠폰 발급" sheetId="10" r:id="rId10"/>
    <sheet name="지도" sheetId="11" r:id="rId11"/>
    <sheet name="디자인" sheetId="12" r:id="rId12"/>
    <sheet name="거리" sheetId="13" r:id="rId13"/>
    <sheet name="Sheet2" sheetId="14" r:id="rId14"/>
  </sheets>
  <functionGroups builtInGroupCount="18"/>
  <definedNames>
    <definedName name="목록">규칙!$I$1:$I$4</definedName>
    <definedName name="목록\">규칙!$I$1:$I$4</definedName>
    <definedName name="목록2">규칙!$K$1:$K$2</definedName>
    <definedName name="번호">디자인!$A$1</definedName>
    <definedName name="부등호">규칙!$J$1:$J$6</definedName>
    <definedName name="선정기준">규칙!$A$5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12" l="1"/>
  <c r="F1" i="12"/>
  <c r="E1" i="12"/>
  <c r="D1" i="12"/>
  <c r="C1" i="12"/>
  <c r="B1" i="12"/>
  <c r="F2" i="6"/>
  <c r="G2" i="6"/>
  <c r="G6" i="6"/>
  <c r="G10" i="6"/>
  <c r="G3" i="6"/>
  <c r="G7" i="6"/>
  <c r="G11" i="6"/>
  <c r="G4" i="6"/>
  <c r="G8" i="6"/>
  <c r="G5" i="6"/>
  <c r="G9" i="6"/>
  <c r="F6" i="6"/>
  <c r="F10" i="6"/>
  <c r="F3" i="6"/>
  <c r="F7" i="6"/>
  <c r="F11" i="6"/>
  <c r="F4" i="6"/>
  <c r="F8" i="6"/>
  <c r="F5" i="6"/>
  <c r="F9" i="6"/>
  <c r="I2" i="4"/>
  <c r="K5" i="4" l="1"/>
  <c r="K10" i="4"/>
  <c r="K14" i="4"/>
  <c r="K15" i="4"/>
  <c r="K16" i="4"/>
  <c r="K18" i="4"/>
  <c r="K19" i="4"/>
  <c r="K20" i="4"/>
  <c r="K23" i="4"/>
  <c r="K24" i="4"/>
  <c r="K26" i="4"/>
  <c r="K27" i="4"/>
  <c r="K28" i="4"/>
  <c r="H2" i="7"/>
  <c r="N2" i="7" s="1"/>
  <c r="H3" i="7"/>
  <c r="N3" i="7" s="1"/>
  <c r="H4" i="7"/>
  <c r="P4" i="7" s="1"/>
  <c r="H5" i="7"/>
  <c r="O5" i="7" s="1"/>
  <c r="H6" i="7"/>
  <c r="N6" i="7" s="1"/>
  <c r="H7" i="7"/>
  <c r="N7" i="7" s="1"/>
  <c r="H8" i="7"/>
  <c r="P8" i="7" s="1"/>
  <c r="H9" i="7"/>
  <c r="O9" i="7" s="1"/>
  <c r="H10" i="7"/>
  <c r="N10" i="7" s="1"/>
  <c r="H11" i="7"/>
  <c r="N11" i="7" s="1"/>
  <c r="H12" i="7"/>
  <c r="P12" i="7" s="1"/>
  <c r="H13" i="7"/>
  <c r="O13" i="7" s="1"/>
  <c r="H14" i="7"/>
  <c r="N14" i="7" s="1"/>
  <c r="H15" i="7"/>
  <c r="N15" i="7" s="1"/>
  <c r="H16" i="7"/>
  <c r="P16" i="7" s="1"/>
  <c r="H17" i="7"/>
  <c r="O17" i="7" s="1"/>
  <c r="H18" i="7"/>
  <c r="N18" i="7" s="1"/>
  <c r="H19" i="7"/>
  <c r="N19" i="7" s="1"/>
  <c r="H20" i="7"/>
  <c r="P20" i="7" s="1"/>
  <c r="H21" i="7"/>
  <c r="O21" i="7" s="1"/>
  <c r="H22" i="7"/>
  <c r="N22" i="7" s="1"/>
  <c r="H23" i="7"/>
  <c r="N23" i="7" s="1"/>
  <c r="H24" i="7"/>
  <c r="P24" i="7" s="1"/>
  <c r="H25" i="7"/>
  <c r="O25" i="7" s="1"/>
  <c r="H26" i="7"/>
  <c r="N26" i="7" s="1"/>
  <c r="H27" i="7"/>
  <c r="N27" i="7" s="1"/>
  <c r="H28" i="7"/>
  <c r="P28" i="7" s="1"/>
  <c r="H29" i="7"/>
  <c r="O29" i="7" s="1"/>
  <c r="H30" i="7"/>
  <c r="N30" i="7" s="1"/>
  <c r="H31" i="7"/>
  <c r="N31" i="7" s="1"/>
  <c r="H32" i="7"/>
  <c r="P32" i="7" s="1"/>
  <c r="H33" i="7"/>
  <c r="O33" i="7" s="1"/>
  <c r="H34" i="7"/>
  <c r="N34" i="7" s="1"/>
  <c r="H35" i="7"/>
  <c r="N35" i="7" s="1"/>
  <c r="H36" i="7"/>
  <c r="P36" i="7" s="1"/>
  <c r="H37" i="7"/>
  <c r="O37" i="7" s="1"/>
  <c r="H38" i="7"/>
  <c r="N38" i="7" s="1"/>
  <c r="H39" i="7"/>
  <c r="N39" i="7" s="1"/>
  <c r="H40" i="7"/>
  <c r="P40" i="7" s="1"/>
  <c r="H41" i="7"/>
  <c r="O41" i="7" s="1"/>
  <c r="H42" i="7"/>
  <c r="N42" i="7" s="1"/>
  <c r="H43" i="7"/>
  <c r="N43" i="7" s="1"/>
  <c r="H44" i="7"/>
  <c r="P44" i="7" s="1"/>
  <c r="J2" i="4"/>
  <c r="J3" i="4"/>
  <c r="J4" i="4"/>
  <c r="J5" i="4"/>
  <c r="J6" i="4"/>
  <c r="J7" i="4"/>
  <c r="J8" i="4"/>
  <c r="J9" i="4"/>
  <c r="J10" i="4"/>
  <c r="J11" i="4"/>
  <c r="J12" i="4"/>
  <c r="J13" i="4"/>
  <c r="J14" i="4"/>
  <c r="J15" i="4"/>
  <c r="J16" i="4"/>
  <c r="J17" i="4"/>
  <c r="J18" i="4"/>
  <c r="J19" i="4"/>
  <c r="J20" i="4"/>
  <c r="J21" i="4"/>
  <c r="J22" i="4"/>
  <c r="J23" i="4"/>
  <c r="J24" i="4"/>
  <c r="J25" i="4"/>
  <c r="J26" i="4"/>
  <c r="J27" i="4"/>
  <c r="J28" i="4"/>
  <c r="I18" i="4"/>
  <c r="I20" i="4"/>
  <c r="I12" i="4"/>
  <c r="H14" i="4"/>
  <c r="I3" i="4"/>
  <c r="I5" i="4"/>
  <c r="I19" i="4"/>
  <c r="I13" i="4"/>
  <c r="H16" i="4"/>
  <c r="H15" i="4"/>
  <c r="I27" i="4"/>
  <c r="I11" i="4"/>
  <c r="H18" i="4"/>
  <c r="I26" i="4"/>
  <c r="I25" i="4"/>
  <c r="I15" i="4"/>
  <c r="I14" i="4"/>
  <c r="I16" i="4"/>
  <c r="H26" i="4"/>
  <c r="H19" i="4"/>
  <c r="I28" i="4"/>
  <c r="H20" i="4"/>
  <c r="H28" i="4"/>
  <c r="I23" i="4"/>
  <c r="I4" i="4"/>
  <c r="I22" i="4"/>
  <c r="I8" i="4"/>
  <c r="H24" i="4"/>
  <c r="I7" i="4"/>
  <c r="H27" i="4"/>
  <c r="I10" i="4"/>
  <c r="H10" i="4"/>
  <c r="I9" i="4"/>
  <c r="I24" i="4"/>
  <c r="I21" i="4"/>
  <c r="H5" i="4"/>
  <c r="I17" i="4"/>
  <c r="H23" i="4"/>
  <c r="I6" i="4"/>
  <c r="O7" i="7" l="1"/>
  <c r="N12" i="7"/>
  <c r="O23" i="7"/>
  <c r="P23" i="7"/>
  <c r="O40" i="7"/>
  <c r="O15" i="7"/>
  <c r="P11" i="7"/>
  <c r="N32" i="7"/>
  <c r="O24" i="7"/>
  <c r="N44" i="7"/>
  <c r="O39" i="7"/>
  <c r="O8" i="7"/>
  <c r="N40" i="7"/>
  <c r="N20" i="7"/>
  <c r="N8" i="7"/>
  <c r="N37" i="7"/>
  <c r="N28" i="7"/>
  <c r="N16" i="7"/>
  <c r="N5" i="7"/>
  <c r="O32" i="7"/>
  <c r="M32" i="7" s="1"/>
  <c r="O16" i="7"/>
  <c r="P43" i="7"/>
  <c r="P7" i="7"/>
  <c r="N21" i="7"/>
  <c r="N29" i="7"/>
  <c r="N36" i="7"/>
  <c r="N24" i="7"/>
  <c r="N13" i="7"/>
  <c r="N4" i="7"/>
  <c r="O31" i="7"/>
  <c r="P27" i="7"/>
  <c r="P39" i="7"/>
  <c r="N41" i="7"/>
  <c r="N33" i="7"/>
  <c r="N25" i="7"/>
  <c r="N17" i="7"/>
  <c r="N9" i="7"/>
  <c r="O44" i="7"/>
  <c r="O36" i="7"/>
  <c r="O28" i="7"/>
  <c r="O20" i="7"/>
  <c r="O12" i="7"/>
  <c r="O4" i="7"/>
  <c r="P35" i="7"/>
  <c r="P19" i="7"/>
  <c r="P3" i="7"/>
  <c r="O43" i="7"/>
  <c r="O35" i="7"/>
  <c r="O27" i="7"/>
  <c r="O19" i="7"/>
  <c r="O11" i="7"/>
  <c r="M11" i="7" s="1"/>
  <c r="O3" i="7"/>
  <c r="P31" i="7"/>
  <c r="P15" i="7"/>
  <c r="M15" i="7" s="1"/>
  <c r="P38" i="7"/>
  <c r="P30" i="7"/>
  <c r="P22" i="7"/>
  <c r="P14" i="7"/>
  <c r="P6" i="7"/>
  <c r="P2" i="7"/>
  <c r="O42" i="7"/>
  <c r="O38" i="7"/>
  <c r="O34" i="7"/>
  <c r="O30" i="7"/>
  <c r="M30" i="7" s="1"/>
  <c r="K21" i="4" s="1"/>
  <c r="O26" i="7"/>
  <c r="O22" i="7"/>
  <c r="O18" i="7"/>
  <c r="O14" i="7"/>
  <c r="O10" i="7"/>
  <c r="O6" i="7"/>
  <c r="O2" i="7"/>
  <c r="P41" i="7"/>
  <c r="P37" i="7"/>
  <c r="P33" i="7"/>
  <c r="M33" i="7" s="1"/>
  <c r="P29" i="7"/>
  <c r="P25" i="7"/>
  <c r="P21" i="7"/>
  <c r="P17" i="7"/>
  <c r="P13" i="7"/>
  <c r="P9" i="7"/>
  <c r="P5" i="7"/>
  <c r="P42" i="7"/>
  <c r="P34" i="7"/>
  <c r="M34" i="7" s="1"/>
  <c r="P26" i="7"/>
  <c r="P18" i="7"/>
  <c r="P10" i="7"/>
  <c r="H1" i="12"/>
  <c r="H21" i="4"/>
  <c r="M12" i="7" l="1"/>
  <c r="M40" i="7"/>
  <c r="M24" i="7"/>
  <c r="M39" i="7"/>
  <c r="M23" i="7"/>
  <c r="M13" i="7"/>
  <c r="M43" i="7"/>
  <c r="M20" i="7"/>
  <c r="M16" i="7"/>
  <c r="M44" i="7"/>
  <c r="M31" i="7"/>
  <c r="M36" i="7"/>
  <c r="K22" i="4" s="1"/>
  <c r="M7" i="7"/>
  <c r="M9" i="7"/>
  <c r="M41" i="7"/>
  <c r="M28" i="7"/>
  <c r="K12" i="4" s="1"/>
  <c r="M29" i="7"/>
  <c r="K11" i="4" s="1"/>
  <c r="M18" i="7"/>
  <c r="M19" i="7"/>
  <c r="M4" i="7"/>
  <c r="M8" i="7"/>
  <c r="M22" i="7"/>
  <c r="M38" i="7"/>
  <c r="M27" i="7"/>
  <c r="M2" i="7"/>
  <c r="M17" i="7"/>
  <c r="M6" i="7"/>
  <c r="M5" i="7"/>
  <c r="M21" i="7"/>
  <c r="M37" i="7"/>
  <c r="M26" i="7"/>
  <c r="M3" i="7"/>
  <c r="M35" i="7"/>
  <c r="M25" i="7"/>
  <c r="M14" i="7"/>
  <c r="M10" i="7"/>
  <c r="K6" i="4" s="1"/>
  <c r="M42" i="7"/>
  <c r="H22" i="4"/>
  <c r="H12" i="4"/>
  <c r="H11" i="4"/>
  <c r="H6" i="4"/>
  <c r="K25" i="4" l="1"/>
  <c r="K17" i="4"/>
  <c r="K3" i="4"/>
  <c r="K13" i="4"/>
  <c r="K9" i="4"/>
  <c r="K4" i="4"/>
  <c r="K2" i="4"/>
  <c r="K8" i="4"/>
  <c r="K7" i="4"/>
  <c r="H25" i="4"/>
  <c r="H17" i="4"/>
  <c r="H13" i="4"/>
  <c r="H9" i="4"/>
  <c r="H7" i="4"/>
  <c r="H8" i="4"/>
  <c r="H4" i="4"/>
  <c r="H3" i="4"/>
  <c r="H2" i="4"/>
</calcChain>
</file>

<file path=xl/sharedStrings.xml><?xml version="1.0" encoding="utf-8"?>
<sst xmlns="http://schemas.openxmlformats.org/spreadsheetml/2006/main" count="815" uniqueCount="601">
  <si>
    <t>등급</t>
  </si>
  <si>
    <t>브론즈</t>
  </si>
  <si>
    <t>실버</t>
  </si>
  <si>
    <t>골드</t>
  </si>
  <si>
    <t>다이아</t>
  </si>
  <si>
    <t>혜택1</t>
  </si>
  <si>
    <t>[청소년할인율] = 0.1</t>
  </si>
  <si>
    <t>[성인할인율] = 0.05</t>
  </si>
  <si>
    <t>[총금액 할인] = 0.1</t>
  </si>
  <si>
    <t>혜택2</t>
  </si>
  <si>
    <t>[어린이할인율] = 0.1</t>
  </si>
  <si>
    <t>혜택3</t>
  </si>
  <si>
    <t>선정기준1</t>
  </si>
  <si>
    <t>[총 예약금액] &gt;= 100000</t>
  </si>
  <si>
    <t>[총 예약금액] &gt;= 150000</t>
  </si>
  <si>
    <t>[총 예약금액] &gt;= 2500000</t>
  </si>
  <si>
    <t>선정기준2</t>
  </si>
  <si>
    <t>[총 예약횟수] &gt;= 3</t>
  </si>
  <si>
    <t>[총 예약횟수] &gt;= 5</t>
  </si>
  <si>
    <t>[총 예약횟수] &gt;= 10</t>
  </si>
  <si>
    <t>선정기준3</t>
  </si>
  <si>
    <t>선정기준4</t>
  </si>
  <si>
    <t>선정기준5</t>
  </si>
  <si>
    <t>번호</t>
  </si>
  <si>
    <t>시군구</t>
  </si>
  <si>
    <t>관광지명</t>
  </si>
  <si>
    <t>입장료</t>
  </si>
  <si>
    <t>주소</t>
  </si>
  <si>
    <t>소개</t>
  </si>
  <si>
    <t>양구군</t>
  </si>
  <si>
    <t>양구자연생태공원</t>
  </si>
  <si>
    <t>강원도 양구군 동면 숨골로 310번길 169</t>
  </si>
  <si>
    <t>자연생태의 모든 것을 오감으로 느끼고 체험할 수 있는 곳</t>
  </si>
  <si>
    <t>인제군</t>
  </si>
  <si>
    <t>오토테마파크</t>
  </si>
  <si>
    <t>강원도 인제군 기린면 상하답로 130</t>
  </si>
  <si>
    <t>우리나라 최초의 자동차테마파크이며, 국제규격의 자동차경주와 4성급 호텔과 콘도미니엄이 설치되어 있음</t>
  </si>
  <si>
    <t>용대관광지</t>
  </si>
  <si>
    <t>강원도 인제군 북면 십이선녀탕길 16</t>
  </si>
  <si>
    <t>설악산국립공원의 내설악지역에 위치하고 있으며 십이선녀탕, 만해마을, 백담사, 황태덕장, 하천 등이 관광지 주변이 있음</t>
  </si>
  <si>
    <t>방동관광지</t>
  </si>
  <si>
    <t>강원도 인제군 기린면 방동약수로 89-59</t>
  </si>
  <si>
    <t>기린면 방동지역에 위치하고 있음</t>
  </si>
  <si>
    <t>고성군</t>
  </si>
  <si>
    <t>송지호 관망타워</t>
  </si>
  <si>
    <t>강원도 고성군 죽왕면 동해대로 6021</t>
  </si>
  <si>
    <t>5층 규모의 독특한 관망타워 형태로 송지호에 떼지어 이리저리 날아드는 철새들의 군무가 한눈에 내려다보이는 곳</t>
  </si>
  <si>
    <t>화진포 생태박물관</t>
  </si>
  <si>
    <t>강원도 고성군 거진읍 화진포길 256</t>
  </si>
  <si>
    <t>지상 3층 규모로 층별 3개 전시관에서 화진포호와 관련한 생태계를 관찰, 학습할 수 있는 곳</t>
  </si>
  <si>
    <t>화진포 해양박물관</t>
  </si>
  <si>
    <t>강원도 고성군 현내면 화진포길 412</t>
  </si>
  <si>
    <t>세계적으로 희귀한 각종 조개류, 갑각류, 박제 등 1,500여 종 40,000여 점을 전시한 패류박물관과 수중생물 125종 3,000여 마리를 보여주는 어류전시관으로 구성</t>
  </si>
  <si>
    <t>화진포 역사안보전시관</t>
  </si>
  <si>
    <t>강원도 고성군 거진읍 화진포길 300-1</t>
  </si>
  <si>
    <t>화진포의 성, 이승만대통령 화진포 기념관, 이기붕부통령별장으로 이루어진 곳</t>
  </si>
  <si>
    <t>양양군</t>
  </si>
  <si>
    <t>오색관광지</t>
  </si>
  <si>
    <t>강원도 양양군 서면 가라피리 165</t>
  </si>
  <si>
    <t>설악산과오색령에 아름다운 자연경관을 볼수 있음</t>
  </si>
  <si>
    <t>춘천시</t>
  </si>
  <si>
    <t>삼악산(호반)</t>
  </si>
  <si>
    <t>강원도 춘천시 서면 경춘로 1401-25</t>
  </si>
  <si>
    <t>춘천시도기념물로 지정된 삼악산은 주봉인 용화봉과 청운봉, 등선봉 3개가 있어 '삼악'이라 불리게 되었다. 절벽사이로 크고 작은 폭포들이 이어지고, 그중에 등선폭포가 유명하다. 인근에는 금선사, 신흥사, 흥국사, 상원사 등 많은 문화재들이 있다.</t>
  </si>
  <si>
    <t>청평사</t>
  </si>
  <si>
    <t>강원도 춘천시 북산면 오봉산길 580</t>
  </si>
  <si>
    <t>강원도에서 손에 꼽히는 고즈넉한 절, 청평사가 있으며, 오봉산에서 흘러오는 청평사 계곡이 있다. 계곡의 가운데 쯤에는 아름다운 구송폭포가 자리하고 있다.</t>
  </si>
  <si>
    <t>구곡폭포</t>
  </si>
  <si>
    <t>강원도 춘천시 남산면 강촌구곡길 254</t>
  </si>
  <si>
    <t>봉화산 근처 아홉구비를 돌아 떨어지는 구곡폭포와 탄성을 자아내는 하늘벽 바위 등 자연경관이 출중한 곳이며, 깔닥재를 넘으면 자연부락인 문배마을까지 볼 수 있다.</t>
  </si>
  <si>
    <t>원주시</t>
  </si>
  <si>
    <t>간현관광지</t>
  </si>
  <si>
    <t>강원도 원주시 지정면 소금산길 26</t>
  </si>
  <si>
    <t>섬강과 삼산천 강물이 합수되는 지점에 위치하고 있어 빼어난 자연경관과 소금산 등반 등을 할 수 있음</t>
  </si>
  <si>
    <t>강릉시</t>
  </si>
  <si>
    <t>옥계해변관광지</t>
  </si>
  <si>
    <t>강원도 강릉시 옥계면 금진리 799-16일원</t>
  </si>
  <si>
    <t>주문진해변관광지</t>
  </si>
  <si>
    <t>강원도 강릉시 주문진읍 향호리 8-22일원</t>
  </si>
  <si>
    <t>연곡해변관광지</t>
  </si>
  <si>
    <t>강원도 강릉시 연곡면 동덕리 99-13일원</t>
  </si>
  <si>
    <t>등명해변관광지</t>
  </si>
  <si>
    <t>강원도 강릉시 강동면 정동진리 440-41일원</t>
  </si>
  <si>
    <t>대관령어흘리관광지</t>
  </si>
  <si>
    <t>강원도 강릉시 성산면 어흘리 508일원</t>
  </si>
  <si>
    <t>성산면 대관령 어흘리관광지</t>
  </si>
  <si>
    <t>동해시</t>
  </si>
  <si>
    <t>무릉계곡</t>
  </si>
  <si>
    <t>강원도 동해시 삼화로 584(삼화동)</t>
  </si>
  <si>
    <t>신선이 노닐었다는 무릉계곡명승지 일명 무릉도원이라 불리는 무릉계곡 명승지는 두타산과 청옥산을 배경으로 이루어진 계곡으로 수많은 기암괴석과 절경들이 장관을 이루고 있어 마치 현존하는 선경에 와있는 듯한 느낌을 준다.</t>
  </si>
  <si>
    <t>망상</t>
  </si>
  <si>
    <t>강원도 동해시 동해대로 6314(망상동)</t>
  </si>
  <si>
    <t>눈앞에 바로 펼쳐지는 깨끗한 백사장과 맑고 푸른 바다, 상쾌한 바닷바람과 해가 뜨는 드넓은 수평선을 느낄 수 있는 해수욕장과 오토캠핑리조트등이 있다</t>
  </si>
  <si>
    <t>추암</t>
  </si>
  <si>
    <t>강원도 동해시 촛대바위길 28(추암동)</t>
  </si>
  <si>
    <t>애국가 첫 소절의 배경화면으로 유명한 각종 기암괴석이 조화를 이루는 촛대바위, 이 바위에 걸리는 아침 해돋이가 가히 장관이라 할 수 있어 관광객들이 가장 선호하는 해돋이 명소이다.</t>
  </si>
  <si>
    <t>태백시</t>
  </si>
  <si>
    <t>구문소 관광지</t>
  </si>
  <si>
    <t>강원도 태백시 동태백로11(동점동)</t>
  </si>
  <si>
    <t>천연기념물인 구문소와 접목되어 자연환경적 특성을 부각하고 지질학습 및 화석 산출지의 탐방자원화, 체류형 관광시설 도입</t>
  </si>
  <si>
    <t>삼척시</t>
  </si>
  <si>
    <t>삼척해수욕장관광지</t>
  </si>
  <si>
    <t>강원도 삼척시 수로부인길 453</t>
  </si>
  <si>
    <t>대명 쏠비치 리조트 연계운영</t>
  </si>
  <si>
    <t>맹방관광지</t>
  </si>
  <si>
    <t>강원도 삼척시 근덕면 상맹방길 30-80</t>
  </si>
  <si>
    <t>맹방해수욕장 등 연계 운영</t>
  </si>
  <si>
    <t>초당관광지</t>
  </si>
  <si>
    <t>강원도 삼척시 근덕면 미근로 1629</t>
  </si>
  <si>
    <t>대중골프장 조성 연계 운영</t>
  </si>
  <si>
    <t>장호관광지</t>
  </si>
  <si>
    <t>강원도 삼척시 근덕면 삼척로 2154</t>
  </si>
  <si>
    <t>해상로프웨이+어촌체험+장호비치캠핑장 조성 연계운영</t>
  </si>
  <si>
    <t>횡성군</t>
  </si>
  <si>
    <t>어답산관광지</t>
  </si>
  <si>
    <t>강원도 횡성군 갑천면 어답산로 516</t>
  </si>
  <si>
    <t>병지방계곡,캠핑장</t>
  </si>
  <si>
    <t>유현문화관광지</t>
  </si>
  <si>
    <t>강원도 횡성군 서원면 경강로유현1길 30</t>
  </si>
  <si>
    <t>풍수원성당, 유물전시관, 산책로</t>
  </si>
  <si>
    <t>웰리힐리파크 관광단지</t>
  </si>
  <si>
    <t>강원도 횡성군 둔내면 고원로 451</t>
  </si>
  <si>
    <t>스키장, 골프장, 곤돌라, 콘도</t>
  </si>
  <si>
    <t>영월군</t>
  </si>
  <si>
    <t>고씨굴 관광지</t>
  </si>
  <si>
    <t>강원도 영월군 김삿갓면 영월동로 1111</t>
  </si>
  <si>
    <t>천연기념물 제219호로 지정된 석회동굴 관광지</t>
  </si>
  <si>
    <t>평창시</t>
  </si>
  <si>
    <t>이효석문화예술촌</t>
  </si>
  <si>
    <t>강원도 평창군 봉평면 효석문학길 73-25</t>
  </si>
  <si>
    <t>이효석문화예술촌은 가산 이효석의 생애와 문학세계를 볼 수 있는 곳으로 특히 이효석문학관에는 이효석 문학전시실과 다양한 문학체험을 할 수 있는 문학교실, 학예연구실 등으로 이루어져 있다.이효석문화예술촌에는 이효석문학관 뿐만 아니라, 사계절의 자연을 느낄 수 있는 꿈꾸는 정원과 야외광장인 나귀광장과 달빛광장이 있으며 효석달빛언덕을 한눈에 내려다 볼 수 있는 달빛나귀 전망대, 이효석의 기억과 추억을 들여다 볼 수 있는 작은 도서관, 카페, 기념품샵이 있다.</t>
  </si>
  <si>
    <t>무이예술관</t>
  </si>
  <si>
    <t>강원도 평창군 봉평면 사리평길 233</t>
  </si>
  <si>
    <t>폐교로 남겨진 무이초등학교에 예술의 꽃이 활짝 폈다. 폐교를 복원해 조성한 예술인촌 평창무이예술관은 그 자체로 아름다운 볼거리가 되었다. 현재 이곳에서는 서양화가 정연서, 조각가 오상욱, 도예가 권순범, 서예가 이천섭 등의 예술가들이 활발히 창작활동을 하고 있는 곳이다. 평창무이예술관을 찾으면 작가들의 작품활동 장면을 직접 볼 수 있고, 다양한 체험프로그램에도 참여할 수 있다. 넓은 운동장은 야외조각공원으로 꾸며져 대형조각품들이 전시되어 있다. 예술전망대에 올라가면 그림과 같은 풍경이 펼쳐져 또 한 번의 감동을 선사한다.</t>
  </si>
  <si>
    <t>백룡동굴</t>
  </si>
  <si>
    <t>강원도 평창군 미탄면 문희길 63</t>
  </si>
  <si>
    <t>백룡동굴의 입구는 해발고도 235m 지점에 있는 천연동굴로서 약 5억년 전에 생성된 것으로 보인다. 동강의 수면으로부터 약 15m 위의 지점에 위치한다. 백룡동굴은 오래 전부터 마을 주민들에게 알려져 왔으며, 동굴 입구에 온돌이 있고 그 주위에 토기조각들이 발견되는 것으로 보아 오래 전에는 우리 조상의 거처로도 사용되었던 것으로 생각된다. 또한 약 3만년 전의 것으로 추측되는 소의 대퇴부 뼈가 석순에 응고된 채 발견되어 신비로움을 더해주고 있다. 특히 굴의 주변을 감싸고 있는 백운산과 굽이쳐 흐르는 강줄기는 때묻지 않은 아름다운 자연 경관을 그대로 간직하고 있어 선경을 연상하게 해 준다.</t>
  </si>
  <si>
    <t>정선군</t>
  </si>
  <si>
    <t>화암관광지</t>
  </si>
  <si>
    <t>강원도 정선군 화암면 화암리 540번지 일원</t>
  </si>
  <si>
    <t>화암동굴과 화암약수 등 천혜의 자연자원과 청정한 주변 환경으로 인한 개발 잠재력이 풍부한 지역</t>
  </si>
  <si>
    <t>아우라지관광지</t>
  </si>
  <si>
    <t>강원도 정선군 여량면 여량리, 유천리 일원</t>
  </si>
  <si>
    <t>여량면 여량리에 위치해 있으며, 강원도 무형문화재 제1호인 정선 아리랑의 대표적인 발상지 중 한 곳. 예부터 강과 산이 수려하고 평창군 도암면에서 발원되어 흐르고 있는 구절쪽의 송천과 삼척군 하장면에서 발원하여 흐르고 있는 임계쪽의 골지천이 합류되어 “어우러진다”하여 아우라지라 불리움</t>
  </si>
  <si>
    <t>철원군</t>
  </si>
  <si>
    <t>직탕</t>
  </si>
  <si>
    <t>강원도 철원군 갈말읍 직탕길 32</t>
  </si>
  <si>
    <t>천혜의 자연환경을 자랑하는 한탄강 상류지역으로 강을 횡단하여 떨어지는 수직 낙하 폭이 80m의 절벽으로 이루어진 직탕폭포가 있는 곳으로 맑고 깨끗한 풍부한 수량, 빼어난 주상절리 협곡, 절경을 감상하며 뛰어내리는 태봉대교 번지점프, 자연의 맛이 살아 있는 매운탕이 유명한 곳이다. 한탄강 국가지질공원으로 지정받은 지질명소이기도 하다.</t>
  </si>
  <si>
    <t>고석정</t>
  </si>
  <si>
    <t>강원도 철원군 동송읍 태봉로 1825</t>
  </si>
  <si>
    <t>1977년 국민관광지로 지정된 고석정은 한탄강 중류에 위치한 철원구경의 하나로 강 중앙에 10m 높이의 거대한 기암이 우뚝 솟아 있는 것이 특이한 남한대륙의 유일한 현무암 분출지이며 조선조 초기 임꺽정의 활동무대로도 널리 알려져 있어 많은 전설이 전해지고 있다.</t>
  </si>
  <si>
    <t>화천군</t>
  </si>
  <si>
    <t>광덕계곡관광지</t>
  </si>
  <si>
    <t>강원도 화천군 사내면 포화로 일원</t>
  </si>
  <si>
    <t xml:space="preserve">광덕계곡은 백운산과 광덕산 사이에 위치하며 자연경관이 수려하고 오염되지 않은 작은폭포, 작은소 등 개끗한 물이 일품이다. </t>
  </si>
  <si>
    <t>두타연</t>
  </si>
  <si>
    <t>강원도 양구군 방산면 고방산리 1024</t>
  </si>
  <si>
    <t>금강산에서 발원한 물줄기가 골짜기를 만나 아담한 폭포를 이루고, 그 아래 만들어진 너른 소를 일컫는다.</t>
  </si>
  <si>
    <t>한반도섬</t>
  </si>
  <si>
    <t>강원도 양구군 양구읍 고대리 649-2</t>
  </si>
  <si>
    <t>한반도지형을 그대로 축소한 섬</t>
  </si>
  <si>
    <t>을지전망대</t>
  </si>
  <si>
    <t>강원도 양구군 해안면 전망대로 540</t>
  </si>
  <si>
    <t>해발 1,049m DMZ 철책위에서 남북한의 대치상황을 한눈에 볼 수 있다</t>
  </si>
  <si>
    <t>제4땅굴</t>
  </si>
  <si>
    <t>강원도 양구군 해안면 땅굴로 454</t>
  </si>
  <si>
    <t>1990년 2월3일 발견,  군사 분계선에서 1,028m 떨어진 곳에 위치</t>
  </si>
  <si>
    <t>국토정중앙천문대</t>
  </si>
  <si>
    <t>강원도 양구군 남면 국토정중앙로 127</t>
  </si>
  <si>
    <t>우리나라의 중심에서 하늘을 바라보기 위해국토정중앙점 부근에 건설되어 2007년 5월 31일 개관</t>
  </si>
  <si>
    <t>아이디</t>
  </si>
  <si>
    <t>비밀번호</t>
  </si>
  <si>
    <t>이름</t>
  </si>
  <si>
    <t>전화번호</t>
  </si>
  <si>
    <t>생년월일</t>
  </si>
  <si>
    <t>이메일</t>
  </si>
  <si>
    <t>rlsmd1</t>
  </si>
  <si>
    <t>rlsmd1!</t>
  </si>
  <si>
    <t>홍길동</t>
  </si>
  <si>
    <t>010-1111-2222</t>
  </si>
  <si>
    <t>010506-4******</t>
  </si>
  <si>
    <t>rlsmd2@skills.com</t>
  </si>
  <si>
    <t>rlsmd2</t>
  </si>
  <si>
    <t>rlsmd2!</t>
  </si>
  <si>
    <t>김철수</t>
  </si>
  <si>
    <t>010-5645-2223</t>
  </si>
  <si>
    <t>051104-4******</t>
  </si>
  <si>
    <t>rlsmd3</t>
  </si>
  <si>
    <t>rlsmd3!</t>
  </si>
  <si>
    <t>이아롱</t>
  </si>
  <si>
    <t>010-3424-4324</t>
  </si>
  <si>
    <t>020625-3******</t>
  </si>
  <si>
    <t>rlsmd3@skills.com</t>
  </si>
  <si>
    <t>rlsmd4</t>
  </si>
  <si>
    <t>rlsmd4!</t>
  </si>
  <si>
    <t>박민서</t>
  </si>
  <si>
    <t>010-4323-7665</t>
  </si>
  <si>
    <t>040612-3******</t>
  </si>
  <si>
    <t>rlsmd4@skills.com</t>
  </si>
  <si>
    <t>rlsmd5</t>
  </si>
  <si>
    <t>rlsmd5!</t>
  </si>
  <si>
    <t>지찬일</t>
  </si>
  <si>
    <t>010-7547-4273</t>
  </si>
  <si>
    <t>890511-1******</t>
  </si>
  <si>
    <t>rlsmd5@skills.com</t>
  </si>
  <si>
    <t>rlsmd6</t>
  </si>
  <si>
    <t>rlsmd6!</t>
  </si>
  <si>
    <t>조영수</t>
  </si>
  <si>
    <t>010-4527-0014</t>
  </si>
  <si>
    <t>750315-2******</t>
  </si>
  <si>
    <t>rlsmd6@skills.com</t>
  </si>
  <si>
    <t>rlsmd7</t>
  </si>
  <si>
    <t>rlsmd7!</t>
  </si>
  <si>
    <t>김민준</t>
  </si>
  <si>
    <t>010-1459-0142</t>
  </si>
  <si>
    <t>730618-2******</t>
  </si>
  <si>
    <t>rlsmd7@skills.com</t>
  </si>
  <si>
    <t>rlsmd8</t>
  </si>
  <si>
    <t>rlsmd8!</t>
  </si>
  <si>
    <t>김준면</t>
  </si>
  <si>
    <t>010-4567-4564</t>
  </si>
  <si>
    <t>780910-1******</t>
  </si>
  <si>
    <t>rlsmd8@skills.com</t>
  </si>
  <si>
    <t>rlsmd9</t>
  </si>
  <si>
    <t>rlsmd9!</t>
  </si>
  <si>
    <t>조민성</t>
  </si>
  <si>
    <t>010-6706-6295</t>
  </si>
  <si>
    <t>760320-1******</t>
  </si>
  <si>
    <t>rlsmd9@skills.com</t>
  </si>
  <si>
    <t>rlsmd10</t>
  </si>
  <si>
    <t>rlsmd10!</t>
  </si>
  <si>
    <t>김설아</t>
  </si>
  <si>
    <t>010-3209-3547</t>
  </si>
  <si>
    <t>631111-1******</t>
  </si>
  <si>
    <t>rlsmd10@skills.com</t>
  </si>
  <si>
    <t>rlsmd11</t>
  </si>
  <si>
    <t>rlsmd11!</t>
  </si>
  <si>
    <t>나종대</t>
  </si>
  <si>
    <t>010-2638-9560</t>
  </si>
  <si>
    <t>700227-2******</t>
  </si>
  <si>
    <t>rlsmd11@skills.com</t>
  </si>
  <si>
    <t>rlsmd12</t>
  </si>
  <si>
    <t>rlsmd12!</t>
  </si>
  <si>
    <t>김제주</t>
  </si>
  <si>
    <t>010-2738-5936</t>
  </si>
  <si>
    <t>680430-1******</t>
  </si>
  <si>
    <t>rlsmd12@skills.com</t>
  </si>
  <si>
    <t>rlsmd13</t>
  </si>
  <si>
    <t>rlsmd13!</t>
  </si>
  <si>
    <t>김경영</t>
  </si>
  <si>
    <t>010-1037-7991</t>
  </si>
  <si>
    <t>610212-1******</t>
  </si>
  <si>
    <t>rlsmd13@skills.com</t>
  </si>
  <si>
    <t>rlsmd14</t>
  </si>
  <si>
    <t>rlsmd14!</t>
  </si>
  <si>
    <t>윤원오</t>
  </si>
  <si>
    <t>010-8016-2818</t>
  </si>
  <si>
    <t>820521-1******</t>
  </si>
  <si>
    <t>rlsmd14@skills.com</t>
  </si>
  <si>
    <t>rlsmd15</t>
  </si>
  <si>
    <t>rlsmd15!</t>
  </si>
  <si>
    <t>전소미</t>
  </si>
  <si>
    <t>010-7415-7216</t>
  </si>
  <si>
    <t>900811-2******</t>
  </si>
  <si>
    <t>rlsmd15@skills.com</t>
  </si>
  <si>
    <t>rlsmd16</t>
  </si>
  <si>
    <t>rlsmd16!</t>
  </si>
  <si>
    <t>박지방</t>
  </si>
  <si>
    <t>010-9929-2177</t>
  </si>
  <si>
    <t>860903-1******</t>
  </si>
  <si>
    <t>rlsmd16@skills.com</t>
  </si>
  <si>
    <t>rlsmd17</t>
  </si>
  <si>
    <t>rlsmd17!</t>
  </si>
  <si>
    <t>010-7322-7028</t>
  </si>
  <si>
    <t>861005-1******</t>
  </si>
  <si>
    <t>rlsmd17@skills.com</t>
  </si>
  <si>
    <t>rlsmd18</t>
  </si>
  <si>
    <t>rlsmd18!</t>
  </si>
  <si>
    <t>이상구</t>
  </si>
  <si>
    <t>010-9560-2638</t>
  </si>
  <si>
    <t>020906-3******</t>
  </si>
  <si>
    <t>rlsmd18@skills.com</t>
  </si>
  <si>
    <t>rlsmd19</t>
  </si>
  <si>
    <t>rlsmd19!</t>
  </si>
  <si>
    <t>남정휴</t>
  </si>
  <si>
    <t>010-1451-2597</t>
  </si>
  <si>
    <t>010725-3******</t>
  </si>
  <si>
    <t>rlsmd19@skills.com</t>
  </si>
  <si>
    <t>rlsmd20</t>
  </si>
  <si>
    <t>rlsmd20!</t>
  </si>
  <si>
    <t>김숙</t>
  </si>
  <si>
    <t>010-8649-1370</t>
  </si>
  <si>
    <t>981203-2******</t>
  </si>
  <si>
    <t>rlsmd20@skills.com</t>
  </si>
  <si>
    <t>rlsmd21</t>
  </si>
  <si>
    <t>rlsmd21!</t>
  </si>
  <si>
    <t>홍성장</t>
  </si>
  <si>
    <t>010-6167-6899</t>
  </si>
  <si>
    <t>000903-1******</t>
  </si>
  <si>
    <t>rlsmd21@skills.com</t>
  </si>
  <si>
    <t>rlsmd22</t>
  </si>
  <si>
    <t>rlsmd22!</t>
  </si>
  <si>
    <t>전현직</t>
  </si>
  <si>
    <t>010-9354-1392</t>
  </si>
  <si>
    <t>930123-1******</t>
  </si>
  <si>
    <t>rlsmd22@skills.com</t>
  </si>
  <si>
    <t>rlsmd23</t>
  </si>
  <si>
    <t>rlsmd23!</t>
  </si>
  <si>
    <t>변백현</t>
  </si>
  <si>
    <t>010-4689-8204</t>
  </si>
  <si>
    <t>950831-2******</t>
  </si>
  <si>
    <t>rlsmd23@skills.com</t>
  </si>
  <si>
    <t>rlsmd24</t>
  </si>
  <si>
    <t>rlsmd24!</t>
  </si>
  <si>
    <t>유연정</t>
  </si>
  <si>
    <t>010-5819-3060</t>
  </si>
  <si>
    <t>960628-1******</t>
  </si>
  <si>
    <t>rlsmd24@skills.com</t>
  </si>
  <si>
    <t>rlsmd25</t>
  </si>
  <si>
    <t>rlsmd25!</t>
  </si>
  <si>
    <t>김석진</t>
  </si>
  <si>
    <t>010-6466-3216</t>
  </si>
  <si>
    <t>970518-1******</t>
  </si>
  <si>
    <t>rlsmd25@skills.com</t>
  </si>
  <si>
    <t>rlsmd26</t>
  </si>
  <si>
    <t>rlsmd26!</t>
  </si>
  <si>
    <t>이영주</t>
  </si>
  <si>
    <t>010-8517-6072</t>
  </si>
  <si>
    <t>881205-2******</t>
  </si>
  <si>
    <t>rlsmd26@skills.com</t>
  </si>
  <si>
    <t>rlsmd27</t>
  </si>
  <si>
    <t>rlsmd27!</t>
  </si>
  <si>
    <t>윤산하</t>
  </si>
  <si>
    <t>010-6710-7817</t>
  </si>
  <si>
    <t>670928-2******</t>
  </si>
  <si>
    <t>rlsmd27@skills.com</t>
  </si>
  <si>
    <t>등급</t>
    <phoneticPr fontId="2" type="noConversion"/>
  </si>
  <si>
    <t>평창효석문화제</t>
  </si>
  <si>
    <t>봉평면 효석문화마을</t>
  </si>
  <si>
    <t>메밀꽃 포토존+ 문화예술체험 및 공연</t>
  </si>
  <si>
    <t>삼척동해왕이사부독도축제</t>
  </si>
  <si>
    <t>문화예술회관 및 오십천 일원</t>
  </si>
  <si>
    <t>공연,대회,학술,체험,먹거리행사</t>
  </si>
  <si>
    <t>민둥산억새꽃축제</t>
  </si>
  <si>
    <t>남면 민둥산</t>
  </si>
  <si>
    <t>등반대회,산신제</t>
  </si>
  <si>
    <t>고성군민의 날 및 수성문화제</t>
  </si>
  <si>
    <t>고성종합운동장외 부대시설</t>
  </si>
  <si>
    <t>수성제례, 군민의 날 행사 등</t>
  </si>
  <si>
    <t>양양송이축제</t>
  </si>
  <si>
    <t>양양남대천 둔치 및 부대행사장</t>
  </si>
  <si>
    <t>송이채취현장체험, 송이보물찾기체험 등</t>
  </si>
  <si>
    <t>안흥찐빵축제</t>
  </si>
  <si>
    <t>주천강 실미교 아래 둔치</t>
  </si>
  <si>
    <t>안흥찐빵 시식 및 홍보, 농경문화 체험, 먹거리장터운영 등</t>
  </si>
  <si>
    <t>정선아리랑제</t>
  </si>
  <si>
    <t>정선읍 아라리공원</t>
  </si>
  <si>
    <t>강원도 무형문화재 제1호인 정선아리랑의 전승보존 및 계승</t>
  </si>
  <si>
    <t>홍천군</t>
  </si>
  <si>
    <t>홍천사과축제</t>
  </si>
  <si>
    <t>도시산림공원 토리숲</t>
  </si>
  <si>
    <t>강원사과 심포지엄, 홍천사과 홍보를 위한 문화행사, 사과를 이용한 체험행사, 사과 등 농산물 직거래 장터</t>
  </si>
  <si>
    <t>김유정문학제</t>
  </si>
  <si>
    <t>김유정문학촌</t>
  </si>
  <si>
    <t>김유정문학상 시상식, 이야기대회, 민속놀이, 초청공연 등</t>
  </si>
  <si>
    <t>오대산문화축전</t>
  </si>
  <si>
    <t>오대산 월정사</t>
  </si>
  <si>
    <t>산사음악회+전시+불교문화체험</t>
  </si>
  <si>
    <t>횡성한우축제</t>
  </si>
  <si>
    <t>횡서읍 섬강둔치 일원</t>
  </si>
  <si>
    <t>한우구이터, 발골이벤트, 한우퍼레이드, 스템프투어 등</t>
  </si>
  <si>
    <t>강릉커피축제</t>
  </si>
  <si>
    <t>강릉아레나, 안목해변</t>
  </si>
  <si>
    <t>100인100미 강릉바리스타 퍼포먼스, 커피경연대회(바리스타, 핸드드립, 커핑, 마카롱) , 커피체험(로스팅, 추출, 커핑, 공예품 등), 전시, 공연 등</t>
  </si>
  <si>
    <t>동해무릉제</t>
  </si>
  <si>
    <t>천곡로타리 일원</t>
  </si>
  <si>
    <t>개막식, 퍼레이드, 공연행사, 체험행사, 동대항 민속경기, 민속예술시연 등</t>
  </si>
  <si>
    <t>김삿갓문화제</t>
  </si>
  <si>
    <t>김삿갓유적지 일원</t>
  </si>
  <si>
    <t>지역문화예술 전통축제</t>
  </si>
  <si>
    <t>무궁화축제</t>
  </si>
  <si>
    <t>종합운동장</t>
  </si>
  <si>
    <t>민속놀이, 노래자랑, 특산품판매, 풍물시장, 불꽃놀이, 체험행사, 전시행사등</t>
  </si>
  <si>
    <t>인삼한우명품축제</t>
  </si>
  <si>
    <t>토리숲</t>
  </si>
  <si>
    <t>인삼. 한우판매, 인삼경매, 체험행사, 시식행사, 판매행사등</t>
  </si>
  <si>
    <t>양록제</t>
  </si>
  <si>
    <t>읍면대항 민속 및 체육경기, 양록제례, 양구문화예술축제, 농특산물 품평회, 금강산가는 옛길 걷기대회 등</t>
  </si>
  <si>
    <t>고성통일명태축제</t>
  </si>
  <si>
    <t>강원도 고성군 거진읍 거진11리 해변</t>
  </si>
  <si>
    <t>고성통일명태와 떠나는 평화 여행</t>
  </si>
  <si>
    <t>양양연어축제</t>
  </si>
  <si>
    <t>연어맨손잡이체험, 연어탁본 등</t>
  </si>
  <si>
    <t>시래기축제</t>
  </si>
  <si>
    <t>해안면 펀치볼 힐링하우스광장일원</t>
  </si>
  <si>
    <t>시래기 덕장체험, 시래기 떡메치기, 농촌체험, 사과 품평회 및 시식회, DMZ 평화바람길 걷기 등</t>
  </si>
  <si>
    <t>삼척평생학습박람회</t>
  </si>
  <si>
    <t>문화예술회관 광장</t>
  </si>
  <si>
    <t>평생학습체험, 공연발표, 작품전시, 작가와놀자</t>
  </si>
  <si>
    <t>얼음나라화천 산천어축제</t>
  </si>
  <si>
    <t>강원도 화천군 화천읍 화천천일원</t>
  </si>
  <si>
    <t>얼음낚시, 맨손잡기, 눈얼음체험, 얼음조각광장 등</t>
  </si>
  <si>
    <t>태백산눈축제</t>
  </si>
  <si>
    <t>태백산국립공원 및 시내일원</t>
  </si>
  <si>
    <t>개막행사, 대형눈조각전시, 체험공연프로그램 등</t>
  </si>
  <si>
    <t>대관령눈꽃축제</t>
  </si>
  <si>
    <t>대관령면 횡계리 송천일원</t>
  </si>
  <si>
    <t>눈조각전시+눈썰매체험</t>
  </si>
  <si>
    <t>인제빙어축제</t>
  </si>
  <si>
    <t>강원도 인제군 남면 부평리 빙어호</t>
  </si>
  <si>
    <t>축제행사, 빙어낚시, 체험, 특산품 판매, 공연</t>
  </si>
  <si>
    <t>정선고드름축제</t>
  </si>
  <si>
    <t>정선읍 조양강변</t>
  </si>
  <si>
    <t>맨손 송어잡치 체험, 송어낚시, VR체험, 겨울테마 전시 등</t>
  </si>
  <si>
    <t>삼척정월대보름축제</t>
  </si>
  <si>
    <t>엑스포광장</t>
  </si>
  <si>
    <t>기줄다리기, 민속행사, 재례행사</t>
  </si>
  <si>
    <t>삼척맹방유채꽃축제</t>
  </si>
  <si>
    <t>삼척시 근덕면 삼척로 유채밭 일대</t>
  </si>
  <si>
    <t>딸기체험, 유채꽃 사진전</t>
  </si>
  <si>
    <t>난설헌문화제</t>
  </si>
  <si>
    <t>허균허난설헌기념공원</t>
  </si>
  <si>
    <t>문화재행사, 공연, 체험, 전시, 시민참여행사, 경축부대행사및 난장 등</t>
  </si>
  <si>
    <t>단종문화제</t>
  </si>
  <si>
    <t>장릉 및 영월읍 일원</t>
  </si>
  <si>
    <t>조신시대국장재현, 정순왕후선발대회, 야간칡줄다리기 등</t>
  </si>
  <si>
    <t>원주 한지문화제</t>
  </si>
  <si>
    <t>원주한지테마파크 일원</t>
  </si>
  <si>
    <t>공연행사, 체험행사, 특산품 판매</t>
  </si>
  <si>
    <t>봄내예술제</t>
  </si>
  <si>
    <t>공지천 야외공연장, 봄내극장, 춘천미술관, 아트플라자갤러리, 국립춘천박물관</t>
  </si>
  <si>
    <t>전시, 음악회, 가요제, 국악무용, 연극 등</t>
  </si>
  <si>
    <t>삼척장미축제</t>
  </si>
  <si>
    <t>삼척장미공원</t>
  </si>
  <si>
    <t>전시,문화공연,체험,이벤트행사,나눔,참여행사 등</t>
  </si>
  <si>
    <t>진동계곡산나물축제</t>
  </si>
  <si>
    <t>강원도 인제군 기린면 진동리 농촌체험학교</t>
  </si>
  <si>
    <t>원주 용수골 꽃 양귀비축제</t>
  </si>
  <si>
    <t>원주시 판부면 용수골길</t>
  </si>
  <si>
    <t>양귀비 축제 체험장 설치/양귀비 꽃차등 부스 운영</t>
  </si>
  <si>
    <t>춘천마임축제</t>
  </si>
  <si>
    <t>중앙로로터리, 수변공원 등</t>
  </si>
  <si>
    <t>마임공연, 아水라장, 도깨비난장 등</t>
  </si>
  <si>
    <t>강릉단오제</t>
  </si>
  <si>
    <t>강릉시 남대천 단오장 및 지정행사장</t>
  </si>
  <si>
    <t>황태축제</t>
  </si>
  <si>
    <t>강원도 인제군 북면 용대3리 용대삼거리</t>
  </si>
  <si>
    <t>동강국제사진제</t>
  </si>
  <si>
    <t>동강사진박물관</t>
  </si>
  <si>
    <t>번호</t>
    <phoneticPr fontId="2" type="noConversion"/>
  </si>
  <si>
    <t>시군구명</t>
    <phoneticPr fontId="2" type="noConversion"/>
  </si>
  <si>
    <t>축제명</t>
    <phoneticPr fontId="2" type="noConversion"/>
  </si>
  <si>
    <t>개최장소</t>
    <phoneticPr fontId="2" type="noConversion"/>
  </si>
  <si>
    <t>참가비</t>
    <phoneticPr fontId="2" type="noConversion"/>
  </si>
  <si>
    <t>축제시작일자</t>
    <phoneticPr fontId="2" type="noConversion"/>
  </si>
  <si>
    <t>축제종료일자</t>
    <phoneticPr fontId="2" type="noConversion"/>
  </si>
  <si>
    <t>축제내용</t>
    <phoneticPr fontId="2" type="noConversion"/>
  </si>
  <si>
    <t>패키지 이름</t>
  </si>
  <si>
    <t>축제 번호</t>
  </si>
  <si>
    <t>관광지 번호</t>
  </si>
  <si>
    <t>평창효석문화제 패키지</t>
  </si>
  <si>
    <t>31, 32</t>
  </si>
  <si>
    <t>평창삼척 패키지</t>
  </si>
  <si>
    <t>1, 2</t>
  </si>
  <si>
    <t>23, 26, 32, 33</t>
  </si>
  <si>
    <t>베스트 패키지</t>
  </si>
  <si>
    <t>3,4</t>
  </si>
  <si>
    <t>5, 6, 7</t>
  </si>
  <si>
    <t>인기 Top5 패키지</t>
  </si>
  <si>
    <t>10, 25</t>
  </si>
  <si>
    <t>22, 24, 26</t>
  </si>
  <si>
    <t>동해안 휴가 패키지</t>
  </si>
  <si>
    <t>13, 31, 28</t>
  </si>
  <si>
    <t>14, 15, 16, 17, 18, 20</t>
  </si>
  <si>
    <t>삼척 탐방 패키지</t>
  </si>
  <si>
    <t>2,  29, 35</t>
  </si>
  <si>
    <t>24, 25, 26</t>
  </si>
  <si>
    <t>힐링 여행 패키지</t>
  </si>
  <si>
    <t>4, 19</t>
  </si>
  <si>
    <t>5, 6, 8, 23</t>
  </si>
  <si>
    <t>가족과 함께 패키지</t>
  </si>
  <si>
    <t>14, 17</t>
  </si>
  <si>
    <t>19, 20, 21</t>
  </si>
  <si>
    <t>최근 유행 패키지</t>
  </si>
  <si>
    <t>23, 26, 27</t>
  </si>
  <si>
    <t>38, 39</t>
  </si>
  <si>
    <t>유명인이 다녀간 패키지</t>
  </si>
  <si>
    <t>32, 36, 39</t>
  </si>
  <si>
    <t>13, 30, 31, 25</t>
  </si>
  <si>
    <t>회원번호</t>
  </si>
  <si>
    <t>예약일자</t>
  </si>
  <si>
    <t>패키지번호</t>
  </si>
  <si>
    <t>성인</t>
  </si>
  <si>
    <t>청소년</t>
  </si>
  <si>
    <t>어린이</t>
  </si>
  <si>
    <t>금액</t>
  </si>
  <si>
    <t>성인할인율</t>
  </si>
  <si>
    <t>청소년할인율</t>
  </si>
  <si>
    <t>어린이할인율</t>
  </si>
  <si>
    <t>총할인율</t>
  </si>
  <si>
    <t>총금액</t>
  </si>
  <si>
    <t>카테고리 id</t>
  </si>
  <si>
    <t>교통</t>
  </si>
  <si>
    <t>서비스</t>
  </si>
  <si>
    <t>총평가</t>
  </si>
  <si>
    <t>리뷰내용</t>
  </si>
  <si>
    <t>사진첨부1</t>
  </si>
  <si>
    <t>공개여부</t>
  </si>
  <si>
    <t>G23</t>
  </si>
  <si>
    <t>나쁘지 않네요</t>
  </si>
  <si>
    <t>O</t>
  </si>
  <si>
    <t>X</t>
  </si>
  <si>
    <t>G18</t>
  </si>
  <si>
    <t>가볼만 합니다.</t>
  </si>
  <si>
    <t>P3</t>
  </si>
  <si>
    <t xml:space="preserve"> 강추하는 여행 코스! 또 가고 싶어요!</t>
  </si>
  <si>
    <t>C23</t>
  </si>
  <si>
    <t>가족끼리 가기 좋음!</t>
  </si>
  <si>
    <t>P4</t>
  </si>
  <si>
    <t>날씨도 좋고 풍경도 좋고</t>
  </si>
  <si>
    <t>P8</t>
  </si>
  <si>
    <t>딱 한번 가볼만 한 장소</t>
  </si>
  <si>
    <t>G38</t>
  </si>
  <si>
    <t>그닥 별로 안 가고 싶은 ..</t>
  </si>
  <si>
    <t>P6</t>
  </si>
  <si>
    <t>늦게 가서 할 게 없었습니다.ㅠㅠ</t>
  </si>
  <si>
    <t>진짜 많이 준비한 게 보일 정도에요 good</t>
  </si>
  <si>
    <t>줄이 너무 길어서 보기 힘들었어요</t>
  </si>
  <si>
    <t>불친절 해요 직원분이</t>
  </si>
  <si>
    <t>날씨가 너무 좋아서 가볼만 했어요</t>
  </si>
  <si>
    <t>C13</t>
  </si>
  <si>
    <t>커플끼리 가니까 더 좋은 것 같네요</t>
  </si>
  <si>
    <t>최고의 축제!</t>
  </si>
  <si>
    <t>왜 다들 가라고 하는 지 알 것 같아요 즐거웠습니다.</t>
  </si>
  <si>
    <t>P10</t>
  </si>
  <si>
    <t>맛집인 이유가 있네요 최고의 음식점!</t>
  </si>
  <si>
    <t>P2</t>
  </si>
  <si>
    <t>완전 최고 ~ 교통편도 좋았습니다.</t>
  </si>
  <si>
    <t>G19</t>
  </si>
  <si>
    <t>아쉬움이 많았던 …. 관광지에요</t>
  </si>
  <si>
    <t>C26</t>
  </si>
  <si>
    <t>교통편만 좋고 서비스는 별로에요 아쉽다.</t>
  </si>
  <si>
    <t>C12</t>
  </si>
  <si>
    <t xml:space="preserve"> 잘 즐기다 갑니다.</t>
  </si>
  <si>
    <t>C4</t>
  </si>
  <si>
    <t>힐링되고 좋은 시간 보내기에 딱 좋아요</t>
  </si>
  <si>
    <t>덕분에 잘 쉬다 갑니다.</t>
  </si>
  <si>
    <t>P7</t>
  </si>
  <si>
    <t xml:space="preserve">직원분들이 너무 친절해요 </t>
  </si>
  <si>
    <t>G28</t>
  </si>
  <si>
    <t>별 생각 없이 갔는데 좋았어요</t>
  </si>
  <si>
    <t>한번쯤은 가볼만 하네요 다음엔 안 갈듯</t>
  </si>
  <si>
    <t>쿠폰번호</t>
  </si>
  <si>
    <t>날짜</t>
  </si>
  <si>
    <t>유효기간</t>
  </si>
  <si>
    <t>쿠폰 혜택</t>
  </si>
  <si>
    <t>사용 유무</t>
  </si>
  <si>
    <t>E211004T1051-0</t>
  </si>
  <si>
    <t>E211004T1051-1</t>
  </si>
  <si>
    <t>E211004T1051-2</t>
  </si>
  <si>
    <t>E211004T1051-3</t>
  </si>
  <si>
    <t>E211004T1051-4</t>
  </si>
  <si>
    <t>E211004T1051-5</t>
  </si>
  <si>
    <t>E211004T1051-6</t>
  </si>
  <si>
    <t>E211004T1051-7</t>
  </si>
  <si>
    <t>E211004T1051-8</t>
  </si>
  <si>
    <t>E211004T1051-9</t>
  </si>
  <si>
    <t>[성인할인율]</t>
    <phoneticPr fontId="2" type="noConversion"/>
  </si>
  <si>
    <t>[청소년할인율]</t>
    <phoneticPr fontId="2" type="noConversion"/>
  </si>
  <si>
    <t>[어린이할인율]</t>
    <phoneticPr fontId="2" type="noConversion"/>
  </si>
  <si>
    <t>[총금액 할인]</t>
    <phoneticPr fontId="2" type="noConversion"/>
  </si>
  <si>
    <t>[청소년할인율] = 0.1</t>
    <phoneticPr fontId="2" type="noConversion"/>
  </si>
  <si>
    <t>&gt;=</t>
    <phoneticPr fontId="2" type="noConversion"/>
  </si>
  <si>
    <t>&lt;=</t>
    <phoneticPr fontId="2" type="noConversion"/>
  </si>
  <si>
    <t>=</t>
    <phoneticPr fontId="2" type="noConversion"/>
  </si>
  <si>
    <t>&lt;&gt;</t>
    <phoneticPr fontId="2" type="noConversion"/>
  </si>
  <si>
    <t>&gt;</t>
    <phoneticPr fontId="2" type="noConversion"/>
  </si>
  <si>
    <t>&lt;</t>
    <phoneticPr fontId="2" type="noConversion"/>
  </si>
  <si>
    <t>[총 예약금액]</t>
    <phoneticPr fontId="2" type="noConversion"/>
  </si>
  <si>
    <t>[총 예약횟수]</t>
    <phoneticPr fontId="2" type="noConversion"/>
  </si>
  <si>
    <t>[총 예약횟수] &gt;= 1</t>
    <phoneticPr fontId="2" type="noConversion"/>
  </si>
  <si>
    <t>총예약횟수</t>
    <phoneticPr fontId="2" type="noConversion"/>
  </si>
  <si>
    <t>총예약금액</t>
    <phoneticPr fontId="2" type="noConversion"/>
  </si>
  <si>
    <t>이메일유효성</t>
    <phoneticPr fontId="2" type="noConversion"/>
  </si>
  <si>
    <t>금액</t>
    <phoneticPr fontId="2" type="noConversion"/>
  </si>
  <si>
    <t>성인금액</t>
    <phoneticPr fontId="2" type="noConversion"/>
  </si>
  <si>
    <t>청소년금액</t>
    <phoneticPr fontId="2" type="noConversion"/>
  </si>
  <si>
    <t>어린이금액</t>
    <phoneticPr fontId="2" type="noConversion"/>
  </si>
  <si>
    <t>P4</t>
    <phoneticPr fontId="2" type="noConversion"/>
  </si>
  <si>
    <t>O</t>
    <phoneticPr fontId="2" type="noConversion"/>
  </si>
  <si>
    <t>축제 즐기기 딱 좋네요 굿</t>
    <phoneticPr fontId="2" type="noConversion"/>
  </si>
  <si>
    <t>거리</t>
  </si>
  <si>
    <t>속초시</t>
  </si>
  <si>
    <t>-</t>
  </si>
  <si>
    <t>시작</t>
    <phoneticPr fontId="2" type="noConversion"/>
  </si>
  <si>
    <t>키워드</t>
    <phoneticPr fontId="2" type="noConversion"/>
  </si>
  <si>
    <t>시군구</t>
    <phoneticPr fontId="2" type="noConversion"/>
  </si>
  <si>
    <t>관광지 번호2</t>
    <phoneticPr fontId="2" type="noConversion"/>
  </si>
  <si>
    <t>끝</t>
    <phoneticPr fontId="2" type="noConversion"/>
  </si>
  <si>
    <t>축제 번호2</t>
    <phoneticPr fontId="2" type="noConversion"/>
  </si>
  <si>
    <t>평창시</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</si>
</sst>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1" formatCode="_-* #,##0_-;\-* #,##0_-;_-* &quot;-&quot;_-;_-@_-"/>
    <numFmt numFmtId="176" formatCode="0_);[Red]\(0\)"/>
  </numFmts>
  <fonts count="6" x14ac:knownFonts="1">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1"/>
      <name val="맑은 고딕"/>
      <family val="3"/>
      <charset val="129"/>
      <scheme val="minor"/>
    </font>
    <font>
      <sz val="11"/>
      <color rgb="FFFF0000"/>
      <name val="맑은 고딕"/>
      <family val="2"/>
      <charset val="129"/>
      <scheme val="minor"/>
    </font>
  </fonts>
  <fills count="6">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4" tint="0.59996337778862885"/>
        <bgColor indexed="64"/>
      </patternFill>
    </fill>
    <fill>
      <patternFill patternType="solid">
        <fgColor rgb="FFFFFF00"/>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s>
  <cellStyleXfs count="2">
    <xf numFmtId="0" fontId="0" fillId="0" borderId="0">
      <alignment vertical="center"/>
    </xf>
    <xf numFmtId="41" fontId="1" fillId="0" borderId="0" applyFont="0" applyFill="0" applyBorder="0" applyAlignment="0" applyProtection="0">
      <alignment vertical="center"/>
    </xf>
  </cellStyleXfs>
  <cellXfs count="30">
    <xf numFmtId="0" fontId="0" fillId="0" borderId="0" xfId="0">
      <alignment vertical="center"/>
    </xf>
    <xf numFmtId="0" fontId="0" fillId="2" borderId="0" xfId="0" applyFill="1">
      <alignment vertical="center"/>
    </xf>
    <xf numFmtId="0" fontId="0" fillId="0" borderId="0" xfId="0"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41" fontId="0" fillId="0" borderId="0" xfId="1" applyFont="1" applyAlignment="1">
      <alignment horizontal="center" vertical="center"/>
    </xf>
    <xf numFmtId="41" fontId="0" fillId="0" borderId="0" xfId="1" applyFont="1">
      <alignment vertical="center"/>
    </xf>
    <xf numFmtId="0" fontId="4" fillId="0" borderId="0" xfId="0" quotePrefix="1" applyFont="1">
      <alignment vertical="center"/>
    </xf>
    <xf numFmtId="0" fontId="3" fillId="2" borderId="2" xfId="0" applyFont="1" applyFill="1" applyBorder="1" applyAlignment="1">
      <alignment horizontal="center" vertical="center"/>
    </xf>
    <xf numFmtId="0" fontId="3" fillId="3" borderId="2" xfId="0" applyFont="1" applyFill="1" applyBorder="1" applyAlignment="1">
      <alignment horizontal="center" vertical="center"/>
    </xf>
    <xf numFmtId="0" fontId="0" fillId="0" borderId="2" xfId="0" applyBorder="1" applyAlignment="1">
      <alignment horizontal="center" vertical="center"/>
    </xf>
    <xf numFmtId="0" fontId="3" fillId="3" borderId="3" xfId="0" applyFont="1" applyFill="1" applyBorder="1" applyAlignment="1">
      <alignment horizontal="center" vertical="center"/>
    </xf>
    <xf numFmtId="0" fontId="0" fillId="0" borderId="3" xfId="0" applyBorder="1" applyAlignment="1">
      <alignment horizontal="center" vertical="center"/>
    </xf>
    <xf numFmtId="0" fontId="0" fillId="0" borderId="0" xfId="0" quotePrefix="1">
      <alignment vertical="center"/>
    </xf>
    <xf numFmtId="176" fontId="0" fillId="0" borderId="0" xfId="0" applyNumberFormat="1">
      <alignment vertical="center"/>
    </xf>
    <xf numFmtId="9" fontId="0" fillId="0" borderId="0" xfId="0" applyNumberFormat="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0" fillId="4" borderId="2" xfId="0" applyFill="1" applyBorder="1" applyAlignment="1">
      <alignment horizontal="center" vertical="center"/>
    </xf>
    <xf numFmtId="0" fontId="0" fillId="4" borderId="4" xfId="0" applyFill="1" applyBorder="1" applyAlignment="1">
      <alignment horizontal="center" vertical="center"/>
    </xf>
    <xf numFmtId="14" fontId="0" fillId="0" borderId="2" xfId="0" applyNumberFormat="1" applyBorder="1" applyAlignment="1">
      <alignment horizontal="center" vertical="center"/>
    </xf>
    <xf numFmtId="0" fontId="0" fillId="0" borderId="4" xfId="0" applyBorder="1" applyAlignment="1">
      <alignment horizontal="center" vertical="center"/>
    </xf>
    <xf numFmtId="14" fontId="0" fillId="0" borderId="3" xfId="0" applyNumberFormat="1" applyBorder="1" applyAlignment="1">
      <alignment horizontal="center" vertical="center"/>
    </xf>
    <xf numFmtId="14" fontId="0" fillId="0" borderId="1" xfId="0" applyNumberFormat="1" applyBorder="1" applyAlignment="1">
      <alignment horizontal="center" vertical="center"/>
    </xf>
    <xf numFmtId="0" fontId="5" fillId="0" borderId="0" xfId="0" applyFont="1">
      <alignment vertical="center"/>
    </xf>
    <xf numFmtId="176" fontId="0" fillId="0" borderId="0" xfId="0" applyNumberFormat="1" applyAlignment="1">
      <alignment horizontal="center" vertical="center"/>
    </xf>
    <xf numFmtId="41" fontId="0" fillId="5" borderId="0" xfId="1" applyFont="1" applyFill="1" applyAlignment="1">
      <alignment horizontal="center" vertical="center"/>
    </xf>
    <xf numFmtId="0" fontId="0" fillId="5" borderId="0" xfId="0" applyFill="1" applyAlignment="1">
      <alignment horizontal="center" vertical="center"/>
    </xf>
  </cellXfs>
  <cellStyles count="2">
    <cellStyle name="쉼표 [0]" xfId="1" builtinId="6"/>
    <cellStyle name="표준" xfId="0" builtinId="0"/>
  </cellStyles>
  <dxfs count="71">
    <dxf>
      <numFmt numFmtId="176" formatCode="0_);[Red]\(0\)"/>
      <alignment horizontal="center" vertical="center" textRotation="0" wrapText="0" indent="0" justifyLastLine="0" shrinkToFit="0" readingOrder="0"/>
    </dxf>
    <dxf>
      <font>
        <b val="0"/>
        <i val="0"/>
        <strike val="0"/>
        <condense val="0"/>
        <extend val="0"/>
        <outline val="0"/>
        <shadow val="0"/>
        <u val="none"/>
        <vertAlign val="baseline"/>
        <sz val="11"/>
        <color theme="1"/>
        <name val="맑은 고딕"/>
        <scheme val="minor"/>
      </font>
      <numFmt numFmtId="176" formatCode="0_);[Red]\(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yyyy/mm/dd"/>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yyyy/mm/dd"/>
      <alignment horizontal="center" vertical="center" textRotation="0" wrapText="0" indent="0" justifyLastLine="0" shrinkToFit="0" readingOrder="0"/>
    </dxf>
    <dxf>
      <numFmt numFmtId="19" formatCode="yyyy/mm/dd"/>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theme="4" tint="0.59996337778862885"/>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표 스타일 1" pivot="0" count="2">
      <tableStyleElement type="wholeTable" dxfId="70"/>
      <tableStyleElement type="headerRow" dxfId="6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07/relationships/hdphoto" Target="../media/hdphoto1.wd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2</xdr:col>
      <xdr:colOff>238646</xdr:colOff>
      <xdr:row>0</xdr:row>
      <xdr:rowOff>38100</xdr:rowOff>
    </xdr:from>
    <xdr:ext cx="6037808" cy="1289712"/>
    <xdr:sp macro="" textlink="">
      <xdr:nvSpPr>
        <xdr:cNvPr id="2" name="직사각형 1"/>
        <xdr:cNvSpPr/>
      </xdr:nvSpPr>
      <xdr:spPr>
        <a:xfrm>
          <a:off x="1610246" y="38100"/>
          <a:ext cx="6037808" cy="1289712"/>
        </a:xfrm>
        <a:prstGeom prst="rect">
          <a:avLst/>
        </a:prstGeom>
        <a:noFill/>
      </xdr:spPr>
      <xdr:txBody>
        <a:bodyPr wrap="none" lIns="91440" tIns="45720" rIns="91440" bIns="45720">
          <a:spAutoFit/>
        </a:bodyPr>
        <a:lstStyle/>
        <a:p>
          <a:pPr algn="ctr"/>
          <a:r>
            <a:rPr lang="ko-KR" altLang="en-US" sz="5400" b="1" cap="none" spc="0">
              <a:ln w="0"/>
              <a:solidFill>
                <a:schemeClr val="accent1"/>
              </a:solidFill>
              <a:effectLst>
                <a:outerShdw blurRad="38100" dist="25400" dir="5400000" algn="ctr" rotWithShape="0">
                  <a:srgbClr val="6E747A">
                    <a:alpha val="43000"/>
                  </a:srgbClr>
                </a:outerShdw>
                <a:reflection stA="56000" endPos="35000" dir="5400000" sy="-100000" algn="bl" rotWithShape="0"/>
              </a:effectLst>
            </a:rPr>
            <a:t>정보 여행 프로그램</a:t>
          </a:r>
          <a:endParaRPr lang="en-US" altLang="ko-KR" sz="5400" b="1" cap="none" spc="0">
            <a:ln w="0"/>
            <a:solidFill>
              <a:schemeClr val="accent1"/>
            </a:solidFill>
            <a:effectLst>
              <a:outerShdw blurRad="38100" dist="25400" dir="5400000" algn="ctr" rotWithShape="0">
                <a:srgbClr val="6E747A">
                  <a:alpha val="43000"/>
                </a:srgbClr>
              </a:outerShdw>
              <a:reflection stA="56000" endPos="35000" dir="5400000" sy="-100000" algn="bl" rotWithShape="0"/>
            </a:effectLst>
          </a:endParaRPr>
        </a:p>
      </xdr:txBody>
    </xdr:sp>
    <xdr:clientData/>
  </xdr:oneCellAnchor>
  <xdr:twoCellAnchor>
    <xdr:from>
      <xdr:col>5</xdr:col>
      <xdr:colOff>76200</xdr:colOff>
      <xdr:row>6</xdr:row>
      <xdr:rowOff>114301</xdr:rowOff>
    </xdr:from>
    <xdr:to>
      <xdr:col>8</xdr:col>
      <xdr:colOff>476252</xdr:colOff>
      <xdr:row>9</xdr:row>
      <xdr:rowOff>161925</xdr:rowOff>
    </xdr:to>
    <xdr:sp macro="" textlink="">
      <xdr:nvSpPr>
        <xdr:cNvPr id="3" name="shp_1"/>
        <xdr:cNvSpPr/>
      </xdr:nvSpPr>
      <xdr:spPr>
        <a:xfrm>
          <a:off x="3505200" y="1371601"/>
          <a:ext cx="2457452" cy="676274"/>
        </a:xfrm>
        <a:prstGeom prst="roundRect">
          <a:avLst/>
        </a:prstGeom>
        <a:solidFill>
          <a:schemeClr val="accent5"/>
        </a:solidFill>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로그인</a:t>
          </a:r>
        </a:p>
      </xdr:txBody>
    </xdr:sp>
    <xdr:clientData/>
  </xdr:twoCellAnchor>
  <xdr:twoCellAnchor>
    <xdr:from>
      <xdr:col>5</xdr:col>
      <xdr:colOff>76200</xdr:colOff>
      <xdr:row>10</xdr:row>
      <xdr:rowOff>159545</xdr:rowOff>
    </xdr:from>
    <xdr:to>
      <xdr:col>8</xdr:col>
      <xdr:colOff>476252</xdr:colOff>
      <xdr:row>13</xdr:row>
      <xdr:rowOff>207169</xdr:rowOff>
    </xdr:to>
    <xdr:sp macro="" textlink="">
      <xdr:nvSpPr>
        <xdr:cNvPr id="4" name="shp_2"/>
        <xdr:cNvSpPr/>
      </xdr:nvSpPr>
      <xdr:spPr>
        <a:xfrm>
          <a:off x="3505200" y="2255045"/>
          <a:ext cx="2457452" cy="676274"/>
        </a:xfrm>
        <a:prstGeom prst="roundRect">
          <a:avLst/>
        </a:prstGeom>
        <a:solidFill>
          <a:schemeClr val="accent5"/>
        </a:solidFill>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회원가입</a:t>
          </a:r>
        </a:p>
      </xdr:txBody>
    </xdr:sp>
    <xdr:clientData/>
  </xdr:twoCellAnchor>
  <xdr:twoCellAnchor>
    <xdr:from>
      <xdr:col>5</xdr:col>
      <xdr:colOff>76200</xdr:colOff>
      <xdr:row>14</xdr:row>
      <xdr:rowOff>204789</xdr:rowOff>
    </xdr:from>
    <xdr:to>
      <xdr:col>8</xdr:col>
      <xdr:colOff>476252</xdr:colOff>
      <xdr:row>18</xdr:row>
      <xdr:rowOff>42863</xdr:rowOff>
    </xdr:to>
    <xdr:sp macro="" textlink="">
      <xdr:nvSpPr>
        <xdr:cNvPr id="5" name="shp_3"/>
        <xdr:cNvSpPr/>
      </xdr:nvSpPr>
      <xdr:spPr>
        <a:xfrm>
          <a:off x="3505200" y="3138489"/>
          <a:ext cx="2457452" cy="676274"/>
        </a:xfrm>
        <a:prstGeom prst="roundRect">
          <a:avLst/>
        </a:prstGeom>
        <a:gradFill>
          <a:gsLst>
            <a:gs pos="0">
              <a:schemeClr val="accent5"/>
            </a:gs>
            <a:gs pos="100000">
              <a:schemeClr val="accent5"/>
            </a:gs>
          </a:gsLst>
          <a:lin ang="5400000" scaled="1"/>
        </a:gradFill>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종 료</a:t>
          </a:r>
        </a:p>
      </xdr:txBody>
    </xdr:sp>
    <xdr:clientData/>
  </xdr:twoCellAnchor>
  <xdr:twoCellAnchor>
    <xdr:from>
      <xdr:col>5</xdr:col>
      <xdr:colOff>76200</xdr:colOff>
      <xdr:row>19</xdr:row>
      <xdr:rowOff>40483</xdr:rowOff>
    </xdr:from>
    <xdr:to>
      <xdr:col>8</xdr:col>
      <xdr:colOff>476252</xdr:colOff>
      <xdr:row>22</xdr:row>
      <xdr:rowOff>88107</xdr:rowOff>
    </xdr:to>
    <xdr:sp macro="" textlink="">
      <xdr:nvSpPr>
        <xdr:cNvPr id="6" name="shp_4"/>
        <xdr:cNvSpPr/>
      </xdr:nvSpPr>
      <xdr:spPr>
        <a:xfrm>
          <a:off x="3505200" y="4021933"/>
          <a:ext cx="2457452" cy="676274"/>
        </a:xfrm>
        <a:prstGeom prst="roundRect">
          <a:avLst/>
        </a:prstGeom>
        <a:gradFill>
          <a:gsLst>
            <a:gs pos="0">
              <a:schemeClr val="accent5"/>
            </a:gs>
            <a:gs pos="100000">
              <a:schemeClr val="accent5"/>
            </a:gs>
          </a:gsLst>
          <a:lin ang="5400000" scaled="1"/>
        </a:gradFill>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종 료</a:t>
          </a:r>
        </a:p>
      </xdr:txBody>
    </xdr:sp>
    <xdr:clientData/>
  </xdr:twoCellAnchor>
  <xdr:twoCellAnchor>
    <xdr:from>
      <xdr:col>5</xdr:col>
      <xdr:colOff>76200</xdr:colOff>
      <xdr:row>23</xdr:row>
      <xdr:rowOff>85726</xdr:rowOff>
    </xdr:from>
    <xdr:to>
      <xdr:col>8</xdr:col>
      <xdr:colOff>476252</xdr:colOff>
      <xdr:row>26</xdr:row>
      <xdr:rowOff>133350</xdr:rowOff>
    </xdr:to>
    <xdr:sp macro="" textlink="">
      <xdr:nvSpPr>
        <xdr:cNvPr id="7" name="shp_5"/>
        <xdr:cNvSpPr/>
      </xdr:nvSpPr>
      <xdr:spPr>
        <a:xfrm>
          <a:off x="3505200" y="4905376"/>
          <a:ext cx="2457452" cy="676274"/>
        </a:xfrm>
        <a:prstGeom prst="roundRect">
          <a:avLst/>
        </a:prstGeom>
        <a:gradFill>
          <a:gsLst>
            <a:gs pos="0">
              <a:schemeClr val="accent5"/>
            </a:gs>
            <a:gs pos="100000">
              <a:schemeClr val="accent5"/>
            </a:gs>
          </a:gsLst>
          <a:lin ang="5400000" scaled="1"/>
        </a:gradFill>
        <a:effectLst>
          <a:outerShdw blurRad="50800" dist="38100" dir="8100000" algn="tr" rotWithShape="0">
            <a:prstClr val="black">
              <a:alpha val="40000"/>
            </a:prstClr>
          </a:outerShdw>
        </a:effectLst>
        <a:scene3d>
          <a:camera prst="orthographicFront"/>
          <a:lightRig rig="threePt" dir="t"/>
        </a:scene3d>
        <a:sp3d>
          <a:bevelT w="1524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2000" b="1"/>
            <a:t>종 료</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180975</xdr:rowOff>
        </xdr:from>
        <xdr:to>
          <xdr:col>2</xdr:col>
          <xdr:colOff>581025</xdr:colOff>
          <xdr:row>13</xdr:row>
          <xdr:rowOff>123825</xdr:rowOff>
        </xdr:to>
        <xdr:sp macro="" textlink="">
          <xdr:nvSpPr>
            <xdr:cNvPr id="12289" name="ListBox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561975</xdr:colOff>
          <xdr:row>0</xdr:row>
          <xdr:rowOff>180975</xdr:rowOff>
        </xdr:from>
        <xdr:to>
          <xdr:col>7</xdr:col>
          <xdr:colOff>0</xdr:colOff>
          <xdr:row>16</xdr:row>
          <xdr:rowOff>152400</xdr:rowOff>
        </xdr:to>
        <xdr:sp macro="" textlink="">
          <xdr:nvSpPr>
            <xdr:cNvPr id="12290" name="ListBox2" hidden="1">
              <a:extLst>
                <a:ext uri="{63B3BB69-23CF-44E3-9099-C40C66FF867C}">
                  <a14:compatExt spid="_x0000_s12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0</xdr:colOff>
      <xdr:row>1</xdr:row>
      <xdr:rowOff>0</xdr:rowOff>
    </xdr:from>
    <xdr:to>
      <xdr:col>22</xdr:col>
      <xdr:colOff>0</xdr:colOff>
      <xdr:row>26</xdr:row>
      <xdr:rowOff>0</xdr:rowOff>
    </xdr:to>
    <xdr:pic>
      <xdr:nvPicPr>
        <xdr:cNvPr id="2" name="그림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colorTemperature colorTemp="7200"/>
                  </a14:imgEffect>
                </a14:imgLayer>
              </a14:imgProps>
            </a:ext>
            <a:ext uri="{28A0092B-C50C-407E-A947-70E740481C1C}">
              <a14:useLocalDpi xmlns:a14="http://schemas.microsoft.com/office/drawing/2010/main" val="0"/>
            </a:ext>
          </a:extLst>
        </a:blip>
        <a:stretch>
          <a:fillRect/>
        </a:stretch>
      </xdr:blipFill>
      <xdr:spPr>
        <a:xfrm>
          <a:off x="5468471" y="212912"/>
          <a:ext cx="9569823" cy="5322794"/>
        </a:xfrm>
        <a:prstGeom prst="rect">
          <a:avLst/>
        </a:prstGeom>
      </xdr:spPr>
    </xdr:pic>
    <xdr:clientData/>
  </xdr:twoCellAnchor>
  <xdr:twoCellAnchor>
    <xdr:from>
      <xdr:col>3</xdr:col>
      <xdr:colOff>414909</xdr:colOff>
      <xdr:row>3</xdr:row>
      <xdr:rowOff>4191</xdr:rowOff>
    </xdr:from>
    <xdr:to>
      <xdr:col>4</xdr:col>
      <xdr:colOff>272034</xdr:colOff>
      <xdr:row>6</xdr:row>
      <xdr:rowOff>5334</xdr:rowOff>
    </xdr:to>
    <xdr:sp macro="[0]!Sheet11.shp추가_Click" textlink="">
      <xdr:nvSpPr>
        <xdr:cNvPr id="3" name="shp추가"/>
        <xdr:cNvSpPr/>
      </xdr:nvSpPr>
      <xdr:spPr>
        <a:xfrm rot="5400000">
          <a:off x="2428875" y="676275"/>
          <a:ext cx="629793" cy="542925"/>
        </a:xfrm>
        <a:prstGeom prst="triangle">
          <a:avLst/>
        </a:prstGeom>
        <a:gradFill>
          <a:gsLst>
            <a:gs pos="42000">
              <a:schemeClr val="accent1"/>
            </a:gs>
            <a:gs pos="100000">
              <a:schemeClr val="accent5"/>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414909</xdr:colOff>
      <xdr:row>7</xdr:row>
      <xdr:rowOff>185166</xdr:rowOff>
    </xdr:from>
    <xdr:to>
      <xdr:col>4</xdr:col>
      <xdr:colOff>272034</xdr:colOff>
      <xdr:row>10</xdr:row>
      <xdr:rowOff>186309</xdr:rowOff>
    </xdr:to>
    <xdr:sp macro="[0]!Sheet11.shp삭제_Click" textlink="">
      <xdr:nvSpPr>
        <xdr:cNvPr id="6" name="shp삭제"/>
        <xdr:cNvSpPr/>
      </xdr:nvSpPr>
      <xdr:spPr>
        <a:xfrm rot="16200000">
          <a:off x="2428875" y="1695450"/>
          <a:ext cx="629793" cy="542925"/>
        </a:xfrm>
        <a:prstGeom prst="triangle">
          <a:avLst/>
        </a:prstGeom>
        <a:gradFill>
          <a:gsLst>
            <a:gs pos="42000">
              <a:schemeClr val="accent1"/>
            </a:gs>
            <a:gs pos="100000">
              <a:schemeClr val="accent5"/>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516286</xdr:colOff>
      <xdr:row>5</xdr:row>
      <xdr:rowOff>88903</xdr:rowOff>
    </xdr:from>
    <xdr:to>
      <xdr:col>10</xdr:col>
      <xdr:colOff>439771</xdr:colOff>
      <xdr:row>7</xdr:row>
      <xdr:rowOff>1588</xdr:rowOff>
    </xdr:to>
    <xdr:sp macro="" textlink="">
      <xdr:nvSpPr>
        <xdr:cNvPr id="7" name="txt철원군"/>
        <xdr:cNvSpPr txBox="1"/>
      </xdr:nvSpPr>
      <xdr:spPr>
        <a:xfrm>
          <a:off x="6688486" y="1136653"/>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철원군</a:t>
          </a:r>
        </a:p>
      </xdr:txBody>
    </xdr:sp>
    <xdr:clientData/>
  </xdr:twoCellAnchor>
  <xdr:twoCellAnchor>
    <xdr:from>
      <xdr:col>11</xdr:col>
      <xdr:colOff>583521</xdr:colOff>
      <xdr:row>6</xdr:row>
      <xdr:rowOff>200590</xdr:rowOff>
    </xdr:from>
    <xdr:to>
      <xdr:col>12</xdr:col>
      <xdr:colOff>507006</xdr:colOff>
      <xdr:row>8</xdr:row>
      <xdr:rowOff>111044</xdr:rowOff>
    </xdr:to>
    <xdr:sp macro="" textlink="">
      <xdr:nvSpPr>
        <xdr:cNvPr id="49" name="txt화천군"/>
        <xdr:cNvSpPr txBox="1"/>
      </xdr:nvSpPr>
      <xdr:spPr>
        <a:xfrm>
          <a:off x="8127321" y="1457890"/>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화천군</a:t>
          </a:r>
        </a:p>
      </xdr:txBody>
    </xdr:sp>
    <xdr:clientData/>
  </xdr:twoCellAnchor>
  <xdr:twoCellAnchor>
    <xdr:from>
      <xdr:col>12</xdr:col>
      <xdr:colOff>122654</xdr:colOff>
      <xdr:row>11</xdr:row>
      <xdr:rowOff>55286</xdr:rowOff>
    </xdr:from>
    <xdr:to>
      <xdr:col>13</xdr:col>
      <xdr:colOff>47565</xdr:colOff>
      <xdr:row>12</xdr:row>
      <xdr:rowOff>177520</xdr:rowOff>
    </xdr:to>
    <xdr:sp macro="" textlink="">
      <xdr:nvSpPr>
        <xdr:cNvPr id="52" name="txt춘천시"/>
        <xdr:cNvSpPr txBox="1"/>
      </xdr:nvSpPr>
      <xdr:spPr>
        <a:xfrm>
          <a:off x="8352254" y="2360336"/>
          <a:ext cx="610711"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춘천시</a:t>
          </a:r>
        </a:p>
      </xdr:txBody>
    </xdr:sp>
    <xdr:clientData/>
  </xdr:twoCellAnchor>
  <xdr:twoCellAnchor>
    <xdr:from>
      <xdr:col>15</xdr:col>
      <xdr:colOff>257124</xdr:colOff>
      <xdr:row>13</xdr:row>
      <xdr:rowOff>167345</xdr:rowOff>
    </xdr:from>
    <xdr:to>
      <xdr:col>16</xdr:col>
      <xdr:colOff>182036</xdr:colOff>
      <xdr:row>15</xdr:row>
      <xdr:rowOff>80030</xdr:rowOff>
    </xdr:to>
    <xdr:sp macro="" textlink="">
      <xdr:nvSpPr>
        <xdr:cNvPr id="55" name="txt홍천군"/>
        <xdr:cNvSpPr txBox="1"/>
      </xdr:nvSpPr>
      <xdr:spPr>
        <a:xfrm>
          <a:off x="10544124" y="2891495"/>
          <a:ext cx="610712"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홍천군</a:t>
          </a:r>
        </a:p>
      </xdr:txBody>
    </xdr:sp>
    <xdr:clientData/>
  </xdr:twoCellAnchor>
  <xdr:twoCellAnchor>
    <xdr:from>
      <xdr:col>13</xdr:col>
      <xdr:colOff>505080</xdr:colOff>
      <xdr:row>5</xdr:row>
      <xdr:rowOff>122521</xdr:rowOff>
    </xdr:from>
    <xdr:to>
      <xdr:col>14</xdr:col>
      <xdr:colOff>428565</xdr:colOff>
      <xdr:row>7</xdr:row>
      <xdr:rowOff>35206</xdr:rowOff>
    </xdr:to>
    <xdr:sp macro="" textlink="">
      <xdr:nvSpPr>
        <xdr:cNvPr id="58" name="txt양구군"/>
        <xdr:cNvSpPr txBox="1"/>
      </xdr:nvSpPr>
      <xdr:spPr>
        <a:xfrm>
          <a:off x="9420480" y="1170271"/>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양구군</a:t>
          </a:r>
        </a:p>
      </xdr:txBody>
    </xdr:sp>
    <xdr:clientData/>
  </xdr:twoCellAnchor>
  <xdr:twoCellAnchor>
    <xdr:from>
      <xdr:col>15</xdr:col>
      <xdr:colOff>223506</xdr:colOff>
      <xdr:row>9</xdr:row>
      <xdr:rowOff>2246</xdr:rowOff>
    </xdr:from>
    <xdr:to>
      <xdr:col>16</xdr:col>
      <xdr:colOff>148418</xdr:colOff>
      <xdr:row>10</xdr:row>
      <xdr:rowOff>122250</xdr:rowOff>
    </xdr:to>
    <xdr:sp macro="" textlink="">
      <xdr:nvSpPr>
        <xdr:cNvPr id="61" name="txt인제군"/>
        <xdr:cNvSpPr txBox="1"/>
      </xdr:nvSpPr>
      <xdr:spPr>
        <a:xfrm>
          <a:off x="10510506" y="1888196"/>
          <a:ext cx="610712"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인제군</a:t>
          </a:r>
        </a:p>
      </xdr:txBody>
    </xdr:sp>
    <xdr:clientData/>
  </xdr:twoCellAnchor>
  <xdr:twoCellAnchor>
    <xdr:from>
      <xdr:col>15</xdr:col>
      <xdr:colOff>673169</xdr:colOff>
      <xdr:row>2</xdr:row>
      <xdr:rowOff>167344</xdr:rowOff>
    </xdr:from>
    <xdr:to>
      <xdr:col>16</xdr:col>
      <xdr:colOff>596654</xdr:colOff>
      <xdr:row>4</xdr:row>
      <xdr:rowOff>80029</xdr:rowOff>
    </xdr:to>
    <xdr:sp macro="" textlink="">
      <xdr:nvSpPr>
        <xdr:cNvPr id="64" name="txt고성군"/>
        <xdr:cNvSpPr txBox="1"/>
      </xdr:nvSpPr>
      <xdr:spPr>
        <a:xfrm>
          <a:off x="10960169" y="586444"/>
          <a:ext cx="609285"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고성군</a:t>
          </a:r>
        </a:p>
      </xdr:txBody>
    </xdr:sp>
    <xdr:clientData/>
  </xdr:twoCellAnchor>
  <xdr:twoCellAnchor>
    <xdr:from>
      <xdr:col>17</xdr:col>
      <xdr:colOff>234713</xdr:colOff>
      <xdr:row>6</xdr:row>
      <xdr:rowOff>35864</xdr:rowOff>
    </xdr:from>
    <xdr:to>
      <xdr:col>18</xdr:col>
      <xdr:colOff>159624</xdr:colOff>
      <xdr:row>7</xdr:row>
      <xdr:rowOff>155868</xdr:rowOff>
    </xdr:to>
    <xdr:sp macro="" textlink="">
      <xdr:nvSpPr>
        <xdr:cNvPr id="67" name="txt속초시"/>
        <xdr:cNvSpPr txBox="1"/>
      </xdr:nvSpPr>
      <xdr:spPr>
        <a:xfrm>
          <a:off x="11893313" y="1293164"/>
          <a:ext cx="610711"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속초시</a:t>
          </a:r>
        </a:p>
      </xdr:txBody>
    </xdr:sp>
    <xdr:clientData/>
  </xdr:twoCellAnchor>
  <xdr:twoCellAnchor>
    <xdr:from>
      <xdr:col>18</xdr:col>
      <xdr:colOff>43397</xdr:colOff>
      <xdr:row>10</xdr:row>
      <xdr:rowOff>24658</xdr:rowOff>
    </xdr:from>
    <xdr:to>
      <xdr:col>18</xdr:col>
      <xdr:colOff>652682</xdr:colOff>
      <xdr:row>11</xdr:row>
      <xdr:rowOff>144662</xdr:rowOff>
    </xdr:to>
    <xdr:sp macro="" textlink="">
      <xdr:nvSpPr>
        <xdr:cNvPr id="70" name="txt양양군"/>
        <xdr:cNvSpPr txBox="1"/>
      </xdr:nvSpPr>
      <xdr:spPr>
        <a:xfrm>
          <a:off x="12387797" y="2120158"/>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양양군</a:t>
          </a:r>
        </a:p>
      </xdr:txBody>
    </xdr:sp>
    <xdr:clientData/>
  </xdr:twoCellAnchor>
  <xdr:twoCellAnchor>
    <xdr:from>
      <xdr:col>19</xdr:col>
      <xdr:colOff>279536</xdr:colOff>
      <xdr:row>12</xdr:row>
      <xdr:rowOff>77698</xdr:rowOff>
    </xdr:from>
    <xdr:to>
      <xdr:col>20</xdr:col>
      <xdr:colOff>204448</xdr:colOff>
      <xdr:row>13</xdr:row>
      <xdr:rowOff>199932</xdr:rowOff>
    </xdr:to>
    <xdr:sp macro="" textlink="">
      <xdr:nvSpPr>
        <xdr:cNvPr id="73" name="txt강릉시"/>
        <xdr:cNvSpPr txBox="1"/>
      </xdr:nvSpPr>
      <xdr:spPr>
        <a:xfrm>
          <a:off x="13309736" y="2592298"/>
          <a:ext cx="610712"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강릉시</a:t>
          </a:r>
        </a:p>
      </xdr:txBody>
    </xdr:sp>
    <xdr:clientData/>
  </xdr:twoCellAnchor>
  <xdr:twoCellAnchor>
    <xdr:from>
      <xdr:col>21</xdr:col>
      <xdr:colOff>359404</xdr:colOff>
      <xdr:row>21</xdr:row>
      <xdr:rowOff>47070</xdr:rowOff>
    </xdr:from>
    <xdr:to>
      <xdr:col>22</xdr:col>
      <xdr:colOff>282889</xdr:colOff>
      <xdr:row>22</xdr:row>
      <xdr:rowOff>167074</xdr:rowOff>
    </xdr:to>
    <xdr:sp macro="" textlink="">
      <xdr:nvSpPr>
        <xdr:cNvPr id="76" name="txt삼척시"/>
        <xdr:cNvSpPr txBox="1"/>
      </xdr:nvSpPr>
      <xdr:spPr>
        <a:xfrm>
          <a:off x="14761204" y="4447620"/>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삼척시</a:t>
          </a:r>
        </a:p>
      </xdr:txBody>
    </xdr:sp>
    <xdr:clientData/>
  </xdr:twoCellAnchor>
  <xdr:twoCellAnchor>
    <xdr:from>
      <xdr:col>20</xdr:col>
      <xdr:colOff>122654</xdr:colOff>
      <xdr:row>23</xdr:row>
      <xdr:rowOff>133726</xdr:rowOff>
    </xdr:from>
    <xdr:to>
      <xdr:col>21</xdr:col>
      <xdr:colOff>47566</xdr:colOff>
      <xdr:row>25</xdr:row>
      <xdr:rowOff>46411</xdr:rowOff>
    </xdr:to>
    <xdr:sp macro="" textlink="">
      <xdr:nvSpPr>
        <xdr:cNvPr id="79" name="txt태백시"/>
        <xdr:cNvSpPr txBox="1"/>
      </xdr:nvSpPr>
      <xdr:spPr>
        <a:xfrm>
          <a:off x="13838654" y="4953376"/>
          <a:ext cx="610712" cy="331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태백시</a:t>
          </a:r>
        </a:p>
      </xdr:txBody>
    </xdr:sp>
    <xdr:clientData/>
  </xdr:twoCellAnchor>
  <xdr:twoCellAnchor>
    <xdr:from>
      <xdr:col>20</xdr:col>
      <xdr:colOff>527493</xdr:colOff>
      <xdr:row>17</xdr:row>
      <xdr:rowOff>2246</xdr:rowOff>
    </xdr:from>
    <xdr:to>
      <xdr:col>21</xdr:col>
      <xdr:colOff>450978</xdr:colOff>
      <xdr:row>18</xdr:row>
      <xdr:rowOff>122250</xdr:rowOff>
    </xdr:to>
    <xdr:sp macro="" textlink="">
      <xdr:nvSpPr>
        <xdr:cNvPr id="82" name="txt동해시"/>
        <xdr:cNvSpPr txBox="1"/>
      </xdr:nvSpPr>
      <xdr:spPr>
        <a:xfrm>
          <a:off x="14243493" y="3564596"/>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동해시</a:t>
          </a:r>
        </a:p>
      </xdr:txBody>
    </xdr:sp>
    <xdr:clientData/>
  </xdr:twoCellAnchor>
  <xdr:twoCellAnchor>
    <xdr:from>
      <xdr:col>18</xdr:col>
      <xdr:colOff>549904</xdr:colOff>
      <xdr:row>20</xdr:row>
      <xdr:rowOff>13451</xdr:rowOff>
    </xdr:from>
    <xdr:to>
      <xdr:col>19</xdr:col>
      <xdr:colOff>473389</xdr:colOff>
      <xdr:row>21</xdr:row>
      <xdr:rowOff>133455</xdr:rowOff>
    </xdr:to>
    <xdr:sp macro="" textlink="">
      <xdr:nvSpPr>
        <xdr:cNvPr id="85" name="txt정선군"/>
        <xdr:cNvSpPr txBox="1"/>
      </xdr:nvSpPr>
      <xdr:spPr>
        <a:xfrm>
          <a:off x="12894304" y="4204451"/>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정선군</a:t>
          </a:r>
        </a:p>
      </xdr:txBody>
    </xdr:sp>
    <xdr:clientData/>
  </xdr:twoCellAnchor>
  <xdr:twoCellAnchor>
    <xdr:from>
      <xdr:col>16</xdr:col>
      <xdr:colOff>650757</xdr:colOff>
      <xdr:row>23</xdr:row>
      <xdr:rowOff>24657</xdr:rowOff>
    </xdr:from>
    <xdr:to>
      <xdr:col>17</xdr:col>
      <xdr:colOff>574242</xdr:colOff>
      <xdr:row>24</xdr:row>
      <xdr:rowOff>144661</xdr:rowOff>
    </xdr:to>
    <xdr:sp macro="" textlink="">
      <xdr:nvSpPr>
        <xdr:cNvPr id="88" name="txt영월군"/>
        <xdr:cNvSpPr txBox="1"/>
      </xdr:nvSpPr>
      <xdr:spPr>
        <a:xfrm>
          <a:off x="11623557" y="4844307"/>
          <a:ext cx="609285"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영월군</a:t>
          </a:r>
        </a:p>
      </xdr:txBody>
    </xdr:sp>
    <xdr:clientData/>
  </xdr:twoCellAnchor>
  <xdr:twoCellAnchor>
    <xdr:from>
      <xdr:col>16</xdr:col>
      <xdr:colOff>404228</xdr:colOff>
      <xdr:row>16</xdr:row>
      <xdr:rowOff>156138</xdr:rowOff>
    </xdr:from>
    <xdr:to>
      <xdr:col>17</xdr:col>
      <xdr:colOff>327713</xdr:colOff>
      <xdr:row>18</xdr:row>
      <xdr:rowOff>68822</xdr:rowOff>
    </xdr:to>
    <xdr:sp macro="" textlink="">
      <xdr:nvSpPr>
        <xdr:cNvPr id="91" name="txt평창시"/>
        <xdr:cNvSpPr txBox="1"/>
      </xdr:nvSpPr>
      <xdr:spPr>
        <a:xfrm>
          <a:off x="11377028" y="3508938"/>
          <a:ext cx="609285"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평창시</a:t>
          </a:r>
        </a:p>
      </xdr:txBody>
    </xdr:sp>
    <xdr:clientData/>
  </xdr:twoCellAnchor>
  <xdr:twoCellAnchor>
    <xdr:from>
      <xdr:col>14</xdr:col>
      <xdr:colOff>313154</xdr:colOff>
      <xdr:row>17</xdr:row>
      <xdr:rowOff>167344</xdr:rowOff>
    </xdr:from>
    <xdr:to>
      <xdr:col>15</xdr:col>
      <xdr:colOff>238066</xdr:colOff>
      <xdr:row>19</xdr:row>
      <xdr:rowOff>80028</xdr:rowOff>
    </xdr:to>
    <xdr:sp macro="" textlink="">
      <xdr:nvSpPr>
        <xdr:cNvPr id="94" name="txt횡성군"/>
        <xdr:cNvSpPr txBox="1"/>
      </xdr:nvSpPr>
      <xdr:spPr>
        <a:xfrm>
          <a:off x="9914354" y="3729694"/>
          <a:ext cx="610712" cy="331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횡성군</a:t>
          </a:r>
        </a:p>
      </xdr:txBody>
    </xdr:sp>
    <xdr:clientData/>
  </xdr:twoCellAnchor>
  <xdr:twoCellAnchor>
    <xdr:from>
      <xdr:col>13</xdr:col>
      <xdr:colOff>167478</xdr:colOff>
      <xdr:row>21</xdr:row>
      <xdr:rowOff>13451</xdr:rowOff>
    </xdr:from>
    <xdr:to>
      <xdr:col>14</xdr:col>
      <xdr:colOff>92389</xdr:colOff>
      <xdr:row>22</xdr:row>
      <xdr:rowOff>133455</xdr:rowOff>
    </xdr:to>
    <xdr:sp macro="" textlink="">
      <xdr:nvSpPr>
        <xdr:cNvPr id="97" name="txt원주시"/>
        <xdr:cNvSpPr txBox="1"/>
      </xdr:nvSpPr>
      <xdr:spPr>
        <a:xfrm>
          <a:off x="9082878" y="4414001"/>
          <a:ext cx="610711" cy="329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1100"/>
            <a:t>원주시</a:t>
          </a:r>
        </a:p>
      </xdr:txBody>
    </xdr:sp>
    <xdr:clientData/>
  </xdr:twoCellAnchor>
  <xdr:twoCellAnchor editAs="oneCell">
    <xdr:from>
      <xdr:col>18</xdr:col>
      <xdr:colOff>616325</xdr:colOff>
      <xdr:row>12</xdr:row>
      <xdr:rowOff>22412</xdr:rowOff>
    </xdr:from>
    <xdr:to>
      <xdr:col>19</xdr:col>
      <xdr:colOff>317125</xdr:colOff>
      <xdr:row>14</xdr:row>
      <xdr:rowOff>103346</xdr:rowOff>
    </xdr:to>
    <xdr:pic>
      <xdr:nvPicPr>
        <xdr:cNvPr id="4" name="강릉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960725" y="2537012"/>
          <a:ext cx="386600" cy="500034"/>
        </a:xfrm>
        <a:prstGeom prst="rect">
          <a:avLst/>
        </a:prstGeom>
      </xdr:spPr>
    </xdr:pic>
    <xdr:clientData/>
  </xdr:twoCellAnchor>
  <xdr:twoCellAnchor editAs="oneCell">
    <xdr:from>
      <xdr:col>15</xdr:col>
      <xdr:colOff>324973</xdr:colOff>
      <xdr:row>2</xdr:row>
      <xdr:rowOff>112058</xdr:rowOff>
    </xdr:from>
    <xdr:to>
      <xdr:col>16</xdr:col>
      <xdr:colOff>24870</xdr:colOff>
      <xdr:row>4</xdr:row>
      <xdr:rowOff>192993</xdr:rowOff>
    </xdr:to>
    <xdr:pic>
      <xdr:nvPicPr>
        <xdr:cNvPr id="5" name="고성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611973" y="531158"/>
          <a:ext cx="385697" cy="500035"/>
        </a:xfrm>
        <a:prstGeom prst="rect">
          <a:avLst/>
        </a:prstGeom>
      </xdr:spPr>
    </xdr:pic>
    <xdr:clientData/>
  </xdr:twoCellAnchor>
  <xdr:twoCellAnchor editAs="oneCell">
    <xdr:from>
      <xdr:col>20</xdr:col>
      <xdr:colOff>179298</xdr:colOff>
      <xdr:row>16</xdr:row>
      <xdr:rowOff>156882</xdr:rowOff>
    </xdr:from>
    <xdr:to>
      <xdr:col>20</xdr:col>
      <xdr:colOff>564995</xdr:colOff>
      <xdr:row>19</xdr:row>
      <xdr:rowOff>24904</xdr:rowOff>
    </xdr:to>
    <xdr:pic>
      <xdr:nvPicPr>
        <xdr:cNvPr id="8" name="동해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895298" y="3509682"/>
          <a:ext cx="385697" cy="496672"/>
        </a:xfrm>
        <a:prstGeom prst="rect">
          <a:avLst/>
        </a:prstGeom>
      </xdr:spPr>
    </xdr:pic>
    <xdr:clientData/>
  </xdr:twoCellAnchor>
  <xdr:twoCellAnchor editAs="oneCell">
    <xdr:from>
      <xdr:col>21</xdr:col>
      <xdr:colOff>11209</xdr:colOff>
      <xdr:row>20</xdr:row>
      <xdr:rowOff>201706</xdr:rowOff>
    </xdr:from>
    <xdr:to>
      <xdr:col>21</xdr:col>
      <xdr:colOff>396906</xdr:colOff>
      <xdr:row>23</xdr:row>
      <xdr:rowOff>69728</xdr:rowOff>
    </xdr:to>
    <xdr:pic>
      <xdr:nvPicPr>
        <xdr:cNvPr id="9" name="삼척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413009" y="4392706"/>
          <a:ext cx="385697" cy="496672"/>
        </a:xfrm>
        <a:prstGeom prst="rect">
          <a:avLst/>
        </a:prstGeom>
      </xdr:spPr>
    </xdr:pic>
    <xdr:clientData/>
  </xdr:twoCellAnchor>
  <xdr:twoCellAnchor editAs="oneCell">
    <xdr:from>
      <xdr:col>16</xdr:col>
      <xdr:colOff>571502</xdr:colOff>
      <xdr:row>5</xdr:row>
      <xdr:rowOff>190500</xdr:rowOff>
    </xdr:from>
    <xdr:to>
      <xdr:col>17</xdr:col>
      <xdr:colOff>272301</xdr:colOff>
      <xdr:row>8</xdr:row>
      <xdr:rowOff>58523</xdr:rowOff>
    </xdr:to>
    <xdr:pic>
      <xdr:nvPicPr>
        <xdr:cNvPr id="10" name="속초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544302" y="1238250"/>
          <a:ext cx="386599" cy="496673"/>
        </a:xfrm>
        <a:prstGeom prst="rect">
          <a:avLst/>
        </a:prstGeom>
      </xdr:spPr>
    </xdr:pic>
    <xdr:clientData/>
  </xdr:twoCellAnchor>
  <xdr:twoCellAnchor editAs="oneCell">
    <xdr:from>
      <xdr:col>13</xdr:col>
      <xdr:colOff>156884</xdr:colOff>
      <xdr:row>5</xdr:row>
      <xdr:rowOff>67235</xdr:rowOff>
    </xdr:from>
    <xdr:to>
      <xdr:col>13</xdr:col>
      <xdr:colOff>542581</xdr:colOff>
      <xdr:row>7</xdr:row>
      <xdr:rowOff>148170</xdr:rowOff>
    </xdr:to>
    <xdr:pic>
      <xdr:nvPicPr>
        <xdr:cNvPr id="11" name="양구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072284" y="1114985"/>
          <a:ext cx="385697" cy="500035"/>
        </a:xfrm>
        <a:prstGeom prst="rect">
          <a:avLst/>
        </a:prstGeom>
      </xdr:spPr>
    </xdr:pic>
    <xdr:clientData/>
  </xdr:twoCellAnchor>
  <xdr:twoCellAnchor editAs="oneCell">
    <xdr:from>
      <xdr:col>17</xdr:col>
      <xdr:colOff>381001</xdr:colOff>
      <xdr:row>9</xdr:row>
      <xdr:rowOff>179294</xdr:rowOff>
    </xdr:from>
    <xdr:to>
      <xdr:col>18</xdr:col>
      <xdr:colOff>80898</xdr:colOff>
      <xdr:row>12</xdr:row>
      <xdr:rowOff>47317</xdr:rowOff>
    </xdr:to>
    <xdr:pic>
      <xdr:nvPicPr>
        <xdr:cNvPr id="12" name="양양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039601" y="2065244"/>
          <a:ext cx="385697" cy="496673"/>
        </a:xfrm>
        <a:prstGeom prst="rect">
          <a:avLst/>
        </a:prstGeom>
      </xdr:spPr>
    </xdr:pic>
    <xdr:clientData/>
  </xdr:twoCellAnchor>
  <xdr:twoCellAnchor editAs="oneCell">
    <xdr:from>
      <xdr:col>16</xdr:col>
      <xdr:colOff>302561</xdr:colOff>
      <xdr:row>22</xdr:row>
      <xdr:rowOff>179293</xdr:rowOff>
    </xdr:from>
    <xdr:to>
      <xdr:col>17</xdr:col>
      <xdr:colOff>2458</xdr:colOff>
      <xdr:row>25</xdr:row>
      <xdr:rowOff>47316</xdr:rowOff>
    </xdr:to>
    <xdr:pic>
      <xdr:nvPicPr>
        <xdr:cNvPr id="13" name="영월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275361" y="4789393"/>
          <a:ext cx="385697" cy="496673"/>
        </a:xfrm>
        <a:prstGeom prst="rect">
          <a:avLst/>
        </a:prstGeom>
      </xdr:spPr>
    </xdr:pic>
    <xdr:clientData/>
  </xdr:twoCellAnchor>
  <xdr:twoCellAnchor editAs="oneCell">
    <xdr:from>
      <xdr:col>12</xdr:col>
      <xdr:colOff>504267</xdr:colOff>
      <xdr:row>20</xdr:row>
      <xdr:rowOff>168087</xdr:rowOff>
    </xdr:from>
    <xdr:to>
      <xdr:col>13</xdr:col>
      <xdr:colOff>205066</xdr:colOff>
      <xdr:row>23</xdr:row>
      <xdr:rowOff>36109</xdr:rowOff>
    </xdr:to>
    <xdr:pic>
      <xdr:nvPicPr>
        <xdr:cNvPr id="14" name="원주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733867" y="4359087"/>
          <a:ext cx="386599" cy="496672"/>
        </a:xfrm>
        <a:prstGeom prst="rect">
          <a:avLst/>
        </a:prstGeom>
      </xdr:spPr>
    </xdr:pic>
    <xdr:clientData/>
  </xdr:twoCellAnchor>
  <xdr:twoCellAnchor editAs="oneCell">
    <xdr:from>
      <xdr:col>14</xdr:col>
      <xdr:colOff>560295</xdr:colOff>
      <xdr:row>8</xdr:row>
      <xdr:rowOff>156882</xdr:rowOff>
    </xdr:from>
    <xdr:to>
      <xdr:col>15</xdr:col>
      <xdr:colOff>261095</xdr:colOff>
      <xdr:row>11</xdr:row>
      <xdr:rowOff>24905</xdr:rowOff>
    </xdr:to>
    <xdr:pic>
      <xdr:nvPicPr>
        <xdr:cNvPr id="15" name="인제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61495" y="1833282"/>
          <a:ext cx="386600" cy="496673"/>
        </a:xfrm>
        <a:prstGeom prst="rect">
          <a:avLst/>
        </a:prstGeom>
      </xdr:spPr>
    </xdr:pic>
    <xdr:clientData/>
  </xdr:twoCellAnchor>
  <xdr:twoCellAnchor editAs="oneCell">
    <xdr:from>
      <xdr:col>18</xdr:col>
      <xdr:colOff>201708</xdr:colOff>
      <xdr:row>19</xdr:row>
      <xdr:rowOff>168087</xdr:rowOff>
    </xdr:from>
    <xdr:to>
      <xdr:col>18</xdr:col>
      <xdr:colOff>587405</xdr:colOff>
      <xdr:row>22</xdr:row>
      <xdr:rowOff>36110</xdr:rowOff>
    </xdr:to>
    <xdr:pic>
      <xdr:nvPicPr>
        <xdr:cNvPr id="16" name="정선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546108" y="4149537"/>
          <a:ext cx="385697" cy="496673"/>
        </a:xfrm>
        <a:prstGeom prst="rect">
          <a:avLst/>
        </a:prstGeom>
      </xdr:spPr>
    </xdr:pic>
    <xdr:clientData/>
  </xdr:twoCellAnchor>
  <xdr:twoCellAnchor editAs="oneCell">
    <xdr:from>
      <xdr:col>9</xdr:col>
      <xdr:colOff>168090</xdr:colOff>
      <xdr:row>5</xdr:row>
      <xdr:rowOff>34208</xdr:rowOff>
    </xdr:from>
    <xdr:to>
      <xdr:col>9</xdr:col>
      <xdr:colOff>553787</xdr:colOff>
      <xdr:row>7</xdr:row>
      <xdr:rowOff>113960</xdr:rowOff>
    </xdr:to>
    <xdr:pic>
      <xdr:nvPicPr>
        <xdr:cNvPr id="17" name="철원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340290" y="1081958"/>
          <a:ext cx="385697" cy="498852"/>
        </a:xfrm>
        <a:prstGeom prst="rect">
          <a:avLst/>
        </a:prstGeom>
      </xdr:spPr>
    </xdr:pic>
    <xdr:clientData/>
  </xdr:twoCellAnchor>
  <xdr:twoCellAnchor editAs="oneCell">
    <xdr:from>
      <xdr:col>11</xdr:col>
      <xdr:colOff>459443</xdr:colOff>
      <xdr:row>11</xdr:row>
      <xdr:rowOff>0</xdr:rowOff>
    </xdr:from>
    <xdr:to>
      <xdr:col>12</xdr:col>
      <xdr:colOff>160242</xdr:colOff>
      <xdr:row>13</xdr:row>
      <xdr:rowOff>80934</xdr:rowOff>
    </xdr:to>
    <xdr:pic>
      <xdr:nvPicPr>
        <xdr:cNvPr id="18" name="춘천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03243" y="2305050"/>
          <a:ext cx="386599" cy="500034"/>
        </a:xfrm>
        <a:prstGeom prst="rect">
          <a:avLst/>
        </a:prstGeom>
      </xdr:spPr>
    </xdr:pic>
    <xdr:clientData/>
  </xdr:twoCellAnchor>
  <xdr:twoCellAnchor editAs="oneCell">
    <xdr:from>
      <xdr:col>19</xdr:col>
      <xdr:colOff>459443</xdr:colOff>
      <xdr:row>23</xdr:row>
      <xdr:rowOff>78440</xdr:rowOff>
    </xdr:from>
    <xdr:to>
      <xdr:col>20</xdr:col>
      <xdr:colOff>160243</xdr:colOff>
      <xdr:row>25</xdr:row>
      <xdr:rowOff>159375</xdr:rowOff>
    </xdr:to>
    <xdr:pic>
      <xdr:nvPicPr>
        <xdr:cNvPr id="19" name="태백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89643" y="4898090"/>
          <a:ext cx="386600" cy="500035"/>
        </a:xfrm>
        <a:prstGeom prst="rect">
          <a:avLst/>
        </a:prstGeom>
      </xdr:spPr>
    </xdr:pic>
    <xdr:clientData/>
  </xdr:twoCellAnchor>
  <xdr:twoCellAnchor editAs="oneCell">
    <xdr:from>
      <xdr:col>16</xdr:col>
      <xdr:colOff>56032</xdr:colOff>
      <xdr:row>16</xdr:row>
      <xdr:rowOff>100852</xdr:rowOff>
    </xdr:from>
    <xdr:to>
      <xdr:col>16</xdr:col>
      <xdr:colOff>441729</xdr:colOff>
      <xdr:row>18</xdr:row>
      <xdr:rowOff>181786</xdr:rowOff>
    </xdr:to>
    <xdr:pic>
      <xdr:nvPicPr>
        <xdr:cNvPr id="20" name="평창시"/>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028832" y="3453652"/>
          <a:ext cx="385697" cy="500034"/>
        </a:xfrm>
        <a:prstGeom prst="rect">
          <a:avLst/>
        </a:prstGeom>
      </xdr:spPr>
    </xdr:pic>
    <xdr:clientData/>
  </xdr:twoCellAnchor>
  <xdr:twoCellAnchor editAs="oneCell">
    <xdr:from>
      <xdr:col>14</xdr:col>
      <xdr:colOff>593913</xdr:colOff>
      <xdr:row>13</xdr:row>
      <xdr:rowOff>112059</xdr:rowOff>
    </xdr:from>
    <xdr:to>
      <xdr:col>15</xdr:col>
      <xdr:colOff>294713</xdr:colOff>
      <xdr:row>15</xdr:row>
      <xdr:rowOff>192994</xdr:rowOff>
    </xdr:to>
    <xdr:pic>
      <xdr:nvPicPr>
        <xdr:cNvPr id="21" name="홍천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95113" y="2836209"/>
          <a:ext cx="386600" cy="500035"/>
        </a:xfrm>
        <a:prstGeom prst="rect">
          <a:avLst/>
        </a:prstGeom>
      </xdr:spPr>
    </xdr:pic>
    <xdr:clientData/>
  </xdr:twoCellAnchor>
  <xdr:twoCellAnchor editAs="oneCell">
    <xdr:from>
      <xdr:col>11</xdr:col>
      <xdr:colOff>235325</xdr:colOff>
      <xdr:row>6</xdr:row>
      <xdr:rowOff>145676</xdr:rowOff>
    </xdr:from>
    <xdr:to>
      <xdr:col>11</xdr:col>
      <xdr:colOff>621022</xdr:colOff>
      <xdr:row>9</xdr:row>
      <xdr:rowOff>13699</xdr:rowOff>
    </xdr:to>
    <xdr:pic>
      <xdr:nvPicPr>
        <xdr:cNvPr id="22" name="화천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79125" y="1402976"/>
          <a:ext cx="385697" cy="496673"/>
        </a:xfrm>
        <a:prstGeom prst="rect">
          <a:avLst/>
        </a:prstGeom>
      </xdr:spPr>
    </xdr:pic>
    <xdr:clientData/>
  </xdr:twoCellAnchor>
  <xdr:twoCellAnchor editAs="oneCell">
    <xdr:from>
      <xdr:col>13</xdr:col>
      <xdr:colOff>649943</xdr:colOff>
      <xdr:row>17</xdr:row>
      <xdr:rowOff>112058</xdr:rowOff>
    </xdr:from>
    <xdr:to>
      <xdr:col>14</xdr:col>
      <xdr:colOff>350743</xdr:colOff>
      <xdr:row>19</xdr:row>
      <xdr:rowOff>192992</xdr:rowOff>
    </xdr:to>
    <xdr:pic>
      <xdr:nvPicPr>
        <xdr:cNvPr id="23" name="횡성군"/>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65343" y="3674408"/>
          <a:ext cx="386600" cy="500034"/>
        </a:xfrm>
        <a:prstGeom prst="rect">
          <a:avLst/>
        </a:prstGeom>
      </xdr:spPr>
    </xdr:pic>
    <xdr:clientData/>
  </xdr:twoCellAnchor>
</xdr:wsDr>
</file>

<file path=xl/tables/table1.xml><?xml version="1.0" encoding="utf-8"?>
<table xmlns="http://schemas.openxmlformats.org/spreadsheetml/2006/main" id="2" name="표2" displayName="표2" ref="A1:F44" totalsRowShown="0" headerRowDxfId="68" dataDxfId="67">
  <autoFilter ref="A1:F44">
    <filterColumn colId="0" hiddenButton="1"/>
    <filterColumn colId="1" hiddenButton="1"/>
    <filterColumn colId="2" hiddenButton="1"/>
    <filterColumn colId="3" hiddenButton="1"/>
    <filterColumn colId="4" hiddenButton="1"/>
    <filterColumn colId="5" hiddenButton="1"/>
  </autoFilter>
  <tableColumns count="6">
    <tableColumn id="1" name="번호" dataDxfId="66"/>
    <tableColumn id="2" name="시군구" dataDxfId="65"/>
    <tableColumn id="3" name="관광지명" dataDxfId="64"/>
    <tableColumn id="4" name="입장료" dataDxfId="63"/>
    <tableColumn id="5" name="주소" dataDxfId="62"/>
    <tableColumn id="6" name="소개" dataDxfId="61"/>
  </tableColumns>
  <tableStyleInfo name="표 스타일 1" showFirstColumn="0" showLastColumn="0" showRowStripes="1" showColumnStripes="0"/>
</table>
</file>

<file path=xl/tables/table2.xml><?xml version="1.0" encoding="utf-8"?>
<table xmlns="http://schemas.openxmlformats.org/spreadsheetml/2006/main" id="3" name="표3" displayName="표3" ref="A1:K28" totalsRowShown="0" headerRowDxfId="60" dataDxfId="59">
  <autoFilter ref="A1:K2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번호" dataDxfId="58"/>
    <tableColumn id="2" name="아이디" dataDxfId="57"/>
    <tableColumn id="3" name="비밀번호" dataDxfId="56"/>
    <tableColumn id="4" name="이름" dataDxfId="55"/>
    <tableColumn id="5" name="전화번호" dataDxfId="54"/>
    <tableColumn id="6" name="생년월일" dataDxfId="53"/>
    <tableColumn id="7" name="이메일" dataDxfId="52"/>
    <tableColumn id="8" name="등급" dataDxfId="51">
      <calculatedColumnFormula>fn등급(표3[[#This Row],[아이디]])</calculatedColumnFormula>
    </tableColumn>
    <tableColumn id="9" name="이메일유효성" dataDxfId="50">
      <calculatedColumnFormula>email(표3[[#This Row],[이메일]])</calculatedColumnFormula>
    </tableColumn>
    <tableColumn id="10" name="총예약횟수" dataDxfId="49">
      <calculatedColumnFormula>COUNTIF(표6[회원번호], 표3[[#This Row],[번호]])</calculatedColumnFormula>
    </tableColumn>
    <tableColumn id="11" name="총예약금액" dataDxfId="48">
      <calculatedColumnFormula>SUMIF(표6[회원번호], 표3[[#This Row],[번호]], 표6[총금액])</calculatedColumnFormula>
    </tableColumn>
  </tableColumns>
  <tableStyleInfo name="표 스타일 1" showFirstColumn="0" showLastColumn="0" showRowStripes="1" showColumnStripes="0"/>
</table>
</file>

<file path=xl/tables/table3.xml><?xml version="1.0" encoding="utf-8"?>
<table xmlns="http://schemas.openxmlformats.org/spreadsheetml/2006/main" id="4" name="표4" displayName="표4" ref="A1:H40" totalsRowShown="0" headerRowDxfId="47" dataDxfId="46">
  <autoFilter ref="A1:H4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번호" dataDxfId="45"/>
    <tableColumn id="2" name="시군구명" dataDxfId="44"/>
    <tableColumn id="3" name="축제명" dataDxfId="43"/>
    <tableColumn id="4" name="개최장소" dataDxfId="42"/>
    <tableColumn id="5" name="참가비" dataDxfId="41" dataCellStyle="쉼표 [0]"/>
    <tableColumn id="6" name="축제시작일자" dataDxfId="40"/>
    <tableColumn id="7" name="축제종료일자" dataDxfId="39"/>
    <tableColumn id="8" name="축제내용" dataDxfId="38"/>
  </tableColumns>
  <tableStyleInfo name="표 스타일 1" showFirstColumn="0" showLastColumn="0" showRowStripes="1" showColumnStripes="0"/>
</table>
</file>

<file path=xl/tables/table4.xml><?xml version="1.0" encoding="utf-8"?>
<table xmlns="http://schemas.openxmlformats.org/spreadsheetml/2006/main" id="5" name="표5" displayName="표5" ref="A1:G11" totalsRowShown="0" headerRowDxfId="8" dataDxfId="7">
  <autoFilter ref="A1:G11">
    <filterColumn colId="0" hiddenButton="1"/>
    <filterColumn colId="1" hiddenButton="1"/>
    <filterColumn colId="2" hiddenButton="1"/>
    <filterColumn colId="3" hiddenButton="1"/>
    <filterColumn colId="4" hiddenButton="1"/>
  </autoFilter>
  <tableColumns count="7">
    <tableColumn id="1" name="번호" dataDxfId="6"/>
    <tableColumn id="2" name="패키지 이름" dataDxfId="5"/>
    <tableColumn id="3" name="축제 번호" dataDxfId="4"/>
    <tableColumn id="4" name="관광지 번호" dataDxfId="3"/>
    <tableColumn id="5" name="금액" dataDxfId="2" dataCellStyle="쉼표 [0]"/>
    <tableColumn id="7" name="축제 번호2" dataDxfId="1" dataCellStyle="쉼표 [0]">
      <calculatedColumnFormula>fn축제(표5[[#This Row],[패키지 이름]], 표5[[#This Row],[축제 번호]], $J$2,$K$2,$L$2,$M$2)</calculatedColumnFormula>
    </tableColumn>
    <tableColumn id="6" name="관광지 번호2" dataDxfId="0">
      <calculatedColumnFormula>fn관광지(표5[[#This Row],[패키지 이름]], 표5[[#This Row],[관광지 번호]], $J$2,$M$2)</calculatedColumnFormula>
    </tableColumn>
  </tableColumns>
  <tableStyleInfo name="표 스타일 1" showFirstColumn="0" showLastColumn="0" showRowStripes="1" showColumnStripes="0"/>
</table>
</file>

<file path=xl/tables/table5.xml><?xml version="1.0" encoding="utf-8"?>
<table xmlns="http://schemas.openxmlformats.org/spreadsheetml/2006/main" id="6" name="표6" displayName="표6" ref="A1:P44" totalsRowShown="0" headerRowDxfId="37" dataDxfId="36">
  <autoFilter ref="A1:P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번호" dataDxfId="35"/>
    <tableColumn id="2" name="회원번호" dataDxfId="34"/>
    <tableColumn id="3" name="예약일자" dataDxfId="33"/>
    <tableColumn id="4" name="패키지번호" dataDxfId="32"/>
    <tableColumn id="5" name="성인" dataDxfId="31"/>
    <tableColumn id="6" name="청소년" dataDxfId="30"/>
    <tableColumn id="7" name="어린이" dataDxfId="29"/>
    <tableColumn id="8" name="금액" dataDxfId="28" dataCellStyle="쉼표 [0]">
      <calculatedColumnFormula>VLOOKUP(표6[[#This Row],[패키지번호]], 표5[], 5, 0)</calculatedColumnFormula>
    </tableColumn>
    <tableColumn id="9" name="성인할인율" dataDxfId="27"/>
    <tableColumn id="10" name="청소년할인율" dataDxfId="26"/>
    <tableColumn id="11" name="어린이할인율" dataDxfId="25"/>
    <tableColumn id="12" name="총할인율" dataDxfId="24"/>
    <tableColumn id="13" name="총금액" dataDxfId="23" dataCellStyle="쉼표 [0]">
      <calculatedColumnFormula>SUM(표6[[#This Row],[성인금액]:[어린이금액]])-SUM(표6[[#This Row],[성인금액]:[어린이금액]])*표6[[#This Row],[총할인율]]</calculatedColumnFormula>
    </tableColumn>
    <tableColumn id="14" name="성인금액" dataDxfId="22">
      <calculatedColumnFormula>(표6[[#This Row],[금액]] - (표6[[#This Row],[금액]]*표6[[#This Row],[성인할인율]])) *표6[[#This Row],[성인]]</calculatedColumnFormula>
    </tableColumn>
    <tableColumn id="15" name="청소년금액" dataDxfId="21">
      <calculatedColumnFormula>(표6[[#This Row],[금액]]-(표6[[#This Row],[금액]]*표6[[#This Row],[청소년할인율]]))*표6[[#This Row],[청소년]]</calculatedColumnFormula>
    </tableColumn>
    <tableColumn id="16" name="어린이금액" dataDxfId="20">
      <calculatedColumnFormula>(표6[[#This Row],[금액]]-(표6[[#This Row],[금액]]*표6[[#This Row],[어린이할인율]]))*표6[[#This Row],[어린이]]</calculatedColumnFormula>
    </tableColumn>
  </tableColumns>
  <tableStyleInfo name="표 스타일 1" showFirstColumn="0" showLastColumn="0" showRowStripes="1" showColumnStripes="0"/>
</table>
</file>

<file path=xl/tables/table6.xml><?xml version="1.0" encoding="utf-8"?>
<table xmlns="http://schemas.openxmlformats.org/spreadsheetml/2006/main" id="7" name="표7" displayName="표7" ref="A1:I27" totalsRowShown="0" headerRowDxfId="19" dataDxfId="18">
  <autoFilter ref="A1:I2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번호" dataDxfId="17"/>
    <tableColumn id="2" name="회원번호" dataDxfId="16"/>
    <tableColumn id="3" name="카테고리 id" dataDxfId="15"/>
    <tableColumn id="4" name="교통" dataDxfId="14"/>
    <tableColumn id="5" name="서비스" dataDxfId="13"/>
    <tableColumn id="6" name="총평가" dataDxfId="12"/>
    <tableColumn id="7" name="리뷰내용" dataDxfId="11"/>
    <tableColumn id="8" name="사진첨부1" dataDxfId="10"/>
    <tableColumn id="9" name="공개여부" dataDxfId="9"/>
  </tableColumns>
  <tableStyleInfo name="표 스타일 1"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opLeftCell="F1" workbookViewId="0">
      <selection activeCell="J22" sqref="J22"/>
    </sheetView>
  </sheetViews>
  <sheetFormatPr defaultRowHeight="16.5" x14ac:dyDescent="0.3"/>
  <cols>
    <col min="1" max="16384" width="9" style="1"/>
  </cols>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2"/>
  <sheetViews>
    <sheetView topLeftCell="A7" workbookViewId="0">
      <selection activeCell="E36" sqref="E36"/>
    </sheetView>
  </sheetViews>
  <sheetFormatPr defaultRowHeight="16.5" x14ac:dyDescent="0.3"/>
  <cols>
    <col min="1" max="1" width="10" style="2" bestFit="1" customWidth="1"/>
    <col min="2" max="2" width="20" style="2" bestFit="1" customWidth="1"/>
    <col min="3" max="4" width="24.125" style="2" bestFit="1" customWidth="1"/>
    <col min="5" max="5" width="25.25" style="2" bestFit="1" customWidth="1"/>
    <col min="9" max="9" width="14.375" bestFit="1" customWidth="1"/>
    <col min="11" max="11" width="13.625" customWidth="1"/>
  </cols>
  <sheetData>
    <row r="1" spans="1:11" x14ac:dyDescent="0.3">
      <c r="A1" s="10" t="s">
        <v>0</v>
      </c>
      <c r="B1" s="10" t="s">
        <v>1</v>
      </c>
      <c r="C1" s="10" t="s">
        <v>2</v>
      </c>
      <c r="D1" s="10" t="s">
        <v>3</v>
      </c>
      <c r="E1" s="4" t="s">
        <v>4</v>
      </c>
      <c r="I1" t="s">
        <v>567</v>
      </c>
      <c r="J1" t="s">
        <v>572</v>
      </c>
      <c r="K1" t="s">
        <v>578</v>
      </c>
    </row>
    <row r="2" spans="1:11" x14ac:dyDescent="0.3">
      <c r="A2" s="11" t="s">
        <v>5</v>
      </c>
      <c r="B2" s="12" t="s">
        <v>6</v>
      </c>
      <c r="C2" s="12" t="s">
        <v>7</v>
      </c>
      <c r="D2" s="12" t="s">
        <v>7</v>
      </c>
      <c r="E2" s="3" t="s">
        <v>8</v>
      </c>
      <c r="I2" t="s">
        <v>568</v>
      </c>
      <c r="J2" t="s">
        <v>573</v>
      </c>
      <c r="K2" t="s">
        <v>579</v>
      </c>
    </row>
    <row r="3" spans="1:11" x14ac:dyDescent="0.3">
      <c r="A3" s="11" t="s">
        <v>9</v>
      </c>
      <c r="B3" s="12" t="s">
        <v>10</v>
      </c>
      <c r="C3" s="12" t="s">
        <v>6</v>
      </c>
      <c r="D3" s="12"/>
      <c r="E3" s="3"/>
      <c r="I3" t="s">
        <v>569</v>
      </c>
      <c r="J3" s="15" t="s">
        <v>574</v>
      </c>
    </row>
    <row r="4" spans="1:11" x14ac:dyDescent="0.3">
      <c r="A4" s="11" t="s">
        <v>11</v>
      </c>
      <c r="B4" s="12"/>
      <c r="C4" s="12"/>
      <c r="D4" s="12"/>
      <c r="E4" s="3"/>
      <c r="I4" t="s">
        <v>570</v>
      </c>
      <c r="J4" t="s">
        <v>575</v>
      </c>
    </row>
    <row r="5" spans="1:11" x14ac:dyDescent="0.3">
      <c r="A5" s="11" t="s">
        <v>12</v>
      </c>
      <c r="B5" s="12" t="s">
        <v>580</v>
      </c>
      <c r="C5" s="12" t="s">
        <v>13</v>
      </c>
      <c r="D5" s="12" t="s">
        <v>14</v>
      </c>
      <c r="E5" s="3" t="s">
        <v>15</v>
      </c>
      <c r="J5" t="s">
        <v>576</v>
      </c>
    </row>
    <row r="6" spans="1:11" x14ac:dyDescent="0.3">
      <c r="A6" s="11" t="s">
        <v>16</v>
      </c>
      <c r="B6" s="12"/>
      <c r="C6" s="12" t="s">
        <v>17</v>
      </c>
      <c r="D6" s="12" t="s">
        <v>18</v>
      </c>
      <c r="E6" s="3" t="s">
        <v>19</v>
      </c>
      <c r="J6" t="s">
        <v>577</v>
      </c>
    </row>
    <row r="7" spans="1:11" x14ac:dyDescent="0.3">
      <c r="A7" s="11" t="s">
        <v>20</v>
      </c>
      <c r="B7" s="12"/>
      <c r="C7" s="12"/>
      <c r="D7" s="12"/>
      <c r="E7" s="3"/>
    </row>
    <row r="8" spans="1:11" x14ac:dyDescent="0.3">
      <c r="A8" s="11" t="s">
        <v>21</v>
      </c>
      <c r="B8" s="12"/>
      <c r="C8" s="12"/>
      <c r="D8" s="12"/>
      <c r="E8" s="3"/>
    </row>
    <row r="9" spans="1:11" x14ac:dyDescent="0.3">
      <c r="A9" s="13" t="s">
        <v>22</v>
      </c>
      <c r="B9" s="14"/>
      <c r="C9" s="14"/>
      <c r="D9" s="14"/>
      <c r="E9" s="3"/>
    </row>
    <row r="13" spans="1:11" x14ac:dyDescent="0.3">
      <c r="G13" s="9"/>
    </row>
    <row r="21" spans="2:5" x14ac:dyDescent="0.3">
      <c r="B21"/>
      <c r="C21"/>
      <c r="D21"/>
      <c r="E21"/>
    </row>
    <row r="22" spans="2:5" x14ac:dyDescent="0.3">
      <c r="B22"/>
      <c r="C22"/>
      <c r="D22"/>
      <c r="E22"/>
    </row>
    <row r="23" spans="2:5" x14ac:dyDescent="0.3">
      <c r="B23"/>
      <c r="C23"/>
      <c r="D23"/>
      <c r="E23"/>
    </row>
    <row r="24" spans="2:5" x14ac:dyDescent="0.3">
      <c r="B24"/>
      <c r="C24"/>
      <c r="D24"/>
      <c r="E24"/>
    </row>
    <row r="25" spans="2:5" x14ac:dyDescent="0.3">
      <c r="B25"/>
      <c r="C25"/>
      <c r="D25"/>
      <c r="E25"/>
    </row>
    <row r="26" spans="2:5" x14ac:dyDescent="0.3">
      <c r="B26"/>
      <c r="C26"/>
      <c r="D26"/>
      <c r="E26"/>
    </row>
    <row r="27" spans="2:5" x14ac:dyDescent="0.3">
      <c r="B27"/>
      <c r="C27"/>
      <c r="D27"/>
      <c r="E27"/>
    </row>
    <row r="28" spans="2:5" x14ac:dyDescent="0.3">
      <c r="B28"/>
      <c r="C28"/>
      <c r="D28"/>
      <c r="E28"/>
    </row>
    <row r="29" spans="2:5" x14ac:dyDescent="0.3">
      <c r="B29"/>
      <c r="C29"/>
      <c r="D29"/>
      <c r="E29"/>
    </row>
    <row r="30" spans="2:5" x14ac:dyDescent="0.3">
      <c r="B30"/>
      <c r="C30"/>
      <c r="D30"/>
      <c r="E30"/>
    </row>
    <row r="31" spans="2:5" x14ac:dyDescent="0.3">
      <c r="B31"/>
      <c r="C31"/>
      <c r="D31"/>
      <c r="E31"/>
    </row>
    <row r="32" spans="2:5" x14ac:dyDescent="0.3">
      <c r="B32"/>
      <c r="C32"/>
      <c r="D32"/>
      <c r="E32"/>
    </row>
  </sheetData>
  <phoneticPr fontId="2" type="noConversion"/>
  <dataValidations count="2">
    <dataValidation type="custom" allowBlank="1" showInputMessage="1" showErrorMessage="1" error="패턴이 일치하지 않습니다." sqref="B2:E4">
      <formula1>AND(IFERROR(MATCH(TRIM(LEFT(B2, FIND("=", B2)-1)),목록,0),5)&lt;5, ISNUMBER(VALUE(RIGHT(B2, LEN(B2)-FIND("=", B2)-1))))</formula1>
    </dataValidation>
    <dataValidation type="custom" allowBlank="1" showInputMessage="1" showErrorMessage="1" error="패턴이 일치하지 않습니다." sqref="B5:E9">
      <formula1>AND(IFERROR(MATCH(TRIM(MID(B5,9,3)),부등호,0),-1)&gt;0, IFERROR(MATCH(TRIM(LEFT(B5,FIND(TRIM(MID(B5,9,3)),B5)-1)),목록2,0),-1)&gt;0, ISNUMBER(VALUE(RIGHT(B5, LEN(B5)-FIND(TRIM(MID(B5,9,3)), B5)-1))))</formula1>
    </dataValidation>
  </dataValidation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44"/>
  <sheetViews>
    <sheetView zoomScale="85" zoomScaleNormal="85" workbookViewId="0">
      <selection activeCell="B32" sqref="B32"/>
    </sheetView>
  </sheetViews>
  <sheetFormatPr defaultRowHeight="16.5" x14ac:dyDescent="0.3"/>
  <cols>
    <col min="1" max="2" width="9" style="2"/>
    <col min="3" max="3" width="22" style="2" bestFit="1" customWidth="1"/>
    <col min="4" max="4" width="9" style="2"/>
    <col min="5" max="5" width="40.875" style="2" bestFit="1" customWidth="1"/>
    <col min="6" max="6" width="44.625" style="5" customWidth="1"/>
  </cols>
  <sheetData>
    <row r="1" spans="1:6" x14ac:dyDescent="0.3">
      <c r="A1" s="2" t="s">
        <v>23</v>
      </c>
      <c r="B1" s="2" t="s">
        <v>24</v>
      </c>
      <c r="C1" s="2" t="s">
        <v>25</v>
      </c>
      <c r="D1" s="2" t="s">
        <v>26</v>
      </c>
      <c r="E1" s="2" t="s">
        <v>27</v>
      </c>
      <c r="F1" s="5" t="s">
        <v>28</v>
      </c>
    </row>
    <row r="2" spans="1:6" ht="42.95" customHeight="1" x14ac:dyDescent="0.3">
      <c r="A2" s="2">
        <v>1</v>
      </c>
      <c r="B2" s="2" t="s">
        <v>29</v>
      </c>
      <c r="C2" s="2" t="s">
        <v>30</v>
      </c>
      <c r="D2" s="2">
        <v>0</v>
      </c>
      <c r="E2" s="2" t="s">
        <v>31</v>
      </c>
      <c r="F2" s="5" t="s">
        <v>32</v>
      </c>
    </row>
    <row r="3" spans="1:6" ht="59.45" customHeight="1" x14ac:dyDescent="0.3">
      <c r="A3" s="2">
        <v>2</v>
      </c>
      <c r="B3" s="2" t="s">
        <v>33</v>
      </c>
      <c r="C3" s="2" t="s">
        <v>34</v>
      </c>
      <c r="D3" s="2">
        <v>15000</v>
      </c>
      <c r="E3" s="2" t="s">
        <v>35</v>
      </c>
      <c r="F3" s="5" t="s">
        <v>36</v>
      </c>
    </row>
    <row r="4" spans="1:6" ht="59.45" customHeight="1" x14ac:dyDescent="0.3">
      <c r="A4" s="2">
        <v>3</v>
      </c>
      <c r="B4" s="2" t="s">
        <v>33</v>
      </c>
      <c r="C4" s="2" t="s">
        <v>37</v>
      </c>
      <c r="D4" s="2">
        <v>0</v>
      </c>
      <c r="E4" s="2" t="s">
        <v>38</v>
      </c>
      <c r="F4" s="5" t="s">
        <v>39</v>
      </c>
    </row>
    <row r="5" spans="1:6" ht="26.45" customHeight="1" x14ac:dyDescent="0.3">
      <c r="A5" s="2">
        <v>4</v>
      </c>
      <c r="B5" s="2" t="s">
        <v>33</v>
      </c>
      <c r="C5" s="2" t="s">
        <v>40</v>
      </c>
      <c r="D5" s="2">
        <v>0</v>
      </c>
      <c r="E5" s="2" t="s">
        <v>41</v>
      </c>
      <c r="F5" s="5" t="s">
        <v>42</v>
      </c>
    </row>
    <row r="6" spans="1:6" ht="59.45" customHeight="1" x14ac:dyDescent="0.3">
      <c r="A6" s="2">
        <v>5</v>
      </c>
      <c r="B6" s="2" t="s">
        <v>43</v>
      </c>
      <c r="C6" s="2" t="s">
        <v>44</v>
      </c>
      <c r="D6" s="2">
        <v>8000</v>
      </c>
      <c r="E6" s="2" t="s">
        <v>45</v>
      </c>
      <c r="F6" s="5" t="s">
        <v>46</v>
      </c>
    </row>
    <row r="7" spans="1:6" ht="42.95" customHeight="1" x14ac:dyDescent="0.3">
      <c r="A7" s="2">
        <v>6</v>
      </c>
      <c r="B7" s="2" t="s">
        <v>43</v>
      </c>
      <c r="C7" s="2" t="s">
        <v>47</v>
      </c>
      <c r="D7" s="2">
        <v>8000</v>
      </c>
      <c r="E7" s="2" t="s">
        <v>48</v>
      </c>
      <c r="F7" s="5" t="s">
        <v>49</v>
      </c>
    </row>
    <row r="8" spans="1:6" ht="75.95" customHeight="1" x14ac:dyDescent="0.3">
      <c r="A8" s="2">
        <v>7</v>
      </c>
      <c r="B8" s="2" t="s">
        <v>43</v>
      </c>
      <c r="C8" s="2" t="s">
        <v>50</v>
      </c>
      <c r="D8" s="2">
        <v>8000</v>
      </c>
      <c r="E8" s="2" t="s">
        <v>51</v>
      </c>
      <c r="F8" s="5" t="s">
        <v>52</v>
      </c>
    </row>
    <row r="9" spans="1:6" ht="42.95" customHeight="1" x14ac:dyDescent="0.3">
      <c r="A9" s="2">
        <v>8</v>
      </c>
      <c r="B9" s="2" t="s">
        <v>43</v>
      </c>
      <c r="C9" s="2" t="s">
        <v>53</v>
      </c>
      <c r="D9" s="2">
        <v>9500</v>
      </c>
      <c r="E9" s="2" t="s">
        <v>54</v>
      </c>
      <c r="F9" s="5" t="s">
        <v>55</v>
      </c>
    </row>
    <row r="10" spans="1:6" ht="26.45" customHeight="1" x14ac:dyDescent="0.3">
      <c r="A10" s="2">
        <v>9</v>
      </c>
      <c r="B10" s="2" t="s">
        <v>56</v>
      </c>
      <c r="C10" s="2" t="s">
        <v>57</v>
      </c>
      <c r="D10" s="2">
        <v>0</v>
      </c>
      <c r="E10" s="2" t="s">
        <v>58</v>
      </c>
      <c r="F10" s="5" t="s">
        <v>59</v>
      </c>
    </row>
    <row r="11" spans="1:6" ht="92.45" customHeight="1" x14ac:dyDescent="0.3">
      <c r="A11" s="2">
        <v>10</v>
      </c>
      <c r="B11" s="2" t="s">
        <v>60</v>
      </c>
      <c r="C11" s="2" t="s">
        <v>61</v>
      </c>
      <c r="D11" s="2">
        <v>0</v>
      </c>
      <c r="E11" s="2" t="s">
        <v>62</v>
      </c>
      <c r="F11" s="5" t="s">
        <v>63</v>
      </c>
    </row>
    <row r="12" spans="1:6" ht="59.45" customHeight="1" x14ac:dyDescent="0.3">
      <c r="A12" s="2">
        <v>11</v>
      </c>
      <c r="B12" s="2" t="s">
        <v>60</v>
      </c>
      <c r="C12" s="2" t="s">
        <v>64</v>
      </c>
      <c r="D12" s="2">
        <v>0</v>
      </c>
      <c r="E12" s="2" t="s">
        <v>65</v>
      </c>
      <c r="F12" s="5" t="s">
        <v>66</v>
      </c>
    </row>
    <row r="13" spans="1:6" ht="75.95" customHeight="1" x14ac:dyDescent="0.3">
      <c r="A13" s="2">
        <v>12</v>
      </c>
      <c r="B13" s="2" t="s">
        <v>60</v>
      </c>
      <c r="C13" s="2" t="s">
        <v>67</v>
      </c>
      <c r="D13" s="2">
        <v>2000</v>
      </c>
      <c r="E13" s="2" t="s">
        <v>68</v>
      </c>
      <c r="F13" s="5" t="s">
        <v>69</v>
      </c>
    </row>
    <row r="14" spans="1:6" ht="42.95" customHeight="1" x14ac:dyDescent="0.3">
      <c r="A14" s="2">
        <v>13</v>
      </c>
      <c r="B14" s="2" t="s">
        <v>70</v>
      </c>
      <c r="C14" s="2" t="s">
        <v>71</v>
      </c>
      <c r="D14" s="2">
        <v>0</v>
      </c>
      <c r="E14" s="2" t="s">
        <v>72</v>
      </c>
      <c r="F14" s="5" t="s">
        <v>73</v>
      </c>
    </row>
    <row r="15" spans="1:6" ht="26.45" customHeight="1" x14ac:dyDescent="0.3">
      <c r="A15" s="2">
        <v>14</v>
      </c>
      <c r="B15" s="2" t="s">
        <v>74</v>
      </c>
      <c r="C15" s="2" t="s">
        <v>75</v>
      </c>
      <c r="D15" s="2">
        <v>0</v>
      </c>
      <c r="E15" s="2" t="s">
        <v>76</v>
      </c>
      <c r="F15" s="5" t="s">
        <v>75</v>
      </c>
    </row>
    <row r="16" spans="1:6" ht="26.45" customHeight="1" x14ac:dyDescent="0.3">
      <c r="A16" s="2">
        <v>15</v>
      </c>
      <c r="B16" s="2" t="s">
        <v>74</v>
      </c>
      <c r="C16" s="2" t="s">
        <v>77</v>
      </c>
      <c r="D16" s="2">
        <v>0</v>
      </c>
      <c r="E16" s="2" t="s">
        <v>78</v>
      </c>
      <c r="F16" s="5" t="s">
        <v>77</v>
      </c>
    </row>
    <row r="17" spans="1:6" ht="26.45" customHeight="1" x14ac:dyDescent="0.3">
      <c r="A17" s="2">
        <v>16</v>
      </c>
      <c r="B17" s="2" t="s">
        <v>74</v>
      </c>
      <c r="C17" s="2" t="s">
        <v>79</v>
      </c>
      <c r="D17" s="2">
        <v>0</v>
      </c>
      <c r="E17" s="2" t="s">
        <v>80</v>
      </c>
      <c r="F17" s="5" t="s">
        <v>79</v>
      </c>
    </row>
    <row r="18" spans="1:6" ht="26.45" customHeight="1" x14ac:dyDescent="0.3">
      <c r="A18" s="2">
        <v>17</v>
      </c>
      <c r="B18" s="2" t="s">
        <v>74</v>
      </c>
      <c r="C18" s="2" t="s">
        <v>81</v>
      </c>
      <c r="D18" s="2">
        <v>0</v>
      </c>
      <c r="E18" s="2" t="s">
        <v>82</v>
      </c>
      <c r="F18" s="5" t="s">
        <v>81</v>
      </c>
    </row>
    <row r="19" spans="1:6" ht="26.45" customHeight="1" x14ac:dyDescent="0.3">
      <c r="A19" s="2">
        <v>18</v>
      </c>
      <c r="B19" s="2" t="s">
        <v>74</v>
      </c>
      <c r="C19" s="2" t="s">
        <v>83</v>
      </c>
      <c r="D19" s="2">
        <v>0</v>
      </c>
      <c r="E19" s="2" t="s">
        <v>84</v>
      </c>
      <c r="F19" s="5" t="s">
        <v>85</v>
      </c>
    </row>
    <row r="20" spans="1:6" ht="92.45" customHeight="1" x14ac:dyDescent="0.3">
      <c r="A20" s="2">
        <v>19</v>
      </c>
      <c r="B20" s="2" t="s">
        <v>86</v>
      </c>
      <c r="C20" s="2" t="s">
        <v>87</v>
      </c>
      <c r="D20" s="2">
        <v>0</v>
      </c>
      <c r="E20" s="2" t="s">
        <v>88</v>
      </c>
      <c r="F20" s="5" t="s">
        <v>89</v>
      </c>
    </row>
    <row r="21" spans="1:6" ht="59.45" customHeight="1" x14ac:dyDescent="0.3">
      <c r="A21" s="2">
        <v>20</v>
      </c>
      <c r="B21" s="2" t="s">
        <v>86</v>
      </c>
      <c r="C21" s="2" t="s">
        <v>90</v>
      </c>
      <c r="D21" s="2">
        <v>0</v>
      </c>
      <c r="E21" s="2" t="s">
        <v>91</v>
      </c>
      <c r="F21" s="5" t="s">
        <v>92</v>
      </c>
    </row>
    <row r="22" spans="1:6" ht="75.95" customHeight="1" x14ac:dyDescent="0.3">
      <c r="A22" s="2">
        <v>21</v>
      </c>
      <c r="B22" s="2" t="s">
        <v>86</v>
      </c>
      <c r="C22" s="2" t="s">
        <v>93</v>
      </c>
      <c r="D22" s="2">
        <v>0</v>
      </c>
      <c r="E22" s="2" t="s">
        <v>94</v>
      </c>
      <c r="F22" s="5" t="s">
        <v>95</v>
      </c>
    </row>
    <row r="23" spans="1:6" ht="59.45" customHeight="1" x14ac:dyDescent="0.3">
      <c r="A23" s="2">
        <v>22</v>
      </c>
      <c r="B23" s="2" t="s">
        <v>96</v>
      </c>
      <c r="C23" s="2" t="s">
        <v>97</v>
      </c>
      <c r="D23" s="2">
        <v>0</v>
      </c>
      <c r="E23" s="2" t="s">
        <v>98</v>
      </c>
      <c r="F23" s="5" t="s">
        <v>99</v>
      </c>
    </row>
    <row r="24" spans="1:6" ht="26.45" customHeight="1" x14ac:dyDescent="0.3">
      <c r="A24" s="2">
        <v>23</v>
      </c>
      <c r="B24" s="2" t="s">
        <v>100</v>
      </c>
      <c r="C24" s="2" t="s">
        <v>101</v>
      </c>
      <c r="D24" s="2">
        <v>0</v>
      </c>
      <c r="E24" s="2" t="s">
        <v>102</v>
      </c>
      <c r="F24" s="5" t="s">
        <v>103</v>
      </c>
    </row>
    <row r="25" spans="1:6" ht="26.45" customHeight="1" x14ac:dyDescent="0.3">
      <c r="A25" s="2">
        <v>24</v>
      </c>
      <c r="B25" s="2" t="s">
        <v>100</v>
      </c>
      <c r="C25" s="2" t="s">
        <v>104</v>
      </c>
      <c r="D25" s="2">
        <v>0</v>
      </c>
      <c r="E25" s="2" t="s">
        <v>105</v>
      </c>
      <c r="F25" s="5" t="s">
        <v>106</v>
      </c>
    </row>
    <row r="26" spans="1:6" ht="26.45" customHeight="1" x14ac:dyDescent="0.3">
      <c r="A26" s="2">
        <v>25</v>
      </c>
      <c r="B26" s="2" t="s">
        <v>100</v>
      </c>
      <c r="C26" s="2" t="s">
        <v>107</v>
      </c>
      <c r="D26" s="2">
        <v>0</v>
      </c>
      <c r="E26" s="2" t="s">
        <v>108</v>
      </c>
      <c r="F26" s="5" t="s">
        <v>109</v>
      </c>
    </row>
    <row r="27" spans="1:6" ht="42.95" customHeight="1" x14ac:dyDescent="0.3">
      <c r="A27" s="2">
        <v>26</v>
      </c>
      <c r="B27" s="2" t="s">
        <v>100</v>
      </c>
      <c r="C27" s="2" t="s">
        <v>110</v>
      </c>
      <c r="D27" s="2">
        <v>0</v>
      </c>
      <c r="E27" s="2" t="s">
        <v>111</v>
      </c>
      <c r="F27" s="5" t="s">
        <v>112</v>
      </c>
    </row>
    <row r="28" spans="1:6" ht="26.45" customHeight="1" x14ac:dyDescent="0.3">
      <c r="A28" s="2">
        <v>27</v>
      </c>
      <c r="B28" s="2" t="s">
        <v>113</v>
      </c>
      <c r="C28" s="2" t="s">
        <v>114</v>
      </c>
      <c r="D28" s="2">
        <v>0</v>
      </c>
      <c r="E28" s="2" t="s">
        <v>115</v>
      </c>
      <c r="F28" s="5" t="s">
        <v>116</v>
      </c>
    </row>
    <row r="29" spans="1:6" ht="26.45" customHeight="1" x14ac:dyDescent="0.3">
      <c r="A29" s="2">
        <v>28</v>
      </c>
      <c r="B29" s="2" t="s">
        <v>113</v>
      </c>
      <c r="C29" s="2" t="s">
        <v>117</v>
      </c>
      <c r="D29" s="2">
        <v>0</v>
      </c>
      <c r="E29" s="2" t="s">
        <v>118</v>
      </c>
      <c r="F29" s="5" t="s">
        <v>119</v>
      </c>
    </row>
    <row r="30" spans="1:6" ht="26.45" customHeight="1" x14ac:dyDescent="0.3">
      <c r="A30" s="2">
        <v>29</v>
      </c>
      <c r="B30" s="2" t="s">
        <v>113</v>
      </c>
      <c r="C30" s="2" t="s">
        <v>120</v>
      </c>
      <c r="D30" s="2">
        <v>0</v>
      </c>
      <c r="E30" s="2" t="s">
        <v>121</v>
      </c>
      <c r="F30" s="5" t="s">
        <v>122</v>
      </c>
    </row>
    <row r="31" spans="1:6" ht="26.45" customHeight="1" x14ac:dyDescent="0.3">
      <c r="A31" s="2">
        <v>30</v>
      </c>
      <c r="B31" s="2" t="s">
        <v>123</v>
      </c>
      <c r="C31" s="2" t="s">
        <v>124</v>
      </c>
      <c r="D31" s="2">
        <v>5000</v>
      </c>
      <c r="E31" s="2" t="s">
        <v>125</v>
      </c>
      <c r="F31" s="5" t="s">
        <v>126</v>
      </c>
    </row>
    <row r="32" spans="1:6" ht="174.95" customHeight="1" x14ac:dyDescent="0.3">
      <c r="A32" s="2">
        <v>31</v>
      </c>
      <c r="B32" s="2" t="s">
        <v>127</v>
      </c>
      <c r="C32" s="2" t="s">
        <v>128</v>
      </c>
      <c r="D32" s="2">
        <v>15000</v>
      </c>
      <c r="E32" s="2" t="s">
        <v>129</v>
      </c>
      <c r="F32" s="5" t="s">
        <v>130</v>
      </c>
    </row>
    <row r="33" spans="1:6" ht="191.45" customHeight="1" x14ac:dyDescent="0.3">
      <c r="A33" s="2">
        <v>32</v>
      </c>
      <c r="B33" s="2" t="s">
        <v>127</v>
      </c>
      <c r="C33" s="2" t="s">
        <v>131</v>
      </c>
      <c r="D33" s="2">
        <v>12000</v>
      </c>
      <c r="E33" s="2" t="s">
        <v>132</v>
      </c>
      <c r="F33" s="5" t="s">
        <v>133</v>
      </c>
    </row>
    <row r="34" spans="1:6" ht="207.95" customHeight="1" x14ac:dyDescent="0.3">
      <c r="A34" s="2">
        <v>33</v>
      </c>
      <c r="B34" s="2" t="s">
        <v>127</v>
      </c>
      <c r="C34" s="2" t="s">
        <v>134</v>
      </c>
      <c r="D34" s="2">
        <v>14000</v>
      </c>
      <c r="E34" s="2" t="s">
        <v>135</v>
      </c>
      <c r="F34" s="5" t="s">
        <v>136</v>
      </c>
    </row>
    <row r="35" spans="1:6" ht="42.95" customHeight="1" x14ac:dyDescent="0.3">
      <c r="A35" s="2">
        <v>34</v>
      </c>
      <c r="B35" s="2" t="s">
        <v>137</v>
      </c>
      <c r="C35" s="2" t="s">
        <v>138</v>
      </c>
      <c r="D35" s="2">
        <v>0</v>
      </c>
      <c r="E35" s="2" t="s">
        <v>139</v>
      </c>
      <c r="F35" s="5" t="s">
        <v>140</v>
      </c>
    </row>
    <row r="36" spans="1:6" ht="108.95" customHeight="1" x14ac:dyDescent="0.3">
      <c r="A36" s="2">
        <v>35</v>
      </c>
      <c r="B36" s="2" t="s">
        <v>137</v>
      </c>
      <c r="C36" s="2" t="s">
        <v>141</v>
      </c>
      <c r="D36" s="2">
        <v>0</v>
      </c>
      <c r="E36" s="2" t="s">
        <v>142</v>
      </c>
      <c r="F36" s="5" t="s">
        <v>143</v>
      </c>
    </row>
    <row r="37" spans="1:6" ht="125.45" customHeight="1" x14ac:dyDescent="0.3">
      <c r="A37" s="2">
        <v>36</v>
      </c>
      <c r="B37" s="2" t="s">
        <v>144</v>
      </c>
      <c r="C37" s="2" t="s">
        <v>145</v>
      </c>
      <c r="D37" s="2">
        <v>0</v>
      </c>
      <c r="E37" s="2" t="s">
        <v>146</v>
      </c>
      <c r="F37" s="5" t="s">
        <v>147</v>
      </c>
    </row>
    <row r="38" spans="1:6" ht="108.95" customHeight="1" x14ac:dyDescent="0.3">
      <c r="A38" s="2">
        <v>37</v>
      </c>
      <c r="B38" s="2" t="s">
        <v>144</v>
      </c>
      <c r="C38" s="2" t="s">
        <v>148</v>
      </c>
      <c r="D38" s="2">
        <v>0</v>
      </c>
      <c r="E38" s="2" t="s">
        <v>149</v>
      </c>
      <c r="F38" s="5" t="s">
        <v>150</v>
      </c>
    </row>
    <row r="39" spans="1:6" ht="59.45" customHeight="1" x14ac:dyDescent="0.3">
      <c r="A39" s="2">
        <v>38</v>
      </c>
      <c r="B39" s="2" t="s">
        <v>151</v>
      </c>
      <c r="C39" s="2" t="s">
        <v>152</v>
      </c>
      <c r="D39" s="2">
        <v>0</v>
      </c>
      <c r="E39" s="2" t="s">
        <v>153</v>
      </c>
      <c r="F39" s="5" t="s">
        <v>154</v>
      </c>
    </row>
    <row r="40" spans="1:6" ht="59.45" customHeight="1" x14ac:dyDescent="0.3">
      <c r="A40" s="2">
        <v>39</v>
      </c>
      <c r="B40" s="2" t="s">
        <v>29</v>
      </c>
      <c r="C40" s="2" t="s">
        <v>155</v>
      </c>
      <c r="D40" s="2">
        <v>0</v>
      </c>
      <c r="E40" s="2" t="s">
        <v>156</v>
      </c>
      <c r="F40" s="5" t="s">
        <v>157</v>
      </c>
    </row>
    <row r="41" spans="1:6" ht="26.45" customHeight="1" x14ac:dyDescent="0.3">
      <c r="A41" s="2">
        <v>40</v>
      </c>
      <c r="B41" s="2" t="s">
        <v>29</v>
      </c>
      <c r="C41" s="2" t="s">
        <v>158</v>
      </c>
      <c r="D41" s="2">
        <v>0</v>
      </c>
      <c r="E41" s="2" t="s">
        <v>159</v>
      </c>
      <c r="F41" s="5" t="s">
        <v>160</v>
      </c>
    </row>
    <row r="42" spans="1:6" ht="42.95" customHeight="1" x14ac:dyDescent="0.3">
      <c r="A42" s="2">
        <v>41</v>
      </c>
      <c r="B42" s="2" t="s">
        <v>29</v>
      </c>
      <c r="C42" s="2" t="s">
        <v>161</v>
      </c>
      <c r="D42" s="2">
        <v>1500</v>
      </c>
      <c r="E42" s="2" t="s">
        <v>162</v>
      </c>
      <c r="F42" s="5" t="s">
        <v>163</v>
      </c>
    </row>
    <row r="43" spans="1:6" ht="42.95" customHeight="1" x14ac:dyDescent="0.3">
      <c r="A43" s="2">
        <v>42</v>
      </c>
      <c r="B43" s="2" t="s">
        <v>29</v>
      </c>
      <c r="C43" s="2" t="s">
        <v>164</v>
      </c>
      <c r="D43" s="2">
        <v>0</v>
      </c>
      <c r="E43" s="2" t="s">
        <v>165</v>
      </c>
      <c r="F43" s="5" t="s">
        <v>166</v>
      </c>
    </row>
    <row r="44" spans="1:6" ht="42.95" customHeight="1" x14ac:dyDescent="0.3">
      <c r="A44" s="2">
        <v>43</v>
      </c>
      <c r="B44" s="2" t="s">
        <v>29</v>
      </c>
      <c r="C44" s="2" t="s">
        <v>167</v>
      </c>
      <c r="D44" s="2">
        <v>2000</v>
      </c>
      <c r="E44" s="2" t="s">
        <v>168</v>
      </c>
      <c r="F44" s="5" t="s">
        <v>169</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8"/>
  <sheetViews>
    <sheetView workbookViewId="0">
      <selection activeCell="S4" sqref="S4"/>
    </sheetView>
  </sheetViews>
  <sheetFormatPr defaultRowHeight="16.5" x14ac:dyDescent="0.3"/>
  <cols>
    <col min="1" max="2" width="9" style="2"/>
    <col min="3" max="3" width="10.25" style="2" customWidth="1"/>
    <col min="4" max="4" width="9" style="2"/>
    <col min="5" max="5" width="14.375" style="2" bestFit="1" customWidth="1"/>
    <col min="6" max="6" width="14.125" style="2" bestFit="1" customWidth="1"/>
    <col min="7" max="7" width="18.875" style="2" bestFit="1" customWidth="1"/>
    <col min="8" max="8" width="12.75" bestFit="1" customWidth="1"/>
  </cols>
  <sheetData>
    <row r="1" spans="1:11" x14ac:dyDescent="0.3">
      <c r="A1" s="2" t="s">
        <v>23</v>
      </c>
      <c r="B1" s="2" t="s">
        <v>170</v>
      </c>
      <c r="C1" s="2" t="s">
        <v>171</v>
      </c>
      <c r="D1" s="2" t="s">
        <v>172</v>
      </c>
      <c r="E1" s="2" t="s">
        <v>173</v>
      </c>
      <c r="F1" s="2" t="s">
        <v>174</v>
      </c>
      <c r="G1" s="2" t="s">
        <v>175</v>
      </c>
      <c r="H1" s="2" t="s">
        <v>336</v>
      </c>
      <c r="I1" s="2" t="s">
        <v>583</v>
      </c>
      <c r="J1" s="2" t="s">
        <v>581</v>
      </c>
      <c r="K1" s="2" t="s">
        <v>582</v>
      </c>
    </row>
    <row r="2" spans="1:11" x14ac:dyDescent="0.3">
      <c r="A2" s="2">
        <v>1</v>
      </c>
      <c r="B2" s="2" t="s">
        <v>176</v>
      </c>
      <c r="C2" s="2" t="s">
        <v>177</v>
      </c>
      <c r="D2" s="2" t="s">
        <v>178</v>
      </c>
      <c r="E2" s="2" t="s">
        <v>179</v>
      </c>
      <c r="F2" s="2" t="s">
        <v>180</v>
      </c>
      <c r="G2" s="2" t="s">
        <v>181</v>
      </c>
      <c r="H2" s="2" t="str">
        <f>fn등급(표3[[#This Row],[아이디]])</f>
        <v>실버</v>
      </c>
      <c r="I2" s="2" t="b">
        <f>email(표3[[#This Row],[이메일]])</f>
        <v>1</v>
      </c>
      <c r="J2" s="2">
        <f>COUNTIF(표6[회원번호], 표3[[#This Row],[번호]])</f>
        <v>3</v>
      </c>
      <c r="K2" s="2">
        <f>SUMIF(표6[회원번호], 표3[[#This Row],[번호]], 표6[총금액])</f>
        <v>3924423</v>
      </c>
    </row>
    <row r="3" spans="1:11" x14ac:dyDescent="0.3">
      <c r="A3" s="2">
        <v>2</v>
      </c>
      <c r="B3" s="2" t="s">
        <v>182</v>
      </c>
      <c r="C3" s="2" t="s">
        <v>183</v>
      </c>
      <c r="D3" s="2" t="s">
        <v>184</v>
      </c>
      <c r="E3" s="2" t="s">
        <v>185</v>
      </c>
      <c r="F3" s="2" t="s">
        <v>186</v>
      </c>
      <c r="G3" s="2" t="s">
        <v>181</v>
      </c>
      <c r="H3" s="2" t="str">
        <f>fn등급(표3[[#This Row],[아이디]])</f>
        <v>다이아</v>
      </c>
      <c r="I3" s="2" t="b">
        <f>email(표3[[#This Row],[이메일]])</f>
        <v>1</v>
      </c>
      <c r="J3" s="2">
        <f>COUNTIF(표6[회원번호], 표3[[#This Row],[번호]])</f>
        <v>10</v>
      </c>
      <c r="K3" s="2">
        <f>SUMIF(표6[회원번호], 표3[[#This Row],[번호]], 표6[총금액])</f>
        <v>14988762</v>
      </c>
    </row>
    <row r="4" spans="1:11" x14ac:dyDescent="0.3">
      <c r="A4" s="2">
        <v>3</v>
      </c>
      <c r="B4" s="2" t="s">
        <v>187</v>
      </c>
      <c r="C4" s="2" t="s">
        <v>188</v>
      </c>
      <c r="D4" s="2" t="s">
        <v>189</v>
      </c>
      <c r="E4" s="2" t="s">
        <v>190</v>
      </c>
      <c r="F4" s="2" t="s">
        <v>191</v>
      </c>
      <c r="G4" s="2" t="s">
        <v>192</v>
      </c>
      <c r="H4" s="2" t="str">
        <f>fn등급(표3[[#This Row],[아이디]])</f>
        <v>골드</v>
      </c>
      <c r="I4" s="2" t="b">
        <f>email(표3[[#This Row],[이메일]])</f>
        <v>1</v>
      </c>
      <c r="J4" s="2">
        <f>COUNTIF(표6[회원번호], 표3[[#This Row],[번호]])</f>
        <v>5</v>
      </c>
      <c r="K4" s="2">
        <f>SUMIF(표6[회원번호], 표3[[#This Row],[번호]], 표6[총금액])</f>
        <v>3040285</v>
      </c>
    </row>
    <row r="5" spans="1:11" x14ac:dyDescent="0.3">
      <c r="A5" s="2">
        <v>4</v>
      </c>
      <c r="B5" s="2" t="s">
        <v>193</v>
      </c>
      <c r="C5" s="2" t="s">
        <v>194</v>
      </c>
      <c r="D5" s="2" t="s">
        <v>195</v>
      </c>
      <c r="E5" s="2" t="s">
        <v>196</v>
      </c>
      <c r="F5" s="2" t="s">
        <v>197</v>
      </c>
      <c r="G5" s="2" t="s">
        <v>198</v>
      </c>
      <c r="H5" s="2" t="str">
        <f>fn등급(표3[[#This Row],[아이디]])</f>
        <v>일반</v>
      </c>
      <c r="I5" s="2" t="b">
        <f>email(표3[[#This Row],[이메일]])</f>
        <v>1</v>
      </c>
      <c r="J5" s="2">
        <f>COUNTIF(표6[회원번호], 표3[[#This Row],[번호]])</f>
        <v>0</v>
      </c>
      <c r="K5" s="2">
        <f>SUMIF(표6[회원번호], 표3[[#This Row],[번호]], 표6[총금액])</f>
        <v>0</v>
      </c>
    </row>
    <row r="6" spans="1:11" x14ac:dyDescent="0.3">
      <c r="A6" s="2">
        <v>5</v>
      </c>
      <c r="B6" s="2" t="s">
        <v>199</v>
      </c>
      <c r="C6" s="2" t="s">
        <v>200</v>
      </c>
      <c r="D6" s="2" t="s">
        <v>201</v>
      </c>
      <c r="E6" s="2" t="s">
        <v>202</v>
      </c>
      <c r="F6" s="2" t="s">
        <v>203</v>
      </c>
      <c r="G6" s="2" t="s">
        <v>204</v>
      </c>
      <c r="H6" s="2" t="str">
        <f>fn등급(표3[[#This Row],[아이디]])</f>
        <v>실버</v>
      </c>
      <c r="I6" s="2" t="b">
        <f>email(표3[[#This Row],[이메일]])</f>
        <v>1</v>
      </c>
      <c r="J6" s="2">
        <f>COUNTIF(표6[회원번호], 표3[[#This Row],[번호]])</f>
        <v>3</v>
      </c>
      <c r="K6" s="2">
        <f>SUMIF(표6[회원번호], 표3[[#This Row],[번호]], 표6[총금액])</f>
        <v>1080102.5</v>
      </c>
    </row>
    <row r="7" spans="1:11" x14ac:dyDescent="0.3">
      <c r="A7" s="2">
        <v>6</v>
      </c>
      <c r="B7" s="2" t="s">
        <v>205</v>
      </c>
      <c r="C7" s="2" t="s">
        <v>206</v>
      </c>
      <c r="D7" s="2" t="s">
        <v>207</v>
      </c>
      <c r="E7" s="2" t="s">
        <v>208</v>
      </c>
      <c r="F7" s="2" t="s">
        <v>209</v>
      </c>
      <c r="G7" s="2" t="s">
        <v>210</v>
      </c>
      <c r="H7" s="2" t="str">
        <f>fn등급(표3[[#This Row],[아이디]])</f>
        <v>실버</v>
      </c>
      <c r="I7" s="2" t="b">
        <f>email(표3[[#This Row],[이메일]])</f>
        <v>1</v>
      </c>
      <c r="J7" s="2">
        <f>COUNTIF(표6[회원번호], 표3[[#This Row],[번호]])</f>
        <v>3</v>
      </c>
      <c r="K7" s="2">
        <f>SUMIF(표6[회원번호], 표3[[#This Row],[번호]], 표6[총금액])</f>
        <v>599925</v>
      </c>
    </row>
    <row r="8" spans="1:11" x14ac:dyDescent="0.3">
      <c r="A8" s="2">
        <v>7</v>
      </c>
      <c r="B8" s="2" t="s">
        <v>211</v>
      </c>
      <c r="C8" s="2" t="s">
        <v>212</v>
      </c>
      <c r="D8" s="2" t="s">
        <v>213</v>
      </c>
      <c r="E8" s="2" t="s">
        <v>214</v>
      </c>
      <c r="F8" s="2" t="s">
        <v>215</v>
      </c>
      <c r="G8" s="2" t="s">
        <v>216</v>
      </c>
      <c r="H8" s="2" t="str">
        <f>fn등급(표3[[#This Row],[아이디]])</f>
        <v>실버</v>
      </c>
      <c r="I8" s="2" t="b">
        <f>email(표3[[#This Row],[이메일]])</f>
        <v>1</v>
      </c>
      <c r="J8" s="2">
        <f>COUNTIF(표6[회원번호], 표3[[#This Row],[번호]])</f>
        <v>3</v>
      </c>
      <c r="K8" s="2">
        <f>SUMIF(표6[회원번호], 표3[[#This Row],[번호]], 표6[총금액])</f>
        <v>2499730.5</v>
      </c>
    </row>
    <row r="9" spans="1:11" x14ac:dyDescent="0.3">
      <c r="A9" s="2">
        <v>8</v>
      </c>
      <c r="B9" s="2" t="s">
        <v>217</v>
      </c>
      <c r="C9" s="2" t="s">
        <v>218</v>
      </c>
      <c r="D9" s="2" t="s">
        <v>219</v>
      </c>
      <c r="E9" s="2" t="s">
        <v>220</v>
      </c>
      <c r="F9" s="2" t="s">
        <v>221</v>
      </c>
      <c r="G9" s="2" t="s">
        <v>222</v>
      </c>
      <c r="H9" s="2" t="str">
        <f>fn등급(표3[[#This Row],[아이디]])</f>
        <v>실버</v>
      </c>
      <c r="I9" s="2" t="b">
        <f>email(표3[[#This Row],[이메일]])</f>
        <v>1</v>
      </c>
      <c r="J9" s="2">
        <f>COUNTIF(표6[회원번호], 표3[[#This Row],[번호]])</f>
        <v>3</v>
      </c>
      <c r="K9" s="2">
        <f>SUMIF(표6[회원번호], 표3[[#This Row],[번호]], 표6[총금액])</f>
        <v>1912413.5</v>
      </c>
    </row>
    <row r="10" spans="1:11" x14ac:dyDescent="0.3">
      <c r="A10" s="2">
        <v>9</v>
      </c>
      <c r="B10" s="2" t="s">
        <v>223</v>
      </c>
      <c r="C10" s="2" t="s">
        <v>224</v>
      </c>
      <c r="D10" s="2" t="s">
        <v>225</v>
      </c>
      <c r="E10" s="2" t="s">
        <v>226</v>
      </c>
      <c r="F10" s="2" t="s">
        <v>227</v>
      </c>
      <c r="G10" s="2" t="s">
        <v>228</v>
      </c>
      <c r="H10" s="2" t="str">
        <f>fn등급(표3[[#This Row],[아이디]])</f>
        <v>일반</v>
      </c>
      <c r="I10" s="2" t="b">
        <f>email(표3[[#This Row],[이메일]])</f>
        <v>1</v>
      </c>
      <c r="J10" s="2">
        <f>COUNTIF(표6[회원번호], 표3[[#This Row],[번호]])</f>
        <v>0</v>
      </c>
      <c r="K10" s="2">
        <f>SUMIF(표6[회원번호], 표3[[#This Row],[번호]], 표6[총금액])</f>
        <v>0</v>
      </c>
    </row>
    <row r="11" spans="1:11" x14ac:dyDescent="0.3">
      <c r="A11" s="2">
        <v>10</v>
      </c>
      <c r="B11" s="2" t="s">
        <v>229</v>
      </c>
      <c r="C11" s="2" t="s">
        <v>230</v>
      </c>
      <c r="D11" s="2" t="s">
        <v>231</v>
      </c>
      <c r="E11" s="2" t="s">
        <v>232</v>
      </c>
      <c r="F11" s="2" t="s">
        <v>233</v>
      </c>
      <c r="G11" s="2" t="s">
        <v>234</v>
      </c>
      <c r="H11" s="2" t="str">
        <f>fn등급(표3[[#This Row],[아이디]])</f>
        <v>브론즈</v>
      </c>
      <c r="I11" s="2" t="b">
        <f>email(표3[[#This Row],[이메일]])</f>
        <v>1</v>
      </c>
      <c r="J11" s="2">
        <f>COUNTIF(표6[회원번호], 표3[[#This Row],[번호]])</f>
        <v>1</v>
      </c>
      <c r="K11" s="2">
        <f>SUMIF(표6[회원번호], 표3[[#This Row],[번호]], 표6[총금액])</f>
        <v>2398275</v>
      </c>
    </row>
    <row r="12" spans="1:11" x14ac:dyDescent="0.3">
      <c r="A12" s="2">
        <v>11</v>
      </c>
      <c r="B12" s="2" t="s">
        <v>235</v>
      </c>
      <c r="C12" s="2" t="s">
        <v>236</v>
      </c>
      <c r="D12" s="2" t="s">
        <v>237</v>
      </c>
      <c r="E12" s="2" t="s">
        <v>238</v>
      </c>
      <c r="F12" s="2" t="s">
        <v>239</v>
      </c>
      <c r="G12" s="2" t="s">
        <v>240</v>
      </c>
      <c r="H12" s="2" t="str">
        <f>fn등급(표3[[#This Row],[아이디]])</f>
        <v>브론즈</v>
      </c>
      <c r="I12" s="2" t="b">
        <f>email(표3[[#This Row],[이메일]])</f>
        <v>1</v>
      </c>
      <c r="J12" s="2">
        <f>COUNTIF(표6[회원번호], 표3[[#This Row],[번호]])</f>
        <v>1</v>
      </c>
      <c r="K12" s="2">
        <f>SUMIF(표6[회원번호], 표3[[#This Row],[번호]], 표6[총금액])</f>
        <v>535959</v>
      </c>
    </row>
    <row r="13" spans="1:11" x14ac:dyDescent="0.3">
      <c r="A13" s="2">
        <v>12</v>
      </c>
      <c r="B13" s="2" t="s">
        <v>241</v>
      </c>
      <c r="C13" s="2" t="s">
        <v>242</v>
      </c>
      <c r="D13" s="2" t="s">
        <v>243</v>
      </c>
      <c r="E13" s="2" t="s">
        <v>244</v>
      </c>
      <c r="F13" s="2" t="s">
        <v>245</v>
      </c>
      <c r="G13" s="2" t="s">
        <v>246</v>
      </c>
      <c r="H13" s="2" t="str">
        <f>fn등급(표3[[#This Row],[아이디]])</f>
        <v>실버</v>
      </c>
      <c r="I13" s="2" t="b">
        <f>email(표3[[#This Row],[이메일]])</f>
        <v>1</v>
      </c>
      <c r="J13" s="2">
        <f>COUNTIF(표6[회원번호], 표3[[#This Row],[번호]])</f>
        <v>4</v>
      </c>
      <c r="K13" s="2">
        <f>SUMIF(표6[회원번호], 표3[[#This Row],[번호]], 표6[총금액])</f>
        <v>1952535</v>
      </c>
    </row>
    <row r="14" spans="1:11" x14ac:dyDescent="0.3">
      <c r="A14" s="2">
        <v>13</v>
      </c>
      <c r="B14" s="2" t="s">
        <v>247</v>
      </c>
      <c r="C14" s="2" t="s">
        <v>248</v>
      </c>
      <c r="D14" s="2" t="s">
        <v>249</v>
      </c>
      <c r="E14" s="2" t="s">
        <v>250</v>
      </c>
      <c r="F14" s="2" t="s">
        <v>251</v>
      </c>
      <c r="G14" s="2" t="s">
        <v>252</v>
      </c>
      <c r="H14" s="2" t="str">
        <f>fn등급(표3[[#This Row],[아이디]])</f>
        <v>일반</v>
      </c>
      <c r="I14" s="2" t="b">
        <f>email(표3[[#This Row],[이메일]])</f>
        <v>1</v>
      </c>
      <c r="J14" s="2">
        <f>COUNTIF(표6[회원번호], 표3[[#This Row],[번호]])</f>
        <v>0</v>
      </c>
      <c r="K14" s="2">
        <f>SUMIF(표6[회원번호], 표3[[#This Row],[번호]], 표6[총금액])</f>
        <v>0</v>
      </c>
    </row>
    <row r="15" spans="1:11" x14ac:dyDescent="0.3">
      <c r="A15" s="2">
        <v>14</v>
      </c>
      <c r="B15" s="2" t="s">
        <v>253</v>
      </c>
      <c r="C15" s="2" t="s">
        <v>254</v>
      </c>
      <c r="D15" s="2" t="s">
        <v>255</v>
      </c>
      <c r="E15" s="2" t="s">
        <v>256</v>
      </c>
      <c r="F15" s="2" t="s">
        <v>257</v>
      </c>
      <c r="G15" s="2" t="s">
        <v>258</v>
      </c>
      <c r="H15" s="2" t="str">
        <f>fn등급(표3[[#This Row],[아이디]])</f>
        <v>일반</v>
      </c>
      <c r="I15" s="2" t="b">
        <f>email(표3[[#This Row],[이메일]])</f>
        <v>1</v>
      </c>
      <c r="J15" s="2">
        <f>COUNTIF(표6[회원번호], 표3[[#This Row],[번호]])</f>
        <v>0</v>
      </c>
      <c r="K15" s="2">
        <f>SUMIF(표6[회원번호], 표3[[#This Row],[번호]], 표6[총금액])</f>
        <v>0</v>
      </c>
    </row>
    <row r="16" spans="1:11" x14ac:dyDescent="0.3">
      <c r="A16" s="2">
        <v>15</v>
      </c>
      <c r="B16" s="2" t="s">
        <v>259</v>
      </c>
      <c r="C16" s="2" t="s">
        <v>260</v>
      </c>
      <c r="D16" s="2" t="s">
        <v>261</v>
      </c>
      <c r="E16" s="2" t="s">
        <v>262</v>
      </c>
      <c r="F16" s="2" t="s">
        <v>263</v>
      </c>
      <c r="G16" s="2" t="s">
        <v>264</v>
      </c>
      <c r="H16" s="2" t="str">
        <f>fn등급(표3[[#This Row],[아이디]])</f>
        <v>일반</v>
      </c>
      <c r="I16" s="2" t="b">
        <f>email(표3[[#This Row],[이메일]])</f>
        <v>1</v>
      </c>
      <c r="J16" s="2">
        <f>COUNTIF(표6[회원번호], 표3[[#This Row],[번호]])</f>
        <v>0</v>
      </c>
      <c r="K16" s="2">
        <f>SUMIF(표6[회원번호], 표3[[#This Row],[번호]], 표6[총금액])</f>
        <v>0</v>
      </c>
    </row>
    <row r="17" spans="1:11" x14ac:dyDescent="0.3">
      <c r="A17" s="2">
        <v>16</v>
      </c>
      <c r="B17" s="2" t="s">
        <v>265</v>
      </c>
      <c r="C17" s="2" t="s">
        <v>266</v>
      </c>
      <c r="D17" s="2" t="s">
        <v>267</v>
      </c>
      <c r="E17" s="2" t="s">
        <v>268</v>
      </c>
      <c r="F17" s="2" t="s">
        <v>269</v>
      </c>
      <c r="G17" s="2" t="s">
        <v>270</v>
      </c>
      <c r="H17" s="2" t="str">
        <f>fn등급(표3[[#This Row],[아이디]])</f>
        <v>브론즈</v>
      </c>
      <c r="I17" s="2" t="b">
        <f>email(표3[[#This Row],[이메일]])</f>
        <v>1</v>
      </c>
      <c r="J17" s="2">
        <f>COUNTIF(표6[회원번호], 표3[[#This Row],[번호]])</f>
        <v>2</v>
      </c>
      <c r="K17" s="2">
        <f>SUMIF(표6[회원번호], 표3[[#This Row],[번호]], 표6[총금액])</f>
        <v>1583460</v>
      </c>
    </row>
    <row r="18" spans="1:11" x14ac:dyDescent="0.3">
      <c r="A18" s="2">
        <v>17</v>
      </c>
      <c r="B18" s="2" t="s">
        <v>271</v>
      </c>
      <c r="C18" s="2" t="s">
        <v>272</v>
      </c>
      <c r="D18" s="2" t="s">
        <v>249</v>
      </c>
      <c r="E18" s="2" t="s">
        <v>273</v>
      </c>
      <c r="F18" s="2" t="s">
        <v>274</v>
      </c>
      <c r="G18" s="2" t="s">
        <v>275</v>
      </c>
      <c r="H18" s="2" t="str">
        <f>fn등급(표3[[#This Row],[아이디]])</f>
        <v>일반</v>
      </c>
      <c r="I18" s="2" t="b">
        <f>email(표3[[#This Row],[이메일]])</f>
        <v>1</v>
      </c>
      <c r="J18" s="2">
        <f>COUNTIF(표6[회원번호], 표3[[#This Row],[번호]])</f>
        <v>0</v>
      </c>
      <c r="K18" s="2">
        <f>SUMIF(표6[회원번호], 표3[[#This Row],[번호]], 표6[총금액])</f>
        <v>0</v>
      </c>
    </row>
    <row r="19" spans="1:11" x14ac:dyDescent="0.3">
      <c r="A19" s="2">
        <v>18</v>
      </c>
      <c r="B19" s="2" t="s">
        <v>276</v>
      </c>
      <c r="C19" s="2" t="s">
        <v>277</v>
      </c>
      <c r="D19" s="2" t="s">
        <v>278</v>
      </c>
      <c r="E19" s="2" t="s">
        <v>279</v>
      </c>
      <c r="F19" s="2" t="s">
        <v>280</v>
      </c>
      <c r="G19" s="2" t="s">
        <v>281</v>
      </c>
      <c r="H19" s="2" t="str">
        <f>fn등급(표3[[#This Row],[아이디]])</f>
        <v>일반</v>
      </c>
      <c r="I19" s="2" t="b">
        <f>email(표3[[#This Row],[이메일]])</f>
        <v>1</v>
      </c>
      <c r="J19" s="2">
        <f>COUNTIF(표6[회원번호], 표3[[#This Row],[번호]])</f>
        <v>0</v>
      </c>
      <c r="K19" s="2">
        <f>SUMIF(표6[회원번호], 표3[[#This Row],[번호]], 표6[총금액])</f>
        <v>0</v>
      </c>
    </row>
    <row r="20" spans="1:11" x14ac:dyDescent="0.3">
      <c r="A20" s="2">
        <v>19</v>
      </c>
      <c r="B20" s="2" t="s">
        <v>282</v>
      </c>
      <c r="C20" s="2" t="s">
        <v>283</v>
      </c>
      <c r="D20" s="2" t="s">
        <v>284</v>
      </c>
      <c r="E20" s="2" t="s">
        <v>285</v>
      </c>
      <c r="F20" s="2" t="s">
        <v>286</v>
      </c>
      <c r="G20" s="2" t="s">
        <v>287</v>
      </c>
      <c r="H20" s="2" t="str">
        <f>fn등급(표3[[#This Row],[아이디]])</f>
        <v>일반</v>
      </c>
      <c r="I20" s="2" t="b">
        <f>email(표3[[#This Row],[이메일]])</f>
        <v>1</v>
      </c>
      <c r="J20" s="2">
        <f>COUNTIF(표6[회원번호], 표3[[#This Row],[번호]])</f>
        <v>0</v>
      </c>
      <c r="K20" s="2">
        <f>SUMIF(표6[회원번호], 표3[[#This Row],[번호]], 표6[총금액])</f>
        <v>0</v>
      </c>
    </row>
    <row r="21" spans="1:11" x14ac:dyDescent="0.3">
      <c r="A21" s="2">
        <v>20</v>
      </c>
      <c r="B21" s="2" t="s">
        <v>288</v>
      </c>
      <c r="C21" s="2" t="s">
        <v>289</v>
      </c>
      <c r="D21" s="2" t="s">
        <v>290</v>
      </c>
      <c r="E21" s="2" t="s">
        <v>291</v>
      </c>
      <c r="F21" s="2" t="s">
        <v>292</v>
      </c>
      <c r="G21" s="2" t="s">
        <v>293</v>
      </c>
      <c r="H21" s="2" t="str">
        <f>fn등급(표3[[#This Row],[아이디]])</f>
        <v>브론즈</v>
      </c>
      <c r="I21" s="2" t="b">
        <f>email(표3[[#This Row],[이메일]])</f>
        <v>1</v>
      </c>
      <c r="J21" s="2">
        <f>COUNTIF(표6[회원번호], 표3[[#This Row],[번호]])</f>
        <v>1</v>
      </c>
      <c r="K21" s="2">
        <f>SUMIF(표6[회원번호], 표3[[#This Row],[번호]], 표6[총금액])</f>
        <v>1484559</v>
      </c>
    </row>
    <row r="22" spans="1:11" x14ac:dyDescent="0.3">
      <c r="A22" s="2">
        <v>21</v>
      </c>
      <c r="B22" s="2" t="s">
        <v>294</v>
      </c>
      <c r="C22" s="2" t="s">
        <v>295</v>
      </c>
      <c r="D22" s="2" t="s">
        <v>296</v>
      </c>
      <c r="E22" s="2" t="s">
        <v>297</v>
      </c>
      <c r="F22" s="2" t="s">
        <v>298</v>
      </c>
      <c r="G22" s="2" t="s">
        <v>299</v>
      </c>
      <c r="H22" s="2" t="str">
        <f>fn등급(표3[[#This Row],[아이디]])</f>
        <v>브론즈</v>
      </c>
      <c r="I22" s="2" t="b">
        <f>email(표3[[#This Row],[이메일]])</f>
        <v>1</v>
      </c>
      <c r="J22" s="2">
        <f>COUNTIF(표6[회원번호], 표3[[#This Row],[번호]])</f>
        <v>2</v>
      </c>
      <c r="K22" s="2">
        <f>SUMIF(표6[회원번호], 표3[[#This Row],[번호]], 표6[총금액])</f>
        <v>391875</v>
      </c>
    </row>
    <row r="23" spans="1:11" x14ac:dyDescent="0.3">
      <c r="A23" s="2">
        <v>22</v>
      </c>
      <c r="B23" s="2" t="s">
        <v>300</v>
      </c>
      <c r="C23" s="2" t="s">
        <v>301</v>
      </c>
      <c r="D23" s="2" t="s">
        <v>302</v>
      </c>
      <c r="E23" s="2" t="s">
        <v>303</v>
      </c>
      <c r="F23" s="2" t="s">
        <v>304</v>
      </c>
      <c r="G23" s="2" t="s">
        <v>305</v>
      </c>
      <c r="H23" s="2" t="str">
        <f>fn등급(표3[[#This Row],[아이디]])</f>
        <v>일반</v>
      </c>
      <c r="I23" s="2" t="b">
        <f>email(표3[[#This Row],[이메일]])</f>
        <v>1</v>
      </c>
      <c r="J23" s="2">
        <f>COUNTIF(표6[회원번호], 표3[[#This Row],[번호]])</f>
        <v>0</v>
      </c>
      <c r="K23" s="2">
        <f>SUMIF(표6[회원번호], 표3[[#This Row],[번호]], 표6[총금액])</f>
        <v>0</v>
      </c>
    </row>
    <row r="24" spans="1:11" x14ac:dyDescent="0.3">
      <c r="A24" s="2">
        <v>23</v>
      </c>
      <c r="B24" s="2" t="s">
        <v>306</v>
      </c>
      <c r="C24" s="2" t="s">
        <v>307</v>
      </c>
      <c r="D24" s="2" t="s">
        <v>308</v>
      </c>
      <c r="E24" s="2" t="s">
        <v>309</v>
      </c>
      <c r="F24" s="2" t="s">
        <v>310</v>
      </c>
      <c r="G24" s="2" t="s">
        <v>311</v>
      </c>
      <c r="H24" s="2" t="str">
        <f>fn등급(표3[[#This Row],[아이디]])</f>
        <v>일반</v>
      </c>
      <c r="I24" s="2" t="b">
        <f>email(표3[[#This Row],[이메일]])</f>
        <v>1</v>
      </c>
      <c r="J24" s="2">
        <f>COUNTIF(표6[회원번호], 표3[[#This Row],[번호]])</f>
        <v>0</v>
      </c>
      <c r="K24" s="2">
        <f>SUMIF(표6[회원번호], 표3[[#This Row],[번호]], 표6[총금액])</f>
        <v>0</v>
      </c>
    </row>
    <row r="25" spans="1:11" x14ac:dyDescent="0.3">
      <c r="A25" s="2">
        <v>24</v>
      </c>
      <c r="B25" s="2" t="s">
        <v>312</v>
      </c>
      <c r="C25" s="2" t="s">
        <v>313</v>
      </c>
      <c r="D25" s="2" t="s">
        <v>314</v>
      </c>
      <c r="E25" s="2" t="s">
        <v>315</v>
      </c>
      <c r="F25" s="2" t="s">
        <v>316</v>
      </c>
      <c r="G25" s="2" t="s">
        <v>317</v>
      </c>
      <c r="H25" s="2" t="str">
        <f>fn등급(표3[[#This Row],[아이디]])</f>
        <v>브론즈</v>
      </c>
      <c r="I25" s="2" t="b">
        <f>email(표3[[#This Row],[이메일]])</f>
        <v>1</v>
      </c>
      <c r="J25" s="2">
        <f>COUNTIF(표6[회원번호], 표3[[#This Row],[번호]])</f>
        <v>2</v>
      </c>
      <c r="K25" s="2">
        <f>SUMIF(표6[회원번호], 표3[[#This Row],[번호]], 표6[총금액])</f>
        <v>854199</v>
      </c>
    </row>
    <row r="26" spans="1:11" x14ac:dyDescent="0.3">
      <c r="A26" s="2">
        <v>25</v>
      </c>
      <c r="B26" s="2" t="s">
        <v>318</v>
      </c>
      <c r="C26" s="2" t="s">
        <v>319</v>
      </c>
      <c r="D26" s="2" t="s">
        <v>320</v>
      </c>
      <c r="E26" s="2" t="s">
        <v>321</v>
      </c>
      <c r="F26" s="2" t="s">
        <v>322</v>
      </c>
      <c r="G26" s="2" t="s">
        <v>323</v>
      </c>
      <c r="H26" s="2" t="str">
        <f>fn등급(표3[[#This Row],[아이디]])</f>
        <v>일반</v>
      </c>
      <c r="I26" s="2" t="b">
        <f>email(표3[[#This Row],[이메일]])</f>
        <v>1</v>
      </c>
      <c r="J26" s="2">
        <f>COUNTIF(표6[회원번호], 표3[[#This Row],[번호]])</f>
        <v>0</v>
      </c>
      <c r="K26" s="2">
        <f>SUMIF(표6[회원번호], 표3[[#This Row],[번호]], 표6[총금액])</f>
        <v>0</v>
      </c>
    </row>
    <row r="27" spans="1:11" x14ac:dyDescent="0.3">
      <c r="A27" s="2">
        <v>26</v>
      </c>
      <c r="B27" s="2" t="s">
        <v>324</v>
      </c>
      <c r="C27" s="2" t="s">
        <v>325</v>
      </c>
      <c r="D27" s="2" t="s">
        <v>326</v>
      </c>
      <c r="E27" s="2" t="s">
        <v>327</v>
      </c>
      <c r="F27" s="2" t="s">
        <v>328</v>
      </c>
      <c r="G27" s="2" t="s">
        <v>329</v>
      </c>
      <c r="H27" s="2" t="str">
        <f>fn등급(표3[[#This Row],[아이디]])</f>
        <v>일반</v>
      </c>
      <c r="I27" s="2" t="b">
        <f>email(표3[[#This Row],[이메일]])</f>
        <v>1</v>
      </c>
      <c r="J27" s="2">
        <f>COUNTIF(표6[회원번호], 표3[[#This Row],[번호]])</f>
        <v>0</v>
      </c>
      <c r="K27" s="2">
        <f>SUMIF(표6[회원번호], 표3[[#This Row],[번호]], 표6[총금액])</f>
        <v>0</v>
      </c>
    </row>
    <row r="28" spans="1:11" x14ac:dyDescent="0.3">
      <c r="A28" s="2">
        <v>27</v>
      </c>
      <c r="B28" s="2" t="s">
        <v>330</v>
      </c>
      <c r="C28" s="2" t="s">
        <v>331</v>
      </c>
      <c r="D28" s="2" t="s">
        <v>332</v>
      </c>
      <c r="E28" s="2" t="s">
        <v>333</v>
      </c>
      <c r="F28" s="2" t="s">
        <v>334</v>
      </c>
      <c r="G28" s="2" t="s">
        <v>335</v>
      </c>
      <c r="H28" s="2" t="str">
        <f>fn등급(표3[[#This Row],[아이디]])</f>
        <v>일반</v>
      </c>
      <c r="I28" s="2" t="b">
        <f>email(표3[[#This Row],[이메일]])</f>
        <v>1</v>
      </c>
      <c r="J28" s="2">
        <f>COUNTIF(표6[회원번호], 표3[[#This Row],[번호]])</f>
        <v>0</v>
      </c>
      <c r="K28" s="2">
        <f>SUMIF(표6[회원번호], 표3[[#This Row],[번호]], 표6[총금액])</f>
        <v>0</v>
      </c>
    </row>
  </sheetData>
  <phoneticPr fontId="2" type="noConversion"/>
  <dataValidations count="1">
    <dataValidation type="custom" allowBlank="1" showInputMessage="1" showErrorMessage="1" error="패턴이 일치하지 않습니다." sqref="G2:G28">
      <formula1>I2</formula1>
    </dataValidation>
  </dataValidations>
  <pageMargins left="0.7" right="0.7" top="0.75" bottom="0.75" header="0.3" footer="0.3"/>
  <pageSetup paperSize="9"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0"/>
  <sheetViews>
    <sheetView workbookViewId="0">
      <selection activeCell="H2" sqref="H2"/>
    </sheetView>
  </sheetViews>
  <sheetFormatPr defaultRowHeight="16.5" x14ac:dyDescent="0.3"/>
  <cols>
    <col min="2" max="2" width="10.25" customWidth="1"/>
    <col min="3" max="3" width="27.625" bestFit="1" customWidth="1"/>
    <col min="4" max="4" width="72.25" bestFit="1" customWidth="1"/>
    <col min="5" max="5" width="9" style="8"/>
    <col min="6" max="7" width="14" customWidth="1"/>
    <col min="8" max="8" width="130.625" bestFit="1" customWidth="1"/>
  </cols>
  <sheetData>
    <row r="1" spans="1:8" x14ac:dyDescent="0.3">
      <c r="A1" s="2" t="s">
        <v>449</v>
      </c>
      <c r="B1" s="2" t="s">
        <v>450</v>
      </c>
      <c r="C1" s="2" t="s">
        <v>451</v>
      </c>
      <c r="D1" s="2" t="s">
        <v>452</v>
      </c>
      <c r="E1" s="7" t="s">
        <v>453</v>
      </c>
      <c r="F1" s="2" t="s">
        <v>454</v>
      </c>
      <c r="G1" s="2" t="s">
        <v>455</v>
      </c>
      <c r="H1" s="2" t="s">
        <v>456</v>
      </c>
    </row>
    <row r="2" spans="1:8" x14ac:dyDescent="0.3">
      <c r="A2" s="2">
        <v>1</v>
      </c>
      <c r="B2" s="2" t="s">
        <v>127</v>
      </c>
      <c r="C2" s="2" t="s">
        <v>337</v>
      </c>
      <c r="D2" s="2" t="s">
        <v>338</v>
      </c>
      <c r="E2" s="7">
        <v>10000</v>
      </c>
      <c r="F2" s="6">
        <v>44481</v>
      </c>
      <c r="G2" s="6">
        <v>44489</v>
      </c>
      <c r="H2" s="2" t="s">
        <v>339</v>
      </c>
    </row>
    <row r="3" spans="1:8" x14ac:dyDescent="0.3">
      <c r="A3" s="2">
        <v>2</v>
      </c>
      <c r="B3" s="2" t="s">
        <v>100</v>
      </c>
      <c r="C3" s="2" t="s">
        <v>340</v>
      </c>
      <c r="D3" s="2" t="s">
        <v>341</v>
      </c>
      <c r="E3" s="7">
        <v>15000</v>
      </c>
      <c r="F3" s="6">
        <v>44495</v>
      </c>
      <c r="G3" s="6">
        <v>44497</v>
      </c>
      <c r="H3" s="2" t="s">
        <v>342</v>
      </c>
    </row>
    <row r="4" spans="1:8" x14ac:dyDescent="0.3">
      <c r="A4" s="2">
        <v>3</v>
      </c>
      <c r="B4" s="2" t="s">
        <v>137</v>
      </c>
      <c r="C4" s="2" t="s">
        <v>343</v>
      </c>
      <c r="D4" s="2" t="s">
        <v>344</v>
      </c>
      <c r="E4" s="7">
        <v>20000</v>
      </c>
      <c r="F4" s="6">
        <v>44496</v>
      </c>
      <c r="G4" s="6">
        <v>44533</v>
      </c>
      <c r="H4" s="2" t="s">
        <v>345</v>
      </c>
    </row>
    <row r="5" spans="1:8" x14ac:dyDescent="0.3">
      <c r="A5" s="2">
        <v>4</v>
      </c>
      <c r="B5" s="2" t="s">
        <v>43</v>
      </c>
      <c r="C5" s="2" t="s">
        <v>346</v>
      </c>
      <c r="D5" s="2" t="s">
        <v>347</v>
      </c>
      <c r="E5" s="7">
        <v>18000</v>
      </c>
      <c r="F5" s="6">
        <v>44497</v>
      </c>
      <c r="G5" s="6">
        <v>44499</v>
      </c>
      <c r="H5" s="2" t="s">
        <v>348</v>
      </c>
    </row>
    <row r="6" spans="1:8" x14ac:dyDescent="0.3">
      <c r="A6" s="2">
        <v>5</v>
      </c>
      <c r="B6" s="2" t="s">
        <v>56</v>
      </c>
      <c r="C6" s="2" t="s">
        <v>349</v>
      </c>
      <c r="D6" s="2" t="s">
        <v>350</v>
      </c>
      <c r="E6" s="7">
        <v>10000</v>
      </c>
      <c r="F6" s="6">
        <v>44500</v>
      </c>
      <c r="G6" s="6">
        <v>44503</v>
      </c>
      <c r="H6" s="2" t="s">
        <v>351</v>
      </c>
    </row>
    <row r="7" spans="1:8" x14ac:dyDescent="0.3">
      <c r="A7" s="2">
        <v>6</v>
      </c>
      <c r="B7" s="2" t="s">
        <v>113</v>
      </c>
      <c r="C7" s="2" t="s">
        <v>352</v>
      </c>
      <c r="D7" s="2" t="s">
        <v>353</v>
      </c>
      <c r="E7" s="7">
        <v>10000</v>
      </c>
      <c r="F7" s="6">
        <v>44501</v>
      </c>
      <c r="G7" s="6">
        <v>44503</v>
      </c>
      <c r="H7" s="2" t="s">
        <v>354</v>
      </c>
    </row>
    <row r="8" spans="1:8" x14ac:dyDescent="0.3">
      <c r="A8" s="2">
        <v>7</v>
      </c>
      <c r="B8" s="2" t="s">
        <v>137</v>
      </c>
      <c r="C8" s="2" t="s">
        <v>355</v>
      </c>
      <c r="D8" s="2" t="s">
        <v>356</v>
      </c>
      <c r="E8" s="7">
        <v>10000</v>
      </c>
      <c r="F8" s="6">
        <v>44503</v>
      </c>
      <c r="G8" s="6">
        <v>44506</v>
      </c>
      <c r="H8" s="2" t="s">
        <v>357</v>
      </c>
    </row>
    <row r="9" spans="1:8" x14ac:dyDescent="0.3">
      <c r="A9" s="2">
        <v>8</v>
      </c>
      <c r="B9" s="2" t="s">
        <v>358</v>
      </c>
      <c r="C9" s="2" t="s">
        <v>359</v>
      </c>
      <c r="D9" s="2" t="s">
        <v>360</v>
      </c>
      <c r="E9" s="7">
        <v>18000</v>
      </c>
      <c r="F9" s="6">
        <v>44503</v>
      </c>
      <c r="G9" s="6">
        <v>44504</v>
      </c>
      <c r="H9" s="2" t="s">
        <v>361</v>
      </c>
    </row>
    <row r="10" spans="1:8" x14ac:dyDescent="0.3">
      <c r="A10" s="2">
        <v>9</v>
      </c>
      <c r="B10" s="2" t="s">
        <v>60</v>
      </c>
      <c r="C10" s="2" t="s">
        <v>362</v>
      </c>
      <c r="D10" s="2" t="s">
        <v>363</v>
      </c>
      <c r="E10" s="7">
        <v>20000</v>
      </c>
      <c r="F10" s="6">
        <v>44505</v>
      </c>
      <c r="G10" s="6">
        <v>44512</v>
      </c>
      <c r="H10" s="2" t="s">
        <v>364</v>
      </c>
    </row>
    <row r="11" spans="1:8" x14ac:dyDescent="0.3">
      <c r="A11" s="2">
        <v>10</v>
      </c>
      <c r="B11" s="2" t="s">
        <v>127</v>
      </c>
      <c r="C11" s="2" t="s">
        <v>365</v>
      </c>
      <c r="D11" s="2" t="s">
        <v>366</v>
      </c>
      <c r="E11" s="7">
        <v>10000</v>
      </c>
      <c r="F11" s="6">
        <v>44506</v>
      </c>
      <c r="G11" s="6">
        <v>44510</v>
      </c>
      <c r="H11" s="2" t="s">
        <v>367</v>
      </c>
    </row>
    <row r="12" spans="1:8" x14ac:dyDescent="0.3">
      <c r="A12" s="2">
        <v>11</v>
      </c>
      <c r="B12" s="2" t="s">
        <v>113</v>
      </c>
      <c r="C12" s="2" t="s">
        <v>368</v>
      </c>
      <c r="D12" s="2" t="s">
        <v>369</v>
      </c>
      <c r="E12" s="7">
        <v>18000</v>
      </c>
      <c r="F12" s="6">
        <v>44506</v>
      </c>
      <c r="G12" s="6">
        <v>44510</v>
      </c>
      <c r="H12" s="2" t="s">
        <v>370</v>
      </c>
    </row>
    <row r="13" spans="1:8" x14ac:dyDescent="0.3">
      <c r="A13" s="2">
        <v>12</v>
      </c>
      <c r="B13" s="2" t="s">
        <v>74</v>
      </c>
      <c r="C13" s="2" t="s">
        <v>371</v>
      </c>
      <c r="D13" s="2" t="s">
        <v>372</v>
      </c>
      <c r="E13" s="7">
        <v>15000</v>
      </c>
      <c r="F13" s="6">
        <v>44507</v>
      </c>
      <c r="G13" s="6">
        <v>44510</v>
      </c>
      <c r="H13" s="2" t="s">
        <v>373</v>
      </c>
    </row>
    <row r="14" spans="1:8" x14ac:dyDescent="0.3">
      <c r="A14" s="2">
        <v>13</v>
      </c>
      <c r="B14" s="2" t="s">
        <v>86</v>
      </c>
      <c r="C14" s="2" t="s">
        <v>374</v>
      </c>
      <c r="D14" s="2" t="s">
        <v>375</v>
      </c>
      <c r="E14" s="7">
        <v>10000</v>
      </c>
      <c r="F14" s="6">
        <v>44508</v>
      </c>
      <c r="G14" s="6">
        <v>44510</v>
      </c>
      <c r="H14" s="2" t="s">
        <v>376</v>
      </c>
    </row>
    <row r="15" spans="1:8" x14ac:dyDescent="0.3">
      <c r="A15" s="2">
        <v>14</v>
      </c>
      <c r="B15" s="2" t="s">
        <v>123</v>
      </c>
      <c r="C15" s="2" t="s">
        <v>377</v>
      </c>
      <c r="D15" s="2" t="s">
        <v>378</v>
      </c>
      <c r="E15" s="7">
        <v>15000</v>
      </c>
      <c r="F15" s="6">
        <v>44509</v>
      </c>
      <c r="G15" s="6">
        <v>44511</v>
      </c>
      <c r="H15" s="2" t="s">
        <v>379</v>
      </c>
    </row>
    <row r="16" spans="1:8" x14ac:dyDescent="0.3">
      <c r="A16" s="2">
        <v>15</v>
      </c>
      <c r="B16" s="2" t="s">
        <v>358</v>
      </c>
      <c r="C16" s="2" t="s">
        <v>380</v>
      </c>
      <c r="D16" s="2" t="s">
        <v>381</v>
      </c>
      <c r="E16" s="7">
        <v>20000</v>
      </c>
      <c r="F16" s="6">
        <v>44509</v>
      </c>
      <c r="G16" s="6">
        <v>44510</v>
      </c>
      <c r="H16" s="2" t="s">
        <v>382</v>
      </c>
    </row>
    <row r="17" spans="1:8" x14ac:dyDescent="0.3">
      <c r="A17" s="2">
        <v>16</v>
      </c>
      <c r="B17" s="2" t="s">
        <v>358</v>
      </c>
      <c r="C17" s="2" t="s">
        <v>383</v>
      </c>
      <c r="D17" s="2" t="s">
        <v>384</v>
      </c>
      <c r="E17" s="7">
        <v>15000</v>
      </c>
      <c r="F17" s="6">
        <v>44510</v>
      </c>
      <c r="G17" s="6">
        <v>44513</v>
      </c>
      <c r="H17" s="2" t="s">
        <v>385</v>
      </c>
    </row>
    <row r="18" spans="1:8" x14ac:dyDescent="0.3">
      <c r="A18" s="2">
        <v>17</v>
      </c>
      <c r="B18" s="2" t="s">
        <v>29</v>
      </c>
      <c r="C18" s="2" t="s">
        <v>386</v>
      </c>
      <c r="D18" s="2" t="s">
        <v>381</v>
      </c>
      <c r="E18" s="7">
        <v>20000</v>
      </c>
      <c r="F18" s="6">
        <v>44514</v>
      </c>
      <c r="G18" s="6">
        <v>44516</v>
      </c>
      <c r="H18" s="2" t="s">
        <v>387</v>
      </c>
    </row>
    <row r="19" spans="1:8" x14ac:dyDescent="0.3">
      <c r="A19" s="2">
        <v>18</v>
      </c>
      <c r="B19" s="2" t="s">
        <v>43</v>
      </c>
      <c r="C19" s="2" t="s">
        <v>388</v>
      </c>
      <c r="D19" s="2" t="s">
        <v>389</v>
      </c>
      <c r="E19" s="7">
        <v>10000</v>
      </c>
      <c r="F19" s="6">
        <v>44521</v>
      </c>
      <c r="G19" s="6">
        <v>44524</v>
      </c>
      <c r="H19" s="2" t="s">
        <v>390</v>
      </c>
    </row>
    <row r="20" spans="1:8" x14ac:dyDescent="0.3">
      <c r="A20" s="2">
        <v>19</v>
      </c>
      <c r="B20" s="2" t="s">
        <v>56</v>
      </c>
      <c r="C20" s="2" t="s">
        <v>391</v>
      </c>
      <c r="D20" s="2" t="s">
        <v>350</v>
      </c>
      <c r="E20" s="7">
        <v>10000</v>
      </c>
      <c r="F20" s="6">
        <v>44528</v>
      </c>
      <c r="G20" s="6">
        <v>44531</v>
      </c>
      <c r="H20" s="2" t="s">
        <v>392</v>
      </c>
    </row>
    <row r="21" spans="1:8" x14ac:dyDescent="0.3">
      <c r="A21" s="2">
        <v>20</v>
      </c>
      <c r="B21" s="2" t="s">
        <v>29</v>
      </c>
      <c r="C21" s="2" t="s">
        <v>393</v>
      </c>
      <c r="D21" s="2" t="s">
        <v>394</v>
      </c>
      <c r="E21" s="7">
        <v>10000</v>
      </c>
      <c r="F21" s="6">
        <v>44530</v>
      </c>
      <c r="G21" s="6">
        <v>44531</v>
      </c>
      <c r="H21" s="2" t="s">
        <v>395</v>
      </c>
    </row>
    <row r="22" spans="1:8" x14ac:dyDescent="0.3">
      <c r="A22" s="2">
        <v>21</v>
      </c>
      <c r="B22" s="2" t="s">
        <v>100</v>
      </c>
      <c r="C22" s="2" t="s">
        <v>396</v>
      </c>
      <c r="D22" s="2" t="s">
        <v>397</v>
      </c>
      <c r="E22" s="7">
        <v>18000</v>
      </c>
      <c r="F22" s="6">
        <v>44531</v>
      </c>
      <c r="G22" s="6">
        <v>44532</v>
      </c>
      <c r="H22" s="2" t="s">
        <v>398</v>
      </c>
    </row>
    <row r="23" spans="1:8" x14ac:dyDescent="0.3">
      <c r="A23" s="2">
        <v>22</v>
      </c>
      <c r="B23" s="2" t="s">
        <v>151</v>
      </c>
      <c r="C23" s="2" t="s">
        <v>399</v>
      </c>
      <c r="D23" s="2" t="s">
        <v>400</v>
      </c>
      <c r="E23" s="7">
        <v>10000</v>
      </c>
      <c r="F23" s="6">
        <v>44610</v>
      </c>
      <c r="G23" s="6">
        <v>44632</v>
      </c>
      <c r="H23" s="2" t="s">
        <v>401</v>
      </c>
    </row>
    <row r="24" spans="1:8" x14ac:dyDescent="0.3">
      <c r="A24" s="2">
        <v>23</v>
      </c>
      <c r="B24" s="2" t="s">
        <v>96</v>
      </c>
      <c r="C24" s="2" t="s">
        <v>402</v>
      </c>
      <c r="D24" s="2" t="s">
        <v>403</v>
      </c>
      <c r="E24" s="7">
        <v>18000</v>
      </c>
      <c r="F24" s="6">
        <v>44614</v>
      </c>
      <c r="G24" s="6">
        <v>44631</v>
      </c>
      <c r="H24" s="2" t="s">
        <v>404</v>
      </c>
    </row>
    <row r="25" spans="1:8" x14ac:dyDescent="0.3">
      <c r="A25" s="2">
        <v>24</v>
      </c>
      <c r="B25" s="2" t="s">
        <v>127</v>
      </c>
      <c r="C25" s="2" t="s">
        <v>405</v>
      </c>
      <c r="D25" s="2" t="s">
        <v>406</v>
      </c>
      <c r="E25" s="7">
        <v>18000</v>
      </c>
      <c r="F25" s="6">
        <v>44614</v>
      </c>
      <c r="G25" s="6">
        <v>44623</v>
      </c>
      <c r="H25" s="2" t="s">
        <v>407</v>
      </c>
    </row>
    <row r="26" spans="1:8" x14ac:dyDescent="0.3">
      <c r="A26" s="2">
        <v>25</v>
      </c>
      <c r="B26" s="2" t="s">
        <v>33</v>
      </c>
      <c r="C26" s="2" t="s">
        <v>408</v>
      </c>
      <c r="D26" s="2" t="s">
        <v>409</v>
      </c>
      <c r="E26" s="7">
        <v>15000</v>
      </c>
      <c r="F26" s="6">
        <v>44622</v>
      </c>
      <c r="G26" s="6">
        <v>44630</v>
      </c>
      <c r="H26" s="2" t="s">
        <v>410</v>
      </c>
    </row>
    <row r="27" spans="1:8" x14ac:dyDescent="0.3">
      <c r="A27" s="2">
        <v>26</v>
      </c>
      <c r="B27" s="2" t="s">
        <v>137</v>
      </c>
      <c r="C27" s="2" t="s">
        <v>411</v>
      </c>
      <c r="D27" s="2" t="s">
        <v>412</v>
      </c>
      <c r="E27" s="7">
        <v>10000</v>
      </c>
      <c r="F27" s="6">
        <v>44634</v>
      </c>
      <c r="G27" s="6">
        <v>44652</v>
      </c>
      <c r="H27" s="2" t="s">
        <v>413</v>
      </c>
    </row>
    <row r="28" spans="1:8" x14ac:dyDescent="0.3">
      <c r="A28" s="2">
        <v>27</v>
      </c>
      <c r="B28" s="2" t="s">
        <v>100</v>
      </c>
      <c r="C28" s="2" t="s">
        <v>414</v>
      </c>
      <c r="D28" s="2" t="s">
        <v>415</v>
      </c>
      <c r="E28" s="7">
        <v>20000</v>
      </c>
      <c r="F28" s="6">
        <v>44648</v>
      </c>
      <c r="G28" s="6">
        <v>44652</v>
      </c>
      <c r="H28" s="2" t="s">
        <v>416</v>
      </c>
    </row>
    <row r="29" spans="1:8" x14ac:dyDescent="0.3">
      <c r="A29" s="2">
        <v>28</v>
      </c>
      <c r="B29" s="2" t="s">
        <v>100</v>
      </c>
      <c r="C29" s="2" t="s">
        <v>417</v>
      </c>
      <c r="D29" s="2" t="s">
        <v>418</v>
      </c>
      <c r="E29" s="7">
        <v>10000</v>
      </c>
      <c r="F29" s="6">
        <v>44692</v>
      </c>
      <c r="G29" s="6">
        <v>44701</v>
      </c>
      <c r="H29" s="2" t="s">
        <v>419</v>
      </c>
    </row>
    <row r="30" spans="1:8" x14ac:dyDescent="0.3">
      <c r="A30" s="2">
        <v>29</v>
      </c>
      <c r="B30" s="2" t="s">
        <v>74</v>
      </c>
      <c r="C30" s="2" t="s">
        <v>420</v>
      </c>
      <c r="D30" s="2" t="s">
        <v>421</v>
      </c>
      <c r="E30" s="7">
        <v>10000</v>
      </c>
      <c r="F30" s="6">
        <v>44713</v>
      </c>
      <c r="G30" s="6">
        <v>44714</v>
      </c>
      <c r="H30" s="2" t="s">
        <v>422</v>
      </c>
    </row>
    <row r="31" spans="1:8" x14ac:dyDescent="0.3">
      <c r="A31" s="2">
        <v>30</v>
      </c>
      <c r="B31" s="2" t="s">
        <v>123</v>
      </c>
      <c r="C31" s="2" t="s">
        <v>423</v>
      </c>
      <c r="D31" s="2" t="s">
        <v>424</v>
      </c>
      <c r="E31" s="7">
        <v>18000</v>
      </c>
      <c r="F31" s="6">
        <v>44713</v>
      </c>
      <c r="G31" s="6">
        <v>44715</v>
      </c>
      <c r="H31" s="2" t="s">
        <v>425</v>
      </c>
    </row>
    <row r="32" spans="1:8" x14ac:dyDescent="0.3">
      <c r="A32" s="2">
        <v>31</v>
      </c>
      <c r="B32" s="2" t="s">
        <v>70</v>
      </c>
      <c r="C32" s="2" t="s">
        <v>426</v>
      </c>
      <c r="D32" s="2" t="s">
        <v>427</v>
      </c>
      <c r="E32" s="7">
        <v>18000</v>
      </c>
      <c r="F32" s="6">
        <v>44718</v>
      </c>
      <c r="G32" s="6">
        <v>44722</v>
      </c>
      <c r="H32" s="2" t="s">
        <v>428</v>
      </c>
    </row>
    <row r="33" spans="1:8" x14ac:dyDescent="0.3">
      <c r="A33" s="2">
        <v>32</v>
      </c>
      <c r="B33" s="2" t="s">
        <v>60</v>
      </c>
      <c r="C33" s="2" t="s">
        <v>429</v>
      </c>
      <c r="D33" s="2" t="s">
        <v>430</v>
      </c>
      <c r="E33" s="7">
        <v>18000</v>
      </c>
      <c r="F33" s="6">
        <v>44726</v>
      </c>
      <c r="G33" s="6">
        <v>44745</v>
      </c>
      <c r="H33" s="2" t="s">
        <v>431</v>
      </c>
    </row>
    <row r="34" spans="1:8" x14ac:dyDescent="0.3">
      <c r="A34" s="2">
        <v>33</v>
      </c>
      <c r="B34" s="2" t="s">
        <v>100</v>
      </c>
      <c r="C34" s="2" t="s">
        <v>432</v>
      </c>
      <c r="D34" s="2" t="s">
        <v>433</v>
      </c>
      <c r="E34" s="7">
        <v>18000</v>
      </c>
      <c r="F34" s="6">
        <v>44734</v>
      </c>
      <c r="G34" s="6">
        <v>44738</v>
      </c>
      <c r="H34" s="2" t="s">
        <v>434</v>
      </c>
    </row>
    <row r="35" spans="1:8" x14ac:dyDescent="0.3">
      <c r="A35" s="2">
        <v>34</v>
      </c>
      <c r="B35" s="2" t="s">
        <v>33</v>
      </c>
      <c r="C35" s="2" t="s">
        <v>435</v>
      </c>
      <c r="D35" s="2" t="s">
        <v>436</v>
      </c>
      <c r="E35" s="7">
        <v>10000</v>
      </c>
      <c r="F35" s="6">
        <v>44734</v>
      </c>
      <c r="G35" s="6">
        <v>44735</v>
      </c>
      <c r="H35" s="2" t="s">
        <v>428</v>
      </c>
    </row>
    <row r="36" spans="1:8" x14ac:dyDescent="0.3">
      <c r="A36" s="2">
        <v>35</v>
      </c>
      <c r="B36" s="2" t="s">
        <v>70</v>
      </c>
      <c r="C36" s="2" t="s">
        <v>437</v>
      </c>
      <c r="D36" s="2" t="s">
        <v>438</v>
      </c>
      <c r="E36" s="7">
        <v>18000</v>
      </c>
      <c r="F36" s="6">
        <v>44741</v>
      </c>
      <c r="G36" s="6">
        <v>44756</v>
      </c>
      <c r="H36" s="2" t="s">
        <v>439</v>
      </c>
    </row>
    <row r="37" spans="1:8" x14ac:dyDescent="0.3">
      <c r="A37" s="2">
        <v>36</v>
      </c>
      <c r="B37" s="2" t="s">
        <v>60</v>
      </c>
      <c r="C37" s="2" t="s">
        <v>440</v>
      </c>
      <c r="D37" s="2" t="s">
        <v>441</v>
      </c>
      <c r="E37" s="7">
        <v>20000</v>
      </c>
      <c r="F37" s="6">
        <v>44742</v>
      </c>
      <c r="G37" s="6">
        <v>44749</v>
      </c>
      <c r="H37" s="2" t="s">
        <v>442</v>
      </c>
    </row>
    <row r="38" spans="1:8" x14ac:dyDescent="0.3">
      <c r="A38" s="2">
        <v>37</v>
      </c>
      <c r="B38" s="2" t="s">
        <v>74</v>
      </c>
      <c r="C38" s="2" t="s">
        <v>443</v>
      </c>
      <c r="D38" s="2" t="s">
        <v>444</v>
      </c>
      <c r="E38" s="7">
        <v>18000</v>
      </c>
      <c r="F38" s="6">
        <v>44750</v>
      </c>
      <c r="G38" s="6">
        <v>44757</v>
      </c>
      <c r="H38" s="2" t="s">
        <v>422</v>
      </c>
    </row>
    <row r="39" spans="1:8" x14ac:dyDescent="0.3">
      <c r="A39" s="2">
        <v>38</v>
      </c>
      <c r="B39" s="2" t="s">
        <v>33</v>
      </c>
      <c r="C39" s="2" t="s">
        <v>445</v>
      </c>
      <c r="D39" s="2" t="s">
        <v>446</v>
      </c>
      <c r="E39" s="7">
        <v>20000</v>
      </c>
      <c r="F39" s="6">
        <v>44753</v>
      </c>
      <c r="G39" s="6">
        <v>44756</v>
      </c>
      <c r="H39" s="2" t="s">
        <v>428</v>
      </c>
    </row>
    <row r="40" spans="1:8" x14ac:dyDescent="0.3">
      <c r="A40" s="2">
        <v>39</v>
      </c>
      <c r="B40" s="2" t="s">
        <v>123</v>
      </c>
      <c r="C40" s="2" t="s">
        <v>447</v>
      </c>
      <c r="D40" s="2" t="s">
        <v>448</v>
      </c>
      <c r="E40" s="7">
        <v>18000</v>
      </c>
      <c r="F40" s="6">
        <v>44761</v>
      </c>
      <c r="G40" s="6">
        <v>44798</v>
      </c>
      <c r="H40" s="2" t="s">
        <v>425</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1"/>
  <sheetViews>
    <sheetView tabSelected="1" workbookViewId="0">
      <selection activeCell="K11" sqref="K11"/>
    </sheetView>
  </sheetViews>
  <sheetFormatPr defaultRowHeight="16.5" x14ac:dyDescent="0.3"/>
  <cols>
    <col min="1" max="1" width="9" style="2"/>
    <col min="2" max="2" width="22.75" style="2" bestFit="1" customWidth="1"/>
    <col min="3" max="3" width="9.625" style="2" bestFit="1" customWidth="1"/>
    <col min="4" max="4" width="19.375" style="2" bestFit="1" customWidth="1"/>
    <col min="5" max="5" width="10.375" style="8" customWidth="1"/>
    <col min="6" max="6" width="16.75" style="8" customWidth="1"/>
    <col min="7" max="7" width="18.875" customWidth="1"/>
    <col min="8" max="8" width="12.75" customWidth="1"/>
    <col min="10" max="10" width="9" customWidth="1"/>
    <col min="11" max="11" width="11.125" customWidth="1"/>
    <col min="12" max="12" width="10.875" customWidth="1"/>
  </cols>
  <sheetData>
    <row r="1" spans="1:13" x14ac:dyDescent="0.3">
      <c r="A1" s="2" t="s">
        <v>23</v>
      </c>
      <c r="B1" s="2" t="s">
        <v>457</v>
      </c>
      <c r="C1" s="2" t="s">
        <v>458</v>
      </c>
      <c r="D1" s="2" t="s">
        <v>459</v>
      </c>
      <c r="E1" s="7" t="s">
        <v>584</v>
      </c>
      <c r="F1" s="28" t="s">
        <v>599</v>
      </c>
      <c r="G1" s="29" t="s">
        <v>597</v>
      </c>
      <c r="J1" s="3" t="s">
        <v>596</v>
      </c>
      <c r="K1" s="3" t="s">
        <v>594</v>
      </c>
      <c r="L1" s="3" t="s">
        <v>598</v>
      </c>
      <c r="M1" s="3" t="s">
        <v>595</v>
      </c>
    </row>
    <row r="2" spans="1:13" x14ac:dyDescent="0.3">
      <c r="A2" s="2">
        <v>1</v>
      </c>
      <c r="B2" s="2" t="s">
        <v>460</v>
      </c>
      <c r="C2" s="2">
        <v>1</v>
      </c>
      <c r="D2" s="2" t="s">
        <v>461</v>
      </c>
      <c r="E2" s="7">
        <v>35150</v>
      </c>
      <c r="F2" s="27" t="str">
        <f>fn축제(표5[[#This Row],[패키지 이름]], 표5[[#This Row],[축제 번호]], $J$2,$K$2,$L$2,$M$2)</f>
        <v>1</v>
      </c>
      <c r="G2" s="27" t="str">
        <f>fn관광지(표5[[#This Row],[패키지 이름]], 표5[[#This Row],[관광지 번호]], $J$2,$M$2)</f>
        <v>31, 32</v>
      </c>
      <c r="H2" s="16"/>
      <c r="J2" s="3" t="s">
        <v>600</v>
      </c>
      <c r="K2" s="25">
        <v>44489</v>
      </c>
      <c r="L2" s="25">
        <v>44491</v>
      </c>
      <c r="M2" s="3"/>
    </row>
    <row r="3" spans="1:13" x14ac:dyDescent="0.3">
      <c r="A3" s="2">
        <v>2</v>
      </c>
      <c r="B3" s="2" t="s">
        <v>462</v>
      </c>
      <c r="C3" s="2" t="s">
        <v>463</v>
      </c>
      <c r="D3" s="2" t="s">
        <v>464</v>
      </c>
      <c r="E3" s="7">
        <v>45900</v>
      </c>
      <c r="F3" s="27" t="str">
        <f>fn축제(표5[[#This Row],[패키지 이름]], 표5[[#This Row],[축제 번호]], $J$2,$K$2,$L$2,$M$2)</f>
        <v>1</v>
      </c>
      <c r="G3" s="27" t="str">
        <f>fn관광지(표5[[#This Row],[패키지 이름]], 표5[[#This Row],[관광지 번호]], $J$2,$M$2)</f>
        <v>32, 33</v>
      </c>
      <c r="H3" s="16"/>
    </row>
    <row r="4" spans="1:13" x14ac:dyDescent="0.3">
      <c r="A4" s="2">
        <v>3</v>
      </c>
      <c r="B4" s="2" t="s">
        <v>465</v>
      </c>
      <c r="C4" s="2" t="s">
        <v>466</v>
      </c>
      <c r="D4" s="2" t="s">
        <v>467</v>
      </c>
      <c r="E4" s="7">
        <v>55800</v>
      </c>
      <c r="F4" s="27" t="str">
        <f>fn축제(표5[[#This Row],[패키지 이름]], 표5[[#This Row],[축제 번호]], $J$2,$K$2,$L$2,$M$2)</f>
        <v/>
      </c>
      <c r="G4" s="27" t="str">
        <f>fn관광지(표5[[#This Row],[패키지 이름]], 표5[[#This Row],[관광지 번호]], $J$2,$M$2)</f>
        <v/>
      </c>
      <c r="H4" s="16"/>
    </row>
    <row r="5" spans="1:13" x14ac:dyDescent="0.3">
      <c r="A5" s="2">
        <v>4</v>
      </c>
      <c r="B5" s="2" t="s">
        <v>468</v>
      </c>
      <c r="C5" s="2" t="s">
        <v>469</v>
      </c>
      <c r="D5" s="2" t="s">
        <v>470</v>
      </c>
      <c r="E5" s="7">
        <v>22500</v>
      </c>
      <c r="F5" s="27" t="str">
        <f>fn축제(표5[[#This Row],[패키지 이름]], 표5[[#This Row],[축제 번호]], $J$2,$K$2,$L$2,$M$2)</f>
        <v/>
      </c>
      <c r="G5" s="27" t="str">
        <f>fn관광지(표5[[#This Row],[패키지 이름]], 표5[[#This Row],[관광지 번호]], $J$2,$M$2)</f>
        <v/>
      </c>
      <c r="H5" s="16"/>
    </row>
    <row r="6" spans="1:13" x14ac:dyDescent="0.3">
      <c r="A6" s="2">
        <v>5</v>
      </c>
      <c r="B6" s="2" t="s">
        <v>471</v>
      </c>
      <c r="C6" s="2" t="s">
        <v>472</v>
      </c>
      <c r="D6" s="2" t="s">
        <v>473</v>
      </c>
      <c r="E6" s="7">
        <v>28500</v>
      </c>
      <c r="F6" s="27" t="str">
        <f>fn축제(표5[[#This Row],[패키지 이름]], 표5[[#This Row],[축제 번호]], $J$2,$K$2,$L$2,$M$2)</f>
        <v/>
      </c>
      <c r="G6" s="27" t="str">
        <f>fn관광지(표5[[#This Row],[패키지 이름]], 표5[[#This Row],[관광지 번호]], $J$2,$M$2)</f>
        <v/>
      </c>
      <c r="H6" s="16"/>
    </row>
    <row r="7" spans="1:13" x14ac:dyDescent="0.3">
      <c r="A7" s="2">
        <v>6</v>
      </c>
      <c r="B7" s="2" t="s">
        <v>474</v>
      </c>
      <c r="C7" s="2" t="s">
        <v>475</v>
      </c>
      <c r="D7" s="2" t="s">
        <v>476</v>
      </c>
      <c r="E7" s="7">
        <v>38700</v>
      </c>
      <c r="F7" s="27" t="str">
        <f>fn축제(표5[[#This Row],[패키지 이름]], 표5[[#This Row],[축제 번호]], $J$2,$K$2,$L$2,$M$2)</f>
        <v/>
      </c>
      <c r="G7" s="27" t="str">
        <f>fn관광지(표5[[#This Row],[패키지 이름]], 표5[[#This Row],[관광지 번호]], $J$2,$M$2)</f>
        <v/>
      </c>
      <c r="H7" s="16"/>
    </row>
    <row r="8" spans="1:13" x14ac:dyDescent="0.3">
      <c r="A8" s="2">
        <v>7</v>
      </c>
      <c r="B8" s="2" t="s">
        <v>477</v>
      </c>
      <c r="C8" s="2" t="s">
        <v>478</v>
      </c>
      <c r="D8" s="2" t="s">
        <v>479</v>
      </c>
      <c r="E8" s="7">
        <v>48150</v>
      </c>
      <c r="F8" s="27" t="str">
        <f>fn축제(표5[[#This Row],[패키지 이름]], 표5[[#This Row],[축제 번호]], $J$2,$K$2,$L$2,$M$2)</f>
        <v/>
      </c>
      <c r="G8" s="27" t="str">
        <f>fn관광지(표5[[#This Row],[패키지 이름]], 표5[[#This Row],[관광지 번호]], $J$2,$M$2)</f>
        <v/>
      </c>
      <c r="H8" s="16"/>
    </row>
    <row r="9" spans="1:13" x14ac:dyDescent="0.3">
      <c r="A9" s="2">
        <v>8</v>
      </c>
      <c r="B9" s="2" t="s">
        <v>480</v>
      </c>
      <c r="C9" s="2" t="s">
        <v>481</v>
      </c>
      <c r="D9" s="2" t="s">
        <v>482</v>
      </c>
      <c r="E9" s="7">
        <v>31500</v>
      </c>
      <c r="F9" s="27" t="str">
        <f>fn축제(표5[[#This Row],[패키지 이름]], 표5[[#This Row],[축제 번호]], $J$2,$K$2,$L$2,$M$2)</f>
        <v/>
      </c>
      <c r="G9" s="27" t="str">
        <f>fn관광지(표5[[#This Row],[패키지 이름]], 표5[[#This Row],[관광지 번호]], $J$2,$M$2)</f>
        <v/>
      </c>
      <c r="H9" s="16"/>
    </row>
    <row r="10" spans="1:13" x14ac:dyDescent="0.3">
      <c r="A10" s="2">
        <v>9</v>
      </c>
      <c r="B10" s="2" t="s">
        <v>483</v>
      </c>
      <c r="C10" s="2" t="s">
        <v>484</v>
      </c>
      <c r="D10" s="2" t="s">
        <v>485</v>
      </c>
      <c r="E10" s="7">
        <v>45600</v>
      </c>
      <c r="F10" s="27" t="str">
        <f>fn축제(표5[[#This Row],[패키지 이름]], 표5[[#This Row],[축제 번호]], $J$2,$K$2,$L$2,$M$2)</f>
        <v/>
      </c>
      <c r="G10" s="27" t="str">
        <f>fn관광지(표5[[#This Row],[패키지 이름]], 표5[[#This Row],[관광지 번호]], $J$2,$M$2)</f>
        <v/>
      </c>
      <c r="H10" s="16"/>
    </row>
    <row r="11" spans="1:13" x14ac:dyDescent="0.3">
      <c r="A11" s="2">
        <v>10</v>
      </c>
      <c r="B11" s="2" t="s">
        <v>486</v>
      </c>
      <c r="C11" s="2" t="s">
        <v>487</v>
      </c>
      <c r="D11" s="2" t="s">
        <v>488</v>
      </c>
      <c r="E11" s="7">
        <v>68400</v>
      </c>
      <c r="F11" s="27" t="str">
        <f>fn축제(표5[[#This Row],[패키지 이름]], 표5[[#This Row],[축제 번호]], $J$2,$K$2,$L$2,$M$2)</f>
        <v/>
      </c>
      <c r="G11" s="27" t="str">
        <f>fn관광지(표5[[#This Row],[패키지 이름]], 표5[[#This Row],[관광지 번호]], $J$2,$M$2)</f>
        <v>31</v>
      </c>
      <c r="H11" s="16"/>
    </row>
  </sheetData>
  <phoneticPr fontId="2" type="noConversion"/>
  <pageMargins left="0.7" right="0.7" top="0.75" bottom="0.75" header="0.3" footer="0.3"/>
  <ignoredErrors>
    <ignoredError sqref="D4" twoDigitTextYear="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44"/>
  <sheetViews>
    <sheetView workbookViewId="0">
      <selection activeCell="S6" sqref="S6"/>
    </sheetView>
  </sheetViews>
  <sheetFormatPr defaultRowHeight="16.5" x14ac:dyDescent="0.3"/>
  <cols>
    <col min="1" max="1" width="9" style="2"/>
    <col min="2" max="2" width="10.25" style="2" customWidth="1"/>
    <col min="3" max="3" width="11.125" style="2" bestFit="1" customWidth="1"/>
    <col min="4" max="4" width="12.125" style="2" customWidth="1"/>
    <col min="5" max="7" width="9" style="2"/>
    <col min="8" max="8" width="9" style="7"/>
    <col min="9" max="9" width="12.125" style="17" customWidth="1"/>
    <col min="10" max="11" width="14" style="17" customWidth="1"/>
    <col min="12" max="12" width="10.25" style="17" customWidth="1"/>
    <col min="13" max="13" width="10.875" style="7" bestFit="1" customWidth="1"/>
    <col min="14" max="14" width="10.125" style="19" hidden="1" customWidth="1"/>
    <col min="15" max="16" width="0" style="19" hidden="1" customWidth="1"/>
  </cols>
  <sheetData>
    <row r="1" spans="1:16" x14ac:dyDescent="0.3">
      <c r="A1" s="2" t="s">
        <v>23</v>
      </c>
      <c r="B1" s="2" t="s">
        <v>489</v>
      </c>
      <c r="C1" s="2" t="s">
        <v>490</v>
      </c>
      <c r="D1" s="2" t="s">
        <v>491</v>
      </c>
      <c r="E1" s="2" t="s">
        <v>492</v>
      </c>
      <c r="F1" s="2" t="s">
        <v>493</v>
      </c>
      <c r="G1" s="2" t="s">
        <v>494</v>
      </c>
      <c r="H1" s="7" t="s">
        <v>495</v>
      </c>
      <c r="I1" s="17" t="s">
        <v>496</v>
      </c>
      <c r="J1" s="17" t="s">
        <v>497</v>
      </c>
      <c r="K1" s="17" t="s">
        <v>498</v>
      </c>
      <c r="L1" s="17" t="s">
        <v>499</v>
      </c>
      <c r="M1" s="7" t="s">
        <v>500</v>
      </c>
      <c r="N1" s="18" t="s">
        <v>585</v>
      </c>
      <c r="O1" s="18" t="s">
        <v>586</v>
      </c>
      <c r="P1" s="18" t="s">
        <v>587</v>
      </c>
    </row>
    <row r="2" spans="1:16" x14ac:dyDescent="0.3">
      <c r="A2" s="2">
        <v>1</v>
      </c>
      <c r="B2" s="2">
        <v>24</v>
      </c>
      <c r="C2" s="6">
        <v>44442</v>
      </c>
      <c r="D2" s="2">
        <v>3</v>
      </c>
      <c r="E2" s="2">
        <v>2</v>
      </c>
      <c r="F2" s="2">
        <v>1</v>
      </c>
      <c r="G2" s="2">
        <v>1</v>
      </c>
      <c r="H2" s="7">
        <f>VLOOKUP(표6[[#This Row],[패키지번호]], 표5[], 5, 0)</f>
        <v>55800</v>
      </c>
      <c r="I2" s="17">
        <v>0</v>
      </c>
      <c r="J2" s="17">
        <v>0.2</v>
      </c>
      <c r="K2" s="17">
        <v>0.5</v>
      </c>
      <c r="L2" s="17">
        <v>0.15</v>
      </c>
      <c r="M2" s="7">
        <f>SUM(표6[[#This Row],[성인금액]:[어린이금액]])-SUM(표6[[#This Row],[성인금액]:[어린이금액]])*표6[[#This Row],[총할인율]]</f>
        <v>156519</v>
      </c>
      <c r="N2" s="18">
        <f>(표6[[#This Row],[금액]] - (표6[[#This Row],[금액]]*표6[[#This Row],[성인할인율]])) *표6[[#This Row],[성인]]</f>
        <v>111600</v>
      </c>
      <c r="O2" s="18">
        <f>(표6[[#This Row],[금액]]-(표6[[#This Row],[금액]]*표6[[#This Row],[청소년할인율]]))*표6[[#This Row],[청소년]]</f>
        <v>44640</v>
      </c>
      <c r="P2" s="18">
        <f>(표6[[#This Row],[금액]]-(표6[[#This Row],[금액]]*표6[[#This Row],[어린이할인율]]))*표6[[#This Row],[어린이]]</f>
        <v>27900</v>
      </c>
    </row>
    <row r="3" spans="1:16" x14ac:dyDescent="0.3">
      <c r="A3" s="2">
        <v>2</v>
      </c>
      <c r="B3" s="2">
        <v>3</v>
      </c>
      <c r="C3" s="6">
        <v>44445</v>
      </c>
      <c r="D3" s="2">
        <v>6</v>
      </c>
      <c r="E3" s="2">
        <v>3</v>
      </c>
      <c r="F3" s="2">
        <v>1</v>
      </c>
      <c r="G3" s="2">
        <v>0</v>
      </c>
      <c r="H3" s="7">
        <f>VLOOKUP(표6[[#This Row],[패키지번호]], 표5[], 5, 0)</f>
        <v>38700</v>
      </c>
      <c r="I3" s="17">
        <v>0</v>
      </c>
      <c r="J3" s="17">
        <v>0</v>
      </c>
      <c r="K3" s="17">
        <v>0</v>
      </c>
      <c r="L3" s="17">
        <v>0.05</v>
      </c>
      <c r="M3" s="7">
        <f>SUM(표6[[#This Row],[성인금액]:[어린이금액]])-SUM(표6[[#This Row],[성인금액]:[어린이금액]])*표6[[#This Row],[총할인율]]</f>
        <v>147060</v>
      </c>
      <c r="N3" s="18">
        <f>(표6[[#This Row],[금액]] - (표6[[#This Row],[금액]]*표6[[#This Row],[성인할인율]])) *표6[[#This Row],[성인]]</f>
        <v>116100</v>
      </c>
      <c r="O3" s="18">
        <f>(표6[[#This Row],[금액]]-(표6[[#This Row],[금액]]*표6[[#This Row],[청소년할인율]]))*표6[[#This Row],[청소년]]</f>
        <v>38700</v>
      </c>
      <c r="P3" s="18">
        <f>(표6[[#This Row],[금액]]-(표6[[#This Row],[금액]]*표6[[#This Row],[어린이할인율]]))*표6[[#This Row],[어린이]]</f>
        <v>0</v>
      </c>
    </row>
    <row r="4" spans="1:16" x14ac:dyDescent="0.3">
      <c r="A4" s="2">
        <v>3</v>
      </c>
      <c r="B4" s="2">
        <v>6</v>
      </c>
      <c r="C4" s="6">
        <v>44447</v>
      </c>
      <c r="D4" s="2">
        <v>2</v>
      </c>
      <c r="E4" s="2">
        <v>2</v>
      </c>
      <c r="F4" s="2">
        <v>3</v>
      </c>
      <c r="G4" s="2">
        <v>0</v>
      </c>
      <c r="H4" s="7">
        <f>VLOOKUP(표6[[#This Row],[패키지번호]], 표5[], 5, 0)</f>
        <v>45900</v>
      </c>
      <c r="I4" s="17">
        <v>0</v>
      </c>
      <c r="J4" s="17">
        <v>0</v>
      </c>
      <c r="K4" s="17">
        <v>0</v>
      </c>
      <c r="L4" s="17">
        <v>0.05</v>
      </c>
      <c r="M4" s="7">
        <f>SUM(표6[[#This Row],[성인금액]:[어린이금액]])-SUM(표6[[#This Row],[성인금액]:[어린이금액]])*표6[[#This Row],[총할인율]]</f>
        <v>218025</v>
      </c>
      <c r="N4" s="18">
        <f>(표6[[#This Row],[금액]] - (표6[[#This Row],[금액]]*표6[[#This Row],[성인할인율]])) *표6[[#This Row],[성인]]</f>
        <v>91800</v>
      </c>
      <c r="O4" s="18">
        <f>(표6[[#This Row],[금액]]-(표6[[#This Row],[금액]]*표6[[#This Row],[청소년할인율]]))*표6[[#This Row],[청소년]]</f>
        <v>137700</v>
      </c>
      <c r="P4" s="18">
        <f>(표6[[#This Row],[금액]]-(표6[[#This Row],[금액]]*표6[[#This Row],[어린이할인율]]))*표6[[#This Row],[어린이]]</f>
        <v>0</v>
      </c>
    </row>
    <row r="5" spans="1:16" x14ac:dyDescent="0.3">
      <c r="A5" s="2">
        <v>4</v>
      </c>
      <c r="B5" s="2">
        <v>1</v>
      </c>
      <c r="C5" s="6">
        <v>44455</v>
      </c>
      <c r="D5" s="2">
        <v>8</v>
      </c>
      <c r="E5" s="2">
        <v>30</v>
      </c>
      <c r="F5" s="2">
        <v>30</v>
      </c>
      <c r="G5" s="2">
        <v>30</v>
      </c>
      <c r="H5" s="7">
        <f>VLOOKUP(표6[[#This Row],[패키지번호]], 표5[], 5, 0)</f>
        <v>31500</v>
      </c>
      <c r="I5" s="17">
        <v>0</v>
      </c>
      <c r="J5" s="17">
        <v>0</v>
      </c>
      <c r="K5" s="17">
        <v>0</v>
      </c>
      <c r="L5" s="17">
        <v>0.05</v>
      </c>
      <c r="M5" s="7">
        <f>SUM(표6[[#This Row],[성인금액]:[어린이금액]])-SUM(표6[[#This Row],[성인금액]:[어린이금액]])*표6[[#This Row],[총할인율]]</f>
        <v>2693250</v>
      </c>
      <c r="N5" s="18">
        <f>(표6[[#This Row],[금액]] - (표6[[#This Row],[금액]]*표6[[#This Row],[성인할인율]])) *표6[[#This Row],[성인]]</f>
        <v>945000</v>
      </c>
      <c r="O5" s="18">
        <f>(표6[[#This Row],[금액]]-(표6[[#This Row],[금액]]*표6[[#This Row],[청소년할인율]]))*표6[[#This Row],[청소년]]</f>
        <v>945000</v>
      </c>
      <c r="P5" s="18">
        <f>(표6[[#This Row],[금액]]-(표6[[#This Row],[금액]]*표6[[#This Row],[어린이할인율]]))*표6[[#This Row],[어린이]]</f>
        <v>945000</v>
      </c>
    </row>
    <row r="6" spans="1:16" x14ac:dyDescent="0.3">
      <c r="A6" s="2">
        <v>5</v>
      </c>
      <c r="B6" s="2">
        <v>8</v>
      </c>
      <c r="C6" s="6">
        <v>44470</v>
      </c>
      <c r="D6" s="2">
        <v>1</v>
      </c>
      <c r="E6" s="2">
        <v>2</v>
      </c>
      <c r="F6" s="2">
        <v>3</v>
      </c>
      <c r="G6" s="2">
        <v>0</v>
      </c>
      <c r="H6" s="7">
        <f>VLOOKUP(표6[[#This Row],[패키지번호]], 표5[], 5, 0)</f>
        <v>35150</v>
      </c>
      <c r="I6" s="17">
        <v>0</v>
      </c>
      <c r="J6" s="17">
        <v>0</v>
      </c>
      <c r="K6" s="17">
        <v>0</v>
      </c>
      <c r="L6" s="17">
        <v>0.05</v>
      </c>
      <c r="M6" s="7">
        <f>SUM(표6[[#This Row],[성인금액]:[어린이금액]])-SUM(표6[[#This Row],[성인금액]:[어린이금액]])*표6[[#This Row],[총할인율]]</f>
        <v>166962.5</v>
      </c>
      <c r="N6" s="18">
        <f>(표6[[#This Row],[금액]] - (표6[[#This Row],[금액]]*표6[[#This Row],[성인할인율]])) *표6[[#This Row],[성인]]</f>
        <v>70300</v>
      </c>
      <c r="O6" s="18">
        <f>(표6[[#This Row],[금액]]-(표6[[#This Row],[금액]]*표6[[#This Row],[청소년할인율]]))*표6[[#This Row],[청소년]]</f>
        <v>105450</v>
      </c>
      <c r="P6" s="18">
        <f>(표6[[#This Row],[금액]]-(표6[[#This Row],[금액]]*표6[[#This Row],[어린이할인율]]))*표6[[#This Row],[어린이]]</f>
        <v>0</v>
      </c>
    </row>
    <row r="7" spans="1:16" x14ac:dyDescent="0.3">
      <c r="A7" s="2">
        <v>6</v>
      </c>
      <c r="B7" s="2">
        <v>2</v>
      </c>
      <c r="C7" s="6">
        <v>44470</v>
      </c>
      <c r="D7" s="2">
        <v>3</v>
      </c>
      <c r="E7" s="2">
        <v>10</v>
      </c>
      <c r="F7" s="2">
        <v>1</v>
      </c>
      <c r="G7" s="2">
        <v>1</v>
      </c>
      <c r="H7" s="7">
        <f>VLOOKUP(표6[[#This Row],[패키지번호]], 표5[], 5, 0)</f>
        <v>55800</v>
      </c>
      <c r="I7" s="17">
        <v>0</v>
      </c>
      <c r="J7" s="17">
        <v>0.2</v>
      </c>
      <c r="K7" s="17">
        <v>0.5</v>
      </c>
      <c r="L7" s="17">
        <v>0.15</v>
      </c>
      <c r="M7" s="7">
        <f>SUM(표6[[#This Row],[성인금액]:[어린이금액]])-SUM(표6[[#This Row],[성인금액]:[어린이금액]])*표6[[#This Row],[총할인율]]</f>
        <v>535959</v>
      </c>
      <c r="N7" s="18">
        <f>(표6[[#This Row],[금액]] - (표6[[#This Row],[금액]]*표6[[#This Row],[성인할인율]])) *표6[[#This Row],[성인]]</f>
        <v>558000</v>
      </c>
      <c r="O7" s="18">
        <f>(표6[[#This Row],[금액]]-(표6[[#This Row],[금액]]*표6[[#This Row],[청소년할인율]]))*표6[[#This Row],[청소년]]</f>
        <v>44640</v>
      </c>
      <c r="P7" s="18">
        <f>(표6[[#This Row],[금액]]-(표6[[#This Row],[금액]]*표6[[#This Row],[어린이할인율]]))*표6[[#This Row],[어린이]]</f>
        <v>27900</v>
      </c>
    </row>
    <row r="8" spans="1:16" x14ac:dyDescent="0.3">
      <c r="A8" s="2">
        <v>7</v>
      </c>
      <c r="B8" s="2">
        <v>1</v>
      </c>
      <c r="C8" s="6">
        <v>44471</v>
      </c>
      <c r="D8" s="2">
        <v>7</v>
      </c>
      <c r="E8" s="2">
        <v>3</v>
      </c>
      <c r="F8" s="2">
        <v>0</v>
      </c>
      <c r="G8" s="2">
        <v>1</v>
      </c>
      <c r="H8" s="7">
        <f>VLOOKUP(표6[[#This Row],[패키지번호]], 표5[], 5, 0)</f>
        <v>48150</v>
      </c>
      <c r="I8" s="17">
        <v>0</v>
      </c>
      <c r="J8" s="17">
        <v>0</v>
      </c>
      <c r="K8" s="17">
        <v>0</v>
      </c>
      <c r="L8" s="17">
        <v>0.05</v>
      </c>
      <c r="M8" s="7">
        <f>SUM(표6[[#This Row],[성인금액]:[어린이금액]])-SUM(표6[[#This Row],[성인금액]:[어린이금액]])*표6[[#This Row],[총할인율]]</f>
        <v>182970</v>
      </c>
      <c r="N8" s="18">
        <f>(표6[[#This Row],[금액]] - (표6[[#This Row],[금액]]*표6[[#This Row],[성인할인율]])) *표6[[#This Row],[성인]]</f>
        <v>144450</v>
      </c>
      <c r="O8" s="18">
        <f>(표6[[#This Row],[금액]]-(표6[[#This Row],[금액]]*표6[[#This Row],[청소년할인율]]))*표6[[#This Row],[청소년]]</f>
        <v>0</v>
      </c>
      <c r="P8" s="18">
        <f>(표6[[#This Row],[금액]]-(표6[[#This Row],[금액]]*표6[[#This Row],[어린이할인율]]))*표6[[#This Row],[어린이]]</f>
        <v>48150</v>
      </c>
    </row>
    <row r="9" spans="1:16" x14ac:dyDescent="0.3">
      <c r="A9" s="2">
        <v>8</v>
      </c>
      <c r="B9" s="2">
        <v>1</v>
      </c>
      <c r="C9" s="6">
        <v>44471</v>
      </c>
      <c r="D9" s="2">
        <v>3</v>
      </c>
      <c r="E9" s="2">
        <v>20</v>
      </c>
      <c r="F9" s="2">
        <v>2</v>
      </c>
      <c r="G9" s="2">
        <v>1</v>
      </c>
      <c r="H9" s="7">
        <f>VLOOKUP(표6[[#This Row],[패키지번호]], 표5[], 5, 0)</f>
        <v>55800</v>
      </c>
      <c r="I9" s="17">
        <v>0</v>
      </c>
      <c r="J9" s="17">
        <v>0.2</v>
      </c>
      <c r="K9" s="17">
        <v>0.5</v>
      </c>
      <c r="L9" s="17">
        <v>0.15</v>
      </c>
      <c r="M9" s="7">
        <f>SUM(표6[[#This Row],[성인금액]:[어린이금액]])-SUM(표6[[#This Row],[성인금액]:[어린이금액]])*표6[[#This Row],[총할인율]]</f>
        <v>1048203</v>
      </c>
      <c r="N9" s="18">
        <f>(표6[[#This Row],[금액]] - (표6[[#This Row],[금액]]*표6[[#This Row],[성인할인율]])) *표6[[#This Row],[성인]]</f>
        <v>1116000</v>
      </c>
      <c r="O9" s="18">
        <f>(표6[[#This Row],[금액]]-(표6[[#This Row],[금액]]*표6[[#This Row],[청소년할인율]]))*표6[[#This Row],[청소년]]</f>
        <v>89280</v>
      </c>
      <c r="P9" s="18">
        <f>(표6[[#This Row],[금액]]-(표6[[#This Row],[금액]]*표6[[#This Row],[어린이할인율]]))*표6[[#This Row],[어린이]]</f>
        <v>27900</v>
      </c>
    </row>
    <row r="10" spans="1:16" x14ac:dyDescent="0.3">
      <c r="A10" s="2">
        <v>9</v>
      </c>
      <c r="B10" s="2">
        <v>5</v>
      </c>
      <c r="C10" s="6">
        <v>44472</v>
      </c>
      <c r="D10" s="2">
        <v>6</v>
      </c>
      <c r="E10" s="2">
        <v>2</v>
      </c>
      <c r="F10" s="2">
        <v>2</v>
      </c>
      <c r="G10" s="2">
        <v>1</v>
      </c>
      <c r="H10" s="7">
        <f>VLOOKUP(표6[[#This Row],[패키지번호]], 표5[], 5, 0)</f>
        <v>38700</v>
      </c>
      <c r="I10" s="17">
        <v>0</v>
      </c>
      <c r="J10" s="17">
        <v>0</v>
      </c>
      <c r="K10" s="17">
        <v>0</v>
      </c>
      <c r="L10" s="17">
        <v>0.05</v>
      </c>
      <c r="M10" s="7">
        <f>SUM(표6[[#This Row],[성인금액]:[어린이금액]])-SUM(표6[[#This Row],[성인금액]:[어린이금액]])*표6[[#This Row],[총할인율]]</f>
        <v>183825</v>
      </c>
      <c r="N10" s="18">
        <f>(표6[[#This Row],[금액]] - (표6[[#This Row],[금액]]*표6[[#This Row],[성인할인율]])) *표6[[#This Row],[성인]]</f>
        <v>77400</v>
      </c>
      <c r="O10" s="18">
        <f>(표6[[#This Row],[금액]]-(표6[[#This Row],[금액]]*표6[[#This Row],[청소년할인율]]))*표6[[#This Row],[청소년]]</f>
        <v>77400</v>
      </c>
      <c r="P10" s="18">
        <f>(표6[[#This Row],[금액]]-(표6[[#This Row],[금액]]*표6[[#This Row],[어린이할인율]]))*표6[[#This Row],[어린이]]</f>
        <v>38700</v>
      </c>
    </row>
    <row r="11" spans="1:16" x14ac:dyDescent="0.3">
      <c r="A11" s="2">
        <v>10</v>
      </c>
      <c r="B11" s="2">
        <v>2</v>
      </c>
      <c r="C11" s="6">
        <v>44472</v>
      </c>
      <c r="D11" s="2">
        <v>3</v>
      </c>
      <c r="E11" s="2">
        <v>30</v>
      </c>
      <c r="F11" s="2">
        <v>2</v>
      </c>
      <c r="G11" s="2">
        <v>1</v>
      </c>
      <c r="H11" s="7">
        <f>VLOOKUP(표6[[#This Row],[패키지번호]], 표5[], 5, 0)</f>
        <v>55800</v>
      </c>
      <c r="I11" s="17">
        <v>0</v>
      </c>
      <c r="J11" s="17">
        <v>0.2</v>
      </c>
      <c r="K11" s="17">
        <v>0.5</v>
      </c>
      <c r="L11" s="17">
        <v>0.15</v>
      </c>
      <c r="M11" s="7">
        <f>SUM(표6[[#This Row],[성인금액]:[어린이금액]])-SUM(표6[[#This Row],[성인금액]:[어린이금액]])*표6[[#This Row],[총할인율]]</f>
        <v>1522503</v>
      </c>
      <c r="N11" s="18">
        <f>(표6[[#This Row],[금액]] - (표6[[#This Row],[금액]]*표6[[#This Row],[성인할인율]])) *표6[[#This Row],[성인]]</f>
        <v>1674000</v>
      </c>
      <c r="O11" s="18">
        <f>(표6[[#This Row],[금액]]-(표6[[#This Row],[금액]]*표6[[#This Row],[청소년할인율]]))*표6[[#This Row],[청소년]]</f>
        <v>89280</v>
      </c>
      <c r="P11" s="18">
        <f>(표6[[#This Row],[금액]]-(표6[[#This Row],[금액]]*표6[[#This Row],[어린이할인율]]))*표6[[#This Row],[어린이]]</f>
        <v>27900</v>
      </c>
    </row>
    <row r="12" spans="1:16" x14ac:dyDescent="0.3">
      <c r="A12" s="2">
        <v>11</v>
      </c>
      <c r="B12" s="2">
        <v>12</v>
      </c>
      <c r="C12" s="6">
        <v>44473</v>
      </c>
      <c r="D12" s="2">
        <v>3</v>
      </c>
      <c r="E12" s="2">
        <v>14</v>
      </c>
      <c r="F12" s="2">
        <v>0</v>
      </c>
      <c r="G12" s="2">
        <v>1</v>
      </c>
      <c r="H12" s="7">
        <f>VLOOKUP(표6[[#This Row],[패키지번호]], 표5[], 5, 0)</f>
        <v>55800</v>
      </c>
      <c r="I12" s="17">
        <v>0</v>
      </c>
      <c r="J12" s="17">
        <v>0</v>
      </c>
      <c r="K12" s="17">
        <v>0</v>
      </c>
      <c r="L12" s="17">
        <v>0.05</v>
      </c>
      <c r="M12" s="7">
        <f>SUM(표6[[#This Row],[성인금액]:[어린이금액]])-SUM(표6[[#This Row],[성인금액]:[어린이금액]])*표6[[#This Row],[총할인율]]</f>
        <v>795150</v>
      </c>
      <c r="N12" s="18">
        <f>(표6[[#This Row],[금액]] - (표6[[#This Row],[금액]]*표6[[#This Row],[성인할인율]])) *표6[[#This Row],[성인]]</f>
        <v>781200</v>
      </c>
      <c r="O12" s="18">
        <f>(표6[[#This Row],[금액]]-(표6[[#This Row],[금액]]*표6[[#This Row],[청소년할인율]]))*표6[[#This Row],[청소년]]</f>
        <v>0</v>
      </c>
      <c r="P12" s="18">
        <f>(표6[[#This Row],[금액]]-(표6[[#This Row],[금액]]*표6[[#This Row],[어린이할인율]]))*표6[[#This Row],[어린이]]</f>
        <v>55800</v>
      </c>
    </row>
    <row r="13" spans="1:16" x14ac:dyDescent="0.3">
      <c r="A13" s="2">
        <v>12</v>
      </c>
      <c r="B13" s="2">
        <v>16</v>
      </c>
      <c r="C13" s="6">
        <v>44473</v>
      </c>
      <c r="D13" s="2">
        <v>3</v>
      </c>
      <c r="E13" s="2">
        <v>8</v>
      </c>
      <c r="F13" s="2">
        <v>10</v>
      </c>
      <c r="G13" s="2">
        <v>2</v>
      </c>
      <c r="H13" s="7">
        <f>VLOOKUP(표6[[#This Row],[패키지번호]], 표5[], 5, 0)</f>
        <v>55800</v>
      </c>
      <c r="I13" s="17">
        <v>0</v>
      </c>
      <c r="J13" s="17">
        <v>0</v>
      </c>
      <c r="K13" s="17">
        <v>0</v>
      </c>
      <c r="L13" s="17">
        <v>0.05</v>
      </c>
      <c r="M13" s="7">
        <f>SUM(표6[[#This Row],[성인금액]:[어린이금액]])-SUM(표6[[#This Row],[성인금액]:[어린이금액]])*표6[[#This Row],[총할인율]]</f>
        <v>1060200</v>
      </c>
      <c r="N13" s="18">
        <f>(표6[[#This Row],[금액]] - (표6[[#This Row],[금액]]*표6[[#This Row],[성인할인율]])) *표6[[#This Row],[성인]]</f>
        <v>446400</v>
      </c>
      <c r="O13" s="18">
        <f>(표6[[#This Row],[금액]]-(표6[[#This Row],[금액]]*표6[[#This Row],[청소년할인율]]))*표6[[#This Row],[청소년]]</f>
        <v>558000</v>
      </c>
      <c r="P13" s="18">
        <f>(표6[[#This Row],[금액]]-(표6[[#This Row],[금액]]*표6[[#This Row],[어린이할인율]]))*표6[[#This Row],[어린이]]</f>
        <v>111600</v>
      </c>
    </row>
    <row r="14" spans="1:16" x14ac:dyDescent="0.3">
      <c r="A14" s="2">
        <v>13</v>
      </c>
      <c r="B14" s="2">
        <v>2</v>
      </c>
      <c r="C14" s="6">
        <v>44473</v>
      </c>
      <c r="D14" s="2">
        <v>3</v>
      </c>
      <c r="E14" s="2">
        <v>40</v>
      </c>
      <c r="F14" s="2">
        <v>3</v>
      </c>
      <c r="G14" s="2">
        <v>1</v>
      </c>
      <c r="H14" s="7">
        <f>VLOOKUP(표6[[#This Row],[패키지번호]], 표5[], 5, 0)</f>
        <v>55800</v>
      </c>
      <c r="I14" s="17">
        <v>0</v>
      </c>
      <c r="J14" s="17">
        <v>0.2</v>
      </c>
      <c r="K14" s="17">
        <v>0.5</v>
      </c>
      <c r="L14" s="17">
        <v>0.15</v>
      </c>
      <c r="M14" s="7">
        <f>SUM(표6[[#This Row],[성인금액]:[어린이금액]])-SUM(표6[[#This Row],[성인금액]:[어린이금액]])*표6[[#This Row],[총할인율]]</f>
        <v>2034747</v>
      </c>
      <c r="N14" s="18">
        <f>(표6[[#This Row],[금액]] - (표6[[#This Row],[금액]]*표6[[#This Row],[성인할인율]])) *표6[[#This Row],[성인]]</f>
        <v>2232000</v>
      </c>
      <c r="O14" s="18">
        <f>(표6[[#This Row],[금액]]-(표6[[#This Row],[금액]]*표6[[#This Row],[청소년할인율]]))*표6[[#This Row],[청소년]]</f>
        <v>133920</v>
      </c>
      <c r="P14" s="18">
        <f>(표6[[#This Row],[금액]]-(표6[[#This Row],[금액]]*표6[[#This Row],[어린이할인율]]))*표6[[#This Row],[어린이]]</f>
        <v>27900</v>
      </c>
    </row>
    <row r="15" spans="1:16" x14ac:dyDescent="0.3">
      <c r="A15" s="2">
        <v>14</v>
      </c>
      <c r="B15" s="2">
        <v>5</v>
      </c>
      <c r="C15" s="6">
        <v>44474</v>
      </c>
      <c r="D15" s="2">
        <v>1</v>
      </c>
      <c r="E15" s="2">
        <v>21</v>
      </c>
      <c r="F15" s="2">
        <v>2</v>
      </c>
      <c r="G15" s="2">
        <v>0</v>
      </c>
      <c r="H15" s="7">
        <f>VLOOKUP(표6[[#This Row],[패키지번호]], 표5[], 5, 0)</f>
        <v>35150</v>
      </c>
      <c r="I15" s="17">
        <v>0</v>
      </c>
      <c r="J15" s="17">
        <v>0</v>
      </c>
      <c r="K15" s="17">
        <v>0</v>
      </c>
      <c r="L15" s="17">
        <v>0.05</v>
      </c>
      <c r="M15" s="7">
        <f>SUM(표6[[#This Row],[성인금액]:[어린이금액]])-SUM(표6[[#This Row],[성인금액]:[어린이금액]])*표6[[#This Row],[총할인율]]</f>
        <v>768027.5</v>
      </c>
      <c r="N15" s="18">
        <f>(표6[[#This Row],[금액]] - (표6[[#This Row],[금액]]*표6[[#This Row],[성인할인율]])) *표6[[#This Row],[성인]]</f>
        <v>738150</v>
      </c>
      <c r="O15" s="18">
        <f>(표6[[#This Row],[금액]]-(표6[[#This Row],[금액]]*표6[[#This Row],[청소년할인율]]))*표6[[#This Row],[청소년]]</f>
        <v>70300</v>
      </c>
      <c r="P15" s="18">
        <f>(표6[[#This Row],[금액]]-(표6[[#This Row],[금액]]*표6[[#This Row],[어린이할인율]]))*표6[[#This Row],[어린이]]</f>
        <v>0</v>
      </c>
    </row>
    <row r="16" spans="1:16" x14ac:dyDescent="0.3">
      <c r="A16" s="2">
        <v>15</v>
      </c>
      <c r="B16" s="2">
        <v>12</v>
      </c>
      <c r="C16" s="6">
        <v>44474</v>
      </c>
      <c r="D16" s="2">
        <v>6</v>
      </c>
      <c r="E16" s="2">
        <v>3</v>
      </c>
      <c r="F16" s="2">
        <v>3</v>
      </c>
      <c r="G16" s="2">
        <v>0</v>
      </c>
      <c r="H16" s="7">
        <f>VLOOKUP(표6[[#This Row],[패키지번호]], 표5[], 5, 0)</f>
        <v>38700</v>
      </c>
      <c r="I16" s="17">
        <v>0</v>
      </c>
      <c r="J16" s="17">
        <v>0</v>
      </c>
      <c r="K16" s="17">
        <v>0</v>
      </c>
      <c r="L16" s="17">
        <v>0.05</v>
      </c>
      <c r="M16" s="7">
        <f>SUM(표6[[#This Row],[성인금액]:[어린이금액]])-SUM(표6[[#This Row],[성인금액]:[어린이금액]])*표6[[#This Row],[총할인율]]</f>
        <v>220590</v>
      </c>
      <c r="N16" s="18">
        <f>(표6[[#This Row],[금액]] - (표6[[#This Row],[금액]]*표6[[#This Row],[성인할인율]])) *표6[[#This Row],[성인]]</f>
        <v>116100</v>
      </c>
      <c r="O16" s="18">
        <f>(표6[[#This Row],[금액]]-(표6[[#This Row],[금액]]*표6[[#This Row],[청소년할인율]]))*표6[[#This Row],[청소년]]</f>
        <v>116100</v>
      </c>
      <c r="P16" s="18">
        <f>(표6[[#This Row],[금액]]-(표6[[#This Row],[금액]]*표6[[#This Row],[어린이할인율]]))*표6[[#This Row],[어린이]]</f>
        <v>0</v>
      </c>
    </row>
    <row r="17" spans="1:16" x14ac:dyDescent="0.3">
      <c r="A17" s="2">
        <v>16</v>
      </c>
      <c r="B17" s="2">
        <v>2</v>
      </c>
      <c r="C17" s="6">
        <v>44474</v>
      </c>
      <c r="D17" s="2">
        <v>7</v>
      </c>
      <c r="E17" s="2">
        <v>3</v>
      </c>
      <c r="F17" s="2">
        <v>2</v>
      </c>
      <c r="G17" s="2">
        <v>1</v>
      </c>
      <c r="H17" s="7">
        <f>VLOOKUP(표6[[#This Row],[패키지번호]], 표5[], 5, 0)</f>
        <v>48150</v>
      </c>
      <c r="I17" s="17">
        <v>0</v>
      </c>
      <c r="J17" s="17">
        <v>0</v>
      </c>
      <c r="K17" s="17">
        <v>0</v>
      </c>
      <c r="L17" s="17">
        <v>0.05</v>
      </c>
      <c r="M17" s="7">
        <f>SUM(표6[[#This Row],[성인금액]:[어린이금액]])-SUM(표6[[#This Row],[성인금액]:[어린이금액]])*표6[[#This Row],[총할인율]]</f>
        <v>274455</v>
      </c>
      <c r="N17" s="18">
        <f>(표6[[#This Row],[금액]] - (표6[[#This Row],[금액]]*표6[[#This Row],[성인할인율]])) *표6[[#This Row],[성인]]</f>
        <v>144450</v>
      </c>
      <c r="O17" s="18">
        <f>(표6[[#This Row],[금액]]-(표6[[#This Row],[금액]]*표6[[#This Row],[청소년할인율]]))*표6[[#This Row],[청소년]]</f>
        <v>96300</v>
      </c>
      <c r="P17" s="18">
        <f>(표6[[#This Row],[금액]]-(표6[[#This Row],[금액]]*표6[[#This Row],[어린이할인율]]))*표6[[#This Row],[어린이]]</f>
        <v>48150</v>
      </c>
    </row>
    <row r="18" spans="1:16" x14ac:dyDescent="0.3">
      <c r="A18" s="2">
        <v>17</v>
      </c>
      <c r="B18" s="2">
        <v>7</v>
      </c>
      <c r="C18" s="6">
        <v>44475</v>
      </c>
      <c r="D18" s="2">
        <v>6</v>
      </c>
      <c r="E18" s="2">
        <v>15</v>
      </c>
      <c r="F18" s="2">
        <v>3</v>
      </c>
      <c r="G18" s="2">
        <v>1</v>
      </c>
      <c r="H18" s="7">
        <f>VLOOKUP(표6[[#This Row],[패키지번호]], 표5[], 5, 0)</f>
        <v>38700</v>
      </c>
      <c r="I18" s="17">
        <v>0</v>
      </c>
      <c r="J18" s="17">
        <v>0.1</v>
      </c>
      <c r="K18" s="17">
        <v>0</v>
      </c>
      <c r="L18" s="17">
        <v>0.05</v>
      </c>
      <c r="M18" s="7">
        <f>SUM(표6[[#This Row],[성인금액]:[어린이금액]])-SUM(표6[[#This Row],[성인금액]:[어린이금액]])*표6[[#This Row],[총할인율]]</f>
        <v>687505.5</v>
      </c>
      <c r="N18" s="18">
        <f>(표6[[#This Row],[금액]] - (표6[[#This Row],[금액]]*표6[[#This Row],[성인할인율]])) *표6[[#This Row],[성인]]</f>
        <v>580500</v>
      </c>
      <c r="O18" s="18">
        <f>(표6[[#This Row],[금액]]-(표6[[#This Row],[금액]]*표6[[#This Row],[청소년할인율]]))*표6[[#This Row],[청소년]]</f>
        <v>104490</v>
      </c>
      <c r="P18" s="18">
        <f>(표6[[#This Row],[금액]]-(표6[[#This Row],[금액]]*표6[[#This Row],[어린이할인율]]))*표6[[#This Row],[어린이]]</f>
        <v>38700</v>
      </c>
    </row>
    <row r="19" spans="1:16" x14ac:dyDescent="0.3">
      <c r="A19" s="2">
        <v>18</v>
      </c>
      <c r="B19" s="2">
        <v>2</v>
      </c>
      <c r="C19" s="6">
        <v>44475</v>
      </c>
      <c r="D19" s="2">
        <v>3</v>
      </c>
      <c r="E19" s="2">
        <v>40</v>
      </c>
      <c r="F19" s="2">
        <v>1</v>
      </c>
      <c r="G19" s="2">
        <v>1</v>
      </c>
      <c r="H19" s="7">
        <f>VLOOKUP(표6[[#This Row],[패키지번호]], 표5[], 5, 0)</f>
        <v>55800</v>
      </c>
      <c r="I19" s="17">
        <v>0</v>
      </c>
      <c r="J19" s="17">
        <v>0.2</v>
      </c>
      <c r="K19" s="17">
        <v>0.5</v>
      </c>
      <c r="L19" s="17">
        <v>0.15</v>
      </c>
      <c r="M19" s="7">
        <f>SUM(표6[[#This Row],[성인금액]:[어린이금액]])-SUM(표6[[#This Row],[성인금액]:[어린이금액]])*표6[[#This Row],[총할인율]]</f>
        <v>1958859</v>
      </c>
      <c r="N19" s="18">
        <f>(표6[[#This Row],[금액]] - (표6[[#This Row],[금액]]*표6[[#This Row],[성인할인율]])) *표6[[#This Row],[성인]]</f>
        <v>2232000</v>
      </c>
      <c r="O19" s="18">
        <f>(표6[[#This Row],[금액]]-(표6[[#This Row],[금액]]*표6[[#This Row],[청소년할인율]]))*표6[[#This Row],[청소년]]</f>
        <v>44640</v>
      </c>
      <c r="P19" s="18">
        <f>(표6[[#This Row],[금액]]-(표6[[#This Row],[금액]]*표6[[#This Row],[어린이할인율]]))*표6[[#This Row],[어린이]]</f>
        <v>27900</v>
      </c>
    </row>
    <row r="20" spans="1:16" x14ac:dyDescent="0.3">
      <c r="A20" s="2">
        <v>19</v>
      </c>
      <c r="B20" s="2">
        <v>3</v>
      </c>
      <c r="C20" s="6">
        <v>44476</v>
      </c>
      <c r="D20" s="2">
        <v>1</v>
      </c>
      <c r="E20" s="2">
        <v>40</v>
      </c>
      <c r="F20" s="2">
        <v>2</v>
      </c>
      <c r="G20" s="2">
        <v>1</v>
      </c>
      <c r="H20" s="7">
        <f>VLOOKUP(표6[[#This Row],[패키지번호]], 표5[], 5, 0)</f>
        <v>35150</v>
      </c>
      <c r="I20" s="17">
        <v>0</v>
      </c>
      <c r="J20" s="17">
        <v>0</v>
      </c>
      <c r="K20" s="17">
        <v>0</v>
      </c>
      <c r="L20" s="17">
        <v>0.05</v>
      </c>
      <c r="M20" s="7">
        <f>SUM(표6[[#This Row],[성인금액]:[어린이금액]])-SUM(표6[[#This Row],[성인금액]:[어린이금액]])*표6[[#This Row],[총할인율]]</f>
        <v>1435877.5</v>
      </c>
      <c r="N20" s="18">
        <f>(표6[[#This Row],[금액]] - (표6[[#This Row],[금액]]*표6[[#This Row],[성인할인율]])) *표6[[#This Row],[성인]]</f>
        <v>1406000</v>
      </c>
      <c r="O20" s="18">
        <f>(표6[[#This Row],[금액]]-(표6[[#This Row],[금액]]*표6[[#This Row],[청소년할인율]]))*표6[[#This Row],[청소년]]</f>
        <v>70300</v>
      </c>
      <c r="P20" s="18">
        <f>(표6[[#This Row],[금액]]-(표6[[#This Row],[금액]]*표6[[#This Row],[어린이할인율]]))*표6[[#This Row],[어린이]]</f>
        <v>35150</v>
      </c>
    </row>
    <row r="21" spans="1:16" x14ac:dyDescent="0.3">
      <c r="A21" s="2">
        <v>20</v>
      </c>
      <c r="B21" s="2">
        <v>8</v>
      </c>
      <c r="C21" s="6">
        <v>44476</v>
      </c>
      <c r="D21" s="2">
        <v>3</v>
      </c>
      <c r="E21" s="2">
        <v>30</v>
      </c>
      <c r="F21" s="2">
        <v>4</v>
      </c>
      <c r="G21" s="2">
        <v>1</v>
      </c>
      <c r="H21" s="7">
        <f>VLOOKUP(표6[[#This Row],[패키지번호]], 표5[], 5, 0)</f>
        <v>55800</v>
      </c>
      <c r="I21" s="17">
        <v>0</v>
      </c>
      <c r="J21" s="17">
        <v>0.2</v>
      </c>
      <c r="K21" s="17">
        <v>0.5</v>
      </c>
      <c r="L21" s="17">
        <v>0.15</v>
      </c>
      <c r="M21" s="7">
        <f>SUM(표6[[#This Row],[성인금액]:[어린이금액]])-SUM(표6[[#This Row],[성인금액]:[어린이금액]])*표6[[#This Row],[총할인율]]</f>
        <v>1598391</v>
      </c>
      <c r="N21" s="18">
        <f>(표6[[#This Row],[금액]] - (표6[[#This Row],[금액]]*표6[[#This Row],[성인할인율]])) *표6[[#This Row],[성인]]</f>
        <v>1674000</v>
      </c>
      <c r="O21" s="18">
        <f>(표6[[#This Row],[금액]]-(표6[[#This Row],[금액]]*표6[[#This Row],[청소년할인율]]))*표6[[#This Row],[청소년]]</f>
        <v>178560</v>
      </c>
      <c r="P21" s="18">
        <f>(표6[[#This Row],[금액]]-(표6[[#This Row],[금액]]*표6[[#This Row],[어린이할인율]]))*표6[[#This Row],[어린이]]</f>
        <v>27900</v>
      </c>
    </row>
    <row r="22" spans="1:16" x14ac:dyDescent="0.3">
      <c r="A22" s="2">
        <v>21</v>
      </c>
      <c r="B22" s="2">
        <v>2</v>
      </c>
      <c r="C22" s="6">
        <v>44476</v>
      </c>
      <c r="D22" s="2">
        <v>3</v>
      </c>
      <c r="E22" s="2">
        <v>20</v>
      </c>
      <c r="F22" s="2">
        <v>10</v>
      </c>
      <c r="G22" s="2">
        <v>15</v>
      </c>
      <c r="H22" s="7">
        <f>VLOOKUP(표6[[#This Row],[패키지번호]], 표5[], 5, 0)</f>
        <v>55800</v>
      </c>
      <c r="I22" s="17">
        <v>0</v>
      </c>
      <c r="J22" s="17">
        <v>0.2</v>
      </c>
      <c r="K22" s="17">
        <v>0.5</v>
      </c>
      <c r="L22" s="17">
        <v>0.15</v>
      </c>
      <c r="M22" s="7">
        <f>SUM(표6[[#This Row],[성인금액]:[어린이금액]])-SUM(표6[[#This Row],[성인금액]:[어린이금액]])*표6[[#This Row],[총할인율]]</f>
        <v>1683765</v>
      </c>
      <c r="N22" s="18">
        <f>(표6[[#This Row],[금액]] - (표6[[#This Row],[금액]]*표6[[#This Row],[성인할인율]])) *표6[[#This Row],[성인]]</f>
        <v>1116000</v>
      </c>
      <c r="O22" s="18">
        <f>(표6[[#This Row],[금액]]-(표6[[#This Row],[금액]]*표6[[#This Row],[청소년할인율]]))*표6[[#This Row],[청소년]]</f>
        <v>446400</v>
      </c>
      <c r="P22" s="18">
        <f>(표6[[#This Row],[금액]]-(표6[[#This Row],[금액]]*표6[[#This Row],[어린이할인율]]))*표6[[#This Row],[어린이]]</f>
        <v>418500</v>
      </c>
    </row>
    <row r="23" spans="1:16" x14ac:dyDescent="0.3">
      <c r="A23" s="2">
        <v>22</v>
      </c>
      <c r="B23" s="2">
        <v>2</v>
      </c>
      <c r="C23" s="6">
        <v>44477</v>
      </c>
      <c r="D23" s="2">
        <v>3</v>
      </c>
      <c r="E23" s="2">
        <v>50</v>
      </c>
      <c r="F23" s="2">
        <v>6</v>
      </c>
      <c r="G23" s="2">
        <v>1</v>
      </c>
      <c r="H23" s="7">
        <f>VLOOKUP(표6[[#This Row],[패키지번호]], 표5[], 5, 0)</f>
        <v>55800</v>
      </c>
      <c r="I23" s="17">
        <v>0</v>
      </c>
      <c r="J23" s="17">
        <v>0.2</v>
      </c>
      <c r="K23" s="17">
        <v>0.5</v>
      </c>
      <c r="L23" s="17">
        <v>0.15</v>
      </c>
      <c r="M23" s="7">
        <f>SUM(표6[[#This Row],[성인금액]:[어린이금액]])-SUM(표6[[#This Row],[성인금액]:[어린이금액]])*표6[[#This Row],[총할인율]]</f>
        <v>2622879</v>
      </c>
      <c r="N23" s="18">
        <f>(표6[[#This Row],[금액]] - (표6[[#This Row],[금액]]*표6[[#This Row],[성인할인율]])) *표6[[#This Row],[성인]]</f>
        <v>2790000</v>
      </c>
      <c r="O23" s="18">
        <f>(표6[[#This Row],[금액]]-(표6[[#This Row],[금액]]*표6[[#This Row],[청소년할인율]]))*표6[[#This Row],[청소년]]</f>
        <v>267840</v>
      </c>
      <c r="P23" s="18">
        <f>(표6[[#This Row],[금액]]-(표6[[#This Row],[금액]]*표6[[#This Row],[어린이할인율]]))*표6[[#This Row],[어린이]]</f>
        <v>27900</v>
      </c>
    </row>
    <row r="24" spans="1:16" x14ac:dyDescent="0.3">
      <c r="A24" s="2">
        <v>23</v>
      </c>
      <c r="B24" s="2">
        <v>16</v>
      </c>
      <c r="C24" s="6">
        <v>44477</v>
      </c>
      <c r="D24" s="2">
        <v>2</v>
      </c>
      <c r="E24" s="2">
        <v>9</v>
      </c>
      <c r="F24" s="2">
        <v>2</v>
      </c>
      <c r="G24" s="2">
        <v>1</v>
      </c>
      <c r="H24" s="7">
        <f>VLOOKUP(표6[[#This Row],[패키지번호]], 표5[], 5, 0)</f>
        <v>45900</v>
      </c>
      <c r="I24" s="17">
        <v>0</v>
      </c>
      <c r="J24" s="17">
        <v>0</v>
      </c>
      <c r="K24" s="17">
        <v>0</v>
      </c>
      <c r="L24" s="17">
        <v>0.05</v>
      </c>
      <c r="M24" s="7">
        <f>SUM(표6[[#This Row],[성인금액]:[어린이금액]])-SUM(표6[[#This Row],[성인금액]:[어린이금액]])*표6[[#This Row],[총할인율]]</f>
        <v>523260</v>
      </c>
      <c r="N24" s="18">
        <f>(표6[[#This Row],[금액]] - (표6[[#This Row],[금액]]*표6[[#This Row],[성인할인율]])) *표6[[#This Row],[성인]]</f>
        <v>413100</v>
      </c>
      <c r="O24" s="18">
        <f>(표6[[#This Row],[금액]]-(표6[[#This Row],[금액]]*표6[[#This Row],[청소년할인율]]))*표6[[#This Row],[청소년]]</f>
        <v>91800</v>
      </c>
      <c r="P24" s="18">
        <f>(표6[[#This Row],[금액]]-(표6[[#This Row],[금액]]*표6[[#This Row],[어린이할인율]]))*표6[[#This Row],[어린이]]</f>
        <v>45900</v>
      </c>
    </row>
    <row r="25" spans="1:16" x14ac:dyDescent="0.3">
      <c r="A25" s="2">
        <v>24</v>
      </c>
      <c r="B25" s="2">
        <v>6</v>
      </c>
      <c r="C25" s="6">
        <v>44477</v>
      </c>
      <c r="D25" s="2">
        <v>4</v>
      </c>
      <c r="E25" s="2">
        <v>5</v>
      </c>
      <c r="F25" s="2">
        <v>3</v>
      </c>
      <c r="G25" s="2">
        <v>1</v>
      </c>
      <c r="H25" s="7">
        <f>VLOOKUP(표6[[#This Row],[패키지번호]], 표5[], 5, 0)</f>
        <v>22500</v>
      </c>
      <c r="I25" s="17">
        <v>0</v>
      </c>
      <c r="J25" s="17">
        <v>0</v>
      </c>
      <c r="K25" s="17">
        <v>0</v>
      </c>
      <c r="L25" s="17">
        <v>0.05</v>
      </c>
      <c r="M25" s="7">
        <f>SUM(표6[[#This Row],[성인금액]:[어린이금액]])-SUM(표6[[#This Row],[성인금액]:[어린이금액]])*표6[[#This Row],[총할인율]]</f>
        <v>192375</v>
      </c>
      <c r="N25" s="18">
        <f>(표6[[#This Row],[금액]] - (표6[[#This Row],[금액]]*표6[[#This Row],[성인할인율]])) *표6[[#This Row],[성인]]</f>
        <v>112500</v>
      </c>
      <c r="O25" s="18">
        <f>(표6[[#This Row],[금액]]-(표6[[#This Row],[금액]]*표6[[#This Row],[청소년할인율]]))*표6[[#This Row],[청소년]]</f>
        <v>67500</v>
      </c>
      <c r="P25" s="18">
        <f>(표6[[#This Row],[금액]]-(표6[[#This Row],[금액]]*표6[[#This Row],[어린이할인율]]))*표6[[#This Row],[어린이]]</f>
        <v>22500</v>
      </c>
    </row>
    <row r="26" spans="1:16" x14ac:dyDescent="0.3">
      <c r="A26" s="2">
        <v>25</v>
      </c>
      <c r="B26" s="2">
        <v>12</v>
      </c>
      <c r="C26" s="6">
        <v>44477</v>
      </c>
      <c r="D26" s="2">
        <v>9</v>
      </c>
      <c r="E26" s="2">
        <v>2</v>
      </c>
      <c r="F26" s="2">
        <v>5</v>
      </c>
      <c r="G26" s="2">
        <v>10</v>
      </c>
      <c r="H26" s="7">
        <f>VLOOKUP(표6[[#This Row],[패키지번호]], 표5[], 5, 0)</f>
        <v>45600</v>
      </c>
      <c r="I26" s="17">
        <v>0</v>
      </c>
      <c r="J26" s="17">
        <v>0</v>
      </c>
      <c r="K26" s="17">
        <v>0</v>
      </c>
      <c r="L26" s="17">
        <v>0.05</v>
      </c>
      <c r="M26" s="7">
        <f>SUM(표6[[#This Row],[성인금액]:[어린이금액]])-SUM(표6[[#This Row],[성인금액]:[어린이금액]])*표6[[#This Row],[총할인율]]</f>
        <v>736440</v>
      </c>
      <c r="N26" s="18">
        <f>(표6[[#This Row],[금액]] - (표6[[#This Row],[금액]]*표6[[#This Row],[성인할인율]])) *표6[[#This Row],[성인]]</f>
        <v>91200</v>
      </c>
      <c r="O26" s="18">
        <f>(표6[[#This Row],[금액]]-(표6[[#This Row],[금액]]*표6[[#This Row],[청소년할인율]]))*표6[[#This Row],[청소년]]</f>
        <v>228000</v>
      </c>
      <c r="P26" s="18">
        <f>(표6[[#This Row],[금액]]-(표6[[#This Row],[금액]]*표6[[#This Row],[어린이할인율]]))*표6[[#This Row],[어린이]]</f>
        <v>456000</v>
      </c>
    </row>
    <row r="27" spans="1:16" x14ac:dyDescent="0.3">
      <c r="A27" s="2">
        <v>26</v>
      </c>
      <c r="B27" s="2">
        <v>7</v>
      </c>
      <c r="C27" s="6">
        <v>44477</v>
      </c>
      <c r="D27" s="2">
        <v>3</v>
      </c>
      <c r="E27" s="2">
        <v>20</v>
      </c>
      <c r="F27" s="2">
        <v>15</v>
      </c>
      <c r="G27" s="2">
        <v>1</v>
      </c>
      <c r="H27" s="7">
        <f>VLOOKUP(표6[[#This Row],[패키지번호]], 표5[], 5, 0)</f>
        <v>55800</v>
      </c>
      <c r="I27" s="17">
        <v>0</v>
      </c>
      <c r="J27" s="17">
        <v>0.2</v>
      </c>
      <c r="K27" s="17">
        <v>0.5</v>
      </c>
      <c r="L27" s="17">
        <v>0.15</v>
      </c>
      <c r="M27" s="7">
        <f>SUM(표6[[#This Row],[성인금액]:[어린이금액]])-SUM(표6[[#This Row],[성인금액]:[어린이금액]])*표6[[#This Row],[총할인율]]</f>
        <v>1541475</v>
      </c>
      <c r="N27" s="18">
        <f>(표6[[#This Row],[금액]] - (표6[[#This Row],[금액]]*표6[[#This Row],[성인할인율]])) *표6[[#This Row],[성인]]</f>
        <v>1116000</v>
      </c>
      <c r="O27" s="18">
        <f>(표6[[#This Row],[금액]]-(표6[[#This Row],[금액]]*표6[[#This Row],[청소년할인율]]))*표6[[#This Row],[청소년]]</f>
        <v>669600</v>
      </c>
      <c r="P27" s="18">
        <f>(표6[[#This Row],[금액]]-(표6[[#This Row],[금액]]*표6[[#This Row],[어린이할인율]]))*표6[[#This Row],[어린이]]</f>
        <v>27900</v>
      </c>
    </row>
    <row r="28" spans="1:16" x14ac:dyDescent="0.3">
      <c r="A28" s="2">
        <v>27</v>
      </c>
      <c r="B28" s="2">
        <v>11</v>
      </c>
      <c r="C28" s="6">
        <v>44478</v>
      </c>
      <c r="D28" s="2">
        <v>3</v>
      </c>
      <c r="E28" s="2">
        <v>10</v>
      </c>
      <c r="F28" s="2">
        <v>1</v>
      </c>
      <c r="G28" s="2">
        <v>1</v>
      </c>
      <c r="H28" s="7">
        <f>VLOOKUP(표6[[#This Row],[패키지번호]], 표5[], 5, 0)</f>
        <v>55800</v>
      </c>
      <c r="I28" s="17">
        <v>0</v>
      </c>
      <c r="J28" s="17">
        <v>0.2</v>
      </c>
      <c r="K28" s="17">
        <v>0.5</v>
      </c>
      <c r="L28" s="17">
        <v>0.15</v>
      </c>
      <c r="M28" s="7">
        <f>SUM(표6[[#This Row],[성인금액]:[어린이금액]])-SUM(표6[[#This Row],[성인금액]:[어린이금액]])*표6[[#This Row],[총할인율]]</f>
        <v>535959</v>
      </c>
      <c r="N28" s="18">
        <f>(표6[[#This Row],[금액]] - (표6[[#This Row],[금액]]*표6[[#This Row],[성인할인율]])) *표6[[#This Row],[성인]]</f>
        <v>558000</v>
      </c>
      <c r="O28" s="18">
        <f>(표6[[#This Row],[금액]]-(표6[[#This Row],[금액]]*표6[[#This Row],[청소년할인율]]))*표6[[#This Row],[청소년]]</f>
        <v>44640</v>
      </c>
      <c r="P28" s="18">
        <f>(표6[[#This Row],[금액]]-(표6[[#This Row],[금액]]*표6[[#This Row],[어린이할인율]]))*표6[[#This Row],[어린이]]</f>
        <v>27900</v>
      </c>
    </row>
    <row r="29" spans="1:16" x14ac:dyDescent="0.3">
      <c r="A29" s="2">
        <v>28</v>
      </c>
      <c r="B29" s="2">
        <v>10</v>
      </c>
      <c r="C29" s="6">
        <v>44479</v>
      </c>
      <c r="D29" s="2">
        <v>2</v>
      </c>
      <c r="E29" s="2">
        <v>51</v>
      </c>
      <c r="F29" s="2">
        <v>3</v>
      </c>
      <c r="G29" s="2">
        <v>1</v>
      </c>
      <c r="H29" s="7">
        <f>VLOOKUP(표6[[#This Row],[패키지번호]], 표5[], 5, 0)</f>
        <v>45900</v>
      </c>
      <c r="I29" s="17">
        <v>0</v>
      </c>
      <c r="J29" s="17">
        <v>0</v>
      </c>
      <c r="K29" s="17">
        <v>0</v>
      </c>
      <c r="L29" s="17">
        <v>0.05</v>
      </c>
      <c r="M29" s="7">
        <f>SUM(표6[[#This Row],[성인금액]:[어린이금액]])-SUM(표6[[#This Row],[성인금액]:[어린이금액]])*표6[[#This Row],[총할인율]]</f>
        <v>2398275</v>
      </c>
      <c r="N29" s="18">
        <f>(표6[[#This Row],[금액]] - (표6[[#This Row],[금액]]*표6[[#This Row],[성인할인율]])) *표6[[#This Row],[성인]]</f>
        <v>2340900</v>
      </c>
      <c r="O29" s="18">
        <f>(표6[[#This Row],[금액]]-(표6[[#This Row],[금액]]*표6[[#This Row],[청소년할인율]]))*표6[[#This Row],[청소년]]</f>
        <v>137700</v>
      </c>
      <c r="P29" s="18">
        <f>(표6[[#This Row],[금액]]-(표6[[#This Row],[금액]]*표6[[#This Row],[어린이할인율]]))*표6[[#This Row],[어린이]]</f>
        <v>45900</v>
      </c>
    </row>
    <row r="30" spans="1:16" x14ac:dyDescent="0.3">
      <c r="A30" s="2">
        <v>29</v>
      </c>
      <c r="B30" s="2">
        <v>20</v>
      </c>
      <c r="C30" s="6">
        <v>44479</v>
      </c>
      <c r="D30" s="2">
        <v>3</v>
      </c>
      <c r="E30" s="2">
        <v>30</v>
      </c>
      <c r="F30" s="2">
        <v>1</v>
      </c>
      <c r="G30" s="2">
        <v>1</v>
      </c>
      <c r="H30" s="7">
        <f>VLOOKUP(표6[[#This Row],[패키지번호]], 표5[], 5, 0)</f>
        <v>55800</v>
      </c>
      <c r="I30" s="17">
        <v>0</v>
      </c>
      <c r="J30" s="17">
        <v>0.2</v>
      </c>
      <c r="K30" s="17">
        <v>0.5</v>
      </c>
      <c r="L30" s="17">
        <v>0.15</v>
      </c>
      <c r="M30" s="7">
        <f>SUM(표6[[#This Row],[성인금액]:[어린이금액]])-SUM(표6[[#This Row],[성인금액]:[어린이금액]])*표6[[#This Row],[총할인율]]</f>
        <v>1484559</v>
      </c>
      <c r="N30" s="18">
        <f>(표6[[#This Row],[금액]] - (표6[[#This Row],[금액]]*표6[[#This Row],[성인할인율]])) *표6[[#This Row],[성인]]</f>
        <v>1674000</v>
      </c>
      <c r="O30" s="18">
        <f>(표6[[#This Row],[금액]]-(표6[[#This Row],[금액]]*표6[[#This Row],[청소년할인율]]))*표6[[#This Row],[청소년]]</f>
        <v>44640</v>
      </c>
      <c r="P30" s="18">
        <f>(표6[[#This Row],[금액]]-(표6[[#This Row],[금액]]*표6[[#This Row],[어린이할인율]]))*표6[[#This Row],[어린이]]</f>
        <v>27900</v>
      </c>
    </row>
    <row r="31" spans="1:16" x14ac:dyDescent="0.3">
      <c r="A31" s="2">
        <v>30</v>
      </c>
      <c r="B31" s="2">
        <v>2</v>
      </c>
      <c r="C31" s="6">
        <v>44480</v>
      </c>
      <c r="D31" s="2">
        <v>3</v>
      </c>
      <c r="E31" s="2">
        <v>40</v>
      </c>
      <c r="F31" s="2">
        <v>20</v>
      </c>
      <c r="G31" s="2">
        <v>1</v>
      </c>
      <c r="H31" s="7">
        <f>VLOOKUP(표6[[#This Row],[패키지번호]], 표5[], 5, 0)</f>
        <v>55800</v>
      </c>
      <c r="I31" s="17">
        <v>0</v>
      </c>
      <c r="J31" s="17">
        <v>0.2</v>
      </c>
      <c r="K31" s="17">
        <v>0.5</v>
      </c>
      <c r="L31" s="17">
        <v>0.15</v>
      </c>
      <c r="M31" s="7">
        <f>SUM(표6[[#This Row],[성인금액]:[어린이금액]])-SUM(표6[[#This Row],[성인금액]:[어린이금액]])*표6[[#This Row],[총할인율]]</f>
        <v>2679795</v>
      </c>
      <c r="N31" s="18">
        <f>(표6[[#This Row],[금액]] - (표6[[#This Row],[금액]]*표6[[#This Row],[성인할인율]])) *표6[[#This Row],[성인]]</f>
        <v>2232000</v>
      </c>
      <c r="O31" s="18">
        <f>(표6[[#This Row],[금액]]-(표6[[#This Row],[금액]]*표6[[#This Row],[청소년할인율]]))*표6[[#This Row],[청소년]]</f>
        <v>892800</v>
      </c>
      <c r="P31" s="18">
        <f>(표6[[#This Row],[금액]]-(표6[[#This Row],[금액]]*표6[[#This Row],[어린이할인율]]))*표6[[#This Row],[어린이]]</f>
        <v>27900</v>
      </c>
    </row>
    <row r="32" spans="1:16" x14ac:dyDescent="0.3">
      <c r="A32" s="2">
        <v>31</v>
      </c>
      <c r="B32" s="2">
        <v>2</v>
      </c>
      <c r="C32" s="6">
        <v>44481</v>
      </c>
      <c r="D32" s="2">
        <v>2</v>
      </c>
      <c r="E32" s="2">
        <v>5</v>
      </c>
      <c r="F32" s="2">
        <v>20</v>
      </c>
      <c r="G32" s="2">
        <v>10</v>
      </c>
      <c r="H32" s="7">
        <f>VLOOKUP(표6[[#This Row],[패키지번호]], 표5[], 5, 0)</f>
        <v>45900</v>
      </c>
      <c r="I32" s="17">
        <v>0</v>
      </c>
      <c r="J32" s="17">
        <v>0</v>
      </c>
      <c r="K32" s="17">
        <v>0</v>
      </c>
      <c r="L32" s="17">
        <v>0.05</v>
      </c>
      <c r="M32" s="7">
        <f>SUM(표6[[#This Row],[성인금액]:[어린이금액]])-SUM(표6[[#This Row],[성인금액]:[어린이금액]])*표6[[#This Row],[총할인율]]</f>
        <v>1526175</v>
      </c>
      <c r="N32" s="18">
        <f>(표6[[#This Row],[금액]] - (표6[[#This Row],[금액]]*표6[[#This Row],[성인할인율]])) *표6[[#This Row],[성인]]</f>
        <v>229500</v>
      </c>
      <c r="O32" s="18">
        <f>(표6[[#This Row],[금액]]-(표6[[#This Row],[금액]]*표6[[#This Row],[청소년할인율]]))*표6[[#This Row],[청소년]]</f>
        <v>918000</v>
      </c>
      <c r="P32" s="18">
        <f>(표6[[#This Row],[금액]]-(표6[[#This Row],[금액]]*표6[[#This Row],[어린이할인율]]))*표6[[#This Row],[어린이]]</f>
        <v>459000</v>
      </c>
    </row>
    <row r="33" spans="1:16" x14ac:dyDescent="0.3">
      <c r="A33" s="2">
        <v>32</v>
      </c>
      <c r="B33" s="2">
        <v>5</v>
      </c>
      <c r="C33" s="6">
        <v>44481</v>
      </c>
      <c r="D33" s="2">
        <v>4</v>
      </c>
      <c r="E33" s="2">
        <v>3</v>
      </c>
      <c r="F33" s="2">
        <v>3</v>
      </c>
      <c r="G33" s="2">
        <v>0</v>
      </c>
      <c r="H33" s="7">
        <f>VLOOKUP(표6[[#This Row],[패키지번호]], 표5[], 5, 0)</f>
        <v>22500</v>
      </c>
      <c r="I33" s="17">
        <v>0</v>
      </c>
      <c r="J33" s="17">
        <v>0</v>
      </c>
      <c r="K33" s="17">
        <v>0</v>
      </c>
      <c r="L33" s="17">
        <v>0.05</v>
      </c>
      <c r="M33" s="7">
        <f>SUM(표6[[#This Row],[성인금액]:[어린이금액]])-SUM(표6[[#This Row],[성인금액]:[어린이금액]])*표6[[#This Row],[총할인율]]</f>
        <v>128250</v>
      </c>
      <c r="N33" s="18">
        <f>(표6[[#This Row],[금액]] - (표6[[#This Row],[금액]]*표6[[#This Row],[성인할인율]])) *표6[[#This Row],[성인]]</f>
        <v>67500</v>
      </c>
      <c r="O33" s="18">
        <f>(표6[[#This Row],[금액]]-(표6[[#This Row],[금액]]*표6[[#This Row],[청소년할인율]]))*표6[[#This Row],[청소년]]</f>
        <v>67500</v>
      </c>
      <c r="P33" s="18">
        <f>(표6[[#This Row],[금액]]-(표6[[#This Row],[금액]]*표6[[#This Row],[어린이할인율]]))*표6[[#This Row],[어린이]]</f>
        <v>0</v>
      </c>
    </row>
    <row r="34" spans="1:16" x14ac:dyDescent="0.3">
      <c r="A34" s="2">
        <v>33</v>
      </c>
      <c r="B34" s="2">
        <v>21</v>
      </c>
      <c r="C34" s="6">
        <v>44481</v>
      </c>
      <c r="D34" s="2">
        <v>5</v>
      </c>
      <c r="E34" s="2">
        <v>2</v>
      </c>
      <c r="F34" s="2">
        <v>2</v>
      </c>
      <c r="G34" s="2">
        <v>1</v>
      </c>
      <c r="H34" s="7">
        <f>VLOOKUP(표6[[#This Row],[패키지번호]], 표5[], 5, 0)</f>
        <v>28500</v>
      </c>
      <c r="I34" s="17">
        <v>0</v>
      </c>
      <c r="J34" s="17">
        <v>0</v>
      </c>
      <c r="K34" s="17">
        <v>0</v>
      </c>
      <c r="L34" s="17">
        <v>0.05</v>
      </c>
      <c r="M34" s="7">
        <f>SUM(표6[[#This Row],[성인금액]:[어린이금액]])-SUM(표6[[#This Row],[성인금액]:[어린이금액]])*표6[[#This Row],[총할인율]]</f>
        <v>135375</v>
      </c>
      <c r="N34" s="18">
        <f>(표6[[#This Row],[금액]] - (표6[[#This Row],[금액]]*표6[[#This Row],[성인할인율]])) *표6[[#This Row],[성인]]</f>
        <v>57000</v>
      </c>
      <c r="O34" s="18">
        <f>(표6[[#This Row],[금액]]-(표6[[#This Row],[금액]]*표6[[#This Row],[청소년할인율]]))*표6[[#This Row],[청소년]]</f>
        <v>57000</v>
      </c>
      <c r="P34" s="18">
        <f>(표6[[#This Row],[금액]]-(표6[[#This Row],[금액]]*표6[[#This Row],[어린이할인율]]))*표6[[#This Row],[어린이]]</f>
        <v>28500</v>
      </c>
    </row>
    <row r="35" spans="1:16" x14ac:dyDescent="0.3">
      <c r="A35" s="2">
        <v>34</v>
      </c>
      <c r="B35" s="2">
        <v>12</v>
      </c>
      <c r="C35" s="6">
        <v>44483</v>
      </c>
      <c r="D35" s="2">
        <v>1</v>
      </c>
      <c r="E35" s="2">
        <v>3</v>
      </c>
      <c r="F35" s="2">
        <v>3</v>
      </c>
      <c r="G35" s="2">
        <v>0</v>
      </c>
      <c r="H35" s="7">
        <f>VLOOKUP(표6[[#This Row],[패키지번호]], 표5[], 5, 0)</f>
        <v>35150</v>
      </c>
      <c r="I35" s="17">
        <v>0</v>
      </c>
      <c r="J35" s="17">
        <v>0</v>
      </c>
      <c r="K35" s="17">
        <v>0</v>
      </c>
      <c r="L35" s="17">
        <v>0.05</v>
      </c>
      <c r="M35" s="7">
        <f>SUM(표6[[#This Row],[성인금액]:[어린이금액]])-SUM(표6[[#This Row],[성인금액]:[어린이금액]])*표6[[#This Row],[총할인율]]</f>
        <v>200355</v>
      </c>
      <c r="N35" s="18">
        <f>(표6[[#This Row],[금액]] - (표6[[#This Row],[금액]]*표6[[#This Row],[성인할인율]])) *표6[[#This Row],[성인]]</f>
        <v>105450</v>
      </c>
      <c r="O35" s="18">
        <f>(표6[[#This Row],[금액]]-(표6[[#This Row],[금액]]*표6[[#This Row],[청소년할인율]]))*표6[[#This Row],[청소년]]</f>
        <v>105450</v>
      </c>
      <c r="P35" s="18">
        <f>(표6[[#This Row],[금액]]-(표6[[#This Row],[금액]]*표6[[#This Row],[어린이할인율]]))*표6[[#This Row],[어린이]]</f>
        <v>0</v>
      </c>
    </row>
    <row r="36" spans="1:16" x14ac:dyDescent="0.3">
      <c r="A36" s="2">
        <v>35</v>
      </c>
      <c r="B36" s="2">
        <v>21</v>
      </c>
      <c r="C36" s="6">
        <v>44483</v>
      </c>
      <c r="D36" s="2">
        <v>4</v>
      </c>
      <c r="E36" s="2">
        <v>9</v>
      </c>
      <c r="F36" s="2">
        <v>2</v>
      </c>
      <c r="G36" s="2">
        <v>1</v>
      </c>
      <c r="H36" s="7">
        <f>VLOOKUP(표6[[#This Row],[패키지번호]], 표5[], 5, 0)</f>
        <v>22500</v>
      </c>
      <c r="I36" s="17">
        <v>0</v>
      </c>
      <c r="J36" s="17">
        <v>0</v>
      </c>
      <c r="K36" s="17">
        <v>0</v>
      </c>
      <c r="L36" s="17">
        <v>0.05</v>
      </c>
      <c r="M36" s="7">
        <f>SUM(표6[[#This Row],[성인금액]:[어린이금액]])-SUM(표6[[#This Row],[성인금액]:[어린이금액]])*표6[[#This Row],[총할인율]]</f>
        <v>256500</v>
      </c>
      <c r="N36" s="18">
        <f>(표6[[#This Row],[금액]] - (표6[[#This Row],[금액]]*표6[[#This Row],[성인할인율]])) *표6[[#This Row],[성인]]</f>
        <v>202500</v>
      </c>
      <c r="O36" s="18">
        <f>(표6[[#This Row],[금액]]-(표6[[#This Row],[금액]]*표6[[#This Row],[청소년할인율]]))*표6[[#This Row],[청소년]]</f>
        <v>45000</v>
      </c>
      <c r="P36" s="18">
        <f>(표6[[#This Row],[금액]]-(표6[[#This Row],[금액]]*표6[[#This Row],[어린이할인율]]))*표6[[#This Row],[어린이]]</f>
        <v>22500</v>
      </c>
    </row>
    <row r="37" spans="1:16" x14ac:dyDescent="0.3">
      <c r="A37" s="2">
        <v>36</v>
      </c>
      <c r="B37" s="2">
        <v>2</v>
      </c>
      <c r="C37" s="6">
        <v>44484</v>
      </c>
      <c r="D37" s="2">
        <v>4</v>
      </c>
      <c r="E37" s="2">
        <v>5</v>
      </c>
      <c r="F37" s="2">
        <v>1</v>
      </c>
      <c r="G37" s="2">
        <v>1</v>
      </c>
      <c r="H37" s="7">
        <f>VLOOKUP(표6[[#This Row],[패키지번호]], 표5[], 5, 0)</f>
        <v>22500</v>
      </c>
      <c r="I37" s="17">
        <v>0</v>
      </c>
      <c r="J37" s="17">
        <v>0</v>
      </c>
      <c r="K37" s="17">
        <v>0</v>
      </c>
      <c r="L37" s="17">
        <v>0.05</v>
      </c>
      <c r="M37" s="7">
        <f>SUM(표6[[#This Row],[성인금액]:[어린이금액]])-SUM(표6[[#This Row],[성인금액]:[어린이금액]])*표6[[#This Row],[총할인율]]</f>
        <v>149625</v>
      </c>
      <c r="N37" s="18">
        <f>(표6[[#This Row],[금액]] - (표6[[#This Row],[금액]]*표6[[#This Row],[성인할인율]])) *표6[[#This Row],[성인]]</f>
        <v>112500</v>
      </c>
      <c r="O37" s="18">
        <f>(표6[[#This Row],[금액]]-(표6[[#This Row],[금액]]*표6[[#This Row],[청소년할인율]]))*표6[[#This Row],[청소년]]</f>
        <v>22500</v>
      </c>
      <c r="P37" s="18">
        <f>(표6[[#This Row],[금액]]-(표6[[#This Row],[금액]]*표6[[#This Row],[어린이할인율]]))*표6[[#This Row],[어린이]]</f>
        <v>22500</v>
      </c>
    </row>
    <row r="38" spans="1:16" x14ac:dyDescent="0.3">
      <c r="A38" s="2">
        <v>37</v>
      </c>
      <c r="B38" s="2">
        <v>3</v>
      </c>
      <c r="C38" s="6">
        <v>44485</v>
      </c>
      <c r="D38" s="2">
        <v>5</v>
      </c>
      <c r="E38" s="2">
        <v>3</v>
      </c>
      <c r="F38" s="2">
        <v>3</v>
      </c>
      <c r="G38" s="2">
        <v>0</v>
      </c>
      <c r="H38" s="7">
        <f>VLOOKUP(표6[[#This Row],[패키지번호]], 표5[], 5, 0)</f>
        <v>28500</v>
      </c>
      <c r="I38" s="17">
        <v>0</v>
      </c>
      <c r="J38" s="17">
        <v>0</v>
      </c>
      <c r="K38" s="17">
        <v>0</v>
      </c>
      <c r="L38" s="17">
        <v>0.05</v>
      </c>
      <c r="M38" s="7">
        <f>SUM(표6[[#This Row],[성인금액]:[어린이금액]])-SUM(표6[[#This Row],[성인금액]:[어린이금액]])*표6[[#This Row],[총할인율]]</f>
        <v>162450</v>
      </c>
      <c r="N38" s="18">
        <f>(표6[[#This Row],[금액]] - (표6[[#This Row],[금액]]*표6[[#This Row],[성인할인율]])) *표6[[#This Row],[성인]]</f>
        <v>85500</v>
      </c>
      <c r="O38" s="18">
        <f>(표6[[#This Row],[금액]]-(표6[[#This Row],[금액]]*표6[[#This Row],[청소년할인율]]))*표6[[#This Row],[청소년]]</f>
        <v>85500</v>
      </c>
      <c r="P38" s="18">
        <f>(표6[[#This Row],[금액]]-(표6[[#This Row],[금액]]*표6[[#This Row],[어린이할인율]]))*표6[[#This Row],[어린이]]</f>
        <v>0</v>
      </c>
    </row>
    <row r="39" spans="1:16" x14ac:dyDescent="0.3">
      <c r="A39" s="2">
        <v>38</v>
      </c>
      <c r="B39" s="2">
        <v>24</v>
      </c>
      <c r="C39" s="6">
        <v>44486</v>
      </c>
      <c r="D39" s="2">
        <v>2</v>
      </c>
      <c r="E39" s="2">
        <v>10</v>
      </c>
      <c r="F39" s="2">
        <v>5</v>
      </c>
      <c r="G39" s="2">
        <v>1</v>
      </c>
      <c r="H39" s="7">
        <f>VLOOKUP(표6[[#This Row],[패키지번호]], 표5[], 5, 0)</f>
        <v>45900</v>
      </c>
      <c r="I39" s="17">
        <v>0</v>
      </c>
      <c r="J39" s="17">
        <v>0</v>
      </c>
      <c r="K39" s="17">
        <v>0</v>
      </c>
      <c r="L39" s="17">
        <v>0.05</v>
      </c>
      <c r="M39" s="7">
        <f>SUM(표6[[#This Row],[성인금액]:[어린이금액]])-SUM(표6[[#This Row],[성인금액]:[어린이금액]])*표6[[#This Row],[총할인율]]</f>
        <v>697680</v>
      </c>
      <c r="N39" s="18">
        <f>(표6[[#This Row],[금액]] - (표6[[#This Row],[금액]]*표6[[#This Row],[성인할인율]])) *표6[[#This Row],[성인]]</f>
        <v>459000</v>
      </c>
      <c r="O39" s="18">
        <f>(표6[[#This Row],[금액]]-(표6[[#This Row],[금액]]*표6[[#This Row],[청소년할인율]]))*표6[[#This Row],[청소년]]</f>
        <v>229500</v>
      </c>
      <c r="P39" s="18">
        <f>(표6[[#This Row],[금액]]-(표6[[#This Row],[금액]]*표6[[#This Row],[어린이할인율]]))*표6[[#This Row],[어린이]]</f>
        <v>45900</v>
      </c>
    </row>
    <row r="40" spans="1:16" x14ac:dyDescent="0.3">
      <c r="A40" s="2">
        <v>39</v>
      </c>
      <c r="B40" s="2">
        <v>3</v>
      </c>
      <c r="C40" s="6">
        <v>44486</v>
      </c>
      <c r="D40" s="2">
        <v>7</v>
      </c>
      <c r="E40" s="2">
        <v>4</v>
      </c>
      <c r="F40" s="2">
        <v>2</v>
      </c>
      <c r="G40" s="2">
        <v>1</v>
      </c>
      <c r="H40" s="7">
        <f>VLOOKUP(표6[[#This Row],[패키지번호]], 표5[], 5, 0)</f>
        <v>48150</v>
      </c>
      <c r="I40" s="17">
        <v>0</v>
      </c>
      <c r="J40" s="17">
        <v>0</v>
      </c>
      <c r="K40" s="17">
        <v>0</v>
      </c>
      <c r="L40" s="17">
        <v>0.05</v>
      </c>
      <c r="M40" s="7">
        <f>SUM(표6[[#This Row],[성인금액]:[어린이금액]])-SUM(표6[[#This Row],[성인금액]:[어린이금액]])*표6[[#This Row],[총할인율]]</f>
        <v>320197.5</v>
      </c>
      <c r="N40" s="18">
        <f>(표6[[#This Row],[금액]] - (표6[[#This Row],[금액]]*표6[[#This Row],[성인할인율]])) *표6[[#This Row],[성인]]</f>
        <v>192600</v>
      </c>
      <c r="O40" s="18">
        <f>(표6[[#This Row],[금액]]-(표6[[#This Row],[금액]]*표6[[#This Row],[청소년할인율]]))*표6[[#This Row],[청소년]]</f>
        <v>96300</v>
      </c>
      <c r="P40" s="18">
        <f>(표6[[#This Row],[금액]]-(표6[[#This Row],[금액]]*표6[[#This Row],[어린이할인율]]))*표6[[#This Row],[어린이]]</f>
        <v>48150</v>
      </c>
    </row>
    <row r="41" spans="1:16" x14ac:dyDescent="0.3">
      <c r="A41" s="2">
        <v>40</v>
      </c>
      <c r="B41" s="2">
        <v>3</v>
      </c>
      <c r="C41" s="6">
        <v>44487</v>
      </c>
      <c r="D41" s="2">
        <v>10</v>
      </c>
      <c r="E41" s="2">
        <v>13</v>
      </c>
      <c r="F41" s="2">
        <v>2</v>
      </c>
      <c r="G41" s="2">
        <v>0</v>
      </c>
      <c r="H41" s="7">
        <f>VLOOKUP(표6[[#This Row],[패키지번호]], 표5[], 5, 0)</f>
        <v>68400</v>
      </c>
      <c r="I41" s="17">
        <v>0</v>
      </c>
      <c r="J41" s="17">
        <v>0</v>
      </c>
      <c r="K41" s="17">
        <v>0</v>
      </c>
      <c r="L41" s="17">
        <v>0.05</v>
      </c>
      <c r="M41" s="7">
        <f>SUM(표6[[#This Row],[성인금액]:[어린이금액]])-SUM(표6[[#This Row],[성인금액]:[어린이금액]])*표6[[#This Row],[총할인율]]</f>
        <v>974700</v>
      </c>
      <c r="N41" s="18">
        <f>(표6[[#This Row],[금액]] - (표6[[#This Row],[금액]]*표6[[#This Row],[성인할인율]])) *표6[[#This Row],[성인]]</f>
        <v>889200</v>
      </c>
      <c r="O41" s="18">
        <f>(표6[[#This Row],[금액]]-(표6[[#This Row],[금액]]*표6[[#This Row],[청소년할인율]]))*표6[[#This Row],[청소년]]</f>
        <v>136800</v>
      </c>
      <c r="P41" s="18">
        <f>(표6[[#This Row],[금액]]-(표6[[#This Row],[금액]]*표6[[#This Row],[어린이할인율]]))*표6[[#This Row],[어린이]]</f>
        <v>0</v>
      </c>
    </row>
    <row r="42" spans="1:16" x14ac:dyDescent="0.3">
      <c r="A42" s="2">
        <v>41</v>
      </c>
      <c r="B42" s="2">
        <v>6</v>
      </c>
      <c r="C42" s="6">
        <v>44487</v>
      </c>
      <c r="D42" s="2">
        <v>5</v>
      </c>
      <c r="E42" s="2">
        <v>3</v>
      </c>
      <c r="F42" s="2">
        <v>3</v>
      </c>
      <c r="G42" s="2">
        <v>1</v>
      </c>
      <c r="H42" s="7">
        <f>VLOOKUP(표6[[#This Row],[패키지번호]], 표5[], 5, 0)</f>
        <v>28500</v>
      </c>
      <c r="I42" s="17">
        <v>0</v>
      </c>
      <c r="J42" s="17">
        <v>0</v>
      </c>
      <c r="K42" s="17">
        <v>0</v>
      </c>
      <c r="L42" s="17">
        <v>0.05</v>
      </c>
      <c r="M42" s="7">
        <f>SUM(표6[[#This Row],[성인금액]:[어린이금액]])-SUM(표6[[#This Row],[성인금액]:[어린이금액]])*표6[[#This Row],[총할인율]]</f>
        <v>189525</v>
      </c>
      <c r="N42" s="18">
        <f>(표6[[#This Row],[금액]] - (표6[[#This Row],[금액]]*표6[[#This Row],[성인할인율]])) *표6[[#This Row],[성인]]</f>
        <v>85500</v>
      </c>
      <c r="O42" s="18">
        <f>(표6[[#This Row],[금액]]-(표6[[#This Row],[금액]]*표6[[#This Row],[청소년할인율]]))*표6[[#This Row],[청소년]]</f>
        <v>85500</v>
      </c>
      <c r="P42" s="18">
        <f>(표6[[#This Row],[금액]]-(표6[[#This Row],[금액]]*표6[[#This Row],[어린이할인율]]))*표6[[#This Row],[어린이]]</f>
        <v>28500</v>
      </c>
    </row>
    <row r="43" spans="1:16" x14ac:dyDescent="0.3">
      <c r="A43" s="2">
        <v>42</v>
      </c>
      <c r="B43" s="2">
        <v>8</v>
      </c>
      <c r="C43" s="6">
        <v>44488</v>
      </c>
      <c r="D43" s="2">
        <v>6</v>
      </c>
      <c r="E43" s="2">
        <v>3</v>
      </c>
      <c r="F43" s="2">
        <v>1</v>
      </c>
      <c r="G43" s="2">
        <v>0</v>
      </c>
      <c r="H43" s="7">
        <f>VLOOKUP(표6[[#This Row],[패키지번호]], 표5[], 5, 0)</f>
        <v>38700</v>
      </c>
      <c r="I43" s="17">
        <v>0</v>
      </c>
      <c r="J43" s="17">
        <v>0</v>
      </c>
      <c r="K43" s="17">
        <v>0</v>
      </c>
      <c r="L43" s="17">
        <v>0.05</v>
      </c>
      <c r="M43" s="7">
        <f>SUM(표6[[#This Row],[성인금액]:[어린이금액]])-SUM(표6[[#This Row],[성인금액]:[어린이금액]])*표6[[#This Row],[총할인율]]</f>
        <v>147060</v>
      </c>
      <c r="N43" s="18">
        <f>(표6[[#This Row],[금액]] - (표6[[#This Row],[금액]]*표6[[#This Row],[성인할인율]])) *표6[[#This Row],[성인]]</f>
        <v>116100</v>
      </c>
      <c r="O43" s="18">
        <f>(표6[[#This Row],[금액]]-(표6[[#This Row],[금액]]*표6[[#This Row],[청소년할인율]]))*표6[[#This Row],[청소년]]</f>
        <v>38700</v>
      </c>
      <c r="P43" s="18">
        <f>(표6[[#This Row],[금액]]-(표6[[#This Row],[금액]]*표6[[#This Row],[어린이할인율]]))*표6[[#This Row],[어린이]]</f>
        <v>0</v>
      </c>
    </row>
    <row r="44" spans="1:16" x14ac:dyDescent="0.3">
      <c r="A44" s="2">
        <v>43</v>
      </c>
      <c r="B44" s="2">
        <v>7</v>
      </c>
      <c r="C44" s="6">
        <v>44489</v>
      </c>
      <c r="D44" s="2">
        <v>5</v>
      </c>
      <c r="E44" s="2">
        <v>5</v>
      </c>
      <c r="F44" s="2">
        <v>5</v>
      </c>
      <c r="G44" s="2">
        <v>0</v>
      </c>
      <c r="H44" s="7">
        <f>VLOOKUP(표6[[#This Row],[패키지번호]], 표5[], 5, 0)</f>
        <v>28500</v>
      </c>
      <c r="I44" s="17">
        <v>0</v>
      </c>
      <c r="J44" s="17">
        <v>0</v>
      </c>
      <c r="K44" s="17">
        <v>0</v>
      </c>
      <c r="L44" s="17">
        <v>0.05</v>
      </c>
      <c r="M44" s="7">
        <f>SUM(표6[[#This Row],[성인금액]:[어린이금액]])-SUM(표6[[#This Row],[성인금액]:[어린이금액]])*표6[[#This Row],[총할인율]]</f>
        <v>270750</v>
      </c>
      <c r="N44" s="18">
        <f>(표6[[#This Row],[금액]] - (표6[[#This Row],[금액]]*표6[[#This Row],[성인할인율]])) *표6[[#This Row],[성인]]</f>
        <v>142500</v>
      </c>
      <c r="O44" s="18">
        <f>(표6[[#This Row],[금액]]-(표6[[#This Row],[금액]]*표6[[#This Row],[청소년할인율]]))*표6[[#This Row],[청소년]]</f>
        <v>142500</v>
      </c>
      <c r="P44" s="18">
        <f>(표6[[#This Row],[금액]]-(표6[[#This Row],[금액]]*표6[[#This Row],[어린이할인율]]))*표6[[#This Row],[어린이]]</f>
        <v>0</v>
      </c>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7"/>
  <sheetViews>
    <sheetView workbookViewId="0">
      <selection activeCell="K14" sqref="K14"/>
    </sheetView>
  </sheetViews>
  <sheetFormatPr defaultRowHeight="16.5" x14ac:dyDescent="0.3"/>
  <cols>
    <col min="1" max="1" width="9" style="2"/>
    <col min="2" max="2" width="10.25" style="2" customWidth="1"/>
    <col min="3" max="3" width="12.5" style="2" customWidth="1"/>
    <col min="4" max="6" width="9" style="2"/>
    <col min="7" max="7" width="48.125" style="2" bestFit="1" customWidth="1"/>
    <col min="8" max="8" width="11.375" style="2" customWidth="1"/>
    <col min="9" max="9" width="10.25" style="2" customWidth="1"/>
  </cols>
  <sheetData>
    <row r="1" spans="1:9" x14ac:dyDescent="0.3">
      <c r="A1" s="2" t="s">
        <v>23</v>
      </c>
      <c r="B1" s="2" t="s">
        <v>489</v>
      </c>
      <c r="C1" s="2" t="s">
        <v>501</v>
      </c>
      <c r="D1" s="2" t="s">
        <v>502</v>
      </c>
      <c r="E1" s="2" t="s">
        <v>503</v>
      </c>
      <c r="F1" s="2" t="s">
        <v>504</v>
      </c>
      <c r="G1" s="2" t="s">
        <v>505</v>
      </c>
      <c r="H1" s="2" t="s">
        <v>506</v>
      </c>
      <c r="I1" s="2" t="s">
        <v>507</v>
      </c>
    </row>
    <row r="2" spans="1:9" x14ac:dyDescent="0.3">
      <c r="A2" s="2">
        <v>1</v>
      </c>
      <c r="B2" s="2">
        <v>1</v>
      </c>
      <c r="C2" s="2" t="s">
        <v>508</v>
      </c>
      <c r="D2" s="2">
        <v>5</v>
      </c>
      <c r="E2" s="2">
        <v>1</v>
      </c>
      <c r="F2" s="2">
        <v>3</v>
      </c>
      <c r="G2" s="2" t="s">
        <v>509</v>
      </c>
      <c r="H2" s="2" t="s">
        <v>510</v>
      </c>
      <c r="I2" s="2" t="s">
        <v>511</v>
      </c>
    </row>
    <row r="3" spans="1:9" x14ac:dyDescent="0.3">
      <c r="A3" s="2">
        <v>2</v>
      </c>
      <c r="B3" s="2">
        <v>5</v>
      </c>
      <c r="C3" s="2" t="s">
        <v>512</v>
      </c>
      <c r="D3" s="2">
        <v>3</v>
      </c>
      <c r="E3" s="2">
        <v>3</v>
      </c>
      <c r="F3" s="2">
        <v>3</v>
      </c>
      <c r="G3" s="2" t="s">
        <v>513</v>
      </c>
      <c r="H3" s="2" t="s">
        <v>510</v>
      </c>
      <c r="I3" s="2" t="s">
        <v>511</v>
      </c>
    </row>
    <row r="4" spans="1:9" x14ac:dyDescent="0.3">
      <c r="A4" s="2">
        <v>3</v>
      </c>
      <c r="B4" s="2">
        <v>3</v>
      </c>
      <c r="C4" s="2" t="s">
        <v>514</v>
      </c>
      <c r="D4" s="2">
        <v>5</v>
      </c>
      <c r="E4" s="2">
        <v>5</v>
      </c>
      <c r="F4" s="2">
        <v>5</v>
      </c>
      <c r="G4" s="2" t="s">
        <v>515</v>
      </c>
      <c r="H4" s="2" t="s">
        <v>511</v>
      </c>
      <c r="I4" s="2" t="s">
        <v>510</v>
      </c>
    </row>
    <row r="5" spans="1:9" x14ac:dyDescent="0.3">
      <c r="A5" s="2">
        <v>4</v>
      </c>
      <c r="B5" s="2">
        <v>2</v>
      </c>
      <c r="C5" s="2" t="s">
        <v>516</v>
      </c>
      <c r="D5" s="2">
        <v>2</v>
      </c>
      <c r="E5" s="2">
        <v>3</v>
      </c>
      <c r="F5" s="2">
        <v>4</v>
      </c>
      <c r="G5" s="2" t="s">
        <v>517</v>
      </c>
      <c r="H5" s="2" t="s">
        <v>510</v>
      </c>
      <c r="I5" s="2" t="s">
        <v>510</v>
      </c>
    </row>
    <row r="6" spans="1:9" x14ac:dyDescent="0.3">
      <c r="A6" s="2">
        <v>5</v>
      </c>
      <c r="B6" s="2">
        <v>1</v>
      </c>
      <c r="C6" s="2" t="s">
        <v>512</v>
      </c>
      <c r="D6" s="2">
        <v>5</v>
      </c>
      <c r="E6" s="2">
        <v>4</v>
      </c>
      <c r="F6" s="2">
        <v>5</v>
      </c>
      <c r="G6" s="2" t="s">
        <v>590</v>
      </c>
      <c r="H6" s="2" t="s">
        <v>510</v>
      </c>
      <c r="I6" s="2" t="s">
        <v>589</v>
      </c>
    </row>
    <row r="7" spans="1:9" x14ac:dyDescent="0.3">
      <c r="A7" s="2">
        <v>6</v>
      </c>
      <c r="B7" s="2">
        <v>2</v>
      </c>
      <c r="C7" s="2" t="s">
        <v>588</v>
      </c>
      <c r="D7" s="2">
        <v>1</v>
      </c>
      <c r="E7" s="2">
        <v>3</v>
      </c>
      <c r="F7" s="2">
        <v>3</v>
      </c>
      <c r="G7" s="2" t="s">
        <v>519</v>
      </c>
      <c r="H7" s="2" t="s">
        <v>511</v>
      </c>
      <c r="I7" s="2" t="s">
        <v>511</v>
      </c>
    </row>
    <row r="8" spans="1:9" x14ac:dyDescent="0.3">
      <c r="A8" s="2">
        <v>7</v>
      </c>
      <c r="B8" s="2">
        <v>7</v>
      </c>
      <c r="C8" s="2" t="s">
        <v>520</v>
      </c>
      <c r="D8" s="2">
        <v>1</v>
      </c>
      <c r="E8" s="2">
        <v>5</v>
      </c>
      <c r="F8" s="2">
        <v>3</v>
      </c>
      <c r="G8" s="2" t="s">
        <v>521</v>
      </c>
      <c r="H8" s="2" t="s">
        <v>510</v>
      </c>
      <c r="I8" s="2" t="s">
        <v>510</v>
      </c>
    </row>
    <row r="9" spans="1:9" x14ac:dyDescent="0.3">
      <c r="A9" s="2">
        <v>8</v>
      </c>
      <c r="B9" s="2">
        <v>3</v>
      </c>
      <c r="C9" s="2" t="s">
        <v>522</v>
      </c>
      <c r="D9" s="2">
        <v>3</v>
      </c>
      <c r="E9" s="2">
        <v>5</v>
      </c>
      <c r="F9" s="2">
        <v>1</v>
      </c>
      <c r="G9" s="2" t="s">
        <v>523</v>
      </c>
      <c r="H9" s="2" t="s">
        <v>511</v>
      </c>
      <c r="I9" s="2" t="s">
        <v>510</v>
      </c>
    </row>
    <row r="10" spans="1:9" x14ac:dyDescent="0.3">
      <c r="A10" s="2">
        <v>9</v>
      </c>
      <c r="B10" s="2">
        <v>3</v>
      </c>
      <c r="C10" s="2" t="s">
        <v>524</v>
      </c>
      <c r="D10" s="2">
        <v>5</v>
      </c>
      <c r="E10" s="2">
        <v>2</v>
      </c>
      <c r="F10" s="2">
        <v>2</v>
      </c>
      <c r="G10" s="2" t="s">
        <v>525</v>
      </c>
      <c r="H10" s="2" t="s">
        <v>510</v>
      </c>
      <c r="I10" s="2" t="s">
        <v>589</v>
      </c>
    </row>
    <row r="11" spans="1:9" x14ac:dyDescent="0.3">
      <c r="A11" s="2">
        <v>10</v>
      </c>
      <c r="B11" s="2">
        <v>2</v>
      </c>
      <c r="C11" s="2" t="s">
        <v>514</v>
      </c>
      <c r="D11" s="2">
        <v>2</v>
      </c>
      <c r="E11" s="2">
        <v>4</v>
      </c>
      <c r="F11" s="2">
        <v>4</v>
      </c>
      <c r="G11" s="2" t="s">
        <v>526</v>
      </c>
      <c r="H11" s="2" t="s">
        <v>510</v>
      </c>
      <c r="I11" s="2" t="s">
        <v>510</v>
      </c>
    </row>
    <row r="12" spans="1:9" x14ac:dyDescent="0.3">
      <c r="A12" s="2">
        <v>11</v>
      </c>
      <c r="B12" s="2">
        <v>8</v>
      </c>
      <c r="C12" s="2" t="s">
        <v>518</v>
      </c>
      <c r="D12" s="2">
        <v>4</v>
      </c>
      <c r="E12" s="2">
        <v>4</v>
      </c>
      <c r="F12" s="2">
        <v>3</v>
      </c>
      <c r="G12" s="2" t="s">
        <v>527</v>
      </c>
      <c r="H12" s="2" t="s">
        <v>511</v>
      </c>
      <c r="I12" s="2" t="s">
        <v>510</v>
      </c>
    </row>
    <row r="13" spans="1:9" x14ac:dyDescent="0.3">
      <c r="A13" s="2">
        <v>12</v>
      </c>
      <c r="B13" s="2">
        <v>5</v>
      </c>
      <c r="C13" s="2" t="s">
        <v>514</v>
      </c>
      <c r="D13" s="2">
        <v>3</v>
      </c>
      <c r="E13" s="2">
        <v>3</v>
      </c>
      <c r="F13" s="2">
        <v>2</v>
      </c>
      <c r="G13" s="2" t="s">
        <v>528</v>
      </c>
      <c r="H13" s="2" t="s">
        <v>510</v>
      </c>
      <c r="I13" s="2" t="s">
        <v>510</v>
      </c>
    </row>
    <row r="14" spans="1:9" x14ac:dyDescent="0.3">
      <c r="A14" s="2">
        <v>13</v>
      </c>
      <c r="B14" s="2">
        <v>3</v>
      </c>
      <c r="C14" s="2" t="s">
        <v>514</v>
      </c>
      <c r="D14" s="2">
        <v>3</v>
      </c>
      <c r="E14" s="2">
        <v>1</v>
      </c>
      <c r="F14" s="2">
        <v>4</v>
      </c>
      <c r="G14" s="2" t="s">
        <v>529</v>
      </c>
      <c r="H14" s="2" t="s">
        <v>511</v>
      </c>
      <c r="I14" s="2" t="s">
        <v>511</v>
      </c>
    </row>
    <row r="15" spans="1:9" x14ac:dyDescent="0.3">
      <c r="A15" s="2">
        <v>14</v>
      </c>
      <c r="B15" s="2">
        <v>2</v>
      </c>
      <c r="C15" s="2" t="s">
        <v>530</v>
      </c>
      <c r="D15" s="2">
        <v>2</v>
      </c>
      <c r="E15" s="2">
        <v>5</v>
      </c>
      <c r="F15" s="2">
        <v>3</v>
      </c>
      <c r="G15" s="2" t="s">
        <v>531</v>
      </c>
      <c r="H15" s="2" t="s">
        <v>510</v>
      </c>
      <c r="I15" s="2" t="s">
        <v>510</v>
      </c>
    </row>
    <row r="16" spans="1:9" x14ac:dyDescent="0.3">
      <c r="A16" s="2">
        <v>15</v>
      </c>
      <c r="B16" s="2">
        <v>7</v>
      </c>
      <c r="C16" s="2" t="s">
        <v>514</v>
      </c>
      <c r="D16" s="2">
        <v>5</v>
      </c>
      <c r="E16" s="2">
        <v>4</v>
      </c>
      <c r="F16" s="2">
        <v>5</v>
      </c>
      <c r="G16" s="2" t="s">
        <v>532</v>
      </c>
      <c r="H16" s="2" t="s">
        <v>511</v>
      </c>
      <c r="I16" s="2" t="s">
        <v>511</v>
      </c>
    </row>
    <row r="17" spans="1:9" x14ac:dyDescent="0.3">
      <c r="A17" s="2">
        <v>16</v>
      </c>
      <c r="B17" s="2">
        <v>9</v>
      </c>
      <c r="C17" s="2" t="s">
        <v>518</v>
      </c>
      <c r="D17" s="2">
        <v>5</v>
      </c>
      <c r="E17" s="2">
        <v>3</v>
      </c>
      <c r="F17" s="2">
        <v>4</v>
      </c>
      <c r="G17" s="2" t="s">
        <v>533</v>
      </c>
      <c r="H17" s="2" t="s">
        <v>510</v>
      </c>
      <c r="I17" s="2" t="s">
        <v>510</v>
      </c>
    </row>
    <row r="18" spans="1:9" x14ac:dyDescent="0.3">
      <c r="A18" s="2">
        <v>17</v>
      </c>
      <c r="B18" s="2">
        <v>18</v>
      </c>
      <c r="C18" s="2" t="s">
        <v>534</v>
      </c>
      <c r="D18" s="2">
        <v>1</v>
      </c>
      <c r="E18" s="2">
        <v>4</v>
      </c>
      <c r="F18" s="2">
        <v>4</v>
      </c>
      <c r="G18" s="2" t="s">
        <v>535</v>
      </c>
      <c r="H18" s="2" t="s">
        <v>511</v>
      </c>
      <c r="I18" s="2" t="s">
        <v>511</v>
      </c>
    </row>
    <row r="19" spans="1:9" x14ac:dyDescent="0.3">
      <c r="A19" s="2">
        <v>18</v>
      </c>
      <c r="B19" s="2">
        <v>1</v>
      </c>
      <c r="C19" s="2" t="s">
        <v>536</v>
      </c>
      <c r="D19" s="2">
        <v>4</v>
      </c>
      <c r="E19" s="2">
        <v>3</v>
      </c>
      <c r="F19" s="2">
        <v>3</v>
      </c>
      <c r="G19" s="2" t="s">
        <v>537</v>
      </c>
      <c r="H19" s="2" t="s">
        <v>510</v>
      </c>
      <c r="I19" s="2" t="s">
        <v>510</v>
      </c>
    </row>
    <row r="20" spans="1:9" x14ac:dyDescent="0.3">
      <c r="A20" s="2">
        <v>19</v>
      </c>
      <c r="B20" s="2">
        <v>2</v>
      </c>
      <c r="C20" s="2" t="s">
        <v>538</v>
      </c>
      <c r="D20" s="2">
        <v>3</v>
      </c>
      <c r="E20" s="2">
        <v>2</v>
      </c>
      <c r="F20" s="2">
        <v>3</v>
      </c>
      <c r="G20" s="2" t="s">
        <v>539</v>
      </c>
      <c r="H20" s="2" t="s">
        <v>511</v>
      </c>
      <c r="I20" s="2" t="s">
        <v>510</v>
      </c>
    </row>
    <row r="21" spans="1:9" x14ac:dyDescent="0.3">
      <c r="A21" s="2">
        <v>20</v>
      </c>
      <c r="B21" s="2">
        <v>18</v>
      </c>
      <c r="C21" s="2" t="s">
        <v>540</v>
      </c>
      <c r="D21" s="2">
        <v>5</v>
      </c>
      <c r="E21" s="2">
        <v>1</v>
      </c>
      <c r="F21" s="2">
        <v>2</v>
      </c>
      <c r="G21" s="2" t="s">
        <v>541</v>
      </c>
      <c r="H21" s="2" t="s">
        <v>510</v>
      </c>
      <c r="I21" s="2" t="s">
        <v>510</v>
      </c>
    </row>
    <row r="22" spans="1:9" x14ac:dyDescent="0.3">
      <c r="A22" s="2">
        <v>21</v>
      </c>
      <c r="B22" s="2">
        <v>16</v>
      </c>
      <c r="C22" s="2" t="s">
        <v>542</v>
      </c>
      <c r="D22" s="2">
        <v>5</v>
      </c>
      <c r="E22" s="2">
        <v>2</v>
      </c>
      <c r="F22" s="2">
        <v>5</v>
      </c>
      <c r="G22" s="2" t="s">
        <v>543</v>
      </c>
      <c r="H22" s="2" t="s">
        <v>511</v>
      </c>
      <c r="I22" s="2" t="s">
        <v>511</v>
      </c>
    </row>
    <row r="23" spans="1:9" x14ac:dyDescent="0.3">
      <c r="A23" s="2">
        <v>22</v>
      </c>
      <c r="B23" s="2">
        <v>20</v>
      </c>
      <c r="C23" s="2" t="s">
        <v>544</v>
      </c>
      <c r="D23" s="2">
        <v>4</v>
      </c>
      <c r="E23" s="2">
        <v>3</v>
      </c>
      <c r="F23" s="2">
        <v>5</v>
      </c>
      <c r="G23" s="2" t="s">
        <v>545</v>
      </c>
      <c r="H23" s="2" t="s">
        <v>510</v>
      </c>
      <c r="I23" s="2" t="s">
        <v>510</v>
      </c>
    </row>
    <row r="24" spans="1:9" x14ac:dyDescent="0.3">
      <c r="A24" s="2">
        <v>23</v>
      </c>
      <c r="B24" s="2">
        <v>18</v>
      </c>
      <c r="C24" s="2" t="s">
        <v>536</v>
      </c>
      <c r="D24" s="2">
        <v>3</v>
      </c>
      <c r="E24" s="2">
        <v>4</v>
      </c>
      <c r="F24" s="2">
        <v>2</v>
      </c>
      <c r="G24" s="2" t="s">
        <v>546</v>
      </c>
      <c r="H24" s="2" t="s">
        <v>511</v>
      </c>
      <c r="I24" s="2" t="s">
        <v>511</v>
      </c>
    </row>
    <row r="25" spans="1:9" x14ac:dyDescent="0.3">
      <c r="A25" s="2">
        <v>24</v>
      </c>
      <c r="B25" s="2">
        <v>24</v>
      </c>
      <c r="C25" s="2" t="s">
        <v>547</v>
      </c>
      <c r="D25" s="2">
        <v>2</v>
      </c>
      <c r="E25" s="2">
        <v>3</v>
      </c>
      <c r="F25" s="2">
        <v>4</v>
      </c>
      <c r="G25" s="2" t="s">
        <v>548</v>
      </c>
      <c r="H25" s="2" t="s">
        <v>510</v>
      </c>
      <c r="I25" s="2" t="s">
        <v>510</v>
      </c>
    </row>
    <row r="26" spans="1:9" x14ac:dyDescent="0.3">
      <c r="A26" s="2">
        <v>25</v>
      </c>
      <c r="B26" s="2">
        <v>5</v>
      </c>
      <c r="C26" s="2" t="s">
        <v>549</v>
      </c>
      <c r="D26" s="2">
        <v>5</v>
      </c>
      <c r="E26" s="2">
        <v>4</v>
      </c>
      <c r="F26" s="2">
        <v>4</v>
      </c>
      <c r="G26" s="2" t="s">
        <v>550</v>
      </c>
      <c r="H26" s="2" t="s">
        <v>511</v>
      </c>
      <c r="I26" s="2" t="s">
        <v>510</v>
      </c>
    </row>
    <row r="27" spans="1:9" x14ac:dyDescent="0.3">
      <c r="A27" s="2">
        <v>26</v>
      </c>
      <c r="B27" s="2">
        <v>24</v>
      </c>
      <c r="C27" s="2" t="s">
        <v>542</v>
      </c>
      <c r="D27" s="2">
        <v>2</v>
      </c>
      <c r="E27" s="2">
        <v>2</v>
      </c>
      <c r="F27" s="2">
        <v>2</v>
      </c>
      <c r="G27" s="2" t="s">
        <v>551</v>
      </c>
      <c r="H27" s="2" t="s">
        <v>511</v>
      </c>
      <c r="I27" s="2" t="s">
        <v>511</v>
      </c>
    </row>
  </sheetData>
  <phoneticPr fontId="2"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1"/>
  <sheetViews>
    <sheetView workbookViewId="0">
      <selection activeCell="G19" sqref="G19"/>
    </sheetView>
  </sheetViews>
  <sheetFormatPr defaultRowHeight="16.5" x14ac:dyDescent="0.3"/>
  <cols>
    <col min="1" max="1" width="9" style="2"/>
    <col min="2" max="2" width="10.25" style="2" customWidth="1"/>
    <col min="3" max="3" width="15.875" style="2" bestFit="1" customWidth="1"/>
    <col min="4" max="5" width="11.125" style="2" bestFit="1" customWidth="1"/>
    <col min="6" max="6" width="20" style="2" bestFit="1" customWidth="1"/>
    <col min="7" max="7" width="10.875" style="2" customWidth="1"/>
  </cols>
  <sheetData>
    <row r="1" spans="1:7" x14ac:dyDescent="0.3">
      <c r="A1" s="20" t="s">
        <v>23</v>
      </c>
      <c r="B1" s="20" t="s">
        <v>489</v>
      </c>
      <c r="C1" s="20" t="s">
        <v>552</v>
      </c>
      <c r="D1" s="20" t="s">
        <v>553</v>
      </c>
      <c r="E1" s="20" t="s">
        <v>554</v>
      </c>
      <c r="F1" s="20" t="s">
        <v>555</v>
      </c>
      <c r="G1" s="21" t="s">
        <v>556</v>
      </c>
    </row>
    <row r="2" spans="1:7" x14ac:dyDescent="0.3">
      <c r="A2" s="12">
        <v>1</v>
      </c>
      <c r="B2" s="12">
        <v>3</v>
      </c>
      <c r="C2" s="12" t="s">
        <v>557</v>
      </c>
      <c r="D2" s="22">
        <v>44473</v>
      </c>
      <c r="E2" s="22">
        <v>44504</v>
      </c>
      <c r="F2" s="12" t="s">
        <v>571</v>
      </c>
      <c r="G2" s="23" t="s">
        <v>510</v>
      </c>
    </row>
    <row r="3" spans="1:7" x14ac:dyDescent="0.3">
      <c r="A3" s="12">
        <v>2</v>
      </c>
      <c r="B3" s="12">
        <v>6</v>
      </c>
      <c r="C3" s="12" t="s">
        <v>558</v>
      </c>
      <c r="D3" s="22">
        <v>44473</v>
      </c>
      <c r="E3" s="22">
        <v>44504</v>
      </c>
      <c r="F3" s="12" t="s">
        <v>6</v>
      </c>
      <c r="G3" s="23" t="s">
        <v>510</v>
      </c>
    </row>
    <row r="4" spans="1:7" x14ac:dyDescent="0.3">
      <c r="A4" s="12">
        <v>3</v>
      </c>
      <c r="B4" s="12">
        <v>1</v>
      </c>
      <c r="C4" s="12" t="s">
        <v>559</v>
      </c>
      <c r="D4" s="22">
        <v>44473</v>
      </c>
      <c r="E4" s="22">
        <v>44504</v>
      </c>
      <c r="F4" s="12" t="s">
        <v>6</v>
      </c>
      <c r="G4" s="23" t="s">
        <v>511</v>
      </c>
    </row>
    <row r="5" spans="1:7" x14ac:dyDescent="0.3">
      <c r="A5" s="12">
        <v>4</v>
      </c>
      <c r="B5" s="12">
        <v>2</v>
      </c>
      <c r="C5" s="12" t="s">
        <v>560</v>
      </c>
      <c r="D5" s="22">
        <v>44473</v>
      </c>
      <c r="E5" s="22">
        <v>44504</v>
      </c>
      <c r="F5" s="12" t="s">
        <v>6</v>
      </c>
      <c r="G5" s="23" t="s">
        <v>510</v>
      </c>
    </row>
    <row r="6" spans="1:7" x14ac:dyDescent="0.3">
      <c r="A6" s="12">
        <v>5</v>
      </c>
      <c r="B6" s="12">
        <v>12</v>
      </c>
      <c r="C6" s="12" t="s">
        <v>561</v>
      </c>
      <c r="D6" s="22">
        <v>44473</v>
      </c>
      <c r="E6" s="22">
        <v>44504</v>
      </c>
      <c r="F6" s="12" t="s">
        <v>6</v>
      </c>
      <c r="G6" s="23" t="s">
        <v>511</v>
      </c>
    </row>
    <row r="7" spans="1:7" x14ac:dyDescent="0.3">
      <c r="A7" s="12">
        <v>6</v>
      </c>
      <c r="B7" s="12">
        <v>6</v>
      </c>
      <c r="C7" s="12" t="s">
        <v>562</v>
      </c>
      <c r="D7" s="22">
        <v>44473</v>
      </c>
      <c r="E7" s="22">
        <v>44504</v>
      </c>
      <c r="F7" s="12" t="s">
        <v>6</v>
      </c>
      <c r="G7" s="23" t="s">
        <v>511</v>
      </c>
    </row>
    <row r="8" spans="1:7" x14ac:dyDescent="0.3">
      <c r="A8" s="12">
        <v>7</v>
      </c>
      <c r="B8" s="12">
        <v>3</v>
      </c>
      <c r="C8" s="12" t="s">
        <v>563</v>
      </c>
      <c r="D8" s="22">
        <v>44473</v>
      </c>
      <c r="E8" s="22">
        <v>44504</v>
      </c>
      <c r="F8" s="12" t="s">
        <v>6</v>
      </c>
      <c r="G8" s="23" t="s">
        <v>511</v>
      </c>
    </row>
    <row r="9" spans="1:7" x14ac:dyDescent="0.3">
      <c r="A9" s="12">
        <v>8</v>
      </c>
      <c r="B9" s="12">
        <v>2</v>
      </c>
      <c r="C9" s="12" t="s">
        <v>564</v>
      </c>
      <c r="D9" s="22">
        <v>44473</v>
      </c>
      <c r="E9" s="22">
        <v>44504</v>
      </c>
      <c r="F9" s="12" t="s">
        <v>6</v>
      </c>
      <c r="G9" s="23" t="s">
        <v>511</v>
      </c>
    </row>
    <row r="10" spans="1:7" x14ac:dyDescent="0.3">
      <c r="A10" s="12">
        <v>9</v>
      </c>
      <c r="B10" s="12">
        <v>5</v>
      </c>
      <c r="C10" s="12" t="s">
        <v>565</v>
      </c>
      <c r="D10" s="22">
        <v>44473</v>
      </c>
      <c r="E10" s="22">
        <v>44504</v>
      </c>
      <c r="F10" s="12" t="s">
        <v>6</v>
      </c>
      <c r="G10" s="23" t="s">
        <v>511</v>
      </c>
    </row>
    <row r="11" spans="1:7" x14ac:dyDescent="0.3">
      <c r="A11" s="14">
        <v>10</v>
      </c>
      <c r="B11" s="14">
        <v>1</v>
      </c>
      <c r="C11" s="14" t="s">
        <v>566</v>
      </c>
      <c r="D11" s="24">
        <v>44473</v>
      </c>
      <c r="E11" s="24">
        <v>44504</v>
      </c>
      <c r="F11" s="14" t="s">
        <v>6</v>
      </c>
      <c r="G11" s="3" t="s">
        <v>511</v>
      </c>
    </row>
  </sheetData>
  <phoneticPr fontId="2" type="noConversion"/>
  <dataValidations count="1">
    <dataValidation type="custom" allowBlank="1" showInputMessage="1" showErrorMessage="1" error="패턴이 일치하지 않습니다." sqref="F2:F11">
      <formula1>AND(IFERROR(MATCH(TRIM(LEFT(F2, FIND("=", F2)-1)),목록,0),5)&lt;5, ISNUMBER(VALUE(RIGHT(F2, LEN(F2)-FIND("=", F2)-1))))</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6.5" x14ac:dyDescent="0.3"/>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
  <sheetViews>
    <sheetView zoomScale="85" zoomScaleNormal="85" workbookViewId="0">
      <selection activeCell="N31" sqref="N31"/>
    </sheetView>
  </sheetViews>
  <sheetFormatPr defaultRowHeight="16.5" x14ac:dyDescent="0.3"/>
  <sheetData/>
  <phoneticPr fontId="2" type="noConversion"/>
  <pageMargins left="0.7" right="0.7" top="0.75" bottom="0.75" header="0.3" footer="0.3"/>
  <drawing r:id="rId1"/>
  <legacyDrawing r:id="rId2"/>
  <controls>
    <mc:AlternateContent xmlns:mc="http://schemas.openxmlformats.org/markup-compatibility/2006">
      <mc:Choice Requires="x14">
        <control shapeId="12289" r:id="rId3" name="ListBox1">
          <controlPr defaultSize="0" autoLine="0" autoPict="0" r:id="rId4">
            <anchor moveWithCells="1">
              <from>
                <xdr:col>1</xdr:col>
                <xdr:colOff>0</xdr:colOff>
                <xdr:row>0</xdr:row>
                <xdr:rowOff>180975</xdr:rowOff>
              </from>
              <to>
                <xdr:col>2</xdr:col>
                <xdr:colOff>581025</xdr:colOff>
                <xdr:row>13</xdr:row>
                <xdr:rowOff>123825</xdr:rowOff>
              </to>
            </anchor>
          </controlPr>
        </control>
      </mc:Choice>
      <mc:Fallback>
        <control shapeId="12289" r:id="rId3" name="ListBox1"/>
      </mc:Fallback>
    </mc:AlternateContent>
    <mc:AlternateContent xmlns:mc="http://schemas.openxmlformats.org/markup-compatibility/2006">
      <mc:Choice Requires="x14">
        <control shapeId="12290" r:id="rId5" name="ListBox2">
          <controlPr defaultSize="0" autoLine="0" r:id="rId6">
            <anchor moveWithCells="1">
              <from>
                <xdr:col>4</xdr:col>
                <xdr:colOff>561975</xdr:colOff>
                <xdr:row>0</xdr:row>
                <xdr:rowOff>180975</xdr:rowOff>
              </from>
              <to>
                <xdr:col>7</xdr:col>
                <xdr:colOff>0</xdr:colOff>
                <xdr:row>16</xdr:row>
                <xdr:rowOff>152400</xdr:rowOff>
              </to>
            </anchor>
          </controlPr>
        </control>
      </mc:Choice>
      <mc:Fallback>
        <control shapeId="12290" r:id="rId5" name="ListBox2"/>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H1"/>
  <sheetViews>
    <sheetView workbookViewId="0"/>
  </sheetViews>
  <sheetFormatPr defaultRowHeight="16.5" x14ac:dyDescent="0.3"/>
  <sheetData>
    <row r="1" spans="2:8" x14ac:dyDescent="0.3">
      <c r="B1" t="str">
        <f>IFERROR(VLOOKUP(번호, 표3[], 2, 0), "")</f>
        <v/>
      </c>
      <c r="C1" t="str">
        <f>IFERROR(VLOOKUP(번호, 표3[], 3, 0), "")</f>
        <v/>
      </c>
      <c r="D1" t="str">
        <f>IFERROR(VLOOKUP(번호, 표3[], 4, 0), "")</f>
        <v/>
      </c>
      <c r="E1" t="str">
        <f>IFERROR(VLOOKUP(번호, 표3[], 5, 0), "")</f>
        <v/>
      </c>
      <c r="F1" t="str">
        <f>IFERROR(VLOOKUP(번호, 표3[], 6, 0), "")</f>
        <v/>
      </c>
      <c r="G1" t="str">
        <f>IFERROR(VLOOKUP(번호, 표3[], 7, 0), "")</f>
        <v/>
      </c>
      <c r="H1" t="str">
        <f>IFERROR(VLOOKUP(번호, 표3[], 8, 0), "")</f>
        <v/>
      </c>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19"/>
  <sheetViews>
    <sheetView workbookViewId="0">
      <selection activeCell="X6" sqref="X6"/>
    </sheetView>
  </sheetViews>
  <sheetFormatPr defaultRowHeight="16.5" x14ac:dyDescent="0.3"/>
  <sheetData>
    <row r="1" spans="1:19" x14ac:dyDescent="0.3">
      <c r="A1" t="s">
        <v>591</v>
      </c>
      <c r="B1" t="s">
        <v>100</v>
      </c>
      <c r="C1" t="s">
        <v>74</v>
      </c>
      <c r="D1" t="s">
        <v>70</v>
      </c>
      <c r="E1" t="s">
        <v>86</v>
      </c>
      <c r="F1" t="s">
        <v>137</v>
      </c>
      <c r="G1" t="s">
        <v>96</v>
      </c>
      <c r="H1" t="s">
        <v>123</v>
      </c>
      <c r="I1" t="s">
        <v>144</v>
      </c>
      <c r="J1" t="s">
        <v>151</v>
      </c>
      <c r="K1" t="s">
        <v>29</v>
      </c>
      <c r="L1" t="s">
        <v>33</v>
      </c>
      <c r="M1" t="s">
        <v>43</v>
      </c>
      <c r="N1" t="s">
        <v>592</v>
      </c>
      <c r="O1" t="s">
        <v>56</v>
      </c>
      <c r="P1" t="s">
        <v>60</v>
      </c>
      <c r="Q1" t="s">
        <v>358</v>
      </c>
      <c r="R1" t="s">
        <v>113</v>
      </c>
      <c r="S1" t="s">
        <v>127</v>
      </c>
    </row>
    <row r="2" spans="1:19" x14ac:dyDescent="0.3">
      <c r="A2" t="s">
        <v>100</v>
      </c>
      <c r="B2" t="s">
        <v>593</v>
      </c>
      <c r="C2">
        <v>59.6</v>
      </c>
      <c r="D2">
        <v>252.2</v>
      </c>
      <c r="E2">
        <v>17.399999999999999</v>
      </c>
      <c r="F2">
        <v>79.8</v>
      </c>
      <c r="G2">
        <v>47.1</v>
      </c>
      <c r="H2">
        <v>108</v>
      </c>
      <c r="I2">
        <v>292.60000000000002</v>
      </c>
      <c r="J2">
        <v>237.1</v>
      </c>
      <c r="K2">
        <v>177.6</v>
      </c>
      <c r="L2">
        <v>159.4</v>
      </c>
      <c r="M2">
        <v>147</v>
      </c>
      <c r="N2">
        <v>119.3</v>
      </c>
      <c r="O2">
        <v>102.4</v>
      </c>
      <c r="P2">
        <v>209</v>
      </c>
      <c r="Q2">
        <v>183.9</v>
      </c>
      <c r="R2">
        <v>159.5</v>
      </c>
      <c r="S2">
        <v>139.30000000000001</v>
      </c>
    </row>
    <row r="3" spans="1:19" x14ac:dyDescent="0.3">
      <c r="A3" t="s">
        <v>74</v>
      </c>
      <c r="B3">
        <v>59.8</v>
      </c>
      <c r="C3" t="s">
        <v>593</v>
      </c>
      <c r="D3">
        <v>127.3</v>
      </c>
      <c r="E3">
        <v>46.8</v>
      </c>
      <c r="F3">
        <v>83.4</v>
      </c>
      <c r="G3">
        <v>99.2</v>
      </c>
      <c r="H3">
        <v>111</v>
      </c>
      <c r="I3">
        <v>243.3</v>
      </c>
      <c r="J3">
        <v>187.8</v>
      </c>
      <c r="K3">
        <v>128.69999999999999</v>
      </c>
      <c r="L3">
        <v>110.1</v>
      </c>
      <c r="M3">
        <v>97.6</v>
      </c>
      <c r="N3">
        <v>75.7</v>
      </c>
      <c r="O3">
        <v>49.7</v>
      </c>
      <c r="P3">
        <v>159.69999999999999</v>
      </c>
      <c r="Q3">
        <v>134.5</v>
      </c>
      <c r="R3">
        <v>110.1</v>
      </c>
      <c r="S3">
        <v>89.9</v>
      </c>
    </row>
    <row r="4" spans="1:19" x14ac:dyDescent="0.3">
      <c r="A4" t="s">
        <v>70</v>
      </c>
      <c r="B4">
        <v>175.9</v>
      </c>
      <c r="C4">
        <v>127.2</v>
      </c>
      <c r="D4" t="s">
        <v>593</v>
      </c>
      <c r="E4">
        <v>166.9</v>
      </c>
      <c r="F4">
        <v>111.1</v>
      </c>
      <c r="G4">
        <v>136.5</v>
      </c>
      <c r="H4">
        <v>72.900000000000006</v>
      </c>
      <c r="I4">
        <v>170.6</v>
      </c>
      <c r="J4">
        <v>112.6</v>
      </c>
      <c r="K4">
        <v>122.8</v>
      </c>
      <c r="L4">
        <v>113.2</v>
      </c>
      <c r="M4">
        <v>202.9</v>
      </c>
      <c r="N4">
        <v>181</v>
      </c>
      <c r="O4">
        <v>158.1</v>
      </c>
      <c r="P4">
        <v>84.1</v>
      </c>
      <c r="Q4">
        <v>59.5</v>
      </c>
      <c r="R4">
        <v>20.2</v>
      </c>
      <c r="S4">
        <v>74.5</v>
      </c>
    </row>
    <row r="5" spans="1:19" x14ac:dyDescent="0.3">
      <c r="A5" t="s">
        <v>86</v>
      </c>
      <c r="B5">
        <v>17.3</v>
      </c>
      <c r="C5">
        <v>49.6</v>
      </c>
      <c r="D5">
        <v>166.7</v>
      </c>
      <c r="E5" t="s">
        <v>593</v>
      </c>
      <c r="F5">
        <v>78.3</v>
      </c>
      <c r="G5">
        <v>56.7</v>
      </c>
      <c r="H5">
        <v>114.8</v>
      </c>
      <c r="I5">
        <v>282.7</v>
      </c>
      <c r="J5">
        <v>227.2</v>
      </c>
      <c r="K5">
        <v>168.1</v>
      </c>
      <c r="L5">
        <v>149.5</v>
      </c>
      <c r="M5">
        <v>137</v>
      </c>
      <c r="N5">
        <v>115.1</v>
      </c>
      <c r="O5">
        <v>92.4</v>
      </c>
      <c r="P5">
        <v>199</v>
      </c>
      <c r="Q5">
        <v>173.9</v>
      </c>
      <c r="R5">
        <v>149.5</v>
      </c>
      <c r="S5">
        <v>129.30000000000001</v>
      </c>
    </row>
    <row r="6" spans="1:19" x14ac:dyDescent="0.3">
      <c r="A6" t="s">
        <v>137</v>
      </c>
      <c r="B6">
        <v>79.8</v>
      </c>
      <c r="C6">
        <v>69.599999999999994</v>
      </c>
      <c r="D6">
        <v>125.9</v>
      </c>
      <c r="E6">
        <v>78.099999999999994</v>
      </c>
      <c r="F6" t="s">
        <v>593</v>
      </c>
      <c r="G6">
        <v>54.3</v>
      </c>
      <c r="H6">
        <v>53.3</v>
      </c>
      <c r="I6">
        <v>227.6</v>
      </c>
      <c r="J6">
        <v>219.6</v>
      </c>
      <c r="K6">
        <v>197.1</v>
      </c>
      <c r="L6">
        <v>178.5</v>
      </c>
      <c r="M6">
        <v>166</v>
      </c>
      <c r="N6">
        <v>144.1</v>
      </c>
      <c r="O6">
        <v>121.5</v>
      </c>
      <c r="P6">
        <v>191.5</v>
      </c>
      <c r="Q6">
        <v>166.5</v>
      </c>
      <c r="R6">
        <v>108.7</v>
      </c>
      <c r="S6">
        <v>31.6</v>
      </c>
    </row>
    <row r="7" spans="1:19" x14ac:dyDescent="0.3">
      <c r="A7" t="s">
        <v>96</v>
      </c>
      <c r="B7">
        <v>47.1</v>
      </c>
      <c r="C7">
        <v>99.1</v>
      </c>
      <c r="D7">
        <v>136.69999999999999</v>
      </c>
      <c r="E7">
        <v>53.9</v>
      </c>
      <c r="F7">
        <v>53.4</v>
      </c>
      <c r="G7" t="s">
        <v>593</v>
      </c>
      <c r="H7">
        <v>64.3</v>
      </c>
      <c r="I7">
        <v>299.5</v>
      </c>
      <c r="J7">
        <v>241.5</v>
      </c>
      <c r="K7">
        <v>216.3</v>
      </c>
      <c r="L7">
        <v>197.7</v>
      </c>
      <c r="M7">
        <v>186.5</v>
      </c>
      <c r="N7">
        <v>164.6</v>
      </c>
      <c r="O7">
        <v>141.9</v>
      </c>
      <c r="P7">
        <v>213.4</v>
      </c>
      <c r="Q7">
        <v>188.4</v>
      </c>
      <c r="R7">
        <v>95.1</v>
      </c>
      <c r="S7">
        <v>95.1</v>
      </c>
    </row>
    <row r="8" spans="1:19" x14ac:dyDescent="0.3">
      <c r="A8" t="s">
        <v>123</v>
      </c>
      <c r="B8">
        <v>113.7</v>
      </c>
      <c r="C8">
        <v>120.3</v>
      </c>
      <c r="D8">
        <v>74</v>
      </c>
      <c r="E8">
        <v>116.7</v>
      </c>
      <c r="F8">
        <v>48.7</v>
      </c>
      <c r="G8">
        <v>69.099999999999994</v>
      </c>
      <c r="H8" t="s">
        <v>593</v>
      </c>
      <c r="I8">
        <v>236.8</v>
      </c>
      <c r="J8">
        <v>178.8</v>
      </c>
      <c r="K8">
        <v>189</v>
      </c>
      <c r="L8">
        <v>191.5</v>
      </c>
      <c r="M8">
        <v>261.10000000000002</v>
      </c>
      <c r="N8">
        <v>247.2</v>
      </c>
      <c r="O8">
        <v>157.80000000000001</v>
      </c>
      <c r="P8">
        <v>150.69999999999999</v>
      </c>
      <c r="Q8">
        <v>125.7</v>
      </c>
      <c r="R8">
        <v>96.4</v>
      </c>
      <c r="S8">
        <v>29.3</v>
      </c>
    </row>
    <row r="9" spans="1:19" x14ac:dyDescent="0.3">
      <c r="A9" t="s">
        <v>144</v>
      </c>
      <c r="B9">
        <v>294.10000000000002</v>
      </c>
      <c r="C9">
        <v>244.5</v>
      </c>
      <c r="D9">
        <v>170.6</v>
      </c>
      <c r="E9">
        <v>284.2</v>
      </c>
      <c r="F9">
        <v>275.8</v>
      </c>
      <c r="G9">
        <v>301</v>
      </c>
      <c r="H9">
        <v>234.9</v>
      </c>
      <c r="I9" t="s">
        <v>593</v>
      </c>
      <c r="J9">
        <v>60.6</v>
      </c>
      <c r="K9">
        <v>252</v>
      </c>
      <c r="L9">
        <v>166.4</v>
      </c>
      <c r="M9">
        <v>244</v>
      </c>
      <c r="N9">
        <v>222.1</v>
      </c>
      <c r="O9">
        <v>199.3</v>
      </c>
      <c r="P9">
        <v>77.5</v>
      </c>
      <c r="Q9">
        <v>124.5</v>
      </c>
      <c r="R9">
        <v>147.30000000000001</v>
      </c>
      <c r="S9">
        <v>252</v>
      </c>
    </row>
    <row r="10" spans="1:19" x14ac:dyDescent="0.3">
      <c r="A10" t="s">
        <v>151</v>
      </c>
      <c r="B10">
        <v>237.4</v>
      </c>
      <c r="C10">
        <v>188.8</v>
      </c>
      <c r="D10">
        <v>113.3</v>
      </c>
      <c r="E10">
        <v>228.4</v>
      </c>
      <c r="F10">
        <v>220.4</v>
      </c>
      <c r="G10">
        <v>242.9</v>
      </c>
      <c r="H10">
        <v>179.2</v>
      </c>
      <c r="I10">
        <v>60.7</v>
      </c>
      <c r="J10" t="s">
        <v>593</v>
      </c>
      <c r="K10">
        <v>43.4</v>
      </c>
      <c r="L10">
        <v>71.2</v>
      </c>
      <c r="M10">
        <v>122.3</v>
      </c>
      <c r="N10">
        <v>113.3</v>
      </c>
      <c r="O10">
        <v>143.5</v>
      </c>
      <c r="P10">
        <v>30.4</v>
      </c>
      <c r="Q10">
        <v>66.8</v>
      </c>
      <c r="R10">
        <v>89.6</v>
      </c>
      <c r="S10">
        <v>194.3</v>
      </c>
    </row>
    <row r="11" spans="1:19" x14ac:dyDescent="0.3">
      <c r="A11" t="s">
        <v>29</v>
      </c>
      <c r="B11">
        <v>177.8</v>
      </c>
      <c r="C11">
        <v>129.19999999999999</v>
      </c>
      <c r="D11">
        <v>123.1</v>
      </c>
      <c r="E11">
        <v>168.8</v>
      </c>
      <c r="F11">
        <v>196.5</v>
      </c>
      <c r="G11">
        <v>217.3</v>
      </c>
      <c r="H11">
        <v>189</v>
      </c>
      <c r="I11">
        <v>119.2</v>
      </c>
      <c r="J11">
        <v>42.8</v>
      </c>
      <c r="K11" t="s">
        <v>593</v>
      </c>
      <c r="L11">
        <v>31.6</v>
      </c>
      <c r="M11">
        <v>75.599999999999994</v>
      </c>
      <c r="N11">
        <v>67.099999999999994</v>
      </c>
      <c r="O11">
        <v>74.400000000000006</v>
      </c>
      <c r="P11">
        <v>43.8</v>
      </c>
      <c r="Q11">
        <v>64</v>
      </c>
      <c r="R11">
        <v>99.4</v>
      </c>
      <c r="S11">
        <v>155.5</v>
      </c>
    </row>
    <row r="12" spans="1:19" x14ac:dyDescent="0.3">
      <c r="A12" t="s">
        <v>33</v>
      </c>
      <c r="B12">
        <v>159</v>
      </c>
      <c r="C12">
        <v>110.4</v>
      </c>
      <c r="D12">
        <v>110.2</v>
      </c>
      <c r="E12">
        <v>150</v>
      </c>
      <c r="F12">
        <v>177.7</v>
      </c>
      <c r="G12">
        <v>198.5</v>
      </c>
      <c r="H12">
        <v>176.1</v>
      </c>
      <c r="I12">
        <v>165.2</v>
      </c>
      <c r="J12">
        <v>70.900000000000006</v>
      </c>
      <c r="K12">
        <v>31.6</v>
      </c>
      <c r="L12" t="s">
        <v>593</v>
      </c>
      <c r="M12">
        <v>75.599999999999994</v>
      </c>
      <c r="N12">
        <v>67.099999999999994</v>
      </c>
      <c r="O12">
        <v>74.400000000000006</v>
      </c>
      <c r="P12">
        <v>43.8</v>
      </c>
      <c r="Q12">
        <v>64</v>
      </c>
      <c r="R12">
        <v>99.4</v>
      </c>
      <c r="S12">
        <v>155.5</v>
      </c>
    </row>
    <row r="13" spans="1:19" x14ac:dyDescent="0.3">
      <c r="A13" t="s">
        <v>43</v>
      </c>
      <c r="B13">
        <v>147.1</v>
      </c>
      <c r="C13">
        <v>98.4</v>
      </c>
      <c r="D13">
        <v>202.2</v>
      </c>
      <c r="E13">
        <v>138</v>
      </c>
      <c r="F13">
        <v>165.7</v>
      </c>
      <c r="G13">
        <v>186.5</v>
      </c>
      <c r="H13">
        <v>268.10000000000002</v>
      </c>
      <c r="I13">
        <v>242.6</v>
      </c>
      <c r="J13">
        <v>126.2</v>
      </c>
      <c r="K13">
        <v>75.3</v>
      </c>
      <c r="L13">
        <v>57.3</v>
      </c>
      <c r="M13" t="s">
        <v>593</v>
      </c>
      <c r="N13">
        <v>25.1</v>
      </c>
      <c r="O13">
        <v>43.1</v>
      </c>
      <c r="P13">
        <v>136.9</v>
      </c>
      <c r="Q13">
        <v>109.6</v>
      </c>
      <c r="R13">
        <v>178.4</v>
      </c>
      <c r="S13">
        <v>175.3</v>
      </c>
    </row>
    <row r="14" spans="1:19" x14ac:dyDescent="0.3">
      <c r="A14" t="s">
        <v>592</v>
      </c>
      <c r="B14">
        <v>126</v>
      </c>
      <c r="C14">
        <v>77.3</v>
      </c>
      <c r="D14">
        <v>181.1</v>
      </c>
      <c r="E14">
        <v>117</v>
      </c>
      <c r="F14">
        <v>144.69999999999999</v>
      </c>
      <c r="G14">
        <v>165.5</v>
      </c>
      <c r="H14">
        <v>247</v>
      </c>
      <c r="I14">
        <v>221.5</v>
      </c>
      <c r="J14">
        <v>166</v>
      </c>
      <c r="K14">
        <v>67.5</v>
      </c>
      <c r="L14">
        <v>49.5</v>
      </c>
      <c r="M14">
        <v>25.2</v>
      </c>
      <c r="N14" t="s">
        <v>593</v>
      </c>
      <c r="O14">
        <v>17</v>
      </c>
      <c r="P14">
        <v>137.9</v>
      </c>
      <c r="Q14">
        <v>112.8</v>
      </c>
      <c r="R14">
        <v>157.4</v>
      </c>
      <c r="S14">
        <v>151.19999999999999</v>
      </c>
    </row>
    <row r="15" spans="1:19" x14ac:dyDescent="0.3">
      <c r="A15" t="s">
        <v>56</v>
      </c>
      <c r="B15">
        <v>103.4</v>
      </c>
      <c r="C15">
        <v>54.7</v>
      </c>
      <c r="D15">
        <v>158.30000000000001</v>
      </c>
      <c r="E15">
        <v>94.3</v>
      </c>
      <c r="F15">
        <v>122</v>
      </c>
      <c r="G15">
        <v>142.80000000000001</v>
      </c>
      <c r="H15">
        <v>165</v>
      </c>
      <c r="I15">
        <v>198.7</v>
      </c>
      <c r="J15">
        <v>143.19999999999999</v>
      </c>
      <c r="K15">
        <v>83.9</v>
      </c>
      <c r="L15">
        <v>55.4</v>
      </c>
      <c r="M15">
        <v>43.1</v>
      </c>
      <c r="N15">
        <v>17.7</v>
      </c>
      <c r="O15" t="s">
        <v>593</v>
      </c>
      <c r="P15">
        <v>115.1</v>
      </c>
      <c r="Q15">
        <v>89.9</v>
      </c>
      <c r="R15">
        <v>134.5</v>
      </c>
      <c r="S15">
        <v>128.6</v>
      </c>
    </row>
    <row r="16" spans="1:19" x14ac:dyDescent="0.3">
      <c r="A16" t="s">
        <v>60</v>
      </c>
      <c r="B16">
        <v>208.2</v>
      </c>
      <c r="C16">
        <v>159.5</v>
      </c>
      <c r="D16">
        <v>84.1</v>
      </c>
      <c r="E16">
        <v>199.2</v>
      </c>
      <c r="F16">
        <v>191.2</v>
      </c>
      <c r="G16">
        <v>213.6</v>
      </c>
      <c r="H16">
        <v>150</v>
      </c>
      <c r="I16">
        <v>77.5</v>
      </c>
      <c r="J16">
        <v>29.9</v>
      </c>
      <c r="K16">
        <v>44.1</v>
      </c>
      <c r="L16">
        <v>81.400000000000006</v>
      </c>
      <c r="M16">
        <v>137.5</v>
      </c>
      <c r="N16">
        <v>137.1</v>
      </c>
      <c r="O16">
        <v>114.3</v>
      </c>
      <c r="P16" t="s">
        <v>593</v>
      </c>
      <c r="Q16">
        <v>37.6</v>
      </c>
      <c r="R16">
        <v>60.4</v>
      </c>
      <c r="S16">
        <v>116.2</v>
      </c>
    </row>
    <row r="17" spans="1:19" x14ac:dyDescent="0.3">
      <c r="A17" t="s">
        <v>358</v>
      </c>
      <c r="B17">
        <v>183.8</v>
      </c>
      <c r="C17">
        <v>135.1</v>
      </c>
      <c r="D17">
        <v>58.4</v>
      </c>
      <c r="E17">
        <v>174.8</v>
      </c>
      <c r="F17">
        <v>165.5</v>
      </c>
      <c r="G17">
        <v>187.9</v>
      </c>
      <c r="H17">
        <v>124.3</v>
      </c>
      <c r="I17">
        <v>123.6</v>
      </c>
      <c r="J17">
        <v>65.599999999999994</v>
      </c>
      <c r="K17">
        <v>64.099999999999994</v>
      </c>
      <c r="L17">
        <v>53.7</v>
      </c>
      <c r="M17">
        <v>134.6</v>
      </c>
      <c r="N17">
        <v>112.7</v>
      </c>
      <c r="O17">
        <v>89.8</v>
      </c>
      <c r="P17">
        <v>38.1</v>
      </c>
      <c r="Q17" t="s">
        <v>593</v>
      </c>
      <c r="R17">
        <v>32.799999999999997</v>
      </c>
      <c r="S17">
        <v>90.5</v>
      </c>
    </row>
    <row r="18" spans="1:19" x14ac:dyDescent="0.3">
      <c r="A18" t="s">
        <v>113</v>
      </c>
      <c r="B18">
        <v>159.80000000000001</v>
      </c>
      <c r="C18">
        <v>111.1</v>
      </c>
      <c r="D18">
        <v>20.100000000000001</v>
      </c>
      <c r="E18">
        <v>150.69999999999999</v>
      </c>
      <c r="F18">
        <v>107.8</v>
      </c>
      <c r="G18">
        <v>159.30000000000001</v>
      </c>
      <c r="H18">
        <v>95.7</v>
      </c>
      <c r="I18">
        <v>145.5</v>
      </c>
      <c r="J18">
        <v>87.5</v>
      </c>
      <c r="K18">
        <v>97.7</v>
      </c>
      <c r="L18">
        <v>100.2</v>
      </c>
      <c r="M18">
        <v>177.7</v>
      </c>
      <c r="N18">
        <v>155.80000000000001</v>
      </c>
      <c r="O18">
        <v>133</v>
      </c>
      <c r="P18">
        <v>59.9</v>
      </c>
      <c r="Q18">
        <v>34.9</v>
      </c>
      <c r="R18" t="s">
        <v>593</v>
      </c>
      <c r="S18">
        <v>56.3</v>
      </c>
    </row>
    <row r="19" spans="1:19" x14ac:dyDescent="0.3">
      <c r="A19" t="s">
        <v>127</v>
      </c>
      <c r="B19">
        <v>138.30000000000001</v>
      </c>
      <c r="C19">
        <v>89.6</v>
      </c>
      <c r="D19">
        <v>73.900000000000006</v>
      </c>
      <c r="E19">
        <v>129.30000000000001</v>
      </c>
      <c r="F19">
        <v>33.5</v>
      </c>
      <c r="G19">
        <v>96</v>
      </c>
      <c r="H19">
        <v>29.4</v>
      </c>
      <c r="I19">
        <v>250.7</v>
      </c>
      <c r="J19">
        <v>192.7</v>
      </c>
      <c r="K19">
        <v>174.6</v>
      </c>
      <c r="L19">
        <v>136</v>
      </c>
      <c r="M19">
        <v>171.7</v>
      </c>
      <c r="N19">
        <v>149.80000000000001</v>
      </c>
      <c r="O19">
        <v>127.1</v>
      </c>
      <c r="P19">
        <v>115</v>
      </c>
      <c r="Q19">
        <v>89.4</v>
      </c>
      <c r="R19">
        <v>55.5</v>
      </c>
      <c r="S19" t="s">
        <v>593</v>
      </c>
    </row>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70" zoomScaleNormal="70" workbookViewId="0">
      <selection activeCell="X37" sqref="X37"/>
    </sheetView>
  </sheetViews>
  <sheetFormatPr defaultRowHeight="16.5" x14ac:dyDescent="0.3"/>
  <cols>
    <col min="1" max="16384" width="9" style="26"/>
  </cols>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14</vt:i4>
      </vt:variant>
      <vt:variant>
        <vt:lpstr>이름이 지정된 범위</vt:lpstr>
      </vt:variant>
      <vt:variant>
        <vt:i4>6</vt:i4>
      </vt:variant>
    </vt:vector>
  </HeadingPairs>
  <TitlesOfParts>
    <vt:vector size="20" baseType="lpstr">
      <vt:lpstr>메인</vt:lpstr>
      <vt:lpstr>규칙</vt:lpstr>
      <vt:lpstr>관광지</vt:lpstr>
      <vt:lpstr>회원</vt:lpstr>
      <vt:lpstr>축제</vt:lpstr>
      <vt:lpstr>패키지</vt:lpstr>
      <vt:lpstr>예약 내역</vt:lpstr>
      <vt:lpstr>리뷰</vt:lpstr>
      <vt:lpstr>쿠폰</vt:lpstr>
      <vt:lpstr>쿠폰 발급</vt:lpstr>
      <vt:lpstr>지도</vt:lpstr>
      <vt:lpstr>디자인</vt:lpstr>
      <vt:lpstr>거리</vt:lpstr>
      <vt:lpstr>Sheet2</vt:lpstr>
      <vt:lpstr>목록</vt:lpstr>
      <vt:lpstr>목록\</vt:lpstr>
      <vt:lpstr>목록2</vt:lpstr>
      <vt:lpstr>번호</vt:lpstr>
      <vt:lpstr>부등호</vt:lpstr>
      <vt:lpstr>선정기준</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itskills1</dc:creator>
  <cp:lastModifiedBy>YSH</cp:lastModifiedBy>
  <dcterms:created xsi:type="dcterms:W3CDTF">2021-08-04T00:56:39Z</dcterms:created>
  <dcterms:modified xsi:type="dcterms:W3CDTF">2021-08-05T05:46:58Z</dcterms:modified>
</cp:coreProperties>
</file>