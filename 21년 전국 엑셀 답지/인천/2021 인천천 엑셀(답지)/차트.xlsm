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영재01\Desktop\"/>
    </mc:Choice>
  </mc:AlternateContent>
  <bookViews>
    <workbookView xWindow="0" yWindow="0" windowWidth="28800" windowHeight="12255" activeTab="2"/>
  </bookViews>
  <sheets>
    <sheet name="Sheet1" sheetId="1" r:id="rId1"/>
    <sheet name="Sheet2" sheetId="2" r:id="rId2"/>
    <sheet name="Sheet3" sheetId="3" r:id="rId3"/>
    <sheet name="Sheet4" sheetId="4" r:id="rId4"/>
  </sheets>
  <externalReferences>
    <externalReference r:id="rId5"/>
    <externalReference r:id="rId6"/>
  </externalReferences>
  <calcPr calcId="162913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5" i="2" l="1"/>
  <c r="T25" i="2"/>
  <c r="W25" i="2"/>
  <c r="S26" i="2"/>
  <c r="V26" i="2"/>
  <c r="W26" i="2"/>
  <c r="V27" i="2"/>
  <c r="V23" i="2"/>
  <c r="Q23" i="2"/>
  <c r="W23" i="2" s="1"/>
  <c r="Q24" i="2"/>
  <c r="V24" i="2" s="1"/>
  <c r="Q25" i="2"/>
  <c r="U25" i="2" s="1"/>
  <c r="Q26" i="2"/>
  <c r="T26" i="2" s="1"/>
  <c r="Q27" i="2"/>
  <c r="S27" i="2" s="1"/>
  <c r="U24" i="2" l="1"/>
  <c r="U23" i="2"/>
  <c r="U27" i="2"/>
  <c r="S23" i="2"/>
  <c r="T23" i="2"/>
  <c r="T27" i="2"/>
  <c r="U26" i="2"/>
  <c r="V25" i="2"/>
  <c r="W24" i="2"/>
  <c r="S24" i="2"/>
  <c r="T24" i="2"/>
  <c r="W27" i="2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<sst xmlns="http://schemas.openxmlformats.org/spreadsheetml/2006/main" count="469" uniqueCount="292">
  <si>
    <t>작품번호</t>
    <phoneticPr fontId="3" type="noConversion"/>
  </si>
  <si>
    <t>작품 분류</t>
    <phoneticPr fontId="3" type="noConversion"/>
  </si>
  <si>
    <t>작품명</t>
    <phoneticPr fontId="3" type="noConversion"/>
  </si>
  <si>
    <t>화가</t>
    <phoneticPr fontId="3" type="noConversion"/>
  </si>
  <si>
    <t>설명</t>
    <phoneticPr fontId="3" type="noConversion"/>
  </si>
  <si>
    <t>그림</t>
    <phoneticPr fontId="3" type="noConversion"/>
  </si>
  <si>
    <t>가격</t>
    <phoneticPr fontId="3" type="noConversion"/>
  </si>
  <si>
    <t>평균 평점</t>
    <phoneticPr fontId="3" type="noConversion"/>
  </si>
  <si>
    <t>RO01</t>
    <phoneticPr fontId="3" type="noConversion"/>
  </si>
  <si>
    <t>낭만주의</t>
    <phoneticPr fontId="3" type="noConversion"/>
  </si>
  <si>
    <t>정물</t>
    <phoneticPr fontId="3" type="noConversion"/>
  </si>
  <si>
    <t>남궁순</t>
    <phoneticPr fontId="3" type="noConversion"/>
  </si>
  <si>
    <t>책상 위에 올려진 여러 물건들을 그린 정물화</t>
    <phoneticPr fontId="3" type="noConversion"/>
  </si>
  <si>
    <t>RO02</t>
  </si>
  <si>
    <t>인물</t>
    <phoneticPr fontId="3" type="noConversion"/>
  </si>
  <si>
    <t>싸늘하게 죽어있는 여인과 주변의 인물들</t>
    <phoneticPr fontId="3" type="noConversion"/>
  </si>
  <si>
    <t>RO03</t>
  </si>
  <si>
    <t>행복한 하루</t>
    <phoneticPr fontId="3" type="noConversion"/>
  </si>
  <si>
    <t>이존립</t>
    <phoneticPr fontId="3" type="noConversion"/>
  </si>
  <si>
    <t>꽃밭에서 하프를 연주 중인 행복한 여인</t>
    <phoneticPr fontId="3" type="noConversion"/>
  </si>
  <si>
    <t>RO04</t>
  </si>
  <si>
    <t>정원-애</t>
    <phoneticPr fontId="3" type="noConversion"/>
  </si>
  <si>
    <t>꽃들이 화사하게 피어난 정원</t>
    <phoneticPr fontId="3" type="noConversion"/>
  </si>
  <si>
    <t>RO05</t>
  </si>
  <si>
    <t>새의 찻잔1</t>
    <phoneticPr fontId="3" type="noConversion"/>
  </si>
  <si>
    <t>양태숙</t>
    <phoneticPr fontId="3" type="noConversion"/>
  </si>
  <si>
    <t>구름이 떠있는 새들의 찻잔</t>
    <phoneticPr fontId="3" type="noConversion"/>
  </si>
  <si>
    <t>RO06</t>
  </si>
  <si>
    <t>지난 여름</t>
    <phoneticPr fontId="3" type="noConversion"/>
  </si>
  <si>
    <t>조근호</t>
    <phoneticPr fontId="3" type="noConversion"/>
  </si>
  <si>
    <t>지난 여름의 회상을 전시되어있는 그림들로 표현한 그림</t>
    <phoneticPr fontId="3" type="noConversion"/>
  </si>
  <si>
    <t>RO07</t>
  </si>
  <si>
    <t>호수</t>
    <phoneticPr fontId="3" type="noConversion"/>
  </si>
  <si>
    <t>낭만적인 느낌의 호수</t>
    <phoneticPr fontId="3" type="noConversion"/>
  </si>
  <si>
    <t>RO08</t>
  </si>
  <si>
    <t>향연</t>
    <phoneticPr fontId="3" type="noConversion"/>
  </si>
  <si>
    <t>안기호</t>
    <phoneticPr fontId="3" type="noConversion"/>
  </si>
  <si>
    <t>아름다운 벛꽃들의 향연을 구경 중인 소녀</t>
    <phoneticPr fontId="3" type="noConversion"/>
  </si>
  <si>
    <t>RO09</t>
  </si>
  <si>
    <t>겨울이야기</t>
    <phoneticPr fontId="3" type="noConversion"/>
  </si>
  <si>
    <t>나갈 수 없는 밖을 아련하게 처다보는 한 사람</t>
    <phoneticPr fontId="3" type="noConversion"/>
  </si>
  <si>
    <t>RO10</t>
  </si>
  <si>
    <t>울림</t>
    <phoneticPr fontId="3" type="noConversion"/>
  </si>
  <si>
    <t>김현숙</t>
    <phoneticPr fontId="3" type="noConversion"/>
  </si>
  <si>
    <t>다양한 무늬로 꾸며진 방</t>
    <phoneticPr fontId="3" type="noConversion"/>
  </si>
  <si>
    <t>RO11</t>
  </si>
  <si>
    <t>Gathering Apple Blossoms</t>
    <phoneticPr fontId="3" type="noConversion"/>
  </si>
  <si>
    <t>다니엘</t>
  </si>
  <si>
    <t>사과 꽃이 핀 가지를 꺽고 있는 여인을 그린 그림이다.</t>
    <phoneticPr fontId="3" type="noConversion"/>
  </si>
  <si>
    <t>RO12</t>
  </si>
  <si>
    <t>A Field of Flowers</t>
    <phoneticPr fontId="3" type="noConversion"/>
  </si>
  <si>
    <t>꽃밭에 핀 잡초들을 정리하고 있는 여인을 그린 그림이다.</t>
    <phoneticPr fontId="3" type="noConversion"/>
  </si>
  <si>
    <t>RO13</t>
  </si>
  <si>
    <t>obsession</t>
    <phoneticPr fontId="3" type="noConversion"/>
  </si>
  <si>
    <t>김양희</t>
    <phoneticPr fontId="3" type="noConversion"/>
  </si>
  <si>
    <t>빨간 꽃을 그림 정물화다.</t>
    <phoneticPr fontId="3" type="noConversion"/>
  </si>
  <si>
    <t>RO14</t>
  </si>
  <si>
    <t>몽환화 7-8</t>
    <phoneticPr fontId="3" type="noConversion"/>
  </si>
  <si>
    <t>김희준</t>
    <phoneticPr fontId="3" type="noConversion"/>
  </si>
  <si>
    <t>마치 꿈 속에 있는 꽃을 보는 듯한 몽환적인 분위기의 그림이다.</t>
    <phoneticPr fontId="3" type="noConversion"/>
  </si>
  <si>
    <t>RO15</t>
  </si>
  <si>
    <t>선율을 타고</t>
    <phoneticPr fontId="3" type="noConversion"/>
  </si>
  <si>
    <t>임영우</t>
    <phoneticPr fontId="3" type="noConversion"/>
  </si>
  <si>
    <t>선율을 타듯 자유롭게 자라난 소나무</t>
    <phoneticPr fontId="3" type="noConversion"/>
  </si>
  <si>
    <t>RO16</t>
  </si>
  <si>
    <t>세상밖으로</t>
    <phoneticPr fontId="3" type="noConversion"/>
  </si>
  <si>
    <t>김성근</t>
    <phoneticPr fontId="3" type="noConversion"/>
  </si>
  <si>
    <t>바닷 속 세상을 보는 듯한 느낌을 주는 그림이다.</t>
    <phoneticPr fontId="3" type="noConversion"/>
  </si>
  <si>
    <t>SY01</t>
    <phoneticPr fontId="3" type="noConversion"/>
  </si>
  <si>
    <t>상징주의</t>
    <phoneticPr fontId="3" type="noConversion"/>
  </si>
  <si>
    <t>동행</t>
    <phoneticPr fontId="3" type="noConversion"/>
  </si>
  <si>
    <t>곽연</t>
    <phoneticPr fontId="3" type="noConversion"/>
  </si>
  <si>
    <t>지고 있는 달을 그린 그림</t>
    <phoneticPr fontId="3" type="noConversion"/>
  </si>
  <si>
    <t>SY02</t>
  </si>
  <si>
    <t>사모곡-향기를 품다</t>
    <phoneticPr fontId="3" type="noConversion"/>
  </si>
  <si>
    <t>류현자</t>
    <phoneticPr fontId="3" type="noConversion"/>
  </si>
  <si>
    <t>만개한 연꽃을 그린 그림이다.</t>
    <phoneticPr fontId="3" type="noConversion"/>
  </si>
  <si>
    <t>SY03</t>
  </si>
  <si>
    <t>설 2006_1</t>
    <phoneticPr fontId="3" type="noConversion"/>
  </si>
  <si>
    <t>최경락</t>
    <phoneticPr fontId="3" type="noConversion"/>
  </si>
  <si>
    <t>겨울의 눈 덮인 산을 보는듯한 느낌을 주는 그림</t>
    <phoneticPr fontId="3" type="noConversion"/>
  </si>
  <si>
    <t>SY04</t>
  </si>
  <si>
    <t>꽃처럼 한 철만 사랑하시렵니까</t>
  </si>
  <si>
    <t>김경원</t>
    <phoneticPr fontId="3" type="noConversion"/>
  </si>
  <si>
    <t>팔이 없는 구리색 여인의 동상</t>
    <phoneticPr fontId="3" type="noConversion"/>
  </si>
  <si>
    <t>SY05</t>
  </si>
  <si>
    <t>하늘의 여신</t>
    <phoneticPr fontId="3" type="noConversion"/>
  </si>
  <si>
    <t>자기 자신을 감싸 안는 하늘의 여신</t>
    <phoneticPr fontId="3" type="noConversion"/>
  </si>
  <si>
    <t>SY06</t>
  </si>
  <si>
    <t>초록장화</t>
    <phoneticPr fontId="3" type="noConversion"/>
  </si>
  <si>
    <t>손미량</t>
    <phoneticPr fontId="3" type="noConversion"/>
  </si>
  <si>
    <t>초록 장화를 신은 어린 아이</t>
    <phoneticPr fontId="3" type="noConversion"/>
  </si>
  <si>
    <t>SY07</t>
  </si>
  <si>
    <t>memories-애보기</t>
  </si>
  <si>
    <t>울고 있는 아이를 돌보고 있는 어머니의 추억이 담긴 사진</t>
    <phoneticPr fontId="3" type="noConversion"/>
  </si>
  <si>
    <t>SY08</t>
  </si>
  <si>
    <t>고고학적 기상도</t>
    <phoneticPr fontId="3" type="noConversion"/>
  </si>
  <si>
    <t>임근우</t>
    <phoneticPr fontId="3" type="noConversion"/>
  </si>
  <si>
    <t>그림 설명</t>
    <phoneticPr fontId="3" type="noConversion"/>
  </si>
  <si>
    <t>SY09</t>
  </si>
  <si>
    <t>공작도시 blue0904</t>
  </si>
  <si>
    <t>우무길</t>
    <phoneticPr fontId="3" type="noConversion"/>
  </si>
  <si>
    <t>SY10</t>
  </si>
  <si>
    <t>UTOPIA 20105</t>
  </si>
  <si>
    <t>SY11</t>
  </si>
  <si>
    <t>Behind Blue1</t>
  </si>
  <si>
    <t>김정선</t>
    <phoneticPr fontId="3" type="noConversion"/>
  </si>
  <si>
    <t>SY12</t>
  </si>
  <si>
    <t>훈민정음 사색으로부터12-18</t>
  </si>
  <si>
    <t>손성일</t>
    <phoneticPr fontId="3" type="noConversion"/>
  </si>
  <si>
    <t>SY13</t>
  </si>
  <si>
    <t>어린왕자가 있는 풍경</t>
  </si>
  <si>
    <t>김정연</t>
    <phoneticPr fontId="3" type="noConversion"/>
  </si>
  <si>
    <t>SY14</t>
  </si>
  <si>
    <t>Untitled 27th 2</t>
  </si>
  <si>
    <t>석창우</t>
    <phoneticPr fontId="3" type="noConversion"/>
  </si>
  <si>
    <t>SY15</t>
  </si>
  <si>
    <t>귀가 열린 노인</t>
  </si>
  <si>
    <t>홍윤화</t>
    <phoneticPr fontId="3" type="noConversion"/>
  </si>
  <si>
    <t>IM01</t>
    <phoneticPr fontId="3" type="noConversion"/>
  </si>
  <si>
    <t>인상주의</t>
    <phoneticPr fontId="3" type="noConversion"/>
  </si>
  <si>
    <t>애월의 하늘</t>
    <phoneticPr fontId="3" type="noConversion"/>
  </si>
  <si>
    <t>신홍직</t>
    <phoneticPr fontId="3" type="noConversion"/>
  </si>
  <si>
    <t>안개가 잔뜩 낀 해변의 모습</t>
    <phoneticPr fontId="3" type="noConversion"/>
  </si>
  <si>
    <t>IM02</t>
  </si>
  <si>
    <t>메트로폴리탄</t>
    <phoneticPr fontId="3" type="noConversion"/>
  </si>
  <si>
    <t>대도시의 상가를 표현한 그림</t>
    <phoneticPr fontId="3" type="noConversion"/>
  </si>
  <si>
    <t>IM03</t>
  </si>
  <si>
    <t>산티아고 가는 길 오후</t>
  </si>
  <si>
    <t>백성흠</t>
    <phoneticPr fontId="3" type="noConversion"/>
  </si>
  <si>
    <t>산티아고 가는 길의 오후 풍경이다.</t>
    <phoneticPr fontId="3" type="noConversion"/>
  </si>
  <si>
    <t>IM04</t>
  </si>
  <si>
    <t>산티아고 가는 길</t>
    <phoneticPr fontId="3" type="noConversion"/>
  </si>
  <si>
    <t>IM05</t>
  </si>
  <si>
    <t>자화상</t>
    <phoneticPr fontId="3" type="noConversion"/>
  </si>
  <si>
    <t>빈센트</t>
  </si>
  <si>
    <t>화가 본인의 얼굴을 그린 그림이다.</t>
    <phoneticPr fontId="3" type="noConversion"/>
  </si>
  <si>
    <t>IM06</t>
  </si>
  <si>
    <t>별이 빛나는 밤</t>
    <phoneticPr fontId="3" type="noConversion"/>
  </si>
  <si>
    <t>IM07</t>
  </si>
  <si>
    <t>The Joy(남조풍정도)</t>
  </si>
  <si>
    <t>황두순</t>
  </si>
  <si>
    <t>IM08</t>
  </si>
  <si>
    <t>풍경</t>
    <phoneticPr fontId="3" type="noConversion"/>
  </si>
  <si>
    <t>이한우</t>
    <phoneticPr fontId="3" type="noConversion"/>
  </si>
  <si>
    <t>IM09</t>
  </si>
  <si>
    <t>홍매</t>
    <phoneticPr fontId="3" type="noConversion"/>
  </si>
  <si>
    <t>강남구</t>
    <phoneticPr fontId="3" type="noConversion"/>
  </si>
  <si>
    <t>IM10</t>
  </si>
  <si>
    <t>pine tree-올려보기</t>
  </si>
  <si>
    <t>신은섭</t>
    <phoneticPr fontId="3" type="noConversion"/>
  </si>
  <si>
    <t>IM11</t>
  </si>
  <si>
    <t>시선</t>
    <phoneticPr fontId="3" type="noConversion"/>
  </si>
  <si>
    <t>IM12</t>
  </si>
  <si>
    <t>은행나무</t>
    <phoneticPr fontId="3" type="noConversion"/>
  </si>
  <si>
    <t>이상열</t>
    <phoneticPr fontId="3" type="noConversion"/>
  </si>
  <si>
    <t>IM13</t>
  </si>
  <si>
    <t>꽃과 사과나무</t>
    <phoneticPr fontId="3" type="noConversion"/>
  </si>
  <si>
    <t>IM14</t>
  </si>
  <si>
    <t>Luncheon of the Boating Party</t>
  </si>
  <si>
    <t>오귀스트</t>
  </si>
  <si>
    <t>IM15</t>
  </si>
  <si>
    <t>Dance at Le Moulin de la Galette</t>
  </si>
  <si>
    <t>IM16</t>
  </si>
  <si>
    <t>Over there</t>
  </si>
  <si>
    <t>허필석</t>
    <phoneticPr fontId="3" type="noConversion"/>
  </si>
  <si>
    <t>IM17</t>
  </si>
  <si>
    <t>Lise in a White Shawl</t>
  </si>
  <si>
    <t>IM18</t>
  </si>
  <si>
    <t>The Large Tree</t>
    <phoneticPr fontId="3" type="noConversion"/>
  </si>
  <si>
    <t>폴 고갱</t>
    <phoneticPr fontId="3" type="noConversion"/>
  </si>
  <si>
    <t>TR01</t>
    <phoneticPr fontId="3" type="noConversion"/>
  </si>
  <si>
    <t>전통주의</t>
    <phoneticPr fontId="3" type="noConversion"/>
  </si>
  <si>
    <t>사득지란</t>
    <phoneticPr fontId="3" type="noConversion"/>
  </si>
  <si>
    <t>손수용</t>
    <phoneticPr fontId="3" type="noConversion"/>
  </si>
  <si>
    <t>세상의 곱고 미움 모두 받아들여 부드러운 향기 담원한 사람을 생각해본다.</t>
    <phoneticPr fontId="3" type="noConversion"/>
  </si>
  <si>
    <t>TR02</t>
  </si>
  <si>
    <t>비움과 채움(복을 담다)</t>
    <phoneticPr fontId="3" type="noConversion"/>
  </si>
  <si>
    <t>오관진</t>
    <phoneticPr fontId="3" type="noConversion"/>
  </si>
  <si>
    <t>비어 있는 자기를 복으로 채운다는 뜻이 담긴 작품이다.</t>
    <phoneticPr fontId="3" type="noConversion"/>
  </si>
  <si>
    <t>TR03</t>
  </si>
  <si>
    <t>채움과 비움</t>
  </si>
  <si>
    <t>무언가를 비우고 채울 수 있는 자기의 그림</t>
    <phoneticPr fontId="3" type="noConversion"/>
  </si>
  <si>
    <t>TR04</t>
  </si>
  <si>
    <t>회귀</t>
    <phoneticPr fontId="3" type="noConversion"/>
  </si>
  <si>
    <t>임진호</t>
    <phoneticPr fontId="3" type="noConversion"/>
  </si>
  <si>
    <t>자신이 태어난 곳으로 회귀하고 있는 물고기를 표현한 작품이다.</t>
    <phoneticPr fontId="3" type="noConversion"/>
  </si>
  <si>
    <t>TR05</t>
  </si>
  <si>
    <t>출토품</t>
    <phoneticPr fontId="3" type="noConversion"/>
  </si>
  <si>
    <t>문홍규</t>
    <phoneticPr fontId="3" type="noConversion"/>
  </si>
  <si>
    <t>가운데의 거대한 토기와 그 주변을 둘러싸고 있는 세상</t>
    <phoneticPr fontId="3" type="noConversion"/>
  </si>
  <si>
    <t>TR06</t>
  </si>
  <si>
    <t>Rumination18</t>
  </si>
  <si>
    <t>신호재</t>
    <phoneticPr fontId="3" type="noConversion"/>
  </si>
  <si>
    <t>TR07</t>
  </si>
  <si>
    <t>달항아리</t>
    <phoneticPr fontId="3" type="noConversion"/>
  </si>
  <si>
    <t>금보성</t>
    <phoneticPr fontId="3" type="noConversion"/>
  </si>
  <si>
    <t>TR08</t>
  </si>
  <si>
    <t>The Precious Message</t>
  </si>
  <si>
    <t>김시현</t>
    <phoneticPr fontId="3" type="noConversion"/>
  </si>
  <si>
    <t>TR09</t>
  </si>
  <si>
    <t>무언</t>
    <phoneticPr fontId="3" type="noConversion"/>
  </si>
  <si>
    <t>TR10</t>
  </si>
  <si>
    <t>탐라의선계-억새바람</t>
  </si>
  <si>
    <t>최형양</t>
    <phoneticPr fontId="3" type="noConversion"/>
  </si>
  <si>
    <t>TR11</t>
  </si>
  <si>
    <t>emotion(산수낙원)</t>
  </si>
  <si>
    <t>임정아</t>
    <phoneticPr fontId="3" type="noConversion"/>
  </si>
  <si>
    <t>TR12</t>
  </si>
  <si>
    <t>행상</t>
    <phoneticPr fontId="3" type="noConversion"/>
  </si>
  <si>
    <t>임병남</t>
    <phoneticPr fontId="3" type="noConversion"/>
  </si>
  <si>
    <t>TR13</t>
  </si>
  <si>
    <t>너와나 자유롭게</t>
    <phoneticPr fontId="3" type="noConversion"/>
  </si>
  <si>
    <t>서경애</t>
    <phoneticPr fontId="3" type="noConversion"/>
  </si>
  <si>
    <t>TR14</t>
  </si>
  <si>
    <t>꿈 2</t>
    <phoneticPr fontId="3" type="noConversion"/>
  </si>
  <si>
    <t>나옥자</t>
    <phoneticPr fontId="3" type="noConversion"/>
  </si>
  <si>
    <t>TR15</t>
  </si>
  <si>
    <t>황토밭 어린시절 추억</t>
  </si>
  <si>
    <t>TR16</t>
  </si>
  <si>
    <t>고약명 전각미인병 백자점토</t>
  </si>
  <si>
    <t>심재천</t>
    <phoneticPr fontId="3" type="noConversion"/>
  </si>
  <si>
    <t>TR17</t>
  </si>
  <si>
    <t>emotion(꽃피우자)</t>
  </si>
  <si>
    <t>TR18</t>
  </si>
  <si>
    <t>한글숲4</t>
    <phoneticPr fontId="3" type="noConversion"/>
  </si>
  <si>
    <t>SU01</t>
    <phoneticPr fontId="3" type="noConversion"/>
  </si>
  <si>
    <t>초현실주의</t>
    <phoneticPr fontId="3" type="noConversion"/>
  </si>
  <si>
    <t>Timetraveler(시간여행자)</t>
  </si>
  <si>
    <t>서정희</t>
    <phoneticPr fontId="3" type="noConversion"/>
  </si>
  <si>
    <t>시간을 여행하며 여러 세계를 돌아다니는 시간여행자</t>
    <phoneticPr fontId="3" type="noConversion"/>
  </si>
  <si>
    <t>SU02</t>
  </si>
  <si>
    <t>달이 태양을 품었어요</t>
  </si>
  <si>
    <t>양향옥</t>
    <phoneticPr fontId="3" type="noConversion"/>
  </si>
  <si>
    <t>태양을 품은 달과 그 아래 활짝 피어난 거대한 꽃</t>
    <phoneticPr fontId="3" type="noConversion"/>
  </si>
  <si>
    <t>SU03</t>
  </si>
  <si>
    <t>saviour</t>
  </si>
  <si>
    <t>강지웅</t>
    <phoneticPr fontId="3" type="noConversion"/>
  </si>
  <si>
    <t>사람들을 악으로부터 지키기 위해 자신을 희생하신 구원자</t>
    <phoneticPr fontId="3" type="noConversion"/>
  </si>
  <si>
    <t>SU04</t>
  </si>
  <si>
    <t xml:space="preserve">돌로부터 2 </t>
  </si>
  <si>
    <t>계낙영</t>
    <phoneticPr fontId="3" type="noConversion"/>
  </si>
  <si>
    <t>모든 것들은 돌로부터 왔다는 것을 표현</t>
    <phoneticPr fontId="3" type="noConversion"/>
  </si>
  <si>
    <t>SU05</t>
  </si>
  <si>
    <t>이율배반(antinomie)</t>
  </si>
  <si>
    <t>한정선</t>
  </si>
  <si>
    <t>현실에는 존재할 수 없는 초현실적인 존재들을 그린 그림이다.</t>
    <phoneticPr fontId="3" type="noConversion"/>
  </si>
  <si>
    <t>SU06</t>
  </si>
  <si>
    <t>Lady Wearing a Gauze Headdress</t>
  </si>
  <si>
    <t>로지에</t>
  </si>
  <si>
    <t>SU07</t>
  </si>
  <si>
    <t>Portrait of Charles the Bold</t>
  </si>
  <si>
    <t>SU08</t>
  </si>
  <si>
    <t>edge of season 2/10</t>
  </si>
  <si>
    <t>권민경</t>
    <phoneticPr fontId="3" type="noConversion"/>
  </si>
  <si>
    <t>SU09</t>
  </si>
  <si>
    <t>Red territory</t>
  </si>
  <si>
    <t>최소희</t>
    <phoneticPr fontId="3" type="noConversion"/>
  </si>
  <si>
    <t>SU10</t>
  </si>
  <si>
    <t>경칩</t>
    <phoneticPr fontId="3" type="noConversion"/>
  </si>
  <si>
    <t>SU11</t>
  </si>
  <si>
    <t>Their space</t>
  </si>
  <si>
    <t>오은정</t>
    <phoneticPr fontId="3" type="noConversion"/>
  </si>
  <si>
    <t>SU12</t>
  </si>
  <si>
    <t>regular morning 1/10</t>
  </si>
  <si>
    <t>SU13</t>
  </si>
  <si>
    <t>고백(confession)_참 예쁜 무의식</t>
  </si>
  <si>
    <t>SU14</t>
  </si>
  <si>
    <t>순결한 숨결</t>
    <phoneticPr fontId="3" type="noConversion"/>
  </si>
  <si>
    <t>SU15</t>
  </si>
  <si>
    <t>당신이 꽃입니다</t>
  </si>
  <si>
    <t>SU16</t>
  </si>
  <si>
    <t>구원을 욕망하다</t>
  </si>
  <si>
    <t>SU17</t>
  </si>
  <si>
    <t>Portrait of a Young Woman</t>
  </si>
  <si>
    <t>행 레이블</t>
  </si>
  <si>
    <t>총합계</t>
  </si>
  <si>
    <t>개수 : 작품번호</t>
  </si>
  <si>
    <t>열 레이블</t>
  </si>
  <si>
    <t>낭만주의</t>
  </si>
  <si>
    <t>상징주의</t>
  </si>
  <si>
    <t>인상주의</t>
  </si>
  <si>
    <t>전통주의</t>
  </si>
  <si>
    <t>초현실주의</t>
  </si>
  <si>
    <t>1백만원 이하</t>
  </si>
  <si>
    <t>1백만원대</t>
  </si>
  <si>
    <t>2백만원대</t>
  </si>
  <si>
    <t>3백만원대</t>
  </si>
  <si>
    <t>4백만원대</t>
  </si>
  <si>
    <t>총개수</t>
  </si>
  <si>
    <t>총금액</t>
  </si>
  <si>
    <t>합계 : 가격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</si>
</sst>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.0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1" fontId="2" fillId="2" borderId="2" xfId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76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41" fontId="0" fillId="0" borderId="0" xfId="0" applyNumberFormat="1" applyAlignment="1">
      <alignment horizontal="left" vertical="center"/>
    </xf>
  </cellXfs>
  <cellStyles count="2">
    <cellStyle name="쉼표 [0]" xfId="1" builtinId="6"/>
    <cellStyle name="표준" xfId="0" builtinId="0"/>
  </cellStyles>
  <dxfs count="3">
    <dxf>
      <font>
        <b/>
        <i val="0"/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[차트.xlsm]Sheet2!피벗 테이블4</c:name>
    <c:fmtId val="0"/>
  </c:pivotSource>
  <c:chart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1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4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6"/>
        <c:spPr>
          <a:solidFill>
            <a:srgbClr val="FF0000"/>
          </a:solidFill>
          <a:ln>
            <a:solidFill>
              <a:schemeClr val="accent1">
                <a:shade val="76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76000"/>
                <a:lumMod val="75000"/>
              </a:schemeClr>
            </a:contourClr>
          </a:sp3d>
        </c:spPr>
      </c:pivotFmt>
      <c:pivotFmt>
        <c:idx val="27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28"/>
        <c:spPr>
          <a:solidFill>
            <a:schemeClr val="accent1">
              <a:shade val="53000"/>
            </a:schemeClr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29"/>
        <c:spPr>
          <a:solidFill>
            <a:schemeClr val="accent1">
              <a:shade val="53000"/>
            </a:schemeClr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30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31"/>
        <c:spPr>
          <a:solidFill>
            <a:schemeClr val="accent1">
              <a:tint val="77000"/>
            </a:schemeClr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32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33"/>
        <c:spPr>
          <a:solidFill>
            <a:srgbClr val="FF0000"/>
          </a:solidFill>
          <a:ln>
            <a:solidFill>
              <a:schemeClr val="accent1">
                <a:tint val="54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54000"/>
                <a:lumMod val="75000"/>
              </a:schemeClr>
            </a:contourClr>
          </a:sp3d>
        </c:spPr>
      </c:pivotFmt>
      <c:pivotFmt>
        <c:idx val="34"/>
        <c:spPr>
          <a:solidFill>
            <a:srgbClr val="FF0000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</c:pivotFmt>
      <c:pivotFmt>
        <c:idx val="35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36"/>
        <c:spPr>
          <a:solidFill>
            <a:srgbClr val="FF0000"/>
          </a:solidFill>
          <a:ln>
            <a:solidFill>
              <a:schemeClr val="accent1">
                <a:shade val="76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76000"/>
                <a:lumMod val="75000"/>
              </a:schemeClr>
            </a:contourClr>
          </a:sp3d>
        </c:spPr>
      </c:pivotFmt>
      <c:pivotFmt>
        <c:idx val="37"/>
        <c:spPr>
          <a:solidFill>
            <a:srgbClr val="FF0000"/>
          </a:solidFill>
          <a:ln>
            <a:solidFill>
              <a:schemeClr val="accent1">
                <a:tint val="54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54000"/>
                <a:lumMod val="75000"/>
              </a:schemeClr>
            </a:contourClr>
          </a:sp3d>
        </c:spPr>
      </c:pivotFmt>
      <c:pivotFmt>
        <c:idx val="38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Sheet2!$Q$13:$Q$14</c:f>
              <c:strCache>
                <c:ptCount val="1"/>
                <c:pt idx="0">
                  <c:v>낭만주의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solidFill>
                <a:schemeClr val="accent1">
                  <a:shade val="53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shade val="53000"/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53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53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B2B7-435E-9458-9275B8EA49E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53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53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0-06F3-4DDC-8F1F-FAA4AF50835C}"/>
              </c:ext>
            </c:extLst>
          </c:dPt>
          <c:cat>
            <c:strRef>
              <c:f>Sheet2!$P$15:$P$20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Sheet2!$Q$15:$Q$20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FC-1106-4A4F-AD74-C5BAE85FA7A3}"/>
            </c:ext>
          </c:extLst>
        </c:ser>
        <c:ser>
          <c:idx val="1"/>
          <c:order val="1"/>
          <c:tx>
            <c:strRef>
              <c:f>Sheet2!$R$13:$R$14</c:f>
              <c:strCache>
                <c:ptCount val="1"/>
                <c:pt idx="0">
                  <c:v>상징주의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solidFill>
                <a:schemeClr val="accent1">
                  <a:shade val="76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shade val="76000"/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76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76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B2B7-435E-9458-9275B8EA49E3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76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76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2B7-435E-9458-9275B8EA49E3}"/>
              </c:ext>
            </c:extLst>
          </c:dPt>
          <c:cat>
            <c:strRef>
              <c:f>Sheet2!$P$15:$P$20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Sheet2!$R$15:$R$20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EF-1106-4A4F-AD74-C5BAE85FA7A3}"/>
            </c:ext>
          </c:extLst>
        </c:ser>
        <c:ser>
          <c:idx val="2"/>
          <c:order val="2"/>
          <c:tx>
            <c:strRef>
              <c:f>Sheet2!$S$13:$S$14</c:f>
              <c:strCache>
                <c:ptCount val="1"/>
                <c:pt idx="0">
                  <c:v>인상주의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B2B7-435E-9458-9275B8EA49E3}"/>
              </c:ext>
            </c:extLst>
          </c:dPt>
          <c:cat>
            <c:strRef>
              <c:f>Sheet2!$P$15:$P$20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Sheet2!$S$15:$S$20</c:f>
              <c:numCache>
                <c:formatCode>General</c:formatCode>
                <c:ptCount val="5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F0-1106-4A4F-AD74-C5BAE85FA7A3}"/>
            </c:ext>
          </c:extLst>
        </c:ser>
        <c:ser>
          <c:idx val="3"/>
          <c:order val="3"/>
          <c:tx>
            <c:strRef>
              <c:f>Sheet2!$T$13:$T$14</c:f>
              <c:strCache>
                <c:ptCount val="1"/>
                <c:pt idx="0">
                  <c:v>전통주의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solidFill>
                <a:schemeClr val="accent1">
                  <a:tint val="77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tint val="77000"/>
                  <a:lumMod val="75000"/>
                </a:schemeClr>
              </a:contourClr>
            </a:sp3d>
          </c:spPr>
          <c:invertIfNegative val="0"/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tint val="77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tint val="77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2B7-435E-9458-9275B8EA49E3}"/>
              </c:ext>
            </c:extLst>
          </c:dPt>
          <c:cat>
            <c:strRef>
              <c:f>Sheet2!$P$15:$P$20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Sheet2!$T$15:$T$20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F1-1106-4A4F-AD74-C5BAE85FA7A3}"/>
            </c:ext>
          </c:extLst>
        </c:ser>
        <c:ser>
          <c:idx val="4"/>
          <c:order val="4"/>
          <c:tx>
            <c:strRef>
              <c:f>Sheet2!$U$13:$U$14</c:f>
              <c:strCache>
                <c:ptCount val="1"/>
                <c:pt idx="0">
                  <c:v>초현실주의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solidFill>
                <a:schemeClr val="accent1">
                  <a:tint val="54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tint val="54000"/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tint val="54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tint val="54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2B7-435E-9458-9275B8EA49E3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tint val="54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tint val="54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B2B7-435E-9458-9275B8EA49E3}"/>
              </c:ext>
            </c:extLst>
          </c:dPt>
          <c:cat>
            <c:strRef>
              <c:f>Sheet2!$P$15:$P$20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Sheet2!$U$15:$U$20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F2-1106-4A4F-AD74-C5BAE85FA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1813896"/>
        <c:axId val="691810944"/>
        <c:axId val="0"/>
      </c:bar3DChart>
      <c:catAx>
        <c:axId val="69181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10944"/>
        <c:crosses val="autoZero"/>
        <c:auto val="1"/>
        <c:lblAlgn val="ctr"/>
        <c:lblOffset val="100"/>
        <c:noMultiLvlLbl val="0"/>
      </c:catAx>
      <c:valAx>
        <c:axId val="6918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1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[차트.xlsm]Sheet3!피벗 테이블5</c:name>
    <c:fmtId val="0"/>
  </c:pivotSource>
  <c:chart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rgbClr val="FF0000">
              <a:alpha val="69000"/>
            </a:srgbClr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dLbl>
          <c:idx val="0"/>
          <c:numFmt formatCode="General&quot;개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numFmt formatCode="#,##0;[Red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</c:pivotFmt>
      <c:pivotFmt>
        <c:idx val="106"/>
      </c:pivotFmt>
      <c:pivotFmt>
        <c:idx val="10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rgbClr val="FF0000">
              <a:alpha val="60000"/>
            </a:srgb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Sheet3!$F$4</c:f>
              <c:strCache>
                <c:ptCount val="1"/>
                <c:pt idx="0">
                  <c:v>총개수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Sheet3!$D$5:$D$10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Sheet3!$F$5:$F$10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18</c:v>
                </c:pt>
                <c:pt idx="3">
                  <c:v>18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26-4317-8D17-396311159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5"/>
        <c:axId val="519317944"/>
        <c:axId val="519312696"/>
      </c:barChart>
      <c:barChart>
        <c:barDir val="col"/>
        <c:grouping val="clustered"/>
        <c:varyColors val="0"/>
        <c:ser>
          <c:idx val="0"/>
          <c:order val="0"/>
          <c:tx>
            <c:strRef>
              <c:f>Sheet3!$E$4</c:f>
              <c:strCache>
                <c:ptCount val="1"/>
                <c:pt idx="0">
                  <c:v>총금액</c:v>
                </c:pt>
              </c:strCache>
            </c:strRef>
          </c:tx>
          <c:spPr>
            <a:solidFill>
              <a:srgbClr val="FF0000">
                <a:alpha val="60000"/>
              </a:srgb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Sheet3!$D$5:$D$10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Sheet3!$E$5:$E$10</c:f>
              <c:numCache>
                <c:formatCode>General</c:formatCode>
                <c:ptCount val="5"/>
                <c:pt idx="0">
                  <c:v>36080000</c:v>
                </c:pt>
                <c:pt idx="1">
                  <c:v>38210000</c:v>
                </c:pt>
                <c:pt idx="2">
                  <c:v>44970000</c:v>
                </c:pt>
                <c:pt idx="3">
                  <c:v>46620000</c:v>
                </c:pt>
                <c:pt idx="4">
                  <c:v>43040000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26-4317-8D17-396311159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50"/>
        <c:axId val="522108360"/>
        <c:axId val="522107048"/>
      </c:barChart>
      <c:valAx>
        <c:axId val="519312696"/>
        <c:scaling>
          <c:orientation val="minMax"/>
          <c:max val="18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개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9317944"/>
        <c:crosses val="max"/>
        <c:crossBetween val="between"/>
      </c:valAx>
      <c:catAx>
        <c:axId val="519317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9312696"/>
        <c:crosses val="autoZero"/>
        <c:auto val="1"/>
        <c:lblAlgn val="ctr"/>
        <c:lblOffset val="100"/>
        <c:noMultiLvlLbl val="0"/>
      </c:catAx>
      <c:valAx>
        <c:axId val="522107048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2108360"/>
        <c:crosses val="autoZero"/>
        <c:crossBetween val="between"/>
      </c:valAx>
      <c:catAx>
        <c:axId val="522108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210704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[차트.xlsm]Sheet3!피벗 테이블1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Sheet3!$F$37</c:f>
              <c:strCache>
                <c:ptCount val="1"/>
                <c:pt idx="0">
                  <c:v>총금액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Sheet3!$D$38:$D$43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Sheet3!$F$38:$F$43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18</c:v>
                </c:pt>
                <c:pt idx="3">
                  <c:v>18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D7-45DD-B21D-D95BFA562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1084512"/>
        <c:axId val="531089104"/>
      </c:barChart>
      <c:barChart>
        <c:barDir val="col"/>
        <c:grouping val="clustered"/>
        <c:varyColors val="0"/>
        <c:ser>
          <c:idx val="0"/>
          <c:order val="0"/>
          <c:tx>
            <c:strRef>
              <c:f>Sheet3!$E$37</c:f>
              <c:strCache>
                <c:ptCount val="1"/>
                <c:pt idx="0">
                  <c:v>총개수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Sheet3!$D$38:$D$43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Sheet3!$E$38:$E$43</c:f>
              <c:numCache>
                <c:formatCode>General</c:formatCode>
                <c:ptCount val="5"/>
                <c:pt idx="0">
                  <c:v>36080000</c:v>
                </c:pt>
                <c:pt idx="1">
                  <c:v>38210000</c:v>
                </c:pt>
                <c:pt idx="2">
                  <c:v>44970000</c:v>
                </c:pt>
                <c:pt idx="3">
                  <c:v>46620000</c:v>
                </c:pt>
                <c:pt idx="4">
                  <c:v>43040000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7-45DD-B21D-D95BFA562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9"/>
        <c:axId val="543610528"/>
        <c:axId val="543609216"/>
      </c:barChart>
      <c:valAx>
        <c:axId val="531089104"/>
        <c:scaling>
          <c:orientation val="minMax"/>
          <c:max val="18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1084512"/>
        <c:crosses val="max"/>
        <c:crossBetween val="between"/>
      </c:valAx>
      <c:catAx>
        <c:axId val="53108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1089104"/>
        <c:auto val="1"/>
        <c:lblAlgn val="ctr"/>
        <c:lblOffset val="100"/>
        <c:noMultiLvlLbl val="0"/>
      </c:catAx>
      <c:valAx>
        <c:axId val="54360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3610528"/>
        <c:crossBetween val="between"/>
      </c:valAx>
      <c:catAx>
        <c:axId val="543610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60921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[차트.xlsm]Sheet4!피벗 테이블30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translucentPowder"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Sheet4!$AA$8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translucentPowder"/>
          </c:spPr>
          <c:invertIfNegative val="0"/>
          <c:cat>
            <c:strRef>
              <c:f>Sheet4!$Z$9:$Z$14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Sheet4!$AA$9:$AA$14</c:f>
              <c:numCache>
                <c:formatCode>General</c:formatCode>
                <c:ptCount val="5"/>
                <c:pt idx="0">
                  <c:v>36080000</c:v>
                </c:pt>
                <c:pt idx="1">
                  <c:v>38210000</c:v>
                </c:pt>
                <c:pt idx="2">
                  <c:v>44970000</c:v>
                </c:pt>
                <c:pt idx="3">
                  <c:v>46620000</c:v>
                </c:pt>
                <c:pt idx="4">
                  <c:v>43040000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C7-F8AD-477A-A830-E2305E659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7468232"/>
        <c:axId val="527470200"/>
        <c:axId val="0"/>
      </c:bar3DChart>
      <c:catAx>
        <c:axId val="5274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7470200"/>
        <c:crosses val="autoZero"/>
        <c:auto val="1"/>
        <c:lblAlgn val="ctr"/>
        <c:lblOffset val="100"/>
        <c:noMultiLvlLbl val="0"/>
      </c:catAx>
      <c:valAx>
        <c:axId val="52747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746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C:\Users\&#50689;&#51116;01\Desktop\Desktop\&#50641;&#49472;&#52636;&#51228;\&#51648;&#44553;&#51088;&#47308;\&#51060;&#48120;&#51648;\&#45229;&#47564;&#51452;&#51032;\RO06.jpg" TargetMode="External"/><Relationship Id="rId18" Type="http://schemas.openxmlformats.org/officeDocument/2006/relationships/image" Target="file:///C:\Users\&#50689;&#51116;01\Desktop\Desktop\&#50641;&#49472;&#52636;&#51228;\&#51648;&#44553;&#51088;&#47308;\&#51060;&#48120;&#51648;\&#45229;&#47564;&#51452;&#51032;\RO11.jpg" TargetMode="External"/><Relationship Id="rId26" Type="http://schemas.openxmlformats.org/officeDocument/2006/relationships/image" Target="file:///C:\Users\&#50689;&#51116;01\Desktop\Desktop\&#50641;&#49472;&#52636;&#51228;\&#51648;&#44553;&#51088;&#47308;\&#51060;&#48120;&#51648;\&#49345;&#51669;&#51452;&#51032;\SY03.jpg" TargetMode="External"/><Relationship Id="rId39" Type="http://schemas.openxmlformats.org/officeDocument/2006/relationships/image" Target="file:///C:\Users\&#50689;&#51116;01\Desktop\Desktop\&#50641;&#49472;&#52636;&#51228;\&#51648;&#44553;&#51088;&#47308;\&#51060;&#48120;&#51648;\&#51064;&#49345;&#51452;&#51032;\IM08.jpg" TargetMode="External"/><Relationship Id="rId21" Type="http://schemas.openxmlformats.org/officeDocument/2006/relationships/image" Target="file:///C:\Users\&#50689;&#51116;01\Desktop\Desktop\&#50641;&#49472;&#52636;&#51228;\&#51648;&#44553;&#51088;&#47308;\&#51060;&#48120;&#51648;\&#45229;&#47564;&#51452;&#51032;\RO14.jpg" TargetMode="External"/><Relationship Id="rId34" Type="http://schemas.openxmlformats.org/officeDocument/2006/relationships/image" Target="file:///C:\Users\&#50689;&#51116;01\Desktop\Desktop\&#50641;&#49472;&#52636;&#51228;\&#51648;&#44553;&#51088;&#47308;\&#51060;&#48120;&#51648;\&#51064;&#49345;&#51452;&#51032;\IM03.jpg" TargetMode="External"/><Relationship Id="rId42" Type="http://schemas.openxmlformats.org/officeDocument/2006/relationships/image" Target="file:///C:\Users\&#50689;&#51116;01\Desktop\Desktop\&#50641;&#49472;&#52636;&#51228;\&#51648;&#44553;&#51088;&#47308;\&#51060;&#48120;&#51648;\&#51064;&#49345;&#51452;&#51032;\IM11.jpg" TargetMode="External"/><Relationship Id="rId47" Type="http://schemas.openxmlformats.org/officeDocument/2006/relationships/image" Target="file:///C:\Users\&#50689;&#51116;01\Desktop\Desktop\&#50641;&#49472;&#52636;&#51228;\&#51648;&#44553;&#51088;&#47308;\&#51060;&#48120;&#51648;\&#51064;&#49345;&#51452;&#51032;\IM16.jpg" TargetMode="External"/><Relationship Id="rId50" Type="http://schemas.openxmlformats.org/officeDocument/2006/relationships/image" Target="file:///C:\Users\&#50689;&#51116;01\Desktop\Desktop\&#50641;&#49472;&#52636;&#51228;\&#51648;&#44553;&#51088;&#47308;\&#51060;&#48120;&#51648;\&#51204;&#53685;&#51452;&#51032;\TR01.jpg" TargetMode="External"/><Relationship Id="rId55" Type="http://schemas.openxmlformats.org/officeDocument/2006/relationships/image" Target="file:///C:\Users\&#50689;&#51116;01\Desktop\Desktop\&#50641;&#49472;&#52636;&#51228;\&#51648;&#44553;&#51088;&#47308;\&#51060;&#48120;&#51648;\&#51204;&#53685;&#51452;&#51032;\TR06.jpg" TargetMode="External"/><Relationship Id="rId63" Type="http://schemas.openxmlformats.org/officeDocument/2006/relationships/image" Target="file:///C:\Users\&#50689;&#51116;01\Desktop\Desktop\&#50641;&#49472;&#52636;&#51228;\&#51648;&#44553;&#51088;&#47308;\&#51060;&#48120;&#51648;\&#51204;&#53685;&#51452;&#51032;\TR14.jpg" TargetMode="External"/><Relationship Id="rId68" Type="http://schemas.openxmlformats.org/officeDocument/2006/relationships/image" Target="file:///C:\Users\&#50689;&#51116;01\Desktop\Desktop\&#50641;&#49472;&#52636;&#51228;\&#51648;&#44553;&#51088;&#47308;\&#51060;&#48120;&#51648;\&#52488;&#54788;&#49892;&#51452;&#51032;\SU01.jpg" TargetMode="External"/><Relationship Id="rId76" Type="http://schemas.openxmlformats.org/officeDocument/2006/relationships/image" Target="file:///C:\Users\&#50689;&#51116;01\Desktop\Desktop\&#50641;&#49472;&#52636;&#51228;\&#51648;&#44553;&#51088;&#47308;\&#51060;&#48120;&#51648;\&#52488;&#54788;&#49892;&#51452;&#51032;\SU09.jpg" TargetMode="External"/><Relationship Id="rId84" Type="http://schemas.openxmlformats.org/officeDocument/2006/relationships/image" Target="file:///C:\Users\&#50689;&#51116;01\Desktop\Desktop\&#50641;&#49472;&#52636;&#51228;\&#51648;&#44553;&#51088;&#47308;\&#51060;&#48120;&#51648;\&#52488;&#54788;&#49892;&#51452;&#51032;\SU17.jpg" TargetMode="External"/><Relationship Id="rId7" Type="http://schemas.openxmlformats.org/officeDocument/2006/relationships/image" Target="file:///C:\Users\&#50689;&#51116;01\Desktop\Desktop\&#50641;&#49472;&#52636;&#51228;\&#51648;&#44553;&#51088;&#47308;\&#51060;&#48120;&#51648;\&#49345;&#51669;&#51452;&#51032;\SY10.jpg" TargetMode="External"/><Relationship Id="rId71" Type="http://schemas.openxmlformats.org/officeDocument/2006/relationships/image" Target="file:///C:\Users\&#50689;&#51116;01\Desktop\Desktop\&#50641;&#49472;&#52636;&#51228;\&#51648;&#44553;&#51088;&#47308;\&#51060;&#48120;&#51648;\&#52488;&#54788;&#49892;&#51452;&#51032;\SU04.jpg" TargetMode="External"/><Relationship Id="rId2" Type="http://schemas.openxmlformats.org/officeDocument/2006/relationships/image" Target="file:///C:\Users\&#50689;&#51116;01\Desktop\Desktop\&#50641;&#49472;&#52636;&#51228;\&#51648;&#44553;&#51088;&#47308;\&#51060;&#48120;&#51648;\&#49345;&#51669;&#51452;&#51032;\SY05.jpg" TargetMode="External"/><Relationship Id="rId16" Type="http://schemas.openxmlformats.org/officeDocument/2006/relationships/image" Target="file:///C:\Users\&#50689;&#51116;01\Desktop\Desktop\&#50641;&#49472;&#52636;&#51228;\&#51648;&#44553;&#51088;&#47308;\&#51060;&#48120;&#51648;\&#45229;&#47564;&#51452;&#51032;\RO09.jpg" TargetMode="External"/><Relationship Id="rId29" Type="http://schemas.openxmlformats.org/officeDocument/2006/relationships/image" Target="file:///C:\Users\&#50689;&#51116;01\Desktop\Desktop\&#50641;&#49472;&#52636;&#51228;\&#51648;&#44553;&#51088;&#47308;\&#51060;&#48120;&#51648;\&#49345;&#51669;&#51452;&#51032;\SY13.jpg" TargetMode="External"/><Relationship Id="rId11" Type="http://schemas.openxmlformats.org/officeDocument/2006/relationships/image" Target="file:///C:\Users\&#50689;&#51116;01\Desktop\Desktop\&#50641;&#49472;&#52636;&#51228;\&#51648;&#44553;&#51088;&#47308;\&#51060;&#48120;&#51648;\&#45229;&#47564;&#51452;&#51032;\RO04.jpg" TargetMode="External"/><Relationship Id="rId24" Type="http://schemas.openxmlformats.org/officeDocument/2006/relationships/image" Target="file:///C:\Users\&#50689;&#51116;01\Desktop\Desktop\&#50641;&#49472;&#52636;&#51228;\&#51648;&#44553;&#51088;&#47308;\&#51060;&#48120;&#51648;\&#49345;&#51669;&#51452;&#51032;\SY01.jpg" TargetMode="External"/><Relationship Id="rId32" Type="http://schemas.openxmlformats.org/officeDocument/2006/relationships/image" Target="file:///C:\Users\&#50689;&#51116;01\Desktop\Desktop\&#50641;&#49472;&#52636;&#51228;\&#51648;&#44553;&#51088;&#47308;\&#51060;&#48120;&#51648;\&#51064;&#49345;&#51452;&#51032;\IM01.jpg" TargetMode="External"/><Relationship Id="rId37" Type="http://schemas.openxmlformats.org/officeDocument/2006/relationships/image" Target="file:///C:\Users\&#50689;&#51116;01\Desktop\Desktop\&#50641;&#49472;&#52636;&#51228;\&#51648;&#44553;&#51088;&#47308;\&#51060;&#48120;&#51648;\&#51064;&#49345;&#51452;&#51032;\IM06.jpg" TargetMode="External"/><Relationship Id="rId40" Type="http://schemas.openxmlformats.org/officeDocument/2006/relationships/image" Target="file:///C:\Users\&#50689;&#51116;01\Desktop\Desktop\&#50641;&#49472;&#52636;&#51228;\&#51648;&#44553;&#51088;&#47308;\&#51060;&#48120;&#51648;\&#51064;&#49345;&#51452;&#51032;\IM09.jpg" TargetMode="External"/><Relationship Id="rId45" Type="http://schemas.openxmlformats.org/officeDocument/2006/relationships/image" Target="file:///C:\Users\&#50689;&#51116;01\Desktop\Desktop\&#50641;&#49472;&#52636;&#51228;\&#51648;&#44553;&#51088;&#47308;\&#51060;&#48120;&#51648;\&#51064;&#49345;&#51452;&#51032;\IM14.jpg" TargetMode="External"/><Relationship Id="rId53" Type="http://schemas.openxmlformats.org/officeDocument/2006/relationships/image" Target="file:///C:\Users\&#50689;&#51116;01\Desktop\Desktop\&#50641;&#49472;&#52636;&#51228;\&#51648;&#44553;&#51088;&#47308;\&#51060;&#48120;&#51648;\&#51204;&#53685;&#51452;&#51032;\TR04.jpg" TargetMode="External"/><Relationship Id="rId58" Type="http://schemas.openxmlformats.org/officeDocument/2006/relationships/image" Target="file:///C:\Users\&#50689;&#51116;01\Desktop\Desktop\&#50641;&#49472;&#52636;&#51228;\&#51648;&#44553;&#51088;&#47308;\&#51060;&#48120;&#51648;\&#51204;&#53685;&#51452;&#51032;\TR09.jpg" TargetMode="External"/><Relationship Id="rId66" Type="http://schemas.openxmlformats.org/officeDocument/2006/relationships/image" Target="file:///C:\Users\&#50689;&#51116;01\Desktop\Desktop\&#50641;&#49472;&#52636;&#51228;\&#51648;&#44553;&#51088;&#47308;\&#51060;&#48120;&#51648;\&#51204;&#53685;&#51452;&#51032;\TR17.jpg" TargetMode="External"/><Relationship Id="rId74" Type="http://schemas.openxmlformats.org/officeDocument/2006/relationships/image" Target="file:///C:\Users\&#50689;&#51116;01\Desktop\Desktop\&#50641;&#49472;&#52636;&#51228;\&#51648;&#44553;&#51088;&#47308;\&#51060;&#48120;&#51648;\&#52488;&#54788;&#49892;&#51452;&#51032;\SU07.jpg" TargetMode="External"/><Relationship Id="rId79" Type="http://schemas.openxmlformats.org/officeDocument/2006/relationships/image" Target="file:///C:\Users\&#50689;&#51116;01\Desktop\Desktop\&#50641;&#49472;&#52636;&#51228;\&#51648;&#44553;&#51088;&#47308;\&#51060;&#48120;&#51648;\&#52488;&#54788;&#49892;&#51452;&#51032;\SU12.jpg" TargetMode="External"/><Relationship Id="rId5" Type="http://schemas.openxmlformats.org/officeDocument/2006/relationships/image" Target="file:///C:\Users\&#50689;&#51116;01\Desktop\Desktop\&#50641;&#49472;&#52636;&#51228;\&#51648;&#44553;&#51088;&#47308;\&#51060;&#48120;&#51648;\&#49345;&#51669;&#51452;&#51032;\SY08.jpg" TargetMode="External"/><Relationship Id="rId61" Type="http://schemas.openxmlformats.org/officeDocument/2006/relationships/image" Target="file:///C:\Users\&#50689;&#51116;01\Desktop\Desktop\&#50641;&#49472;&#52636;&#51228;\&#51648;&#44553;&#51088;&#47308;\&#51060;&#48120;&#51648;\&#51204;&#53685;&#51452;&#51032;\TR12.jpg" TargetMode="External"/><Relationship Id="rId82" Type="http://schemas.openxmlformats.org/officeDocument/2006/relationships/image" Target="file:///C:\Users\&#50689;&#51116;01\Desktop\Desktop\&#50641;&#49472;&#52636;&#51228;\&#51648;&#44553;&#51088;&#47308;\&#51060;&#48120;&#51648;\&#52488;&#54788;&#49892;&#51452;&#51032;\SU15.jpg" TargetMode="External"/><Relationship Id="rId10" Type="http://schemas.openxmlformats.org/officeDocument/2006/relationships/image" Target="file:///C:\Users\&#50689;&#51116;01\Desktop\Desktop\&#50641;&#49472;&#52636;&#51228;\&#51648;&#44553;&#51088;&#47308;\&#51060;&#48120;&#51648;\&#45229;&#47564;&#51452;&#51032;\RO03.jpg" TargetMode="External"/><Relationship Id="rId19" Type="http://schemas.openxmlformats.org/officeDocument/2006/relationships/image" Target="file:///C:\Users\&#50689;&#51116;01\Desktop\Desktop\&#50641;&#49472;&#52636;&#51228;\&#51648;&#44553;&#51088;&#47308;\&#51060;&#48120;&#51648;\&#45229;&#47564;&#51452;&#51032;\RO12.jpg" TargetMode="External"/><Relationship Id="rId31" Type="http://schemas.openxmlformats.org/officeDocument/2006/relationships/image" Target="file:///C:\Users\&#50689;&#51116;01\Desktop\Desktop\&#50641;&#49472;&#52636;&#51228;\&#51648;&#44553;&#51088;&#47308;\&#51060;&#48120;&#51648;\&#49345;&#51669;&#51452;&#51032;\SY15.jpg" TargetMode="External"/><Relationship Id="rId44" Type="http://schemas.openxmlformats.org/officeDocument/2006/relationships/image" Target="file:///C:\Users\&#50689;&#51116;01\Desktop\Desktop\&#50641;&#49472;&#52636;&#51228;\&#51648;&#44553;&#51088;&#47308;\&#51060;&#48120;&#51648;\&#51064;&#49345;&#51452;&#51032;\IM13.jpg" TargetMode="External"/><Relationship Id="rId52" Type="http://schemas.openxmlformats.org/officeDocument/2006/relationships/image" Target="file:///C:\Users\&#50689;&#51116;01\Desktop\Desktop\&#50641;&#49472;&#52636;&#51228;\&#51648;&#44553;&#51088;&#47308;\&#51060;&#48120;&#51648;\&#51204;&#53685;&#51452;&#51032;\TR03.jpg" TargetMode="External"/><Relationship Id="rId60" Type="http://schemas.openxmlformats.org/officeDocument/2006/relationships/image" Target="file:///C:\Users\&#50689;&#51116;01\Desktop\Desktop\&#50641;&#49472;&#52636;&#51228;\&#51648;&#44553;&#51088;&#47308;\&#51060;&#48120;&#51648;\&#51204;&#53685;&#51452;&#51032;\TR11.jpg" TargetMode="External"/><Relationship Id="rId65" Type="http://schemas.openxmlformats.org/officeDocument/2006/relationships/image" Target="file:///C:\Users\&#50689;&#51116;01\Desktop\Desktop\&#50641;&#49472;&#52636;&#51228;\&#51648;&#44553;&#51088;&#47308;\&#51060;&#48120;&#51648;\&#51204;&#53685;&#51452;&#51032;\TR16.jpg" TargetMode="External"/><Relationship Id="rId73" Type="http://schemas.openxmlformats.org/officeDocument/2006/relationships/image" Target="file:///C:\Users\&#50689;&#51116;01\Desktop\Desktop\&#50641;&#49472;&#52636;&#51228;\&#51648;&#44553;&#51088;&#47308;\&#51060;&#48120;&#51648;\&#52488;&#54788;&#49892;&#51452;&#51032;\SU06.jpg" TargetMode="External"/><Relationship Id="rId78" Type="http://schemas.openxmlformats.org/officeDocument/2006/relationships/image" Target="file:///C:\Users\&#50689;&#51116;01\Desktop\Desktop\&#50641;&#49472;&#52636;&#51228;\&#51648;&#44553;&#51088;&#47308;\&#51060;&#48120;&#51648;\&#52488;&#54788;&#49892;&#51452;&#51032;\SU11.jpg" TargetMode="External"/><Relationship Id="rId81" Type="http://schemas.openxmlformats.org/officeDocument/2006/relationships/image" Target="file:///C:\Users\&#50689;&#51116;01\Desktop\Desktop\&#50641;&#49472;&#52636;&#51228;\&#51648;&#44553;&#51088;&#47308;\&#51060;&#48120;&#51648;\&#52488;&#54788;&#49892;&#51452;&#51032;\SU14.jpg" TargetMode="External"/><Relationship Id="rId4" Type="http://schemas.openxmlformats.org/officeDocument/2006/relationships/image" Target="file:///C:\Users\&#50689;&#51116;01\Desktop\Desktop\&#50641;&#49472;&#52636;&#51228;\&#51648;&#44553;&#51088;&#47308;\&#51060;&#48120;&#51648;\&#49345;&#51669;&#51452;&#51032;\SY07.jpg" TargetMode="External"/><Relationship Id="rId9" Type="http://schemas.openxmlformats.org/officeDocument/2006/relationships/image" Target="file:///C:\Users\&#50689;&#51116;01\Desktop\Desktop\&#50641;&#49472;&#52636;&#51228;\&#51648;&#44553;&#51088;&#47308;\&#51060;&#48120;&#51648;\&#45229;&#47564;&#51452;&#51032;\RO02.jpg" TargetMode="External"/><Relationship Id="rId14" Type="http://schemas.openxmlformats.org/officeDocument/2006/relationships/image" Target="file:///C:\Users\&#50689;&#51116;01\Desktop\Desktop\&#50641;&#49472;&#52636;&#51228;\&#51648;&#44553;&#51088;&#47308;\&#51060;&#48120;&#51648;\&#45229;&#47564;&#51452;&#51032;\RO07.jpg" TargetMode="External"/><Relationship Id="rId22" Type="http://schemas.openxmlformats.org/officeDocument/2006/relationships/image" Target="file:///C:\Users\&#50689;&#51116;01\Desktop\Desktop\&#50641;&#49472;&#52636;&#51228;\&#51648;&#44553;&#51088;&#47308;\&#51060;&#48120;&#51648;\&#45229;&#47564;&#51452;&#51032;\RO15.jpg" TargetMode="External"/><Relationship Id="rId27" Type="http://schemas.openxmlformats.org/officeDocument/2006/relationships/image" Target="file:///C:\Users\&#50689;&#51116;01\Desktop\Desktop\&#50641;&#49472;&#52636;&#51228;\&#51648;&#44553;&#51088;&#47308;\&#51060;&#48120;&#51648;\&#49345;&#51669;&#51452;&#51032;\SY11.jpg" TargetMode="External"/><Relationship Id="rId30" Type="http://schemas.openxmlformats.org/officeDocument/2006/relationships/image" Target="file:///C:\Users\&#50689;&#51116;01\Desktop\Desktop\&#50641;&#49472;&#52636;&#51228;\&#51648;&#44553;&#51088;&#47308;\&#51060;&#48120;&#51648;\&#49345;&#51669;&#51452;&#51032;\SY14.jpg" TargetMode="External"/><Relationship Id="rId35" Type="http://schemas.openxmlformats.org/officeDocument/2006/relationships/image" Target="file:///C:\Users\&#50689;&#51116;01\Desktop\Desktop\&#50641;&#49472;&#52636;&#51228;\&#51648;&#44553;&#51088;&#47308;\&#51060;&#48120;&#51648;\&#51064;&#49345;&#51452;&#51032;\IM04.jpg" TargetMode="External"/><Relationship Id="rId43" Type="http://schemas.openxmlformats.org/officeDocument/2006/relationships/image" Target="file:///C:\Users\&#50689;&#51116;01\Desktop\Desktop\&#50641;&#49472;&#52636;&#51228;\&#51648;&#44553;&#51088;&#47308;\&#51060;&#48120;&#51648;\&#51064;&#49345;&#51452;&#51032;\IM12.jpg" TargetMode="External"/><Relationship Id="rId48" Type="http://schemas.openxmlformats.org/officeDocument/2006/relationships/image" Target="file:///C:\Users\&#50689;&#51116;01\Desktop\Desktop\&#50641;&#49472;&#52636;&#51228;\&#51648;&#44553;&#51088;&#47308;\&#51060;&#48120;&#51648;\&#51064;&#49345;&#51452;&#51032;\IM17.jpg" TargetMode="External"/><Relationship Id="rId56" Type="http://schemas.openxmlformats.org/officeDocument/2006/relationships/image" Target="file:///C:\Users\&#50689;&#51116;01\Desktop\Desktop\&#50641;&#49472;&#52636;&#51228;\&#51648;&#44553;&#51088;&#47308;\&#51060;&#48120;&#51648;\&#51204;&#53685;&#51452;&#51032;\TR07.jpg" TargetMode="External"/><Relationship Id="rId64" Type="http://schemas.openxmlformats.org/officeDocument/2006/relationships/image" Target="file:///C:\Users\&#50689;&#51116;01\Desktop\Desktop\&#50641;&#49472;&#52636;&#51228;\&#51648;&#44553;&#51088;&#47308;\&#51060;&#48120;&#51648;\&#51204;&#53685;&#51452;&#51032;\TR15.jpg" TargetMode="External"/><Relationship Id="rId69" Type="http://schemas.openxmlformats.org/officeDocument/2006/relationships/image" Target="file:///C:\Users\&#50689;&#51116;01\Desktop\Desktop\&#50641;&#49472;&#52636;&#51228;\&#51648;&#44553;&#51088;&#47308;\&#51060;&#48120;&#51648;\&#52488;&#54788;&#49892;&#51452;&#51032;\SU02.jpg" TargetMode="External"/><Relationship Id="rId77" Type="http://schemas.openxmlformats.org/officeDocument/2006/relationships/image" Target="file:///C:\Users\&#50689;&#51116;01\Desktop\Desktop\&#50641;&#49472;&#52636;&#51228;\&#51648;&#44553;&#51088;&#47308;\&#51060;&#48120;&#51648;\&#52488;&#54788;&#49892;&#51452;&#51032;\SU10.jpg" TargetMode="External"/><Relationship Id="rId8" Type="http://schemas.openxmlformats.org/officeDocument/2006/relationships/image" Target="file:///C:\Users\&#50689;&#51116;01\Desktop\Desktop\&#50641;&#49472;&#52636;&#51228;\&#51648;&#44553;&#51088;&#47308;\&#51060;&#48120;&#51648;\&#45229;&#47564;&#51452;&#51032;\RO01.jpg" TargetMode="External"/><Relationship Id="rId51" Type="http://schemas.openxmlformats.org/officeDocument/2006/relationships/image" Target="file:///C:\Users\&#50689;&#51116;01\Desktop\Desktop\&#50641;&#49472;&#52636;&#51228;\&#51648;&#44553;&#51088;&#47308;\&#51060;&#48120;&#51648;\&#51204;&#53685;&#51452;&#51032;\TR02.jpg" TargetMode="External"/><Relationship Id="rId72" Type="http://schemas.openxmlformats.org/officeDocument/2006/relationships/image" Target="file:///C:\Users\&#50689;&#51116;01\Desktop\Desktop\&#50641;&#49472;&#52636;&#51228;\&#51648;&#44553;&#51088;&#47308;\&#51060;&#48120;&#51648;\&#52488;&#54788;&#49892;&#51452;&#51032;\SU05.jpg" TargetMode="External"/><Relationship Id="rId80" Type="http://schemas.openxmlformats.org/officeDocument/2006/relationships/image" Target="file:///C:\Users\&#50689;&#51116;01\Desktop\Desktop\&#50641;&#49472;&#52636;&#51228;\&#51648;&#44553;&#51088;&#47308;\&#51060;&#48120;&#51648;\&#52488;&#54788;&#49892;&#51452;&#51032;\SU13.jpg" TargetMode="External"/><Relationship Id="rId3" Type="http://schemas.openxmlformats.org/officeDocument/2006/relationships/image" Target="file:///C:\Users\&#50689;&#51116;01\Desktop\Desktop\&#50641;&#49472;&#52636;&#51228;\&#51648;&#44553;&#51088;&#47308;\&#51060;&#48120;&#51648;\&#49345;&#51669;&#51452;&#51032;\SY06.jpg" TargetMode="External"/><Relationship Id="rId12" Type="http://schemas.openxmlformats.org/officeDocument/2006/relationships/image" Target="file:///C:\Users\&#50689;&#51116;01\Desktop\Desktop\&#50641;&#49472;&#52636;&#51228;\&#51648;&#44553;&#51088;&#47308;\&#51060;&#48120;&#51648;\&#45229;&#47564;&#51452;&#51032;\RO05.jpg" TargetMode="External"/><Relationship Id="rId17" Type="http://schemas.openxmlformats.org/officeDocument/2006/relationships/image" Target="file:///C:\Users\&#50689;&#51116;01\Desktop\Desktop\&#50641;&#49472;&#52636;&#51228;\&#51648;&#44553;&#51088;&#47308;\&#51060;&#48120;&#51648;\&#45229;&#47564;&#51452;&#51032;\RO10.jpg" TargetMode="External"/><Relationship Id="rId25" Type="http://schemas.openxmlformats.org/officeDocument/2006/relationships/image" Target="file:///C:\Users\&#50689;&#51116;01\Desktop\Desktop\&#50641;&#49472;&#52636;&#51228;\&#51648;&#44553;&#51088;&#47308;\&#51060;&#48120;&#51648;\&#49345;&#51669;&#51452;&#51032;\SY02.jpg" TargetMode="External"/><Relationship Id="rId33" Type="http://schemas.openxmlformats.org/officeDocument/2006/relationships/image" Target="file:///C:\Users\&#50689;&#51116;01\Desktop\Desktop\&#50641;&#49472;&#52636;&#51228;\&#51648;&#44553;&#51088;&#47308;\&#51060;&#48120;&#51648;\&#51064;&#49345;&#51452;&#51032;\IM02.jpg" TargetMode="External"/><Relationship Id="rId38" Type="http://schemas.openxmlformats.org/officeDocument/2006/relationships/image" Target="file:///C:\Users\&#50689;&#51116;01\Desktop\Desktop\&#50641;&#49472;&#52636;&#51228;\&#51648;&#44553;&#51088;&#47308;\&#51060;&#48120;&#51648;\&#51064;&#49345;&#51452;&#51032;\IM07.jpg" TargetMode="External"/><Relationship Id="rId46" Type="http://schemas.openxmlformats.org/officeDocument/2006/relationships/image" Target="file:///C:\Users\&#50689;&#51116;01\Desktop\Desktop\&#50641;&#49472;&#52636;&#51228;\&#51648;&#44553;&#51088;&#47308;\&#51060;&#48120;&#51648;\&#51064;&#49345;&#51452;&#51032;\IM15.jpg" TargetMode="External"/><Relationship Id="rId59" Type="http://schemas.openxmlformats.org/officeDocument/2006/relationships/image" Target="file:///C:\Users\&#50689;&#51116;01\Desktop\Desktop\&#50641;&#49472;&#52636;&#51228;\&#51648;&#44553;&#51088;&#47308;\&#51060;&#48120;&#51648;\&#51204;&#53685;&#51452;&#51032;\TR10.jpg" TargetMode="External"/><Relationship Id="rId67" Type="http://schemas.openxmlformats.org/officeDocument/2006/relationships/image" Target="file:///C:\Users\&#50689;&#51116;01\Desktop\Desktop\&#50641;&#49472;&#52636;&#51228;\&#51648;&#44553;&#51088;&#47308;\&#51060;&#48120;&#51648;\&#51204;&#53685;&#51452;&#51032;\TR18.jpg" TargetMode="External"/><Relationship Id="rId20" Type="http://schemas.openxmlformats.org/officeDocument/2006/relationships/image" Target="file:///C:\Users\&#50689;&#51116;01\Desktop\Desktop\&#50641;&#49472;&#52636;&#51228;\&#51648;&#44553;&#51088;&#47308;\&#51060;&#48120;&#51648;\&#45229;&#47564;&#51452;&#51032;\RO13.jpg" TargetMode="External"/><Relationship Id="rId41" Type="http://schemas.openxmlformats.org/officeDocument/2006/relationships/image" Target="file:///C:\Users\&#50689;&#51116;01\Desktop\Desktop\&#50641;&#49472;&#52636;&#51228;\&#51648;&#44553;&#51088;&#47308;\&#51060;&#48120;&#51648;\&#51064;&#49345;&#51452;&#51032;\IM10.jpg" TargetMode="External"/><Relationship Id="rId54" Type="http://schemas.openxmlformats.org/officeDocument/2006/relationships/image" Target="file:///C:\Users\&#50689;&#51116;01\Desktop\Desktop\&#50641;&#49472;&#52636;&#51228;\&#51648;&#44553;&#51088;&#47308;\&#51060;&#48120;&#51648;\&#51204;&#53685;&#51452;&#51032;\TR05.jpg" TargetMode="External"/><Relationship Id="rId62" Type="http://schemas.openxmlformats.org/officeDocument/2006/relationships/image" Target="file:///C:\Users\&#50689;&#51116;01\Desktop\Desktop\&#50641;&#49472;&#52636;&#51228;\&#51648;&#44553;&#51088;&#47308;\&#51060;&#48120;&#51648;\&#51204;&#53685;&#51452;&#51032;\TR13.jpg" TargetMode="External"/><Relationship Id="rId70" Type="http://schemas.openxmlformats.org/officeDocument/2006/relationships/image" Target="file:///C:\Users\&#50689;&#51116;01\Desktop\Desktop\&#50641;&#49472;&#52636;&#51228;\&#51648;&#44553;&#51088;&#47308;\&#51060;&#48120;&#51648;\&#52488;&#54788;&#49892;&#51452;&#51032;\SU03.jpg" TargetMode="External"/><Relationship Id="rId75" Type="http://schemas.openxmlformats.org/officeDocument/2006/relationships/image" Target="file:///C:\Users\&#50689;&#51116;01\Desktop\Desktop\&#50641;&#49472;&#52636;&#51228;\&#51648;&#44553;&#51088;&#47308;\&#51060;&#48120;&#51648;\&#52488;&#54788;&#49892;&#51452;&#51032;\SU08.jpg" TargetMode="External"/><Relationship Id="rId83" Type="http://schemas.openxmlformats.org/officeDocument/2006/relationships/image" Target="file:///C:\Users\&#50689;&#51116;01\Desktop\Desktop\&#50641;&#49472;&#52636;&#51228;\&#51648;&#44553;&#51088;&#47308;\&#51060;&#48120;&#51648;\&#52488;&#54788;&#49892;&#51452;&#51032;\SU16.jpg" TargetMode="External"/><Relationship Id="rId1" Type="http://schemas.openxmlformats.org/officeDocument/2006/relationships/image" Target="file:///C:\Users\&#50689;&#51116;01\Desktop\Desktop\&#50641;&#49472;&#52636;&#51228;\&#51648;&#44553;&#51088;&#47308;\&#51060;&#48120;&#51648;\&#49345;&#51669;&#51452;&#51032;\SY04.jpg" TargetMode="External"/><Relationship Id="rId6" Type="http://schemas.openxmlformats.org/officeDocument/2006/relationships/image" Target="file:///C:\Users\&#50689;&#51116;01\Desktop\Desktop\&#50641;&#49472;&#52636;&#51228;\&#51648;&#44553;&#51088;&#47308;\&#51060;&#48120;&#51648;\&#49345;&#51669;&#51452;&#51032;\SY09.jpg" TargetMode="External"/><Relationship Id="rId15" Type="http://schemas.openxmlformats.org/officeDocument/2006/relationships/image" Target="file:///C:\Users\&#50689;&#51116;01\Desktop\Desktop\&#50641;&#49472;&#52636;&#51228;\&#51648;&#44553;&#51088;&#47308;\&#51060;&#48120;&#51648;\&#45229;&#47564;&#51452;&#51032;\RO08.jpg" TargetMode="External"/><Relationship Id="rId23" Type="http://schemas.openxmlformats.org/officeDocument/2006/relationships/image" Target="file:///C:\Users\&#50689;&#51116;01\Desktop\Desktop\&#50641;&#49472;&#52636;&#51228;\&#51648;&#44553;&#51088;&#47308;\&#51060;&#48120;&#51648;\&#45229;&#47564;&#51452;&#51032;\RO16.jpg" TargetMode="External"/><Relationship Id="rId28" Type="http://schemas.openxmlformats.org/officeDocument/2006/relationships/image" Target="file:///C:\Users\&#50689;&#51116;01\Desktop\Desktop\&#50641;&#49472;&#52636;&#51228;\&#51648;&#44553;&#51088;&#47308;\&#51060;&#48120;&#51648;\&#49345;&#51669;&#51452;&#51032;\SY12.jpg" TargetMode="External"/><Relationship Id="rId36" Type="http://schemas.openxmlformats.org/officeDocument/2006/relationships/image" Target="file:///C:\Users\&#50689;&#51116;01\Desktop\Desktop\&#50641;&#49472;&#52636;&#51228;\&#51648;&#44553;&#51088;&#47308;\&#51060;&#48120;&#51648;\&#51064;&#49345;&#51452;&#51032;\IM05.jpg" TargetMode="External"/><Relationship Id="rId49" Type="http://schemas.openxmlformats.org/officeDocument/2006/relationships/image" Target="file:///C:\Users\&#50689;&#51116;01\Desktop\Desktop\&#50641;&#49472;&#52636;&#51228;\&#51648;&#44553;&#51088;&#47308;\&#51060;&#48120;&#51648;\&#51064;&#49345;&#51452;&#51032;\IM18.jpg" TargetMode="External"/><Relationship Id="rId57" Type="http://schemas.openxmlformats.org/officeDocument/2006/relationships/image" Target="file:///C:\Users\&#50689;&#51116;01\Desktop\Desktop\&#50641;&#49472;&#52636;&#51228;\&#51648;&#44553;&#51088;&#47308;\&#51060;&#48120;&#51648;\&#51204;&#53685;&#51452;&#51032;\TR08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20</xdr:row>
      <xdr:rowOff>0</xdr:rowOff>
    </xdr:from>
    <xdr:to>
      <xdr:col>7</xdr:col>
      <xdr:colOff>139700</xdr:colOff>
      <xdr:row>24</xdr:row>
      <xdr:rowOff>177800</xdr:rowOff>
    </xdr:to>
    <xdr:pic>
      <xdr:nvPicPr>
        <xdr:cNvPr id="2" name="그림 20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382250" y="19392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7</xdr:col>
      <xdr:colOff>139700</xdr:colOff>
      <xdr:row>25</xdr:row>
      <xdr:rowOff>177800</xdr:rowOff>
    </xdr:to>
    <xdr:pic>
      <xdr:nvPicPr>
        <xdr:cNvPr id="3" name="그림 21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382250" y="20402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7</xdr:col>
      <xdr:colOff>139700</xdr:colOff>
      <xdr:row>26</xdr:row>
      <xdr:rowOff>177800</xdr:rowOff>
    </xdr:to>
    <xdr:pic>
      <xdr:nvPicPr>
        <xdr:cNvPr id="4" name="그림 22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382250" y="21412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</xdr:row>
      <xdr:rowOff>0</xdr:rowOff>
    </xdr:from>
    <xdr:to>
      <xdr:col>7</xdr:col>
      <xdr:colOff>139700</xdr:colOff>
      <xdr:row>27</xdr:row>
      <xdr:rowOff>177800</xdr:rowOff>
    </xdr:to>
    <xdr:pic>
      <xdr:nvPicPr>
        <xdr:cNvPr id="5" name="그림 23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382250" y="22421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7</xdr:col>
      <xdr:colOff>139700</xdr:colOff>
      <xdr:row>28</xdr:row>
      <xdr:rowOff>177800</xdr:rowOff>
    </xdr:to>
    <xdr:pic>
      <xdr:nvPicPr>
        <xdr:cNvPr id="6" name="그림 24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382250" y="23431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7</xdr:col>
      <xdr:colOff>139700</xdr:colOff>
      <xdr:row>29</xdr:row>
      <xdr:rowOff>177800</xdr:rowOff>
    </xdr:to>
    <xdr:pic>
      <xdr:nvPicPr>
        <xdr:cNvPr id="7" name="그림 25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0382250" y="24441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7</xdr:col>
      <xdr:colOff>139700</xdr:colOff>
      <xdr:row>30</xdr:row>
      <xdr:rowOff>177800</xdr:rowOff>
    </xdr:to>
    <xdr:pic>
      <xdr:nvPicPr>
        <xdr:cNvPr id="8" name="그림 26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382250" y="25450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7</xdr:col>
      <xdr:colOff>139700</xdr:colOff>
      <xdr:row>5</xdr:row>
      <xdr:rowOff>177800</xdr:rowOff>
    </xdr:to>
    <xdr:pic>
      <xdr:nvPicPr>
        <xdr:cNvPr id="9" name="그림 1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382250" y="209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7</xdr:col>
      <xdr:colOff>139700</xdr:colOff>
      <xdr:row>6</xdr:row>
      <xdr:rowOff>177800</xdr:rowOff>
    </xdr:to>
    <xdr:pic>
      <xdr:nvPicPr>
        <xdr:cNvPr id="10" name="그림 2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382250" y="1219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7</xdr:col>
      <xdr:colOff>139700</xdr:colOff>
      <xdr:row>7</xdr:row>
      <xdr:rowOff>177800</xdr:rowOff>
    </xdr:to>
    <xdr:pic>
      <xdr:nvPicPr>
        <xdr:cNvPr id="11" name="그림 3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0382250" y="2228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7</xdr:col>
      <xdr:colOff>139700</xdr:colOff>
      <xdr:row>8</xdr:row>
      <xdr:rowOff>177800</xdr:rowOff>
    </xdr:to>
    <xdr:pic>
      <xdr:nvPicPr>
        <xdr:cNvPr id="12" name="그림 4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0382250" y="3238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7</xdr:col>
      <xdr:colOff>139700</xdr:colOff>
      <xdr:row>9</xdr:row>
      <xdr:rowOff>177800</xdr:rowOff>
    </xdr:to>
    <xdr:pic>
      <xdr:nvPicPr>
        <xdr:cNvPr id="13" name="그림 5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0382250" y="4248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7</xdr:col>
      <xdr:colOff>139700</xdr:colOff>
      <xdr:row>10</xdr:row>
      <xdr:rowOff>177800</xdr:rowOff>
    </xdr:to>
    <xdr:pic>
      <xdr:nvPicPr>
        <xdr:cNvPr id="14" name="그림 6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0382250" y="5257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7</xdr:col>
      <xdr:colOff>139700</xdr:colOff>
      <xdr:row>11</xdr:row>
      <xdr:rowOff>177800</xdr:rowOff>
    </xdr:to>
    <xdr:pic>
      <xdr:nvPicPr>
        <xdr:cNvPr id="15" name="그림 7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0382250" y="6267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7</xdr:col>
      <xdr:colOff>139700</xdr:colOff>
      <xdr:row>12</xdr:row>
      <xdr:rowOff>177800</xdr:rowOff>
    </xdr:to>
    <xdr:pic>
      <xdr:nvPicPr>
        <xdr:cNvPr id="16" name="그림 8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0382250" y="7277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7</xdr:col>
      <xdr:colOff>139700</xdr:colOff>
      <xdr:row>13</xdr:row>
      <xdr:rowOff>177800</xdr:rowOff>
    </xdr:to>
    <xdr:pic>
      <xdr:nvPicPr>
        <xdr:cNvPr id="17" name="그림 9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0382250" y="8286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7</xdr:col>
      <xdr:colOff>139700</xdr:colOff>
      <xdr:row>14</xdr:row>
      <xdr:rowOff>177800</xdr:rowOff>
    </xdr:to>
    <xdr:pic>
      <xdr:nvPicPr>
        <xdr:cNvPr id="18" name="그림 10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0382250" y="9296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7</xdr:col>
      <xdr:colOff>139700</xdr:colOff>
      <xdr:row>15</xdr:row>
      <xdr:rowOff>177800</xdr:rowOff>
    </xdr:to>
    <xdr:pic>
      <xdr:nvPicPr>
        <xdr:cNvPr id="19" name="그림 11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0382250" y="10306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7</xdr:col>
      <xdr:colOff>139700</xdr:colOff>
      <xdr:row>16</xdr:row>
      <xdr:rowOff>177800</xdr:rowOff>
    </xdr:to>
    <xdr:pic>
      <xdr:nvPicPr>
        <xdr:cNvPr id="20" name="그림 12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0382250" y="11315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</xdr:row>
      <xdr:rowOff>0</xdr:rowOff>
    </xdr:from>
    <xdr:to>
      <xdr:col>7</xdr:col>
      <xdr:colOff>139700</xdr:colOff>
      <xdr:row>17</xdr:row>
      <xdr:rowOff>177800</xdr:rowOff>
    </xdr:to>
    <xdr:pic>
      <xdr:nvPicPr>
        <xdr:cNvPr id="21" name="그림 13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0382250" y="12325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7</xdr:col>
      <xdr:colOff>139700</xdr:colOff>
      <xdr:row>18</xdr:row>
      <xdr:rowOff>177800</xdr:rowOff>
    </xdr:to>
    <xdr:pic>
      <xdr:nvPicPr>
        <xdr:cNvPr id="22" name="그림 14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0382250" y="13335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7</xdr:col>
      <xdr:colOff>139700</xdr:colOff>
      <xdr:row>19</xdr:row>
      <xdr:rowOff>177800</xdr:rowOff>
    </xdr:to>
    <xdr:pic>
      <xdr:nvPicPr>
        <xdr:cNvPr id="23" name="그림 15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0382250" y="14344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16</xdr:row>
      <xdr:rowOff>0</xdr:rowOff>
    </xdr:from>
    <xdr:to>
      <xdr:col>7</xdr:col>
      <xdr:colOff>139700</xdr:colOff>
      <xdr:row>20</xdr:row>
      <xdr:rowOff>177800</xdr:rowOff>
    </xdr:to>
    <xdr:pic>
      <xdr:nvPicPr>
        <xdr:cNvPr id="24" name="그림 16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0382250" y="15354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</xdr:row>
      <xdr:rowOff>0</xdr:rowOff>
    </xdr:from>
    <xdr:to>
      <xdr:col>7</xdr:col>
      <xdr:colOff>139700</xdr:colOff>
      <xdr:row>21</xdr:row>
      <xdr:rowOff>177800</xdr:rowOff>
    </xdr:to>
    <xdr:pic>
      <xdr:nvPicPr>
        <xdr:cNvPr id="25" name="그림 17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0382250" y="16363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7</xdr:col>
      <xdr:colOff>139700</xdr:colOff>
      <xdr:row>22</xdr:row>
      <xdr:rowOff>177800</xdr:rowOff>
    </xdr:to>
    <xdr:pic>
      <xdr:nvPicPr>
        <xdr:cNvPr id="26" name="그림 18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0382250" y="17373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0</xdr:rowOff>
    </xdr:from>
    <xdr:to>
      <xdr:col>7</xdr:col>
      <xdr:colOff>139700</xdr:colOff>
      <xdr:row>23</xdr:row>
      <xdr:rowOff>177800</xdr:rowOff>
    </xdr:to>
    <xdr:pic>
      <xdr:nvPicPr>
        <xdr:cNvPr id="27" name="그림 19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0382250" y="18383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20</xdr:row>
      <xdr:rowOff>0</xdr:rowOff>
    </xdr:from>
    <xdr:to>
      <xdr:col>7</xdr:col>
      <xdr:colOff>139700</xdr:colOff>
      <xdr:row>24</xdr:row>
      <xdr:rowOff>177800</xdr:rowOff>
    </xdr:to>
    <xdr:pic>
      <xdr:nvPicPr>
        <xdr:cNvPr id="28" name="그림 20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382250" y="19392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7</xdr:col>
      <xdr:colOff>139700</xdr:colOff>
      <xdr:row>25</xdr:row>
      <xdr:rowOff>177800</xdr:rowOff>
    </xdr:to>
    <xdr:pic>
      <xdr:nvPicPr>
        <xdr:cNvPr id="29" name="그림 21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382250" y="20402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7</xdr:col>
      <xdr:colOff>139700</xdr:colOff>
      <xdr:row>26</xdr:row>
      <xdr:rowOff>177800</xdr:rowOff>
    </xdr:to>
    <xdr:pic>
      <xdr:nvPicPr>
        <xdr:cNvPr id="30" name="그림 22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382250" y="21412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</xdr:row>
      <xdr:rowOff>0</xdr:rowOff>
    </xdr:from>
    <xdr:to>
      <xdr:col>7</xdr:col>
      <xdr:colOff>139700</xdr:colOff>
      <xdr:row>27</xdr:row>
      <xdr:rowOff>177800</xdr:rowOff>
    </xdr:to>
    <xdr:pic>
      <xdr:nvPicPr>
        <xdr:cNvPr id="31" name="그림 23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382250" y="22421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7</xdr:col>
      <xdr:colOff>139700</xdr:colOff>
      <xdr:row>28</xdr:row>
      <xdr:rowOff>177800</xdr:rowOff>
    </xdr:to>
    <xdr:pic>
      <xdr:nvPicPr>
        <xdr:cNvPr id="32" name="그림 24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382250" y="23431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7</xdr:col>
      <xdr:colOff>139700</xdr:colOff>
      <xdr:row>29</xdr:row>
      <xdr:rowOff>177800</xdr:rowOff>
    </xdr:to>
    <xdr:pic>
      <xdr:nvPicPr>
        <xdr:cNvPr id="33" name="그림 25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0382250" y="24441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7</xdr:col>
      <xdr:colOff>139700</xdr:colOff>
      <xdr:row>30</xdr:row>
      <xdr:rowOff>177800</xdr:rowOff>
    </xdr:to>
    <xdr:pic>
      <xdr:nvPicPr>
        <xdr:cNvPr id="34" name="그림 26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382250" y="25450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0</xdr:rowOff>
    </xdr:from>
    <xdr:to>
      <xdr:col>7</xdr:col>
      <xdr:colOff>139700</xdr:colOff>
      <xdr:row>31</xdr:row>
      <xdr:rowOff>177800</xdr:rowOff>
    </xdr:to>
    <xdr:pic>
      <xdr:nvPicPr>
        <xdr:cNvPr id="35" name="그림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0382250" y="26460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7</xdr:col>
      <xdr:colOff>139700</xdr:colOff>
      <xdr:row>32</xdr:row>
      <xdr:rowOff>177800</xdr:rowOff>
    </xdr:to>
    <xdr:pic>
      <xdr:nvPicPr>
        <xdr:cNvPr id="36" name="그림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0382250" y="27470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7</xdr:col>
      <xdr:colOff>139700</xdr:colOff>
      <xdr:row>33</xdr:row>
      <xdr:rowOff>177800</xdr:rowOff>
    </xdr:to>
    <xdr:pic>
      <xdr:nvPicPr>
        <xdr:cNvPr id="37" name="그림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0382250" y="28479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30</xdr:row>
      <xdr:rowOff>0</xdr:rowOff>
    </xdr:from>
    <xdr:to>
      <xdr:col>7</xdr:col>
      <xdr:colOff>139700</xdr:colOff>
      <xdr:row>34</xdr:row>
      <xdr:rowOff>177800</xdr:rowOff>
    </xdr:to>
    <xdr:pic>
      <xdr:nvPicPr>
        <xdr:cNvPr id="38" name="그림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0382250" y="29489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31</xdr:row>
      <xdr:rowOff>0</xdr:rowOff>
    </xdr:from>
    <xdr:to>
      <xdr:col>7</xdr:col>
      <xdr:colOff>139700</xdr:colOff>
      <xdr:row>35</xdr:row>
      <xdr:rowOff>177800</xdr:rowOff>
    </xdr:to>
    <xdr:pic>
      <xdr:nvPicPr>
        <xdr:cNvPr id="39" name="그림 31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0382250" y="30499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32</xdr:row>
      <xdr:rowOff>0</xdr:rowOff>
    </xdr:from>
    <xdr:to>
      <xdr:col>7</xdr:col>
      <xdr:colOff>139700</xdr:colOff>
      <xdr:row>36</xdr:row>
      <xdr:rowOff>177800</xdr:rowOff>
    </xdr:to>
    <xdr:pic>
      <xdr:nvPicPr>
        <xdr:cNvPr id="40" name="그림 32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0382250" y="31508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7</xdr:col>
      <xdr:colOff>139700</xdr:colOff>
      <xdr:row>37</xdr:row>
      <xdr:rowOff>177800</xdr:rowOff>
    </xdr:to>
    <xdr:pic>
      <xdr:nvPicPr>
        <xdr:cNvPr id="41" name="그림 33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0382250" y="32518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0</xdr:rowOff>
    </xdr:from>
    <xdr:to>
      <xdr:col>7</xdr:col>
      <xdr:colOff>139700</xdr:colOff>
      <xdr:row>38</xdr:row>
      <xdr:rowOff>177800</xdr:rowOff>
    </xdr:to>
    <xdr:pic>
      <xdr:nvPicPr>
        <xdr:cNvPr id="42" name="그림 34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0382250" y="33528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</xdr:row>
      <xdr:rowOff>0</xdr:rowOff>
    </xdr:from>
    <xdr:to>
      <xdr:col>7</xdr:col>
      <xdr:colOff>139700</xdr:colOff>
      <xdr:row>39</xdr:row>
      <xdr:rowOff>177800</xdr:rowOff>
    </xdr:to>
    <xdr:pic>
      <xdr:nvPicPr>
        <xdr:cNvPr id="43" name="그림 35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0382250" y="34537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7</xdr:col>
      <xdr:colOff>139700</xdr:colOff>
      <xdr:row>40</xdr:row>
      <xdr:rowOff>177800</xdr:rowOff>
    </xdr:to>
    <xdr:pic>
      <xdr:nvPicPr>
        <xdr:cNvPr id="44" name="그림 36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0382250" y="35547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37</xdr:row>
      <xdr:rowOff>0</xdr:rowOff>
    </xdr:from>
    <xdr:to>
      <xdr:col>7</xdr:col>
      <xdr:colOff>139700</xdr:colOff>
      <xdr:row>41</xdr:row>
      <xdr:rowOff>177800</xdr:rowOff>
    </xdr:to>
    <xdr:pic>
      <xdr:nvPicPr>
        <xdr:cNvPr id="45" name="그림 37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0382250" y="36556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7</xdr:col>
      <xdr:colOff>139700</xdr:colOff>
      <xdr:row>42</xdr:row>
      <xdr:rowOff>177800</xdr:rowOff>
    </xdr:to>
    <xdr:pic>
      <xdr:nvPicPr>
        <xdr:cNvPr id="46" name="그림 38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0382250" y="37566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39</xdr:row>
      <xdr:rowOff>0</xdr:rowOff>
    </xdr:from>
    <xdr:to>
      <xdr:col>7</xdr:col>
      <xdr:colOff>139700</xdr:colOff>
      <xdr:row>43</xdr:row>
      <xdr:rowOff>177800</xdr:rowOff>
    </xdr:to>
    <xdr:pic>
      <xdr:nvPicPr>
        <xdr:cNvPr id="47" name="그림 39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0382250" y="38576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7</xdr:col>
      <xdr:colOff>139700</xdr:colOff>
      <xdr:row>44</xdr:row>
      <xdr:rowOff>177800</xdr:rowOff>
    </xdr:to>
    <xdr:pic>
      <xdr:nvPicPr>
        <xdr:cNvPr id="48" name="그림 40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0382250" y="39585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</xdr:row>
      <xdr:rowOff>0</xdr:rowOff>
    </xdr:from>
    <xdr:to>
      <xdr:col>7</xdr:col>
      <xdr:colOff>139700</xdr:colOff>
      <xdr:row>45</xdr:row>
      <xdr:rowOff>177800</xdr:rowOff>
    </xdr:to>
    <xdr:pic>
      <xdr:nvPicPr>
        <xdr:cNvPr id="49" name="그림 41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0382250" y="40595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42</xdr:row>
      <xdr:rowOff>0</xdr:rowOff>
    </xdr:from>
    <xdr:to>
      <xdr:col>7</xdr:col>
      <xdr:colOff>139700</xdr:colOff>
      <xdr:row>46</xdr:row>
      <xdr:rowOff>177800</xdr:rowOff>
    </xdr:to>
    <xdr:pic>
      <xdr:nvPicPr>
        <xdr:cNvPr id="50" name="그림 42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0382250" y="41605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0</xdr:rowOff>
    </xdr:from>
    <xdr:to>
      <xdr:col>7</xdr:col>
      <xdr:colOff>139700</xdr:colOff>
      <xdr:row>47</xdr:row>
      <xdr:rowOff>177800</xdr:rowOff>
    </xdr:to>
    <xdr:pic>
      <xdr:nvPicPr>
        <xdr:cNvPr id="51" name="그림 43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0382250" y="42614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7</xdr:col>
      <xdr:colOff>139700</xdr:colOff>
      <xdr:row>48</xdr:row>
      <xdr:rowOff>177800</xdr:rowOff>
    </xdr:to>
    <xdr:pic>
      <xdr:nvPicPr>
        <xdr:cNvPr id="52" name="그림 44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0382250" y="43624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45</xdr:row>
      <xdr:rowOff>0</xdr:rowOff>
    </xdr:from>
    <xdr:to>
      <xdr:col>7</xdr:col>
      <xdr:colOff>139700</xdr:colOff>
      <xdr:row>49</xdr:row>
      <xdr:rowOff>177800</xdr:rowOff>
    </xdr:to>
    <xdr:pic>
      <xdr:nvPicPr>
        <xdr:cNvPr id="53" name="그림 45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0382250" y="44634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0</xdr:rowOff>
    </xdr:from>
    <xdr:to>
      <xdr:col>7</xdr:col>
      <xdr:colOff>139700</xdr:colOff>
      <xdr:row>50</xdr:row>
      <xdr:rowOff>177800</xdr:rowOff>
    </xdr:to>
    <xdr:pic>
      <xdr:nvPicPr>
        <xdr:cNvPr id="54" name="그림 46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0382250" y="45643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7</xdr:col>
      <xdr:colOff>139700</xdr:colOff>
      <xdr:row>51</xdr:row>
      <xdr:rowOff>177800</xdr:rowOff>
    </xdr:to>
    <xdr:pic>
      <xdr:nvPicPr>
        <xdr:cNvPr id="55" name="그림 47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382250" y="46653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0</xdr:rowOff>
    </xdr:from>
    <xdr:to>
      <xdr:col>7</xdr:col>
      <xdr:colOff>139700</xdr:colOff>
      <xdr:row>52</xdr:row>
      <xdr:rowOff>177800</xdr:rowOff>
    </xdr:to>
    <xdr:pic>
      <xdr:nvPicPr>
        <xdr:cNvPr id="56" name="그림 48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0382250" y="47663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0</xdr:rowOff>
    </xdr:from>
    <xdr:to>
      <xdr:col>7</xdr:col>
      <xdr:colOff>139700</xdr:colOff>
      <xdr:row>53</xdr:row>
      <xdr:rowOff>177800</xdr:rowOff>
    </xdr:to>
    <xdr:pic>
      <xdr:nvPicPr>
        <xdr:cNvPr id="57" name="그림 49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0382250" y="48672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50</xdr:row>
      <xdr:rowOff>0</xdr:rowOff>
    </xdr:from>
    <xdr:to>
      <xdr:col>7</xdr:col>
      <xdr:colOff>139700</xdr:colOff>
      <xdr:row>54</xdr:row>
      <xdr:rowOff>177800</xdr:rowOff>
    </xdr:to>
    <xdr:pic>
      <xdr:nvPicPr>
        <xdr:cNvPr id="58" name="그림 50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0382250" y="49682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7</xdr:col>
      <xdr:colOff>139700</xdr:colOff>
      <xdr:row>55</xdr:row>
      <xdr:rowOff>177800</xdr:rowOff>
    </xdr:to>
    <xdr:pic>
      <xdr:nvPicPr>
        <xdr:cNvPr id="59" name="그림 51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0382250" y="50692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52</xdr:row>
      <xdr:rowOff>0</xdr:rowOff>
    </xdr:from>
    <xdr:to>
      <xdr:col>7</xdr:col>
      <xdr:colOff>139700</xdr:colOff>
      <xdr:row>56</xdr:row>
      <xdr:rowOff>177800</xdr:rowOff>
    </xdr:to>
    <xdr:pic>
      <xdr:nvPicPr>
        <xdr:cNvPr id="60" name="그림 52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0382250" y="51701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</xdr:row>
      <xdr:rowOff>0</xdr:rowOff>
    </xdr:from>
    <xdr:to>
      <xdr:col>7</xdr:col>
      <xdr:colOff>139700</xdr:colOff>
      <xdr:row>57</xdr:row>
      <xdr:rowOff>177800</xdr:rowOff>
    </xdr:to>
    <xdr:pic>
      <xdr:nvPicPr>
        <xdr:cNvPr id="61" name="그림 53"/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0382250" y="52711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54</xdr:row>
      <xdr:rowOff>0</xdr:rowOff>
    </xdr:from>
    <xdr:to>
      <xdr:col>7</xdr:col>
      <xdr:colOff>139700</xdr:colOff>
      <xdr:row>58</xdr:row>
      <xdr:rowOff>177800</xdr:rowOff>
    </xdr:to>
    <xdr:pic>
      <xdr:nvPicPr>
        <xdr:cNvPr id="62" name="그림 54"/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0382250" y="53721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7</xdr:col>
      <xdr:colOff>139700</xdr:colOff>
      <xdr:row>59</xdr:row>
      <xdr:rowOff>177800</xdr:rowOff>
    </xdr:to>
    <xdr:pic>
      <xdr:nvPicPr>
        <xdr:cNvPr id="63" name="그림 55"/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382250" y="54730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56</xdr:row>
      <xdr:rowOff>0</xdr:rowOff>
    </xdr:from>
    <xdr:to>
      <xdr:col>7</xdr:col>
      <xdr:colOff>139700</xdr:colOff>
      <xdr:row>60</xdr:row>
      <xdr:rowOff>177800</xdr:rowOff>
    </xdr:to>
    <xdr:pic>
      <xdr:nvPicPr>
        <xdr:cNvPr id="64" name="그림 56"/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0382250" y="55740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57</xdr:row>
      <xdr:rowOff>0</xdr:rowOff>
    </xdr:from>
    <xdr:to>
      <xdr:col>7</xdr:col>
      <xdr:colOff>139700</xdr:colOff>
      <xdr:row>61</xdr:row>
      <xdr:rowOff>177800</xdr:rowOff>
    </xdr:to>
    <xdr:pic>
      <xdr:nvPicPr>
        <xdr:cNvPr id="65" name="그림 57"/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0382250" y="56749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7</xdr:col>
      <xdr:colOff>139700</xdr:colOff>
      <xdr:row>62</xdr:row>
      <xdr:rowOff>177800</xdr:rowOff>
    </xdr:to>
    <xdr:pic>
      <xdr:nvPicPr>
        <xdr:cNvPr id="66" name="그림 58"/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0382250" y="57759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</xdr:row>
      <xdr:rowOff>0</xdr:rowOff>
    </xdr:from>
    <xdr:to>
      <xdr:col>7</xdr:col>
      <xdr:colOff>139700</xdr:colOff>
      <xdr:row>63</xdr:row>
      <xdr:rowOff>177800</xdr:rowOff>
    </xdr:to>
    <xdr:pic>
      <xdr:nvPicPr>
        <xdr:cNvPr id="67" name="그림 59"/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0382250" y="58769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60</xdr:row>
      <xdr:rowOff>0</xdr:rowOff>
    </xdr:from>
    <xdr:to>
      <xdr:col>7</xdr:col>
      <xdr:colOff>139700</xdr:colOff>
      <xdr:row>64</xdr:row>
      <xdr:rowOff>177800</xdr:rowOff>
    </xdr:to>
    <xdr:pic>
      <xdr:nvPicPr>
        <xdr:cNvPr id="68" name="그림 60"/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0382250" y="59778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7</xdr:col>
      <xdr:colOff>139700</xdr:colOff>
      <xdr:row>65</xdr:row>
      <xdr:rowOff>177800</xdr:rowOff>
    </xdr:to>
    <xdr:pic>
      <xdr:nvPicPr>
        <xdr:cNvPr id="69" name="그림 61"/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0382250" y="60788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7</xdr:col>
      <xdr:colOff>139700</xdr:colOff>
      <xdr:row>66</xdr:row>
      <xdr:rowOff>177800</xdr:rowOff>
    </xdr:to>
    <xdr:pic>
      <xdr:nvPicPr>
        <xdr:cNvPr id="70" name="그림 62"/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0382250" y="61798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63</xdr:row>
      <xdr:rowOff>0</xdr:rowOff>
    </xdr:from>
    <xdr:to>
      <xdr:col>7</xdr:col>
      <xdr:colOff>139700</xdr:colOff>
      <xdr:row>67</xdr:row>
      <xdr:rowOff>177800</xdr:rowOff>
    </xdr:to>
    <xdr:pic>
      <xdr:nvPicPr>
        <xdr:cNvPr id="71" name="그림 63"/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0382250" y="62807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64</xdr:row>
      <xdr:rowOff>0</xdr:rowOff>
    </xdr:from>
    <xdr:to>
      <xdr:col>7</xdr:col>
      <xdr:colOff>139700</xdr:colOff>
      <xdr:row>68</xdr:row>
      <xdr:rowOff>177800</xdr:rowOff>
    </xdr:to>
    <xdr:pic>
      <xdr:nvPicPr>
        <xdr:cNvPr id="72" name="그림 64"/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0382250" y="63817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</xdr:row>
      <xdr:rowOff>0</xdr:rowOff>
    </xdr:from>
    <xdr:to>
      <xdr:col>7</xdr:col>
      <xdr:colOff>139700</xdr:colOff>
      <xdr:row>69</xdr:row>
      <xdr:rowOff>177800</xdr:rowOff>
    </xdr:to>
    <xdr:pic>
      <xdr:nvPicPr>
        <xdr:cNvPr id="73" name="그림 65"/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0382250" y="64827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7</xdr:col>
      <xdr:colOff>139700</xdr:colOff>
      <xdr:row>70</xdr:row>
      <xdr:rowOff>177800</xdr:rowOff>
    </xdr:to>
    <xdr:pic>
      <xdr:nvPicPr>
        <xdr:cNvPr id="74" name="그림 66"/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0382250" y="65836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67</xdr:row>
      <xdr:rowOff>0</xdr:rowOff>
    </xdr:from>
    <xdr:to>
      <xdr:col>7</xdr:col>
      <xdr:colOff>139700</xdr:colOff>
      <xdr:row>71</xdr:row>
      <xdr:rowOff>177800</xdr:rowOff>
    </xdr:to>
    <xdr:pic>
      <xdr:nvPicPr>
        <xdr:cNvPr id="75" name="그림 67"/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0382250" y="66846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68</xdr:row>
      <xdr:rowOff>0</xdr:rowOff>
    </xdr:from>
    <xdr:to>
      <xdr:col>7</xdr:col>
      <xdr:colOff>139700</xdr:colOff>
      <xdr:row>72</xdr:row>
      <xdr:rowOff>177800</xdr:rowOff>
    </xdr:to>
    <xdr:pic>
      <xdr:nvPicPr>
        <xdr:cNvPr id="76" name="그림 68"/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0382250" y="67856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7</xdr:col>
      <xdr:colOff>139700</xdr:colOff>
      <xdr:row>73</xdr:row>
      <xdr:rowOff>177800</xdr:rowOff>
    </xdr:to>
    <xdr:pic>
      <xdr:nvPicPr>
        <xdr:cNvPr id="77" name="그림 69"/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0382250" y="68865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70</xdr:row>
      <xdr:rowOff>0</xdr:rowOff>
    </xdr:from>
    <xdr:to>
      <xdr:col>7</xdr:col>
      <xdr:colOff>139700</xdr:colOff>
      <xdr:row>74</xdr:row>
      <xdr:rowOff>177800</xdr:rowOff>
    </xdr:to>
    <xdr:pic>
      <xdr:nvPicPr>
        <xdr:cNvPr id="78" name="그림 70"/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0382250" y="69875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71</xdr:row>
      <xdr:rowOff>0</xdr:rowOff>
    </xdr:from>
    <xdr:to>
      <xdr:col>7</xdr:col>
      <xdr:colOff>139700</xdr:colOff>
      <xdr:row>75</xdr:row>
      <xdr:rowOff>177800</xdr:rowOff>
    </xdr:to>
    <xdr:pic>
      <xdr:nvPicPr>
        <xdr:cNvPr id="79" name="그림 71"/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382250" y="70885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72</xdr:row>
      <xdr:rowOff>0</xdr:rowOff>
    </xdr:from>
    <xdr:to>
      <xdr:col>7</xdr:col>
      <xdr:colOff>139700</xdr:colOff>
      <xdr:row>76</xdr:row>
      <xdr:rowOff>177800</xdr:rowOff>
    </xdr:to>
    <xdr:pic>
      <xdr:nvPicPr>
        <xdr:cNvPr id="80" name="그림 72"/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0382250" y="71894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7</xdr:col>
      <xdr:colOff>139700</xdr:colOff>
      <xdr:row>77</xdr:row>
      <xdr:rowOff>177800</xdr:rowOff>
    </xdr:to>
    <xdr:pic>
      <xdr:nvPicPr>
        <xdr:cNvPr id="81" name="그림 73"/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0382250" y="72904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7</xdr:col>
      <xdr:colOff>139700</xdr:colOff>
      <xdr:row>78</xdr:row>
      <xdr:rowOff>177800</xdr:rowOff>
    </xdr:to>
    <xdr:pic>
      <xdr:nvPicPr>
        <xdr:cNvPr id="82" name="그림 74"/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0382250" y="73914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75</xdr:row>
      <xdr:rowOff>0</xdr:rowOff>
    </xdr:from>
    <xdr:to>
      <xdr:col>7</xdr:col>
      <xdr:colOff>139700</xdr:colOff>
      <xdr:row>79</xdr:row>
      <xdr:rowOff>177800</xdr:rowOff>
    </xdr:to>
    <xdr:pic>
      <xdr:nvPicPr>
        <xdr:cNvPr id="83" name="그림 75"/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0382250" y="74923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76</xdr:row>
      <xdr:rowOff>0</xdr:rowOff>
    </xdr:from>
    <xdr:to>
      <xdr:col>7</xdr:col>
      <xdr:colOff>139700</xdr:colOff>
      <xdr:row>80</xdr:row>
      <xdr:rowOff>177800</xdr:rowOff>
    </xdr:to>
    <xdr:pic>
      <xdr:nvPicPr>
        <xdr:cNvPr id="84" name="그림 76"/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0382250" y="75933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7</xdr:col>
      <xdr:colOff>139700</xdr:colOff>
      <xdr:row>81</xdr:row>
      <xdr:rowOff>177800</xdr:rowOff>
    </xdr:to>
    <xdr:pic>
      <xdr:nvPicPr>
        <xdr:cNvPr id="85" name="그림 77"/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382250" y="76942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78</xdr:row>
      <xdr:rowOff>0</xdr:rowOff>
    </xdr:from>
    <xdr:to>
      <xdr:col>7</xdr:col>
      <xdr:colOff>139700</xdr:colOff>
      <xdr:row>82</xdr:row>
      <xdr:rowOff>177800</xdr:rowOff>
    </xdr:to>
    <xdr:pic>
      <xdr:nvPicPr>
        <xdr:cNvPr id="86" name="그림 78"/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0382250" y="77952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79</xdr:row>
      <xdr:rowOff>0</xdr:rowOff>
    </xdr:from>
    <xdr:to>
      <xdr:col>7</xdr:col>
      <xdr:colOff>139700</xdr:colOff>
      <xdr:row>83</xdr:row>
      <xdr:rowOff>177800</xdr:rowOff>
    </xdr:to>
    <xdr:pic>
      <xdr:nvPicPr>
        <xdr:cNvPr id="87" name="그림 79"/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0382250" y="78962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7</xdr:col>
      <xdr:colOff>139700</xdr:colOff>
      <xdr:row>84</xdr:row>
      <xdr:rowOff>177800</xdr:rowOff>
    </xdr:to>
    <xdr:pic>
      <xdr:nvPicPr>
        <xdr:cNvPr id="88" name="그림 80"/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0382250" y="79971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81</xdr:row>
      <xdr:rowOff>0</xdr:rowOff>
    </xdr:from>
    <xdr:to>
      <xdr:col>7</xdr:col>
      <xdr:colOff>139700</xdr:colOff>
      <xdr:row>85</xdr:row>
      <xdr:rowOff>177800</xdr:rowOff>
    </xdr:to>
    <xdr:pic>
      <xdr:nvPicPr>
        <xdr:cNvPr id="89" name="그림 81"/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0382250" y="80981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82</xdr:row>
      <xdr:rowOff>0</xdr:rowOff>
    </xdr:from>
    <xdr:to>
      <xdr:col>7</xdr:col>
      <xdr:colOff>139700</xdr:colOff>
      <xdr:row>86</xdr:row>
      <xdr:rowOff>177800</xdr:rowOff>
    </xdr:to>
    <xdr:pic>
      <xdr:nvPicPr>
        <xdr:cNvPr id="90" name="그림 82"/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0382250" y="81991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83</xdr:row>
      <xdr:rowOff>0</xdr:rowOff>
    </xdr:from>
    <xdr:to>
      <xdr:col>7</xdr:col>
      <xdr:colOff>139700</xdr:colOff>
      <xdr:row>87</xdr:row>
      <xdr:rowOff>177800</xdr:rowOff>
    </xdr:to>
    <xdr:pic>
      <xdr:nvPicPr>
        <xdr:cNvPr id="91" name="그림 83"/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0382250" y="83000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7</xdr:col>
      <xdr:colOff>139700</xdr:colOff>
      <xdr:row>88</xdr:row>
      <xdr:rowOff>177800</xdr:rowOff>
    </xdr:to>
    <xdr:pic>
      <xdr:nvPicPr>
        <xdr:cNvPr id="92" name="그림 84"/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0382250" y="84010500"/>
          <a:ext cx="1511300" cy="101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323849</xdr:colOff>
      <xdr:row>6</xdr:row>
      <xdr:rowOff>9524</xdr:rowOff>
    </xdr:from>
    <xdr:to>
      <xdr:col>13</xdr:col>
      <xdr:colOff>123824</xdr:colOff>
      <xdr:row>30</xdr:row>
      <xdr:rowOff>209549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</xdr:row>
          <xdr:rowOff>0</xdr:rowOff>
        </xdr:from>
        <xdr:to>
          <xdr:col>16</xdr:col>
          <xdr:colOff>0</xdr:colOff>
          <xdr:row>30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190500</xdr:rowOff>
    </xdr:from>
    <xdr:to>
      <xdr:col>16</xdr:col>
      <xdr:colOff>0</xdr:colOff>
      <xdr:row>32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35</xdr:row>
      <xdr:rowOff>204106</xdr:rowOff>
    </xdr:from>
    <xdr:to>
      <xdr:col>16</xdr:col>
      <xdr:colOff>0</xdr:colOff>
      <xdr:row>67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356506</xdr:colOff>
      <xdr:row>1</xdr:row>
      <xdr:rowOff>161925</xdr:rowOff>
    </xdr:from>
    <xdr:to>
      <xdr:col>12</xdr:col>
      <xdr:colOff>219075</xdr:colOff>
      <xdr:row>27</xdr:row>
      <xdr:rowOff>161926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sktop/&#50641;&#49472;&#52636;&#51228;/&#44284;&#512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50689;&#51116;01/Documents/Desktop/&#50641;&#49472;&#52636;&#51228;/&#44284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메인"/>
      <sheetName val="작품-구버전"/>
      <sheetName val="순위"/>
      <sheetName val="회원"/>
      <sheetName val="작품"/>
      <sheetName val="작품평"/>
      <sheetName val="전시회"/>
      <sheetName val="경매"/>
      <sheetName val="구매내역"/>
      <sheetName val="차트"/>
      <sheetName val="데이터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B1" t="str">
            <v>작품번호</v>
          </cell>
          <cell r="D1" t="str">
            <v>점수</v>
          </cell>
        </row>
        <row r="2">
          <cell r="B2" t="str">
            <v>RO10</v>
          </cell>
          <cell r="D2">
            <v>5</v>
          </cell>
        </row>
        <row r="3">
          <cell r="B3" t="str">
            <v>RO01</v>
          </cell>
          <cell r="D3">
            <v>4</v>
          </cell>
        </row>
        <row r="4">
          <cell r="B4" t="str">
            <v>TR17</v>
          </cell>
          <cell r="D4">
            <v>3</v>
          </cell>
        </row>
        <row r="5">
          <cell r="B5" t="str">
            <v>SU11</v>
          </cell>
          <cell r="D5">
            <v>4.5</v>
          </cell>
        </row>
        <row r="6">
          <cell r="B6" t="str">
            <v>RO05</v>
          </cell>
          <cell r="D6">
            <v>4.5</v>
          </cell>
        </row>
        <row r="7">
          <cell r="B7" t="str">
            <v>IM18</v>
          </cell>
          <cell r="D7">
            <v>4</v>
          </cell>
        </row>
        <row r="8">
          <cell r="B8" t="str">
            <v>RO11</v>
          </cell>
          <cell r="D8">
            <v>5</v>
          </cell>
        </row>
        <row r="9">
          <cell r="B9" t="str">
            <v>SY03</v>
          </cell>
          <cell r="D9">
            <v>4.5</v>
          </cell>
        </row>
        <row r="10">
          <cell r="B10" t="str">
            <v>SU07</v>
          </cell>
          <cell r="D10">
            <v>4.5</v>
          </cell>
        </row>
        <row r="11">
          <cell r="B11" t="str">
            <v>RO06</v>
          </cell>
          <cell r="D11">
            <v>2.5</v>
          </cell>
        </row>
        <row r="12">
          <cell r="B12" t="str">
            <v>RO09</v>
          </cell>
          <cell r="D12">
            <v>5</v>
          </cell>
        </row>
        <row r="13">
          <cell r="B13" t="str">
            <v>TR17</v>
          </cell>
          <cell r="D13">
            <v>1.5</v>
          </cell>
        </row>
        <row r="14">
          <cell r="B14" t="str">
            <v>SU07</v>
          </cell>
          <cell r="D14">
            <v>4</v>
          </cell>
        </row>
        <row r="15">
          <cell r="B15" t="str">
            <v>RO05</v>
          </cell>
          <cell r="D15">
            <v>3</v>
          </cell>
        </row>
        <row r="16">
          <cell r="B16" t="str">
            <v>IM09</v>
          </cell>
          <cell r="D16">
            <v>3</v>
          </cell>
        </row>
        <row r="17">
          <cell r="B17" t="str">
            <v>TR03</v>
          </cell>
          <cell r="D17">
            <v>3</v>
          </cell>
        </row>
        <row r="18">
          <cell r="B18" t="str">
            <v>IM02</v>
          </cell>
          <cell r="D18">
            <v>2</v>
          </cell>
        </row>
        <row r="19">
          <cell r="B19" t="str">
            <v>TR03</v>
          </cell>
          <cell r="D19">
            <v>3.5</v>
          </cell>
        </row>
        <row r="20">
          <cell r="B20" t="str">
            <v>IM13</v>
          </cell>
          <cell r="D20">
            <v>2</v>
          </cell>
        </row>
        <row r="21">
          <cell r="B21" t="str">
            <v>RO05</v>
          </cell>
          <cell r="D21">
            <v>3</v>
          </cell>
        </row>
        <row r="22">
          <cell r="B22" t="str">
            <v>RO15</v>
          </cell>
          <cell r="D22">
            <v>4.5</v>
          </cell>
        </row>
        <row r="23">
          <cell r="B23" t="str">
            <v>IM07</v>
          </cell>
          <cell r="D23">
            <v>4</v>
          </cell>
        </row>
        <row r="24">
          <cell r="B24" t="str">
            <v>TR16</v>
          </cell>
          <cell r="D24">
            <v>0.5</v>
          </cell>
        </row>
        <row r="25">
          <cell r="B25" t="str">
            <v>SY14</v>
          </cell>
          <cell r="D25">
            <v>5</v>
          </cell>
        </row>
        <row r="26">
          <cell r="B26" t="str">
            <v>SU02</v>
          </cell>
          <cell r="D26">
            <v>2.5</v>
          </cell>
        </row>
        <row r="27">
          <cell r="B27" t="str">
            <v>SY13</v>
          </cell>
          <cell r="D27">
            <v>1.5</v>
          </cell>
        </row>
        <row r="28">
          <cell r="B28" t="str">
            <v>IM14</v>
          </cell>
          <cell r="D28">
            <v>1</v>
          </cell>
        </row>
        <row r="29">
          <cell r="B29" t="str">
            <v>IM05</v>
          </cell>
          <cell r="D29">
            <v>1</v>
          </cell>
        </row>
        <row r="30">
          <cell r="B30" t="str">
            <v>SU03</v>
          </cell>
          <cell r="D30">
            <v>0.5</v>
          </cell>
        </row>
        <row r="31">
          <cell r="B31" t="str">
            <v>SU07</v>
          </cell>
          <cell r="D31">
            <v>1</v>
          </cell>
        </row>
        <row r="32">
          <cell r="B32" t="str">
            <v>SY13</v>
          </cell>
          <cell r="D32">
            <v>3</v>
          </cell>
        </row>
        <row r="33">
          <cell r="B33" t="str">
            <v>TR16</v>
          </cell>
          <cell r="D33">
            <v>5</v>
          </cell>
        </row>
        <row r="34">
          <cell r="B34" t="str">
            <v>TR08</v>
          </cell>
          <cell r="D34">
            <v>3</v>
          </cell>
        </row>
        <row r="35">
          <cell r="B35" t="str">
            <v>TR06</v>
          </cell>
          <cell r="D35">
            <v>1.5</v>
          </cell>
        </row>
        <row r="36">
          <cell r="B36" t="str">
            <v>IM11</v>
          </cell>
          <cell r="D36">
            <v>3</v>
          </cell>
        </row>
        <row r="37">
          <cell r="B37" t="str">
            <v>IM17</v>
          </cell>
          <cell r="D37">
            <v>4</v>
          </cell>
        </row>
        <row r="38">
          <cell r="B38" t="str">
            <v>RO10</v>
          </cell>
          <cell r="D38">
            <v>4.5</v>
          </cell>
        </row>
        <row r="39">
          <cell r="B39" t="str">
            <v>SY12</v>
          </cell>
          <cell r="D39">
            <v>2</v>
          </cell>
        </row>
        <row r="40">
          <cell r="B40" t="str">
            <v>RO16</v>
          </cell>
          <cell r="D40">
            <v>4.5</v>
          </cell>
        </row>
        <row r="41">
          <cell r="B41" t="str">
            <v>TR15</v>
          </cell>
          <cell r="D41">
            <v>0.5</v>
          </cell>
        </row>
        <row r="42">
          <cell r="B42" t="str">
            <v>SY04</v>
          </cell>
          <cell r="D42">
            <v>3.5</v>
          </cell>
        </row>
        <row r="43">
          <cell r="B43" t="str">
            <v>IM09</v>
          </cell>
          <cell r="D43">
            <v>5</v>
          </cell>
        </row>
        <row r="44">
          <cell r="B44" t="str">
            <v>IM04</v>
          </cell>
          <cell r="D44">
            <v>4</v>
          </cell>
        </row>
        <row r="45">
          <cell r="B45" t="str">
            <v>SU10</v>
          </cell>
          <cell r="D45">
            <v>3</v>
          </cell>
        </row>
        <row r="46">
          <cell r="B46" t="str">
            <v>IM03</v>
          </cell>
          <cell r="D46">
            <v>1.5</v>
          </cell>
        </row>
        <row r="47">
          <cell r="B47" t="str">
            <v>SY02</v>
          </cell>
          <cell r="D47">
            <v>2</v>
          </cell>
        </row>
        <row r="48">
          <cell r="B48" t="str">
            <v>IM16</v>
          </cell>
          <cell r="D48">
            <v>4</v>
          </cell>
        </row>
        <row r="49">
          <cell r="B49" t="str">
            <v>SY09</v>
          </cell>
          <cell r="D49">
            <v>4</v>
          </cell>
        </row>
        <row r="50">
          <cell r="B50" t="str">
            <v>IM01</v>
          </cell>
          <cell r="D50">
            <v>3</v>
          </cell>
        </row>
        <row r="51">
          <cell r="B51" t="str">
            <v>RO11</v>
          </cell>
          <cell r="D51">
            <v>3</v>
          </cell>
        </row>
        <row r="52">
          <cell r="B52" t="str">
            <v>RO14</v>
          </cell>
          <cell r="D52">
            <v>5</v>
          </cell>
        </row>
        <row r="53">
          <cell r="B53" t="str">
            <v>SY15</v>
          </cell>
          <cell r="D53">
            <v>1</v>
          </cell>
        </row>
        <row r="54">
          <cell r="B54" t="str">
            <v>IM18</v>
          </cell>
          <cell r="D54">
            <v>3.5</v>
          </cell>
        </row>
        <row r="55">
          <cell r="B55" t="str">
            <v>SY13</v>
          </cell>
          <cell r="D55">
            <v>2</v>
          </cell>
        </row>
        <row r="56">
          <cell r="B56" t="str">
            <v>RO02</v>
          </cell>
          <cell r="D56">
            <v>3.5</v>
          </cell>
        </row>
        <row r="57">
          <cell r="B57" t="str">
            <v>RO15</v>
          </cell>
          <cell r="D57">
            <v>3</v>
          </cell>
        </row>
        <row r="58">
          <cell r="B58" t="str">
            <v>RO05</v>
          </cell>
          <cell r="D58">
            <v>2</v>
          </cell>
        </row>
        <row r="59">
          <cell r="B59" t="str">
            <v>SY14</v>
          </cell>
          <cell r="D59">
            <v>2</v>
          </cell>
        </row>
        <row r="60">
          <cell r="B60" t="str">
            <v>RO03</v>
          </cell>
          <cell r="D60">
            <v>1.5</v>
          </cell>
        </row>
        <row r="61">
          <cell r="B61" t="str">
            <v>IM16</v>
          </cell>
          <cell r="D61">
            <v>0.5</v>
          </cell>
        </row>
        <row r="62">
          <cell r="B62" t="str">
            <v>SY07</v>
          </cell>
          <cell r="D62">
            <v>5</v>
          </cell>
        </row>
        <row r="63">
          <cell r="B63" t="str">
            <v>RO14</v>
          </cell>
          <cell r="D63">
            <v>0.5</v>
          </cell>
        </row>
        <row r="64">
          <cell r="B64" t="str">
            <v>SY02</v>
          </cell>
          <cell r="D64">
            <v>4.5</v>
          </cell>
        </row>
        <row r="65">
          <cell r="B65" t="str">
            <v>SY14</v>
          </cell>
          <cell r="D65">
            <v>0.5</v>
          </cell>
        </row>
        <row r="66">
          <cell r="B66" t="str">
            <v>SY07</v>
          </cell>
          <cell r="D66">
            <v>1</v>
          </cell>
        </row>
        <row r="67">
          <cell r="B67" t="str">
            <v>SU06</v>
          </cell>
          <cell r="D67">
            <v>3.5</v>
          </cell>
        </row>
        <row r="68">
          <cell r="B68" t="str">
            <v>RO03</v>
          </cell>
          <cell r="D68">
            <v>0.5</v>
          </cell>
        </row>
        <row r="69">
          <cell r="B69" t="str">
            <v>RO07</v>
          </cell>
          <cell r="D69">
            <v>1</v>
          </cell>
        </row>
        <row r="70">
          <cell r="B70" t="str">
            <v>IM08</v>
          </cell>
          <cell r="D70">
            <v>4.5</v>
          </cell>
        </row>
        <row r="71">
          <cell r="B71" t="str">
            <v>SU13</v>
          </cell>
          <cell r="D71">
            <v>2.5</v>
          </cell>
        </row>
        <row r="72">
          <cell r="B72" t="str">
            <v>RO09</v>
          </cell>
          <cell r="D72">
            <v>4</v>
          </cell>
        </row>
        <row r="73">
          <cell r="B73" t="str">
            <v>SY12</v>
          </cell>
          <cell r="D73">
            <v>3</v>
          </cell>
        </row>
        <row r="74">
          <cell r="B74" t="str">
            <v>RO03</v>
          </cell>
          <cell r="D74">
            <v>3.5</v>
          </cell>
        </row>
        <row r="75">
          <cell r="B75" t="str">
            <v>SY11</v>
          </cell>
          <cell r="D75">
            <v>1</v>
          </cell>
        </row>
        <row r="76">
          <cell r="B76" t="str">
            <v>TR11</v>
          </cell>
          <cell r="D76">
            <v>0.5</v>
          </cell>
        </row>
        <row r="77">
          <cell r="B77" t="str">
            <v>SY15</v>
          </cell>
          <cell r="D77">
            <v>3</v>
          </cell>
        </row>
        <row r="78">
          <cell r="B78" t="str">
            <v>TR09</v>
          </cell>
          <cell r="D78">
            <v>1.5</v>
          </cell>
        </row>
        <row r="79">
          <cell r="B79" t="str">
            <v>SY07</v>
          </cell>
          <cell r="D79">
            <v>4</v>
          </cell>
        </row>
        <row r="80">
          <cell r="B80" t="str">
            <v>SU13</v>
          </cell>
          <cell r="D80">
            <v>2</v>
          </cell>
        </row>
        <row r="81">
          <cell r="B81" t="str">
            <v>IM15</v>
          </cell>
          <cell r="D81">
            <v>3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구매내역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385.625933680552" createdVersion="6" refreshedVersion="6" minRefreshableVersion="3" recordCount="84">
  <cacheSource type="worksheet">
    <worksheetSource ref="A1:H85" sheet="Sheet1"/>
  </cacheSource>
  <cacheFields count="8">
    <cacheField name="작품번호" numFmtId="0">
      <sharedItems count="84">
        <s v="RO01"/>
        <s v="RO02"/>
        <s v="RO03"/>
        <s v="RO04"/>
        <s v="RO05"/>
        <s v="RO06"/>
        <s v="RO07"/>
        <s v="RO08"/>
        <s v="RO09"/>
        <s v="RO10"/>
        <s v="RO11"/>
        <s v="RO12"/>
        <s v="RO13"/>
        <s v="RO14"/>
        <s v="RO15"/>
        <s v="RO16"/>
        <s v="SY01"/>
        <s v="SY02"/>
        <s v="SY03"/>
        <s v="SY04"/>
        <s v="SY05"/>
        <s v="SY06"/>
        <s v="SY07"/>
        <s v="SY08"/>
        <s v="SY09"/>
        <s v="SY10"/>
        <s v="SY11"/>
        <s v="SY12"/>
        <s v="SY13"/>
        <s v="SY14"/>
        <s v="SY15"/>
        <s v="IM01"/>
        <s v="IM02"/>
        <s v="IM03"/>
        <s v="IM04"/>
        <s v="IM05"/>
        <s v="IM06"/>
        <s v="IM07"/>
        <s v="IM08"/>
        <s v="IM09"/>
        <s v="IM10"/>
        <s v="IM11"/>
        <s v="IM12"/>
        <s v="IM13"/>
        <s v="IM14"/>
        <s v="IM15"/>
        <s v="IM16"/>
        <s v="IM17"/>
        <s v="IM18"/>
        <s v="TR01"/>
        <s v="TR02"/>
        <s v="TR03"/>
        <s v="TR04"/>
        <s v="TR05"/>
        <s v="TR06"/>
        <s v="TR07"/>
        <s v="TR08"/>
        <s v="TR09"/>
        <s v="TR10"/>
        <s v="TR11"/>
        <s v="TR12"/>
        <s v="TR13"/>
        <s v="TR14"/>
        <s v="TR15"/>
        <s v="TR16"/>
        <s v="TR17"/>
        <s v="TR18"/>
        <s v="SU01"/>
        <s v="SU02"/>
        <s v="SU03"/>
        <s v="SU04"/>
        <s v="SU05"/>
        <s v="SU06"/>
        <s v="SU07"/>
        <s v="SU08"/>
        <s v="SU09"/>
        <s v="SU10"/>
        <s v="SU11"/>
        <s v="SU12"/>
        <s v="SU13"/>
        <s v="SU14"/>
        <s v="SU15"/>
        <s v="SU16"/>
        <s v="SU17"/>
      </sharedItems>
    </cacheField>
    <cacheField name="작품 분류" numFmtId="0">
      <sharedItems count="5">
        <s v="낭만주의"/>
        <s v="상징주의"/>
        <s v="인상주의"/>
        <s v="전통주의"/>
        <s v="초현실주의"/>
      </sharedItems>
    </cacheField>
    <cacheField name="작품명" numFmtId="0">
      <sharedItems count="84">
        <s v="정물"/>
        <s v="인물"/>
        <s v="행복한 하루"/>
        <s v="정원-애"/>
        <s v="새의 찻잔1"/>
        <s v="지난 여름"/>
        <s v="호수"/>
        <s v="향연"/>
        <s v="겨울이야기"/>
        <s v="울림"/>
        <s v="Gathering Apple Blossoms"/>
        <s v="A Field of Flowers"/>
        <s v="obsession"/>
        <s v="몽환화 7-8"/>
        <s v="선율을 타고"/>
        <s v="세상밖으로"/>
        <s v="동행"/>
        <s v="사모곡-향기를 품다"/>
        <s v="설 2006_1"/>
        <s v="꽃처럼 한 철만 사랑하시렵니까"/>
        <s v="하늘의 여신"/>
        <s v="초록장화"/>
        <s v="memories-애보기"/>
        <s v="고고학적 기상도"/>
        <s v="공작도시 blue0904"/>
        <s v="UTOPIA 20105"/>
        <s v="Behind Blue1"/>
        <s v="훈민정음 사색으로부터12-18"/>
        <s v="어린왕자가 있는 풍경"/>
        <s v="Untitled 27th 2"/>
        <s v="귀가 열린 노인"/>
        <s v="애월의 하늘"/>
        <s v="메트로폴리탄"/>
        <s v="산티아고 가는 길 오후"/>
        <s v="산티아고 가는 길"/>
        <s v="자화상"/>
        <s v="별이 빛나는 밤"/>
        <s v="The Joy(남조풍정도)"/>
        <s v="풍경"/>
        <s v="홍매"/>
        <s v="pine tree-올려보기"/>
        <s v="시선"/>
        <s v="은행나무"/>
        <s v="꽃과 사과나무"/>
        <s v="Luncheon of the Boating Party"/>
        <s v="Dance at Le Moulin de la Galette"/>
        <s v="Over there"/>
        <s v="Lise in a White Shawl"/>
        <s v="The Large Tree"/>
        <s v="사득지란"/>
        <s v="비움과 채움(복을 담다)"/>
        <s v="채움과 비움"/>
        <s v="회귀"/>
        <s v="출토품"/>
        <s v="Rumination18"/>
        <s v="달항아리"/>
        <s v="The Precious Message"/>
        <s v="무언"/>
        <s v="탐라의선계-억새바람"/>
        <s v="emotion(산수낙원)"/>
        <s v="행상"/>
        <s v="너와나 자유롭게"/>
        <s v="꿈 2"/>
        <s v="황토밭 어린시절 추억"/>
        <s v="고약명 전각미인병 백자점토"/>
        <s v="emotion(꽃피우자)"/>
        <s v="한글숲4"/>
        <s v="Timetraveler(시간여행자)"/>
        <s v="달이 태양을 품었어요"/>
        <s v="saviour"/>
        <s v="돌로부터 2 "/>
        <s v="이율배반(antinomie)"/>
        <s v="Lady Wearing a Gauze Headdress"/>
        <s v="Portrait of Charles the Bold"/>
        <s v="edge of season 2/10"/>
        <s v="Red territory"/>
        <s v="경칩"/>
        <s v="Their space"/>
        <s v="regular morning 1/10"/>
        <s v="고백(confession)_참 예쁜 무의식"/>
        <s v="순결한 숨결"/>
        <s v="당신이 꽃입니다"/>
        <s v="구원을 욕망하다"/>
        <s v="Portrait of a Young Woman"/>
      </sharedItems>
    </cacheField>
    <cacheField name="화가" numFmtId="0">
      <sharedItems/>
    </cacheField>
    <cacheField name="설명" numFmtId="0">
      <sharedItems/>
    </cacheField>
    <cacheField name="그림" numFmtId="0">
      <sharedItems containsNonDate="0" containsString="0" containsBlank="1"/>
    </cacheField>
    <cacheField name="가격" numFmtId="41">
      <sharedItems containsSemiMixedTypes="0" containsString="0" containsNumber="1" containsInteger="1" minValue="130000" maxValue="4950000" count="76">
        <n v="2200000"/>
        <n v="4430000"/>
        <n v="2250000"/>
        <n v="2740000"/>
        <n v="2960000"/>
        <n v="910000"/>
        <n v="3130000"/>
        <n v="1200000"/>
        <n v="570000"/>
        <n v="140000"/>
        <n v="3530000"/>
        <n v="180000"/>
        <n v="2660000"/>
        <n v="2550000"/>
        <n v="650000"/>
        <n v="200000"/>
        <n v="4810000"/>
        <n v="4170000"/>
        <n v="4070000"/>
        <n v="1240000"/>
        <n v="750000"/>
        <n v="1830000"/>
        <n v="2150000"/>
        <n v="3620000"/>
        <n v="510000"/>
        <n v="1500000"/>
        <n v="4950000"/>
        <n v="2810000"/>
        <n v="4900000"/>
        <n v="1280000"/>
        <n v="4750000"/>
        <n v="2280000"/>
        <n v="4180000"/>
        <n v="500000"/>
        <n v="1120000"/>
        <n v="1850000"/>
        <n v="3900000"/>
        <n v="1140000"/>
        <n v="4470000"/>
        <n v="1930000"/>
        <n v="3070000"/>
        <n v="2010000"/>
        <n v="1270000"/>
        <n v="2110000"/>
        <n v="3170000"/>
        <n v="1040000"/>
        <n v="1810000"/>
        <n v="4930000"/>
        <n v="1050000"/>
        <n v="4490000"/>
        <n v="800000"/>
        <n v="3110000"/>
        <n v="3090000"/>
        <n v="1350000"/>
        <n v="1740000"/>
        <n v="2440000"/>
        <n v="3430000"/>
        <n v="2710000"/>
        <n v="4210000"/>
        <n v="3140000"/>
        <n v="2070000"/>
        <n v="130000"/>
        <n v="4000000"/>
        <n v="2880000"/>
        <n v="3630000"/>
        <n v="4310000"/>
        <n v="4220000"/>
        <n v="160000"/>
        <n v="250000"/>
        <n v="850000"/>
        <n v="3210000"/>
        <n v="3880000"/>
        <n v="4340000"/>
        <n v="4770000"/>
        <n v="1970000"/>
        <n v="1090000"/>
      </sharedItems>
      <fieldGroup base="6">
        <rangePr autoStart="0" autoEnd="0" startNum="1000000" endNum="5000000" groupInterval="1000000"/>
        <groupItems count="6">
          <s v="&lt;1000000"/>
          <s v="1000000-1999999"/>
          <s v="2000000-2999999"/>
          <s v="3000000-3999999"/>
          <s v="4000000-5000000"/>
          <s v="&gt;5000000"/>
        </groupItems>
      </fieldGroup>
    </cacheField>
    <cacheField name="평균 평점" numFmtId="176">
      <sharedItems containsSemiMixedTypes="0" containsString="0" containsNumber="1" minValue="0" maxValue="4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">
  <r>
    <x v="0"/>
    <x v="0"/>
    <x v="0"/>
    <s v="남궁순"/>
    <s v="책상 위에 올려진 여러 물건들을 그린 정물화"/>
    <m/>
    <x v="0"/>
    <n v="4"/>
  </r>
  <r>
    <x v="1"/>
    <x v="0"/>
    <x v="1"/>
    <s v="남궁순"/>
    <s v="싸늘하게 죽어있는 여인과 주변의 인물들"/>
    <m/>
    <x v="1"/>
    <n v="3.5"/>
  </r>
  <r>
    <x v="2"/>
    <x v="0"/>
    <x v="2"/>
    <s v="이존립"/>
    <s v="꽃밭에서 하프를 연주 중인 행복한 여인"/>
    <m/>
    <x v="0"/>
    <n v="1.8333333333333333"/>
  </r>
  <r>
    <x v="3"/>
    <x v="0"/>
    <x v="3"/>
    <s v="이존립"/>
    <s v="꽃들이 화사하게 피어난 정원"/>
    <m/>
    <x v="1"/>
    <n v="0"/>
  </r>
  <r>
    <x v="4"/>
    <x v="0"/>
    <x v="4"/>
    <s v="양태숙"/>
    <s v="구름이 떠있는 새들의 찻잔"/>
    <m/>
    <x v="2"/>
    <n v="3.125"/>
  </r>
  <r>
    <x v="5"/>
    <x v="0"/>
    <x v="5"/>
    <s v="조근호"/>
    <s v="지난 여름의 회상을 전시되어있는 그림들로 표현한 그림"/>
    <m/>
    <x v="3"/>
    <n v="2.5"/>
  </r>
  <r>
    <x v="6"/>
    <x v="0"/>
    <x v="6"/>
    <s v="조근호"/>
    <s v="낭만적인 느낌의 호수"/>
    <m/>
    <x v="4"/>
    <n v="1"/>
  </r>
  <r>
    <x v="7"/>
    <x v="0"/>
    <x v="7"/>
    <s v="안기호"/>
    <s v="아름다운 벛꽃들의 향연을 구경 중인 소녀"/>
    <m/>
    <x v="5"/>
    <n v="0"/>
  </r>
  <r>
    <x v="8"/>
    <x v="0"/>
    <x v="8"/>
    <s v="안기호"/>
    <s v="나갈 수 없는 밖을 아련하게 처다보는 한 사람"/>
    <m/>
    <x v="6"/>
    <n v="4.5"/>
  </r>
  <r>
    <x v="9"/>
    <x v="0"/>
    <x v="9"/>
    <s v="김현숙"/>
    <s v="다양한 무늬로 꾸며진 방"/>
    <m/>
    <x v="7"/>
    <n v="4.75"/>
  </r>
  <r>
    <x v="10"/>
    <x v="0"/>
    <x v="10"/>
    <s v="다니엘"/>
    <s v="사과 꽃이 핀 가지를 꺽고 있는 여인을 그린 그림이다."/>
    <m/>
    <x v="8"/>
    <n v="4"/>
  </r>
  <r>
    <x v="11"/>
    <x v="0"/>
    <x v="11"/>
    <s v="다니엘"/>
    <s v="꽃밭에 핀 잡초들을 정리하고 있는 여인을 그린 그림이다."/>
    <m/>
    <x v="9"/>
    <n v="0"/>
  </r>
  <r>
    <x v="12"/>
    <x v="0"/>
    <x v="12"/>
    <s v="김양희"/>
    <s v="빨간 꽃을 그림 정물화다."/>
    <m/>
    <x v="10"/>
    <n v="0"/>
  </r>
  <r>
    <x v="13"/>
    <x v="0"/>
    <x v="13"/>
    <s v="김희준"/>
    <s v="마치 꿈 속에 있는 꽃을 보는 듯한 몽환적인 분위기의 그림이다."/>
    <m/>
    <x v="11"/>
    <n v="2.75"/>
  </r>
  <r>
    <x v="14"/>
    <x v="0"/>
    <x v="14"/>
    <s v="임영우"/>
    <s v="선율을 타듯 자유롭게 자라난 소나무"/>
    <m/>
    <x v="12"/>
    <n v="3.75"/>
  </r>
  <r>
    <x v="15"/>
    <x v="0"/>
    <x v="15"/>
    <s v="김성근"/>
    <s v="바닷 속 세상을 보는 듯한 느낌을 주는 그림이다."/>
    <m/>
    <x v="13"/>
    <n v="4.5"/>
  </r>
  <r>
    <x v="16"/>
    <x v="1"/>
    <x v="16"/>
    <s v="곽연"/>
    <s v="지고 있는 달을 그린 그림"/>
    <m/>
    <x v="14"/>
    <n v="0"/>
  </r>
  <r>
    <x v="17"/>
    <x v="1"/>
    <x v="17"/>
    <s v="류현자"/>
    <s v="만개한 연꽃을 그린 그림이다."/>
    <m/>
    <x v="15"/>
    <n v="3.25"/>
  </r>
  <r>
    <x v="18"/>
    <x v="1"/>
    <x v="18"/>
    <s v="최경락"/>
    <s v="겨울의 눈 덮인 산을 보는듯한 느낌을 주는 그림"/>
    <m/>
    <x v="16"/>
    <n v="4.5"/>
  </r>
  <r>
    <x v="19"/>
    <x v="1"/>
    <x v="19"/>
    <s v="김경원"/>
    <s v="팔이 없는 구리색 여인의 동상"/>
    <m/>
    <x v="17"/>
    <n v="3.5"/>
  </r>
  <r>
    <x v="20"/>
    <x v="1"/>
    <x v="20"/>
    <s v="김경원"/>
    <s v="자기 자신을 감싸 안는 하늘의 여신"/>
    <m/>
    <x v="18"/>
    <n v="0"/>
  </r>
  <r>
    <x v="21"/>
    <x v="1"/>
    <x v="21"/>
    <s v="손미량"/>
    <s v="초록 장화를 신은 어린 아이"/>
    <m/>
    <x v="19"/>
    <n v="0"/>
  </r>
  <r>
    <x v="22"/>
    <x v="1"/>
    <x v="22"/>
    <s v="손미량"/>
    <s v="울고 있는 아이를 돌보고 있는 어머니의 추억이 담긴 사진"/>
    <m/>
    <x v="20"/>
    <n v="3.3333333333333335"/>
  </r>
  <r>
    <x v="23"/>
    <x v="1"/>
    <x v="23"/>
    <s v="임근우"/>
    <s v="그림 설명"/>
    <m/>
    <x v="21"/>
    <n v="0"/>
  </r>
  <r>
    <x v="24"/>
    <x v="1"/>
    <x v="24"/>
    <s v="우무길"/>
    <s v="그림 설명"/>
    <m/>
    <x v="22"/>
    <n v="4"/>
  </r>
  <r>
    <x v="25"/>
    <x v="1"/>
    <x v="25"/>
    <s v="우무길"/>
    <s v="그림 설명"/>
    <m/>
    <x v="23"/>
    <n v="0"/>
  </r>
  <r>
    <x v="26"/>
    <x v="1"/>
    <x v="26"/>
    <s v="김정선"/>
    <s v="그림 설명"/>
    <m/>
    <x v="24"/>
    <n v="1"/>
  </r>
  <r>
    <x v="27"/>
    <x v="1"/>
    <x v="27"/>
    <s v="손성일"/>
    <s v="그림 설명"/>
    <m/>
    <x v="25"/>
    <n v="2.5"/>
  </r>
  <r>
    <x v="28"/>
    <x v="1"/>
    <x v="28"/>
    <s v="김정연"/>
    <s v="그림 설명"/>
    <m/>
    <x v="26"/>
    <n v="2.1666666666666665"/>
  </r>
  <r>
    <x v="29"/>
    <x v="1"/>
    <x v="29"/>
    <s v="석창우"/>
    <s v="그림 설명"/>
    <m/>
    <x v="26"/>
    <n v="2.5"/>
  </r>
  <r>
    <x v="30"/>
    <x v="1"/>
    <x v="30"/>
    <s v="홍윤화"/>
    <s v="그림 설명"/>
    <m/>
    <x v="27"/>
    <n v="2"/>
  </r>
  <r>
    <x v="31"/>
    <x v="2"/>
    <x v="31"/>
    <s v="신홍직"/>
    <s v="안개가 잔뜩 낀 해변의 모습"/>
    <m/>
    <x v="28"/>
    <n v="3"/>
  </r>
  <r>
    <x v="32"/>
    <x v="2"/>
    <x v="32"/>
    <s v="신홍직"/>
    <s v="대도시의 상가를 표현한 그림"/>
    <m/>
    <x v="29"/>
    <n v="2"/>
  </r>
  <r>
    <x v="33"/>
    <x v="2"/>
    <x v="33"/>
    <s v="백성흠"/>
    <s v="산티아고 가는 길의 오후 풍경이다."/>
    <m/>
    <x v="30"/>
    <n v="1.5"/>
  </r>
  <r>
    <x v="34"/>
    <x v="2"/>
    <x v="34"/>
    <s v="백성흠"/>
    <s v="그림 설명"/>
    <m/>
    <x v="31"/>
    <n v="4"/>
  </r>
  <r>
    <x v="35"/>
    <x v="2"/>
    <x v="35"/>
    <s v="빈센트"/>
    <s v="화가 본인의 얼굴을 그린 그림이다."/>
    <m/>
    <x v="32"/>
    <n v="1"/>
  </r>
  <r>
    <x v="36"/>
    <x v="2"/>
    <x v="36"/>
    <s v="빈센트"/>
    <s v="그림 설명"/>
    <m/>
    <x v="33"/>
    <n v="0"/>
  </r>
  <r>
    <x v="37"/>
    <x v="2"/>
    <x v="37"/>
    <s v="황두순"/>
    <s v="그림 설명"/>
    <m/>
    <x v="34"/>
    <n v="4"/>
  </r>
  <r>
    <x v="38"/>
    <x v="2"/>
    <x v="38"/>
    <s v="이한우"/>
    <s v="그림 설명"/>
    <m/>
    <x v="35"/>
    <n v="4.5"/>
  </r>
  <r>
    <x v="39"/>
    <x v="2"/>
    <x v="39"/>
    <s v="강남구"/>
    <s v="그림 설명"/>
    <m/>
    <x v="36"/>
    <n v="4"/>
  </r>
  <r>
    <x v="40"/>
    <x v="2"/>
    <x v="40"/>
    <s v="신은섭"/>
    <s v="그림 설명"/>
    <m/>
    <x v="37"/>
    <n v="0"/>
  </r>
  <r>
    <x v="41"/>
    <x v="2"/>
    <x v="41"/>
    <s v="신은섭"/>
    <s v="그림 설명"/>
    <m/>
    <x v="38"/>
    <n v="3"/>
  </r>
  <r>
    <x v="42"/>
    <x v="2"/>
    <x v="42"/>
    <s v="이상열"/>
    <s v="그림 설명"/>
    <m/>
    <x v="39"/>
    <n v="0"/>
  </r>
  <r>
    <x v="43"/>
    <x v="2"/>
    <x v="43"/>
    <s v="이상열"/>
    <s v="그림 설명"/>
    <m/>
    <x v="40"/>
    <n v="2"/>
  </r>
  <r>
    <x v="44"/>
    <x v="2"/>
    <x v="44"/>
    <s v="오귀스트"/>
    <s v="그림 설명"/>
    <m/>
    <x v="41"/>
    <n v="1"/>
  </r>
  <r>
    <x v="45"/>
    <x v="2"/>
    <x v="45"/>
    <s v="오귀스트"/>
    <s v="그림 설명"/>
    <m/>
    <x v="42"/>
    <n v="3"/>
  </r>
  <r>
    <x v="46"/>
    <x v="2"/>
    <x v="46"/>
    <s v="허필석"/>
    <s v="그림 설명"/>
    <m/>
    <x v="43"/>
    <n v="2.25"/>
  </r>
  <r>
    <x v="47"/>
    <x v="2"/>
    <x v="47"/>
    <s v="오귀스트"/>
    <s v="그림 설명"/>
    <m/>
    <x v="44"/>
    <n v="4"/>
  </r>
  <r>
    <x v="48"/>
    <x v="2"/>
    <x v="48"/>
    <s v="폴 고갱"/>
    <s v="그림 설명"/>
    <m/>
    <x v="45"/>
    <n v="3.75"/>
  </r>
  <r>
    <x v="49"/>
    <x v="3"/>
    <x v="49"/>
    <s v="손수용"/>
    <s v="세상의 곱고 미움 모두 받아들여 부드러운 향기 담원한 사람을 생각해본다."/>
    <m/>
    <x v="13"/>
    <n v="0"/>
  </r>
  <r>
    <x v="50"/>
    <x v="3"/>
    <x v="50"/>
    <s v="오관진"/>
    <s v="비어 있는 자기를 복으로 채운다는 뜻이 담긴 작품이다."/>
    <m/>
    <x v="46"/>
    <n v="0"/>
  </r>
  <r>
    <x v="51"/>
    <x v="3"/>
    <x v="51"/>
    <s v="오관진"/>
    <s v="무언가를 비우고 채울 수 있는 자기의 그림"/>
    <m/>
    <x v="47"/>
    <n v="3.25"/>
  </r>
  <r>
    <x v="52"/>
    <x v="3"/>
    <x v="52"/>
    <s v="임진호"/>
    <s v="자신이 태어난 곳으로 회귀하고 있는 물고기를 표현한 작품이다."/>
    <m/>
    <x v="48"/>
    <n v="0"/>
  </r>
  <r>
    <x v="53"/>
    <x v="3"/>
    <x v="53"/>
    <s v="문홍규"/>
    <s v="가운데의 거대한 토기와 그 주변을 둘러싸고 있는 세상"/>
    <m/>
    <x v="45"/>
    <n v="0"/>
  </r>
  <r>
    <x v="54"/>
    <x v="3"/>
    <x v="54"/>
    <s v="신호재"/>
    <s v="그림 설명"/>
    <m/>
    <x v="49"/>
    <n v="1.5"/>
  </r>
  <r>
    <x v="55"/>
    <x v="3"/>
    <x v="55"/>
    <s v="금보성"/>
    <s v="그림 설명"/>
    <m/>
    <x v="50"/>
    <n v="0"/>
  </r>
  <r>
    <x v="56"/>
    <x v="3"/>
    <x v="56"/>
    <s v="김시현"/>
    <s v="그림 설명"/>
    <m/>
    <x v="51"/>
    <n v="3"/>
  </r>
  <r>
    <x v="57"/>
    <x v="3"/>
    <x v="57"/>
    <s v="손수용"/>
    <s v="그림 설명"/>
    <m/>
    <x v="12"/>
    <n v="1.5"/>
  </r>
  <r>
    <x v="58"/>
    <x v="3"/>
    <x v="58"/>
    <s v="최형양"/>
    <s v="그림 설명"/>
    <m/>
    <x v="52"/>
    <n v="0"/>
  </r>
  <r>
    <x v="59"/>
    <x v="3"/>
    <x v="59"/>
    <s v="임정아"/>
    <s v="그림 설명"/>
    <m/>
    <x v="53"/>
    <n v="0.5"/>
  </r>
  <r>
    <x v="60"/>
    <x v="3"/>
    <x v="60"/>
    <s v="임병남"/>
    <s v="그림 설명"/>
    <m/>
    <x v="54"/>
    <n v="0"/>
  </r>
  <r>
    <x v="61"/>
    <x v="3"/>
    <x v="61"/>
    <s v="서경애"/>
    <s v="그림 설명"/>
    <m/>
    <x v="55"/>
    <n v="0"/>
  </r>
  <r>
    <x v="62"/>
    <x v="3"/>
    <x v="62"/>
    <s v="나옥자"/>
    <s v="그림 설명"/>
    <m/>
    <x v="56"/>
    <n v="0"/>
  </r>
  <r>
    <x v="63"/>
    <x v="3"/>
    <x v="63"/>
    <s v="문홍규"/>
    <s v="그림 설명"/>
    <m/>
    <x v="57"/>
    <n v="0.5"/>
  </r>
  <r>
    <x v="64"/>
    <x v="3"/>
    <x v="64"/>
    <s v="심재천"/>
    <s v="그림 설명"/>
    <m/>
    <x v="58"/>
    <n v="2.75"/>
  </r>
  <r>
    <x v="65"/>
    <x v="3"/>
    <x v="65"/>
    <s v="임정아"/>
    <s v="그림 설명"/>
    <m/>
    <x v="59"/>
    <n v="2.25"/>
  </r>
  <r>
    <x v="66"/>
    <x v="3"/>
    <x v="66"/>
    <s v="금보성"/>
    <s v="그림 설명"/>
    <m/>
    <x v="60"/>
    <n v="0"/>
  </r>
  <r>
    <x v="67"/>
    <x v="4"/>
    <x v="67"/>
    <s v="서정희"/>
    <s v="시간을 여행하며 여러 세계를 돌아다니는 시간여행자"/>
    <m/>
    <x v="25"/>
    <n v="0"/>
  </r>
  <r>
    <x v="68"/>
    <x v="4"/>
    <x v="68"/>
    <s v="양향옥"/>
    <s v="태양을 품은 달과 그 아래 활짝 피어난 거대한 꽃"/>
    <m/>
    <x v="61"/>
    <n v="2.5"/>
  </r>
  <r>
    <x v="69"/>
    <x v="4"/>
    <x v="69"/>
    <s v="강지웅"/>
    <s v="사람들을 악으로부터 지키기 위해 자신을 희생하신 구원자"/>
    <m/>
    <x v="62"/>
    <n v="0.5"/>
  </r>
  <r>
    <x v="70"/>
    <x v="4"/>
    <x v="70"/>
    <s v="계낙영"/>
    <s v="모든 것들은 돌로부터 왔다는 것을 표현"/>
    <m/>
    <x v="63"/>
    <n v="0"/>
  </r>
  <r>
    <x v="71"/>
    <x v="4"/>
    <x v="71"/>
    <s v="한정선"/>
    <s v="현실에는 존재할 수 없는 초현실적인 존재들을 그린 그림이다."/>
    <m/>
    <x v="64"/>
    <n v="0"/>
  </r>
  <r>
    <x v="72"/>
    <x v="4"/>
    <x v="72"/>
    <s v="로지에"/>
    <s v="그림 설명"/>
    <m/>
    <x v="65"/>
    <n v="3.5"/>
  </r>
  <r>
    <x v="73"/>
    <x v="4"/>
    <x v="73"/>
    <s v="로지에"/>
    <s v="그림 설명"/>
    <m/>
    <x v="66"/>
    <n v="3.1666666666666665"/>
  </r>
  <r>
    <x v="74"/>
    <x v="4"/>
    <x v="74"/>
    <s v="권민경"/>
    <s v="그림 설명"/>
    <m/>
    <x v="67"/>
    <n v="0"/>
  </r>
  <r>
    <x v="75"/>
    <x v="4"/>
    <x v="75"/>
    <s v="최소희"/>
    <s v="그림 설명"/>
    <m/>
    <x v="68"/>
    <n v="0"/>
  </r>
  <r>
    <x v="76"/>
    <x v="4"/>
    <x v="76"/>
    <s v="계낙영"/>
    <s v="그림 설명"/>
    <m/>
    <x v="69"/>
    <n v="3"/>
  </r>
  <r>
    <x v="77"/>
    <x v="4"/>
    <x v="77"/>
    <s v="오은정"/>
    <s v="그림 설명"/>
    <m/>
    <x v="70"/>
    <n v="4.5"/>
  </r>
  <r>
    <x v="78"/>
    <x v="4"/>
    <x v="78"/>
    <s v="권민경"/>
    <s v="그림 설명"/>
    <m/>
    <x v="71"/>
    <n v="0"/>
  </r>
  <r>
    <x v="79"/>
    <x v="4"/>
    <x v="79"/>
    <s v="한정선"/>
    <s v="그림 설명"/>
    <m/>
    <x v="72"/>
    <n v="2.25"/>
  </r>
  <r>
    <x v="80"/>
    <x v="4"/>
    <x v="80"/>
    <s v="양향옥"/>
    <s v="그림 설명"/>
    <m/>
    <x v="35"/>
    <n v="0"/>
  </r>
  <r>
    <x v="81"/>
    <x v="4"/>
    <x v="81"/>
    <s v="양향옥"/>
    <s v="그림 설명"/>
    <m/>
    <x v="73"/>
    <n v="0"/>
  </r>
  <r>
    <x v="82"/>
    <x v="4"/>
    <x v="82"/>
    <s v="강지웅"/>
    <s v="그림 설명"/>
    <m/>
    <x v="74"/>
    <n v="0"/>
  </r>
  <r>
    <x v="83"/>
    <x v="4"/>
    <x v="83"/>
    <s v="로지에"/>
    <s v="그림 설명"/>
    <m/>
    <x v="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4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P13:V20" firstHeaderRow="1" firstDataRow="2" firstDataCol="1"/>
  <pivotFields count="8">
    <pivotField dataField="1" showAll="0">
      <items count="85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axis="axisRow" numFmtId="41" showAll="0">
      <items count="7">
        <item n="1백만원 이하" x="0"/>
        <item n="1백만원대" x="1"/>
        <item n="2백만원대" x="2"/>
        <item n="3백만원대" x="3"/>
        <item n="4백만원대" x="4"/>
        <item x="5"/>
        <item t="default"/>
      </items>
    </pivotField>
    <pivotField numFmtId="176"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개수 : 작품번호" fld="0" subtotal="count" baseField="0" baseItem="0"/>
  </dataFields>
  <chartFormats count="17">
    <chartFormat chart="0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6" count="1" selected="0">
            <x v="2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3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6" count="1" selected="0">
            <x v="3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6" count="1" selected="0">
            <x v="0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0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6" count="1" selected="0">
            <x v="0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6" count="1" selected="0">
            <x v="1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2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4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6" count="1" selected="0">
            <x v="4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D37:F43" firstHeaderRow="0" firstDataRow="1" firstDataCol="1"/>
  <pivotFields count="8">
    <pivotField showAll="0">
      <items count="85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dataField="1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numFmtId="41" showAll="0">
      <items count="7">
        <item x="0"/>
        <item x="1"/>
        <item x="2"/>
        <item x="3"/>
        <item x="4"/>
        <item x="5"/>
        <item t="default"/>
      </items>
    </pivotField>
    <pivotField numFmtId="17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총개수" fld="6" baseField="0" baseItem="1"/>
    <dataField name="총금액" fld="1" subtotal="count" baseField="0" baseItem="0"/>
  </dataFields>
  <chartFormats count="2"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5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6">
  <location ref="D4:F10" firstHeaderRow="0" firstDataRow="1" firstDataCol="1"/>
  <pivotFields count="8">
    <pivotField showAll="0">
      <items count="85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dataField="1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numFmtId="41" showAll="0">
      <items count="7">
        <item x="0"/>
        <item x="1"/>
        <item x="2"/>
        <item x="3"/>
        <item x="4"/>
        <item x="5"/>
        <item t="default"/>
      </items>
    </pivotField>
    <pivotField numFmtId="17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총금액" fld="6" baseField="1" baseItem="0"/>
    <dataField name="총개수" fld="1" subtotal="count" baseField="0" baseItem="0"/>
  </dataFields>
  <chartFormats count="2">
    <chartFormat chart="0" format="1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30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Z8:AA14" firstHeaderRow="1" firstDataRow="1" firstDataCol="1"/>
  <pivotFields count="8">
    <pivotField showAll="0">
      <items count="85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85">
        <item x="11"/>
        <item x="26"/>
        <item x="45"/>
        <item x="74"/>
        <item x="65"/>
        <item x="59"/>
        <item x="10"/>
        <item x="72"/>
        <item x="47"/>
        <item x="44"/>
        <item x="22"/>
        <item x="12"/>
        <item x="46"/>
        <item x="40"/>
        <item x="83"/>
        <item x="73"/>
        <item x="75"/>
        <item x="78"/>
        <item x="54"/>
        <item x="69"/>
        <item x="37"/>
        <item x="48"/>
        <item x="56"/>
        <item x="77"/>
        <item x="67"/>
        <item x="29"/>
        <item x="25"/>
        <item x="8"/>
        <item x="76"/>
        <item x="23"/>
        <item x="79"/>
        <item x="64"/>
        <item x="24"/>
        <item x="82"/>
        <item x="30"/>
        <item x="43"/>
        <item x="19"/>
        <item x="62"/>
        <item x="61"/>
        <item x="68"/>
        <item x="55"/>
        <item x="81"/>
        <item x="70"/>
        <item x="16"/>
        <item x="32"/>
        <item x="13"/>
        <item x="57"/>
        <item x="36"/>
        <item x="50"/>
        <item x="49"/>
        <item x="17"/>
        <item x="34"/>
        <item x="33"/>
        <item x="4"/>
        <item x="14"/>
        <item x="18"/>
        <item x="15"/>
        <item x="80"/>
        <item x="41"/>
        <item x="31"/>
        <item x="28"/>
        <item x="9"/>
        <item x="42"/>
        <item x="71"/>
        <item x="1"/>
        <item x="35"/>
        <item x="0"/>
        <item x="3"/>
        <item x="5"/>
        <item x="51"/>
        <item x="21"/>
        <item x="53"/>
        <item x="58"/>
        <item x="38"/>
        <item x="20"/>
        <item x="66"/>
        <item x="2"/>
        <item x="60"/>
        <item x="7"/>
        <item x="6"/>
        <item x="39"/>
        <item x="63"/>
        <item x="52"/>
        <item x="27"/>
        <item t="default"/>
      </items>
    </pivotField>
    <pivotField showAll="0"/>
    <pivotField showAll="0"/>
    <pivotField showAll="0"/>
    <pivotField dataField="1" numFmtId="41" showAll="0">
      <items count="7">
        <item x="0"/>
        <item x="1"/>
        <item x="2"/>
        <item x="3"/>
        <item x="4"/>
        <item x="5"/>
        <item t="default"/>
      </items>
    </pivotField>
    <pivotField numFmtId="17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합계 : 가격" fld="6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5"/>
  <sheetViews>
    <sheetView workbookViewId="0">
      <selection sqref="A1:H85"/>
    </sheetView>
  </sheetViews>
  <sheetFormatPr defaultRowHeight="16.5"/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4" t="s">
        <v>7</v>
      </c>
    </row>
    <row r="2" spans="1:8">
      <c r="A2" s="5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/>
      <c r="G2" s="6">
        <v>2200000</v>
      </c>
      <c r="H2" s="7">
        <f>IFERROR(AVERAGEIF([1]작품평!B:B,A2,[1]작품평!D:D),0)</f>
        <v>4</v>
      </c>
    </row>
    <row r="3" spans="1:8">
      <c r="A3" s="8" t="s">
        <v>13</v>
      </c>
      <c r="B3" s="9" t="s">
        <v>9</v>
      </c>
      <c r="C3" s="10" t="s">
        <v>14</v>
      </c>
      <c r="D3" s="9" t="s">
        <v>11</v>
      </c>
      <c r="E3" s="9" t="s">
        <v>15</v>
      </c>
      <c r="F3" s="9"/>
      <c r="G3" s="6">
        <v>4430000</v>
      </c>
      <c r="H3" s="7">
        <f>IFERROR(AVERAGEIF([1]작품평!B:B,A3,[1]작품평!D:D),0)</f>
        <v>3.5</v>
      </c>
    </row>
    <row r="4" spans="1:8">
      <c r="A4" s="8" t="s">
        <v>16</v>
      </c>
      <c r="B4" s="9" t="s">
        <v>9</v>
      </c>
      <c r="C4" s="9" t="s">
        <v>17</v>
      </c>
      <c r="D4" s="9" t="s">
        <v>18</v>
      </c>
      <c r="E4" s="9" t="s">
        <v>19</v>
      </c>
      <c r="F4" s="9"/>
      <c r="G4" s="6">
        <v>2200000</v>
      </c>
      <c r="H4" s="7">
        <f>IFERROR(AVERAGEIF([1]작품평!B:B,A4,[1]작품평!D:D),0)</f>
        <v>1.8333333333333333</v>
      </c>
    </row>
    <row r="5" spans="1:8">
      <c r="A5" s="8" t="s">
        <v>20</v>
      </c>
      <c r="B5" s="9" t="s">
        <v>9</v>
      </c>
      <c r="C5" s="9" t="s">
        <v>21</v>
      </c>
      <c r="D5" s="9" t="s">
        <v>18</v>
      </c>
      <c r="E5" s="9" t="s">
        <v>22</v>
      </c>
      <c r="F5" s="9"/>
      <c r="G5" s="6">
        <v>4430000</v>
      </c>
      <c r="H5" s="7">
        <f>IFERROR(AVERAGEIF([1]작품평!B:B,A5,[1]작품평!D:D),0)</f>
        <v>0</v>
      </c>
    </row>
    <row r="6" spans="1:8">
      <c r="A6" s="8" t="s">
        <v>23</v>
      </c>
      <c r="B6" s="9" t="s">
        <v>9</v>
      </c>
      <c r="C6" s="9" t="s">
        <v>24</v>
      </c>
      <c r="D6" s="9" t="s">
        <v>25</v>
      </c>
      <c r="E6" s="9" t="s">
        <v>26</v>
      </c>
      <c r="F6" s="9"/>
      <c r="G6" s="6">
        <v>2250000</v>
      </c>
      <c r="H6" s="7">
        <f>IFERROR(AVERAGEIF([1]작품평!B:B,A6,[1]작품평!D:D),0)</f>
        <v>3.125</v>
      </c>
    </row>
    <row r="7" spans="1:8">
      <c r="A7" s="8" t="s">
        <v>27</v>
      </c>
      <c r="B7" s="9" t="s">
        <v>9</v>
      </c>
      <c r="C7" s="9" t="s">
        <v>28</v>
      </c>
      <c r="D7" s="9" t="s">
        <v>29</v>
      </c>
      <c r="E7" s="9" t="s">
        <v>30</v>
      </c>
      <c r="F7" s="9"/>
      <c r="G7" s="6">
        <v>2740000</v>
      </c>
      <c r="H7" s="7">
        <f>IFERROR(AVERAGEIF([1]작품평!B:B,A7,[1]작품평!D:D),0)</f>
        <v>2.5</v>
      </c>
    </row>
    <row r="8" spans="1:8">
      <c r="A8" s="8" t="s">
        <v>31</v>
      </c>
      <c r="B8" s="9" t="s">
        <v>9</v>
      </c>
      <c r="C8" s="9" t="s">
        <v>32</v>
      </c>
      <c r="D8" s="9" t="s">
        <v>29</v>
      </c>
      <c r="E8" s="9" t="s">
        <v>33</v>
      </c>
      <c r="F8" s="9"/>
      <c r="G8" s="6">
        <v>2960000</v>
      </c>
      <c r="H8" s="7">
        <f>IFERROR(AVERAGEIF([1]작품평!B:B,A8,[1]작품평!D:D),0)</f>
        <v>1</v>
      </c>
    </row>
    <row r="9" spans="1:8">
      <c r="A9" s="8" t="s">
        <v>34</v>
      </c>
      <c r="B9" s="9" t="s">
        <v>9</v>
      </c>
      <c r="C9" s="9" t="s">
        <v>35</v>
      </c>
      <c r="D9" s="9" t="s">
        <v>36</v>
      </c>
      <c r="E9" s="9" t="s">
        <v>37</v>
      </c>
      <c r="F9" s="9"/>
      <c r="G9" s="6">
        <v>910000</v>
      </c>
      <c r="H9" s="7">
        <f>IFERROR(AVERAGEIF([1]작품평!B:B,A9,[1]작품평!D:D),0)</f>
        <v>0</v>
      </c>
    </row>
    <row r="10" spans="1:8">
      <c r="A10" s="8" t="s">
        <v>38</v>
      </c>
      <c r="B10" s="9" t="s">
        <v>9</v>
      </c>
      <c r="C10" s="9" t="s">
        <v>39</v>
      </c>
      <c r="D10" s="9" t="s">
        <v>36</v>
      </c>
      <c r="E10" s="9" t="s">
        <v>40</v>
      </c>
      <c r="F10" s="9"/>
      <c r="G10" s="6">
        <v>3130000</v>
      </c>
      <c r="H10" s="7">
        <f>IFERROR(AVERAGEIF([1]작품평!B:B,A10,[1]작품평!D:D),0)</f>
        <v>4.5</v>
      </c>
    </row>
    <row r="11" spans="1:8">
      <c r="A11" s="8" t="s">
        <v>41</v>
      </c>
      <c r="B11" s="9" t="s">
        <v>9</v>
      </c>
      <c r="C11" s="9" t="s">
        <v>42</v>
      </c>
      <c r="D11" s="9" t="s">
        <v>43</v>
      </c>
      <c r="E11" s="9" t="s">
        <v>44</v>
      </c>
      <c r="F11" s="9"/>
      <c r="G11" s="6">
        <v>1200000</v>
      </c>
      <c r="H11" s="7">
        <f>IFERROR(AVERAGEIF([1]작품평!B:B,A11,[1]작품평!D:D),0)</f>
        <v>4.75</v>
      </c>
    </row>
    <row r="12" spans="1:8">
      <c r="A12" s="8" t="s">
        <v>45</v>
      </c>
      <c r="B12" s="9" t="s">
        <v>9</v>
      </c>
      <c r="C12" s="9" t="s">
        <v>46</v>
      </c>
      <c r="D12" s="9" t="s">
        <v>47</v>
      </c>
      <c r="E12" s="9" t="s">
        <v>48</v>
      </c>
      <c r="F12" s="9"/>
      <c r="G12" s="6">
        <v>570000</v>
      </c>
      <c r="H12" s="7">
        <f>IFERROR(AVERAGEIF([1]작품평!B:B,A12,[1]작품평!D:D),0)</f>
        <v>4</v>
      </c>
    </row>
    <row r="13" spans="1:8">
      <c r="A13" s="8" t="s">
        <v>49</v>
      </c>
      <c r="B13" s="9" t="s">
        <v>9</v>
      </c>
      <c r="C13" s="9" t="s">
        <v>50</v>
      </c>
      <c r="D13" s="9" t="s">
        <v>47</v>
      </c>
      <c r="E13" s="9" t="s">
        <v>51</v>
      </c>
      <c r="F13" s="9"/>
      <c r="G13" s="6">
        <v>140000</v>
      </c>
      <c r="H13" s="7">
        <f>IFERROR(AVERAGEIF([1]작품평!B:B,A13,[1]작품평!D:D),0)</f>
        <v>0</v>
      </c>
    </row>
    <row r="14" spans="1:8">
      <c r="A14" s="8" t="s">
        <v>52</v>
      </c>
      <c r="B14" s="9" t="s">
        <v>9</v>
      </c>
      <c r="C14" s="9" t="s">
        <v>53</v>
      </c>
      <c r="D14" s="9" t="s">
        <v>54</v>
      </c>
      <c r="E14" s="9" t="s">
        <v>55</v>
      </c>
      <c r="F14" s="9"/>
      <c r="G14" s="6">
        <v>3530000</v>
      </c>
      <c r="H14" s="7">
        <f>IFERROR(AVERAGEIF([1]작품평!B:B,A14,[1]작품평!D:D),0)</f>
        <v>0</v>
      </c>
    </row>
    <row r="15" spans="1:8">
      <c r="A15" s="8" t="s">
        <v>56</v>
      </c>
      <c r="B15" s="9" t="s">
        <v>9</v>
      </c>
      <c r="C15" s="9" t="s">
        <v>57</v>
      </c>
      <c r="D15" s="9" t="s">
        <v>58</v>
      </c>
      <c r="E15" s="9" t="s">
        <v>59</v>
      </c>
      <c r="F15" s="9"/>
      <c r="G15" s="6">
        <v>180000</v>
      </c>
      <c r="H15" s="7">
        <f>IFERROR(AVERAGEIF([1]작품평!B:B,A15,[1]작품평!D:D),0)</f>
        <v>2.75</v>
      </c>
    </row>
    <row r="16" spans="1:8">
      <c r="A16" s="8" t="s">
        <v>60</v>
      </c>
      <c r="B16" s="9" t="s">
        <v>9</v>
      </c>
      <c r="C16" s="9" t="s">
        <v>61</v>
      </c>
      <c r="D16" s="9" t="s">
        <v>62</v>
      </c>
      <c r="E16" s="9" t="s">
        <v>63</v>
      </c>
      <c r="F16" s="9"/>
      <c r="G16" s="6">
        <v>2660000</v>
      </c>
      <c r="H16" s="7">
        <f>IFERROR(AVERAGEIF([1]작품평!B:B,A16,[1]작품평!D:D),0)</f>
        <v>3.75</v>
      </c>
    </row>
    <row r="17" spans="1:8">
      <c r="A17" s="8" t="s">
        <v>64</v>
      </c>
      <c r="B17" s="9" t="s">
        <v>9</v>
      </c>
      <c r="C17" s="9" t="s">
        <v>65</v>
      </c>
      <c r="D17" s="9" t="s">
        <v>66</v>
      </c>
      <c r="E17" s="9" t="s">
        <v>67</v>
      </c>
      <c r="F17" s="9"/>
      <c r="G17" s="6">
        <v>2550000</v>
      </c>
      <c r="H17" s="7">
        <f>IFERROR(AVERAGEIF([1]작품평!B:B,A17,[1]작품평!D:D),0)</f>
        <v>4.5</v>
      </c>
    </row>
    <row r="18" spans="1:8">
      <c r="A18" s="8" t="s">
        <v>68</v>
      </c>
      <c r="B18" s="9" t="s">
        <v>69</v>
      </c>
      <c r="C18" s="9" t="s">
        <v>70</v>
      </c>
      <c r="D18" s="9" t="s">
        <v>71</v>
      </c>
      <c r="E18" s="9" t="s">
        <v>72</v>
      </c>
      <c r="F18" s="9"/>
      <c r="G18" s="6">
        <v>650000</v>
      </c>
      <c r="H18" s="7">
        <f>IFERROR(AVERAGEIF([1]작품평!B:B,A18,[1]작품평!D:D),0)</f>
        <v>0</v>
      </c>
    </row>
    <row r="19" spans="1:8">
      <c r="A19" s="8" t="s">
        <v>73</v>
      </c>
      <c r="B19" s="9" t="s">
        <v>69</v>
      </c>
      <c r="C19" s="9" t="s">
        <v>74</v>
      </c>
      <c r="D19" s="9" t="s">
        <v>75</v>
      </c>
      <c r="E19" s="9" t="s">
        <v>76</v>
      </c>
      <c r="F19" s="9"/>
      <c r="G19" s="6">
        <v>200000</v>
      </c>
      <c r="H19" s="7">
        <f>IFERROR(AVERAGEIF([1]작품평!B:B,A19,[1]작품평!D:D),0)</f>
        <v>3.25</v>
      </c>
    </row>
    <row r="20" spans="1:8">
      <c r="A20" s="8" t="s">
        <v>77</v>
      </c>
      <c r="B20" s="9" t="s">
        <v>69</v>
      </c>
      <c r="C20" s="9" t="s">
        <v>78</v>
      </c>
      <c r="D20" s="9" t="s">
        <v>79</v>
      </c>
      <c r="E20" s="9" t="s">
        <v>80</v>
      </c>
      <c r="F20" s="9"/>
      <c r="G20" s="6">
        <v>4810000</v>
      </c>
      <c r="H20" s="7">
        <f>IFERROR(AVERAGEIF([1]작품평!B:B,A20,[1]작품평!D:D),0)</f>
        <v>4.5</v>
      </c>
    </row>
    <row r="21" spans="1:8">
      <c r="A21" s="8" t="s">
        <v>81</v>
      </c>
      <c r="B21" s="9" t="s">
        <v>69</v>
      </c>
      <c r="C21" s="9" t="s">
        <v>82</v>
      </c>
      <c r="D21" s="9" t="s">
        <v>83</v>
      </c>
      <c r="E21" s="9" t="s">
        <v>84</v>
      </c>
      <c r="F21" s="9"/>
      <c r="G21" s="6">
        <v>4170000</v>
      </c>
      <c r="H21" s="7">
        <f>IFERROR(AVERAGEIF([1]작품평!B:B,A21,[1]작품평!D:D),0)</f>
        <v>3.5</v>
      </c>
    </row>
    <row r="22" spans="1:8">
      <c r="A22" s="8" t="s">
        <v>85</v>
      </c>
      <c r="B22" s="9" t="s">
        <v>69</v>
      </c>
      <c r="C22" s="9" t="s">
        <v>86</v>
      </c>
      <c r="D22" s="9" t="s">
        <v>83</v>
      </c>
      <c r="E22" s="9" t="s">
        <v>87</v>
      </c>
      <c r="F22" s="9"/>
      <c r="G22" s="6">
        <v>4070000</v>
      </c>
      <c r="H22" s="7">
        <f>IFERROR(AVERAGEIF([1]작품평!B:B,A22,[1]작품평!D:D),0)</f>
        <v>0</v>
      </c>
    </row>
    <row r="23" spans="1:8">
      <c r="A23" s="8" t="s">
        <v>88</v>
      </c>
      <c r="B23" s="9" t="s">
        <v>69</v>
      </c>
      <c r="C23" s="9" t="s">
        <v>89</v>
      </c>
      <c r="D23" s="9" t="s">
        <v>90</v>
      </c>
      <c r="E23" s="9" t="s">
        <v>91</v>
      </c>
      <c r="F23" s="9"/>
      <c r="G23" s="6">
        <v>1240000</v>
      </c>
      <c r="H23" s="7">
        <f>IFERROR(AVERAGEIF([1]작품평!B:B,A23,[1]작품평!D:D),0)</f>
        <v>0</v>
      </c>
    </row>
    <row r="24" spans="1:8">
      <c r="A24" s="8" t="s">
        <v>92</v>
      </c>
      <c r="B24" s="9" t="s">
        <v>69</v>
      </c>
      <c r="C24" s="9" t="s">
        <v>93</v>
      </c>
      <c r="D24" s="9" t="s">
        <v>90</v>
      </c>
      <c r="E24" s="9" t="s">
        <v>94</v>
      </c>
      <c r="F24" s="9"/>
      <c r="G24" s="6">
        <v>750000</v>
      </c>
      <c r="H24" s="7">
        <f>IFERROR(AVERAGEIF([1]작품평!B:B,A24,[1]작품평!D:D),0)</f>
        <v>3.3333333333333335</v>
      </c>
    </row>
    <row r="25" spans="1:8">
      <c r="A25" s="8" t="s">
        <v>95</v>
      </c>
      <c r="B25" s="9" t="s">
        <v>69</v>
      </c>
      <c r="C25" s="9" t="s">
        <v>96</v>
      </c>
      <c r="D25" s="9" t="s">
        <v>97</v>
      </c>
      <c r="E25" s="9" t="s">
        <v>98</v>
      </c>
      <c r="F25" s="9"/>
      <c r="G25" s="6">
        <v>1830000</v>
      </c>
      <c r="H25" s="7">
        <f>IFERROR(AVERAGEIF([1]작품평!B:B,A25,[1]작품평!D:D),0)</f>
        <v>0</v>
      </c>
    </row>
    <row r="26" spans="1:8">
      <c r="A26" s="8" t="s">
        <v>99</v>
      </c>
      <c r="B26" s="9" t="s">
        <v>69</v>
      </c>
      <c r="C26" s="9" t="s">
        <v>100</v>
      </c>
      <c r="D26" s="9" t="s">
        <v>101</v>
      </c>
      <c r="E26" s="9" t="s">
        <v>98</v>
      </c>
      <c r="F26" s="9"/>
      <c r="G26" s="6">
        <v>2150000</v>
      </c>
      <c r="H26" s="7">
        <f>IFERROR(AVERAGEIF([1]작품평!B:B,A26,[1]작품평!D:D),0)</f>
        <v>4</v>
      </c>
    </row>
    <row r="27" spans="1:8">
      <c r="A27" s="8" t="s">
        <v>102</v>
      </c>
      <c r="B27" s="9" t="s">
        <v>69</v>
      </c>
      <c r="C27" s="9" t="s">
        <v>103</v>
      </c>
      <c r="D27" s="9" t="s">
        <v>101</v>
      </c>
      <c r="E27" s="9" t="s">
        <v>98</v>
      </c>
      <c r="F27" s="9"/>
      <c r="G27" s="6">
        <v>3620000</v>
      </c>
      <c r="H27" s="7">
        <f>IFERROR(AVERAGEIF([1]작품평!B:B,A27,[1]작품평!D:D),0)</f>
        <v>0</v>
      </c>
    </row>
    <row r="28" spans="1:8">
      <c r="A28" s="8" t="s">
        <v>104</v>
      </c>
      <c r="B28" s="9" t="s">
        <v>69</v>
      </c>
      <c r="C28" s="9" t="s">
        <v>105</v>
      </c>
      <c r="D28" s="9" t="s">
        <v>106</v>
      </c>
      <c r="E28" s="9" t="s">
        <v>98</v>
      </c>
      <c r="F28" s="9"/>
      <c r="G28" s="6">
        <v>510000</v>
      </c>
      <c r="H28" s="7">
        <f>IFERROR(AVERAGEIF([1]작품평!B:B,A28,[1]작품평!D:D),0)</f>
        <v>1</v>
      </c>
    </row>
    <row r="29" spans="1:8">
      <c r="A29" s="8" t="s">
        <v>107</v>
      </c>
      <c r="B29" s="9" t="s">
        <v>69</v>
      </c>
      <c r="C29" s="9" t="s">
        <v>108</v>
      </c>
      <c r="D29" s="9" t="s">
        <v>109</v>
      </c>
      <c r="E29" s="9" t="s">
        <v>98</v>
      </c>
      <c r="F29" s="9"/>
      <c r="G29" s="6">
        <v>1500000</v>
      </c>
      <c r="H29" s="7">
        <f>IFERROR(AVERAGEIF([1]작품평!B:B,A29,[1]작품평!D:D),0)</f>
        <v>2.5</v>
      </c>
    </row>
    <row r="30" spans="1:8">
      <c r="A30" s="8" t="s">
        <v>110</v>
      </c>
      <c r="B30" s="9" t="s">
        <v>69</v>
      </c>
      <c r="C30" s="9" t="s">
        <v>111</v>
      </c>
      <c r="D30" s="9" t="s">
        <v>112</v>
      </c>
      <c r="E30" s="9" t="s">
        <v>98</v>
      </c>
      <c r="F30" s="9"/>
      <c r="G30" s="6">
        <v>4950000</v>
      </c>
      <c r="H30" s="7">
        <f>IFERROR(AVERAGEIF([1]작품평!B:B,A30,[1]작품평!D:D),0)</f>
        <v>2.1666666666666665</v>
      </c>
    </row>
    <row r="31" spans="1:8">
      <c r="A31" s="8" t="s">
        <v>113</v>
      </c>
      <c r="B31" s="9" t="s">
        <v>69</v>
      </c>
      <c r="C31" s="9" t="s">
        <v>114</v>
      </c>
      <c r="D31" s="9" t="s">
        <v>115</v>
      </c>
      <c r="E31" s="9" t="s">
        <v>98</v>
      </c>
      <c r="F31" s="9"/>
      <c r="G31" s="6">
        <v>4950000</v>
      </c>
      <c r="H31" s="7">
        <f>IFERROR(AVERAGEIF([1]작품평!B:B,A31,[1]작품평!D:D),0)</f>
        <v>2.5</v>
      </c>
    </row>
    <row r="32" spans="1:8">
      <c r="A32" s="8" t="s">
        <v>116</v>
      </c>
      <c r="B32" s="9" t="s">
        <v>69</v>
      </c>
      <c r="C32" s="9" t="s">
        <v>117</v>
      </c>
      <c r="D32" s="9" t="s">
        <v>118</v>
      </c>
      <c r="E32" s="9" t="s">
        <v>98</v>
      </c>
      <c r="F32" s="9"/>
      <c r="G32" s="6">
        <v>2810000</v>
      </c>
      <c r="H32" s="7">
        <f>IFERROR(AVERAGEIF([1]작품평!B:B,A32,[1]작품평!D:D),0)</f>
        <v>2</v>
      </c>
    </row>
    <row r="33" spans="1:8">
      <c r="A33" s="8" t="s">
        <v>119</v>
      </c>
      <c r="B33" s="9" t="s">
        <v>120</v>
      </c>
      <c r="C33" s="9" t="s">
        <v>121</v>
      </c>
      <c r="D33" s="9" t="s">
        <v>122</v>
      </c>
      <c r="E33" s="9" t="s">
        <v>123</v>
      </c>
      <c r="F33" s="9"/>
      <c r="G33" s="6">
        <v>4900000</v>
      </c>
      <c r="H33" s="7">
        <f>IFERROR(AVERAGEIF([1]작품평!B:B,A33,[1]작품평!D:D),0)</f>
        <v>3</v>
      </c>
    </row>
    <row r="34" spans="1:8">
      <c r="A34" s="8" t="s">
        <v>124</v>
      </c>
      <c r="B34" s="9" t="s">
        <v>120</v>
      </c>
      <c r="C34" s="9" t="s">
        <v>125</v>
      </c>
      <c r="D34" s="9" t="s">
        <v>122</v>
      </c>
      <c r="E34" s="9" t="s">
        <v>126</v>
      </c>
      <c r="F34" s="9"/>
      <c r="G34" s="6">
        <v>1280000</v>
      </c>
      <c r="H34" s="7">
        <f>IFERROR(AVERAGEIF([1]작품평!B:B,A34,[1]작품평!D:D),0)</f>
        <v>2</v>
      </c>
    </row>
    <row r="35" spans="1:8">
      <c r="A35" s="8" t="s">
        <v>127</v>
      </c>
      <c r="B35" s="9" t="s">
        <v>120</v>
      </c>
      <c r="C35" s="9" t="s">
        <v>128</v>
      </c>
      <c r="D35" s="9" t="s">
        <v>129</v>
      </c>
      <c r="E35" s="9" t="s">
        <v>130</v>
      </c>
      <c r="F35" s="9"/>
      <c r="G35" s="6">
        <v>4750000</v>
      </c>
      <c r="H35" s="7">
        <f>IFERROR(AVERAGEIF([1]작품평!B:B,A35,[1]작품평!D:D),0)</f>
        <v>1.5</v>
      </c>
    </row>
    <row r="36" spans="1:8">
      <c r="A36" s="8" t="s">
        <v>131</v>
      </c>
      <c r="B36" s="9" t="s">
        <v>120</v>
      </c>
      <c r="C36" s="9" t="s">
        <v>132</v>
      </c>
      <c r="D36" s="9" t="s">
        <v>129</v>
      </c>
      <c r="E36" s="9" t="s">
        <v>98</v>
      </c>
      <c r="F36" s="9"/>
      <c r="G36" s="6">
        <v>2280000</v>
      </c>
      <c r="H36" s="7">
        <f>IFERROR(AVERAGEIF([1]작품평!B:B,A36,[1]작품평!D:D),0)</f>
        <v>4</v>
      </c>
    </row>
    <row r="37" spans="1:8">
      <c r="A37" s="8" t="s">
        <v>133</v>
      </c>
      <c r="B37" s="9" t="s">
        <v>120</v>
      </c>
      <c r="C37" s="9" t="s">
        <v>134</v>
      </c>
      <c r="D37" s="9" t="s">
        <v>135</v>
      </c>
      <c r="E37" s="9" t="s">
        <v>136</v>
      </c>
      <c r="F37" s="9"/>
      <c r="G37" s="6">
        <v>4180000</v>
      </c>
      <c r="H37" s="7">
        <f>IFERROR(AVERAGEIF([1]작품평!B:B,A37,[1]작품평!D:D),0)</f>
        <v>1</v>
      </c>
    </row>
    <row r="38" spans="1:8">
      <c r="A38" s="8" t="s">
        <v>137</v>
      </c>
      <c r="B38" s="9" t="s">
        <v>120</v>
      </c>
      <c r="C38" s="9" t="s">
        <v>138</v>
      </c>
      <c r="D38" s="9" t="s">
        <v>135</v>
      </c>
      <c r="E38" s="9" t="s">
        <v>98</v>
      </c>
      <c r="F38" s="9"/>
      <c r="G38" s="6">
        <v>500000</v>
      </c>
      <c r="H38" s="7">
        <f>IFERROR(AVERAGEIF([1]작품평!B:B,A38,[1]작품평!D:D),0)</f>
        <v>0</v>
      </c>
    </row>
    <row r="39" spans="1:8">
      <c r="A39" s="8" t="s">
        <v>139</v>
      </c>
      <c r="B39" s="9" t="s">
        <v>120</v>
      </c>
      <c r="C39" s="9" t="s">
        <v>140</v>
      </c>
      <c r="D39" s="9" t="s">
        <v>141</v>
      </c>
      <c r="E39" s="9" t="s">
        <v>98</v>
      </c>
      <c r="F39" s="9"/>
      <c r="G39" s="6">
        <v>1120000</v>
      </c>
      <c r="H39" s="7">
        <f>IFERROR(AVERAGEIF([1]작품평!B:B,A39,[1]작품평!D:D),0)</f>
        <v>4</v>
      </c>
    </row>
    <row r="40" spans="1:8">
      <c r="A40" s="8" t="s">
        <v>142</v>
      </c>
      <c r="B40" s="9" t="s">
        <v>120</v>
      </c>
      <c r="C40" s="9" t="s">
        <v>143</v>
      </c>
      <c r="D40" s="9" t="s">
        <v>144</v>
      </c>
      <c r="E40" s="9" t="s">
        <v>98</v>
      </c>
      <c r="F40" s="9"/>
      <c r="G40" s="6">
        <v>1850000</v>
      </c>
      <c r="H40" s="7">
        <f>IFERROR(AVERAGEIF([1]작품평!B:B,A40,[1]작품평!D:D),0)</f>
        <v>4.5</v>
      </c>
    </row>
    <row r="41" spans="1:8">
      <c r="A41" s="8" t="s">
        <v>145</v>
      </c>
      <c r="B41" s="9" t="s">
        <v>120</v>
      </c>
      <c r="C41" s="9" t="s">
        <v>146</v>
      </c>
      <c r="D41" s="9" t="s">
        <v>147</v>
      </c>
      <c r="E41" s="9" t="s">
        <v>98</v>
      </c>
      <c r="F41" s="9"/>
      <c r="G41" s="6">
        <v>3900000</v>
      </c>
      <c r="H41" s="7">
        <f>IFERROR(AVERAGEIF([1]작품평!B:B,A41,[1]작품평!D:D),0)</f>
        <v>4</v>
      </c>
    </row>
    <row r="42" spans="1:8">
      <c r="A42" s="8" t="s">
        <v>148</v>
      </c>
      <c r="B42" s="9" t="s">
        <v>120</v>
      </c>
      <c r="C42" s="9" t="s">
        <v>149</v>
      </c>
      <c r="D42" s="9" t="s">
        <v>150</v>
      </c>
      <c r="E42" s="9" t="s">
        <v>98</v>
      </c>
      <c r="F42" s="9"/>
      <c r="G42" s="6">
        <v>1140000</v>
      </c>
      <c r="H42" s="7">
        <f>IFERROR(AVERAGEIF([1]작품평!B:B,A42,[1]작품평!D:D),0)</f>
        <v>0</v>
      </c>
    </row>
    <row r="43" spans="1:8">
      <c r="A43" s="8" t="s">
        <v>151</v>
      </c>
      <c r="B43" s="9" t="s">
        <v>120</v>
      </c>
      <c r="C43" s="9" t="s">
        <v>152</v>
      </c>
      <c r="D43" s="9" t="s">
        <v>150</v>
      </c>
      <c r="E43" s="9" t="s">
        <v>98</v>
      </c>
      <c r="F43" s="9"/>
      <c r="G43" s="6">
        <v>4470000</v>
      </c>
      <c r="H43" s="7">
        <f>IFERROR(AVERAGEIF([1]작품평!B:B,A43,[1]작품평!D:D),0)</f>
        <v>3</v>
      </c>
    </row>
    <row r="44" spans="1:8">
      <c r="A44" s="8" t="s">
        <v>153</v>
      </c>
      <c r="B44" s="9" t="s">
        <v>120</v>
      </c>
      <c r="C44" s="9" t="s">
        <v>154</v>
      </c>
      <c r="D44" s="9" t="s">
        <v>155</v>
      </c>
      <c r="E44" s="9" t="s">
        <v>98</v>
      </c>
      <c r="F44" s="9"/>
      <c r="G44" s="6">
        <v>1930000</v>
      </c>
      <c r="H44" s="7">
        <f>IFERROR(AVERAGEIF([1]작품평!B:B,A44,[1]작품평!D:D),0)</f>
        <v>0</v>
      </c>
    </row>
    <row r="45" spans="1:8">
      <c r="A45" s="8" t="s">
        <v>156</v>
      </c>
      <c r="B45" s="9" t="s">
        <v>120</v>
      </c>
      <c r="C45" s="9" t="s">
        <v>157</v>
      </c>
      <c r="D45" s="9" t="s">
        <v>155</v>
      </c>
      <c r="E45" s="9" t="s">
        <v>98</v>
      </c>
      <c r="F45" s="9"/>
      <c r="G45" s="6">
        <v>3070000</v>
      </c>
      <c r="H45" s="7">
        <f>IFERROR(AVERAGEIF([1]작품평!B:B,A45,[1]작품평!D:D),0)</f>
        <v>2</v>
      </c>
    </row>
    <row r="46" spans="1:8">
      <c r="A46" s="8" t="s">
        <v>158</v>
      </c>
      <c r="B46" s="9" t="s">
        <v>120</v>
      </c>
      <c r="C46" s="9" t="s">
        <v>159</v>
      </c>
      <c r="D46" s="9" t="s">
        <v>160</v>
      </c>
      <c r="E46" s="9" t="s">
        <v>98</v>
      </c>
      <c r="F46" s="9"/>
      <c r="G46" s="6">
        <v>2010000</v>
      </c>
      <c r="H46" s="7">
        <f>IFERROR(AVERAGEIF([1]작품평!B:B,A46,[1]작품평!D:D),0)</f>
        <v>1</v>
      </c>
    </row>
    <row r="47" spans="1:8">
      <c r="A47" s="8" t="s">
        <v>161</v>
      </c>
      <c r="B47" s="9" t="s">
        <v>120</v>
      </c>
      <c r="C47" s="9" t="s">
        <v>162</v>
      </c>
      <c r="D47" s="9" t="s">
        <v>160</v>
      </c>
      <c r="E47" s="9" t="s">
        <v>98</v>
      </c>
      <c r="F47" s="9"/>
      <c r="G47" s="6">
        <v>1270000</v>
      </c>
      <c r="H47" s="7">
        <f>IFERROR(AVERAGEIF([1]작품평!B:B,A47,[1]작품평!D:D),0)</f>
        <v>3</v>
      </c>
    </row>
    <row r="48" spans="1:8">
      <c r="A48" s="8" t="s">
        <v>163</v>
      </c>
      <c r="B48" s="9" t="s">
        <v>120</v>
      </c>
      <c r="C48" s="9" t="s">
        <v>164</v>
      </c>
      <c r="D48" s="9" t="s">
        <v>165</v>
      </c>
      <c r="E48" s="9" t="s">
        <v>98</v>
      </c>
      <c r="F48" s="9"/>
      <c r="G48" s="6">
        <v>2110000</v>
      </c>
      <c r="H48" s="7">
        <f>IFERROR(AVERAGEIF([1]작품평!B:B,A48,[1]작품평!D:D),0)</f>
        <v>2.25</v>
      </c>
    </row>
    <row r="49" spans="1:8">
      <c r="A49" s="8" t="s">
        <v>166</v>
      </c>
      <c r="B49" s="9" t="s">
        <v>120</v>
      </c>
      <c r="C49" s="9" t="s">
        <v>167</v>
      </c>
      <c r="D49" s="9" t="s">
        <v>160</v>
      </c>
      <c r="E49" s="9" t="s">
        <v>98</v>
      </c>
      <c r="F49" s="9"/>
      <c r="G49" s="6">
        <v>3170000</v>
      </c>
      <c r="H49" s="7">
        <f>IFERROR(AVERAGEIF([1]작품평!B:B,A49,[1]작품평!D:D),0)</f>
        <v>4</v>
      </c>
    </row>
    <row r="50" spans="1:8">
      <c r="A50" s="8" t="s">
        <v>168</v>
      </c>
      <c r="B50" s="9" t="s">
        <v>120</v>
      </c>
      <c r="C50" s="9" t="s">
        <v>169</v>
      </c>
      <c r="D50" s="9" t="s">
        <v>170</v>
      </c>
      <c r="E50" s="9" t="s">
        <v>98</v>
      </c>
      <c r="F50" s="9"/>
      <c r="G50" s="6">
        <v>1040000</v>
      </c>
      <c r="H50" s="7">
        <f>IFERROR(AVERAGEIF([1]작품평!B:B,A50,[1]작품평!D:D),0)</f>
        <v>3.75</v>
      </c>
    </row>
    <row r="51" spans="1:8" ht="132">
      <c r="A51" s="8" t="s">
        <v>171</v>
      </c>
      <c r="B51" s="9" t="s">
        <v>172</v>
      </c>
      <c r="C51" s="9" t="s">
        <v>173</v>
      </c>
      <c r="D51" s="9" t="s">
        <v>174</v>
      </c>
      <c r="E51" s="10" t="s">
        <v>175</v>
      </c>
      <c r="F51" s="9"/>
      <c r="G51" s="6">
        <v>2550000</v>
      </c>
      <c r="H51" s="7">
        <f>IFERROR(AVERAGEIF([1]작품평!B:B,A51,[1]작품평!D:D),0)</f>
        <v>0</v>
      </c>
    </row>
    <row r="52" spans="1:8">
      <c r="A52" s="8" t="s">
        <v>176</v>
      </c>
      <c r="B52" s="9" t="s">
        <v>172</v>
      </c>
      <c r="C52" s="9" t="s">
        <v>177</v>
      </c>
      <c r="D52" s="9" t="s">
        <v>178</v>
      </c>
      <c r="E52" s="9" t="s">
        <v>179</v>
      </c>
      <c r="F52" s="9"/>
      <c r="G52" s="6">
        <v>1810000</v>
      </c>
      <c r="H52" s="7">
        <f>IFERROR(AVERAGEIF([1]작품평!B:B,A52,[1]작품평!D:D),0)</f>
        <v>0</v>
      </c>
    </row>
    <row r="53" spans="1:8">
      <c r="A53" s="8" t="s">
        <v>180</v>
      </c>
      <c r="B53" s="9" t="s">
        <v>172</v>
      </c>
      <c r="C53" s="9" t="s">
        <v>181</v>
      </c>
      <c r="D53" s="9" t="s">
        <v>178</v>
      </c>
      <c r="E53" s="9" t="s">
        <v>182</v>
      </c>
      <c r="F53" s="9"/>
      <c r="G53" s="6">
        <v>4930000</v>
      </c>
      <c r="H53" s="7">
        <f>IFERROR(AVERAGEIF([1]작품평!B:B,A53,[1]작품평!D:D),0)</f>
        <v>3.25</v>
      </c>
    </row>
    <row r="54" spans="1:8">
      <c r="A54" s="8" t="s">
        <v>183</v>
      </c>
      <c r="B54" s="9" t="s">
        <v>172</v>
      </c>
      <c r="C54" s="9" t="s">
        <v>184</v>
      </c>
      <c r="D54" s="9" t="s">
        <v>185</v>
      </c>
      <c r="E54" s="9" t="s">
        <v>186</v>
      </c>
      <c r="F54" s="9"/>
      <c r="G54" s="6">
        <v>1050000</v>
      </c>
      <c r="H54" s="7">
        <f>IFERROR(AVERAGEIF([1]작품평!B:B,A54,[1]작품평!D:D),0)</f>
        <v>0</v>
      </c>
    </row>
    <row r="55" spans="1:8">
      <c r="A55" s="8" t="s">
        <v>187</v>
      </c>
      <c r="B55" s="9" t="s">
        <v>172</v>
      </c>
      <c r="C55" s="9" t="s">
        <v>188</v>
      </c>
      <c r="D55" s="9" t="s">
        <v>189</v>
      </c>
      <c r="E55" s="9" t="s">
        <v>190</v>
      </c>
      <c r="F55" s="9"/>
      <c r="G55" s="6">
        <v>1040000</v>
      </c>
      <c r="H55" s="7">
        <f>IFERROR(AVERAGEIF([1]작품평!B:B,A55,[1]작품평!D:D),0)</f>
        <v>0</v>
      </c>
    </row>
    <row r="56" spans="1:8">
      <c r="A56" s="8" t="s">
        <v>191</v>
      </c>
      <c r="B56" s="9" t="s">
        <v>172</v>
      </c>
      <c r="C56" s="9" t="s">
        <v>192</v>
      </c>
      <c r="D56" s="9" t="s">
        <v>193</v>
      </c>
      <c r="E56" s="9" t="s">
        <v>98</v>
      </c>
      <c r="F56" s="9"/>
      <c r="G56" s="6">
        <v>4490000</v>
      </c>
      <c r="H56" s="7">
        <f>IFERROR(AVERAGEIF([1]작품평!B:B,A56,[1]작품평!D:D),0)</f>
        <v>1.5</v>
      </c>
    </row>
    <row r="57" spans="1:8">
      <c r="A57" s="8" t="s">
        <v>194</v>
      </c>
      <c r="B57" s="9" t="s">
        <v>172</v>
      </c>
      <c r="C57" s="9" t="s">
        <v>195</v>
      </c>
      <c r="D57" s="9" t="s">
        <v>196</v>
      </c>
      <c r="E57" s="9" t="s">
        <v>98</v>
      </c>
      <c r="F57" s="9"/>
      <c r="G57" s="6">
        <v>800000</v>
      </c>
      <c r="H57" s="7">
        <f>IFERROR(AVERAGEIF([1]작품평!B:B,A57,[1]작품평!D:D),0)</f>
        <v>0</v>
      </c>
    </row>
    <row r="58" spans="1:8">
      <c r="A58" s="8" t="s">
        <v>197</v>
      </c>
      <c r="B58" s="9" t="s">
        <v>172</v>
      </c>
      <c r="C58" s="9" t="s">
        <v>198</v>
      </c>
      <c r="D58" s="9" t="s">
        <v>199</v>
      </c>
      <c r="E58" s="9" t="s">
        <v>98</v>
      </c>
      <c r="F58" s="9"/>
      <c r="G58" s="6">
        <v>3110000</v>
      </c>
      <c r="H58" s="7">
        <f>IFERROR(AVERAGEIF([1]작품평!B:B,A58,[1]작품평!D:D),0)</f>
        <v>3</v>
      </c>
    </row>
    <row r="59" spans="1:8">
      <c r="A59" s="8" t="s">
        <v>200</v>
      </c>
      <c r="B59" s="9" t="s">
        <v>172</v>
      </c>
      <c r="C59" s="9" t="s">
        <v>201</v>
      </c>
      <c r="D59" s="9" t="s">
        <v>174</v>
      </c>
      <c r="E59" s="9" t="s">
        <v>98</v>
      </c>
      <c r="F59" s="9"/>
      <c r="G59" s="6">
        <v>2660000</v>
      </c>
      <c r="H59" s="7">
        <f>IFERROR(AVERAGEIF([1]작품평!B:B,A59,[1]작품평!D:D),0)</f>
        <v>1.5</v>
      </c>
    </row>
    <row r="60" spans="1:8">
      <c r="A60" s="8" t="s">
        <v>202</v>
      </c>
      <c r="B60" s="9" t="s">
        <v>172</v>
      </c>
      <c r="C60" s="9" t="s">
        <v>203</v>
      </c>
      <c r="D60" s="9" t="s">
        <v>204</v>
      </c>
      <c r="E60" s="9" t="s">
        <v>98</v>
      </c>
      <c r="F60" s="9"/>
      <c r="G60" s="6">
        <v>3090000</v>
      </c>
      <c r="H60" s="7">
        <f>IFERROR(AVERAGEIF([1]작품평!B:B,A60,[1]작품평!D:D),0)</f>
        <v>0</v>
      </c>
    </row>
    <row r="61" spans="1:8">
      <c r="A61" s="8" t="s">
        <v>205</v>
      </c>
      <c r="B61" s="9" t="s">
        <v>172</v>
      </c>
      <c r="C61" s="9" t="s">
        <v>206</v>
      </c>
      <c r="D61" s="9" t="s">
        <v>207</v>
      </c>
      <c r="E61" s="9" t="s">
        <v>98</v>
      </c>
      <c r="F61" s="9"/>
      <c r="G61" s="6">
        <v>1350000</v>
      </c>
      <c r="H61" s="7">
        <f>IFERROR(AVERAGEIF([1]작품평!B:B,A61,[1]작품평!D:D),0)</f>
        <v>0.5</v>
      </c>
    </row>
    <row r="62" spans="1:8">
      <c r="A62" s="8" t="s">
        <v>208</v>
      </c>
      <c r="B62" s="9" t="s">
        <v>172</v>
      </c>
      <c r="C62" s="9" t="s">
        <v>209</v>
      </c>
      <c r="D62" s="9" t="s">
        <v>210</v>
      </c>
      <c r="E62" s="9" t="s">
        <v>98</v>
      </c>
      <c r="F62" s="9"/>
      <c r="G62" s="6">
        <v>1740000</v>
      </c>
      <c r="H62" s="7">
        <f>IFERROR(AVERAGEIF([1]작품평!B:B,A62,[1]작품평!D:D),0)</f>
        <v>0</v>
      </c>
    </row>
    <row r="63" spans="1:8">
      <c r="A63" s="8" t="s">
        <v>211</v>
      </c>
      <c r="B63" s="9" t="s">
        <v>172</v>
      </c>
      <c r="C63" s="9" t="s">
        <v>212</v>
      </c>
      <c r="D63" s="9" t="s">
        <v>213</v>
      </c>
      <c r="E63" s="9" t="s">
        <v>98</v>
      </c>
      <c r="F63" s="9"/>
      <c r="G63" s="6">
        <v>2440000</v>
      </c>
      <c r="H63" s="7">
        <f>IFERROR(AVERAGEIF([1]작품평!B:B,A63,[1]작품평!D:D),0)</f>
        <v>0</v>
      </c>
    </row>
    <row r="64" spans="1:8">
      <c r="A64" s="8" t="s">
        <v>214</v>
      </c>
      <c r="B64" s="9" t="s">
        <v>172</v>
      </c>
      <c r="C64" s="9" t="s">
        <v>215</v>
      </c>
      <c r="D64" s="9" t="s">
        <v>216</v>
      </c>
      <c r="E64" s="9" t="s">
        <v>98</v>
      </c>
      <c r="F64" s="9"/>
      <c r="G64" s="6">
        <v>3430000</v>
      </c>
      <c r="H64" s="7">
        <f>IFERROR(AVERAGEIF([1]작품평!B:B,A64,[1]작품평!D:D),0)</f>
        <v>0</v>
      </c>
    </row>
    <row r="65" spans="1:8">
      <c r="A65" s="8" t="s">
        <v>217</v>
      </c>
      <c r="B65" s="9" t="s">
        <v>172</v>
      </c>
      <c r="C65" s="9" t="s">
        <v>218</v>
      </c>
      <c r="D65" s="9" t="s">
        <v>189</v>
      </c>
      <c r="E65" s="9" t="s">
        <v>98</v>
      </c>
      <c r="F65" s="9"/>
      <c r="G65" s="6">
        <v>2710000</v>
      </c>
      <c r="H65" s="7">
        <f>IFERROR(AVERAGEIF([1]작품평!B:B,A65,[1]작품평!D:D),0)</f>
        <v>0.5</v>
      </c>
    </row>
    <row r="66" spans="1:8">
      <c r="A66" s="8" t="s">
        <v>219</v>
      </c>
      <c r="B66" s="9" t="s">
        <v>172</v>
      </c>
      <c r="C66" s="9" t="s">
        <v>220</v>
      </c>
      <c r="D66" s="9" t="s">
        <v>221</v>
      </c>
      <c r="E66" s="9" t="s">
        <v>98</v>
      </c>
      <c r="F66" s="9"/>
      <c r="G66" s="6">
        <v>4210000</v>
      </c>
      <c r="H66" s="7">
        <f>IFERROR(AVERAGEIF([1]작품평!B:B,A66,[1]작품평!D:D),0)</f>
        <v>2.75</v>
      </c>
    </row>
    <row r="67" spans="1:8">
      <c r="A67" s="8" t="s">
        <v>222</v>
      </c>
      <c r="B67" s="9" t="s">
        <v>172</v>
      </c>
      <c r="C67" s="9" t="s">
        <v>223</v>
      </c>
      <c r="D67" s="9" t="s">
        <v>207</v>
      </c>
      <c r="E67" s="9" t="s">
        <v>98</v>
      </c>
      <c r="F67" s="9"/>
      <c r="G67" s="6">
        <v>3140000</v>
      </c>
      <c r="H67" s="7">
        <f>IFERROR(AVERAGEIF([1]작품평!B:B,A67,[1]작품평!D:D),0)</f>
        <v>2.25</v>
      </c>
    </row>
    <row r="68" spans="1:8">
      <c r="A68" s="8" t="s">
        <v>224</v>
      </c>
      <c r="B68" s="9" t="s">
        <v>172</v>
      </c>
      <c r="C68" s="9" t="s">
        <v>225</v>
      </c>
      <c r="D68" s="9" t="s">
        <v>196</v>
      </c>
      <c r="E68" s="9" t="s">
        <v>98</v>
      </c>
      <c r="F68" s="9"/>
      <c r="G68" s="6">
        <v>2070000</v>
      </c>
      <c r="H68" s="7">
        <f>IFERROR(AVERAGEIF([1]작품평!B:B,A68,[1]작품평!D:D),0)</f>
        <v>0</v>
      </c>
    </row>
    <row r="69" spans="1:8">
      <c r="A69" s="8" t="s">
        <v>226</v>
      </c>
      <c r="B69" s="9" t="s">
        <v>227</v>
      </c>
      <c r="C69" s="9" t="s">
        <v>228</v>
      </c>
      <c r="D69" s="9" t="s">
        <v>229</v>
      </c>
      <c r="E69" s="9" t="s">
        <v>230</v>
      </c>
      <c r="F69" s="9"/>
      <c r="G69" s="6">
        <v>1500000</v>
      </c>
      <c r="H69" s="7">
        <f>IFERROR(AVERAGEIF([1]작품평!B:B,A69,[1]작품평!D:D),0)</f>
        <v>0</v>
      </c>
    </row>
    <row r="70" spans="1:8">
      <c r="A70" s="8" t="s">
        <v>231</v>
      </c>
      <c r="B70" s="9" t="s">
        <v>227</v>
      </c>
      <c r="C70" s="9" t="s">
        <v>232</v>
      </c>
      <c r="D70" s="9" t="s">
        <v>233</v>
      </c>
      <c r="E70" s="9" t="s">
        <v>234</v>
      </c>
      <c r="F70" s="9"/>
      <c r="G70" s="6">
        <v>130000</v>
      </c>
      <c r="H70" s="7">
        <f>IFERROR(AVERAGEIF([1]작품평!B:B,A70,[1]작품평!D:D),0)</f>
        <v>2.5</v>
      </c>
    </row>
    <row r="71" spans="1:8">
      <c r="A71" s="8" t="s">
        <v>235</v>
      </c>
      <c r="B71" s="9" t="s">
        <v>227</v>
      </c>
      <c r="C71" s="9" t="s">
        <v>236</v>
      </c>
      <c r="D71" s="9" t="s">
        <v>237</v>
      </c>
      <c r="E71" s="9" t="s">
        <v>238</v>
      </c>
      <c r="F71" s="9"/>
      <c r="G71" s="6">
        <v>4000000</v>
      </c>
      <c r="H71" s="7">
        <f>IFERROR(AVERAGEIF([1]작품평!B:B,A71,[1]작품평!D:D),0)</f>
        <v>0.5</v>
      </c>
    </row>
    <row r="72" spans="1:8">
      <c r="A72" s="8" t="s">
        <v>239</v>
      </c>
      <c r="B72" s="9" t="s">
        <v>227</v>
      </c>
      <c r="C72" s="9" t="s">
        <v>240</v>
      </c>
      <c r="D72" s="9" t="s">
        <v>241</v>
      </c>
      <c r="E72" s="9" t="s">
        <v>242</v>
      </c>
      <c r="F72" s="9"/>
      <c r="G72" s="6">
        <v>2880000</v>
      </c>
      <c r="H72" s="7">
        <f>IFERROR(AVERAGEIF([1]작품평!B:B,A72,[1]작품평!D:D),0)</f>
        <v>0</v>
      </c>
    </row>
    <row r="73" spans="1:8">
      <c r="A73" s="8" t="s">
        <v>243</v>
      </c>
      <c r="B73" s="9" t="s">
        <v>227</v>
      </c>
      <c r="C73" s="9" t="s">
        <v>244</v>
      </c>
      <c r="D73" s="9" t="s">
        <v>245</v>
      </c>
      <c r="E73" s="9" t="s">
        <v>246</v>
      </c>
      <c r="F73" s="9"/>
      <c r="G73" s="6">
        <v>3630000</v>
      </c>
      <c r="H73" s="7">
        <f>IFERROR(AVERAGEIF([1]작품평!B:B,A73,[1]작품평!D:D),0)</f>
        <v>0</v>
      </c>
    </row>
    <row r="74" spans="1:8">
      <c r="A74" s="8" t="s">
        <v>247</v>
      </c>
      <c r="B74" s="9" t="s">
        <v>227</v>
      </c>
      <c r="C74" s="9" t="s">
        <v>248</v>
      </c>
      <c r="D74" s="9" t="s">
        <v>249</v>
      </c>
      <c r="E74" s="9" t="s">
        <v>98</v>
      </c>
      <c r="F74" s="9"/>
      <c r="G74" s="6">
        <v>4310000</v>
      </c>
      <c r="H74" s="7">
        <f>IFERROR(AVERAGEIF([1]작품평!B:B,A74,[1]작품평!D:D),0)</f>
        <v>3.5</v>
      </c>
    </row>
    <row r="75" spans="1:8">
      <c r="A75" s="8" t="s">
        <v>250</v>
      </c>
      <c r="B75" s="9" t="s">
        <v>227</v>
      </c>
      <c r="C75" s="9" t="s">
        <v>251</v>
      </c>
      <c r="D75" s="9" t="s">
        <v>249</v>
      </c>
      <c r="E75" s="9" t="s">
        <v>98</v>
      </c>
      <c r="F75" s="9"/>
      <c r="G75" s="6">
        <v>4220000</v>
      </c>
      <c r="H75" s="7">
        <f>IFERROR(AVERAGEIF([1]작품평!B:B,A75,[1]작품평!D:D),0)</f>
        <v>3.1666666666666665</v>
      </c>
    </row>
    <row r="76" spans="1:8">
      <c r="A76" s="8" t="s">
        <v>252</v>
      </c>
      <c r="B76" s="9" t="s">
        <v>227</v>
      </c>
      <c r="C76" s="9" t="s">
        <v>253</v>
      </c>
      <c r="D76" s="9" t="s">
        <v>254</v>
      </c>
      <c r="E76" s="9" t="s">
        <v>98</v>
      </c>
      <c r="F76" s="9"/>
      <c r="G76" s="6">
        <v>160000</v>
      </c>
      <c r="H76" s="7">
        <f>IFERROR(AVERAGEIF([1]작품평!B:B,A76,[1]작품평!D:D),0)</f>
        <v>0</v>
      </c>
    </row>
    <row r="77" spans="1:8">
      <c r="A77" s="8" t="s">
        <v>255</v>
      </c>
      <c r="B77" s="9" t="s">
        <v>227</v>
      </c>
      <c r="C77" s="9" t="s">
        <v>256</v>
      </c>
      <c r="D77" s="9" t="s">
        <v>257</v>
      </c>
      <c r="E77" s="9" t="s">
        <v>98</v>
      </c>
      <c r="F77" s="9"/>
      <c r="G77" s="6">
        <v>250000</v>
      </c>
      <c r="H77" s="7">
        <f>IFERROR(AVERAGEIF([1]작품평!B:B,A77,[1]작품평!D:D),0)</f>
        <v>0</v>
      </c>
    </row>
    <row r="78" spans="1:8">
      <c r="A78" s="8" t="s">
        <v>258</v>
      </c>
      <c r="B78" s="9" t="s">
        <v>227</v>
      </c>
      <c r="C78" s="9" t="s">
        <v>259</v>
      </c>
      <c r="D78" s="9" t="s">
        <v>241</v>
      </c>
      <c r="E78" s="9" t="s">
        <v>98</v>
      </c>
      <c r="F78" s="9"/>
      <c r="G78" s="6">
        <v>850000</v>
      </c>
      <c r="H78" s="7">
        <f>IFERROR(AVERAGEIF([1]작품평!B:B,A78,[1]작품평!D:D),0)</f>
        <v>3</v>
      </c>
    </row>
    <row r="79" spans="1:8">
      <c r="A79" s="8" t="s">
        <v>260</v>
      </c>
      <c r="B79" s="9" t="s">
        <v>227</v>
      </c>
      <c r="C79" s="9" t="s">
        <v>261</v>
      </c>
      <c r="D79" s="9" t="s">
        <v>262</v>
      </c>
      <c r="E79" s="9" t="s">
        <v>98</v>
      </c>
      <c r="F79" s="9"/>
      <c r="G79" s="6">
        <v>3210000</v>
      </c>
      <c r="H79" s="7">
        <f>IFERROR(AVERAGEIF([1]작품평!B:B,A79,[1]작품평!D:D),0)</f>
        <v>4.5</v>
      </c>
    </row>
    <row r="80" spans="1:8">
      <c r="A80" s="8" t="s">
        <v>263</v>
      </c>
      <c r="B80" s="9" t="s">
        <v>227</v>
      </c>
      <c r="C80" s="9" t="s">
        <v>264</v>
      </c>
      <c r="D80" s="9" t="s">
        <v>254</v>
      </c>
      <c r="E80" s="9" t="s">
        <v>98</v>
      </c>
      <c r="F80" s="9"/>
      <c r="G80" s="6">
        <v>3880000</v>
      </c>
      <c r="H80" s="7">
        <f>IFERROR(AVERAGEIF([1]작품평!B:B,A80,[1]작품평!D:D),0)</f>
        <v>0</v>
      </c>
    </row>
    <row r="81" spans="1:8">
      <c r="A81" s="8" t="s">
        <v>265</v>
      </c>
      <c r="B81" s="9" t="s">
        <v>227</v>
      </c>
      <c r="C81" s="9" t="s">
        <v>266</v>
      </c>
      <c r="D81" s="9" t="s">
        <v>245</v>
      </c>
      <c r="E81" s="9" t="s">
        <v>98</v>
      </c>
      <c r="F81" s="9"/>
      <c r="G81" s="6">
        <v>4340000</v>
      </c>
      <c r="H81" s="7">
        <f>IFERROR(AVERAGEIF([1]작품평!B:B,A81,[1]작품평!D:D),0)</f>
        <v>2.25</v>
      </c>
    </row>
    <row r="82" spans="1:8">
      <c r="A82" s="8" t="s">
        <v>267</v>
      </c>
      <c r="B82" s="9" t="s">
        <v>227</v>
      </c>
      <c r="C82" s="9" t="s">
        <v>268</v>
      </c>
      <c r="D82" s="9" t="s">
        <v>233</v>
      </c>
      <c r="E82" s="9" t="s">
        <v>98</v>
      </c>
      <c r="F82" s="9"/>
      <c r="G82" s="6">
        <v>1850000</v>
      </c>
      <c r="H82" s="7">
        <f>IFERROR(AVERAGEIF([1]작품평!B:B,A82,[1]작품평!D:D),0)</f>
        <v>0</v>
      </c>
    </row>
    <row r="83" spans="1:8">
      <c r="A83" s="8" t="s">
        <v>269</v>
      </c>
      <c r="B83" s="9" t="s">
        <v>227</v>
      </c>
      <c r="C83" s="9" t="s">
        <v>270</v>
      </c>
      <c r="D83" s="9" t="s">
        <v>233</v>
      </c>
      <c r="E83" s="9" t="s">
        <v>98</v>
      </c>
      <c r="F83" s="9"/>
      <c r="G83" s="6">
        <v>4770000</v>
      </c>
      <c r="H83" s="7">
        <f>IFERROR(AVERAGEIF([1]작품평!B:B,A83,[1]작품평!D:D),0)</f>
        <v>0</v>
      </c>
    </row>
    <row r="84" spans="1:8">
      <c r="A84" s="8" t="s">
        <v>271</v>
      </c>
      <c r="B84" s="9" t="s">
        <v>227</v>
      </c>
      <c r="C84" s="9" t="s">
        <v>272</v>
      </c>
      <c r="D84" s="9" t="s">
        <v>237</v>
      </c>
      <c r="E84" s="9" t="s">
        <v>98</v>
      </c>
      <c r="F84" s="9"/>
      <c r="G84" s="6">
        <v>1970000</v>
      </c>
      <c r="H84" s="7">
        <f>IFERROR(AVERAGEIF([1]작품평!B:B,A84,[1]작품평!D:D),0)</f>
        <v>0</v>
      </c>
    </row>
    <row r="85" spans="1:8">
      <c r="A85" s="11" t="s">
        <v>273</v>
      </c>
      <c r="B85" s="12" t="s">
        <v>227</v>
      </c>
      <c r="C85" s="12" t="s">
        <v>274</v>
      </c>
      <c r="D85" s="12" t="s">
        <v>249</v>
      </c>
      <c r="E85" s="12" t="s">
        <v>98</v>
      </c>
      <c r="F85" s="12"/>
      <c r="G85" s="13">
        <v>1090000</v>
      </c>
      <c r="H85" s="7">
        <f>IFERROR(AVERAGEIF([1]작품평!B:B,A85,[1]작품평!D:D),0)</f>
        <v>0</v>
      </c>
    </row>
  </sheetData>
  <phoneticPr fontId="3" type="noConversion"/>
  <conditionalFormatting sqref="A1:H85">
    <cfRule type="expression" dxfId="2" priority="2">
      <formula>OR($G1=$O$2,$G1=$O$3,$G1=$O$4,$G1=$O$5,$G1=$O$6)</formula>
    </cfRule>
    <cfRule type="expression" dxfId="1" priority="3">
      <formula>A1&lt;&gt;""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AD9492F-D20C-4BAB-AD0A-F304167A813F}">
            <xm:f>IFERROR(MATCH($A2,'\Users\영재01\Documents\Desktop\엑셀출제\[과제.xlsm]구매내역'!#REF!,0),"")&lt;&gt;""</xm:f>
            <x14:dxf>
              <font>
                <b/>
                <i val="0"/>
                <strike/>
                <color rgb="FFFF0000"/>
              </font>
            </x14:dxf>
          </x14:cfRule>
          <xm:sqref>A2:H85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P13:W27"/>
  <sheetViews>
    <sheetView topLeftCell="A4" zoomScaleNormal="100" workbookViewId="0">
      <selection activeCell="P8" sqref="P8"/>
    </sheetView>
  </sheetViews>
  <sheetFormatPr defaultRowHeight="16.5"/>
  <cols>
    <col min="16" max="16" width="18.625" customWidth="1"/>
    <col min="17" max="17" width="11.875" customWidth="1"/>
    <col min="18" max="20" width="9.25" customWidth="1"/>
    <col min="21" max="21" width="11.25" customWidth="1"/>
    <col min="22" max="22" width="7.375" customWidth="1"/>
    <col min="23" max="30" width="10.5" customWidth="1"/>
    <col min="31" max="92" width="12.375" customWidth="1"/>
    <col min="93" max="93" width="8.875" customWidth="1"/>
    <col min="94" max="94" width="9.625" customWidth="1"/>
    <col min="95" max="97" width="8.5" customWidth="1"/>
    <col min="98" max="104" width="9.625" customWidth="1"/>
    <col min="105" max="105" width="16.125" bestFit="1" customWidth="1"/>
    <col min="106" max="106" width="12" customWidth="1"/>
    <col min="107" max="184" width="15.875" bestFit="1" customWidth="1"/>
    <col min="185" max="185" width="20.75" bestFit="1" customWidth="1"/>
  </cols>
  <sheetData>
    <row r="13" spans="16:22">
      <c r="P13" s="14" t="s">
        <v>277</v>
      </c>
      <c r="Q13" s="14" t="s">
        <v>278</v>
      </c>
    </row>
    <row r="14" spans="16:22">
      <c r="P14" s="14" t="s">
        <v>275</v>
      </c>
      <c r="Q14" t="s">
        <v>279</v>
      </c>
      <c r="R14" t="s">
        <v>280</v>
      </c>
      <c r="S14" t="s">
        <v>281</v>
      </c>
      <c r="T14" t="s">
        <v>282</v>
      </c>
      <c r="U14" t="s">
        <v>283</v>
      </c>
      <c r="V14" t="s">
        <v>276</v>
      </c>
    </row>
    <row r="15" spans="16:22">
      <c r="P15" s="17" t="s">
        <v>284</v>
      </c>
      <c r="Q15" s="16">
        <v>4</v>
      </c>
      <c r="R15" s="16">
        <v>4</v>
      </c>
      <c r="S15" s="16">
        <v>1</v>
      </c>
      <c r="T15" s="16">
        <v>1</v>
      </c>
      <c r="U15" s="16">
        <v>4</v>
      </c>
      <c r="V15" s="16">
        <v>14</v>
      </c>
    </row>
    <row r="16" spans="16:22">
      <c r="P16" s="17" t="s">
        <v>285</v>
      </c>
      <c r="Q16" s="16">
        <v>1</v>
      </c>
      <c r="R16" s="16">
        <v>3</v>
      </c>
      <c r="S16" s="16">
        <v>7</v>
      </c>
      <c r="T16" s="16">
        <v>5</v>
      </c>
      <c r="U16" s="16">
        <v>4</v>
      </c>
      <c r="V16" s="16">
        <v>20</v>
      </c>
    </row>
    <row r="17" spans="16:23">
      <c r="P17" s="17" t="s">
        <v>286</v>
      </c>
      <c r="Q17" s="16">
        <v>7</v>
      </c>
      <c r="R17" s="16">
        <v>2</v>
      </c>
      <c r="S17" s="16">
        <v>3</v>
      </c>
      <c r="T17" s="16">
        <v>5</v>
      </c>
      <c r="U17" s="16">
        <v>1</v>
      </c>
      <c r="V17" s="16">
        <v>18</v>
      </c>
    </row>
    <row r="18" spans="16:23">
      <c r="P18" s="17" t="s">
        <v>287</v>
      </c>
      <c r="Q18" s="16">
        <v>2</v>
      </c>
      <c r="R18" s="16">
        <v>1</v>
      </c>
      <c r="S18" s="16">
        <v>3</v>
      </c>
      <c r="T18" s="16">
        <v>4</v>
      </c>
      <c r="U18" s="16">
        <v>3</v>
      </c>
      <c r="V18" s="16">
        <v>13</v>
      </c>
    </row>
    <row r="19" spans="16:23">
      <c r="P19" s="17" t="s">
        <v>288</v>
      </c>
      <c r="Q19" s="16">
        <v>2</v>
      </c>
      <c r="R19" s="16">
        <v>5</v>
      </c>
      <c r="S19" s="16">
        <v>4</v>
      </c>
      <c r="T19" s="16">
        <v>3</v>
      </c>
      <c r="U19" s="16">
        <v>5</v>
      </c>
      <c r="V19" s="16">
        <v>19</v>
      </c>
    </row>
    <row r="20" spans="16:23">
      <c r="P20" s="17" t="s">
        <v>276</v>
      </c>
      <c r="Q20" s="16">
        <v>16</v>
      </c>
      <c r="R20" s="16">
        <v>15</v>
      </c>
      <c r="S20" s="16">
        <v>18</v>
      </c>
      <c r="T20" s="16">
        <v>18</v>
      </c>
      <c r="U20" s="16">
        <v>17</v>
      </c>
      <c r="V20" s="16">
        <v>84</v>
      </c>
    </row>
    <row r="23" spans="16:23">
      <c r="Q23">
        <f>MAX(Q15:U15)</f>
        <v>4</v>
      </c>
      <c r="S23">
        <f>IF($Q23=Q15,COLUMN(Q15) - 16,"")</f>
        <v>1</v>
      </c>
      <c r="T23">
        <f t="shared" ref="T23:W23" si="0">IF($Q23=R15,COLUMN(R15) - 16,"")</f>
        <v>2</v>
      </c>
      <c r="U23" t="str">
        <f t="shared" si="0"/>
        <v/>
      </c>
      <c r="V23" t="str">
        <f t="shared" si="0"/>
        <v/>
      </c>
      <c r="W23">
        <f t="shared" si="0"/>
        <v>5</v>
      </c>
    </row>
    <row r="24" spans="16:23">
      <c r="Q24">
        <f t="shared" ref="Q24:Q26" si="1">MAX(Q16:U16)</f>
        <v>7</v>
      </c>
      <c r="S24" t="str">
        <f t="shared" ref="S24:S27" si="2">IF($Q24=Q16,COLUMN(Q16) - 16,"")</f>
        <v/>
      </c>
      <c r="T24" t="str">
        <f t="shared" ref="T24:T27" si="3">IF($Q24=R16,COLUMN(R16) - 16,"")</f>
        <v/>
      </c>
      <c r="U24">
        <f t="shared" ref="U24:U27" si="4">IF($Q24=S16,COLUMN(S16) - 16,"")</f>
        <v>3</v>
      </c>
      <c r="V24" t="str">
        <f t="shared" ref="V24:V27" si="5">IF($Q24=T16,COLUMN(T16) - 16,"")</f>
        <v/>
      </c>
      <c r="W24" t="str">
        <f t="shared" ref="W24:W27" si="6">IF($Q24=U16,COLUMN(U16) - 16,"")</f>
        <v/>
      </c>
    </row>
    <row r="25" spans="16:23">
      <c r="Q25">
        <f t="shared" si="1"/>
        <v>7</v>
      </c>
      <c r="S25">
        <f t="shared" si="2"/>
        <v>1</v>
      </c>
      <c r="T25" t="str">
        <f t="shared" si="3"/>
        <v/>
      </c>
      <c r="U25" t="str">
        <f t="shared" si="4"/>
        <v/>
      </c>
      <c r="V25" t="str">
        <f t="shared" si="5"/>
        <v/>
      </c>
      <c r="W25" t="str">
        <f t="shared" si="6"/>
        <v/>
      </c>
    </row>
    <row r="26" spans="16:23">
      <c r="Q26">
        <f t="shared" si="1"/>
        <v>4</v>
      </c>
      <c r="S26" t="str">
        <f t="shared" si="2"/>
        <v/>
      </c>
      <c r="T26" t="str">
        <f t="shared" si="3"/>
        <v/>
      </c>
      <c r="U26" t="str">
        <f t="shared" si="4"/>
        <v/>
      </c>
      <c r="V26">
        <f t="shared" si="5"/>
        <v>4</v>
      </c>
      <c r="W26" t="str">
        <f t="shared" si="6"/>
        <v/>
      </c>
    </row>
    <row r="27" spans="16:23">
      <c r="Q27">
        <f>MAX(Q19:U19)</f>
        <v>5</v>
      </c>
      <c r="S27" t="str">
        <f t="shared" si="2"/>
        <v/>
      </c>
      <c r="T27">
        <f t="shared" si="3"/>
        <v>2</v>
      </c>
      <c r="U27" t="str">
        <f t="shared" si="4"/>
        <v/>
      </c>
      <c r="V27" t="str">
        <f t="shared" si="5"/>
        <v/>
      </c>
      <c r="W27">
        <f t="shared" si="6"/>
        <v>5</v>
      </c>
    </row>
  </sheetData>
  <phoneticPr fontId="3" type="noConversion"/>
  <pageMargins left="0.7" right="0.7" top="0.75" bottom="0.75" header="0.3" footer="0.3"/>
  <pageSetup paperSize="9" orientation="portrait" horizontalDpi="0" verticalDpi="0" r:id="rId2"/>
  <drawing r:id="rId3"/>
  <legacyDrawing r:id="rId4"/>
  <controls>
    <mc:AlternateContent xmlns:mc="http://schemas.openxmlformats.org/markup-compatibility/2006">
      <mc:Choice Requires="x14">
        <control shapeId="2049" r:id="rId5" name="CommandButton1">
          <controlPr defaultSize="0" autoLine="0" autoPict="0" r:id="rId6">
            <anchor moveWithCells="1">
              <from>
                <xdr:col>15</xdr:col>
                <xdr:colOff>0</xdr:colOff>
                <xdr:row>27</xdr:row>
                <xdr:rowOff>0</xdr:rowOff>
              </from>
              <to>
                <xdr:col>16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4:F43"/>
  <sheetViews>
    <sheetView tabSelected="1" topLeftCell="C33" zoomScale="85" zoomScaleNormal="85" workbookViewId="0">
      <selection activeCell="Q37" sqref="Q37"/>
    </sheetView>
  </sheetViews>
  <sheetFormatPr defaultRowHeight="16.5"/>
  <cols>
    <col min="4" max="4" width="12.75" customWidth="1"/>
    <col min="5" max="5" width="12" customWidth="1"/>
    <col min="6" max="14" width="16" customWidth="1"/>
    <col min="15" max="15" width="21" customWidth="1"/>
    <col min="16" max="16" width="9.625" customWidth="1"/>
    <col min="17" max="17" width="10.875" customWidth="1"/>
    <col min="18" max="18" width="9.625" customWidth="1"/>
    <col min="19" max="19" width="10.875" customWidth="1"/>
    <col min="20" max="20" width="9.625" customWidth="1"/>
    <col min="21" max="21" width="10.875" customWidth="1"/>
    <col min="22" max="22" width="9.625" customWidth="1"/>
    <col min="23" max="23" width="10.875" customWidth="1"/>
    <col min="24" max="24" width="9.625" customWidth="1"/>
    <col min="25" max="25" width="10.875" customWidth="1"/>
    <col min="26" max="26" width="9.625" customWidth="1"/>
    <col min="27" max="27" width="10.875" customWidth="1"/>
    <col min="28" max="28" width="9.625" customWidth="1"/>
    <col min="29" max="29" width="10.875" customWidth="1"/>
    <col min="30" max="30" width="9.625" customWidth="1"/>
    <col min="31" max="31" width="10.875" customWidth="1"/>
    <col min="32" max="32" width="9.625" customWidth="1"/>
    <col min="33" max="33" width="10.875" customWidth="1"/>
    <col min="34" max="34" width="9.625" customWidth="1"/>
    <col min="35" max="35" width="10.875" customWidth="1"/>
    <col min="36" max="36" width="9.625" customWidth="1"/>
    <col min="37" max="37" width="10.875" customWidth="1"/>
    <col min="38" max="38" width="9.625" customWidth="1"/>
    <col min="39" max="39" width="10.875" customWidth="1"/>
    <col min="40" max="40" width="9.625" customWidth="1"/>
    <col min="41" max="41" width="11.25" customWidth="1"/>
    <col min="42" max="42" width="9.625" customWidth="1"/>
    <col min="43" max="43" width="11.25" customWidth="1"/>
    <col min="44" max="44" width="9.625" customWidth="1"/>
    <col min="45" max="45" width="11.25" customWidth="1"/>
    <col min="46" max="46" width="9.625" customWidth="1"/>
    <col min="47" max="47" width="11.25" customWidth="1"/>
    <col min="48" max="48" width="9.625" customWidth="1"/>
    <col min="49" max="49" width="11.25" customWidth="1"/>
    <col min="50" max="50" width="9.625" customWidth="1"/>
    <col min="51" max="51" width="11.25" customWidth="1"/>
    <col min="52" max="52" width="9.625" customWidth="1"/>
    <col min="53" max="53" width="11.25" customWidth="1"/>
    <col min="54" max="54" width="9.25" customWidth="1"/>
    <col min="55" max="55" width="11.25" customWidth="1"/>
    <col min="56" max="56" width="9.625" customWidth="1"/>
    <col min="57" max="57" width="11.25" customWidth="1"/>
    <col min="58" max="58" width="9.625" customWidth="1"/>
    <col min="59" max="59" width="11.25" customWidth="1"/>
    <col min="60" max="60" width="9.25" customWidth="1"/>
    <col min="61" max="61" width="11.25" customWidth="1"/>
    <col min="62" max="62" width="9.25" customWidth="1"/>
    <col min="63" max="63" width="11.25" customWidth="1"/>
    <col min="64" max="64" width="9.625" customWidth="1"/>
    <col min="65" max="65" width="11.25" customWidth="1"/>
    <col min="66" max="66" width="9.25" customWidth="1"/>
    <col min="67" max="67" width="11.25" customWidth="1"/>
    <col min="68" max="68" width="9.625" customWidth="1"/>
    <col min="69" max="69" width="11.25" customWidth="1"/>
    <col min="70" max="70" width="9.625" customWidth="1"/>
    <col min="71" max="72" width="11.25" customWidth="1"/>
    <col min="73" max="73" width="10.875" customWidth="1"/>
    <col min="74" max="74" width="11.25" customWidth="1"/>
    <col min="75" max="75" width="10.875" customWidth="1"/>
    <col min="76" max="76" width="11.25" customWidth="1"/>
    <col min="77" max="77" width="10.875" customWidth="1"/>
    <col min="78" max="78" width="11.25" customWidth="1"/>
    <col min="79" max="79" width="10.875" customWidth="1"/>
    <col min="80" max="80" width="11.25" customWidth="1"/>
    <col min="81" max="81" width="10.875" customWidth="1"/>
    <col min="82" max="82" width="11.25" customWidth="1"/>
    <col min="83" max="83" width="10.875" customWidth="1"/>
    <col min="84" max="84" width="11.25" customWidth="1"/>
    <col min="85" max="85" width="10.875" customWidth="1"/>
    <col min="86" max="86" width="11.25" customWidth="1"/>
    <col min="87" max="87" width="10.875" customWidth="1"/>
    <col min="88" max="88" width="11.25" customWidth="1"/>
    <col min="89" max="89" width="10.875" customWidth="1"/>
    <col min="90" max="90" width="11.25" customWidth="1"/>
    <col min="91" max="91" width="10.875" customWidth="1"/>
    <col min="92" max="92" width="11.25" customWidth="1"/>
    <col min="93" max="93" width="10.875" customWidth="1"/>
    <col min="94" max="94" width="11.25" customWidth="1"/>
    <col min="95" max="95" width="10.875" customWidth="1"/>
    <col min="96" max="96" width="11.25" customWidth="1"/>
    <col min="97" max="97" width="10.875" customWidth="1"/>
    <col min="98" max="98" width="11.25" customWidth="1"/>
    <col min="99" max="99" width="10.875" customWidth="1"/>
    <col min="100" max="100" width="11.25" customWidth="1"/>
    <col min="101" max="101" width="10.875" customWidth="1"/>
    <col min="102" max="102" width="11.25" customWidth="1"/>
    <col min="103" max="103" width="10.875" customWidth="1"/>
    <col min="104" max="104" width="11.25" customWidth="1"/>
    <col min="105" max="105" width="10.875" customWidth="1"/>
    <col min="106" max="106" width="9.25" customWidth="1"/>
    <col min="107" max="107" width="10.625" customWidth="1"/>
    <col min="108" max="108" width="9.25" customWidth="1"/>
    <col min="109" max="109" width="10.625" customWidth="1"/>
    <col min="110" max="110" width="9.625" customWidth="1"/>
    <col min="111" max="111" width="10.625" customWidth="1"/>
    <col min="112" max="112" width="9.625" customWidth="1"/>
    <col min="113" max="113" width="10.625" customWidth="1"/>
    <col min="114" max="114" width="9.625" customWidth="1"/>
    <col min="115" max="115" width="10.625" customWidth="1"/>
    <col min="116" max="116" width="9.625" customWidth="1"/>
    <col min="117" max="117" width="10.625" customWidth="1"/>
    <col min="118" max="118" width="9.25" customWidth="1"/>
    <col min="119" max="119" width="10.625" customWidth="1"/>
    <col min="120" max="120" width="9.625" customWidth="1"/>
    <col min="121" max="121" width="10.625" customWidth="1"/>
    <col min="122" max="122" width="9.625" customWidth="1"/>
    <col min="123" max="123" width="10.625" customWidth="1"/>
    <col min="124" max="124" width="9.625" customWidth="1"/>
    <col min="125" max="125" width="10.625" customWidth="1"/>
    <col min="126" max="126" width="9.25" customWidth="1"/>
    <col min="127" max="127" width="10.625" customWidth="1"/>
    <col min="128" max="128" width="9.625" customWidth="1"/>
    <col min="129" max="129" width="10.625" customWidth="1"/>
    <col min="130" max="130" width="9.625" customWidth="1"/>
    <col min="131" max="131" width="10.625" customWidth="1"/>
    <col min="132" max="132" width="9.625" customWidth="1"/>
    <col min="133" max="133" width="10.625" customWidth="1"/>
    <col min="134" max="134" width="9.625" customWidth="1"/>
    <col min="135" max="135" width="10.625" customWidth="1"/>
    <col min="136" max="136" width="9.625" customWidth="1"/>
    <col min="137" max="137" width="10.875" customWidth="1"/>
    <col min="138" max="138" width="9.625" customWidth="1"/>
    <col min="139" max="139" width="10.875" customWidth="1"/>
    <col min="140" max="140" width="9.625" customWidth="1"/>
    <col min="141" max="141" width="10.875" customWidth="1"/>
    <col min="142" max="142" width="9.625" customWidth="1"/>
    <col min="143" max="143" width="10.875" customWidth="1"/>
    <col min="144" max="144" width="9.625" customWidth="1"/>
    <col min="145" max="145" width="10.875" customWidth="1"/>
    <col min="146" max="146" width="9.625" customWidth="1"/>
    <col min="147" max="147" width="10.875" customWidth="1"/>
    <col min="148" max="148" width="9.25" customWidth="1"/>
    <col min="149" max="149" width="10.875" customWidth="1"/>
    <col min="150" max="150" width="9.625" customWidth="1"/>
    <col min="151" max="151" width="10.875" customWidth="1"/>
    <col min="152" max="152" width="9.625" customWidth="1"/>
    <col min="153" max="153" width="10.875" customWidth="1"/>
    <col min="154" max="154" width="9.625" customWidth="1"/>
    <col min="155" max="155" width="10.875" customWidth="1"/>
    <col min="156" max="156" width="9.625" customWidth="1"/>
    <col min="157" max="157" width="10.875" customWidth="1"/>
    <col min="158" max="158" width="9.625" customWidth="1"/>
    <col min="159" max="159" width="10.875" customWidth="1"/>
    <col min="160" max="160" width="9.625" customWidth="1"/>
    <col min="161" max="161" width="10.875" customWidth="1"/>
    <col min="162" max="162" width="9.625" customWidth="1"/>
    <col min="163" max="163" width="10.875" customWidth="1"/>
    <col min="164" max="164" width="9.625" customWidth="1"/>
    <col min="165" max="165" width="10.875" customWidth="1"/>
    <col min="166" max="166" width="9.625" customWidth="1"/>
    <col min="167" max="167" width="10.875" customWidth="1"/>
    <col min="168" max="168" width="9.625" customWidth="1"/>
    <col min="169" max="169" width="10.875" customWidth="1"/>
    <col min="170" max="170" width="9.625" customWidth="1"/>
    <col min="171" max="171" width="10.875" customWidth="1"/>
    <col min="172" max="172" width="16" bestFit="1" customWidth="1"/>
    <col min="173" max="173" width="10.875" customWidth="1"/>
    <col min="174" max="174" width="9.25" bestFit="1" customWidth="1"/>
    <col min="175" max="175" width="10.875" bestFit="1" customWidth="1"/>
    <col min="176" max="176" width="9.25" bestFit="1" customWidth="1"/>
    <col min="177" max="177" width="10.875" bestFit="1" customWidth="1"/>
    <col min="178" max="178" width="9.25" bestFit="1" customWidth="1"/>
    <col min="179" max="179" width="10.875" bestFit="1" customWidth="1"/>
    <col min="180" max="180" width="9.25" bestFit="1" customWidth="1"/>
    <col min="181" max="181" width="10.875" bestFit="1" customWidth="1"/>
    <col min="182" max="182" width="9.25" bestFit="1" customWidth="1"/>
    <col min="183" max="183" width="10.875" bestFit="1" customWidth="1"/>
    <col min="184" max="184" width="9.25" bestFit="1" customWidth="1"/>
    <col min="185" max="185" width="10.875" bestFit="1" customWidth="1"/>
    <col min="186" max="186" width="9.25" bestFit="1" customWidth="1"/>
    <col min="187" max="187" width="10.875" bestFit="1" customWidth="1"/>
    <col min="188" max="188" width="9.25" bestFit="1" customWidth="1"/>
    <col min="189" max="189" width="10.875" bestFit="1" customWidth="1"/>
    <col min="190" max="190" width="9.25" bestFit="1" customWidth="1"/>
    <col min="191" max="191" width="10.875" bestFit="1" customWidth="1"/>
    <col min="192" max="192" width="9.25" bestFit="1" customWidth="1"/>
    <col min="193" max="193" width="10.875" bestFit="1" customWidth="1"/>
    <col min="194" max="194" width="9.25" bestFit="1" customWidth="1"/>
    <col min="195" max="195" width="10.875" bestFit="1" customWidth="1"/>
    <col min="196" max="196" width="9.25" bestFit="1" customWidth="1"/>
    <col min="197" max="197" width="10.875" bestFit="1" customWidth="1"/>
    <col min="198" max="198" width="9.25" bestFit="1" customWidth="1"/>
    <col min="199" max="199" width="10.875" bestFit="1" customWidth="1"/>
    <col min="200" max="200" width="9.25" bestFit="1" customWidth="1"/>
    <col min="201" max="201" width="10.875" bestFit="1" customWidth="1"/>
    <col min="202" max="202" width="9.25" bestFit="1" customWidth="1"/>
    <col min="203" max="203" width="10.875" bestFit="1" customWidth="1"/>
    <col min="204" max="204" width="9.25" bestFit="1" customWidth="1"/>
    <col min="205" max="205" width="10.875" bestFit="1" customWidth="1"/>
    <col min="206" max="206" width="9.25" bestFit="1" customWidth="1"/>
    <col min="207" max="207" width="10.875" bestFit="1" customWidth="1"/>
    <col min="208" max="208" width="9.25" bestFit="1" customWidth="1"/>
    <col min="209" max="209" width="11.25" bestFit="1" customWidth="1"/>
    <col min="210" max="210" width="9.25" bestFit="1" customWidth="1"/>
    <col min="211" max="211" width="11.25" bestFit="1" customWidth="1"/>
    <col min="212" max="212" width="9.25" bestFit="1" customWidth="1"/>
    <col min="213" max="213" width="11.25" bestFit="1" customWidth="1"/>
    <col min="214" max="214" width="9.25" bestFit="1" customWidth="1"/>
    <col min="215" max="215" width="11.25" bestFit="1" customWidth="1"/>
    <col min="216" max="216" width="9.25" bestFit="1" customWidth="1"/>
    <col min="217" max="217" width="11.25" bestFit="1" customWidth="1"/>
    <col min="218" max="218" width="9.25" bestFit="1" customWidth="1"/>
    <col min="219" max="219" width="11.25" bestFit="1" customWidth="1"/>
    <col min="220" max="220" width="9.25" bestFit="1" customWidth="1"/>
    <col min="221" max="221" width="11.25" bestFit="1" customWidth="1"/>
    <col min="222" max="222" width="9.25" bestFit="1" customWidth="1"/>
    <col min="223" max="223" width="11.25" bestFit="1" customWidth="1"/>
    <col min="224" max="224" width="9.25" bestFit="1" customWidth="1"/>
    <col min="225" max="225" width="11.25" bestFit="1" customWidth="1"/>
    <col min="226" max="226" width="9.25" bestFit="1" customWidth="1"/>
    <col min="227" max="227" width="11.25" bestFit="1" customWidth="1"/>
    <col min="228" max="228" width="9.25" bestFit="1" customWidth="1"/>
    <col min="229" max="229" width="11.25" bestFit="1" customWidth="1"/>
    <col min="230" max="230" width="9.25" bestFit="1" customWidth="1"/>
    <col min="231" max="231" width="11.25" bestFit="1" customWidth="1"/>
    <col min="232" max="232" width="9.25" bestFit="1" customWidth="1"/>
    <col min="233" max="233" width="11.25" bestFit="1" customWidth="1"/>
    <col min="234" max="234" width="9.25" bestFit="1" customWidth="1"/>
    <col min="235" max="235" width="11.25" bestFit="1" customWidth="1"/>
    <col min="236" max="236" width="9.25" bestFit="1" customWidth="1"/>
    <col min="237" max="237" width="11.25" bestFit="1" customWidth="1"/>
    <col min="238" max="238" width="9.25" bestFit="1" customWidth="1"/>
    <col min="239" max="240" width="11.25" bestFit="1" customWidth="1"/>
    <col min="241" max="241" width="10.875" bestFit="1" customWidth="1"/>
    <col min="242" max="242" width="11.25" bestFit="1" customWidth="1"/>
    <col min="243" max="243" width="10.875" bestFit="1" customWidth="1"/>
    <col min="244" max="244" width="11.25" bestFit="1" customWidth="1"/>
    <col min="245" max="245" width="10.875" bestFit="1" customWidth="1"/>
    <col min="246" max="246" width="11.25" bestFit="1" customWidth="1"/>
    <col min="247" max="247" width="10.875" bestFit="1" customWidth="1"/>
    <col min="248" max="248" width="11.25" bestFit="1" customWidth="1"/>
    <col min="249" max="249" width="10.875" bestFit="1" customWidth="1"/>
    <col min="250" max="250" width="11.25" bestFit="1" customWidth="1"/>
    <col min="251" max="251" width="10.875" bestFit="1" customWidth="1"/>
    <col min="252" max="252" width="11.25" bestFit="1" customWidth="1"/>
    <col min="253" max="253" width="10.875" bestFit="1" customWidth="1"/>
    <col min="254" max="254" width="11.25" bestFit="1" customWidth="1"/>
    <col min="255" max="255" width="10.875" bestFit="1" customWidth="1"/>
    <col min="256" max="256" width="11.25" bestFit="1" customWidth="1"/>
    <col min="257" max="257" width="10.875" bestFit="1" customWidth="1"/>
    <col min="258" max="258" width="11.25" bestFit="1" customWidth="1"/>
    <col min="259" max="259" width="10.875" bestFit="1" customWidth="1"/>
    <col min="260" max="260" width="11.25" bestFit="1" customWidth="1"/>
    <col min="261" max="261" width="10.875" bestFit="1" customWidth="1"/>
    <col min="262" max="262" width="11.25" bestFit="1" customWidth="1"/>
    <col min="263" max="263" width="10.875" bestFit="1" customWidth="1"/>
    <col min="264" max="264" width="11.25" bestFit="1" customWidth="1"/>
    <col min="265" max="265" width="10.875" bestFit="1" customWidth="1"/>
    <col min="266" max="266" width="11.25" bestFit="1" customWidth="1"/>
    <col min="267" max="267" width="10.875" bestFit="1" customWidth="1"/>
    <col min="268" max="268" width="11.25" bestFit="1" customWidth="1"/>
    <col min="269" max="269" width="10.875" bestFit="1" customWidth="1"/>
    <col min="270" max="270" width="11.25" bestFit="1" customWidth="1"/>
    <col min="271" max="271" width="10.875" bestFit="1" customWidth="1"/>
    <col min="272" max="272" width="11.25" bestFit="1" customWidth="1"/>
    <col min="273" max="273" width="10.875" bestFit="1" customWidth="1"/>
    <col min="274" max="274" width="9.25" bestFit="1" customWidth="1"/>
    <col min="275" max="275" width="10.625" bestFit="1" customWidth="1"/>
    <col min="276" max="276" width="9.25" bestFit="1" customWidth="1"/>
    <col min="277" max="277" width="10.625" bestFit="1" customWidth="1"/>
    <col min="278" max="278" width="9.25" bestFit="1" customWidth="1"/>
    <col min="279" max="279" width="10.625" bestFit="1" customWidth="1"/>
    <col min="280" max="280" width="9.25" bestFit="1" customWidth="1"/>
    <col min="281" max="281" width="10.625" bestFit="1" customWidth="1"/>
    <col min="282" max="282" width="9.25" bestFit="1" customWidth="1"/>
    <col min="283" max="283" width="10.625" bestFit="1" customWidth="1"/>
    <col min="284" max="284" width="9.25" bestFit="1" customWidth="1"/>
    <col min="285" max="285" width="10.625" bestFit="1" customWidth="1"/>
    <col min="286" max="286" width="9.25" bestFit="1" customWidth="1"/>
    <col min="287" max="287" width="10.625" bestFit="1" customWidth="1"/>
    <col min="288" max="288" width="9.25" bestFit="1" customWidth="1"/>
    <col min="289" max="289" width="10.625" bestFit="1" customWidth="1"/>
    <col min="290" max="290" width="9.25" bestFit="1" customWidth="1"/>
    <col min="291" max="291" width="10.625" bestFit="1" customWidth="1"/>
    <col min="292" max="292" width="9.25" bestFit="1" customWidth="1"/>
    <col min="293" max="293" width="10.625" bestFit="1" customWidth="1"/>
    <col min="294" max="294" width="9.25" bestFit="1" customWidth="1"/>
    <col min="295" max="295" width="10.625" bestFit="1" customWidth="1"/>
    <col min="296" max="296" width="9.25" bestFit="1" customWidth="1"/>
    <col min="297" max="297" width="10.625" bestFit="1" customWidth="1"/>
    <col min="298" max="298" width="9.25" bestFit="1" customWidth="1"/>
    <col min="299" max="299" width="10.625" bestFit="1" customWidth="1"/>
    <col min="300" max="300" width="9.25" bestFit="1" customWidth="1"/>
    <col min="301" max="301" width="10.625" bestFit="1" customWidth="1"/>
    <col min="302" max="302" width="9.25" bestFit="1" customWidth="1"/>
    <col min="303" max="303" width="10.625" bestFit="1" customWidth="1"/>
    <col min="304" max="304" width="9.25" bestFit="1" customWidth="1"/>
    <col min="305" max="305" width="10.875" bestFit="1" customWidth="1"/>
    <col min="306" max="306" width="9.25" bestFit="1" customWidth="1"/>
    <col min="307" max="307" width="10.875" bestFit="1" customWidth="1"/>
    <col min="308" max="308" width="9.25" bestFit="1" customWidth="1"/>
    <col min="309" max="309" width="10.875" bestFit="1" customWidth="1"/>
    <col min="310" max="310" width="9.25" bestFit="1" customWidth="1"/>
    <col min="311" max="311" width="10.875" bestFit="1" customWidth="1"/>
    <col min="312" max="312" width="9.25" bestFit="1" customWidth="1"/>
    <col min="313" max="313" width="10.875" bestFit="1" customWidth="1"/>
    <col min="314" max="314" width="9.25" bestFit="1" customWidth="1"/>
    <col min="315" max="315" width="10.875" bestFit="1" customWidth="1"/>
    <col min="316" max="316" width="9.25" bestFit="1" customWidth="1"/>
    <col min="317" max="317" width="10.875" bestFit="1" customWidth="1"/>
    <col min="318" max="318" width="9.25" bestFit="1" customWidth="1"/>
    <col min="319" max="319" width="10.875" bestFit="1" customWidth="1"/>
    <col min="320" max="320" width="9.25" bestFit="1" customWidth="1"/>
    <col min="321" max="321" width="10.875" bestFit="1" customWidth="1"/>
    <col min="322" max="322" width="9.25" bestFit="1" customWidth="1"/>
    <col min="323" max="323" width="10.875" bestFit="1" customWidth="1"/>
    <col min="324" max="324" width="9.25" bestFit="1" customWidth="1"/>
    <col min="325" max="325" width="10.875" bestFit="1" customWidth="1"/>
    <col min="326" max="326" width="9.25" bestFit="1" customWidth="1"/>
    <col min="327" max="327" width="10.875" bestFit="1" customWidth="1"/>
    <col min="328" max="328" width="9.25" bestFit="1" customWidth="1"/>
    <col min="329" max="329" width="10.875" bestFit="1" customWidth="1"/>
    <col min="330" max="330" width="9.25" bestFit="1" customWidth="1"/>
    <col min="331" max="331" width="10.875" bestFit="1" customWidth="1"/>
    <col min="332" max="332" width="9.25" bestFit="1" customWidth="1"/>
    <col min="333" max="333" width="10.875" bestFit="1" customWidth="1"/>
    <col min="334" max="334" width="9.25" bestFit="1" customWidth="1"/>
    <col min="335" max="335" width="10.875" bestFit="1" customWidth="1"/>
    <col min="336" max="336" width="9.25" bestFit="1" customWidth="1"/>
    <col min="337" max="337" width="10.875" bestFit="1" customWidth="1"/>
    <col min="338" max="338" width="9.25" bestFit="1" customWidth="1"/>
    <col min="339" max="339" width="10.875" bestFit="1" customWidth="1"/>
    <col min="340" max="340" width="16" bestFit="1" customWidth="1"/>
    <col min="341" max="341" width="21" bestFit="1" customWidth="1"/>
  </cols>
  <sheetData>
    <row r="4" spans="4:6">
      <c r="D4" s="14" t="s">
        <v>275</v>
      </c>
      <c r="E4" t="s">
        <v>290</v>
      </c>
      <c r="F4" t="s">
        <v>289</v>
      </c>
    </row>
    <row r="5" spans="4:6">
      <c r="D5" s="15" t="s">
        <v>279</v>
      </c>
      <c r="E5" s="16">
        <v>36080000</v>
      </c>
      <c r="F5" s="16">
        <v>16</v>
      </c>
    </row>
    <row r="6" spans="4:6">
      <c r="D6" s="15" t="s">
        <v>280</v>
      </c>
      <c r="E6" s="16">
        <v>38210000</v>
      </c>
      <c r="F6" s="16">
        <v>15</v>
      </c>
    </row>
    <row r="7" spans="4:6">
      <c r="D7" s="15" t="s">
        <v>281</v>
      </c>
      <c r="E7" s="16">
        <v>44970000</v>
      </c>
      <c r="F7" s="16">
        <v>18</v>
      </c>
    </row>
    <row r="8" spans="4:6">
      <c r="D8" s="15" t="s">
        <v>282</v>
      </c>
      <c r="E8" s="16">
        <v>46620000</v>
      </c>
      <c r="F8" s="16">
        <v>18</v>
      </c>
    </row>
    <row r="9" spans="4:6">
      <c r="D9" s="15" t="s">
        <v>283</v>
      </c>
      <c r="E9" s="16">
        <v>43040000</v>
      </c>
      <c r="F9" s="16">
        <v>17</v>
      </c>
    </row>
    <row r="10" spans="4:6">
      <c r="D10" s="15" t="s">
        <v>276</v>
      </c>
      <c r="E10" s="16">
        <v>208920000</v>
      </c>
      <c r="F10" s="16">
        <v>84</v>
      </c>
    </row>
    <row r="37" spans="4:6">
      <c r="D37" s="14" t="s">
        <v>275</v>
      </c>
      <c r="E37" t="s">
        <v>289</v>
      </c>
      <c r="F37" t="s">
        <v>290</v>
      </c>
    </row>
    <row r="38" spans="4:6">
      <c r="D38" s="15" t="s">
        <v>279</v>
      </c>
      <c r="E38" s="16">
        <v>36080000</v>
      </c>
      <c r="F38" s="16">
        <v>16</v>
      </c>
    </row>
    <row r="39" spans="4:6">
      <c r="D39" s="15" t="s">
        <v>280</v>
      </c>
      <c r="E39" s="16">
        <v>38210000</v>
      </c>
      <c r="F39" s="16">
        <v>15</v>
      </c>
    </row>
    <row r="40" spans="4:6">
      <c r="D40" s="15" t="s">
        <v>281</v>
      </c>
      <c r="E40" s="16">
        <v>44970000</v>
      </c>
      <c r="F40" s="16">
        <v>18</v>
      </c>
    </row>
    <row r="41" spans="4:6">
      <c r="D41" s="15" t="s">
        <v>282</v>
      </c>
      <c r="E41" s="16">
        <v>46620000</v>
      </c>
      <c r="F41" s="16">
        <v>18</v>
      </c>
    </row>
    <row r="42" spans="4:6">
      <c r="D42" s="15" t="s">
        <v>283</v>
      </c>
      <c r="E42" s="16">
        <v>43040000</v>
      </c>
      <c r="F42" s="16">
        <v>17</v>
      </c>
    </row>
    <row r="43" spans="4:6">
      <c r="D43" s="15" t="s">
        <v>276</v>
      </c>
      <c r="E43" s="16">
        <v>208920000</v>
      </c>
      <c r="F43" s="16">
        <v>84</v>
      </c>
    </row>
  </sheetData>
  <phoneticPr fontId="3" type="noConversion"/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U8:AA14"/>
  <sheetViews>
    <sheetView zoomScaleNormal="100" workbookViewId="0">
      <selection activeCell="R7" sqref="R7"/>
    </sheetView>
  </sheetViews>
  <sheetFormatPr defaultRowHeight="16.5"/>
  <cols>
    <col min="21" max="21" width="18.625" customWidth="1"/>
    <col min="22" max="22" width="12" customWidth="1"/>
    <col min="23" max="23" width="15.875" customWidth="1"/>
    <col min="26" max="26" width="11.875" customWidth="1"/>
    <col min="27" max="27" width="12" customWidth="1"/>
    <col min="28" max="31" width="20.75" customWidth="1"/>
    <col min="32" max="32" width="8.875" customWidth="1"/>
    <col min="33" max="44" width="6.375" customWidth="1"/>
    <col min="45" max="60" width="6.75" customWidth="1"/>
    <col min="61" max="77" width="6.375" customWidth="1"/>
    <col min="78" max="92" width="6.125" customWidth="1"/>
    <col min="93" max="110" width="6.375" customWidth="1"/>
    <col min="111" max="111" width="7.375" customWidth="1"/>
    <col min="112" max="193" width="15.875" customWidth="1"/>
    <col min="194" max="194" width="20.75" bestFit="1" customWidth="1"/>
    <col min="195" max="195" width="15.875" bestFit="1" customWidth="1"/>
  </cols>
  <sheetData>
    <row r="8" spans="21:27">
      <c r="Z8" s="14" t="s">
        <v>275</v>
      </c>
      <c r="AA8" t="s">
        <v>291</v>
      </c>
    </row>
    <row r="9" spans="21:27">
      <c r="U9" s="17"/>
      <c r="V9" s="16"/>
      <c r="W9" s="16"/>
      <c r="Z9" s="15" t="s">
        <v>279</v>
      </c>
      <c r="AA9" s="16">
        <v>36080000</v>
      </c>
    </row>
    <row r="10" spans="21:27">
      <c r="U10" s="17"/>
      <c r="V10" s="16"/>
      <c r="W10" s="16"/>
      <c r="Z10" s="15" t="s">
        <v>280</v>
      </c>
      <c r="AA10" s="16">
        <v>38210000</v>
      </c>
    </row>
    <row r="11" spans="21:27">
      <c r="U11" s="17"/>
      <c r="V11" s="16"/>
      <c r="W11" s="16"/>
      <c r="Z11" s="15" t="s">
        <v>281</v>
      </c>
      <c r="AA11" s="16">
        <v>44970000</v>
      </c>
    </row>
    <row r="12" spans="21:27">
      <c r="U12" s="17"/>
      <c r="V12" s="16"/>
      <c r="W12" s="16"/>
      <c r="Z12" s="15" t="s">
        <v>282</v>
      </c>
      <c r="AA12" s="16">
        <v>46620000</v>
      </c>
    </row>
    <row r="13" spans="21:27">
      <c r="U13" s="17"/>
      <c r="V13" s="16"/>
      <c r="W13" s="16"/>
      <c r="Z13" s="15" t="s">
        <v>283</v>
      </c>
      <c r="AA13" s="16">
        <v>43040000</v>
      </c>
    </row>
    <row r="14" spans="21:27">
      <c r="U14" s="17"/>
      <c r="V14" s="16"/>
      <c r="W14" s="16"/>
      <c r="Z14" s="15" t="s">
        <v>276</v>
      </c>
      <c r="AA14" s="16">
        <v>208920000</v>
      </c>
    </row>
  </sheetData>
  <phoneticPr fontId="3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2021-07-08T06:00:48Z</dcterms:created>
  <dcterms:modified xsi:type="dcterms:W3CDTF">2021-07-12T05:44:36Z</dcterms:modified>
</cp:coreProperties>
</file>