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media/image3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G:\엑셀\경남\2021 경남남 엑셀\"/>
    </mc:Choice>
  </mc:AlternateContent>
  <xr:revisionPtr revIDLastSave="0" documentId="13_ncr:1_{AED26393-A2C3-4D53-AB28-0D80B7F6C3E5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메인" sheetId="1" r:id="rId1"/>
    <sheet name="회원" sheetId="2" r:id="rId2"/>
    <sheet name="자격증정보" sheetId="3" r:id="rId3"/>
    <sheet name="시험일정" sheetId="4" r:id="rId4"/>
    <sheet name="접수내역" sheetId="5" r:id="rId5"/>
    <sheet name="시험문제" sheetId="7" r:id="rId6"/>
    <sheet name="합격률" sheetId="6" r:id="rId7"/>
    <sheet name="일정보기" sheetId="9" r:id="rId8"/>
    <sheet name="보기" sheetId="8" r:id="rId9"/>
    <sheet name="데이터처리" sheetId="11" r:id="rId10"/>
  </sheets>
  <definedNames>
    <definedName name="_xlnm._FilterDatabase" localSheetId="9" hidden="1">데이터처리!$A$1:$J$504</definedName>
    <definedName name="_xlnm._FilterDatabase" localSheetId="3" hidden="1">시험일정!$A$1:$L$159</definedName>
    <definedName name="_xlnm._FilterDatabase" localSheetId="4" hidden="1">접수내역!$A$1:$J$506</definedName>
    <definedName name="_xlnm.Criteria" localSheetId="9">데이터처리!$AM$1:$AM$2</definedName>
    <definedName name="_xlnm.Criteria" localSheetId="3">시험일정!$L$1:$L$2</definedName>
    <definedName name="_xlnm.Extract" localSheetId="9">데이터처리!$AZ$1:$BI$1</definedName>
    <definedName name="_xlnm.Extract" localSheetId="3">시험일정!$N$1:$R$1</definedName>
    <definedName name="_xlnm.Extract" localSheetId="4">접수내역!$L:$T</definedName>
    <definedName name="색깔">메인!$P$14</definedName>
    <definedName name="선택날짜">데이터처리!$M$4</definedName>
    <definedName name="시험">표2[]</definedName>
    <definedName name="시험번호">메인!$V$1</definedName>
    <definedName name="시험일정">표2[]</definedName>
    <definedName name="시험종목">메인!$Y$1</definedName>
    <definedName name="유저명">메인!$S$1</definedName>
    <definedName name="유저번호">데이터처리!$N$2</definedName>
    <definedName name="전화번호">메인!$S$2</definedName>
    <definedName name="접수비">시험일정!$L$5</definedName>
    <definedName name="접수수수료">시험일정!$L$8</definedName>
    <definedName name="종목번호">자격증정보!$N$2</definedName>
    <definedName name="주민등록번호">메인!$T$2</definedName>
    <definedName name="회차조건">합격률!$K$1:$L$2</definedName>
  </definedNames>
  <calcPr calcId="191029"/>
  <pivotCaches>
    <pivotCache cacheId="2" r:id="rId11"/>
    <pivotCache cacheId="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" l="1"/>
  <c r="L5" i="4"/>
  <c r="L7" i="4" s="1"/>
  <c r="L8" i="4" s="1"/>
  <c r="K2" i="5" l="1"/>
  <c r="Y1" i="1" l="1"/>
  <c r="M2" i="5" l="1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W1" i="1" s="1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X1" i="1" s="1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N2" i="3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L1" i="11" l="1"/>
  <c r="K159" i="4" l="1"/>
  <c r="J159" i="4" s="1"/>
  <c r="D159" i="4" s="1"/>
  <c r="K158" i="4"/>
  <c r="J158" i="4" s="1"/>
  <c r="D158" i="4" s="1"/>
  <c r="G159" i="4"/>
  <c r="G158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BK1" i="11"/>
  <c r="R1" i="1"/>
  <c r="S2" i="1" s="1"/>
  <c r="T2" i="1" l="1"/>
  <c r="U1" i="1"/>
  <c r="T1" i="1"/>
  <c r="S1" i="1"/>
  <c r="K2" i="6"/>
  <c r="L2" i="6"/>
  <c r="Q2" i="6" l="1"/>
  <c r="K157" i="4" l="1"/>
  <c r="J157" i="4" s="1"/>
  <c r="D157" i="4" s="1"/>
  <c r="K156" i="4"/>
  <c r="J156" i="4" s="1"/>
  <c r="D156" i="4" s="1"/>
  <c r="K155" i="4"/>
  <c r="J155" i="4" s="1"/>
  <c r="D155" i="4" s="1"/>
  <c r="K154" i="4"/>
  <c r="J154" i="4" s="1"/>
  <c r="D154" i="4" s="1"/>
  <c r="K153" i="4"/>
  <c r="J153" i="4" s="1"/>
  <c r="D153" i="4" s="1"/>
  <c r="K152" i="4"/>
  <c r="J152" i="4" s="1"/>
  <c r="D152" i="4" s="1"/>
  <c r="K151" i="4"/>
  <c r="J151" i="4" s="1"/>
  <c r="D151" i="4" s="1"/>
  <c r="K150" i="4"/>
  <c r="J150" i="4" s="1"/>
  <c r="D150" i="4" s="1"/>
  <c r="K149" i="4"/>
  <c r="J149" i="4" s="1"/>
  <c r="D149" i="4" s="1"/>
  <c r="K148" i="4"/>
  <c r="J148" i="4" s="1"/>
  <c r="D148" i="4" s="1"/>
  <c r="K147" i="4"/>
  <c r="J147" i="4" s="1"/>
  <c r="D147" i="4" s="1"/>
  <c r="K146" i="4"/>
  <c r="J146" i="4" s="1"/>
  <c r="D146" i="4" s="1"/>
  <c r="K145" i="4"/>
  <c r="J145" i="4" s="1"/>
  <c r="D145" i="4" s="1"/>
  <c r="K144" i="4"/>
  <c r="J144" i="4" s="1"/>
  <c r="D144" i="4" s="1"/>
  <c r="K143" i="4"/>
  <c r="J143" i="4" s="1"/>
  <c r="D143" i="4" s="1"/>
  <c r="K142" i="4"/>
  <c r="J142" i="4" s="1"/>
  <c r="D142" i="4" s="1"/>
  <c r="K141" i="4"/>
  <c r="J141" i="4" s="1"/>
  <c r="D141" i="4" s="1"/>
  <c r="K140" i="4"/>
  <c r="J140" i="4" s="1"/>
  <c r="D140" i="4" s="1"/>
  <c r="K139" i="4"/>
  <c r="J139" i="4" s="1"/>
  <c r="D139" i="4" s="1"/>
  <c r="K138" i="4"/>
  <c r="J138" i="4" s="1"/>
  <c r="D138" i="4" s="1"/>
  <c r="K137" i="4"/>
  <c r="J137" i="4" s="1"/>
  <c r="D137" i="4" s="1"/>
  <c r="K136" i="4"/>
  <c r="J136" i="4" s="1"/>
  <c r="D136" i="4" s="1"/>
  <c r="K135" i="4"/>
  <c r="J135" i="4" s="1"/>
  <c r="D135" i="4" s="1"/>
  <c r="K134" i="4"/>
  <c r="J134" i="4" s="1"/>
  <c r="D134" i="4" s="1"/>
  <c r="K133" i="4"/>
  <c r="J133" i="4" s="1"/>
  <c r="D133" i="4" s="1"/>
  <c r="K132" i="4"/>
  <c r="J132" i="4" s="1"/>
  <c r="D132" i="4" s="1"/>
  <c r="K131" i="4"/>
  <c r="J131" i="4" s="1"/>
  <c r="D131" i="4" s="1"/>
  <c r="K130" i="4"/>
  <c r="J130" i="4" s="1"/>
  <c r="D130" i="4" s="1"/>
  <c r="K129" i="4"/>
  <c r="J129" i="4" s="1"/>
  <c r="D129" i="4" s="1"/>
  <c r="K128" i="4"/>
  <c r="J128" i="4" s="1"/>
  <c r="D128" i="4" s="1"/>
  <c r="K127" i="4"/>
  <c r="J127" i="4" s="1"/>
  <c r="D127" i="4" s="1"/>
  <c r="K126" i="4"/>
  <c r="J126" i="4" s="1"/>
  <c r="D126" i="4" s="1"/>
  <c r="K125" i="4"/>
  <c r="J125" i="4" s="1"/>
  <c r="D125" i="4" s="1"/>
  <c r="K124" i="4"/>
  <c r="J124" i="4" s="1"/>
  <c r="D124" i="4" s="1"/>
  <c r="K123" i="4"/>
  <c r="J123" i="4" s="1"/>
  <c r="D123" i="4" s="1"/>
  <c r="K122" i="4"/>
  <c r="J122" i="4" s="1"/>
  <c r="D122" i="4" s="1"/>
  <c r="K121" i="4"/>
  <c r="J121" i="4" s="1"/>
  <c r="D121" i="4" s="1"/>
  <c r="K120" i="4"/>
  <c r="J120" i="4" s="1"/>
  <c r="D120" i="4" s="1"/>
  <c r="K119" i="4"/>
  <c r="J119" i="4" s="1"/>
  <c r="D119" i="4" s="1"/>
  <c r="K118" i="4"/>
  <c r="J118" i="4" s="1"/>
  <c r="D118" i="4" s="1"/>
  <c r="K117" i="4"/>
  <c r="J117" i="4" s="1"/>
  <c r="D117" i="4" s="1"/>
  <c r="K116" i="4"/>
  <c r="J116" i="4" s="1"/>
  <c r="D116" i="4" s="1"/>
  <c r="K115" i="4"/>
  <c r="J115" i="4" s="1"/>
  <c r="D115" i="4" s="1"/>
  <c r="K114" i="4"/>
  <c r="J114" i="4" s="1"/>
  <c r="D114" i="4" s="1"/>
  <c r="K113" i="4"/>
  <c r="J113" i="4" s="1"/>
  <c r="D113" i="4" s="1"/>
  <c r="K112" i="4"/>
  <c r="J112" i="4" s="1"/>
  <c r="D112" i="4" s="1"/>
  <c r="K111" i="4"/>
  <c r="J111" i="4" s="1"/>
  <c r="D111" i="4" s="1"/>
  <c r="K110" i="4"/>
  <c r="J110" i="4" s="1"/>
  <c r="D110" i="4" s="1"/>
  <c r="K109" i="4"/>
  <c r="J109" i="4" s="1"/>
  <c r="D109" i="4" s="1"/>
  <c r="K108" i="4"/>
  <c r="J108" i="4" s="1"/>
  <c r="D108" i="4" s="1"/>
  <c r="K107" i="4"/>
  <c r="J107" i="4" s="1"/>
  <c r="D107" i="4" s="1"/>
  <c r="K106" i="4"/>
  <c r="J106" i="4" s="1"/>
  <c r="D106" i="4" s="1"/>
  <c r="K105" i="4"/>
  <c r="J105" i="4" s="1"/>
  <c r="D105" i="4" s="1"/>
  <c r="K104" i="4"/>
  <c r="J104" i="4" s="1"/>
  <c r="D104" i="4" s="1"/>
  <c r="K103" i="4"/>
  <c r="J103" i="4" s="1"/>
  <c r="D103" i="4" s="1"/>
  <c r="K102" i="4"/>
  <c r="J102" i="4" s="1"/>
  <c r="D102" i="4" s="1"/>
  <c r="K101" i="4"/>
  <c r="J101" i="4" s="1"/>
  <c r="D101" i="4" s="1"/>
  <c r="K100" i="4"/>
  <c r="J100" i="4" s="1"/>
  <c r="D100" i="4" s="1"/>
  <c r="K99" i="4"/>
  <c r="J99" i="4" s="1"/>
  <c r="D99" i="4" s="1"/>
  <c r="K98" i="4"/>
  <c r="J98" i="4" s="1"/>
  <c r="D98" i="4" s="1"/>
  <c r="K97" i="4"/>
  <c r="J97" i="4" s="1"/>
  <c r="D97" i="4" s="1"/>
  <c r="K96" i="4"/>
  <c r="J96" i="4" s="1"/>
  <c r="D96" i="4" s="1"/>
  <c r="K95" i="4"/>
  <c r="J95" i="4" s="1"/>
  <c r="D95" i="4" s="1"/>
  <c r="K94" i="4"/>
  <c r="J94" i="4" s="1"/>
  <c r="D94" i="4" s="1"/>
  <c r="K93" i="4"/>
  <c r="J93" i="4" s="1"/>
  <c r="D93" i="4" s="1"/>
  <c r="K92" i="4"/>
  <c r="J92" i="4" s="1"/>
  <c r="D92" i="4" s="1"/>
  <c r="K91" i="4"/>
  <c r="J91" i="4" s="1"/>
  <c r="D91" i="4" s="1"/>
  <c r="K90" i="4"/>
  <c r="J90" i="4" s="1"/>
  <c r="D90" i="4" s="1"/>
  <c r="K89" i="4"/>
  <c r="J89" i="4" s="1"/>
  <c r="D89" i="4" s="1"/>
  <c r="K88" i="4"/>
  <c r="J88" i="4" s="1"/>
  <c r="D88" i="4" s="1"/>
  <c r="K87" i="4"/>
  <c r="J87" i="4" s="1"/>
  <c r="D87" i="4" s="1"/>
  <c r="K86" i="4"/>
  <c r="J86" i="4" s="1"/>
  <c r="D86" i="4" s="1"/>
  <c r="K85" i="4"/>
  <c r="J85" i="4" s="1"/>
  <c r="D85" i="4" s="1"/>
  <c r="K84" i="4"/>
  <c r="J84" i="4" s="1"/>
  <c r="D84" i="4" s="1"/>
  <c r="K83" i="4"/>
  <c r="J83" i="4" s="1"/>
  <c r="D83" i="4" s="1"/>
  <c r="K82" i="4"/>
  <c r="J82" i="4" s="1"/>
  <c r="D82" i="4" s="1"/>
  <c r="K81" i="4"/>
  <c r="J81" i="4" s="1"/>
  <c r="D81" i="4" s="1"/>
  <c r="K80" i="4"/>
  <c r="J80" i="4" s="1"/>
  <c r="D80" i="4" s="1"/>
  <c r="K79" i="4"/>
  <c r="J79" i="4" s="1"/>
  <c r="D79" i="4" s="1"/>
  <c r="K78" i="4"/>
  <c r="J78" i="4" s="1"/>
  <c r="D78" i="4" s="1"/>
  <c r="K77" i="4"/>
  <c r="J77" i="4" s="1"/>
  <c r="D77" i="4" s="1"/>
  <c r="K76" i="4"/>
  <c r="J76" i="4" s="1"/>
  <c r="D76" i="4" s="1"/>
  <c r="K75" i="4"/>
  <c r="J75" i="4" s="1"/>
  <c r="D75" i="4" s="1"/>
  <c r="K74" i="4"/>
  <c r="J74" i="4" s="1"/>
  <c r="D74" i="4" s="1"/>
  <c r="K73" i="4"/>
  <c r="J73" i="4" s="1"/>
  <c r="D73" i="4" s="1"/>
  <c r="K72" i="4"/>
  <c r="J72" i="4" s="1"/>
  <c r="D72" i="4" s="1"/>
  <c r="K71" i="4"/>
  <c r="J71" i="4" s="1"/>
  <c r="D71" i="4" s="1"/>
  <c r="K70" i="4"/>
  <c r="J70" i="4" s="1"/>
  <c r="D70" i="4" s="1"/>
  <c r="K69" i="4"/>
  <c r="J69" i="4" s="1"/>
  <c r="D69" i="4" s="1"/>
  <c r="K68" i="4"/>
  <c r="J68" i="4" s="1"/>
  <c r="D68" i="4" s="1"/>
  <c r="K67" i="4"/>
  <c r="J67" i="4" s="1"/>
  <c r="D67" i="4" s="1"/>
  <c r="K66" i="4"/>
  <c r="J66" i="4" s="1"/>
  <c r="D66" i="4" s="1"/>
  <c r="K65" i="4"/>
  <c r="J65" i="4" s="1"/>
  <c r="D65" i="4" s="1"/>
  <c r="K64" i="4"/>
  <c r="J64" i="4" s="1"/>
  <c r="D64" i="4" s="1"/>
  <c r="K63" i="4"/>
  <c r="J63" i="4" s="1"/>
  <c r="D63" i="4" s="1"/>
  <c r="K62" i="4"/>
  <c r="J62" i="4" s="1"/>
  <c r="D62" i="4" s="1"/>
  <c r="K61" i="4"/>
  <c r="J61" i="4" s="1"/>
  <c r="D61" i="4" s="1"/>
  <c r="K60" i="4"/>
  <c r="J60" i="4" s="1"/>
  <c r="D60" i="4" s="1"/>
  <c r="K59" i="4"/>
  <c r="J59" i="4" s="1"/>
  <c r="D59" i="4" s="1"/>
  <c r="K58" i="4"/>
  <c r="J58" i="4" s="1"/>
  <c r="D58" i="4" s="1"/>
  <c r="K57" i="4"/>
  <c r="J57" i="4" s="1"/>
  <c r="D57" i="4" s="1"/>
  <c r="K56" i="4"/>
  <c r="J56" i="4" s="1"/>
  <c r="D56" i="4" s="1"/>
  <c r="K55" i="4"/>
  <c r="J55" i="4" s="1"/>
  <c r="D55" i="4" s="1"/>
  <c r="K54" i="4"/>
  <c r="J54" i="4" s="1"/>
  <c r="D54" i="4" s="1"/>
  <c r="K53" i="4"/>
  <c r="J53" i="4" s="1"/>
  <c r="D53" i="4" s="1"/>
  <c r="K52" i="4"/>
  <c r="J52" i="4" s="1"/>
  <c r="D52" i="4" s="1"/>
  <c r="K51" i="4"/>
  <c r="J51" i="4" s="1"/>
  <c r="D51" i="4" s="1"/>
  <c r="K50" i="4"/>
  <c r="J50" i="4" s="1"/>
  <c r="D50" i="4" s="1"/>
  <c r="K49" i="4"/>
  <c r="J49" i="4" s="1"/>
  <c r="D49" i="4" s="1"/>
  <c r="K48" i="4"/>
  <c r="J48" i="4" s="1"/>
  <c r="D48" i="4" s="1"/>
  <c r="K47" i="4"/>
  <c r="J47" i="4" s="1"/>
  <c r="D47" i="4" s="1"/>
  <c r="K46" i="4"/>
  <c r="J46" i="4" s="1"/>
  <c r="D46" i="4" s="1"/>
  <c r="K45" i="4"/>
  <c r="J45" i="4" s="1"/>
  <c r="D45" i="4" s="1"/>
  <c r="K44" i="4"/>
  <c r="J44" i="4" s="1"/>
  <c r="D44" i="4" s="1"/>
  <c r="K43" i="4"/>
  <c r="J43" i="4" s="1"/>
  <c r="D43" i="4" s="1"/>
  <c r="K42" i="4"/>
  <c r="J42" i="4" s="1"/>
  <c r="D42" i="4" s="1"/>
  <c r="K41" i="4"/>
  <c r="J41" i="4" s="1"/>
  <c r="D41" i="4" s="1"/>
  <c r="K40" i="4"/>
  <c r="J40" i="4" s="1"/>
  <c r="D40" i="4" s="1"/>
  <c r="K39" i="4"/>
  <c r="J39" i="4" s="1"/>
  <c r="D39" i="4" s="1"/>
  <c r="K38" i="4"/>
  <c r="J38" i="4" s="1"/>
  <c r="D38" i="4" s="1"/>
  <c r="K37" i="4"/>
  <c r="J37" i="4" s="1"/>
  <c r="D37" i="4" s="1"/>
  <c r="K36" i="4"/>
  <c r="J36" i="4" s="1"/>
  <c r="D36" i="4" s="1"/>
  <c r="K35" i="4"/>
  <c r="J35" i="4" s="1"/>
  <c r="D35" i="4" s="1"/>
  <c r="K34" i="4"/>
  <c r="J34" i="4" s="1"/>
  <c r="D34" i="4" s="1"/>
  <c r="K33" i="4"/>
  <c r="J33" i="4" s="1"/>
  <c r="D33" i="4" s="1"/>
  <c r="K32" i="4"/>
  <c r="J32" i="4" s="1"/>
  <c r="D32" i="4" s="1"/>
  <c r="K31" i="4"/>
  <c r="J31" i="4" s="1"/>
  <c r="D31" i="4" s="1"/>
  <c r="K30" i="4"/>
  <c r="J30" i="4" s="1"/>
  <c r="D30" i="4" s="1"/>
  <c r="K29" i="4"/>
  <c r="J29" i="4" s="1"/>
  <c r="D29" i="4" s="1"/>
  <c r="K28" i="4"/>
  <c r="J28" i="4" s="1"/>
  <c r="D28" i="4" s="1"/>
  <c r="K27" i="4"/>
  <c r="J27" i="4" s="1"/>
  <c r="D27" i="4" s="1"/>
  <c r="K26" i="4"/>
  <c r="J26" i="4" s="1"/>
  <c r="D26" i="4" s="1"/>
  <c r="K25" i="4"/>
  <c r="J25" i="4" s="1"/>
  <c r="D25" i="4" s="1"/>
  <c r="K24" i="4"/>
  <c r="J24" i="4" s="1"/>
  <c r="D24" i="4" s="1"/>
  <c r="K23" i="4"/>
  <c r="J23" i="4" s="1"/>
  <c r="D23" i="4" s="1"/>
  <c r="K22" i="4"/>
  <c r="J22" i="4" s="1"/>
  <c r="D22" i="4" s="1"/>
  <c r="K21" i="4"/>
  <c r="J21" i="4" s="1"/>
  <c r="D21" i="4" s="1"/>
  <c r="K20" i="4"/>
  <c r="J20" i="4" s="1"/>
  <c r="D20" i="4" s="1"/>
  <c r="K19" i="4"/>
  <c r="J19" i="4" s="1"/>
  <c r="D19" i="4" s="1"/>
  <c r="K18" i="4"/>
  <c r="J18" i="4" s="1"/>
  <c r="D18" i="4" s="1"/>
  <c r="K17" i="4"/>
  <c r="J17" i="4" s="1"/>
  <c r="D17" i="4" s="1"/>
  <c r="K16" i="4"/>
  <c r="J16" i="4" s="1"/>
  <c r="D16" i="4" s="1"/>
  <c r="K15" i="4"/>
  <c r="J15" i="4" s="1"/>
  <c r="D15" i="4" s="1"/>
  <c r="K14" i="4"/>
  <c r="J14" i="4" s="1"/>
  <c r="D14" i="4" s="1"/>
  <c r="K13" i="4"/>
  <c r="J13" i="4" s="1"/>
  <c r="D13" i="4" s="1"/>
  <c r="K12" i="4"/>
  <c r="J12" i="4" s="1"/>
  <c r="D12" i="4" s="1"/>
  <c r="K11" i="4"/>
  <c r="J11" i="4" s="1"/>
  <c r="D11" i="4" s="1"/>
  <c r="K10" i="4"/>
  <c r="J10" i="4" s="1"/>
  <c r="D10" i="4" s="1"/>
  <c r="K9" i="4"/>
  <c r="J9" i="4" s="1"/>
  <c r="D9" i="4" s="1"/>
  <c r="K8" i="4"/>
  <c r="J8" i="4" s="1"/>
  <c r="D8" i="4" s="1"/>
  <c r="K7" i="4"/>
  <c r="J7" i="4" s="1"/>
  <c r="D7" i="4" s="1"/>
  <c r="K6" i="4"/>
  <c r="J6" i="4" s="1"/>
  <c r="D6" i="4" s="1"/>
  <c r="K5" i="4"/>
  <c r="J5" i="4" s="1"/>
  <c r="D5" i="4" s="1"/>
  <c r="K4" i="4"/>
  <c r="J4" i="4" s="1"/>
  <c r="D4" i="4" s="1"/>
  <c r="K3" i="4"/>
  <c r="J3" i="4" s="1"/>
  <c r="D3" i="4" s="1"/>
  <c r="K2" i="4"/>
  <c r="J2" i="4" s="1"/>
  <c r="D2" i="4" s="1"/>
</calcChain>
</file>

<file path=xl/sharedStrings.xml><?xml version="1.0" encoding="utf-8"?>
<sst xmlns="http://schemas.openxmlformats.org/spreadsheetml/2006/main" count="2814" uniqueCount="1574">
  <si>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</si>
  <si>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</si>
  <si>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</si>
  <si>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</si>
  <si>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</si>
  <si>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</si>
  <si>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</si>
  <si>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</si>
  <si>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</si>
  <si>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</si>
  <si>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</si>
  <si>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</si>
  <si>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</si>
  <si>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</si>
  <si>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</si>
  <si>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</si>
  <si>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</si>
  <si>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</si>
  <si>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</si>
  <si>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</si>
  <si>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</si>
  <si>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</si>
  <si>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</si>
  <si>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</si>
  <si>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</si>
  <si>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</si>
  <si>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</si>
  <si>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</si>
  <si>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</si>
  <si>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</si>
  <si>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</si>
  <si>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</si>
  <si>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</si>
  <si>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</si>
  <si>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</si>
  <si>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</si>
  <si>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</si>
  <si>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</si>
  <si>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</si>
  <si>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</si>
  <si>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</si>
  <si>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</si>
  <si>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</si>
  <si>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</si>
  <si>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</si>
  <si>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</si>
  <si>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</si>
  <si>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</si>
  <si>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</si>
  <si>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</si>
  <si>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</si>
  <si>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</si>
  <si>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</si>
  <si>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</si>
  <si>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</si>
  <si>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</si>
  <si>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</si>
  <si>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</si>
  <si>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</si>
  <si>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</si>
  <si>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</si>
  <si>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</si>
  <si>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</si>
  <si>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</si>
  <si>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</si>
  <si>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</si>
  <si>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</si>
  <si>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</si>
  <si>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</si>
  <si>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</si>
  <si>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</si>
  <si>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</si>
  <si>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</si>
  <si>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</si>
  <si>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</si>
  <si>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</si>
  <si>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</si>
  <si>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</si>
  <si>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</si>
  <si>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</si>
  <si>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</si>
  <si>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</si>
  <si>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</si>
  <si>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</si>
  <si>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</si>
  <si>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</si>
  <si>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</si>
  <si>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</si>
  <si>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</si>
  <si>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</si>
  <si>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</si>
  <si>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</si>
  <si>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</si>
  <si>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</si>
  <si>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</si>
  <si>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</si>
  <si>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</si>
  <si>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</si>
  <si>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</si>
  <si>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</si>
  <si>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</si>
  <si>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</si>
  <si>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</si>
  <si>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</si>
  <si>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</si>
  <si>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</si>
  <si>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</si>
  <si>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</si>
  <si>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</si>
  <si>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</si>
  <si>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</si>
  <si>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</si>
  <si>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</si>
  <si>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</si>
  <si>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</si>
  <si>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</si>
  <si>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</si>
  <si>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</si>
  <si>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</si>
  <si>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</si>
  <si>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</si>
  <si>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</si>
  <si>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</si>
  <si>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</si>
  <si>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</si>
  <si>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</si>
  <si>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</si>
  <si>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</si>
  <si>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</si>
  <si>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</si>
  <si>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</si>
  <si>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</si>
  <si>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</si>
  <si>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</si>
  <si>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</si>
  <si>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</si>
  <si>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</si>
  <si>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</si>
  <si>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</si>
  <si>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</si>
  <si>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</si>
  <si>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</si>
  <si>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</si>
  <si>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</si>
  <si>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</si>
  <si>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</si>
  <si>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</si>
  <si>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</si>
  <si>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</si>
  <si>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</si>
  <si>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</si>
  <si>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</si>
  <si>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</si>
  <si>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</si>
  <si>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</si>
  <si>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</si>
  <si>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</si>
  <si>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</si>
  <si>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</si>
  <si>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</si>
  <si>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</si>
  <si>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</si>
  <si>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</si>
  <si>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</si>
  <si>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</si>
  <si>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</si>
  <si>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</si>
  <si>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</si>
  <si>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</si>
  <si>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</si>
  <si>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</si>
  <si>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</si>
  <si>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</si>
  <si>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</si>
  <si>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</si>
  <si>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</si>
  <si>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</si>
  <si>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</si>
  <si>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</si>
  <si>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</si>
  <si>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</si>
  <si>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</si>
  <si>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</si>
  <si>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</si>
  <si>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</si>
  <si>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번호</t>
    <phoneticPr fontId="1" type="noConversion"/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</si>
  <si>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</si>
  <si>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</si>
  <si>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</si>
  <si>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</si>
  <si>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</si>
  <si>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</si>
  <si>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</si>
  <si>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</si>
  <si>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</si>
  <si>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</si>
  <si>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</si>
  <si>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</si>
  <si>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</si>
  <si>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</si>
  <si>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</si>
  <si>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</si>
  <si>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</si>
  <si>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</si>
  <si>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</si>
  <si>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</si>
  <si>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</si>
  <si>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</si>
  <si>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</si>
  <si>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</si>
  <si>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</si>
  <si>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</si>
  <si>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</si>
  <si>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</si>
  <si>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</si>
  <si>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</si>
  <si>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</si>
  <si>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</si>
  <si>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</si>
  <si>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</si>
  <si>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</si>
  <si>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</si>
  <si>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</si>
  <si>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</si>
  <si>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</si>
  <si>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</si>
  <si>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</si>
  <si>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</si>
  <si>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</si>
  <si>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</si>
  <si>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</si>
  <si>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</si>
  <si>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</si>
  <si>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</si>
  <si>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</si>
  <si>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</si>
  <si>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</si>
  <si>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</si>
  <si>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</si>
  <si>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</si>
  <si>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</si>
  <si>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</si>
  <si>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</si>
  <si>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</si>
  <si>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</si>
  <si>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</si>
  <si>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</si>
  <si>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</si>
  <si>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</si>
  <si>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</si>
  <si>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</si>
  <si>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</si>
  <si>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</si>
  <si>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</si>
  <si>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</si>
  <si>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</si>
  <si>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</si>
  <si>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</si>
  <si>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</si>
  <si>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</si>
  <si>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</si>
  <si>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</si>
  <si>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</si>
  <si>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</si>
  <si>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</si>
  <si>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</si>
  <si>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</si>
  <si>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</si>
  <si>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</si>
  <si>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</si>
  <si>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</si>
  <si>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</si>
  <si>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</si>
  <si>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</si>
  <si>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</si>
  <si>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</si>
  <si>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</si>
  <si>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</si>
  <si>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</si>
  <si>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</si>
  <si>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</si>
  <si>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</si>
  <si>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</si>
  <si>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</si>
  <si>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</si>
  <si>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</si>
  <si>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</si>
  <si>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</si>
  <si>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</si>
  <si>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</si>
  <si>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</si>
  <si>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</si>
  <si>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</si>
  <si>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</si>
  <si>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</si>
  <si>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</si>
  <si>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</si>
  <si>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</si>
  <si>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</si>
  <si>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</si>
  <si>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</si>
  <si>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</si>
  <si>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</si>
  <si>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</si>
  <si>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</si>
  <si>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</si>
  <si>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</si>
  <si>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</si>
  <si>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</si>
  <si>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</si>
  <si>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</si>
  <si>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</si>
  <si>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</si>
  <si>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</si>
  <si>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</si>
  <si>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</si>
  <si>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</si>
  <si>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</si>
  <si>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</si>
  <si>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</si>
  <si>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</si>
  <si>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</si>
  <si>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</si>
  <si>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</si>
  <si>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</si>
  <si>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</si>
  <si>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</si>
  <si>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</si>
  <si>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</si>
  <si>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</si>
  <si>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</si>
  <si>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</si>
  <si>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</si>
  <si>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</si>
  <si>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</si>
  <si>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</si>
  <si>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</si>
  <si>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</si>
  <si>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</si>
  <si>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</si>
  <si>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</si>
  <si>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</si>
  <si>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</si>
  <si>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</si>
  <si>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</si>
  <si>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</si>
  <si>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</si>
  <si>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</si>
  <si>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</si>
  <si>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</si>
  <si>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</si>
  <si>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</si>
  <si>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</si>
  <si>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</si>
  <si>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</si>
  <si>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</si>
  <si>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</si>
  <si>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</si>
  <si>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</si>
  <si>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</si>
  <si>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</si>
  <si>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</si>
  <si>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</si>
  <si>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</si>
  <si>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</si>
  <si>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</si>
  <si>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</si>
  <si>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</si>
  <si>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</si>
  <si>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</si>
  <si>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</si>
  <si>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</si>
  <si>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</si>
  <si>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</si>
  <si>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</si>
  <si>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</si>
  <si>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</si>
  <si>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</si>
  <si>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</si>
  <si>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</si>
  <si>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</si>
  <si>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</si>
  <si>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</si>
  <si>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</si>
  <si>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</si>
  <si>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</si>
  <si>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</si>
  <si>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</si>
  <si>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</si>
  <si>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</si>
  <si>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</si>
  <si>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</si>
  <si>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</si>
  <si>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</si>
  <si>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</si>
  <si>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</si>
  <si>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</si>
  <si>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</si>
  <si>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</si>
  <si>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</si>
  <si>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</si>
  <si>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</si>
  <si>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</si>
  <si>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</si>
  <si>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</si>
  <si>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</si>
  <si>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</si>
  <si>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</si>
  <si>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</si>
  <si>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</si>
  <si>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</si>
  <si>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</si>
  <si>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</si>
  <si>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</si>
  <si>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</si>
  <si>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</si>
  <si>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</si>
  <si>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</si>
  <si>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</si>
  <si>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</si>
  <si>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</si>
  <si>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</si>
  <si>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</si>
  <si>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</si>
  <si>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</si>
  <si>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</si>
  <si>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</si>
  <si>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</si>
  <si>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</si>
  <si>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</si>
  <si>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</si>
  <si>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</si>
  <si>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</si>
  <si>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</si>
  <si>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</si>
  <si>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</si>
  <si>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</si>
  <si>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</si>
  <si>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</si>
  <si>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</si>
  <si>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</si>
  <si>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</si>
  <si>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</si>
  <si>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</si>
  <si>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</si>
  <si>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</si>
  <si>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</si>
  <si>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</si>
  <si>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</si>
  <si>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</si>
  <si>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</si>
  <si>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</si>
  <si>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</si>
  <si>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</si>
  <si>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</si>
  <si>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</t>
    <phoneticPr fontId="1" type="noConversion"/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</si>
  <si>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</si>
  <si>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</si>
  <si>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</si>
  <si>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</si>
  <si>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</si>
  <si>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</si>
  <si>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</si>
  <si>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</si>
  <si>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</si>
  <si>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</si>
  <si>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</si>
  <si>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</si>
  <si>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</si>
  <si>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</si>
  <si>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</si>
  <si>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</si>
  <si>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</si>
  <si>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</si>
  <si>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</si>
  <si>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</si>
  <si>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</si>
  <si>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</si>
  <si>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</si>
  <si>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</si>
  <si>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</si>
  <si>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</si>
  <si>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</si>
  <si>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</si>
  <si>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</si>
  <si>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</si>
  <si>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</si>
  <si>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</si>
  <si>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</si>
  <si>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</si>
  <si>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</si>
  <si>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</si>
  <si>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</si>
  <si>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</si>
  <si>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</si>
  <si>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</si>
  <si>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</si>
  <si>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</si>
  <si>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</si>
  <si>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</si>
  <si>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</si>
  <si>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</si>
  <si>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</si>
  <si>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</si>
  <si>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</si>
  <si>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</si>
  <si>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</si>
  <si>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</si>
  <si>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</si>
  <si>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</si>
  <si>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</si>
  <si>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</si>
  <si>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</si>
  <si>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</si>
  <si>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</si>
  <si>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</si>
  <si>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</si>
  <si>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</si>
  <si>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</si>
  <si>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</si>
  <si>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</si>
  <si>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</si>
  <si>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</si>
  <si>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</si>
  <si>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</si>
  <si>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</si>
  <si>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</si>
  <si>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</si>
  <si>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</si>
  <si>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</si>
  <si>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</si>
  <si>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</si>
  <si>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</si>
  <si>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</si>
  <si>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</si>
  <si>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</si>
  <si>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</si>
  <si>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</si>
  <si>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</si>
  <si>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</si>
  <si>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</si>
  <si>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</si>
  <si>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</si>
  <si>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</si>
  <si>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</si>
  <si>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</si>
  <si>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</si>
  <si>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</si>
  <si>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</si>
  <si>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</si>
  <si>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</si>
  <si>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</si>
  <si>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</si>
  <si>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</si>
  <si>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</si>
  <si>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</si>
  <si>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</si>
  <si>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</si>
  <si>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</si>
  <si>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</si>
  <si>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</si>
  <si>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</si>
  <si>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</si>
  <si>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</si>
  <si>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</si>
  <si>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</si>
  <si>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</si>
  <si>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</si>
  <si>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</si>
  <si>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</si>
  <si>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</si>
  <si>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</si>
  <si>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</si>
  <si>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</si>
  <si>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</si>
  <si>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</si>
  <si>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</si>
  <si>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</si>
  <si>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</si>
  <si>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</si>
  <si>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</si>
  <si>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</si>
  <si>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</si>
  <si>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</si>
  <si>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</si>
  <si>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</si>
  <si>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</si>
  <si>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</si>
  <si>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</si>
  <si>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</si>
  <si>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</si>
  <si>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</si>
  <si>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</si>
  <si>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</si>
  <si>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</si>
  <si>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</si>
  <si>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</si>
  <si>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</si>
  <si>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</si>
  <si>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</si>
  <si>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</si>
  <si>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</si>
  <si>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</si>
  <si>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</si>
  <si>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</si>
  <si>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</si>
  <si>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</si>
  <si>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</si>
  <si>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</si>
  <si>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</si>
  <si>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</si>
  <si>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</si>
  <si>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</si>
  <si>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</si>
  <si>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</si>
  <si>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</si>
  <si>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</si>
  <si>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</si>
  <si>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</si>
  <si>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</si>
  <si>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</si>
  <si>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</si>
  <si>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</si>
  <si>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</si>
  <si>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</si>
  <si>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</si>
  <si>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</si>
  <si>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</si>
  <si>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</si>
  <si>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</si>
  <si>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</si>
  <si>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</si>
  <si>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</si>
  <si>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</si>
  <si>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</si>
  <si>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</si>
  <si>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</si>
  <si>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</si>
  <si>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</si>
  <si>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</si>
  <si>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</si>
  <si>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</si>
  <si>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</si>
  <si>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</si>
  <si>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</si>
  <si>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</si>
  <si>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</si>
  <si>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</si>
  <si>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</si>
  <si>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</si>
  <si>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</si>
  <si>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</si>
  <si>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</si>
  <si>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</si>
  <si>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</si>
  <si>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</si>
  <si>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</si>
  <si>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</si>
  <si>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</si>
  <si>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</si>
  <si>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</si>
  <si>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</si>
  <si>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</si>
  <si>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</si>
  <si>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</si>
  <si>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</si>
  <si>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</si>
  <si>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</si>
  <si>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</si>
  <si>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</si>
  <si>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</si>
  <si>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</si>
  <si>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</si>
  <si>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</si>
  <si>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</si>
  <si>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</si>
  <si>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</si>
  <si>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</si>
  <si>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</si>
  <si>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</si>
  <si>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</si>
  <si>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</si>
  <si>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</si>
  <si>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</si>
  <si>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</si>
  <si>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</si>
  <si>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</si>
  <si>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</si>
  <si>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</si>
  <si>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</si>
  <si>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</si>
  <si>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</si>
  <si>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</si>
  <si>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</si>
  <si>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</si>
  <si>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</si>
  <si>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</si>
  <si>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</si>
  <si>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</si>
  <si>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</si>
  <si>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</si>
  <si>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</si>
  <si>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</si>
  <si>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</si>
  <si>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</si>
  <si>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</si>
  <si>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</si>
  <si>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</si>
  <si>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</si>
  <si>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</si>
  <si>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</si>
  <si>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</si>
  <si>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</si>
  <si>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</si>
  <si>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</si>
  <si>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</si>
  <si>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</si>
  <si>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</si>
  <si>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</si>
  <si>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</si>
  <si>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</si>
  <si>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</si>
  <si>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</si>
  <si>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</si>
  <si>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</si>
  <si>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</si>
  <si>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</si>
  <si>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</si>
  <si>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</si>
  <si>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</si>
  <si>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</si>
  <si>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</si>
  <si>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</si>
  <si>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</si>
  <si>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</si>
  <si>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</si>
  <si>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</si>
  <si>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</si>
  <si>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</si>
  <si>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</si>
  <si>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</si>
  <si>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</si>
  <si>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</si>
  <si>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</si>
  <si>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</si>
  <si>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</si>
  <si>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</si>
  <si>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</si>
  <si>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</si>
  <si>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</si>
  <si>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</si>
  <si>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</si>
  <si>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</si>
  <si>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</si>
  <si>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</si>
  <si>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</si>
  <si>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</si>
  <si>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</si>
  <si>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</si>
  <si>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</si>
  <si>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</si>
  <si>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</si>
  <si>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</si>
  <si>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</si>
  <si>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</si>
  <si>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</si>
  <si>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</si>
  <si>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</si>
  <si>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</si>
  <si>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</si>
  <si>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</si>
  <si>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</si>
  <si>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</si>
  <si>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</si>
  <si>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</si>
  <si>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</si>
  <si>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</si>
  <si>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</si>
  <si>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</si>
  <si>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</si>
  <si>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</si>
  <si>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</si>
  <si>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</si>
  <si>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</si>
  <si>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</si>
  <si>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</si>
  <si>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</si>
  <si>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</si>
  <si>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</si>
  <si>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</si>
  <si>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</si>
  <si>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</si>
  <si>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</si>
  <si>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</si>
  <si>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</si>
  <si>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</si>
  <si>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</si>
  <si>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</si>
  <si>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</si>
  <si>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</si>
  <si>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</si>
  <si>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</si>
  <si>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</si>
  <si>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</si>
  <si>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</si>
  <si>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</si>
  <si>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</si>
  <si>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</si>
  <si>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</si>
  <si>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</si>
  <si>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</si>
  <si>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</si>
  <si>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</si>
  <si>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</si>
  <si>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</si>
  <si>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</si>
  <si>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</si>
  <si>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</si>
  <si>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</si>
  <si>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</si>
  <si>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</si>
  <si>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</si>
  <si>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</si>
  <si>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</si>
  <si>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</si>
  <si>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</si>
  <si>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</si>
  <si>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</si>
  <si>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</si>
  <si>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</si>
  <si>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</si>
  <si>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</si>
  <si>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</si>
  <si>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</si>
  <si>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</si>
  <si>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</si>
  <si>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</si>
  <si>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</si>
  <si>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</si>
  <si>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</si>
  <si>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</si>
  <si>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</si>
  <si>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</si>
  <si>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</si>
  <si>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</si>
  <si>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</si>
  <si>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</si>
  <si>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</si>
  <si>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</si>
  <si>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</si>
  <si>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</si>
  <si>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</si>
  <si>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</si>
  <si>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</si>
  <si>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</si>
  <si>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</si>
  <si>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</si>
  <si>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</si>
  <si>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</si>
  <si>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</si>
  <si>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</si>
  <si>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</si>
  <si>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</si>
  <si>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</si>
  <si>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</si>
  <si>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</si>
  <si>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</si>
  <si>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</si>
  <si>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</si>
  <si>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</si>
  <si>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</si>
  <si>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</si>
  <si>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</si>
  <si>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</si>
  <si>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</si>
  <si>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</si>
  <si>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</si>
  <si>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</si>
  <si>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</si>
  <si>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</si>
  <si>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</si>
  <si>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</si>
  <si>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</si>
  <si>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</si>
  <si>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</si>
  <si>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</si>
  <si>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</si>
  <si>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</si>
  <si>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</si>
  <si>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</si>
  <si>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</si>
  <si>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</si>
  <si>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</si>
  <si>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</si>
  <si>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</si>
  <si>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</si>
  <si>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</si>
  <si>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</si>
  <si>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</si>
  <si>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</si>
  <si>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</si>
  <si>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</si>
  <si>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</si>
  <si>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</si>
  <si>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</si>
  <si>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</si>
  <si>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</si>
  <si>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</si>
  <si>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</si>
  <si>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</si>
  <si>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</si>
  <si>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</si>
  <si>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</si>
  <si>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</si>
  <si>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</si>
  <si>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</si>
  <si>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</si>
  <si>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</si>
  <si>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</si>
  <si>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</si>
  <si>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</si>
  <si>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</si>
  <si>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</si>
  <si>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</si>
  <si>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</si>
  <si>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</si>
  <si>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</si>
  <si>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</si>
  <si>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</si>
  <si>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</si>
  <si>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</si>
  <si>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</si>
  <si>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</si>
  <si>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</si>
  <si>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</si>
  <si>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</si>
  <si>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</si>
  <si>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</si>
  <si>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</si>
  <si>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</si>
  <si>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</si>
  <si>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</si>
  <si>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</si>
  <si>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</si>
  <si>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</si>
  <si>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</si>
  <si>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</si>
  <si>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</si>
  <si>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</si>
  <si>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</si>
  <si>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</si>
  <si>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</si>
  <si>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</si>
  <si>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</si>
  <si>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</si>
  <si>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</si>
  <si>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</si>
  <si>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</si>
  <si>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</si>
  <si>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</si>
  <si>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</si>
  <si>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</si>
  <si>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</si>
  <si>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</si>
  <si>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</si>
  <si>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</si>
  <si>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</si>
  <si>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</si>
  <si>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</si>
  <si>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</si>
  <si>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</si>
  <si>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</si>
  <si>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</si>
  <si>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</si>
  <si>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</si>
  <si>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</si>
  <si>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</si>
  <si>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</si>
  <si>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</si>
  <si>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</si>
  <si>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</si>
  <si>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</si>
  <si>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</si>
  <si>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</si>
  <si>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</si>
  <si>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</si>
  <si>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</si>
  <si>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</si>
  <si>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</si>
  <si>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</si>
  <si>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</si>
  <si>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</si>
  <si>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</si>
  <si>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</si>
  <si>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</si>
  <si>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</si>
  <si>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</si>
  <si>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</si>
  <si>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</si>
  <si>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</si>
  <si>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</si>
  <si>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</si>
  <si>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</si>
  <si>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</si>
  <si>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</si>
  <si>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</si>
  <si>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</si>
  <si>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</si>
  <si>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</si>
  <si>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</si>
  <si>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</si>
  <si>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</si>
  <si>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</si>
  <si>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</si>
  <si>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</si>
  <si>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</si>
  <si>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</si>
  <si>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</si>
  <si>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</si>
  <si>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</si>
  <si>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</si>
  <si>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</si>
  <si>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</si>
  <si>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</si>
  <si>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</si>
  <si>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</si>
  <si>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</si>
  <si>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</si>
  <si>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</si>
  <si>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</si>
  <si>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</si>
  <si>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</si>
  <si>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</si>
  <si>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</si>
  <si>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</si>
  <si>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</si>
  <si>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</si>
  <si>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</si>
  <si>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</si>
  <si>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</si>
  <si>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</si>
  <si>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</si>
  <si>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</si>
  <si>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</si>
  <si>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</si>
  <si>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</si>
  <si>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</si>
  <si>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</si>
  <si>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</si>
  <si>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</si>
  <si>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</si>
  <si>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</si>
  <si>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</si>
  <si>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</si>
  <si>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</si>
  <si>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</si>
  <si>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</si>
  <si>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</si>
  <si>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</si>
  <si>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</si>
  <si>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</si>
  <si>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</si>
  <si>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</si>
  <si>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</si>
  <si>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</si>
  <si>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</si>
  <si>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</si>
  <si>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</si>
  <si>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</si>
  <si>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</si>
  <si>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</si>
  <si>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</si>
  <si>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</si>
  <si>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</si>
  <si>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</si>
  <si>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</si>
  <si>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</si>
  <si>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</si>
  <si>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</si>
  <si>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</si>
  <si>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</si>
  <si>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</si>
  <si>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</si>
  <si>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</si>
  <si>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</si>
  <si>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</si>
  <si>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</si>
  <si>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</si>
  <si>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</si>
  <si>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</si>
  <si>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</si>
  <si>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</si>
  <si>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</si>
  <si>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</si>
  <si>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</si>
  <si>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</si>
  <si>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</si>
  <si>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</si>
  <si>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</si>
  <si>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</si>
  <si>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</si>
  <si>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</si>
  <si>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</si>
  <si>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</si>
  <si>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</si>
  <si>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</si>
  <si>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</si>
  <si>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</si>
  <si>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</si>
  <si>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</si>
  <si>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</si>
  <si>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</si>
  <si>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</si>
  <si>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</si>
  <si>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</si>
  <si>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</si>
  <si>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</si>
  <si>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</si>
  <si>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</si>
  <si>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</si>
  <si>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</si>
  <si>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</si>
  <si>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</si>
  <si>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</si>
  <si>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</si>
  <si>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</si>
  <si>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</si>
  <si>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</si>
  <si>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</si>
  <si>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</si>
  <si>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</si>
  <si>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</si>
  <si>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</si>
  <si>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</si>
  <si>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</si>
  <si>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</si>
  <si>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</si>
  <si>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</si>
  <si>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</si>
  <si>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</si>
  <si>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</si>
  <si>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</si>
  <si>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</si>
  <si>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</si>
  <si>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</si>
  <si>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</si>
  <si>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</si>
  <si>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</si>
  <si>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</si>
  <si>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</si>
  <si>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</si>
  <si>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</si>
  <si>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</si>
  <si>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</si>
  <si>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</si>
  <si>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</si>
  <si>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</si>
  <si>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</si>
  <si>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</si>
  <si>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</si>
  <si>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</si>
  <si>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</si>
  <si>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</si>
  <si>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</si>
  <si>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</si>
  <si>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</si>
  <si>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</si>
  <si>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</si>
  <si>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</si>
  <si>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</si>
  <si>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</si>
  <si>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</si>
  <si>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</si>
  <si>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</si>
  <si>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</si>
  <si>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</si>
  <si>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</si>
  <si>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</si>
  <si>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</si>
  <si>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</si>
  <si>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</si>
  <si>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</si>
  <si>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</si>
  <si>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</si>
  <si>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</si>
  <si>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</si>
  <si>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</si>
  <si>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</si>
  <si>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</si>
  <si>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</si>
  <si>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</si>
  <si>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</si>
  <si>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</si>
  <si>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</si>
  <si>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</si>
  <si>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</si>
  <si>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</si>
  <si>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</si>
  <si>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</si>
  <si>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</si>
  <si>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</si>
  <si>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</si>
  <si>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</si>
  <si>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</si>
  <si>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</si>
  <si>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</si>
  <si>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</si>
  <si>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</si>
  <si>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</si>
  <si>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</si>
  <si>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</si>
  <si>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</si>
  <si>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</si>
  <si>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</si>
  <si>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</si>
  <si>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</si>
  <si>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</si>
  <si>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</si>
  <si>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</si>
  <si>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</si>
  <si>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</si>
  <si>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</si>
  <si>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</si>
  <si>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</si>
  <si>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</si>
  <si>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</si>
  <si>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</si>
  <si>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</si>
  <si>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</si>
  <si>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</si>
  <si>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</si>
  <si>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</si>
  <si>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</si>
  <si>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</si>
  <si>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</si>
  <si>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</si>
  <si>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</si>
  <si>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</si>
  <si>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</si>
  <si>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</si>
  <si>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</si>
  <si>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</si>
  <si>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</si>
  <si>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</si>
  <si>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</si>
  <si>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</si>
  <si>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</si>
  <si>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</si>
  <si>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</si>
  <si>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</si>
  <si>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</si>
  <si>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</si>
  <si>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</si>
  <si>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</si>
  <si>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</si>
  <si>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</si>
  <si>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</si>
  <si>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</si>
  <si>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</si>
  <si>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</si>
  <si>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</si>
  <si>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</si>
  <si>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</si>
  <si>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</si>
  <si>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</si>
  <si>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</si>
  <si>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</si>
  <si>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</si>
  <si>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</si>
  <si>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</si>
  <si>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</si>
  <si>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</si>
  <si>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</si>
  <si>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</si>
  <si>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</si>
  <si>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</si>
  <si>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</si>
  <si>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</si>
  <si>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</si>
  <si>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</si>
  <si>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</si>
  <si>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</si>
  <si>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</si>
  <si>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</si>
  <si>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</si>
  <si>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</si>
  <si>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</si>
  <si>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</si>
  <si>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</si>
  <si>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</si>
  <si>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</si>
  <si>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</si>
  <si>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</si>
  <si>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</si>
  <si>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</si>
  <si>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</si>
  <si>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</si>
  <si>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</si>
  <si>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</si>
  <si>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</si>
  <si>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</si>
  <si>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</si>
  <si>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</si>
  <si>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</si>
  <si>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</si>
  <si>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</si>
  <si>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</si>
  <si>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</si>
  <si>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</si>
  <si>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</si>
  <si>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</si>
  <si>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</si>
  <si>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</si>
  <si>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</si>
  <si>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</si>
  <si>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</si>
  <si>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</si>
  <si>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</si>
  <si>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</si>
  <si>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</si>
  <si>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</si>
  <si>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</si>
  <si>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</si>
  <si>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</si>
  <si>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</si>
  <si>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</si>
  <si>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</si>
  <si>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</si>
  <si>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</si>
  <si>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</si>
  <si>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</si>
  <si>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</si>
  <si>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</si>
  <si>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</si>
  <si>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</si>
  <si>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</si>
  <si>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</si>
  <si>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</si>
  <si>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</si>
  <si>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</si>
  <si>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</si>
  <si>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</si>
  <si>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</si>
  <si>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</si>
  <si>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</si>
  <si>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</si>
  <si>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</si>
  <si>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</si>
  <si>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</si>
  <si>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</si>
  <si>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</si>
  <si>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</si>
  <si>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</si>
  <si>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</si>
  <si>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</si>
  <si>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</si>
  <si>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</si>
  <si>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</si>
  <si>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</si>
  <si>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</si>
  <si>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</si>
  <si>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</si>
  <si>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</si>
  <si>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</si>
  <si>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</si>
  <si>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</si>
  <si>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</si>
  <si>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</si>
  <si>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</si>
  <si>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</si>
  <si>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</si>
  <si>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</si>
  <si>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</si>
  <si>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</si>
  <si>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</si>
  <si>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</si>
  <si>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</si>
  <si>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</si>
  <si>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</si>
  <si>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</si>
  <si>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</si>
  <si>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</si>
  <si>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</si>
  <si>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</si>
  <si>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</si>
  <si>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</si>
  <si>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</si>
  <si>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</si>
  <si>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</si>
  <si>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</si>
  <si>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</si>
  <si>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</si>
  <si>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</si>
  <si>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</si>
  <si>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</si>
  <si>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</si>
  <si>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</si>
  <si>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</si>
  <si>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</si>
  <si>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</si>
  <si>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</si>
  <si>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</si>
  <si>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</si>
  <si>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</si>
  <si>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</si>
  <si>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</si>
  <si>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</si>
  <si>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</si>
  <si>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</si>
  <si>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</si>
  <si>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</si>
  <si>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</si>
  <si>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</si>
  <si>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</si>
  <si>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</si>
  <si>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</si>
  <si>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</si>
  <si>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</si>
  <si>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</si>
  <si>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</si>
  <si>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</si>
  <si>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</si>
  <si>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</si>
  <si>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</si>
  <si>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</si>
  <si>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</si>
  <si>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</si>
  <si>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</si>
  <si>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</si>
  <si>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</si>
  <si>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</si>
  <si>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</si>
  <si>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</si>
  <si>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</si>
  <si>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</si>
  <si>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</si>
  <si>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</si>
  <si>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</si>
  <si>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</si>
  <si>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</si>
  <si>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</si>
  <si>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</si>
  <si>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</si>
  <si>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</si>
  <si>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</si>
  <si>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</si>
  <si>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</si>
  <si>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</si>
  <si>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</si>
  <si>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</si>
  <si>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</si>
  <si>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</si>
  <si>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</si>
  <si>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</si>
  <si>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</si>
  <si>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</si>
  <si>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</si>
  <si>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</si>
  <si>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</si>
  <si>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</si>
  <si>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</si>
  <si>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</si>
  <si>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</si>
  <si>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</si>
  <si>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</si>
  <si>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</si>
  <si>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</si>
  <si>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</si>
  <si>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</si>
  <si>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</si>
  <si>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</si>
  <si>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</si>
  <si>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</si>
  <si>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</si>
  <si>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</si>
  <si>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</si>
  <si>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</si>
  <si>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</si>
  <si>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</si>
  <si>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</si>
  <si>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</si>
  <si>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</si>
  <si>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</si>
  <si>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</si>
  <si>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</si>
  <si>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</si>
  <si>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</si>
  <si>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</si>
  <si>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접수 시작</t>
    <phoneticPr fontId="1" type="noConversion"/>
  </si>
  <si>
    <t>마감</t>
    <phoneticPr fontId="1" type="noConversion"/>
  </si>
  <si>
    <t>전체</t>
    <phoneticPr fontId="1" type="noConversion"/>
  </si>
  <si>
    <t>워드프로세서 단일</t>
    <phoneticPr fontId="1" type="noConversion"/>
  </si>
  <si>
    <t>컴퓨터활용능력 1급</t>
    <phoneticPr fontId="1" type="noConversion"/>
  </si>
  <si>
    <t>컴퓨터활용능력 2급</t>
    <phoneticPr fontId="1" type="noConversion"/>
  </si>
  <si>
    <t>비서 1급</t>
    <phoneticPr fontId="1" type="noConversion"/>
  </si>
  <si>
    <t>비서 2급</t>
    <phoneticPr fontId="1" type="noConversion"/>
  </si>
  <si>
    <t>비서 3급</t>
    <phoneticPr fontId="1" type="noConversion"/>
  </si>
  <si>
    <t>종목</t>
    <phoneticPr fontId="1" type="noConversion"/>
  </si>
  <si>
    <t>개수 : 합격여부</t>
  </si>
  <si>
    <t>행 레이블</t>
  </si>
  <si>
    <t>총합계</t>
  </si>
  <si>
    <t>회차</t>
    <phoneticPr fontId="1" type="noConversion"/>
  </si>
  <si>
    <t>회원번호</t>
    <phoneticPr fontId="1" type="noConversion"/>
  </si>
  <si>
    <t>합격여부</t>
    <phoneticPr fontId="1" type="noConversion"/>
  </si>
  <si>
    <t>합격</t>
    <phoneticPr fontId="1" type="noConversion"/>
  </si>
  <si>
    <t>열 레이블</t>
  </si>
  <si>
    <t>종목 이름</t>
  </si>
  <si>
    <t>접수시작일</t>
  </si>
  <si>
    <t>남은 일수</t>
  </si>
  <si>
    <t>접수마감일</t>
  </si>
  <si>
    <t>기간</t>
    <phoneticPr fontId="1" type="noConversion"/>
  </si>
  <si>
    <t xml:space="preserve"> </t>
    <phoneticPr fontId="1" type="noConversion"/>
  </si>
  <si>
    <t>시험일자</t>
    <phoneticPr fontId="1" type="noConversion"/>
  </si>
  <si>
    <t>2021-07-04~2021-07-18</t>
  </si>
  <si>
    <t>2021-07-25~2021-08-08</t>
  </si>
  <si>
    <t>2021-08-03~2021-08-17</t>
  </si>
  <si>
    <t>2021-09-09~2021-09-23</t>
  </si>
  <si>
    <t>2021-09-16~2021-09-30</t>
  </si>
  <si>
    <t>워드프로세서단일</t>
  </si>
  <si>
    <t>컴퓨터활용능력1급</t>
  </si>
  <si>
    <t>컴퓨터활용능력2급</t>
  </si>
  <si>
    <t>비서1급</t>
  </si>
  <si>
    <t>비서2급</t>
  </si>
  <si>
    <t>비서3급</t>
  </si>
  <si>
    <t>종목번호</t>
    <phoneticPr fontId="1" type="noConversion"/>
  </si>
  <si>
    <t>9:00</t>
  </si>
  <si>
    <t>회차</t>
    <phoneticPr fontId="1" type="noConversion"/>
  </si>
  <si>
    <t>워드프로세서 단일</t>
  </si>
  <si>
    <t>컴퓨터활용능력 2급</t>
  </si>
  <si>
    <t>비서 1급</t>
  </si>
  <si>
    <t>wqe</t>
    <phoneticPr fontId="1" type="noConversion"/>
  </si>
  <si>
    <t>user1#$</t>
  </si>
  <si>
    <t xml:space="preserve">                                   </t>
    <phoneticPr fontId="1" type="noConversion"/>
  </si>
  <si>
    <t xml:space="preserve"> 번호</t>
    <phoneticPr fontId="1" type="noConversion"/>
  </si>
  <si>
    <t>TMP</t>
    <phoneticPr fontId="1" type="noConversion"/>
  </si>
  <si>
    <t>종목번호</t>
    <phoneticPr fontId="1" type="noConversion"/>
  </si>
  <si>
    <t>좌석수</t>
    <phoneticPr fontId="1" type="noConversion"/>
  </si>
  <si>
    <t>번호</t>
    <phoneticPr fontId="1" type="noConversion"/>
  </si>
  <si>
    <t>시험일자</t>
    <phoneticPr fontId="1" type="noConversion"/>
  </si>
  <si>
    <t>시험시간</t>
    <phoneticPr fontId="1" type="noConversion"/>
  </si>
  <si>
    <t>열1</t>
    <phoneticPr fontId="1" type="noConversion"/>
  </si>
  <si>
    <t>열2</t>
    <phoneticPr fontId="1" type="noConversion"/>
  </si>
  <si>
    <t>열3</t>
    <phoneticPr fontId="1" type="noConversion"/>
  </si>
  <si>
    <t>2021-06-05~2021-06-19</t>
  </si>
  <si>
    <t>2021-06-07~2021-06-21</t>
  </si>
  <si>
    <t>2021-06-10~2021-06-24</t>
  </si>
  <si>
    <t>2021-06-14~2021-06-28</t>
  </si>
  <si>
    <t>2021-06-23~2021-07-07</t>
  </si>
  <si>
    <t>2021-06-25~2021-07-09</t>
  </si>
  <si>
    <t>2021-07-06~2021-07-20</t>
  </si>
  <si>
    <t>2021-07-08~2021-07-22</t>
  </si>
  <si>
    <t>2021-07-09~2021-07-23</t>
  </si>
  <si>
    <t>2021-07-27~2021-08-10</t>
  </si>
  <si>
    <t>2021-07-29~2021-08-12</t>
  </si>
  <si>
    <t>2021-08-01~2021-08-15</t>
  </si>
  <si>
    <t>2021-08-05~2021-08-19</t>
  </si>
  <si>
    <t>2021-08-06~2021-08-20</t>
  </si>
  <si>
    <t>2021-08-07~2021-08-21</t>
  </si>
  <si>
    <t>2021-08-17~2021-08-31</t>
  </si>
  <si>
    <t>2021-08-25~2021-09-08</t>
  </si>
  <si>
    <t>2021-08-31~2021-09-14</t>
  </si>
  <si>
    <t>2021-09-02~2021-09-16</t>
  </si>
  <si>
    <t>2021-09-05~2021-09-19</t>
  </si>
  <si>
    <t>2021-09-07~2021-09-21</t>
  </si>
  <si>
    <t>2021-09-08~2021-09-22</t>
  </si>
  <si>
    <t>2021-10-16~2021-10-30</t>
  </si>
  <si>
    <t>2021-10-21~2021-11-04</t>
  </si>
  <si>
    <t xml:space="preserve"> </t>
    <phoneticPr fontId="1" type="noConversion"/>
  </si>
  <si>
    <t>워드프로세서단일</t>
    <phoneticPr fontId="1" type="noConversion"/>
  </si>
  <si>
    <t>발표일자</t>
    <phoneticPr fontId="1" type="noConversion"/>
  </si>
  <si>
    <t>접수비</t>
    <phoneticPr fontId="1" type="noConversion"/>
  </si>
  <si>
    <t>접수수수료</t>
    <phoneticPr fontId="1" type="noConversion"/>
  </si>
  <si>
    <t>비서 2급</t>
  </si>
  <si>
    <t>비서 3급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</si>
</sst>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 tint="0.499984740745262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0" fillId="2" borderId="0" xfId="0" applyFill="1" applyAlignment="1">
      <alignment horizontal="left" vertical="center"/>
    </xf>
    <xf numFmtId="14" fontId="0" fillId="2" borderId="0" xfId="0" applyNumberForma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4" borderId="0" xfId="0" applyNumberForma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3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Fill="1">
      <alignment vertical="center"/>
    </xf>
    <xf numFmtId="0" fontId="5" fillId="3" borderId="0" xfId="0" applyFont="1" applyFill="1" applyBorder="1" applyAlignment="1">
      <alignment horizontal="center" vertical="center"/>
    </xf>
    <xf numFmtId="14" fontId="6" fillId="0" borderId="0" xfId="0" applyNumberFormat="1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0" fillId="3" borderId="10" xfId="0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7" fillId="2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</cellXfs>
  <cellStyles count="1">
    <cellStyle name="표준" xfId="0" builtinId="0"/>
  </cellStyles>
  <dxfs count="102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9"/>
        </left>
        <right/>
        <top/>
        <bottom style="thin">
          <color theme="9"/>
        </bottom>
      </border>
    </dxf>
    <dxf>
      <border>
        <left style="thin">
          <color theme="9"/>
        </left>
        <bottom style="thin">
          <color theme="9"/>
        </bottom>
      </border>
    </dxf>
    <dxf>
      <border>
        <right style="thin">
          <color theme="9"/>
        </right>
      </border>
    </dxf>
    <dxf>
      <font>
        <color theme="0"/>
      </font>
      <fill>
        <patternFill>
          <bgColor theme="9"/>
        </patternFill>
      </fill>
    </dxf>
    <dxf>
      <border>
        <bottom style="thin">
          <color theme="9"/>
        </bottom>
        <vertic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표 스타일 1" pivot="0" count="2" xr9:uid="{00000000-0011-0000-FFFF-FFFF00000000}">
      <tableStyleElement type="wholeTable" dxfId="101"/>
      <tableStyleElement type="headerRow" dxfId="100"/>
    </tableStyle>
    <tableStyle name="표 스타일 2" pivot="0" count="5" xr9:uid="{00000000-0011-0000-FFFF-FFFF01000000}">
      <tableStyleElement type="wholeTable" dxfId="99"/>
      <tableStyleElement type="headerRow" dxfId="98"/>
      <tableStyleElement type="lastColumn" dxfId="97"/>
      <tableStyleElement type="firstRowStripe" dxfId="96"/>
      <tableStyleElement type="secondRowStripe" dxfId="95"/>
    </tableStyle>
  </tableStyles>
  <colors>
    <mruColors>
      <color rgb="FFFF3399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[ㅇㅇ.xlsm]합격률!피벗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전체 합격률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>
            <a:solidFill>
              <a:schemeClr val="bg1"/>
            </a:solidFill>
          </a:ln>
          <a:effectLst/>
        </c:spPr>
      </c:pivotFmt>
      <c:pivotFmt>
        <c:idx val="1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합격률!$W$3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427-400B-8909-426227DE9812}"/>
              </c:ext>
            </c:extLst>
          </c:dPt>
          <c:dPt>
            <c:idx val="1"/>
            <c:bubble3D val="0"/>
            <c:explosion val="4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427-400B-8909-426227DE9812}"/>
              </c:ext>
            </c:extLst>
          </c:dPt>
          <c:cat>
            <c:strRef>
              <c:f>합격률!$V$4:$V$6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합격률!$W$4:$W$6</c:f>
              <c:numCache>
                <c:formatCode>0.00%</c:formatCode>
                <c:ptCount val="2"/>
                <c:pt idx="0">
                  <c:v>0.91848906560636179</c:v>
                </c:pt>
                <c:pt idx="1">
                  <c:v>8.1510934393638171E-2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27-400B-8909-426227DE9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[ㅇㅇ.xlsm]합격률!피벗 테이블3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전체 회차별 합격률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합격률!$CA$1:$CA$2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합격률!$BZ$3:$BZ$8</c:f>
              <c:strCache>
                <c:ptCount val="5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</c:strCache>
            </c:strRef>
          </c:cat>
          <c:val>
            <c:numRef>
              <c:f>합격률!$CA$3:$CA$8</c:f>
              <c:numCache>
                <c:formatCode>General</c:formatCode>
                <c:ptCount val="5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D-4071-ACB5-8281DEB2A65A}"/>
            </c:ext>
          </c:extLst>
        </c:ser>
        <c:ser>
          <c:idx val="1"/>
          <c:order val="1"/>
          <c:tx>
            <c:strRef>
              <c:f>합격률!$CB$1:$CB$2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합격률!$BZ$3:$BZ$8</c:f>
              <c:strCache>
                <c:ptCount val="5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</c:strCache>
            </c:strRef>
          </c:cat>
          <c:val>
            <c:numRef>
              <c:f>합격률!$CB$3:$CB$8</c:f>
              <c:numCache>
                <c:formatCode>General</c:formatCode>
                <c:ptCount val="5"/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8-435C-BFB1-CF508893B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603238616"/>
        <c:axId val="603242552"/>
      </c:barChart>
      <c:catAx>
        <c:axId val="603238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3242552"/>
        <c:crosses val="autoZero"/>
        <c:auto val="1"/>
        <c:lblAlgn val="ctr"/>
        <c:lblOffset val="100"/>
        <c:tickMarkSkip val="1"/>
        <c:noMultiLvlLbl val="0"/>
      </c:catAx>
      <c:valAx>
        <c:axId val="603242552"/>
        <c:scaling>
          <c:orientation val="minMax"/>
          <c:max val="3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3238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일정보기!$F$19</c:f>
              <c:strCache>
                <c:ptCount val="1"/>
                <c:pt idx="0">
                  <c:v>접수시작일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일정보기!$E$20:$E$29</c:f>
              <c:strCache>
                <c:ptCount val="10"/>
                <c:pt idx="0">
                  <c:v>워드프로세서 단일</c:v>
                </c:pt>
                <c:pt idx="1">
                  <c:v>컴퓨터활용능력 2급</c:v>
                </c:pt>
                <c:pt idx="2">
                  <c:v>컴퓨터활용능력 2급</c:v>
                </c:pt>
                <c:pt idx="3">
                  <c:v>컴퓨터활용능력 2급</c:v>
                </c:pt>
                <c:pt idx="4">
                  <c:v>비서 1급</c:v>
                </c:pt>
                <c:pt idx="5">
                  <c:v>비서 1급</c:v>
                </c:pt>
                <c:pt idx="6">
                  <c:v>비서 2급</c:v>
                </c:pt>
                <c:pt idx="7">
                  <c:v>비서 2급</c:v>
                </c:pt>
                <c:pt idx="8">
                  <c:v>비서 3급</c:v>
                </c:pt>
                <c:pt idx="9">
                  <c:v>비서 3급</c:v>
                </c:pt>
              </c:strCache>
            </c:strRef>
          </c:cat>
          <c:val>
            <c:numRef>
              <c:f>일정보기!$F$20:$F$29</c:f>
              <c:numCache>
                <c:formatCode>m/d/yyyy</c:formatCode>
                <c:ptCount val="10"/>
                <c:pt idx="0">
                  <c:v>44485</c:v>
                </c:pt>
                <c:pt idx="1">
                  <c:v>44484</c:v>
                </c:pt>
                <c:pt idx="2">
                  <c:v>44485</c:v>
                </c:pt>
                <c:pt idx="3">
                  <c:v>44486</c:v>
                </c:pt>
                <c:pt idx="4">
                  <c:v>44484</c:v>
                </c:pt>
                <c:pt idx="5">
                  <c:v>44484</c:v>
                </c:pt>
                <c:pt idx="6">
                  <c:v>44485</c:v>
                </c:pt>
                <c:pt idx="7">
                  <c:v>44485</c:v>
                </c:pt>
                <c:pt idx="8">
                  <c:v>44485</c:v>
                </c:pt>
                <c:pt idx="9">
                  <c:v>44485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D-4C2D-96AE-7E049068FB19}"/>
            </c:ext>
          </c:extLst>
        </c:ser>
        <c:ser>
          <c:idx val="1"/>
          <c:order val="1"/>
          <c:tx>
            <c:strRef>
              <c:f>일정보기!$G$19</c:f>
              <c:strCache>
                <c:ptCount val="1"/>
                <c:pt idx="0">
                  <c:v>기간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일정보기!$E$20:$E$29</c:f>
              <c:strCache>
                <c:ptCount val="10"/>
                <c:pt idx="0">
                  <c:v>워드프로세서 단일</c:v>
                </c:pt>
                <c:pt idx="1">
                  <c:v>컴퓨터활용능력 2급</c:v>
                </c:pt>
                <c:pt idx="2">
                  <c:v>컴퓨터활용능력 2급</c:v>
                </c:pt>
                <c:pt idx="3">
                  <c:v>컴퓨터활용능력 2급</c:v>
                </c:pt>
                <c:pt idx="4">
                  <c:v>비서 1급</c:v>
                </c:pt>
                <c:pt idx="5">
                  <c:v>비서 1급</c:v>
                </c:pt>
                <c:pt idx="6">
                  <c:v>비서 2급</c:v>
                </c:pt>
                <c:pt idx="7">
                  <c:v>비서 2급</c:v>
                </c:pt>
                <c:pt idx="8">
                  <c:v>비서 3급</c:v>
                </c:pt>
                <c:pt idx="9">
                  <c:v>비서 3급</c:v>
                </c:pt>
              </c:strCache>
            </c:strRef>
          </c:cat>
          <c:val>
            <c:numRef>
              <c:f>일정보기!$G$20:$G$29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BD-4C2D-96AE-7E049068F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overlap val="100"/>
        <c:axId val="578543600"/>
        <c:axId val="578543272"/>
      </c:barChart>
      <c:catAx>
        <c:axId val="578543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543272"/>
        <c:crosses val="autoZero"/>
        <c:auto val="1"/>
        <c:lblAlgn val="ctr"/>
        <c:lblOffset val="100"/>
        <c:noMultiLvlLbl val="0"/>
      </c:catAx>
      <c:valAx>
        <c:axId val="578543272"/>
        <c:scaling>
          <c:orientation val="minMax"/>
          <c:max val="44528"/>
          <c:min val="444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54360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R$2" fmlaRange="$S$1:$S$7" noThreeD="1" sel="1" val="0"/>
</file>

<file path=xl/ctrlProps/ctrlProp2.xml><?xml version="1.0" encoding="utf-8"?>
<formControlPr xmlns="http://schemas.microsoft.com/office/spreadsheetml/2009/9/main" objectType="Scroll" dx="22" fmlaLink="$M$2" horiz="1" inc="5" max="39" min="1" page="5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587398</xdr:colOff>
      <xdr:row>15</xdr:row>
      <xdr:rowOff>102501</xdr:rowOff>
    </xdr:from>
    <xdr:to>
      <xdr:col>6</xdr:col>
      <xdr:colOff>331414</xdr:colOff>
      <xdr:row>25</xdr:row>
      <xdr:rowOff>32895</xdr:rowOff>
    </xdr:to>
    <xdr:sp macro="[0]!시험일정등록_Click" textlink="">
      <xdr:nvSpPr>
        <xdr:cNvPr id="19" name="모서리가 둥근 직사각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38074" y="3296177"/>
          <a:ext cx="1794693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</a:t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시험일정등록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770</xdr:colOff>
      <xdr:row>15</xdr:row>
      <xdr:rowOff>51515</xdr:rowOff>
    </xdr:from>
    <xdr:to>
      <xdr:col>9</xdr:col>
      <xdr:colOff>428345</xdr:colOff>
      <xdr:row>24</xdr:row>
      <xdr:rowOff>194821</xdr:rowOff>
    </xdr:to>
    <xdr:sp macro="[0]!문제출제_Click" textlink="">
      <xdr:nvSpPr>
        <xdr:cNvPr id="20" name="모서리가 둥근 직사각형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785682" y="3245191"/>
          <a:ext cx="1794692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</a:t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문제출제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313682</xdr:colOff>
      <xdr:row>0</xdr:row>
      <xdr:rowOff>0</xdr:rowOff>
    </xdr:from>
    <xdr:to>
      <xdr:col>11</xdr:col>
      <xdr:colOff>18522</xdr:colOff>
      <xdr:row>7</xdr:row>
      <xdr:rowOff>133132</xdr:rowOff>
    </xdr:to>
    <xdr:pic>
      <xdr:nvPicPr>
        <xdr:cNvPr id="6" name="img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082" y="0"/>
          <a:ext cx="5191240" cy="1599982"/>
        </a:xfrm>
        <a:prstGeom prst="rect">
          <a:avLst/>
        </a:prstGeom>
      </xdr:spPr>
    </xdr:pic>
    <xdr:clientData/>
  </xdr:twoCellAnchor>
  <xdr:twoCellAnchor editAs="oneCell">
    <xdr:from>
      <xdr:col>3</xdr:col>
      <xdr:colOff>302531</xdr:colOff>
      <xdr:row>7</xdr:row>
      <xdr:rowOff>120650</xdr:rowOff>
    </xdr:from>
    <xdr:to>
      <xdr:col>11</xdr:col>
      <xdr:colOff>7260</xdr:colOff>
      <xdr:row>15</xdr:row>
      <xdr:rowOff>24247</xdr:rowOff>
    </xdr:to>
    <xdr:pic>
      <xdr:nvPicPr>
        <xdr:cNvPr id="7" name="img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9931" y="1587500"/>
          <a:ext cx="5191129" cy="1579997"/>
        </a:xfrm>
        <a:prstGeom prst="rect">
          <a:avLst/>
        </a:prstGeom>
      </xdr:spPr>
    </xdr:pic>
    <xdr:clientData/>
  </xdr:twoCellAnchor>
  <xdr:twoCellAnchor editAs="oneCell">
    <xdr:from>
      <xdr:col>3</xdr:col>
      <xdr:colOff>324942</xdr:colOff>
      <xdr:row>15</xdr:row>
      <xdr:rowOff>107950</xdr:rowOff>
    </xdr:from>
    <xdr:to>
      <xdr:col>11</xdr:col>
      <xdr:colOff>29671</xdr:colOff>
      <xdr:row>23</xdr:row>
      <xdr:rowOff>60501</xdr:rowOff>
    </xdr:to>
    <xdr:pic>
      <xdr:nvPicPr>
        <xdr:cNvPr id="8" name="img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2342" y="3251200"/>
          <a:ext cx="5191129" cy="1628951"/>
        </a:xfrm>
        <a:prstGeom prst="rect">
          <a:avLst/>
        </a:prstGeom>
      </xdr:spPr>
    </xdr:pic>
    <xdr:clientData/>
  </xdr:twoCellAnchor>
  <xdr:twoCellAnchor>
    <xdr:from>
      <xdr:col>1</xdr:col>
      <xdr:colOff>134472</xdr:colOff>
      <xdr:row>15</xdr:row>
      <xdr:rowOff>134472</xdr:rowOff>
    </xdr:from>
    <xdr:to>
      <xdr:col>17</xdr:col>
      <xdr:colOff>33619</xdr:colOff>
      <xdr:row>45</xdr:row>
      <xdr:rowOff>190501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18031" y="3328148"/>
          <a:ext cx="10836088" cy="644338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568697</xdr:colOff>
      <xdr:row>0</xdr:row>
      <xdr:rowOff>9525</xdr:rowOff>
    </xdr:from>
    <xdr:to>
      <xdr:col>15</xdr:col>
      <xdr:colOff>628650</xdr:colOff>
      <xdr:row>8</xdr:row>
      <xdr:rowOff>143997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4497" y="9525"/>
          <a:ext cx="9661153" cy="181087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4</xdr:col>
      <xdr:colOff>49006</xdr:colOff>
      <xdr:row>0</xdr:row>
      <xdr:rowOff>197862</xdr:rowOff>
    </xdr:from>
    <xdr:ext cx="3803735" cy="1289712"/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83241" y="197862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3</xdr:col>
      <xdr:colOff>598604</xdr:colOff>
      <xdr:row>15</xdr:row>
      <xdr:rowOff>91296</xdr:rowOff>
    </xdr:from>
    <xdr:to>
      <xdr:col>6</xdr:col>
      <xdr:colOff>342620</xdr:colOff>
      <xdr:row>25</xdr:row>
      <xdr:rowOff>21690</xdr:rowOff>
    </xdr:to>
    <xdr:sp macro="[0]!set접수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49280" y="3284972"/>
          <a:ext cx="1794693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</a:t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시험접수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667520</xdr:colOff>
      <xdr:row>15</xdr:row>
      <xdr:rowOff>24621</xdr:rowOff>
    </xdr:from>
    <xdr:to>
      <xdr:col>9</xdr:col>
      <xdr:colOff>409295</xdr:colOff>
      <xdr:row>24</xdr:row>
      <xdr:rowOff>167927</xdr:rowOff>
    </xdr:to>
    <xdr:sp macro="[0]!시험보기_Click" textlink="">
      <xdr:nvSpPr>
        <xdr:cNvPr id="12" name="모서리가 둥근 직사각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82320" y="3167871"/>
          <a:ext cx="1799175" cy="202925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</a:t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시험보기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617654</xdr:colOff>
      <xdr:row>26</xdr:row>
      <xdr:rowOff>121584</xdr:rowOff>
    </xdr:from>
    <xdr:to>
      <xdr:col>6</xdr:col>
      <xdr:colOff>361670</xdr:colOff>
      <xdr:row>30</xdr:row>
      <xdr:rowOff>42022</xdr:rowOff>
    </xdr:to>
    <xdr:sp macro="[0]!시험일정_Click" textlink="">
      <xdr:nvSpPr>
        <xdr:cNvPr id="13" name="모서리가 둥근 직사각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668330" y="5657290"/>
          <a:ext cx="1794693" cy="7720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800">
              <a:solidFill>
                <a:schemeClr val="tx1"/>
              </a:solidFill>
              <a:latin typeface="Segoe UI Symbol" panose="020B0502040204020203" pitchFamily="34" charset="0"/>
              <a:sym typeface="Wingdings" panose="05000000000000000000" pitchFamily="2" charset="2"/>
            </a:rPr>
            <a:t>📅</a:t>
          </a: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시험일정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31025</xdr:colOff>
      <xdr:row>26</xdr:row>
      <xdr:rowOff>132789</xdr:rowOff>
    </xdr:from>
    <xdr:to>
      <xdr:col>9</xdr:col>
      <xdr:colOff>458600</xdr:colOff>
      <xdr:row>30</xdr:row>
      <xdr:rowOff>53227</xdr:rowOff>
    </xdr:to>
    <xdr:sp macro="[0]!접수내역_Click" textlink="">
      <xdr:nvSpPr>
        <xdr:cNvPr id="14" name="모서리가 둥근 직사각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815937" y="5668495"/>
          <a:ext cx="1794692" cy="7720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ko-KR" altLang="en-US" sz="1800">
              <a:solidFill>
                <a:schemeClr val="tx1"/>
              </a:solidFill>
              <a:latin typeface="Segoe UI Symbol" panose="020B0502040204020203" pitchFamily="34" charset="0"/>
              <a:sym typeface="Wingdings" panose="05000000000000000000" pitchFamily="2" charset="2"/>
            </a:rPr>
            <a:t>🗐</a:t>
          </a:r>
          <a:r>
            <a:rPr lang="ko-KR" altLang="en-US" sz="1800">
              <a:solidFill>
                <a:schemeClr val="tx1"/>
              </a:solidFill>
              <a:latin typeface="+mn-lt"/>
              <a:sym typeface="Wingdings" panose="05000000000000000000" pitchFamily="2" charset="2"/>
            </a:rPr>
            <a:t>접수내역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598604</xdr:colOff>
      <xdr:row>31</xdr:row>
      <xdr:rowOff>3922</xdr:rowOff>
    </xdr:from>
    <xdr:to>
      <xdr:col>6</xdr:col>
      <xdr:colOff>342620</xdr:colOff>
      <xdr:row>33</xdr:row>
      <xdr:rowOff>188259</xdr:rowOff>
    </xdr:to>
    <xdr:sp macro="" textlink="">
      <xdr:nvSpPr>
        <xdr:cNvPr id="15" name="모서리가 둥근 직사각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649280" y="6604187"/>
          <a:ext cx="1794693" cy="6101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ko-KR" altLang="en-US" sz="2400" b="1" i="0">
              <a:solidFill>
                <a:schemeClr val="tx1"/>
              </a:solidFill>
              <a:sym typeface="Webdings" panose="05030102010509060703" pitchFamily="18" charset="2"/>
            </a:rPr>
            <a:t></a:t>
          </a:r>
          <a:r>
            <a:rPr lang="ko-KR" altLang="en-US" sz="1600">
              <a:solidFill>
                <a:schemeClr val="tx1"/>
              </a:solidFill>
              <a:sym typeface="Wingdings" panose="05000000000000000000" pitchFamily="2" charset="2"/>
            </a:rPr>
            <a:t>개인정보수정</a:t>
          </a:r>
          <a:endParaRPr lang="ko-KR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38870</xdr:colOff>
      <xdr:row>31</xdr:row>
      <xdr:rowOff>3922</xdr:rowOff>
    </xdr:from>
    <xdr:to>
      <xdr:col>9</xdr:col>
      <xdr:colOff>466445</xdr:colOff>
      <xdr:row>33</xdr:row>
      <xdr:rowOff>188259</xdr:rowOff>
    </xdr:to>
    <xdr:sp macro="[0]!취득내역_Click" textlink="">
      <xdr:nvSpPr>
        <xdr:cNvPr id="16" name="모서리가 둥근 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823782" y="6604187"/>
          <a:ext cx="1794692" cy="6101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ko-KR" altLang="ko-KR" sz="1800">
              <a:solidFill>
                <a:schemeClr val="tx1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</a:t>
          </a:r>
          <a:r>
            <a:rPr lang="en-US" altLang="ko-KR" sz="1800">
              <a:solidFill>
                <a:schemeClr val="tx1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 </a:t>
          </a:r>
          <a:r>
            <a:rPr lang="ko-KR" altLang="en-US" sz="1600">
              <a:solidFill>
                <a:schemeClr val="tx1"/>
              </a:solidFill>
            </a:rPr>
            <a:t>취득내역</a:t>
          </a:r>
        </a:p>
      </xdr:txBody>
    </xdr:sp>
    <xdr:clientData/>
  </xdr:twoCellAnchor>
  <xdr:twoCellAnchor>
    <xdr:from>
      <xdr:col>9</xdr:col>
      <xdr:colOff>437031</xdr:colOff>
      <xdr:row>3</xdr:row>
      <xdr:rowOff>156881</xdr:rowOff>
    </xdr:from>
    <xdr:to>
      <xdr:col>10</xdr:col>
      <xdr:colOff>257736</xdr:colOff>
      <xdr:row>6</xdr:row>
      <xdr:rowOff>33617</xdr:rowOff>
    </xdr:to>
    <xdr:sp macro="[0]!setLogin" textlink="">
      <xdr:nvSpPr>
        <xdr:cNvPr id="5" name="타원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89060" y="795616"/>
          <a:ext cx="504264" cy="51547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800" b="1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</a:rPr>
            <a:t></a:t>
          </a:r>
          <a:r>
            <a:rPr lang="en-US" altLang="ko-KR" sz="1100">
              <a:latin typeface="Segoe UI Symbol" panose="020B0502040204020203" pitchFamily="34" charset="0"/>
            </a:rPr>
            <a:t>	</a:t>
          </a:r>
          <a:endParaRPr lang="ko-KR" altLang="en-US" sz="1100">
            <a:latin typeface="Segoe UI Symbol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</xdr:row>
          <xdr:rowOff>47625</xdr:rowOff>
        </xdr:from>
        <xdr:to>
          <xdr:col>12</xdr:col>
          <xdr:colOff>542925</xdr:colOff>
          <xdr:row>5</xdr:row>
          <xdr:rowOff>190500</xdr:rowOff>
        </xdr:to>
        <xdr:sp macro="" textlink="">
          <xdr:nvSpPr>
            <xdr:cNvPr id="1025" name="유저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769</xdr:colOff>
      <xdr:row>15</xdr:row>
      <xdr:rowOff>51515</xdr:rowOff>
    </xdr:from>
    <xdr:to>
      <xdr:col>9</xdr:col>
      <xdr:colOff>428344</xdr:colOff>
      <xdr:row>24</xdr:row>
      <xdr:rowOff>194821</xdr:rowOff>
    </xdr:to>
    <xdr:sp macro="[0]!시험일정_Click" textlink="">
      <xdr:nvSpPr>
        <xdr:cNvPr id="21" name="모서리가 둥근 직사각형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785681" y="3245191"/>
          <a:ext cx="1794692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latin typeface="Segoe UI Symbol" panose="020B0502040204020203" pitchFamily="34" charset="0"/>
              <a:sym typeface="Wingdings" panose="05000000000000000000" pitchFamily="2" charset="2"/>
            </a:rPr>
            <a:t>📅</a:t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시험일정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11206</xdr:colOff>
      <xdr:row>25</xdr:row>
      <xdr:rowOff>156882</xdr:rowOff>
    </xdr:from>
    <xdr:to>
      <xdr:col>16</xdr:col>
      <xdr:colOff>593912</xdr:colOff>
      <xdr:row>36</xdr:row>
      <xdr:rowOff>145678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94765" y="5479676"/>
          <a:ext cx="10836088" cy="233082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0</xdr:row>
          <xdr:rowOff>180975</xdr:rowOff>
        </xdr:from>
        <xdr:to>
          <xdr:col>5</xdr:col>
          <xdr:colOff>66675</xdr:colOff>
          <xdr:row>2</xdr:row>
          <xdr:rowOff>200025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4385</xdr:colOff>
      <xdr:row>3</xdr:row>
      <xdr:rowOff>74445</xdr:rowOff>
    </xdr:from>
    <xdr:to>
      <xdr:col>7</xdr:col>
      <xdr:colOff>447748</xdr:colOff>
      <xdr:row>16</xdr:row>
      <xdr:rowOff>125798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31</xdr:row>
          <xdr:rowOff>66675</xdr:rowOff>
        </xdr:from>
        <xdr:to>
          <xdr:col>7</xdr:col>
          <xdr:colOff>409575</xdr:colOff>
          <xdr:row>33</xdr:row>
          <xdr:rowOff>142875</xdr:rowOff>
        </xdr:to>
        <xdr:sp macro="" textlink="">
          <xdr:nvSpPr>
            <xdr:cNvPr id="6149" name="Scroll Bar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683315</xdr:colOff>
      <xdr:row>17</xdr:row>
      <xdr:rowOff>86138</xdr:rowOff>
    </xdr:from>
    <xdr:to>
      <xdr:col>7</xdr:col>
      <xdr:colOff>443119</xdr:colOff>
      <xdr:row>30</xdr:row>
      <xdr:rowOff>137490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15</xdr:row>
          <xdr:rowOff>66675</xdr:rowOff>
        </xdr:from>
        <xdr:to>
          <xdr:col>5</xdr:col>
          <xdr:colOff>685800</xdr:colOff>
          <xdr:row>17</xdr:row>
          <xdr:rowOff>0</xdr:rowOff>
        </xdr:to>
        <xdr:sp macro="" textlink="">
          <xdr:nvSpPr>
            <xdr:cNvPr id="13314" name="Label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15</xdr:row>
          <xdr:rowOff>57150</xdr:rowOff>
        </xdr:from>
        <xdr:to>
          <xdr:col>4</xdr:col>
          <xdr:colOff>885825</xdr:colOff>
          <xdr:row>17</xdr:row>
          <xdr:rowOff>9525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1021629</xdr:colOff>
      <xdr:row>15</xdr:row>
      <xdr:rowOff>123283</xdr:rowOff>
    </xdr:from>
    <xdr:to>
      <xdr:col>8</xdr:col>
      <xdr:colOff>675064</xdr:colOff>
      <xdr:row>16</xdr:row>
      <xdr:rowOff>155970</xdr:rowOff>
    </xdr:to>
    <xdr:sp macro="[0]!화살표" textlink="">
      <xdr:nvSpPr>
        <xdr:cNvPr id="2" name="오른쪽 화살표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06912" y="3229261"/>
          <a:ext cx="813000" cy="239752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 w="28575"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3</xdr:col>
      <xdr:colOff>537734</xdr:colOff>
      <xdr:row>1</xdr:row>
      <xdr:rowOff>35679</xdr:rowOff>
    </xdr:from>
    <xdr:to>
      <xdr:col>10</xdr:col>
      <xdr:colOff>154446</xdr:colOff>
      <xdr:row>14</xdr:row>
      <xdr:rowOff>16629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skills1" refreshedDate="44438.806143518515" createdVersion="6" refreshedVersion="6" minRefreshableVersion="3" recordCount="503" xr:uid="{00000000-000A-0000-FFFF-FFFF20000000}">
  <cacheSource type="worksheet">
    <worksheetSource name="표1"/>
  </cacheSource>
  <cacheFields count="10">
    <cacheField name="번호" numFmtId="0">
      <sharedItems containsSemiMixedTypes="0" containsString="0" containsNumber="1" containsInteger="1" minValue="1" maxValue="509"/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/>
    </cacheField>
    <cacheField name="일정번호" numFmtId="0">
      <sharedItems containsSemiMixedTypes="0" containsString="0" containsNumber="1" containsInteger="1" minValue="1" maxValue="156"/>
    </cacheField>
    <cacheField name="회차" numFmtId="0">
      <sharedItems containsSemiMixedTypes="0" containsString="0" containsNumber="1" containsInteger="1" minValue="1" maxValue="39"/>
    </cacheField>
    <cacheField name="접수일자" numFmtId="14">
      <sharedItems containsSemiMixedTypes="0" containsNonDate="0" containsDate="1" containsString="0" minDate="2021-05-10T00:00:00" maxDate="2021-07-13T00:00:00"/>
    </cacheField>
    <cacheField name="시험일자" numFmtId="14">
      <sharedItems containsSemiMixedTypes="0" containsNonDate="0" containsDate="1" containsString="0" minDate="2021-05-17T00:00:00" maxDate="2021-07-20T00:00:00"/>
    </cacheField>
    <cacheField name="발표일자" numFmtId="14">
      <sharedItems containsSemiMixedTypes="0" containsNonDate="0" containsDate="1" containsString="0" minDate="2021-05-17T00:00:00" maxDate="2021-07-21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ntainsBlank="1" count="3">
        <s v="불합격"/>
        <s v="합격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skills1" refreshedDate="44438.806144907408" createdVersion="6" refreshedVersion="6" minRefreshableVersion="3" recordCount="55" xr:uid="{00000000-000A-0000-FFFF-FFFF24000000}">
  <cacheSource type="worksheet">
    <worksheetSource name="표4"/>
  </cacheSource>
  <cacheFields count="10">
    <cacheField name="번호" numFmtId="0">
      <sharedItems containsSemiMixedTypes="0" containsString="0" containsNumber="1" containsInteger="1" minValue="66" maxValue="228"/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/>
    </cacheField>
    <cacheField name="일정번호" numFmtId="0">
      <sharedItems containsSemiMixedTypes="0" containsString="0" containsNumber="1" containsInteger="1" minValue="14" maxValue="127"/>
    </cacheField>
    <cacheField name="회차" numFmtId="0">
      <sharedItems containsSemiMixedTypes="0" containsString="0" containsNumber="1" containsInteger="1" minValue="1" maxValue="39" count="39">
        <n v="8"/>
        <n v="9"/>
        <n v="6"/>
        <n v="7"/>
        <n v="10"/>
        <n v="34" u="1"/>
        <n v="13" u="1"/>
        <n v="36" u="1"/>
        <n v="38" u="1"/>
        <n v="5" u="1"/>
        <n v="14" u="1"/>
        <n v="15" u="1"/>
        <n v="2" u="1"/>
        <n v="16" u="1"/>
        <n v="17" u="1"/>
        <n v="18" u="1"/>
        <n v="19" u="1"/>
        <n v="20" u="1"/>
        <n v="33" u="1"/>
        <n v="21" u="1"/>
        <n v="35" u="1"/>
        <n v="22" u="1"/>
        <n v="37" u="1"/>
        <n v="1" u="1"/>
        <n v="23" u="1"/>
        <n v="3" u="1"/>
        <n v="39" u="1"/>
        <n v="24" u="1"/>
        <n v="25" u="1"/>
        <n v="26" u="1"/>
        <n v="27" u="1"/>
        <n v="28" u="1"/>
        <n v="29" u="1"/>
        <n v="11" u="1"/>
        <n v="30" u="1"/>
        <n v="31" u="1"/>
        <n v="4" u="1"/>
        <n v="12" u="1"/>
        <n v="32" u="1"/>
      </sharedItems>
    </cacheField>
    <cacheField name="접수일자" numFmtId="14">
      <sharedItems containsSemiMixedTypes="0" containsNonDate="0" containsDate="1" containsString="0" minDate="2021-06-16T00:00:00" maxDate="2021-06-19T00:00:00"/>
    </cacheField>
    <cacheField name="시험일자" numFmtId="14">
      <sharedItems containsSemiMixedTypes="0" containsNonDate="0" containsDate="1" containsString="0" minDate="2021-06-23T00:00:00" maxDate="2021-06-26T00:00:00"/>
    </cacheField>
    <cacheField name="발표일자" numFmtId="14">
      <sharedItems containsSemiMixedTypes="0" containsNonDate="0" containsDate="1" containsString="0" minDate="2021-06-23T00:00:00" maxDate="2021-06-27T00:00:00"/>
    </cacheField>
    <cacheField name="점수" numFmtId="0">
      <sharedItems containsSemiMixedTypes="0" containsString="0" containsNumber="1" containsInteger="1" minValue="0" maxValue="90"/>
    </cacheField>
    <cacheField name="합격여부" numFmtId="0">
      <sharedItems count="2">
        <s v="불합격"/>
        <s v="합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3">
  <r>
    <n v="1"/>
    <n v="1"/>
    <n v="2"/>
    <n v="6"/>
    <n v="1"/>
    <d v="2021-05-10T00:00:00"/>
    <d v="2021-05-17T00:00:00"/>
    <d v="2021-05-17T00:00:00"/>
    <n v="20"/>
    <x v="0"/>
  </r>
  <r>
    <n v="2"/>
    <n v="2"/>
    <n v="2"/>
    <n v="6"/>
    <n v="1"/>
    <d v="2021-05-10T00:00:00"/>
    <d v="2021-05-17T00:00:00"/>
    <d v="2021-05-17T00:00:00"/>
    <n v="50"/>
    <x v="0"/>
  </r>
  <r>
    <n v="3"/>
    <n v="4"/>
    <n v="2"/>
    <n v="6"/>
    <n v="1"/>
    <d v="2021-05-10T00:00:00"/>
    <d v="2021-05-17T00:00:00"/>
    <d v="2021-05-17T00:00:00"/>
    <n v="50"/>
    <x v="0"/>
  </r>
  <r>
    <n v="4"/>
    <n v="6"/>
    <n v="2"/>
    <n v="7"/>
    <n v="1"/>
    <d v="2021-05-10T00:00:00"/>
    <d v="2021-05-17T00:00:00"/>
    <d v="2021-05-17T00:00:00"/>
    <n v="20"/>
    <x v="0"/>
  </r>
  <r>
    <n v="5"/>
    <n v="2"/>
    <n v="2"/>
    <n v="7"/>
    <n v="1"/>
    <d v="2021-05-10T00:00:00"/>
    <d v="2021-05-17T00:00:00"/>
    <d v="2021-05-17T00:00:00"/>
    <n v="40"/>
    <x v="0"/>
  </r>
  <r>
    <n v="6"/>
    <n v="8"/>
    <n v="2"/>
    <n v="7"/>
    <n v="1"/>
    <d v="2021-05-10T00:00:00"/>
    <d v="2021-05-17T00:00:00"/>
    <d v="2021-05-17T00:00:00"/>
    <n v="20"/>
    <x v="0"/>
  </r>
  <r>
    <n v="7"/>
    <n v="9"/>
    <n v="2"/>
    <n v="9"/>
    <n v="1"/>
    <d v="2021-05-10T00:00:00"/>
    <d v="2021-05-17T00:00:00"/>
    <d v="2021-05-17T00:00:00"/>
    <n v="50"/>
    <x v="0"/>
  </r>
  <r>
    <n v="8"/>
    <n v="4"/>
    <n v="2"/>
    <n v="9"/>
    <n v="1"/>
    <d v="2021-05-10T00:00:00"/>
    <d v="2021-05-17T00:00:00"/>
    <d v="2021-05-17T00:00:00"/>
    <n v="10"/>
    <x v="0"/>
  </r>
  <r>
    <n v="9"/>
    <n v="6"/>
    <n v="2"/>
    <n v="9"/>
    <n v="1"/>
    <d v="2021-05-10T00:00:00"/>
    <d v="2021-05-17T00:00:00"/>
    <d v="2021-05-17T00:00:00"/>
    <n v="30"/>
    <x v="0"/>
  </r>
  <r>
    <n v="10"/>
    <n v="15"/>
    <n v="2"/>
    <n v="9"/>
    <n v="1"/>
    <d v="2021-05-10T00:00:00"/>
    <d v="2021-05-17T00:00:00"/>
    <d v="2021-05-17T00:00:00"/>
    <n v="10"/>
    <x v="0"/>
  </r>
  <r>
    <n v="11"/>
    <n v="15"/>
    <n v="3"/>
    <n v="10"/>
    <n v="1"/>
    <d v="2021-05-10T00:00:00"/>
    <d v="2021-05-17T00:00:00"/>
    <d v="2021-05-17T00:00:00"/>
    <n v="0"/>
    <x v="0"/>
  </r>
  <r>
    <n v="12"/>
    <n v="2"/>
    <n v="3"/>
    <n v="10"/>
    <n v="1"/>
    <d v="2021-05-10T00:00:00"/>
    <d v="2021-05-17T00:00:00"/>
    <d v="2021-05-17T00:00:00"/>
    <n v="0"/>
    <x v="0"/>
  </r>
  <r>
    <n v="13"/>
    <n v="8"/>
    <n v="3"/>
    <n v="10"/>
    <n v="1"/>
    <d v="2021-05-10T00:00:00"/>
    <d v="2021-05-17T00:00:00"/>
    <d v="2021-05-17T00:00:00"/>
    <n v="10"/>
    <x v="0"/>
  </r>
  <r>
    <n v="14"/>
    <n v="16"/>
    <n v="3"/>
    <n v="10"/>
    <n v="1"/>
    <d v="2021-05-10T00:00:00"/>
    <d v="2021-05-17T00:00:00"/>
    <d v="2021-05-17T00:00:00"/>
    <n v="0"/>
    <x v="0"/>
  </r>
  <r>
    <n v="15"/>
    <n v="4"/>
    <n v="3"/>
    <n v="10"/>
    <n v="1"/>
    <d v="2021-05-10T00:00:00"/>
    <d v="2021-05-17T00:00:00"/>
    <d v="2021-05-17T00:00:00"/>
    <n v="0"/>
    <x v="0"/>
  </r>
  <r>
    <n v="16"/>
    <n v="18"/>
    <n v="3"/>
    <n v="11"/>
    <n v="1"/>
    <d v="2021-05-10T00:00:00"/>
    <d v="2021-05-17T00:00:00"/>
    <d v="2021-05-17T00:00:00"/>
    <n v="20"/>
    <x v="0"/>
  </r>
  <r>
    <n v="17"/>
    <n v="20"/>
    <n v="3"/>
    <n v="11"/>
    <n v="1"/>
    <d v="2021-05-10T00:00:00"/>
    <d v="2021-05-17T00:00:00"/>
    <d v="2021-05-17T00:00:00"/>
    <n v="40"/>
    <x v="0"/>
  </r>
  <r>
    <n v="18"/>
    <n v="1"/>
    <n v="3"/>
    <n v="11"/>
    <n v="1"/>
    <d v="2021-05-10T00:00:00"/>
    <d v="2021-05-17T00:00:00"/>
    <d v="2021-05-17T00:00:00"/>
    <n v="50"/>
    <x v="0"/>
  </r>
  <r>
    <n v="19"/>
    <n v="29"/>
    <n v="3"/>
    <n v="11"/>
    <n v="1"/>
    <d v="2021-05-10T00:00:00"/>
    <d v="2021-05-17T00:00:00"/>
    <d v="2021-05-17T00:00:00"/>
    <n v="10"/>
    <x v="0"/>
  </r>
  <r>
    <n v="20"/>
    <n v="10"/>
    <n v="3"/>
    <n v="11"/>
    <n v="1"/>
    <d v="2021-05-10T00:00:00"/>
    <d v="2021-05-17T00:00:00"/>
    <d v="2021-05-17T00:00:00"/>
    <n v="0"/>
    <x v="0"/>
  </r>
  <r>
    <n v="21"/>
    <n v="4"/>
    <n v="4"/>
    <n v="11"/>
    <n v="1"/>
    <d v="2021-05-10T00:00:00"/>
    <d v="2021-05-17T00:00:00"/>
    <d v="2021-05-18T00:00:00"/>
    <n v="0"/>
    <x v="0"/>
  </r>
  <r>
    <n v="22"/>
    <n v="15"/>
    <n v="4"/>
    <n v="11"/>
    <n v="1"/>
    <d v="2021-05-10T00:00:00"/>
    <d v="2021-05-17T00:00:00"/>
    <d v="2021-05-18T00:00:00"/>
    <n v="40"/>
    <x v="0"/>
  </r>
  <r>
    <n v="23"/>
    <n v="16"/>
    <n v="4"/>
    <n v="11"/>
    <n v="1"/>
    <d v="2021-05-10T00:00:00"/>
    <d v="2021-05-17T00:00:00"/>
    <d v="2021-05-18T00:00:00"/>
    <n v="10"/>
    <x v="0"/>
  </r>
  <r>
    <n v="24"/>
    <n v="19"/>
    <n v="4"/>
    <n v="12"/>
    <n v="1"/>
    <d v="2021-05-10T00:00:00"/>
    <d v="2021-05-17T00:00:00"/>
    <d v="2021-05-18T00:00:00"/>
    <n v="30"/>
    <x v="0"/>
  </r>
  <r>
    <n v="25"/>
    <n v="2"/>
    <n v="4"/>
    <n v="12"/>
    <n v="1"/>
    <d v="2021-05-10T00:00:00"/>
    <d v="2021-05-17T00:00:00"/>
    <d v="2021-05-18T00:00:00"/>
    <n v="0"/>
    <x v="0"/>
  </r>
  <r>
    <n v="26"/>
    <n v="17"/>
    <n v="4"/>
    <n v="12"/>
    <n v="1"/>
    <d v="2021-05-10T00:00:00"/>
    <d v="2021-05-17T00:00:00"/>
    <d v="2021-05-18T00:00:00"/>
    <n v="10"/>
    <x v="0"/>
  </r>
  <r>
    <n v="27"/>
    <n v="23"/>
    <n v="4"/>
    <n v="12"/>
    <n v="1"/>
    <d v="2021-05-10T00:00:00"/>
    <d v="2021-05-17T00:00:00"/>
    <d v="2021-05-18T00:00:00"/>
    <n v="50"/>
    <x v="0"/>
  </r>
  <r>
    <n v="28"/>
    <n v="15"/>
    <n v="4"/>
    <n v="12"/>
    <n v="1"/>
    <d v="2021-05-10T00:00:00"/>
    <d v="2021-05-17T00:00:00"/>
    <d v="2021-05-18T00:00:00"/>
    <n v="20"/>
    <x v="0"/>
  </r>
  <r>
    <n v="29"/>
    <n v="6"/>
    <n v="4"/>
    <n v="12"/>
    <n v="1"/>
    <d v="2021-05-10T00:00:00"/>
    <d v="2021-05-17T00:00:00"/>
    <d v="2021-05-18T00:00:00"/>
    <n v="0"/>
    <x v="0"/>
  </r>
  <r>
    <n v="30"/>
    <n v="3"/>
    <n v="4"/>
    <n v="12"/>
    <n v="1"/>
    <d v="2021-05-10T00:00:00"/>
    <d v="2021-05-17T00:00:00"/>
    <d v="2021-05-18T00:00:00"/>
    <n v="0"/>
    <x v="0"/>
  </r>
  <r>
    <n v="31"/>
    <n v="16"/>
    <n v="5"/>
    <n v="12"/>
    <n v="1"/>
    <d v="2021-05-10T00:00:00"/>
    <d v="2021-05-17T00:00:00"/>
    <d v="2021-05-18T00:00:00"/>
    <n v="50"/>
    <x v="0"/>
  </r>
  <r>
    <n v="32"/>
    <n v="12"/>
    <n v="5"/>
    <n v="14"/>
    <n v="1"/>
    <d v="2021-05-10T00:00:00"/>
    <d v="2021-05-17T00:00:00"/>
    <d v="2021-05-18T00:00:00"/>
    <n v="20"/>
    <x v="0"/>
  </r>
  <r>
    <n v="33"/>
    <n v="22"/>
    <n v="5"/>
    <n v="14"/>
    <n v="1"/>
    <d v="2021-05-10T00:00:00"/>
    <d v="2021-05-17T00:00:00"/>
    <d v="2021-05-18T00:00:00"/>
    <n v="10"/>
    <x v="0"/>
  </r>
  <r>
    <n v="34"/>
    <n v="19"/>
    <n v="5"/>
    <n v="14"/>
    <n v="1"/>
    <d v="2021-05-10T00:00:00"/>
    <d v="2021-05-17T00:00:00"/>
    <d v="2021-05-18T00:00:00"/>
    <n v="0"/>
    <x v="0"/>
  </r>
  <r>
    <n v="35"/>
    <n v="11"/>
    <n v="5"/>
    <n v="14"/>
    <n v="1"/>
    <d v="2021-05-10T00:00:00"/>
    <d v="2021-05-17T00:00:00"/>
    <d v="2021-05-18T00:00:00"/>
    <n v="10"/>
    <x v="0"/>
  </r>
  <r>
    <n v="36"/>
    <n v="25"/>
    <n v="5"/>
    <n v="14"/>
    <n v="1"/>
    <d v="2021-05-10T00:00:00"/>
    <d v="2021-05-17T00:00:00"/>
    <d v="2021-05-18T00:00:00"/>
    <n v="0"/>
    <x v="0"/>
  </r>
  <r>
    <n v="37"/>
    <n v="10"/>
    <n v="5"/>
    <n v="14"/>
    <n v="1"/>
    <d v="2021-05-10T00:00:00"/>
    <d v="2021-05-17T00:00:00"/>
    <d v="2021-05-18T00:00:00"/>
    <n v="0"/>
    <x v="0"/>
  </r>
  <r>
    <n v="38"/>
    <n v="6"/>
    <n v="5"/>
    <n v="14"/>
    <n v="1"/>
    <d v="2021-05-10T00:00:00"/>
    <d v="2021-05-17T00:00:00"/>
    <d v="2021-05-18T00:00:00"/>
    <n v="40"/>
    <x v="0"/>
  </r>
  <r>
    <n v="39"/>
    <n v="30"/>
    <n v="6"/>
    <n v="15"/>
    <n v="1"/>
    <d v="2021-05-10T00:00:00"/>
    <d v="2021-05-17T00:00:00"/>
    <d v="2021-05-18T00:00:00"/>
    <n v="10"/>
    <x v="0"/>
  </r>
  <r>
    <n v="40"/>
    <n v="27"/>
    <n v="6"/>
    <n v="15"/>
    <n v="1"/>
    <d v="2021-05-10T00:00:00"/>
    <d v="2021-05-17T00:00:00"/>
    <d v="2021-05-18T00:00:00"/>
    <n v="0"/>
    <x v="0"/>
  </r>
  <r>
    <n v="41"/>
    <n v="15"/>
    <n v="6"/>
    <n v="15"/>
    <n v="1"/>
    <d v="2021-05-10T00:00:00"/>
    <d v="2021-05-17T00:00:00"/>
    <d v="2021-05-18T00:00:00"/>
    <n v="0"/>
    <x v="0"/>
  </r>
  <r>
    <n v="42"/>
    <n v="16"/>
    <n v="6"/>
    <n v="16"/>
    <n v="1"/>
    <d v="2021-05-10T00:00:00"/>
    <d v="2021-05-17T00:00:00"/>
    <d v="2021-05-18T00:00:00"/>
    <n v="10"/>
    <x v="0"/>
  </r>
  <r>
    <n v="43"/>
    <n v="2"/>
    <n v="6"/>
    <n v="16"/>
    <n v="1"/>
    <d v="2021-05-10T00:00:00"/>
    <d v="2021-05-17T00:00:00"/>
    <d v="2021-05-18T00:00:00"/>
    <n v="0"/>
    <x v="0"/>
  </r>
  <r>
    <n v="44"/>
    <n v="4"/>
    <n v="6"/>
    <n v="16"/>
    <n v="1"/>
    <d v="2021-05-10T00:00:00"/>
    <d v="2021-05-17T00:00:00"/>
    <d v="2021-05-18T00:00:00"/>
    <n v="20"/>
    <x v="0"/>
  </r>
  <r>
    <n v="45"/>
    <n v="28"/>
    <n v="6"/>
    <n v="16"/>
    <n v="1"/>
    <d v="2021-05-10T00:00:00"/>
    <d v="2021-05-17T00:00:00"/>
    <d v="2021-05-18T00:00:00"/>
    <n v="0"/>
    <x v="0"/>
  </r>
  <r>
    <n v="46"/>
    <n v="30"/>
    <n v="6"/>
    <n v="16"/>
    <n v="1"/>
    <d v="2021-05-10T00:00:00"/>
    <d v="2021-05-17T00:00:00"/>
    <d v="2021-05-18T00:00:00"/>
    <n v="50"/>
    <x v="0"/>
  </r>
  <r>
    <n v="47"/>
    <n v="9"/>
    <n v="6"/>
    <n v="16"/>
    <n v="1"/>
    <d v="2021-05-10T00:00:00"/>
    <d v="2021-05-17T00:00:00"/>
    <d v="2021-05-18T00:00:00"/>
    <n v="40"/>
    <x v="0"/>
  </r>
  <r>
    <n v="48"/>
    <n v="4"/>
    <n v="1"/>
    <n v="43"/>
    <n v="1"/>
    <d v="2021-05-10T00:00:00"/>
    <d v="2021-05-17T00:00:00"/>
    <d v="2021-05-18T00:00:00"/>
    <n v="20"/>
    <x v="0"/>
  </r>
  <r>
    <n v="49"/>
    <n v="18"/>
    <n v="1"/>
    <n v="43"/>
    <n v="1"/>
    <d v="2021-05-10T00:00:00"/>
    <d v="2021-05-17T00:00:00"/>
    <d v="2021-05-18T00:00:00"/>
    <n v="0"/>
    <x v="0"/>
  </r>
  <r>
    <n v="50"/>
    <n v="23"/>
    <n v="1"/>
    <n v="43"/>
    <n v="1"/>
    <d v="2021-05-10T00:00:00"/>
    <d v="2021-05-17T00:00:00"/>
    <d v="2021-05-18T00:00:00"/>
    <n v="40"/>
    <x v="0"/>
  </r>
  <r>
    <n v="51"/>
    <n v="1"/>
    <n v="1"/>
    <n v="150"/>
    <n v="38"/>
    <d v="2021-07-12T00:00:00"/>
    <d v="2021-07-19T00:00:00"/>
    <d v="2021-07-20T00:00:00"/>
    <n v="100"/>
    <x v="1"/>
  </r>
  <r>
    <n v="52"/>
    <n v="22"/>
    <n v="1"/>
    <n v="43"/>
    <n v="16"/>
    <d v="2021-06-21T00:00:00"/>
    <d v="2021-06-28T00:00:00"/>
    <d v="2021-06-29T00:00:00"/>
    <n v="30"/>
    <x v="0"/>
  </r>
  <r>
    <n v="53"/>
    <n v="19"/>
    <n v="1"/>
    <n v="43"/>
    <n v="16"/>
    <d v="2021-06-21T00:00:00"/>
    <d v="2021-06-28T00:00:00"/>
    <d v="2021-06-29T00:00:00"/>
    <n v="20"/>
    <x v="0"/>
  </r>
  <r>
    <n v="54"/>
    <n v="1"/>
    <n v="3"/>
    <n v="1"/>
    <n v="1"/>
    <d v="2021-05-10T00:00:00"/>
    <d v="2021-05-17T00:00:00"/>
    <d v="2021-05-17T00:00:00"/>
    <n v="30"/>
    <x v="0"/>
  </r>
  <r>
    <n v="55"/>
    <n v="2"/>
    <n v="3"/>
    <n v="1"/>
    <n v="1"/>
    <d v="2021-05-10T00:00:00"/>
    <d v="2021-05-17T00:00:00"/>
    <d v="2021-05-17T00:00:00"/>
    <n v="50"/>
    <x v="0"/>
  </r>
  <r>
    <n v="56"/>
    <n v="3"/>
    <n v="3"/>
    <n v="1"/>
    <n v="1"/>
    <d v="2021-05-10T00:00:00"/>
    <d v="2021-05-17T00:00:00"/>
    <d v="2021-05-17T00:00:00"/>
    <n v="60"/>
    <x v="0"/>
  </r>
  <r>
    <n v="57"/>
    <n v="4"/>
    <n v="3"/>
    <n v="1"/>
    <n v="1"/>
    <d v="2021-05-10T00:00:00"/>
    <d v="2021-05-17T00:00:00"/>
    <d v="2021-05-17T00:00:00"/>
    <n v="50"/>
    <x v="0"/>
  </r>
  <r>
    <n v="58"/>
    <n v="10"/>
    <n v="6"/>
    <n v="58"/>
    <n v="1"/>
    <d v="2021-05-10T00:00:00"/>
    <d v="2021-05-17T00:00:00"/>
    <d v="2021-05-18T00:00:00"/>
    <n v="60"/>
    <x v="0"/>
  </r>
  <r>
    <n v="59"/>
    <n v="12"/>
    <n v="6"/>
    <n v="58"/>
    <n v="1"/>
    <d v="2021-05-10T00:00:00"/>
    <d v="2021-05-17T00:00:00"/>
    <d v="2021-05-18T00:00:00"/>
    <n v="40"/>
    <x v="0"/>
  </r>
  <r>
    <n v="60"/>
    <n v="1"/>
    <n v="6"/>
    <n v="58"/>
    <n v="1"/>
    <d v="2021-05-10T00:00:00"/>
    <d v="2021-05-17T00:00:00"/>
    <d v="2021-05-18T00:00:00"/>
    <n v="50"/>
    <x v="0"/>
  </r>
  <r>
    <n v="61"/>
    <n v="2"/>
    <n v="6"/>
    <n v="58"/>
    <n v="1"/>
    <d v="2021-05-10T00:00:00"/>
    <d v="2021-05-17T00:00:00"/>
    <d v="2021-05-18T00:00:00"/>
    <n v="60"/>
    <x v="0"/>
  </r>
  <r>
    <n v="62"/>
    <n v="3"/>
    <n v="6"/>
    <n v="58"/>
    <n v="1"/>
    <d v="2021-05-10T00:00:00"/>
    <d v="2021-05-17T00:00:00"/>
    <d v="2021-05-18T00:00:00"/>
    <n v="40"/>
    <x v="0"/>
  </r>
  <r>
    <n v="63"/>
    <n v="4"/>
    <n v="6"/>
    <n v="58"/>
    <n v="1"/>
    <d v="2021-05-10T00:00:00"/>
    <d v="2021-05-17T00:00:00"/>
    <d v="2021-05-18T00:00:00"/>
    <n v="10"/>
    <x v="0"/>
  </r>
  <r>
    <n v="64"/>
    <n v="5"/>
    <n v="6"/>
    <n v="58"/>
    <n v="1"/>
    <d v="2021-05-10T00:00:00"/>
    <d v="2021-05-17T00:00:00"/>
    <d v="2021-05-18T00:00:00"/>
    <n v="20"/>
    <x v="0"/>
  </r>
  <r>
    <n v="65"/>
    <n v="6"/>
    <n v="6"/>
    <n v="58"/>
    <n v="1"/>
    <d v="2021-05-10T00:00:00"/>
    <d v="2021-05-17T00:00:00"/>
    <d v="2021-05-18T00:00:00"/>
    <n v="80"/>
    <x v="1"/>
  </r>
  <r>
    <n v="66"/>
    <n v="30"/>
    <n v="1"/>
    <n v="14"/>
    <n v="8"/>
    <d v="2021-06-16T00:00:00"/>
    <d v="2021-06-23T00:00:00"/>
    <d v="2021-06-24T00:00:00"/>
    <n v="0"/>
    <x v="0"/>
  </r>
  <r>
    <n v="67"/>
    <n v="27"/>
    <n v="1"/>
    <n v="14"/>
    <n v="8"/>
    <d v="2021-06-16T00:00:00"/>
    <d v="2021-06-23T00:00:00"/>
    <d v="2021-06-24T00:00:00"/>
    <n v="30"/>
    <x v="0"/>
  </r>
  <r>
    <n v="68"/>
    <n v="18"/>
    <n v="1"/>
    <n v="15"/>
    <n v="9"/>
    <d v="2021-06-18T00:00:00"/>
    <d v="2021-06-25T00:00:00"/>
    <d v="2021-06-26T00:00:00"/>
    <n v="10"/>
    <x v="0"/>
  </r>
  <r>
    <n v="69"/>
    <n v="11"/>
    <n v="1"/>
    <n v="15"/>
    <n v="9"/>
    <d v="2021-06-18T00:00:00"/>
    <d v="2021-06-25T00:00:00"/>
    <d v="2021-06-26T00:00:00"/>
    <n v="0"/>
    <x v="0"/>
  </r>
  <r>
    <n v="70"/>
    <n v="25"/>
    <n v="1"/>
    <n v="15"/>
    <n v="9"/>
    <d v="2021-06-18T00:00:00"/>
    <d v="2021-06-25T00:00:00"/>
    <d v="2021-06-26T00:00:00"/>
    <n v="20"/>
    <x v="0"/>
  </r>
  <r>
    <n v="71"/>
    <n v="6"/>
    <n v="1"/>
    <n v="15"/>
    <n v="9"/>
    <d v="2021-06-18T00:00:00"/>
    <d v="2021-06-25T00:00:00"/>
    <d v="2021-06-26T00:00:00"/>
    <n v="50"/>
    <x v="0"/>
  </r>
  <r>
    <n v="72"/>
    <n v="8"/>
    <n v="1"/>
    <n v="15"/>
    <n v="9"/>
    <d v="2021-06-18T00:00:00"/>
    <d v="2021-06-25T00:00:00"/>
    <d v="2021-06-26T00:00:00"/>
    <n v="0"/>
    <x v="0"/>
  </r>
  <r>
    <n v="73"/>
    <n v="15"/>
    <n v="1"/>
    <n v="17"/>
    <n v="11"/>
    <d v="2021-06-18T00:00:00"/>
    <d v="2021-06-25T00:00:00"/>
    <d v="2021-06-26T00:00:00"/>
    <n v="40"/>
    <x v="0"/>
  </r>
  <r>
    <n v="74"/>
    <n v="25"/>
    <n v="1"/>
    <n v="17"/>
    <n v="11"/>
    <d v="2021-06-18T00:00:00"/>
    <d v="2021-06-25T00:00:00"/>
    <d v="2021-06-26T00:00:00"/>
    <n v="30"/>
    <x v="0"/>
  </r>
  <r>
    <n v="75"/>
    <n v="2"/>
    <n v="1"/>
    <n v="51"/>
    <n v="19"/>
    <d v="2021-06-25T00:00:00"/>
    <d v="2021-07-02T00:00:00"/>
    <d v="2021-07-03T00:00:00"/>
    <n v="40"/>
    <x v="0"/>
  </r>
  <r>
    <n v="76"/>
    <n v="8"/>
    <n v="1"/>
    <n v="17"/>
    <n v="11"/>
    <d v="2021-06-18T00:00:00"/>
    <d v="2021-06-25T00:00:00"/>
    <d v="2021-06-26T00:00:00"/>
    <n v="50"/>
    <x v="0"/>
  </r>
  <r>
    <n v="77"/>
    <n v="30"/>
    <n v="1"/>
    <n v="17"/>
    <n v="11"/>
    <d v="2021-06-18T00:00:00"/>
    <d v="2021-06-25T00:00:00"/>
    <d v="2021-06-26T00:00:00"/>
    <n v="20"/>
    <x v="0"/>
  </r>
  <r>
    <n v="78"/>
    <n v="2"/>
    <n v="1"/>
    <n v="122"/>
    <n v="36"/>
    <d v="2021-07-11T00:00:00"/>
    <d v="2021-07-18T00:00:00"/>
    <d v="2021-07-19T00:00:00"/>
    <n v="80"/>
    <x v="1"/>
  </r>
  <r>
    <n v="79"/>
    <n v="16"/>
    <n v="1"/>
    <n v="17"/>
    <n v="11"/>
    <d v="2021-06-18T00:00:00"/>
    <d v="2021-06-25T00:00:00"/>
    <d v="2021-06-26T00:00:00"/>
    <n v="40"/>
    <x v="0"/>
  </r>
  <r>
    <n v="80"/>
    <n v="2"/>
    <n v="1"/>
    <n v="19"/>
    <n v="12"/>
    <d v="2021-06-18T00:00:00"/>
    <d v="2021-06-25T00:00:00"/>
    <d v="2021-06-26T00:00:00"/>
    <n v="0"/>
    <x v="0"/>
  </r>
  <r>
    <n v="81"/>
    <n v="18"/>
    <n v="1"/>
    <n v="19"/>
    <n v="12"/>
    <d v="2021-06-18T00:00:00"/>
    <d v="2021-06-25T00:00:00"/>
    <d v="2021-06-26T00:00:00"/>
    <n v="0"/>
    <x v="0"/>
  </r>
  <r>
    <n v="82"/>
    <n v="17"/>
    <n v="1"/>
    <n v="19"/>
    <n v="12"/>
    <d v="2021-06-18T00:00:00"/>
    <d v="2021-06-25T00:00:00"/>
    <d v="2021-06-26T00:00:00"/>
    <n v="10"/>
    <x v="0"/>
  </r>
  <r>
    <n v="83"/>
    <n v="6"/>
    <n v="1"/>
    <n v="19"/>
    <n v="12"/>
    <d v="2021-06-18T00:00:00"/>
    <d v="2021-06-25T00:00:00"/>
    <d v="2021-06-26T00:00:00"/>
    <n v="20"/>
    <x v="0"/>
  </r>
  <r>
    <n v="84"/>
    <n v="4"/>
    <n v="1"/>
    <n v="19"/>
    <n v="12"/>
    <d v="2021-06-18T00:00:00"/>
    <d v="2021-06-25T00:00:00"/>
    <d v="2021-06-26T00:00:00"/>
    <n v="30"/>
    <x v="0"/>
  </r>
  <r>
    <n v="85"/>
    <n v="29"/>
    <n v="1"/>
    <n v="19"/>
    <n v="12"/>
    <d v="2021-06-18T00:00:00"/>
    <d v="2021-06-25T00:00:00"/>
    <d v="2021-06-26T00:00:00"/>
    <n v="10"/>
    <x v="0"/>
  </r>
  <r>
    <n v="86"/>
    <n v="3"/>
    <n v="1"/>
    <n v="20"/>
    <n v="13"/>
    <d v="2021-06-19T00:00:00"/>
    <d v="2021-06-26T00:00:00"/>
    <d v="2021-06-27T00:00:00"/>
    <n v="0"/>
    <x v="0"/>
  </r>
  <r>
    <n v="87"/>
    <n v="6"/>
    <n v="1"/>
    <n v="20"/>
    <n v="13"/>
    <d v="2021-06-19T00:00:00"/>
    <d v="2021-06-26T00:00:00"/>
    <d v="2021-06-27T00:00:00"/>
    <n v="40"/>
    <x v="0"/>
  </r>
  <r>
    <n v="88"/>
    <n v="4"/>
    <n v="1"/>
    <n v="20"/>
    <n v="13"/>
    <d v="2021-06-19T00:00:00"/>
    <d v="2021-06-26T00:00:00"/>
    <d v="2021-06-27T00:00:00"/>
    <n v="10"/>
    <x v="0"/>
  </r>
  <r>
    <n v="89"/>
    <n v="9"/>
    <n v="1"/>
    <n v="20"/>
    <n v="13"/>
    <d v="2021-06-19T00:00:00"/>
    <d v="2021-06-26T00:00:00"/>
    <d v="2021-06-27T00:00:00"/>
    <n v="10"/>
    <x v="0"/>
  </r>
  <r>
    <n v="90"/>
    <n v="10"/>
    <n v="1"/>
    <n v="20"/>
    <n v="13"/>
    <d v="2021-06-19T00:00:00"/>
    <d v="2021-06-26T00:00:00"/>
    <d v="2021-06-27T00:00:00"/>
    <n v="50"/>
    <x v="0"/>
  </r>
  <r>
    <n v="91"/>
    <n v="28"/>
    <n v="1"/>
    <n v="20"/>
    <n v="13"/>
    <d v="2021-06-19T00:00:00"/>
    <d v="2021-06-26T00:00:00"/>
    <d v="2021-06-27T00:00:00"/>
    <n v="40"/>
    <x v="0"/>
  </r>
  <r>
    <n v="92"/>
    <n v="11"/>
    <n v="1"/>
    <n v="20"/>
    <n v="13"/>
    <d v="2021-06-19T00:00:00"/>
    <d v="2021-06-26T00:00:00"/>
    <d v="2021-06-27T00:00:00"/>
    <n v="20"/>
    <x v="0"/>
  </r>
  <r>
    <n v="93"/>
    <n v="15"/>
    <n v="1"/>
    <n v="27"/>
    <n v="14"/>
    <d v="2021-06-21T00:00:00"/>
    <d v="2021-06-28T00:00:00"/>
    <d v="2021-06-29T00:00:00"/>
    <n v="30"/>
    <x v="0"/>
  </r>
  <r>
    <n v="94"/>
    <n v="22"/>
    <n v="1"/>
    <n v="27"/>
    <n v="14"/>
    <d v="2021-06-21T00:00:00"/>
    <d v="2021-06-28T00:00:00"/>
    <d v="2021-06-29T00:00:00"/>
    <n v="20"/>
    <x v="0"/>
  </r>
  <r>
    <n v="95"/>
    <n v="5"/>
    <n v="1"/>
    <n v="27"/>
    <n v="14"/>
    <d v="2021-06-21T00:00:00"/>
    <d v="2021-06-28T00:00:00"/>
    <d v="2021-06-29T00:00:00"/>
    <n v="30"/>
    <x v="0"/>
  </r>
  <r>
    <n v="96"/>
    <n v="17"/>
    <n v="1"/>
    <n v="27"/>
    <n v="14"/>
    <d v="2021-06-21T00:00:00"/>
    <d v="2021-06-28T00:00:00"/>
    <d v="2021-06-29T00:00:00"/>
    <n v="0"/>
    <x v="0"/>
  </r>
  <r>
    <n v="97"/>
    <n v="4"/>
    <n v="1"/>
    <n v="27"/>
    <n v="14"/>
    <d v="2021-06-21T00:00:00"/>
    <d v="2021-06-28T00:00:00"/>
    <d v="2021-06-29T00:00:00"/>
    <n v="0"/>
    <x v="0"/>
  </r>
  <r>
    <n v="98"/>
    <n v="19"/>
    <n v="1"/>
    <n v="27"/>
    <n v="14"/>
    <d v="2021-06-21T00:00:00"/>
    <d v="2021-06-28T00:00:00"/>
    <d v="2021-06-29T00:00:00"/>
    <n v="0"/>
    <x v="0"/>
  </r>
  <r>
    <n v="99"/>
    <n v="27"/>
    <n v="1"/>
    <n v="27"/>
    <n v="14"/>
    <d v="2021-06-21T00:00:00"/>
    <d v="2021-06-28T00:00:00"/>
    <d v="2021-06-29T00:00:00"/>
    <n v="50"/>
    <x v="0"/>
  </r>
  <r>
    <n v="100"/>
    <n v="28"/>
    <n v="1"/>
    <n v="27"/>
    <n v="14"/>
    <d v="2021-06-21T00:00:00"/>
    <d v="2021-06-28T00:00:00"/>
    <d v="2021-06-29T00:00:00"/>
    <n v="20"/>
    <x v="0"/>
  </r>
  <r>
    <n v="101"/>
    <n v="1"/>
    <n v="1"/>
    <n v="30"/>
    <n v="15"/>
    <d v="2021-06-21T00:00:00"/>
    <d v="2021-06-28T00:00:00"/>
    <d v="2021-06-29T00:00:00"/>
    <n v="20"/>
    <x v="0"/>
  </r>
  <r>
    <n v="102"/>
    <n v="4"/>
    <n v="1"/>
    <n v="30"/>
    <n v="15"/>
    <d v="2021-06-21T00:00:00"/>
    <d v="2021-06-28T00:00:00"/>
    <d v="2021-06-29T00:00:00"/>
    <n v="50"/>
    <x v="0"/>
  </r>
  <r>
    <n v="103"/>
    <n v="6"/>
    <n v="1"/>
    <n v="30"/>
    <n v="15"/>
    <d v="2021-06-21T00:00:00"/>
    <d v="2021-06-28T00:00:00"/>
    <d v="2021-06-29T00:00:00"/>
    <n v="40"/>
    <x v="0"/>
  </r>
  <r>
    <n v="104"/>
    <n v="19"/>
    <n v="1"/>
    <n v="30"/>
    <n v="15"/>
    <d v="2021-06-21T00:00:00"/>
    <d v="2021-06-28T00:00:00"/>
    <d v="2021-06-29T00:00:00"/>
    <n v="0"/>
    <x v="0"/>
  </r>
  <r>
    <n v="105"/>
    <n v="9"/>
    <n v="1"/>
    <n v="30"/>
    <n v="15"/>
    <d v="2021-06-21T00:00:00"/>
    <d v="2021-06-28T00:00:00"/>
    <d v="2021-06-29T00:00:00"/>
    <n v="30"/>
    <x v="0"/>
  </r>
  <r>
    <n v="106"/>
    <n v="13"/>
    <n v="1"/>
    <n v="30"/>
    <n v="15"/>
    <d v="2021-06-21T00:00:00"/>
    <d v="2021-06-28T00:00:00"/>
    <d v="2021-06-29T00:00:00"/>
    <n v="50"/>
    <x v="0"/>
  </r>
  <r>
    <n v="107"/>
    <n v="16"/>
    <n v="1"/>
    <n v="30"/>
    <n v="15"/>
    <d v="2021-06-21T00:00:00"/>
    <d v="2021-06-28T00:00:00"/>
    <d v="2021-06-29T00:00:00"/>
    <n v="20"/>
    <x v="0"/>
  </r>
  <r>
    <n v="108"/>
    <n v="2"/>
    <n v="1"/>
    <n v="43"/>
    <n v="16"/>
    <d v="2021-06-21T00:00:00"/>
    <d v="2021-06-28T00:00:00"/>
    <d v="2021-06-29T00:00:00"/>
    <n v="10"/>
    <x v="0"/>
  </r>
  <r>
    <n v="109"/>
    <n v="9"/>
    <n v="1"/>
    <n v="43"/>
    <n v="16"/>
    <d v="2021-06-21T00:00:00"/>
    <d v="2021-06-28T00:00:00"/>
    <d v="2021-06-29T00:00:00"/>
    <n v="10"/>
    <x v="0"/>
  </r>
  <r>
    <n v="110"/>
    <n v="5"/>
    <n v="3"/>
    <n v="13"/>
    <n v="2"/>
    <d v="2021-05-17T00:00:00"/>
    <d v="2021-05-24T00:00:00"/>
    <d v="2021-05-24T00:00:00"/>
    <n v="40"/>
    <x v="0"/>
  </r>
  <r>
    <n v="111"/>
    <n v="6"/>
    <n v="3"/>
    <n v="13"/>
    <n v="2"/>
    <d v="2021-05-17T00:00:00"/>
    <d v="2021-05-24T00:00:00"/>
    <d v="2021-05-24T00:00:00"/>
    <n v="30"/>
    <x v="0"/>
  </r>
  <r>
    <n v="112"/>
    <n v="7"/>
    <n v="3"/>
    <n v="13"/>
    <n v="2"/>
    <d v="2021-05-17T00:00:00"/>
    <d v="2021-05-24T00:00:00"/>
    <d v="2021-05-24T00:00:00"/>
    <n v="30"/>
    <x v="0"/>
  </r>
  <r>
    <n v="113"/>
    <n v="8"/>
    <n v="3"/>
    <n v="13"/>
    <n v="2"/>
    <d v="2021-05-17T00:00:00"/>
    <d v="2021-05-24T00:00:00"/>
    <d v="2021-05-24T00:00:00"/>
    <n v="60"/>
    <x v="0"/>
  </r>
  <r>
    <n v="483"/>
    <n v="7"/>
    <n v="1"/>
    <n v="65"/>
    <n v="20"/>
    <d v="2021-06-25T00:00:00"/>
    <d v="2021-07-02T00:00:00"/>
    <d v="2021-07-03T00:00:00"/>
    <n v="20"/>
    <x v="0"/>
  </r>
  <r>
    <n v="115"/>
    <n v="8"/>
    <n v="6"/>
    <n v="72"/>
    <n v="2"/>
    <d v="2021-05-17T00:00:00"/>
    <d v="2021-05-24T00:00:00"/>
    <d v="2021-05-25T00:00:00"/>
    <n v="70"/>
    <x v="0"/>
  </r>
  <r>
    <n v="116"/>
    <n v="9"/>
    <n v="6"/>
    <n v="72"/>
    <n v="2"/>
    <d v="2021-05-17T00:00:00"/>
    <d v="2021-05-24T00:00:00"/>
    <d v="2021-05-25T00:00:00"/>
    <n v="50"/>
    <x v="0"/>
  </r>
  <r>
    <n v="117"/>
    <n v="10"/>
    <n v="6"/>
    <n v="72"/>
    <n v="2"/>
    <d v="2021-05-17T00:00:00"/>
    <d v="2021-05-24T00:00:00"/>
    <d v="2021-05-25T00:00:00"/>
    <n v="40"/>
    <x v="0"/>
  </r>
  <r>
    <n v="118"/>
    <n v="1"/>
    <n v="6"/>
    <n v="72"/>
    <n v="2"/>
    <d v="2021-05-17T00:00:00"/>
    <d v="2021-05-24T00:00:00"/>
    <d v="2021-05-25T00:00:00"/>
    <n v="30"/>
    <x v="0"/>
  </r>
  <r>
    <n v="119"/>
    <n v="18"/>
    <n v="1"/>
    <n v="17"/>
    <n v="11"/>
    <d v="2021-06-18T00:00:00"/>
    <d v="2021-06-25T00:00:00"/>
    <d v="2021-06-26T00:00:00"/>
    <n v="40"/>
    <x v="0"/>
  </r>
  <r>
    <n v="120"/>
    <n v="26"/>
    <n v="1"/>
    <n v="43"/>
    <n v="16"/>
    <d v="2021-06-21T00:00:00"/>
    <d v="2021-06-28T00:00:00"/>
    <d v="2021-06-29T00:00:00"/>
    <n v="0"/>
    <x v="0"/>
  </r>
  <r>
    <n v="121"/>
    <n v="1"/>
    <n v="1"/>
    <n v="46"/>
    <n v="17"/>
    <d v="2021-06-21T00:00:00"/>
    <d v="2021-06-28T00:00:00"/>
    <d v="2021-06-29T00:00:00"/>
    <n v="10"/>
    <x v="0"/>
  </r>
  <r>
    <n v="122"/>
    <n v="3"/>
    <n v="1"/>
    <n v="151"/>
    <n v="39"/>
    <d v="2021-07-12T00:00:00"/>
    <d v="2021-07-19T00:00:00"/>
    <d v="2021-07-20T00:00:00"/>
    <n v="80"/>
    <x v="1"/>
  </r>
  <r>
    <n v="123"/>
    <n v="5"/>
    <n v="1"/>
    <n v="46"/>
    <n v="17"/>
    <d v="2021-06-21T00:00:00"/>
    <d v="2021-06-28T00:00:00"/>
    <d v="2021-06-29T00:00:00"/>
    <n v="0"/>
    <x v="0"/>
  </r>
  <r>
    <n v="124"/>
    <n v="4"/>
    <n v="1"/>
    <n v="46"/>
    <n v="17"/>
    <d v="2021-06-21T00:00:00"/>
    <d v="2021-06-28T00:00:00"/>
    <d v="2021-06-29T00:00:00"/>
    <n v="0"/>
    <x v="0"/>
  </r>
  <r>
    <n v="125"/>
    <n v="17"/>
    <n v="1"/>
    <n v="46"/>
    <n v="17"/>
    <d v="2021-06-21T00:00:00"/>
    <d v="2021-06-28T00:00:00"/>
    <d v="2021-06-29T00:00:00"/>
    <n v="0"/>
    <x v="0"/>
  </r>
  <r>
    <n v="126"/>
    <n v="29"/>
    <n v="1"/>
    <n v="46"/>
    <n v="17"/>
    <d v="2021-06-21T00:00:00"/>
    <d v="2021-06-28T00:00:00"/>
    <d v="2021-06-29T00:00:00"/>
    <n v="30"/>
    <x v="0"/>
  </r>
  <r>
    <n v="127"/>
    <n v="9"/>
    <n v="3"/>
    <n v="18"/>
    <n v="3"/>
    <d v="2021-05-24T00:00:00"/>
    <d v="2021-05-31T00:00:00"/>
    <d v="2021-05-31T00:00:00"/>
    <n v="40"/>
    <x v="0"/>
  </r>
  <r>
    <n v="128"/>
    <n v="10"/>
    <n v="3"/>
    <n v="18"/>
    <n v="3"/>
    <d v="2021-05-24T00:00:00"/>
    <d v="2021-05-31T00:00:00"/>
    <d v="2021-05-31T00:00:00"/>
    <n v="60"/>
    <x v="0"/>
  </r>
  <r>
    <n v="129"/>
    <n v="11"/>
    <n v="3"/>
    <n v="18"/>
    <n v="3"/>
    <d v="2021-05-24T00:00:00"/>
    <d v="2021-05-31T00:00:00"/>
    <d v="2021-05-31T00:00:00"/>
    <n v="50"/>
    <x v="0"/>
  </r>
  <r>
    <n v="130"/>
    <n v="12"/>
    <n v="3"/>
    <n v="18"/>
    <n v="3"/>
    <d v="2021-05-24T00:00:00"/>
    <d v="2021-05-31T00:00:00"/>
    <d v="2021-05-31T00:00:00"/>
    <n v="40"/>
    <x v="0"/>
  </r>
  <r>
    <n v="131"/>
    <n v="30"/>
    <n v="6"/>
    <n v="82"/>
    <n v="3"/>
    <d v="2021-05-24T00:00:00"/>
    <d v="2021-05-31T00:00:00"/>
    <d v="2021-06-01T00:00:00"/>
    <n v="60"/>
    <x v="0"/>
  </r>
  <r>
    <n v="132"/>
    <n v="29"/>
    <n v="6"/>
    <n v="82"/>
    <n v="3"/>
    <d v="2021-05-24T00:00:00"/>
    <d v="2021-05-31T00:00:00"/>
    <d v="2021-06-01T00:00:00"/>
    <n v="50"/>
    <x v="0"/>
  </r>
  <r>
    <n v="133"/>
    <n v="28"/>
    <n v="6"/>
    <n v="82"/>
    <n v="3"/>
    <d v="2021-05-24T00:00:00"/>
    <d v="2021-05-31T00:00:00"/>
    <d v="2021-06-01T00:00:00"/>
    <n v="20"/>
    <x v="0"/>
  </r>
  <r>
    <n v="134"/>
    <n v="27"/>
    <n v="6"/>
    <n v="82"/>
    <n v="3"/>
    <d v="2021-05-24T00:00:00"/>
    <d v="2021-05-31T00:00:00"/>
    <d v="2021-06-01T00:00:00"/>
    <n v="10"/>
    <x v="0"/>
  </r>
  <r>
    <n v="135"/>
    <n v="25"/>
    <n v="6"/>
    <n v="82"/>
    <n v="3"/>
    <d v="2021-05-24T00:00:00"/>
    <d v="2021-05-31T00:00:00"/>
    <d v="2021-06-01T00:00:00"/>
    <n v="60"/>
    <x v="0"/>
  </r>
  <r>
    <n v="136"/>
    <n v="24"/>
    <n v="6"/>
    <n v="82"/>
    <n v="3"/>
    <d v="2021-05-24T00:00:00"/>
    <d v="2021-05-31T00:00:00"/>
    <d v="2021-06-01T00:00:00"/>
    <n v="50"/>
    <x v="0"/>
  </r>
  <r>
    <n v="137"/>
    <n v="27"/>
    <n v="3"/>
    <n v="23"/>
    <n v="4"/>
    <d v="2021-05-26T00:00:00"/>
    <d v="2021-06-02T00:00:00"/>
    <d v="2021-06-02T00:00:00"/>
    <n v="50"/>
    <x v="0"/>
  </r>
  <r>
    <n v="138"/>
    <n v="28"/>
    <n v="3"/>
    <n v="23"/>
    <n v="4"/>
    <d v="2021-05-26T00:00:00"/>
    <d v="2021-06-02T00:00:00"/>
    <d v="2021-06-02T00:00:00"/>
    <n v="40"/>
    <x v="0"/>
  </r>
  <r>
    <n v="139"/>
    <n v="1"/>
    <n v="3"/>
    <n v="23"/>
    <n v="4"/>
    <d v="2021-05-26T00:00:00"/>
    <d v="2021-06-02T00:00:00"/>
    <d v="2021-06-02T00:00:00"/>
    <n v="50"/>
    <x v="0"/>
  </r>
  <r>
    <n v="140"/>
    <n v="3"/>
    <n v="3"/>
    <n v="23"/>
    <n v="4"/>
    <d v="2021-05-26T00:00:00"/>
    <d v="2021-06-02T00:00:00"/>
    <d v="2021-06-02T00:00:00"/>
    <n v="0"/>
    <x v="0"/>
  </r>
  <r>
    <n v="141"/>
    <n v="16"/>
    <n v="2"/>
    <n v="52"/>
    <n v="4"/>
    <d v="2021-05-26T00:00:00"/>
    <d v="2021-06-02T00:00:00"/>
    <d v="2021-06-02T00:00:00"/>
    <n v="10"/>
    <x v="0"/>
  </r>
  <r>
    <n v="142"/>
    <n v="19"/>
    <n v="2"/>
    <n v="52"/>
    <n v="4"/>
    <d v="2021-05-26T00:00:00"/>
    <d v="2021-06-02T00:00:00"/>
    <d v="2021-06-02T00:00:00"/>
    <n v="50"/>
    <x v="0"/>
  </r>
  <r>
    <n v="143"/>
    <n v="9"/>
    <n v="2"/>
    <n v="52"/>
    <n v="4"/>
    <d v="2021-05-26T00:00:00"/>
    <d v="2021-06-02T00:00:00"/>
    <d v="2021-06-02T00:00:00"/>
    <n v="30"/>
    <x v="0"/>
  </r>
  <r>
    <n v="144"/>
    <n v="23"/>
    <n v="6"/>
    <n v="85"/>
    <n v="4"/>
    <d v="2021-05-26T00:00:00"/>
    <d v="2021-06-02T00:00:00"/>
    <d v="2021-06-03T00:00:00"/>
    <n v="40"/>
    <x v="0"/>
  </r>
  <r>
    <n v="145"/>
    <n v="20"/>
    <n v="6"/>
    <n v="85"/>
    <n v="4"/>
    <d v="2021-05-26T00:00:00"/>
    <d v="2021-06-02T00:00:00"/>
    <d v="2021-06-03T00:00:00"/>
    <n v="60"/>
    <x v="0"/>
  </r>
  <r>
    <n v="146"/>
    <n v="19"/>
    <n v="6"/>
    <n v="85"/>
    <n v="4"/>
    <d v="2021-05-26T00:00:00"/>
    <d v="2021-06-02T00:00:00"/>
    <d v="2021-06-03T00:00:00"/>
    <n v="50"/>
    <x v="0"/>
  </r>
  <r>
    <n v="147"/>
    <n v="18"/>
    <n v="6"/>
    <n v="85"/>
    <n v="4"/>
    <d v="2021-05-26T00:00:00"/>
    <d v="2021-06-02T00:00:00"/>
    <d v="2021-06-03T00:00:00"/>
    <n v="40"/>
    <x v="0"/>
  </r>
  <r>
    <n v="148"/>
    <n v="17"/>
    <n v="6"/>
    <n v="85"/>
    <n v="4"/>
    <d v="2021-05-26T00:00:00"/>
    <d v="2021-06-02T00:00:00"/>
    <d v="2021-06-03T00:00:00"/>
    <n v="30"/>
    <x v="0"/>
  </r>
  <r>
    <n v="149"/>
    <n v="15"/>
    <n v="6"/>
    <n v="85"/>
    <n v="4"/>
    <d v="2021-05-26T00:00:00"/>
    <d v="2021-06-02T00:00:00"/>
    <d v="2021-06-03T00:00:00"/>
    <n v="20"/>
    <x v="0"/>
  </r>
  <r>
    <n v="150"/>
    <n v="5"/>
    <n v="1"/>
    <n v="49"/>
    <n v="18"/>
    <d v="2021-06-24T00:00:00"/>
    <d v="2021-07-01T00:00:00"/>
    <d v="2021-07-02T00:00:00"/>
    <n v="10"/>
    <x v="0"/>
  </r>
  <r>
    <n v="151"/>
    <n v="4"/>
    <n v="1"/>
    <n v="49"/>
    <n v="18"/>
    <d v="2021-06-24T00:00:00"/>
    <d v="2021-07-01T00:00:00"/>
    <d v="2021-07-02T00:00:00"/>
    <n v="30"/>
    <x v="0"/>
  </r>
  <r>
    <n v="152"/>
    <n v="4"/>
    <n v="1"/>
    <n v="151"/>
    <n v="39"/>
    <d v="2021-07-12T00:00:00"/>
    <d v="2021-07-19T00:00:00"/>
    <d v="2021-07-20T00:00:00"/>
    <n v="20"/>
    <x v="0"/>
  </r>
  <r>
    <n v="333"/>
    <n v="5"/>
    <n v="1"/>
    <n v="78"/>
    <n v="24"/>
    <d v="2021-07-02T00:00:00"/>
    <d v="2021-07-09T00:00:00"/>
    <d v="2021-07-10T00:00:00"/>
    <n v="0"/>
    <x v="0"/>
  </r>
  <r>
    <n v="154"/>
    <n v="21"/>
    <n v="1"/>
    <n v="49"/>
    <n v="18"/>
    <d v="2021-06-24T00:00:00"/>
    <d v="2021-07-01T00:00:00"/>
    <d v="2021-07-02T00:00:00"/>
    <n v="0"/>
    <x v="0"/>
  </r>
  <r>
    <n v="155"/>
    <n v="9"/>
    <n v="1"/>
    <n v="49"/>
    <n v="18"/>
    <d v="2021-06-24T00:00:00"/>
    <d v="2021-07-01T00:00:00"/>
    <d v="2021-07-02T00:00:00"/>
    <n v="10"/>
    <x v="0"/>
  </r>
  <r>
    <n v="156"/>
    <n v="15"/>
    <n v="1"/>
    <n v="51"/>
    <n v="19"/>
    <d v="2021-06-25T00:00:00"/>
    <d v="2021-07-02T00:00:00"/>
    <d v="2021-07-03T00:00:00"/>
    <n v="40"/>
    <x v="0"/>
  </r>
  <r>
    <n v="157"/>
    <n v="6"/>
    <n v="1"/>
    <n v="151"/>
    <n v="39"/>
    <d v="2021-07-12T00:00:00"/>
    <d v="2021-07-19T00:00:00"/>
    <d v="2021-07-20T00:00:00"/>
    <n v="90"/>
    <x v="1"/>
  </r>
  <r>
    <n v="158"/>
    <n v="3"/>
    <n v="1"/>
    <n v="51"/>
    <n v="19"/>
    <d v="2021-06-25T00:00:00"/>
    <d v="2021-07-02T00:00:00"/>
    <d v="2021-07-03T00:00:00"/>
    <n v="10"/>
    <x v="0"/>
  </r>
  <r>
    <n v="159"/>
    <n v="20"/>
    <n v="1"/>
    <n v="51"/>
    <n v="19"/>
    <d v="2021-06-25T00:00:00"/>
    <d v="2021-07-02T00:00:00"/>
    <d v="2021-07-03T00:00:00"/>
    <n v="10"/>
    <x v="0"/>
  </r>
  <r>
    <n v="160"/>
    <n v="5"/>
    <n v="6"/>
    <n v="92"/>
    <n v="5"/>
    <d v="2021-06-03T00:00:00"/>
    <d v="2021-06-10T00:00:00"/>
    <d v="2021-06-11T00:00:00"/>
    <n v="50"/>
    <x v="0"/>
  </r>
  <r>
    <n v="161"/>
    <n v="6"/>
    <n v="6"/>
    <n v="92"/>
    <n v="5"/>
    <d v="2021-06-03T00:00:00"/>
    <d v="2021-06-10T00:00:00"/>
    <d v="2021-06-11T00:00:00"/>
    <n v="40"/>
    <x v="0"/>
  </r>
  <r>
    <n v="114"/>
    <n v="7"/>
    <n v="6"/>
    <n v="72"/>
    <n v="2"/>
    <d v="2021-05-17T00:00:00"/>
    <d v="2021-05-24T00:00:00"/>
    <d v="2021-05-25T00:00:00"/>
    <n v="60"/>
    <x v="0"/>
  </r>
  <r>
    <n v="163"/>
    <n v="8"/>
    <n v="6"/>
    <n v="92"/>
    <n v="5"/>
    <d v="2021-06-03T00:00:00"/>
    <d v="2021-06-10T00:00:00"/>
    <d v="2021-06-11T00:00:00"/>
    <n v="40"/>
    <x v="0"/>
  </r>
  <r>
    <n v="164"/>
    <n v="9"/>
    <n v="6"/>
    <n v="92"/>
    <n v="5"/>
    <d v="2021-06-03T00:00:00"/>
    <d v="2021-06-10T00:00:00"/>
    <d v="2021-06-11T00:00:00"/>
    <n v="70"/>
    <x v="0"/>
  </r>
  <r>
    <n v="165"/>
    <n v="15"/>
    <n v="6"/>
    <n v="92"/>
    <n v="5"/>
    <d v="2021-06-03T00:00:00"/>
    <d v="2021-06-10T00:00:00"/>
    <d v="2021-06-11T00:00:00"/>
    <n v="0"/>
    <x v="0"/>
  </r>
  <r>
    <n v="166"/>
    <n v="30"/>
    <n v="1"/>
    <n v="46"/>
    <n v="17"/>
    <d v="2021-06-21T00:00:00"/>
    <d v="2021-06-28T00:00:00"/>
    <d v="2021-06-29T00:00:00"/>
    <n v="50"/>
    <x v="0"/>
  </r>
  <r>
    <n v="167"/>
    <n v="8"/>
    <n v="1"/>
    <n v="151"/>
    <n v="39"/>
    <d v="2021-07-12T00:00:00"/>
    <d v="2021-07-19T00:00:00"/>
    <d v="2021-07-20T00:00:00"/>
    <n v="70"/>
    <x v="1"/>
  </r>
  <r>
    <n v="168"/>
    <n v="9"/>
    <n v="1"/>
    <n v="17"/>
    <n v="11"/>
    <d v="2021-06-18T00:00:00"/>
    <d v="2021-06-25T00:00:00"/>
    <d v="2021-06-26T00:00:00"/>
    <n v="30"/>
    <x v="0"/>
  </r>
  <r>
    <n v="170"/>
    <n v="15"/>
    <n v="1"/>
    <n v="51"/>
    <n v="19"/>
    <d v="2021-06-25T00:00:00"/>
    <d v="2021-07-02T00:00:00"/>
    <d v="2021-07-03T00:00:00"/>
    <n v="20"/>
    <x v="0"/>
  </r>
  <r>
    <n v="171"/>
    <n v="2"/>
    <n v="1"/>
    <n v="65"/>
    <n v="20"/>
    <d v="2021-06-25T00:00:00"/>
    <d v="2021-07-02T00:00:00"/>
    <d v="2021-07-03T00:00:00"/>
    <n v="50"/>
    <x v="0"/>
  </r>
  <r>
    <n v="172"/>
    <n v="29"/>
    <n v="3"/>
    <n v="28"/>
    <n v="6"/>
    <d v="2021-06-16T00:00:00"/>
    <d v="2021-06-23T00:00:00"/>
    <d v="2021-06-23T00:00:00"/>
    <n v="60"/>
    <x v="0"/>
  </r>
  <r>
    <n v="173"/>
    <n v="30"/>
    <n v="3"/>
    <n v="28"/>
    <n v="6"/>
    <d v="2021-06-16T00:00:00"/>
    <d v="2021-06-23T00:00:00"/>
    <d v="2021-06-23T00:00:00"/>
    <n v="30"/>
    <x v="0"/>
  </r>
  <r>
    <n v="174"/>
    <n v="1"/>
    <n v="3"/>
    <n v="28"/>
    <n v="6"/>
    <d v="2021-06-16T00:00:00"/>
    <d v="2021-06-23T00:00:00"/>
    <d v="2021-06-23T00:00:00"/>
    <n v="40"/>
    <x v="0"/>
  </r>
  <r>
    <n v="175"/>
    <n v="2"/>
    <n v="3"/>
    <n v="28"/>
    <n v="6"/>
    <d v="2021-06-16T00:00:00"/>
    <d v="2021-06-23T00:00:00"/>
    <d v="2021-06-23T00:00:00"/>
    <n v="40"/>
    <x v="0"/>
  </r>
  <r>
    <n v="176"/>
    <n v="21"/>
    <n v="3"/>
    <n v="36"/>
    <n v="7"/>
    <d v="2021-06-16T00:00:00"/>
    <d v="2021-06-23T00:00:00"/>
    <d v="2021-06-23T00:00:00"/>
    <n v="0"/>
    <x v="0"/>
  </r>
  <r>
    <n v="177"/>
    <n v="12"/>
    <n v="3"/>
    <n v="36"/>
    <n v="7"/>
    <d v="2021-06-16T00:00:00"/>
    <d v="2021-06-23T00:00:00"/>
    <d v="2021-06-23T00:00:00"/>
    <n v="50"/>
    <x v="0"/>
  </r>
  <r>
    <n v="178"/>
    <n v="22"/>
    <n v="3"/>
    <n v="37"/>
    <n v="8"/>
    <d v="2021-06-16T00:00:00"/>
    <d v="2021-06-23T00:00:00"/>
    <d v="2021-06-23T00:00:00"/>
    <n v="40"/>
    <x v="0"/>
  </r>
  <r>
    <n v="179"/>
    <n v="26"/>
    <n v="3"/>
    <n v="37"/>
    <n v="8"/>
    <d v="2021-06-16T00:00:00"/>
    <d v="2021-06-23T00:00:00"/>
    <d v="2021-06-23T00:00:00"/>
    <n v="10"/>
    <x v="0"/>
  </r>
  <r>
    <n v="180"/>
    <n v="27"/>
    <n v="2"/>
    <n v="63"/>
    <n v="6"/>
    <d v="2021-06-16T00:00:00"/>
    <d v="2021-06-23T00:00:00"/>
    <d v="2021-06-23T00:00:00"/>
    <n v="10"/>
    <x v="0"/>
  </r>
  <r>
    <n v="181"/>
    <n v="28"/>
    <n v="2"/>
    <n v="63"/>
    <n v="6"/>
    <d v="2021-06-16T00:00:00"/>
    <d v="2021-06-23T00:00:00"/>
    <d v="2021-06-23T00:00:00"/>
    <n v="50"/>
    <x v="0"/>
  </r>
  <r>
    <n v="182"/>
    <n v="15"/>
    <n v="2"/>
    <n v="63"/>
    <n v="6"/>
    <d v="2021-06-16T00:00:00"/>
    <d v="2021-06-23T00:00:00"/>
    <d v="2021-06-23T00:00:00"/>
    <n v="60"/>
    <x v="0"/>
  </r>
  <r>
    <n v="183"/>
    <n v="19"/>
    <n v="6"/>
    <n v="99"/>
    <n v="6"/>
    <d v="2021-06-16T00:00:00"/>
    <d v="2021-06-23T00:00:00"/>
    <d v="2021-06-24T00:00:00"/>
    <n v="0"/>
    <x v="0"/>
  </r>
  <r>
    <n v="184"/>
    <n v="20"/>
    <n v="6"/>
    <n v="99"/>
    <n v="6"/>
    <d v="2021-06-16T00:00:00"/>
    <d v="2021-06-23T00:00:00"/>
    <d v="2021-06-24T00:00:00"/>
    <n v="40"/>
    <x v="0"/>
  </r>
  <r>
    <n v="185"/>
    <n v="21"/>
    <n v="6"/>
    <n v="99"/>
    <n v="6"/>
    <d v="2021-06-16T00:00:00"/>
    <d v="2021-06-23T00:00:00"/>
    <d v="2021-06-24T00:00:00"/>
    <n v="50"/>
    <x v="0"/>
  </r>
  <r>
    <n v="186"/>
    <n v="25"/>
    <n v="6"/>
    <n v="99"/>
    <n v="6"/>
    <d v="2021-06-16T00:00:00"/>
    <d v="2021-06-23T00:00:00"/>
    <d v="2021-06-24T00:00:00"/>
    <n v="60"/>
    <x v="0"/>
  </r>
  <r>
    <n v="187"/>
    <n v="30"/>
    <n v="6"/>
    <n v="99"/>
    <n v="6"/>
    <d v="2021-06-16T00:00:00"/>
    <d v="2021-06-23T00:00:00"/>
    <d v="2021-06-24T00:00:00"/>
    <n v="70"/>
    <x v="0"/>
  </r>
  <r>
    <n v="188"/>
    <n v="29"/>
    <n v="6"/>
    <n v="99"/>
    <n v="6"/>
    <d v="2021-06-16T00:00:00"/>
    <d v="2021-06-23T00:00:00"/>
    <d v="2021-06-24T00:00:00"/>
    <n v="20"/>
    <x v="0"/>
  </r>
  <r>
    <n v="189"/>
    <n v="5"/>
    <n v="6"/>
    <n v="99"/>
    <n v="6"/>
    <d v="2021-06-16T00:00:00"/>
    <d v="2021-06-23T00:00:00"/>
    <d v="2021-06-24T00:00:00"/>
    <n v="20"/>
    <x v="0"/>
  </r>
  <r>
    <n v="190"/>
    <n v="6"/>
    <n v="6"/>
    <n v="103"/>
    <n v="7"/>
    <d v="2021-06-16T00:00:00"/>
    <d v="2021-06-23T00:00:00"/>
    <d v="2021-06-24T00:00:00"/>
    <n v="0"/>
    <x v="0"/>
  </r>
  <r>
    <n v="191"/>
    <n v="5"/>
    <n v="6"/>
    <n v="103"/>
    <n v="7"/>
    <d v="2021-06-16T00:00:00"/>
    <d v="2021-06-23T00:00:00"/>
    <d v="2021-06-24T00:00:00"/>
    <n v="0"/>
    <x v="0"/>
  </r>
  <r>
    <n v="192"/>
    <n v="4"/>
    <n v="6"/>
    <n v="103"/>
    <n v="7"/>
    <d v="2021-06-16T00:00:00"/>
    <d v="2021-06-23T00:00:00"/>
    <d v="2021-06-24T00:00:00"/>
    <n v="20"/>
    <x v="0"/>
  </r>
  <r>
    <n v="193"/>
    <n v="18"/>
    <n v="6"/>
    <n v="103"/>
    <n v="7"/>
    <d v="2021-06-16T00:00:00"/>
    <d v="2021-06-23T00:00:00"/>
    <d v="2021-06-24T00:00:00"/>
    <n v="40"/>
    <x v="0"/>
  </r>
  <r>
    <n v="194"/>
    <n v="17"/>
    <n v="6"/>
    <n v="103"/>
    <n v="7"/>
    <d v="2021-06-16T00:00:00"/>
    <d v="2021-06-23T00:00:00"/>
    <d v="2021-06-24T00:00:00"/>
    <n v="50"/>
    <x v="0"/>
  </r>
  <r>
    <n v="195"/>
    <n v="12"/>
    <n v="6"/>
    <n v="103"/>
    <n v="7"/>
    <d v="2021-06-16T00:00:00"/>
    <d v="2021-06-23T00:00:00"/>
    <d v="2021-06-24T00:00:00"/>
    <n v="60"/>
    <x v="0"/>
  </r>
  <r>
    <n v="196"/>
    <n v="16"/>
    <n v="6"/>
    <n v="106"/>
    <n v="8"/>
    <d v="2021-06-16T00:00:00"/>
    <d v="2021-06-23T00:00:00"/>
    <d v="2021-06-24T00:00:00"/>
    <n v="70"/>
    <x v="0"/>
  </r>
  <r>
    <n v="197"/>
    <n v="15"/>
    <n v="6"/>
    <n v="106"/>
    <n v="8"/>
    <d v="2021-06-16T00:00:00"/>
    <d v="2021-06-23T00:00:00"/>
    <d v="2021-06-24T00:00:00"/>
    <n v="10"/>
    <x v="0"/>
  </r>
  <r>
    <n v="198"/>
    <n v="30"/>
    <n v="6"/>
    <n v="106"/>
    <n v="8"/>
    <d v="2021-06-16T00:00:00"/>
    <d v="2021-06-23T00:00:00"/>
    <d v="2021-06-24T00:00:00"/>
    <n v="10"/>
    <x v="0"/>
  </r>
  <r>
    <n v="199"/>
    <n v="29"/>
    <n v="6"/>
    <n v="106"/>
    <n v="8"/>
    <d v="2021-06-16T00:00:00"/>
    <d v="2021-06-23T00:00:00"/>
    <d v="2021-06-24T00:00:00"/>
    <n v="0"/>
    <x v="0"/>
  </r>
  <r>
    <n v="200"/>
    <n v="1"/>
    <n v="6"/>
    <n v="106"/>
    <n v="8"/>
    <d v="2021-06-16T00:00:00"/>
    <d v="2021-06-23T00:00:00"/>
    <d v="2021-06-24T00:00:00"/>
    <n v="90"/>
    <x v="1"/>
  </r>
  <r>
    <n v="201"/>
    <n v="2"/>
    <n v="6"/>
    <n v="106"/>
    <n v="8"/>
    <d v="2021-06-16T00:00:00"/>
    <d v="2021-06-23T00:00:00"/>
    <d v="2021-06-24T00:00:00"/>
    <n v="50"/>
    <x v="0"/>
  </r>
  <r>
    <n v="203"/>
    <n v="21"/>
    <n v="3"/>
    <n v="40"/>
    <n v="9"/>
    <d v="2021-06-18T00:00:00"/>
    <d v="2021-06-25T00:00:00"/>
    <d v="2021-06-25T00:00:00"/>
    <n v="0"/>
    <x v="0"/>
  </r>
  <r>
    <n v="204"/>
    <n v="12"/>
    <n v="3"/>
    <n v="53"/>
    <n v="10"/>
    <d v="2021-06-18T00:00:00"/>
    <d v="2021-06-25T00:00:00"/>
    <d v="2021-06-25T00:00:00"/>
    <n v="80"/>
    <x v="1"/>
  </r>
  <r>
    <n v="205"/>
    <n v="2"/>
    <n v="3"/>
    <n v="53"/>
    <n v="10"/>
    <d v="2021-06-18T00:00:00"/>
    <d v="2021-06-25T00:00:00"/>
    <d v="2021-06-25T00:00:00"/>
    <n v="40"/>
    <x v="0"/>
  </r>
  <r>
    <n v="207"/>
    <n v="27"/>
    <n v="3"/>
    <n v="62"/>
    <n v="11"/>
    <d v="2021-06-18T00:00:00"/>
    <d v="2021-06-25T00:00:00"/>
    <d v="2021-06-25T00:00:00"/>
    <n v="0"/>
    <x v="0"/>
  </r>
  <r>
    <n v="208"/>
    <n v="28"/>
    <n v="3"/>
    <n v="62"/>
    <n v="11"/>
    <d v="2021-06-18T00:00:00"/>
    <d v="2021-06-25T00:00:00"/>
    <d v="2021-06-25T00:00:00"/>
    <n v="10"/>
    <x v="0"/>
  </r>
  <r>
    <n v="209"/>
    <n v="30"/>
    <n v="3"/>
    <n v="75"/>
    <n v="12"/>
    <d v="2021-06-18T00:00:00"/>
    <d v="2021-06-25T00:00:00"/>
    <d v="2021-06-25T00:00:00"/>
    <n v="0"/>
    <x v="0"/>
  </r>
  <r>
    <n v="210"/>
    <n v="3"/>
    <n v="3"/>
    <n v="75"/>
    <n v="12"/>
    <d v="2021-06-18T00:00:00"/>
    <d v="2021-06-25T00:00:00"/>
    <d v="2021-06-25T00:00:00"/>
    <n v="30"/>
    <x v="0"/>
  </r>
  <r>
    <n v="211"/>
    <n v="4"/>
    <n v="3"/>
    <n v="75"/>
    <n v="12"/>
    <d v="2021-06-18T00:00:00"/>
    <d v="2021-06-25T00:00:00"/>
    <d v="2021-06-25T00:00:00"/>
    <n v="10"/>
    <x v="0"/>
  </r>
  <r>
    <n v="212"/>
    <n v="27"/>
    <n v="4"/>
    <n v="50"/>
    <n v="10"/>
    <d v="2021-06-18T00:00:00"/>
    <d v="2021-06-25T00:00:00"/>
    <d v="2021-06-26T00:00:00"/>
    <n v="20"/>
    <x v="0"/>
  </r>
  <r>
    <n v="213"/>
    <n v="28"/>
    <n v="4"/>
    <n v="50"/>
    <n v="10"/>
    <d v="2021-06-18T00:00:00"/>
    <d v="2021-06-25T00:00:00"/>
    <d v="2021-06-26T00:00:00"/>
    <n v="20"/>
    <x v="0"/>
  </r>
  <r>
    <n v="214"/>
    <n v="15"/>
    <n v="4"/>
    <n v="50"/>
    <n v="10"/>
    <d v="2021-06-18T00:00:00"/>
    <d v="2021-06-25T00:00:00"/>
    <d v="2021-06-26T00:00:00"/>
    <n v="0"/>
    <x v="0"/>
  </r>
  <r>
    <n v="215"/>
    <n v="16"/>
    <n v="2"/>
    <n v="97"/>
    <n v="12"/>
    <d v="2021-06-18T00:00:00"/>
    <d v="2021-06-25T00:00:00"/>
    <d v="2021-06-25T00:00:00"/>
    <n v="20"/>
    <x v="0"/>
  </r>
  <r>
    <n v="216"/>
    <n v="19"/>
    <n v="2"/>
    <n v="97"/>
    <n v="12"/>
    <d v="2021-06-18T00:00:00"/>
    <d v="2021-06-25T00:00:00"/>
    <d v="2021-06-25T00:00:00"/>
    <n v="50"/>
    <x v="0"/>
  </r>
  <r>
    <n v="217"/>
    <n v="3"/>
    <n v="6"/>
    <n v="119"/>
    <n v="9"/>
    <d v="2021-06-18T00:00:00"/>
    <d v="2021-06-25T00:00:00"/>
    <d v="2021-06-26T00:00:00"/>
    <n v="80"/>
    <x v="1"/>
  </r>
  <r>
    <n v="218"/>
    <n v="15"/>
    <n v="6"/>
    <n v="119"/>
    <n v="9"/>
    <d v="2021-06-18T00:00:00"/>
    <d v="2021-06-25T00:00:00"/>
    <d v="2021-06-26T00:00:00"/>
    <n v="0"/>
    <x v="0"/>
  </r>
  <r>
    <n v="219"/>
    <n v="16"/>
    <n v="6"/>
    <n v="119"/>
    <n v="9"/>
    <d v="2021-06-18T00:00:00"/>
    <d v="2021-06-25T00:00:00"/>
    <d v="2021-06-26T00:00:00"/>
    <n v="50"/>
    <x v="0"/>
  </r>
  <r>
    <n v="220"/>
    <n v="17"/>
    <n v="6"/>
    <n v="119"/>
    <n v="9"/>
    <d v="2021-06-18T00:00:00"/>
    <d v="2021-06-25T00:00:00"/>
    <d v="2021-06-26T00:00:00"/>
    <n v="60"/>
    <x v="0"/>
  </r>
  <r>
    <n v="221"/>
    <n v="18"/>
    <n v="6"/>
    <n v="119"/>
    <n v="9"/>
    <d v="2021-06-18T00:00:00"/>
    <d v="2021-06-25T00:00:00"/>
    <d v="2021-06-26T00:00:00"/>
    <n v="50"/>
    <x v="0"/>
  </r>
  <r>
    <n v="222"/>
    <n v="19"/>
    <n v="6"/>
    <n v="119"/>
    <n v="9"/>
    <d v="2021-06-18T00:00:00"/>
    <d v="2021-06-25T00:00:00"/>
    <d v="2021-06-26T00:00:00"/>
    <n v="40"/>
    <x v="0"/>
  </r>
  <r>
    <n v="223"/>
    <n v="15"/>
    <n v="6"/>
    <n v="127"/>
    <n v="10"/>
    <d v="2021-06-18T00:00:00"/>
    <d v="2021-06-25T00:00:00"/>
    <d v="2021-06-26T00:00:00"/>
    <n v="20"/>
    <x v="0"/>
  </r>
  <r>
    <n v="224"/>
    <n v="16"/>
    <n v="6"/>
    <n v="127"/>
    <n v="10"/>
    <d v="2021-06-18T00:00:00"/>
    <d v="2021-06-25T00:00:00"/>
    <d v="2021-06-26T00:00:00"/>
    <n v="30"/>
    <x v="0"/>
  </r>
  <r>
    <n v="225"/>
    <n v="17"/>
    <n v="6"/>
    <n v="127"/>
    <n v="10"/>
    <d v="2021-06-18T00:00:00"/>
    <d v="2021-06-25T00:00:00"/>
    <d v="2021-06-26T00:00:00"/>
    <n v="30"/>
    <x v="0"/>
  </r>
  <r>
    <n v="226"/>
    <n v="18"/>
    <n v="6"/>
    <n v="127"/>
    <n v="10"/>
    <d v="2021-06-18T00:00:00"/>
    <d v="2021-06-25T00:00:00"/>
    <d v="2021-06-26T00:00:00"/>
    <n v="30"/>
    <x v="0"/>
  </r>
  <r>
    <n v="227"/>
    <n v="19"/>
    <n v="6"/>
    <n v="127"/>
    <n v="10"/>
    <d v="2021-06-18T00:00:00"/>
    <d v="2021-06-25T00:00:00"/>
    <d v="2021-06-26T00:00:00"/>
    <n v="60"/>
    <x v="0"/>
  </r>
  <r>
    <n v="228"/>
    <n v="11"/>
    <n v="6"/>
    <n v="127"/>
    <n v="10"/>
    <d v="2021-06-18T00:00:00"/>
    <d v="2021-06-25T00:00:00"/>
    <d v="2021-06-26T00:00:00"/>
    <n v="50"/>
    <x v="0"/>
  </r>
  <r>
    <n v="229"/>
    <n v="10"/>
    <n v="6"/>
    <n v="141"/>
    <n v="11"/>
    <d v="2021-06-18T00:00:00"/>
    <d v="2021-06-25T00:00:00"/>
    <d v="2021-06-26T00:00:00"/>
    <n v="70"/>
    <x v="0"/>
  </r>
  <r>
    <n v="230"/>
    <n v="20"/>
    <n v="6"/>
    <n v="141"/>
    <n v="11"/>
    <d v="2021-06-18T00:00:00"/>
    <d v="2021-06-25T00:00:00"/>
    <d v="2021-06-26T00:00:00"/>
    <n v="70"/>
    <x v="0"/>
  </r>
  <r>
    <n v="231"/>
    <n v="24"/>
    <n v="6"/>
    <n v="141"/>
    <n v="11"/>
    <d v="2021-06-18T00:00:00"/>
    <d v="2021-06-25T00:00:00"/>
    <d v="2021-06-26T00:00:00"/>
    <n v="70"/>
    <x v="0"/>
  </r>
  <r>
    <n v="232"/>
    <n v="25"/>
    <n v="6"/>
    <n v="141"/>
    <n v="11"/>
    <d v="2021-06-18T00:00:00"/>
    <d v="2021-06-25T00:00:00"/>
    <d v="2021-06-26T00:00:00"/>
    <n v="0"/>
    <x v="0"/>
  </r>
  <r>
    <n v="233"/>
    <n v="26"/>
    <n v="6"/>
    <n v="141"/>
    <n v="11"/>
    <d v="2021-06-18T00:00:00"/>
    <d v="2021-06-25T00:00:00"/>
    <d v="2021-06-26T00:00:00"/>
    <n v="0"/>
    <x v="0"/>
  </r>
  <r>
    <n v="234"/>
    <n v="27"/>
    <n v="6"/>
    <n v="141"/>
    <n v="11"/>
    <d v="2021-06-18T00:00:00"/>
    <d v="2021-06-25T00:00:00"/>
    <d v="2021-06-26T00:00:00"/>
    <n v="40"/>
    <x v="0"/>
  </r>
  <r>
    <n v="235"/>
    <n v="30"/>
    <n v="6"/>
    <n v="147"/>
    <n v="12"/>
    <d v="2021-06-18T00:00:00"/>
    <d v="2021-06-25T00:00:00"/>
    <d v="2021-06-26T00:00:00"/>
    <n v="50"/>
    <x v="0"/>
  </r>
  <r>
    <n v="236"/>
    <n v="29"/>
    <n v="6"/>
    <n v="147"/>
    <n v="12"/>
    <d v="2021-06-18T00:00:00"/>
    <d v="2021-06-25T00:00:00"/>
    <d v="2021-06-26T00:00:00"/>
    <n v="60"/>
    <x v="0"/>
  </r>
  <r>
    <n v="237"/>
    <n v="27"/>
    <n v="6"/>
    <n v="147"/>
    <n v="12"/>
    <d v="2021-06-18T00:00:00"/>
    <d v="2021-06-25T00:00:00"/>
    <d v="2021-06-26T00:00:00"/>
    <n v="70"/>
    <x v="0"/>
  </r>
  <r>
    <n v="238"/>
    <n v="25"/>
    <n v="6"/>
    <n v="147"/>
    <n v="12"/>
    <d v="2021-06-18T00:00:00"/>
    <d v="2021-06-25T00:00:00"/>
    <d v="2021-06-26T00:00:00"/>
    <n v="70"/>
    <x v="0"/>
  </r>
  <r>
    <n v="239"/>
    <n v="24"/>
    <n v="6"/>
    <n v="147"/>
    <n v="12"/>
    <d v="2021-06-18T00:00:00"/>
    <d v="2021-06-25T00:00:00"/>
    <d v="2021-06-26T00:00:00"/>
    <n v="50"/>
    <x v="0"/>
  </r>
  <r>
    <n v="240"/>
    <n v="22"/>
    <n v="6"/>
    <n v="147"/>
    <n v="12"/>
    <d v="2021-06-18T00:00:00"/>
    <d v="2021-06-25T00:00:00"/>
    <d v="2021-06-26T00:00:00"/>
    <n v="80"/>
    <x v="1"/>
  </r>
  <r>
    <n v="241"/>
    <n v="21"/>
    <n v="6"/>
    <n v="147"/>
    <n v="12"/>
    <d v="2021-06-18T00:00:00"/>
    <d v="2021-06-25T00:00:00"/>
    <d v="2021-06-26T00:00:00"/>
    <n v="90"/>
    <x v="1"/>
  </r>
  <r>
    <n v="242"/>
    <n v="5"/>
    <n v="3"/>
    <n v="81"/>
    <n v="13"/>
    <d v="2021-06-19T00:00:00"/>
    <d v="2021-06-26T00:00:00"/>
    <d v="2021-06-26T00:00:00"/>
    <n v="50"/>
    <x v="0"/>
  </r>
  <r>
    <n v="243"/>
    <n v="6"/>
    <n v="3"/>
    <n v="81"/>
    <n v="13"/>
    <d v="2021-06-19T00:00:00"/>
    <d v="2021-06-26T00:00:00"/>
    <d v="2021-06-26T00:00:00"/>
    <n v="40"/>
    <x v="0"/>
  </r>
  <r>
    <n v="327"/>
    <n v="7"/>
    <n v="1"/>
    <n v="74"/>
    <n v="23"/>
    <d v="2021-06-29T00:00:00"/>
    <d v="2021-07-06T00:00:00"/>
    <d v="2021-07-07T00:00:00"/>
    <n v="20"/>
    <x v="0"/>
  </r>
  <r>
    <n v="245"/>
    <n v="8"/>
    <n v="3"/>
    <n v="81"/>
    <n v="13"/>
    <d v="2021-06-19T00:00:00"/>
    <d v="2021-06-26T00:00:00"/>
    <d v="2021-06-26T00:00:00"/>
    <n v="50"/>
    <x v="0"/>
  </r>
  <r>
    <n v="246"/>
    <n v="15"/>
    <n v="6"/>
    <n v="148"/>
    <n v="13"/>
    <d v="2021-06-19T00:00:00"/>
    <d v="2021-06-26T00:00:00"/>
    <d v="2021-06-27T00:00:00"/>
    <n v="100"/>
    <x v="1"/>
  </r>
  <r>
    <n v="247"/>
    <n v="14"/>
    <n v="6"/>
    <n v="148"/>
    <n v="13"/>
    <d v="2021-06-19T00:00:00"/>
    <d v="2021-06-26T00:00:00"/>
    <d v="2021-06-27T00:00:00"/>
    <n v="50"/>
    <x v="0"/>
  </r>
  <r>
    <n v="248"/>
    <n v="11"/>
    <n v="6"/>
    <n v="148"/>
    <n v="13"/>
    <d v="2021-06-19T00:00:00"/>
    <d v="2021-06-26T00:00:00"/>
    <d v="2021-06-27T00:00:00"/>
    <n v="90"/>
    <x v="1"/>
  </r>
  <r>
    <n v="249"/>
    <n v="12"/>
    <n v="6"/>
    <n v="148"/>
    <n v="13"/>
    <d v="2021-06-19T00:00:00"/>
    <d v="2021-06-26T00:00:00"/>
    <d v="2021-06-27T00:00:00"/>
    <n v="80"/>
    <x v="1"/>
  </r>
  <r>
    <n v="250"/>
    <n v="2"/>
    <n v="6"/>
    <n v="148"/>
    <n v="13"/>
    <d v="2021-06-19T00:00:00"/>
    <d v="2021-06-26T00:00:00"/>
    <d v="2021-06-27T00:00:00"/>
    <n v="90"/>
    <x v="1"/>
  </r>
  <r>
    <n v="251"/>
    <n v="4"/>
    <n v="6"/>
    <n v="148"/>
    <n v="13"/>
    <d v="2021-06-19T00:00:00"/>
    <d v="2021-06-26T00:00:00"/>
    <d v="2021-06-27T00:00:00"/>
    <n v="90"/>
    <x v="1"/>
  </r>
  <r>
    <n v="252"/>
    <n v="9"/>
    <n v="3"/>
    <n v="84"/>
    <n v="14"/>
    <d v="2021-06-21T00:00:00"/>
    <d v="2021-06-28T00:00:00"/>
    <d v="2021-06-28T00:00:00"/>
    <n v="30"/>
    <x v="0"/>
  </r>
  <r>
    <n v="253"/>
    <n v="10"/>
    <n v="3"/>
    <n v="84"/>
    <n v="14"/>
    <d v="2021-06-21T00:00:00"/>
    <d v="2021-06-28T00:00:00"/>
    <d v="2021-06-28T00:00:00"/>
    <n v="40"/>
    <x v="0"/>
  </r>
  <r>
    <n v="254"/>
    <n v="11"/>
    <n v="3"/>
    <n v="84"/>
    <n v="14"/>
    <d v="2021-06-21T00:00:00"/>
    <d v="2021-06-28T00:00:00"/>
    <d v="2021-06-28T00:00:00"/>
    <n v="60"/>
    <x v="0"/>
  </r>
  <r>
    <n v="255"/>
    <n v="12"/>
    <n v="3"/>
    <n v="84"/>
    <n v="14"/>
    <d v="2021-06-21T00:00:00"/>
    <d v="2021-06-28T00:00:00"/>
    <d v="2021-06-28T00:00:00"/>
    <n v="50"/>
    <x v="0"/>
  </r>
  <r>
    <n v="256"/>
    <n v="20"/>
    <n v="3"/>
    <n v="84"/>
    <n v="14"/>
    <d v="2021-06-21T00:00:00"/>
    <d v="2021-06-28T00:00:00"/>
    <d v="2021-06-28T00:00:00"/>
    <n v="50"/>
    <x v="0"/>
  </r>
  <r>
    <n v="257"/>
    <n v="25"/>
    <n v="3"/>
    <n v="90"/>
    <n v="15"/>
    <d v="2021-06-21T00:00:00"/>
    <d v="2021-06-28T00:00:00"/>
    <d v="2021-06-28T00:00:00"/>
    <n v="0"/>
    <x v="0"/>
  </r>
  <r>
    <n v="258"/>
    <n v="26"/>
    <n v="3"/>
    <n v="90"/>
    <n v="15"/>
    <d v="2021-06-21T00:00:00"/>
    <d v="2021-06-28T00:00:00"/>
    <d v="2021-06-28T00:00:00"/>
    <n v="20"/>
    <x v="0"/>
  </r>
  <r>
    <n v="259"/>
    <n v="27"/>
    <n v="3"/>
    <n v="90"/>
    <n v="15"/>
    <d v="2021-06-21T00:00:00"/>
    <d v="2021-06-28T00:00:00"/>
    <d v="2021-06-28T00:00:00"/>
    <n v="50"/>
    <x v="0"/>
  </r>
  <r>
    <n v="260"/>
    <n v="28"/>
    <n v="3"/>
    <n v="90"/>
    <n v="15"/>
    <d v="2021-06-21T00:00:00"/>
    <d v="2021-06-28T00:00:00"/>
    <d v="2021-06-28T00:00:00"/>
    <n v="40"/>
    <x v="0"/>
  </r>
  <r>
    <n v="261"/>
    <n v="29"/>
    <n v="3"/>
    <n v="90"/>
    <n v="15"/>
    <d v="2021-06-21T00:00:00"/>
    <d v="2021-06-28T00:00:00"/>
    <d v="2021-06-28T00:00:00"/>
    <n v="30"/>
    <x v="0"/>
  </r>
  <r>
    <n v="262"/>
    <n v="26"/>
    <n v="3"/>
    <n v="95"/>
    <n v="16"/>
    <d v="2021-06-21T00:00:00"/>
    <d v="2021-06-28T00:00:00"/>
    <d v="2021-06-28T00:00:00"/>
    <n v="20"/>
    <x v="0"/>
  </r>
  <r>
    <n v="263"/>
    <n v="27"/>
    <n v="3"/>
    <n v="95"/>
    <n v="16"/>
    <d v="2021-06-21T00:00:00"/>
    <d v="2021-06-28T00:00:00"/>
    <d v="2021-06-28T00:00:00"/>
    <n v="30"/>
    <x v="0"/>
  </r>
  <r>
    <n v="264"/>
    <n v="28"/>
    <n v="3"/>
    <n v="95"/>
    <n v="16"/>
    <d v="2021-06-21T00:00:00"/>
    <d v="2021-06-28T00:00:00"/>
    <d v="2021-06-28T00:00:00"/>
    <n v="60"/>
    <x v="0"/>
  </r>
  <r>
    <n v="265"/>
    <n v="30"/>
    <n v="3"/>
    <n v="95"/>
    <n v="16"/>
    <d v="2021-06-21T00:00:00"/>
    <d v="2021-06-28T00:00:00"/>
    <d v="2021-06-28T00:00:00"/>
    <n v="10"/>
    <x v="0"/>
  </r>
  <r>
    <n v="266"/>
    <n v="3"/>
    <n v="3"/>
    <n v="95"/>
    <n v="16"/>
    <d v="2021-06-21T00:00:00"/>
    <d v="2021-06-28T00:00:00"/>
    <d v="2021-06-28T00:00:00"/>
    <n v="60"/>
    <x v="0"/>
  </r>
  <r>
    <n v="267"/>
    <n v="15"/>
    <n v="3"/>
    <n v="98"/>
    <n v="17"/>
    <d v="2021-06-21T00:00:00"/>
    <d v="2021-06-28T00:00:00"/>
    <d v="2021-06-28T00:00:00"/>
    <n v="0"/>
    <x v="0"/>
  </r>
  <r>
    <n v="268"/>
    <n v="26"/>
    <n v="3"/>
    <n v="98"/>
    <n v="17"/>
    <d v="2021-06-21T00:00:00"/>
    <d v="2021-06-28T00:00:00"/>
    <d v="2021-06-28T00:00:00"/>
    <n v="50"/>
    <x v="0"/>
  </r>
  <r>
    <n v="269"/>
    <n v="27"/>
    <n v="3"/>
    <n v="98"/>
    <n v="17"/>
    <d v="2021-06-21T00:00:00"/>
    <d v="2021-06-28T00:00:00"/>
    <d v="2021-06-28T00:00:00"/>
    <n v="70"/>
    <x v="1"/>
  </r>
  <r>
    <n v="270"/>
    <n v="28"/>
    <n v="3"/>
    <n v="98"/>
    <n v="17"/>
    <d v="2021-06-21T00:00:00"/>
    <d v="2021-06-28T00:00:00"/>
    <d v="2021-06-28T00:00:00"/>
    <n v="80"/>
    <x v="1"/>
  </r>
  <r>
    <n v="271"/>
    <n v="9"/>
    <n v="1"/>
    <n v="46"/>
    <n v="17"/>
    <d v="2021-06-21T00:00:00"/>
    <d v="2021-06-28T00:00:00"/>
    <d v="2021-06-29T00:00:00"/>
    <n v="50"/>
    <x v="0"/>
  </r>
  <r>
    <n v="272"/>
    <n v="10"/>
    <n v="1"/>
    <n v="46"/>
    <n v="17"/>
    <d v="2021-06-21T00:00:00"/>
    <d v="2021-06-28T00:00:00"/>
    <d v="2021-06-29T00:00:00"/>
    <n v="0"/>
    <x v="0"/>
  </r>
  <r>
    <n v="273"/>
    <n v="12"/>
    <n v="1"/>
    <n v="46"/>
    <n v="17"/>
    <d v="2021-06-21T00:00:00"/>
    <d v="2021-06-28T00:00:00"/>
    <d v="2021-06-29T00:00:00"/>
    <n v="40"/>
    <x v="0"/>
  </r>
  <r>
    <n v="274"/>
    <n v="16"/>
    <n v="5"/>
    <n v="71"/>
    <n v="16"/>
    <d v="2021-06-21T00:00:00"/>
    <d v="2021-06-28T00:00:00"/>
    <d v="2021-06-29T00:00:00"/>
    <n v="40"/>
    <x v="0"/>
  </r>
  <r>
    <n v="275"/>
    <n v="9"/>
    <n v="5"/>
    <n v="71"/>
    <n v="16"/>
    <d v="2021-06-21T00:00:00"/>
    <d v="2021-06-28T00:00:00"/>
    <d v="2021-06-29T00:00:00"/>
    <n v="50"/>
    <x v="0"/>
  </r>
  <r>
    <n v="276"/>
    <n v="10"/>
    <n v="3"/>
    <n v="84"/>
    <n v="14"/>
    <d v="2021-06-21T00:00:00"/>
    <d v="2021-06-28T00:00:00"/>
    <d v="2021-06-28T00:00:00"/>
    <n v="60"/>
    <x v="0"/>
  </r>
  <r>
    <n v="277"/>
    <n v="12"/>
    <n v="2"/>
    <n v="108"/>
    <n v="15"/>
    <d v="2021-06-21T00:00:00"/>
    <d v="2021-06-28T00:00:00"/>
    <d v="2021-06-28T00:00:00"/>
    <n v="50"/>
    <x v="0"/>
  </r>
  <r>
    <n v="278"/>
    <n v="27"/>
    <n v="2"/>
    <n v="108"/>
    <n v="15"/>
    <d v="2021-06-21T00:00:00"/>
    <d v="2021-06-28T00:00:00"/>
    <d v="2021-06-28T00:00:00"/>
    <n v="40"/>
    <x v="0"/>
  </r>
  <r>
    <n v="279"/>
    <n v="14"/>
    <n v="6"/>
    <n v="149"/>
    <n v="14"/>
    <d v="2021-06-21T00:00:00"/>
    <d v="2021-06-28T00:00:00"/>
    <d v="2021-06-29T00:00:00"/>
    <n v="80"/>
    <x v="1"/>
  </r>
  <r>
    <n v="280"/>
    <n v="19"/>
    <n v="6"/>
    <n v="149"/>
    <n v="14"/>
    <d v="2021-06-21T00:00:00"/>
    <d v="2021-06-28T00:00:00"/>
    <d v="2021-06-29T00:00:00"/>
    <n v="90"/>
    <x v="1"/>
  </r>
  <r>
    <n v="281"/>
    <n v="29"/>
    <n v="6"/>
    <n v="149"/>
    <n v="14"/>
    <d v="2021-06-21T00:00:00"/>
    <d v="2021-06-28T00:00:00"/>
    <d v="2021-06-29T00:00:00"/>
    <n v="80"/>
    <x v="1"/>
  </r>
  <r>
    <n v="282"/>
    <n v="27"/>
    <n v="6"/>
    <n v="149"/>
    <n v="14"/>
    <d v="2021-06-21T00:00:00"/>
    <d v="2021-06-28T00:00:00"/>
    <d v="2021-06-29T00:00:00"/>
    <n v="80"/>
    <x v="1"/>
  </r>
  <r>
    <n v="283"/>
    <n v="5"/>
    <n v="3"/>
    <n v="104"/>
    <n v="18"/>
    <d v="2021-06-24T00:00:00"/>
    <d v="2021-07-01T00:00:00"/>
    <d v="2021-07-01T00:00:00"/>
    <n v="30"/>
    <x v="0"/>
  </r>
  <r>
    <n v="284"/>
    <n v="15"/>
    <n v="3"/>
    <n v="104"/>
    <n v="18"/>
    <d v="2021-06-24T00:00:00"/>
    <d v="2021-07-01T00:00:00"/>
    <d v="2021-07-01T00:00:00"/>
    <n v="80"/>
    <x v="1"/>
  </r>
  <r>
    <n v="285"/>
    <n v="19"/>
    <n v="3"/>
    <n v="104"/>
    <n v="18"/>
    <d v="2021-06-24T00:00:00"/>
    <d v="2021-07-01T00:00:00"/>
    <d v="2021-07-01T00:00:00"/>
    <n v="20"/>
    <x v="0"/>
  </r>
  <r>
    <n v="286"/>
    <n v="28"/>
    <n v="4"/>
    <n v="96"/>
    <n v="18"/>
    <d v="2021-06-24T00:00:00"/>
    <d v="2021-07-01T00:00:00"/>
    <d v="2021-07-02T00:00:00"/>
    <n v="0"/>
    <x v="0"/>
  </r>
  <r>
    <n v="287"/>
    <n v="15"/>
    <n v="4"/>
    <n v="96"/>
    <n v="18"/>
    <d v="2021-06-24T00:00:00"/>
    <d v="2021-07-01T00:00:00"/>
    <d v="2021-07-02T00:00:00"/>
    <n v="10"/>
    <x v="0"/>
  </r>
  <r>
    <n v="288"/>
    <n v="27"/>
    <n v="1"/>
    <n v="65"/>
    <n v="20"/>
    <d v="2021-06-25T00:00:00"/>
    <d v="2021-07-02T00:00:00"/>
    <d v="2021-07-03T00:00:00"/>
    <n v="20"/>
    <x v="0"/>
  </r>
  <r>
    <n v="289"/>
    <n v="12"/>
    <n v="1"/>
    <n v="65"/>
    <n v="20"/>
    <d v="2021-06-25T00:00:00"/>
    <d v="2021-07-02T00:00:00"/>
    <d v="2021-07-03T00:00:00"/>
    <n v="20"/>
    <x v="0"/>
  </r>
  <r>
    <n v="290"/>
    <n v="9"/>
    <n v="1"/>
    <n v="65"/>
    <n v="20"/>
    <d v="2021-06-25T00:00:00"/>
    <d v="2021-07-02T00:00:00"/>
    <d v="2021-07-03T00:00:00"/>
    <n v="10"/>
    <x v="0"/>
  </r>
  <r>
    <n v="291"/>
    <n v="11"/>
    <n v="1"/>
    <n v="65"/>
    <n v="20"/>
    <d v="2021-06-25T00:00:00"/>
    <d v="2021-07-02T00:00:00"/>
    <d v="2021-07-03T00:00:00"/>
    <n v="40"/>
    <x v="0"/>
  </r>
  <r>
    <n v="292"/>
    <n v="16"/>
    <n v="1"/>
    <n v="65"/>
    <n v="20"/>
    <d v="2021-06-25T00:00:00"/>
    <d v="2021-07-02T00:00:00"/>
    <d v="2021-07-03T00:00:00"/>
    <n v="40"/>
    <x v="0"/>
  </r>
  <r>
    <n v="293"/>
    <n v="22"/>
    <n v="3"/>
    <n v="110"/>
    <n v="19"/>
    <d v="2021-06-25T00:00:00"/>
    <d v="2021-07-02T00:00:00"/>
    <d v="2021-07-02T00:00:00"/>
    <n v="0"/>
    <x v="0"/>
  </r>
  <r>
    <n v="294"/>
    <n v="23"/>
    <n v="3"/>
    <n v="110"/>
    <n v="19"/>
    <d v="2021-06-25T00:00:00"/>
    <d v="2021-07-02T00:00:00"/>
    <d v="2021-07-02T00:00:00"/>
    <n v="40"/>
    <x v="0"/>
  </r>
  <r>
    <n v="295"/>
    <n v="22"/>
    <n v="3"/>
    <n v="112"/>
    <n v="20"/>
    <d v="2021-06-25T00:00:00"/>
    <d v="2021-07-02T00:00:00"/>
    <d v="2021-07-02T00:00:00"/>
    <n v="60"/>
    <x v="0"/>
  </r>
  <r>
    <n v="296"/>
    <n v="23"/>
    <n v="3"/>
    <n v="112"/>
    <n v="20"/>
    <d v="2021-06-25T00:00:00"/>
    <d v="2021-07-02T00:00:00"/>
    <d v="2021-07-02T00:00:00"/>
    <n v="50"/>
    <x v="0"/>
  </r>
  <r>
    <n v="297"/>
    <n v="24"/>
    <n v="3"/>
    <n v="112"/>
    <n v="20"/>
    <d v="2021-06-25T00:00:00"/>
    <d v="2021-07-02T00:00:00"/>
    <d v="2021-07-02T00:00:00"/>
    <n v="0"/>
    <x v="0"/>
  </r>
  <r>
    <n v="298"/>
    <n v="9"/>
    <n v="5"/>
    <n v="105"/>
    <n v="19"/>
    <d v="2021-06-25T00:00:00"/>
    <d v="2021-07-02T00:00:00"/>
    <d v="2021-07-03T00:00:00"/>
    <n v="40"/>
    <x v="0"/>
  </r>
  <r>
    <n v="299"/>
    <n v="10"/>
    <n v="5"/>
    <n v="105"/>
    <n v="19"/>
    <d v="2021-06-25T00:00:00"/>
    <d v="2021-07-02T00:00:00"/>
    <d v="2021-07-03T00:00:00"/>
    <n v="60"/>
    <x v="0"/>
  </r>
  <r>
    <n v="300"/>
    <n v="28"/>
    <n v="3"/>
    <n v="110"/>
    <n v="19"/>
    <d v="2021-06-25T00:00:00"/>
    <d v="2021-07-02T00:00:00"/>
    <d v="2021-07-02T00:00:00"/>
    <n v="20"/>
    <x v="0"/>
  </r>
  <r>
    <n v="301"/>
    <n v="15"/>
    <n v="3"/>
    <n v="110"/>
    <n v="19"/>
    <d v="2021-06-25T00:00:00"/>
    <d v="2021-07-02T00:00:00"/>
    <d v="2021-07-02T00:00:00"/>
    <n v="30"/>
    <x v="0"/>
  </r>
  <r>
    <n v="302"/>
    <n v="2"/>
    <n v="1"/>
    <n v="66"/>
    <n v="21"/>
    <d v="2021-06-26T00:00:00"/>
    <d v="2021-07-03T00:00:00"/>
    <d v="2021-07-04T00:00:00"/>
    <n v="0"/>
    <x v="0"/>
  </r>
  <r>
    <n v="303"/>
    <n v="1"/>
    <n v="1"/>
    <n v="66"/>
    <n v="21"/>
    <d v="2021-06-26T00:00:00"/>
    <d v="2021-07-03T00:00:00"/>
    <d v="2021-07-04T00:00:00"/>
    <n v="30"/>
    <x v="0"/>
  </r>
  <r>
    <n v="304"/>
    <n v="3"/>
    <n v="1"/>
    <n v="66"/>
    <n v="21"/>
    <d v="2021-06-26T00:00:00"/>
    <d v="2021-07-03T00:00:00"/>
    <d v="2021-07-04T00:00:00"/>
    <n v="50"/>
    <x v="0"/>
  </r>
  <r>
    <n v="305"/>
    <n v="4"/>
    <n v="1"/>
    <n v="66"/>
    <n v="21"/>
    <d v="2021-06-26T00:00:00"/>
    <d v="2021-07-03T00:00:00"/>
    <d v="2021-07-04T00:00:00"/>
    <n v="50"/>
    <x v="0"/>
  </r>
  <r>
    <n v="306"/>
    <n v="6"/>
    <n v="1"/>
    <n v="66"/>
    <n v="21"/>
    <d v="2021-06-26T00:00:00"/>
    <d v="2021-07-03T00:00:00"/>
    <d v="2021-07-04T00:00:00"/>
    <n v="20"/>
    <x v="0"/>
  </r>
  <r>
    <n v="307"/>
    <n v="9"/>
    <n v="1"/>
    <n v="66"/>
    <n v="21"/>
    <d v="2021-06-26T00:00:00"/>
    <d v="2021-07-03T00:00:00"/>
    <d v="2021-07-04T00:00:00"/>
    <n v="50"/>
    <x v="0"/>
  </r>
  <r>
    <n v="308"/>
    <n v="16"/>
    <n v="3"/>
    <n v="115"/>
    <n v="21"/>
    <d v="2021-06-26T00:00:00"/>
    <d v="2021-07-03T00:00:00"/>
    <d v="2021-07-03T00:00:00"/>
    <n v="90"/>
    <x v="1"/>
  </r>
  <r>
    <n v="309"/>
    <n v="19"/>
    <n v="3"/>
    <n v="115"/>
    <n v="21"/>
    <d v="2021-06-26T00:00:00"/>
    <d v="2021-07-03T00:00:00"/>
    <d v="2021-07-03T00:00:00"/>
    <n v="100"/>
    <x v="1"/>
  </r>
  <r>
    <n v="310"/>
    <n v="16"/>
    <n v="1"/>
    <n v="70"/>
    <n v="22"/>
    <d v="2021-06-27T00:00:00"/>
    <d v="2021-07-04T00:00:00"/>
    <d v="2021-07-05T00:00:00"/>
    <n v="10"/>
    <x v="0"/>
  </r>
  <r>
    <n v="311"/>
    <n v="18"/>
    <n v="1"/>
    <n v="70"/>
    <n v="22"/>
    <d v="2021-06-27T00:00:00"/>
    <d v="2021-07-04T00:00:00"/>
    <d v="2021-07-05T00:00:00"/>
    <n v="30"/>
    <x v="0"/>
  </r>
  <r>
    <n v="312"/>
    <n v="23"/>
    <n v="1"/>
    <n v="70"/>
    <n v="22"/>
    <d v="2021-06-27T00:00:00"/>
    <d v="2021-07-04T00:00:00"/>
    <d v="2021-07-05T00:00:00"/>
    <n v="50"/>
    <x v="0"/>
  </r>
  <r>
    <n v="313"/>
    <n v="24"/>
    <n v="1"/>
    <n v="70"/>
    <n v="22"/>
    <d v="2021-06-27T00:00:00"/>
    <d v="2021-07-04T00:00:00"/>
    <d v="2021-07-05T00:00:00"/>
    <n v="20"/>
    <x v="0"/>
  </r>
  <r>
    <n v="314"/>
    <n v="28"/>
    <n v="1"/>
    <n v="70"/>
    <n v="22"/>
    <d v="2021-06-27T00:00:00"/>
    <d v="2021-07-04T00:00:00"/>
    <d v="2021-07-05T00:00:00"/>
    <n v="10"/>
    <x v="0"/>
  </r>
  <r>
    <n v="315"/>
    <n v="22"/>
    <n v="1"/>
    <n v="70"/>
    <n v="22"/>
    <d v="2021-06-27T00:00:00"/>
    <d v="2021-07-04T00:00:00"/>
    <d v="2021-07-05T00:00:00"/>
    <n v="40"/>
    <x v="0"/>
  </r>
  <r>
    <n v="316"/>
    <n v="8"/>
    <n v="1"/>
    <n v="70"/>
    <n v="22"/>
    <d v="2021-06-27T00:00:00"/>
    <d v="2021-07-04T00:00:00"/>
    <d v="2021-07-05T00:00:00"/>
    <n v="30"/>
    <x v="0"/>
  </r>
  <r>
    <n v="317"/>
    <n v="24"/>
    <n v="3"/>
    <n v="132"/>
    <n v="22"/>
    <d v="2021-06-27T00:00:00"/>
    <d v="2021-07-04T00:00:00"/>
    <d v="2021-07-04T00:00:00"/>
    <n v="20"/>
    <x v="0"/>
  </r>
  <r>
    <n v="318"/>
    <n v="25"/>
    <n v="3"/>
    <n v="132"/>
    <n v="22"/>
    <d v="2021-06-27T00:00:00"/>
    <d v="2021-07-04T00:00:00"/>
    <d v="2021-07-04T00:00:00"/>
    <n v="0"/>
    <x v="0"/>
  </r>
  <r>
    <n v="319"/>
    <n v="16"/>
    <n v="5"/>
    <n v="116"/>
    <n v="22"/>
    <d v="2021-06-27T00:00:00"/>
    <d v="2021-07-04T00:00:00"/>
    <d v="2021-07-05T00:00:00"/>
    <n v="60"/>
    <x v="0"/>
  </r>
  <r>
    <n v="320"/>
    <n v="19"/>
    <n v="5"/>
    <n v="116"/>
    <n v="22"/>
    <d v="2021-06-27T00:00:00"/>
    <d v="2021-07-04T00:00:00"/>
    <d v="2021-07-05T00:00:00"/>
    <n v="0"/>
    <x v="0"/>
  </r>
  <r>
    <n v="321"/>
    <n v="9"/>
    <n v="3"/>
    <n v="132"/>
    <n v="22"/>
    <d v="2021-06-27T00:00:00"/>
    <d v="2021-07-04T00:00:00"/>
    <d v="2021-07-04T00:00:00"/>
    <n v="0"/>
    <x v="0"/>
  </r>
  <r>
    <n v="322"/>
    <n v="10"/>
    <n v="3"/>
    <n v="132"/>
    <n v="22"/>
    <d v="2021-06-27T00:00:00"/>
    <d v="2021-07-04T00:00:00"/>
    <d v="2021-07-04T00:00:00"/>
    <n v="10"/>
    <x v="0"/>
  </r>
  <r>
    <n v="323"/>
    <n v="12"/>
    <n v="4"/>
    <n v="136"/>
    <n v="22"/>
    <d v="2021-06-27T00:00:00"/>
    <d v="2021-07-04T00:00:00"/>
    <d v="2021-07-05T00:00:00"/>
    <n v="40"/>
    <x v="0"/>
  </r>
  <r>
    <n v="324"/>
    <n v="27"/>
    <n v="4"/>
    <n v="136"/>
    <n v="22"/>
    <d v="2021-06-27T00:00:00"/>
    <d v="2021-07-04T00:00:00"/>
    <d v="2021-07-05T00:00:00"/>
    <n v="50"/>
    <x v="0"/>
  </r>
  <r>
    <n v="325"/>
    <n v="3"/>
    <n v="1"/>
    <n v="74"/>
    <n v="23"/>
    <d v="2021-06-29T00:00:00"/>
    <d v="2021-07-06T00:00:00"/>
    <d v="2021-07-07T00:00:00"/>
    <n v="40"/>
    <x v="0"/>
  </r>
  <r>
    <n v="326"/>
    <n v="4"/>
    <n v="1"/>
    <n v="74"/>
    <n v="23"/>
    <d v="2021-06-29T00:00:00"/>
    <d v="2021-07-06T00:00:00"/>
    <d v="2021-07-07T00:00:00"/>
    <n v="10"/>
    <x v="0"/>
  </r>
  <r>
    <n v="342"/>
    <n v="7"/>
    <n v="1"/>
    <n v="79"/>
    <n v="25"/>
    <d v="2021-07-03T00:00:00"/>
    <d v="2021-07-10T00:00:00"/>
    <d v="2021-07-11T00:00:00"/>
    <n v="50"/>
    <x v="0"/>
  </r>
  <r>
    <n v="328"/>
    <n v="11"/>
    <n v="1"/>
    <n v="74"/>
    <n v="23"/>
    <d v="2021-06-29T00:00:00"/>
    <d v="2021-07-06T00:00:00"/>
    <d v="2021-07-07T00:00:00"/>
    <n v="0"/>
    <x v="0"/>
  </r>
  <r>
    <n v="329"/>
    <n v="12"/>
    <n v="1"/>
    <n v="74"/>
    <n v="23"/>
    <d v="2021-06-29T00:00:00"/>
    <d v="2021-07-06T00:00:00"/>
    <d v="2021-07-07T00:00:00"/>
    <n v="10"/>
    <x v="0"/>
  </r>
  <r>
    <n v="330"/>
    <n v="3"/>
    <n v="3"/>
    <n v="133"/>
    <n v="23"/>
    <d v="2021-06-29T00:00:00"/>
    <d v="2021-07-06T00:00:00"/>
    <d v="2021-07-06T00:00:00"/>
    <n v="20"/>
    <x v="0"/>
  </r>
  <r>
    <n v="331"/>
    <n v="4"/>
    <n v="3"/>
    <n v="133"/>
    <n v="23"/>
    <d v="2021-06-29T00:00:00"/>
    <d v="2021-07-06T00:00:00"/>
    <d v="2021-07-06T00:00:00"/>
    <n v="60"/>
    <x v="0"/>
  </r>
  <r>
    <n v="332"/>
    <n v="4"/>
    <n v="1"/>
    <n v="78"/>
    <n v="24"/>
    <d v="2021-07-02T00:00:00"/>
    <d v="2021-07-09T00:00:00"/>
    <d v="2021-07-10T00:00:00"/>
    <n v="10"/>
    <x v="0"/>
  </r>
  <r>
    <n v="341"/>
    <n v="5"/>
    <n v="1"/>
    <n v="79"/>
    <n v="25"/>
    <d v="2021-07-03T00:00:00"/>
    <d v="2021-07-10T00:00:00"/>
    <d v="2021-07-11T00:00:00"/>
    <n v="40"/>
    <x v="0"/>
  </r>
  <r>
    <n v="334"/>
    <n v="6"/>
    <n v="1"/>
    <n v="78"/>
    <n v="24"/>
    <d v="2021-07-02T00:00:00"/>
    <d v="2021-07-09T00:00:00"/>
    <d v="2021-07-10T00:00:00"/>
    <n v="50"/>
    <x v="0"/>
  </r>
  <r>
    <n v="335"/>
    <n v="8"/>
    <n v="1"/>
    <n v="78"/>
    <n v="24"/>
    <d v="2021-07-02T00:00:00"/>
    <d v="2021-07-09T00:00:00"/>
    <d v="2021-07-10T00:00:00"/>
    <n v="20"/>
    <x v="0"/>
  </r>
  <r>
    <n v="336"/>
    <n v="5"/>
    <n v="3"/>
    <n v="134"/>
    <n v="24"/>
    <d v="2021-07-02T00:00:00"/>
    <d v="2021-07-09T00:00:00"/>
    <d v="2021-07-09T00:00:00"/>
    <n v="20"/>
    <x v="0"/>
  </r>
  <r>
    <n v="337"/>
    <n v="6"/>
    <n v="3"/>
    <n v="134"/>
    <n v="24"/>
    <d v="2021-07-02T00:00:00"/>
    <d v="2021-07-09T00:00:00"/>
    <d v="2021-07-09T00:00:00"/>
    <n v="80"/>
    <x v="1"/>
  </r>
  <r>
    <n v="244"/>
    <n v="7"/>
    <n v="3"/>
    <n v="81"/>
    <n v="13"/>
    <d v="2021-06-19T00:00:00"/>
    <d v="2021-06-26T00:00:00"/>
    <d v="2021-06-26T00:00:00"/>
    <n v="60"/>
    <x v="0"/>
  </r>
  <r>
    <n v="339"/>
    <n v="1"/>
    <n v="1"/>
    <n v="79"/>
    <n v="25"/>
    <d v="2021-07-03T00:00:00"/>
    <d v="2021-07-10T00:00:00"/>
    <d v="2021-07-11T00:00:00"/>
    <n v="40"/>
    <x v="0"/>
  </r>
  <r>
    <n v="340"/>
    <n v="3"/>
    <n v="1"/>
    <n v="79"/>
    <n v="25"/>
    <d v="2021-07-03T00:00:00"/>
    <d v="2021-07-10T00:00:00"/>
    <d v="2021-07-11T00:00:00"/>
    <n v="30"/>
    <x v="0"/>
  </r>
  <r>
    <n v="400"/>
    <n v="5"/>
    <n v="1"/>
    <n v="109"/>
    <n v="30"/>
    <d v="2021-07-06T00:00:00"/>
    <d v="2021-07-13T00:00:00"/>
    <d v="2021-07-14T00:00:00"/>
    <n v="10"/>
    <x v="0"/>
  </r>
  <r>
    <n v="162"/>
    <n v="7"/>
    <n v="6"/>
    <n v="92"/>
    <n v="5"/>
    <d v="2021-06-03T00:00:00"/>
    <d v="2021-06-10T00:00:00"/>
    <d v="2021-06-11T00:00:00"/>
    <n v="60"/>
    <x v="0"/>
  </r>
  <r>
    <n v="343"/>
    <n v="10"/>
    <n v="1"/>
    <n v="122"/>
    <n v="36"/>
    <d v="2021-07-11T00:00:00"/>
    <d v="2021-07-18T00:00:00"/>
    <d v="2021-07-19T00:00:00"/>
    <n v="100"/>
    <x v="1"/>
  </r>
  <r>
    <n v="344"/>
    <n v="2"/>
    <n v="1"/>
    <n v="80"/>
    <n v="26"/>
    <d v="2021-07-03T00:00:00"/>
    <d v="2021-07-10T00:00:00"/>
    <d v="2021-07-11T00:00:00"/>
    <n v="0"/>
    <x v="0"/>
  </r>
  <r>
    <n v="345"/>
    <n v="4"/>
    <n v="1"/>
    <n v="80"/>
    <n v="26"/>
    <d v="2021-07-03T00:00:00"/>
    <d v="2021-07-10T00:00:00"/>
    <d v="2021-07-11T00:00:00"/>
    <n v="30"/>
    <x v="0"/>
  </r>
  <r>
    <n v="346"/>
    <n v="6"/>
    <n v="1"/>
    <n v="80"/>
    <n v="26"/>
    <d v="2021-07-03T00:00:00"/>
    <d v="2021-07-10T00:00:00"/>
    <d v="2021-07-11T00:00:00"/>
    <n v="50"/>
    <x v="0"/>
  </r>
  <r>
    <n v="347"/>
    <n v="8"/>
    <n v="1"/>
    <n v="80"/>
    <n v="26"/>
    <d v="2021-07-03T00:00:00"/>
    <d v="2021-07-10T00:00:00"/>
    <d v="2021-07-11T00:00:00"/>
    <n v="10"/>
    <x v="0"/>
  </r>
  <r>
    <n v="348"/>
    <n v="11"/>
    <n v="1"/>
    <n v="137"/>
    <n v="37"/>
    <d v="2021-07-12T00:00:00"/>
    <d v="2021-07-19T00:00:00"/>
    <d v="2021-07-20T00:00:00"/>
    <n v="60"/>
    <x v="1"/>
  </r>
  <r>
    <n v="349"/>
    <n v="9"/>
    <n v="1"/>
    <n v="79"/>
    <n v="25"/>
    <d v="2021-07-03T00:00:00"/>
    <d v="2021-07-10T00:00:00"/>
    <d v="2021-07-11T00:00:00"/>
    <n v="40"/>
    <x v="0"/>
  </r>
  <r>
    <n v="350"/>
    <n v="17"/>
    <n v="3"/>
    <n v="138"/>
    <n v="25"/>
    <d v="2021-07-03T00:00:00"/>
    <d v="2021-07-10T00:00:00"/>
    <d v="2021-07-10T00:00:00"/>
    <n v="0"/>
    <x v="0"/>
  </r>
  <r>
    <n v="351"/>
    <n v="19"/>
    <n v="3"/>
    <n v="138"/>
    <n v="25"/>
    <d v="2021-07-03T00:00:00"/>
    <d v="2021-07-10T00:00:00"/>
    <d v="2021-07-10T00:00:00"/>
    <n v="0"/>
    <x v="0"/>
  </r>
  <r>
    <n v="352"/>
    <n v="20"/>
    <n v="3"/>
    <n v="138"/>
    <n v="25"/>
    <d v="2021-07-03T00:00:00"/>
    <d v="2021-07-10T00:00:00"/>
    <d v="2021-07-10T00:00:00"/>
    <n v="0"/>
    <x v="0"/>
  </r>
  <r>
    <n v="353"/>
    <n v="5"/>
    <n v="3"/>
    <n v="139"/>
    <n v="26"/>
    <d v="2021-07-03T00:00:00"/>
    <d v="2021-07-10T00:00:00"/>
    <d v="2021-07-10T00:00:00"/>
    <n v="60"/>
    <x v="0"/>
  </r>
  <r>
    <n v="354"/>
    <n v="6"/>
    <n v="3"/>
    <n v="139"/>
    <n v="26"/>
    <d v="2021-07-03T00:00:00"/>
    <d v="2021-07-10T00:00:00"/>
    <d v="2021-07-10T00:00:00"/>
    <n v="50"/>
    <x v="0"/>
  </r>
  <r>
    <n v="355"/>
    <n v="4"/>
    <n v="3"/>
    <n v="139"/>
    <n v="26"/>
    <d v="2021-07-03T00:00:00"/>
    <d v="2021-07-10T00:00:00"/>
    <d v="2021-07-10T00:00:00"/>
    <n v="0"/>
    <x v="0"/>
  </r>
  <r>
    <n v="356"/>
    <n v="8"/>
    <n v="3"/>
    <n v="139"/>
    <n v="26"/>
    <d v="2021-07-03T00:00:00"/>
    <d v="2021-07-10T00:00:00"/>
    <d v="2021-07-10T00:00:00"/>
    <n v="40"/>
    <x v="0"/>
  </r>
  <r>
    <n v="357"/>
    <n v="16"/>
    <n v="3"/>
    <n v="138"/>
    <n v="25"/>
    <d v="2021-07-03T00:00:00"/>
    <d v="2021-07-10T00:00:00"/>
    <d v="2021-07-10T00:00:00"/>
    <n v="30"/>
    <x v="0"/>
  </r>
  <r>
    <n v="358"/>
    <n v="19"/>
    <n v="3"/>
    <n v="138"/>
    <n v="25"/>
    <d v="2021-07-03T00:00:00"/>
    <d v="2021-07-10T00:00:00"/>
    <d v="2021-07-10T00:00:00"/>
    <n v="50"/>
    <x v="0"/>
  </r>
  <r>
    <n v="359"/>
    <n v="15"/>
    <n v="3"/>
    <n v="138"/>
    <n v="25"/>
    <d v="2021-07-03T00:00:00"/>
    <d v="2021-07-10T00:00:00"/>
    <d v="2021-07-10T00:00:00"/>
    <n v="60"/>
    <x v="0"/>
  </r>
  <r>
    <n v="360"/>
    <n v="16"/>
    <n v="3"/>
    <n v="139"/>
    <n v="26"/>
    <d v="2021-07-03T00:00:00"/>
    <d v="2021-07-10T00:00:00"/>
    <d v="2021-07-10T00:00:00"/>
    <n v="50"/>
    <x v="0"/>
  </r>
  <r>
    <n v="361"/>
    <n v="9"/>
    <n v="3"/>
    <n v="139"/>
    <n v="26"/>
    <d v="2021-07-03T00:00:00"/>
    <d v="2021-07-10T00:00:00"/>
    <d v="2021-07-10T00:00:00"/>
    <n v="40"/>
    <x v="0"/>
  </r>
  <r>
    <n v="362"/>
    <n v="12"/>
    <n v="3"/>
    <n v="139"/>
    <n v="26"/>
    <d v="2021-07-03T00:00:00"/>
    <d v="2021-07-10T00:00:00"/>
    <d v="2021-07-10T00:00:00"/>
    <n v="20"/>
    <x v="0"/>
  </r>
  <r>
    <n v="363"/>
    <n v="17"/>
    <n v="1"/>
    <n v="93"/>
    <n v="27"/>
    <d v="2021-07-04T00:00:00"/>
    <d v="2021-07-11T00:00:00"/>
    <d v="2021-07-12T00:00:00"/>
    <n v="0"/>
    <x v="0"/>
  </r>
  <r>
    <n v="364"/>
    <n v="19"/>
    <n v="1"/>
    <n v="93"/>
    <n v="27"/>
    <d v="2021-07-04T00:00:00"/>
    <d v="2021-07-11T00:00:00"/>
    <d v="2021-07-12T00:00:00"/>
    <n v="0"/>
    <x v="0"/>
  </r>
  <r>
    <n v="365"/>
    <n v="26"/>
    <n v="1"/>
    <n v="93"/>
    <n v="27"/>
    <d v="2021-07-04T00:00:00"/>
    <d v="2021-07-11T00:00:00"/>
    <d v="2021-07-12T00:00:00"/>
    <n v="10"/>
    <x v="0"/>
  </r>
  <r>
    <n v="366"/>
    <n v="28"/>
    <n v="1"/>
    <n v="93"/>
    <n v="27"/>
    <d v="2021-07-04T00:00:00"/>
    <d v="2021-07-11T00:00:00"/>
    <d v="2021-07-12T00:00:00"/>
    <n v="50"/>
    <x v="0"/>
  </r>
  <r>
    <n v="367"/>
    <n v="30"/>
    <n v="1"/>
    <n v="93"/>
    <n v="27"/>
    <d v="2021-07-04T00:00:00"/>
    <d v="2021-07-11T00:00:00"/>
    <d v="2021-07-12T00:00:00"/>
    <n v="50"/>
    <x v="0"/>
  </r>
  <r>
    <n v="368"/>
    <n v="2"/>
    <n v="1"/>
    <n v="94"/>
    <n v="28"/>
    <d v="2021-07-04T00:00:00"/>
    <d v="2021-07-11T00:00:00"/>
    <d v="2021-07-12T00:00:00"/>
    <n v="0"/>
    <x v="0"/>
  </r>
  <r>
    <n v="369"/>
    <n v="18"/>
    <n v="1"/>
    <n v="94"/>
    <n v="28"/>
    <d v="2021-07-04T00:00:00"/>
    <d v="2021-07-11T00:00:00"/>
    <d v="2021-07-12T00:00:00"/>
    <n v="30"/>
    <x v="0"/>
  </r>
  <r>
    <n v="370"/>
    <n v="20"/>
    <n v="1"/>
    <n v="94"/>
    <n v="28"/>
    <d v="2021-07-04T00:00:00"/>
    <d v="2021-07-11T00:00:00"/>
    <d v="2021-07-12T00:00:00"/>
    <n v="50"/>
    <x v="0"/>
  </r>
  <r>
    <n v="371"/>
    <n v="22"/>
    <n v="1"/>
    <n v="94"/>
    <n v="28"/>
    <d v="2021-07-04T00:00:00"/>
    <d v="2021-07-11T00:00:00"/>
    <d v="2021-07-12T00:00:00"/>
    <n v="20"/>
    <x v="0"/>
  </r>
  <r>
    <n v="372"/>
    <n v="24"/>
    <n v="1"/>
    <n v="94"/>
    <n v="28"/>
    <d v="2021-07-04T00:00:00"/>
    <d v="2021-07-11T00:00:00"/>
    <d v="2021-07-12T00:00:00"/>
    <n v="50"/>
    <x v="0"/>
  </r>
  <r>
    <n v="373"/>
    <n v="27"/>
    <n v="1"/>
    <n v="94"/>
    <n v="28"/>
    <d v="2021-07-04T00:00:00"/>
    <d v="2021-07-11T00:00:00"/>
    <d v="2021-07-12T00:00:00"/>
    <n v="40"/>
    <x v="0"/>
  </r>
  <r>
    <n v="374"/>
    <n v="29"/>
    <n v="1"/>
    <n v="94"/>
    <n v="28"/>
    <d v="2021-07-04T00:00:00"/>
    <d v="2021-07-11T00:00:00"/>
    <d v="2021-07-12T00:00:00"/>
    <n v="20"/>
    <x v="0"/>
  </r>
  <r>
    <n v="375"/>
    <n v="6"/>
    <n v="1"/>
    <n v="94"/>
    <n v="28"/>
    <d v="2021-07-04T00:00:00"/>
    <d v="2021-07-11T00:00:00"/>
    <d v="2021-07-12T00:00:00"/>
    <n v="40"/>
    <x v="0"/>
  </r>
  <r>
    <n v="376"/>
    <n v="1"/>
    <n v="1"/>
    <n v="94"/>
    <n v="28"/>
    <d v="2021-07-04T00:00:00"/>
    <d v="2021-07-11T00:00:00"/>
    <d v="2021-07-12T00:00:00"/>
    <n v="10"/>
    <x v="0"/>
  </r>
  <r>
    <n v="377"/>
    <n v="2"/>
    <n v="1"/>
    <n v="101"/>
    <n v="29"/>
    <d v="2021-07-04T00:00:00"/>
    <d v="2021-07-11T00:00:00"/>
    <d v="2021-07-12T00:00:00"/>
    <n v="20"/>
    <x v="0"/>
  </r>
  <r>
    <n v="378"/>
    <n v="23"/>
    <n v="1"/>
    <n v="101"/>
    <n v="29"/>
    <d v="2021-07-04T00:00:00"/>
    <d v="2021-07-11T00:00:00"/>
    <d v="2021-07-12T00:00:00"/>
    <n v="40"/>
    <x v="0"/>
  </r>
  <r>
    <n v="379"/>
    <n v="20"/>
    <n v="1"/>
    <n v="101"/>
    <n v="29"/>
    <d v="2021-07-04T00:00:00"/>
    <d v="2021-07-11T00:00:00"/>
    <d v="2021-07-12T00:00:00"/>
    <n v="30"/>
    <x v="0"/>
  </r>
  <r>
    <n v="380"/>
    <n v="30"/>
    <n v="1"/>
    <n v="101"/>
    <n v="29"/>
    <d v="2021-07-04T00:00:00"/>
    <d v="2021-07-11T00:00:00"/>
    <d v="2021-07-12T00:00:00"/>
    <n v="0"/>
    <x v="0"/>
  </r>
  <r>
    <n v="381"/>
    <n v="27"/>
    <n v="1"/>
    <n v="101"/>
    <n v="29"/>
    <d v="2021-07-04T00:00:00"/>
    <d v="2021-07-11T00:00:00"/>
    <d v="2021-07-12T00:00:00"/>
    <n v="0"/>
    <x v="0"/>
  </r>
  <r>
    <n v="382"/>
    <n v="17"/>
    <n v="1"/>
    <n v="101"/>
    <n v="29"/>
    <d v="2021-07-04T00:00:00"/>
    <d v="2021-07-11T00:00:00"/>
    <d v="2021-07-12T00:00:00"/>
    <n v="20"/>
    <x v="0"/>
  </r>
  <r>
    <n v="383"/>
    <n v="14"/>
    <n v="1"/>
    <n v="101"/>
    <n v="29"/>
    <d v="2021-07-04T00:00:00"/>
    <d v="2021-07-11T00:00:00"/>
    <d v="2021-07-12T00:00:00"/>
    <n v="10"/>
    <x v="0"/>
  </r>
  <r>
    <n v="384"/>
    <n v="10"/>
    <n v="1"/>
    <n v="101"/>
    <n v="29"/>
    <d v="2021-07-04T00:00:00"/>
    <d v="2021-07-11T00:00:00"/>
    <d v="2021-07-12T00:00:00"/>
    <n v="30"/>
    <x v="0"/>
  </r>
  <r>
    <n v="385"/>
    <n v="9"/>
    <n v="3"/>
    <n v="142"/>
    <n v="27"/>
    <d v="2021-07-04T00:00:00"/>
    <d v="2021-07-11T00:00:00"/>
    <d v="2021-07-11T00:00:00"/>
    <n v="90"/>
    <x v="1"/>
  </r>
  <r>
    <n v="386"/>
    <n v="10"/>
    <n v="3"/>
    <n v="142"/>
    <n v="27"/>
    <d v="2021-07-04T00:00:00"/>
    <d v="2021-07-11T00:00:00"/>
    <d v="2021-07-11T00:00:00"/>
    <n v="70"/>
    <x v="1"/>
  </r>
  <r>
    <n v="387"/>
    <n v="17"/>
    <n v="3"/>
    <n v="142"/>
    <n v="27"/>
    <d v="2021-07-04T00:00:00"/>
    <d v="2021-07-11T00:00:00"/>
    <d v="2021-07-11T00:00:00"/>
    <n v="50"/>
    <x v="0"/>
  </r>
  <r>
    <n v="388"/>
    <n v="18"/>
    <n v="3"/>
    <n v="142"/>
    <n v="27"/>
    <d v="2021-07-04T00:00:00"/>
    <d v="2021-07-11T00:00:00"/>
    <d v="2021-07-11T00:00:00"/>
    <n v="30"/>
    <x v="0"/>
  </r>
  <r>
    <n v="389"/>
    <n v="8"/>
    <n v="3"/>
    <n v="154"/>
    <n v="28"/>
    <d v="2021-07-04T00:00:00"/>
    <d v="2021-07-11T00:00:00"/>
    <d v="2021-07-11T00:00:00"/>
    <n v="0"/>
    <x v="0"/>
  </r>
  <r>
    <n v="390"/>
    <n v="9"/>
    <n v="3"/>
    <n v="154"/>
    <n v="28"/>
    <d v="2021-07-04T00:00:00"/>
    <d v="2021-07-11T00:00:00"/>
    <d v="2021-07-11T00:00:00"/>
    <n v="10"/>
    <x v="0"/>
  </r>
  <r>
    <n v="391"/>
    <n v="15"/>
    <n v="3"/>
    <n v="154"/>
    <n v="28"/>
    <d v="2021-07-04T00:00:00"/>
    <d v="2021-07-11T00:00:00"/>
    <d v="2021-07-11T00:00:00"/>
    <n v="50"/>
    <x v="0"/>
  </r>
  <r>
    <n v="392"/>
    <n v="16"/>
    <n v="3"/>
    <n v="154"/>
    <n v="28"/>
    <d v="2021-07-04T00:00:00"/>
    <d v="2021-07-11T00:00:00"/>
    <d v="2021-07-11T00:00:00"/>
    <n v="40"/>
    <x v="0"/>
  </r>
  <r>
    <n v="393"/>
    <n v="13"/>
    <n v="3"/>
    <n v="155"/>
    <n v="29"/>
    <d v="2021-07-04T00:00:00"/>
    <d v="2021-07-11T00:00:00"/>
    <d v="2021-07-11T00:00:00"/>
    <n v="20"/>
    <x v="0"/>
  </r>
  <r>
    <n v="394"/>
    <n v="14"/>
    <n v="3"/>
    <n v="155"/>
    <n v="29"/>
    <d v="2021-07-04T00:00:00"/>
    <d v="2021-07-11T00:00:00"/>
    <d v="2021-07-11T00:00:00"/>
    <n v="50"/>
    <x v="0"/>
  </r>
  <r>
    <n v="395"/>
    <n v="15"/>
    <n v="3"/>
    <n v="155"/>
    <n v="29"/>
    <d v="2021-07-04T00:00:00"/>
    <d v="2021-07-11T00:00:00"/>
    <d v="2021-07-11T00:00:00"/>
    <n v="60"/>
    <x v="0"/>
  </r>
  <r>
    <n v="396"/>
    <n v="12"/>
    <n v="1"/>
    <n v="94"/>
    <n v="28"/>
    <d v="2021-07-04T00:00:00"/>
    <d v="2021-07-11T00:00:00"/>
    <d v="2021-07-12T00:00:00"/>
    <n v="30"/>
    <x v="0"/>
  </r>
  <r>
    <n v="397"/>
    <n v="4"/>
    <n v="1"/>
    <n v="109"/>
    <n v="30"/>
    <d v="2021-07-06T00:00:00"/>
    <d v="2021-07-13T00:00:00"/>
    <d v="2021-07-14T00:00:00"/>
    <n v="20"/>
    <x v="0"/>
  </r>
  <r>
    <n v="398"/>
    <n v="29"/>
    <n v="1"/>
    <n v="109"/>
    <n v="30"/>
    <d v="2021-07-06T00:00:00"/>
    <d v="2021-07-13T00:00:00"/>
    <d v="2021-07-14T00:00:00"/>
    <n v="0"/>
    <x v="0"/>
  </r>
  <r>
    <n v="399"/>
    <n v="26"/>
    <n v="1"/>
    <n v="109"/>
    <n v="30"/>
    <d v="2021-07-06T00:00:00"/>
    <d v="2021-07-13T00:00:00"/>
    <d v="2021-07-14T00:00:00"/>
    <n v="0"/>
    <x v="0"/>
  </r>
  <r>
    <n v="420"/>
    <n v="5"/>
    <n v="1"/>
    <n v="114"/>
    <n v="32"/>
    <d v="2021-07-06T00:00:00"/>
    <d v="2021-07-13T00:00:00"/>
    <d v="2021-07-14T00:00:00"/>
    <n v="0"/>
    <x v="0"/>
  </r>
  <r>
    <n v="401"/>
    <n v="21"/>
    <n v="1"/>
    <n v="109"/>
    <n v="30"/>
    <d v="2021-07-06T00:00:00"/>
    <d v="2021-07-13T00:00:00"/>
    <d v="2021-07-14T00:00:00"/>
    <n v="10"/>
    <x v="0"/>
  </r>
  <r>
    <n v="402"/>
    <n v="19"/>
    <n v="1"/>
    <n v="109"/>
    <n v="30"/>
    <d v="2021-07-06T00:00:00"/>
    <d v="2021-07-13T00:00:00"/>
    <d v="2021-07-14T00:00:00"/>
    <n v="30"/>
    <x v="0"/>
  </r>
  <r>
    <n v="403"/>
    <n v="12"/>
    <n v="1"/>
    <n v="109"/>
    <n v="30"/>
    <d v="2021-07-06T00:00:00"/>
    <d v="2021-07-13T00:00:00"/>
    <d v="2021-07-14T00:00:00"/>
    <n v="20"/>
    <x v="0"/>
  </r>
  <r>
    <n v="404"/>
    <n v="9"/>
    <n v="1"/>
    <n v="109"/>
    <n v="30"/>
    <d v="2021-07-06T00:00:00"/>
    <d v="2021-07-13T00:00:00"/>
    <d v="2021-07-14T00:00:00"/>
    <n v="0"/>
    <x v="0"/>
  </r>
  <r>
    <n v="405"/>
    <n v="15"/>
    <n v="1"/>
    <n v="113"/>
    <n v="31"/>
    <d v="2021-07-06T00:00:00"/>
    <d v="2021-07-13T00:00:00"/>
    <d v="2021-07-14T00:00:00"/>
    <n v="0"/>
    <x v="0"/>
  </r>
  <r>
    <n v="406"/>
    <n v="28"/>
    <n v="1"/>
    <n v="113"/>
    <n v="31"/>
    <d v="2021-07-06T00:00:00"/>
    <d v="2021-07-13T00:00:00"/>
    <d v="2021-07-14T00:00:00"/>
    <n v="30"/>
    <x v="0"/>
  </r>
  <r>
    <n v="407"/>
    <n v="25"/>
    <n v="1"/>
    <n v="113"/>
    <n v="31"/>
    <d v="2021-07-06T00:00:00"/>
    <d v="2021-07-13T00:00:00"/>
    <d v="2021-07-14T00:00:00"/>
    <n v="20"/>
    <x v="0"/>
  </r>
  <r>
    <n v="408"/>
    <n v="24"/>
    <n v="1"/>
    <n v="113"/>
    <n v="31"/>
    <d v="2021-07-06T00:00:00"/>
    <d v="2021-07-13T00:00:00"/>
    <d v="2021-07-14T00:00:00"/>
    <n v="40"/>
    <x v="0"/>
  </r>
  <r>
    <n v="409"/>
    <n v="22"/>
    <n v="1"/>
    <n v="113"/>
    <n v="31"/>
    <d v="2021-07-06T00:00:00"/>
    <d v="2021-07-13T00:00:00"/>
    <d v="2021-07-14T00:00:00"/>
    <n v="20"/>
    <x v="0"/>
  </r>
  <r>
    <n v="410"/>
    <n v="13"/>
    <n v="1"/>
    <n v="113"/>
    <n v="31"/>
    <d v="2021-07-06T00:00:00"/>
    <d v="2021-07-13T00:00:00"/>
    <d v="2021-07-14T00:00:00"/>
    <n v="30"/>
    <x v="0"/>
  </r>
  <r>
    <n v="411"/>
    <n v="18"/>
    <n v="1"/>
    <n v="113"/>
    <n v="31"/>
    <d v="2021-07-06T00:00:00"/>
    <d v="2021-07-13T00:00:00"/>
    <d v="2021-07-14T00:00:00"/>
    <n v="50"/>
    <x v="0"/>
  </r>
  <r>
    <n v="412"/>
    <n v="6"/>
    <n v="1"/>
    <n v="113"/>
    <n v="31"/>
    <d v="2021-07-06T00:00:00"/>
    <d v="2021-07-13T00:00:00"/>
    <d v="2021-07-14T00:00:00"/>
    <n v="30"/>
    <x v="0"/>
  </r>
  <r>
    <n v="413"/>
    <n v="8"/>
    <n v="1"/>
    <n v="113"/>
    <n v="31"/>
    <d v="2021-07-06T00:00:00"/>
    <d v="2021-07-13T00:00:00"/>
    <d v="2021-07-14T00:00:00"/>
    <n v="20"/>
    <x v="0"/>
  </r>
  <r>
    <n v="414"/>
    <n v="13"/>
    <n v="1"/>
    <n v="114"/>
    <n v="32"/>
    <d v="2021-07-06T00:00:00"/>
    <d v="2021-07-13T00:00:00"/>
    <d v="2021-07-14T00:00:00"/>
    <n v="30"/>
    <x v="0"/>
  </r>
  <r>
    <n v="415"/>
    <n v="2"/>
    <n v="1"/>
    <n v="114"/>
    <n v="32"/>
    <d v="2021-07-06T00:00:00"/>
    <d v="2021-07-13T00:00:00"/>
    <d v="2021-07-14T00:00:00"/>
    <n v="50"/>
    <x v="0"/>
  </r>
  <r>
    <n v="416"/>
    <n v="30"/>
    <n v="1"/>
    <n v="114"/>
    <n v="32"/>
    <d v="2021-07-06T00:00:00"/>
    <d v="2021-07-13T00:00:00"/>
    <d v="2021-07-14T00:00:00"/>
    <n v="20"/>
    <x v="0"/>
  </r>
  <r>
    <n v="417"/>
    <n v="26"/>
    <n v="1"/>
    <n v="114"/>
    <n v="32"/>
    <d v="2021-07-06T00:00:00"/>
    <d v="2021-07-13T00:00:00"/>
    <d v="2021-07-14T00:00:00"/>
    <n v="50"/>
    <x v="0"/>
  </r>
  <r>
    <n v="418"/>
    <n v="17"/>
    <n v="1"/>
    <n v="114"/>
    <n v="32"/>
    <d v="2021-07-06T00:00:00"/>
    <d v="2021-07-13T00:00:00"/>
    <d v="2021-07-14T00:00:00"/>
    <n v="40"/>
    <x v="0"/>
  </r>
  <r>
    <n v="419"/>
    <n v="23"/>
    <n v="1"/>
    <n v="114"/>
    <n v="32"/>
    <d v="2021-07-06T00:00:00"/>
    <d v="2021-07-13T00:00:00"/>
    <d v="2021-07-14T00:00:00"/>
    <n v="10"/>
    <x v="0"/>
  </r>
  <r>
    <n v="459"/>
    <n v="5"/>
    <n v="1"/>
    <n v="137"/>
    <n v="37"/>
    <d v="2021-07-12T00:00:00"/>
    <d v="2021-07-19T00:00:00"/>
    <d v="2021-07-20T00:00:00"/>
    <n v="10"/>
    <x v="0"/>
  </r>
  <r>
    <n v="421"/>
    <n v="9"/>
    <n v="1"/>
    <n v="114"/>
    <n v="32"/>
    <d v="2021-07-06T00:00:00"/>
    <d v="2021-07-13T00:00:00"/>
    <d v="2021-07-14T00:00:00"/>
    <n v="10"/>
    <x v="0"/>
  </r>
  <r>
    <n v="422"/>
    <n v="1"/>
    <n v="1"/>
    <n v="114"/>
    <n v="32"/>
    <d v="2021-07-06T00:00:00"/>
    <d v="2021-07-13T00:00:00"/>
    <d v="2021-07-14T00:00:00"/>
    <n v="20"/>
    <x v="0"/>
  </r>
  <r>
    <n v="423"/>
    <n v="17"/>
    <n v="3"/>
    <n v="156"/>
    <n v="30"/>
    <d v="2021-07-06T00:00:00"/>
    <d v="2021-07-13T00:00:00"/>
    <d v="2021-07-13T00:00:00"/>
    <n v="20"/>
    <x v="0"/>
  </r>
  <r>
    <n v="424"/>
    <n v="18"/>
    <n v="3"/>
    <n v="156"/>
    <n v="30"/>
    <d v="2021-07-06T00:00:00"/>
    <d v="2021-07-13T00:00:00"/>
    <d v="2021-07-13T00:00:00"/>
    <n v="50"/>
    <x v="0"/>
  </r>
  <r>
    <n v="425"/>
    <n v="19"/>
    <n v="3"/>
    <n v="156"/>
    <n v="30"/>
    <d v="2021-07-06T00:00:00"/>
    <d v="2021-07-13T00:00:00"/>
    <d v="2021-07-13T00:00:00"/>
    <n v="10"/>
    <x v="0"/>
  </r>
  <r>
    <n v="426"/>
    <n v="20"/>
    <n v="3"/>
    <n v="156"/>
    <n v="30"/>
    <d v="2021-07-06T00:00:00"/>
    <d v="2021-07-13T00:00:00"/>
    <d v="2021-07-13T00:00:00"/>
    <n v="30"/>
    <x v="0"/>
  </r>
  <r>
    <n v="427"/>
    <n v="1"/>
    <n v="1"/>
    <n v="117"/>
    <n v="33"/>
    <d v="2021-07-07T00:00:00"/>
    <d v="2021-07-14T00:00:00"/>
    <d v="2021-07-15T00:00:00"/>
    <n v="30"/>
    <x v="0"/>
  </r>
  <r>
    <n v="428"/>
    <n v="2"/>
    <n v="1"/>
    <n v="117"/>
    <n v="33"/>
    <d v="2021-07-07T00:00:00"/>
    <d v="2021-07-14T00:00:00"/>
    <d v="2021-07-15T00:00:00"/>
    <n v="40"/>
    <x v="0"/>
  </r>
  <r>
    <n v="429"/>
    <n v="4"/>
    <n v="1"/>
    <n v="117"/>
    <n v="33"/>
    <d v="2021-07-07T00:00:00"/>
    <d v="2021-07-14T00:00:00"/>
    <d v="2021-07-15T00:00:00"/>
    <n v="0"/>
    <x v="0"/>
  </r>
  <r>
    <n v="430"/>
    <n v="6"/>
    <n v="1"/>
    <n v="117"/>
    <n v="33"/>
    <d v="2021-07-07T00:00:00"/>
    <d v="2021-07-14T00:00:00"/>
    <d v="2021-07-15T00:00:00"/>
    <n v="20"/>
    <x v="0"/>
  </r>
  <r>
    <n v="509"/>
    <n v="7"/>
    <n v="1"/>
    <n v="113"/>
    <n v="31"/>
    <d v="2021-07-06T00:00:00"/>
    <d v="2021-07-13T00:00:00"/>
    <d v="2021-07-14T00:00:00"/>
    <n v="0"/>
    <x v="0"/>
  </r>
  <r>
    <n v="432"/>
    <n v="10"/>
    <n v="1"/>
    <n v="117"/>
    <n v="33"/>
    <d v="2021-07-07T00:00:00"/>
    <d v="2021-07-14T00:00:00"/>
    <d v="2021-07-15T00:00:00"/>
    <n v="50"/>
    <x v="0"/>
  </r>
  <r>
    <n v="433"/>
    <n v="14"/>
    <n v="1"/>
    <n v="117"/>
    <n v="33"/>
    <d v="2021-07-07T00:00:00"/>
    <d v="2021-07-14T00:00:00"/>
    <d v="2021-07-15T00:00:00"/>
    <n v="20"/>
    <x v="0"/>
  </r>
  <r>
    <n v="434"/>
    <n v="15"/>
    <n v="1"/>
    <n v="120"/>
    <n v="34"/>
    <d v="2021-07-09T00:00:00"/>
    <d v="2021-07-16T00:00:00"/>
    <d v="2021-07-17T00:00:00"/>
    <n v="0"/>
    <x v="0"/>
  </r>
  <r>
    <n v="435"/>
    <n v="3"/>
    <n v="1"/>
    <n v="120"/>
    <n v="34"/>
    <d v="2021-07-09T00:00:00"/>
    <d v="2021-07-16T00:00:00"/>
    <d v="2021-07-17T00:00:00"/>
    <n v="40"/>
    <x v="0"/>
  </r>
  <r>
    <n v="436"/>
    <n v="28"/>
    <n v="1"/>
    <n v="120"/>
    <n v="34"/>
    <d v="2021-07-09T00:00:00"/>
    <d v="2021-07-16T00:00:00"/>
    <d v="2021-07-17T00:00:00"/>
    <n v="20"/>
    <x v="0"/>
  </r>
  <r>
    <n v="437"/>
    <n v="14"/>
    <n v="1"/>
    <n v="46"/>
    <n v="17"/>
    <d v="2021-06-21T00:00:00"/>
    <d v="2021-06-28T00:00:00"/>
    <d v="2021-06-29T00:00:00"/>
    <n v="30"/>
    <x v="0"/>
  </r>
  <r>
    <n v="438"/>
    <n v="19"/>
    <n v="1"/>
    <n v="120"/>
    <n v="34"/>
    <d v="2021-07-09T00:00:00"/>
    <d v="2021-07-16T00:00:00"/>
    <d v="2021-07-17T00:00:00"/>
    <n v="30"/>
    <x v="0"/>
  </r>
  <r>
    <n v="439"/>
    <n v="11"/>
    <n v="1"/>
    <n v="120"/>
    <n v="34"/>
    <d v="2021-07-09T00:00:00"/>
    <d v="2021-07-16T00:00:00"/>
    <d v="2021-07-17T00:00:00"/>
    <n v="30"/>
    <x v="0"/>
  </r>
  <r>
    <n v="440"/>
    <n v="8"/>
    <n v="1"/>
    <n v="120"/>
    <n v="34"/>
    <d v="2021-07-09T00:00:00"/>
    <d v="2021-07-16T00:00:00"/>
    <d v="2021-07-17T00:00:00"/>
    <n v="20"/>
    <x v="0"/>
  </r>
  <r>
    <n v="441"/>
    <n v="21"/>
    <n v="1"/>
    <n v="120"/>
    <n v="34"/>
    <d v="2021-07-09T00:00:00"/>
    <d v="2021-07-16T00:00:00"/>
    <d v="2021-07-17T00:00:00"/>
    <n v="40"/>
    <x v="0"/>
  </r>
  <r>
    <n v="442"/>
    <n v="12"/>
    <n v="1"/>
    <n v="121"/>
    <n v="35"/>
    <d v="2021-07-10T00:00:00"/>
    <d v="2021-07-17T00:00:00"/>
    <d v="2021-07-18T00:00:00"/>
    <n v="30"/>
    <x v="0"/>
  </r>
  <r>
    <n v="443"/>
    <n v="16"/>
    <n v="1"/>
    <n v="121"/>
    <n v="35"/>
    <d v="2021-07-10T00:00:00"/>
    <d v="2021-07-17T00:00:00"/>
    <d v="2021-07-18T00:00:00"/>
    <n v="10"/>
    <x v="0"/>
  </r>
  <r>
    <n v="444"/>
    <n v="27"/>
    <n v="1"/>
    <n v="121"/>
    <n v="35"/>
    <d v="2021-07-10T00:00:00"/>
    <d v="2021-07-17T00:00:00"/>
    <d v="2021-07-18T00:00:00"/>
    <n v="20"/>
    <x v="0"/>
  </r>
  <r>
    <n v="445"/>
    <n v="4"/>
    <n v="1"/>
    <n v="121"/>
    <n v="35"/>
    <d v="2021-07-10T00:00:00"/>
    <d v="2021-07-17T00:00:00"/>
    <d v="2021-07-18T00:00:00"/>
    <n v="40"/>
    <x v="0"/>
  </r>
  <r>
    <n v="446"/>
    <n v="20"/>
    <n v="1"/>
    <n v="121"/>
    <n v="35"/>
    <d v="2021-07-10T00:00:00"/>
    <d v="2021-07-17T00:00:00"/>
    <d v="2021-07-18T00:00:00"/>
    <n v="50"/>
    <x v="0"/>
  </r>
  <r>
    <n v="447"/>
    <n v="6"/>
    <n v="1"/>
    <n v="121"/>
    <n v="35"/>
    <d v="2021-07-10T00:00:00"/>
    <d v="2021-07-17T00:00:00"/>
    <d v="2021-07-18T00:00:00"/>
    <n v="20"/>
    <x v="0"/>
  </r>
  <r>
    <n v="448"/>
    <n v="8"/>
    <n v="1"/>
    <n v="121"/>
    <n v="35"/>
    <d v="2021-07-10T00:00:00"/>
    <d v="2021-07-17T00:00:00"/>
    <d v="2021-07-18T00:00:00"/>
    <n v="40"/>
    <x v="0"/>
  </r>
  <r>
    <n v="449"/>
    <n v="1"/>
    <n v="1"/>
    <n v="121"/>
    <n v="35"/>
    <d v="2021-07-10T00:00:00"/>
    <d v="2021-07-17T00:00:00"/>
    <d v="2021-07-18T00:00:00"/>
    <n v="40"/>
    <x v="0"/>
  </r>
  <r>
    <n v="450"/>
    <n v="13"/>
    <n v="1"/>
    <n v="122"/>
    <n v="36"/>
    <d v="2021-07-11T00:00:00"/>
    <d v="2021-07-18T00:00:00"/>
    <d v="2021-07-19T00:00:00"/>
    <n v="30"/>
    <x v="0"/>
  </r>
  <r>
    <n v="451"/>
    <n v="30"/>
    <n v="1"/>
    <n v="122"/>
    <n v="36"/>
    <d v="2021-07-11T00:00:00"/>
    <d v="2021-07-18T00:00:00"/>
    <d v="2021-07-19T00:00:00"/>
    <n v="30"/>
    <x v="0"/>
  </r>
  <r>
    <n v="452"/>
    <n v="10"/>
    <n v="1"/>
    <n v="80"/>
    <n v="26"/>
    <d v="2021-07-03T00:00:00"/>
    <d v="2021-07-10T00:00:00"/>
    <d v="2021-07-11T00:00:00"/>
    <n v="50"/>
    <x v="0"/>
  </r>
  <r>
    <n v="453"/>
    <n v="11"/>
    <n v="1"/>
    <n v="79"/>
    <n v="25"/>
    <d v="2021-07-03T00:00:00"/>
    <d v="2021-07-10T00:00:00"/>
    <d v="2021-07-11T00:00:00"/>
    <n v="0"/>
    <x v="0"/>
  </r>
  <r>
    <n v="454"/>
    <n v="4"/>
    <n v="1"/>
    <n v="122"/>
    <n v="36"/>
    <d v="2021-07-11T00:00:00"/>
    <d v="2021-07-18T00:00:00"/>
    <d v="2021-07-19T00:00:00"/>
    <n v="50"/>
    <x v="0"/>
  </r>
  <r>
    <n v="455"/>
    <n v="16"/>
    <n v="1"/>
    <n v="49"/>
    <n v="18"/>
    <d v="2021-06-24T00:00:00"/>
    <d v="2021-07-01T00:00:00"/>
    <d v="2021-07-02T00:00:00"/>
    <n v="0"/>
    <x v="0"/>
  </r>
  <r>
    <n v="456"/>
    <n v="14"/>
    <n v="1"/>
    <n v="137"/>
    <n v="37"/>
    <d v="2021-07-12T00:00:00"/>
    <d v="2021-07-19T00:00:00"/>
    <d v="2021-07-20T00:00:00"/>
    <n v="20"/>
    <x v="0"/>
  </r>
  <r>
    <n v="457"/>
    <n v="3"/>
    <n v="1"/>
    <n v="137"/>
    <n v="37"/>
    <d v="2021-07-12T00:00:00"/>
    <d v="2021-07-19T00:00:00"/>
    <d v="2021-07-20T00:00:00"/>
    <n v="50"/>
    <x v="0"/>
  </r>
  <r>
    <n v="458"/>
    <n v="29"/>
    <n v="1"/>
    <n v="137"/>
    <n v="37"/>
    <d v="2021-07-12T00:00:00"/>
    <d v="2021-07-19T00:00:00"/>
    <d v="2021-07-20T00:00:00"/>
    <n v="0"/>
    <x v="0"/>
  </r>
  <r>
    <n v="153"/>
    <n v="5"/>
    <n v="1"/>
    <n v="151"/>
    <n v="39"/>
    <d v="2021-07-12T00:00:00"/>
    <d v="2021-07-19T00:00:00"/>
    <d v="2021-07-20T00:00:00"/>
    <n v="70"/>
    <x v="1"/>
  </r>
  <r>
    <n v="460"/>
    <n v="12"/>
    <n v="1"/>
    <n v="80"/>
    <n v="26"/>
    <d v="2021-07-03T00:00:00"/>
    <d v="2021-07-10T00:00:00"/>
    <d v="2021-07-11T00:00:00"/>
    <n v="0"/>
    <x v="0"/>
  </r>
  <r>
    <n v="461"/>
    <n v="8"/>
    <n v="1"/>
    <n v="137"/>
    <n v="37"/>
    <d v="2021-07-12T00:00:00"/>
    <d v="2021-07-19T00:00:00"/>
    <d v="2021-07-20T00:00:00"/>
    <n v="50"/>
    <x v="0"/>
  </r>
  <r>
    <n v="462"/>
    <n v="17"/>
    <n v="1"/>
    <n v="137"/>
    <n v="37"/>
    <d v="2021-07-12T00:00:00"/>
    <d v="2021-07-19T00:00:00"/>
    <d v="2021-07-20T00:00:00"/>
    <n v="80"/>
    <x v="1"/>
  </r>
  <r>
    <n v="463"/>
    <n v="18"/>
    <n v="1"/>
    <n v="65"/>
    <n v="20"/>
    <d v="2021-06-25T00:00:00"/>
    <d v="2021-07-02T00:00:00"/>
    <d v="2021-07-03T00:00:00"/>
    <n v="20"/>
    <x v="0"/>
  </r>
  <r>
    <n v="464"/>
    <n v="12"/>
    <n v="1"/>
    <n v="150"/>
    <n v="38"/>
    <d v="2021-07-12T00:00:00"/>
    <d v="2021-07-19T00:00:00"/>
    <d v="2021-07-20T00:00:00"/>
    <n v="50"/>
    <x v="0"/>
  </r>
  <r>
    <n v="465"/>
    <n v="15"/>
    <n v="1"/>
    <n v="150"/>
    <n v="38"/>
    <d v="2021-07-12T00:00:00"/>
    <d v="2021-07-19T00:00:00"/>
    <d v="2021-07-20T00:00:00"/>
    <n v="0"/>
    <x v="0"/>
  </r>
  <r>
    <n v="466"/>
    <n v="28"/>
    <n v="1"/>
    <n v="150"/>
    <n v="38"/>
    <d v="2021-07-12T00:00:00"/>
    <d v="2021-07-19T00:00:00"/>
    <d v="2021-07-20T00:00:00"/>
    <n v="10"/>
    <x v="0"/>
  </r>
  <r>
    <n v="467"/>
    <n v="18"/>
    <n v="1"/>
    <n v="150"/>
    <n v="38"/>
    <d v="2021-07-12T00:00:00"/>
    <d v="2021-07-19T00:00:00"/>
    <d v="2021-07-20T00:00:00"/>
    <n v="100"/>
    <x v="1"/>
  </r>
  <r>
    <n v="468"/>
    <n v="6"/>
    <n v="1"/>
    <n v="150"/>
    <n v="38"/>
    <d v="2021-07-12T00:00:00"/>
    <d v="2021-07-19T00:00:00"/>
    <d v="2021-07-20T00:00:00"/>
    <n v="30"/>
    <x v="0"/>
  </r>
  <r>
    <n v="469"/>
    <n v="19"/>
    <n v="1"/>
    <n v="122"/>
    <n v="36"/>
    <d v="2021-07-11T00:00:00"/>
    <d v="2021-07-18T00:00:00"/>
    <d v="2021-07-19T00:00:00"/>
    <n v="90"/>
    <x v="1"/>
  </r>
  <r>
    <n v="470"/>
    <n v="20"/>
    <n v="1"/>
    <n v="49"/>
    <n v="18"/>
    <d v="2021-06-24T00:00:00"/>
    <d v="2021-07-01T00:00:00"/>
    <d v="2021-07-02T00:00:00"/>
    <n v="0"/>
    <x v="0"/>
  </r>
  <r>
    <n v="471"/>
    <n v="20"/>
    <n v="1"/>
    <n v="137"/>
    <n v="37"/>
    <d v="2021-07-12T00:00:00"/>
    <d v="2021-07-19T00:00:00"/>
    <d v="2021-07-20T00:00:00"/>
    <n v="50"/>
    <x v="0"/>
  </r>
  <r>
    <n v="472"/>
    <n v="21"/>
    <n v="1"/>
    <n v="43"/>
    <n v="16"/>
    <d v="2021-06-21T00:00:00"/>
    <d v="2021-06-28T00:00:00"/>
    <d v="2021-06-29T00:00:00"/>
    <n v="50"/>
    <x v="0"/>
  </r>
  <r>
    <n v="473"/>
    <n v="21"/>
    <n v="1"/>
    <n v="151"/>
    <n v="39"/>
    <d v="2021-07-12T00:00:00"/>
    <d v="2021-07-19T00:00:00"/>
    <d v="2021-07-20T00:00:00"/>
    <n v="40"/>
    <x v="0"/>
  </r>
  <r>
    <n v="474"/>
    <n v="22"/>
    <n v="1"/>
    <n v="49"/>
    <n v="18"/>
    <d v="2021-06-24T00:00:00"/>
    <d v="2021-07-01T00:00:00"/>
    <d v="2021-07-02T00:00:00"/>
    <n v="0"/>
    <x v="0"/>
  </r>
  <r>
    <n v="475"/>
    <n v="22"/>
    <n v="1"/>
    <n v="151"/>
    <n v="39"/>
    <d v="2021-07-12T00:00:00"/>
    <d v="2021-07-19T00:00:00"/>
    <d v="2021-07-20T00:00:00"/>
    <n v="80"/>
    <x v="1"/>
  </r>
  <r>
    <n v="476"/>
    <n v="23"/>
    <n v="1"/>
    <n v="151"/>
    <n v="39"/>
    <d v="2021-07-12T00:00:00"/>
    <d v="2021-07-19T00:00:00"/>
    <d v="2021-07-20T00:00:00"/>
    <n v="70"/>
    <x v="1"/>
  </r>
  <r>
    <n v="477"/>
    <n v="24"/>
    <n v="1"/>
    <n v="120"/>
    <n v="34"/>
    <d v="2021-07-09T00:00:00"/>
    <d v="2021-07-16T00:00:00"/>
    <d v="2021-07-17T00:00:00"/>
    <n v="10"/>
    <x v="0"/>
  </r>
  <r>
    <n v="478"/>
    <n v="24"/>
    <n v="1"/>
    <n v="151"/>
    <n v="39"/>
    <d v="2021-07-12T00:00:00"/>
    <d v="2021-07-19T00:00:00"/>
    <d v="2021-07-20T00:00:00"/>
    <n v="20"/>
    <x v="0"/>
  </r>
  <r>
    <n v="479"/>
    <n v="25"/>
    <n v="1"/>
    <n v="151"/>
    <n v="39"/>
    <d v="2021-07-12T00:00:00"/>
    <d v="2021-07-19T00:00:00"/>
    <d v="2021-07-20T00:00:00"/>
    <n v="70"/>
    <x v="1"/>
  </r>
  <r>
    <n v="480"/>
    <n v="28"/>
    <n v="1"/>
    <n v="137"/>
    <n v="37"/>
    <d v="2021-07-12T00:00:00"/>
    <d v="2021-07-19T00:00:00"/>
    <d v="2021-07-20T00:00:00"/>
    <n v="60"/>
    <x v="1"/>
  </r>
  <r>
    <n v="481"/>
    <n v="30"/>
    <n v="1"/>
    <n v="17"/>
    <n v="11"/>
    <d v="2021-06-18T00:00:00"/>
    <d v="2021-06-25T00:00:00"/>
    <d v="2021-06-26T00:00:00"/>
    <n v="0"/>
    <x v="0"/>
  </r>
  <r>
    <n v="482"/>
    <n v="15"/>
    <n v="1"/>
    <n v="137"/>
    <n v="37"/>
    <d v="2021-07-12T00:00:00"/>
    <d v="2021-07-19T00:00:00"/>
    <d v="2021-07-20T00:00:00"/>
    <n v="40"/>
    <x v="0"/>
  </r>
  <r>
    <n v="431"/>
    <n v="7"/>
    <n v="1"/>
    <n v="117"/>
    <n v="33"/>
    <d v="2021-07-07T00:00:00"/>
    <d v="2021-07-14T00:00:00"/>
    <d v="2021-07-15T00:00:00"/>
    <n v="30"/>
    <x v="0"/>
  </r>
  <r>
    <n v="484"/>
    <n v="20"/>
    <n v="1"/>
    <n v="65"/>
    <n v="20"/>
    <d v="2021-06-25T00:00:00"/>
    <d v="2021-07-02T00:00:00"/>
    <d v="2021-07-03T00:00:00"/>
    <n v="40"/>
    <x v="0"/>
  </r>
  <r>
    <n v="485"/>
    <n v="24"/>
    <n v="1"/>
    <n v="65"/>
    <n v="20"/>
    <d v="2021-06-25T00:00:00"/>
    <d v="2021-07-02T00:00:00"/>
    <d v="2021-07-03T00:00:00"/>
    <n v="30"/>
    <x v="0"/>
  </r>
  <r>
    <n v="486"/>
    <n v="27"/>
    <n v="1"/>
    <n v="66"/>
    <n v="21"/>
    <d v="2021-06-26T00:00:00"/>
    <d v="2021-07-03T00:00:00"/>
    <d v="2021-07-04T00:00:00"/>
    <n v="10"/>
    <x v="0"/>
  </r>
  <r>
    <n v="487"/>
    <n v="29"/>
    <n v="1"/>
    <n v="66"/>
    <n v="21"/>
    <d v="2021-06-26T00:00:00"/>
    <d v="2021-07-03T00:00:00"/>
    <d v="2021-07-04T00:00:00"/>
    <n v="40"/>
    <x v="0"/>
  </r>
  <r>
    <n v="488"/>
    <n v="21"/>
    <n v="1"/>
    <n v="66"/>
    <n v="21"/>
    <d v="2021-06-26T00:00:00"/>
    <d v="2021-07-03T00:00:00"/>
    <d v="2021-07-04T00:00:00"/>
    <n v="30"/>
    <x v="0"/>
  </r>
  <r>
    <n v="489"/>
    <n v="20"/>
    <n v="1"/>
    <n v="66"/>
    <n v="21"/>
    <d v="2021-06-26T00:00:00"/>
    <d v="2021-07-03T00:00:00"/>
    <d v="2021-07-04T00:00:00"/>
    <n v="50"/>
    <x v="0"/>
  </r>
  <r>
    <n v="490"/>
    <n v="14"/>
    <n v="1"/>
    <n v="74"/>
    <n v="23"/>
    <d v="2021-06-29T00:00:00"/>
    <d v="2021-07-06T00:00:00"/>
    <d v="2021-07-07T00:00:00"/>
    <n v="40"/>
    <x v="0"/>
  </r>
  <r>
    <n v="491"/>
    <n v="15"/>
    <n v="1"/>
    <n v="74"/>
    <n v="23"/>
    <d v="2021-06-29T00:00:00"/>
    <d v="2021-07-06T00:00:00"/>
    <d v="2021-07-07T00:00:00"/>
    <n v="10"/>
    <x v="0"/>
  </r>
  <r>
    <n v="492"/>
    <n v="20"/>
    <n v="1"/>
    <n v="74"/>
    <n v="23"/>
    <d v="2021-06-29T00:00:00"/>
    <d v="2021-07-06T00:00:00"/>
    <d v="2021-07-07T00:00:00"/>
    <n v="40"/>
    <x v="0"/>
  </r>
  <r>
    <n v="493"/>
    <n v="21"/>
    <n v="1"/>
    <n v="74"/>
    <n v="23"/>
    <d v="2021-06-29T00:00:00"/>
    <d v="2021-07-06T00:00:00"/>
    <d v="2021-07-07T00:00:00"/>
    <n v="30"/>
    <x v="0"/>
  </r>
  <r>
    <n v="494"/>
    <n v="24"/>
    <n v="1"/>
    <n v="74"/>
    <n v="23"/>
    <d v="2021-06-29T00:00:00"/>
    <d v="2021-07-06T00:00:00"/>
    <d v="2021-07-07T00:00:00"/>
    <n v="50"/>
    <x v="0"/>
  </r>
  <r>
    <n v="495"/>
    <n v="15"/>
    <n v="1"/>
    <n v="78"/>
    <n v="24"/>
    <d v="2021-07-02T00:00:00"/>
    <d v="2021-07-09T00:00:00"/>
    <d v="2021-07-10T00:00:00"/>
    <n v="20"/>
    <x v="0"/>
  </r>
  <r>
    <n v="496"/>
    <n v="18"/>
    <n v="1"/>
    <n v="78"/>
    <n v="24"/>
    <d v="2021-07-02T00:00:00"/>
    <d v="2021-07-09T00:00:00"/>
    <d v="2021-07-10T00:00:00"/>
    <n v="10"/>
    <x v="0"/>
  </r>
  <r>
    <n v="497"/>
    <n v="19"/>
    <n v="1"/>
    <n v="78"/>
    <n v="24"/>
    <d v="2021-07-02T00:00:00"/>
    <d v="2021-07-09T00:00:00"/>
    <d v="2021-07-10T00:00:00"/>
    <n v="20"/>
    <x v="0"/>
  </r>
  <r>
    <n v="498"/>
    <n v="20"/>
    <n v="1"/>
    <n v="78"/>
    <n v="24"/>
    <d v="2021-07-02T00:00:00"/>
    <d v="2021-07-09T00:00:00"/>
    <d v="2021-07-10T00:00:00"/>
    <n v="10"/>
    <x v="0"/>
  </r>
  <r>
    <n v="499"/>
    <n v="27"/>
    <n v="1"/>
    <n v="78"/>
    <n v="24"/>
    <d v="2021-07-02T00:00:00"/>
    <d v="2021-07-09T00:00:00"/>
    <d v="2021-07-10T00:00:00"/>
    <n v="50"/>
    <x v="0"/>
  </r>
  <r>
    <n v="500"/>
    <n v="29"/>
    <n v="1"/>
    <n v="78"/>
    <n v="24"/>
    <d v="2021-07-02T00:00:00"/>
    <d v="2021-07-09T00:00:00"/>
    <d v="2021-07-10T00:00:00"/>
    <n v="30"/>
    <x v="0"/>
  </r>
  <r>
    <n v="501"/>
    <n v="12"/>
    <n v="1"/>
    <n v="79"/>
    <n v="25"/>
    <d v="2021-07-03T00:00:00"/>
    <d v="2021-07-10T00:00:00"/>
    <d v="2021-07-11T00:00:00"/>
    <n v="50"/>
    <x v="0"/>
  </r>
  <r>
    <n v="502"/>
    <n v="13"/>
    <n v="1"/>
    <n v="79"/>
    <n v="25"/>
    <d v="2021-07-03T00:00:00"/>
    <d v="2021-07-10T00:00:00"/>
    <d v="2021-07-11T00:00:00"/>
    <n v="90"/>
    <x v="1"/>
  </r>
  <r>
    <n v="503"/>
    <n v="15"/>
    <n v="1"/>
    <n v="79"/>
    <n v="25"/>
    <d v="2021-07-03T00:00:00"/>
    <d v="2021-07-10T00:00:00"/>
    <d v="2021-07-11T00:00:00"/>
    <n v="70"/>
    <x v="1"/>
  </r>
  <r>
    <n v="504"/>
    <n v="20"/>
    <n v="1"/>
    <n v="79"/>
    <n v="25"/>
    <d v="2021-07-03T00:00:00"/>
    <d v="2021-07-10T00:00:00"/>
    <d v="2021-07-11T00:00:00"/>
    <n v="20"/>
    <x v="0"/>
  </r>
  <r>
    <n v="505"/>
    <n v="14"/>
    <n v="1"/>
    <n v="80"/>
    <n v="26"/>
    <d v="2021-07-03T00:00:00"/>
    <d v="2021-07-10T00:00:00"/>
    <d v="2021-07-11T00:00:00"/>
    <n v="20"/>
    <x v="0"/>
  </r>
  <r>
    <n v="506"/>
    <n v="16"/>
    <n v="1"/>
    <n v="80"/>
    <n v="26"/>
    <d v="2021-07-03T00:00:00"/>
    <d v="2021-07-10T00:00:00"/>
    <d v="2021-07-11T00:00:00"/>
    <n v="6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5">
  <r>
    <n v="66"/>
    <n v="30"/>
    <n v="1"/>
    <n v="14"/>
    <x v="0"/>
    <d v="2021-06-16T00:00:00"/>
    <d v="2021-06-23T00:00:00"/>
    <d v="2021-06-24T00:00:00"/>
    <n v="0"/>
    <x v="0"/>
  </r>
  <r>
    <n v="67"/>
    <n v="27"/>
    <n v="1"/>
    <n v="14"/>
    <x v="0"/>
    <d v="2021-06-16T00:00:00"/>
    <d v="2021-06-23T00:00:00"/>
    <d v="2021-06-24T00:00:00"/>
    <n v="30"/>
    <x v="0"/>
  </r>
  <r>
    <n v="68"/>
    <n v="18"/>
    <n v="1"/>
    <n v="15"/>
    <x v="1"/>
    <d v="2021-06-18T00:00:00"/>
    <d v="2021-06-25T00:00:00"/>
    <d v="2021-06-26T00:00:00"/>
    <n v="10"/>
    <x v="0"/>
  </r>
  <r>
    <n v="69"/>
    <n v="11"/>
    <n v="1"/>
    <n v="15"/>
    <x v="1"/>
    <d v="2021-06-18T00:00:00"/>
    <d v="2021-06-25T00:00:00"/>
    <d v="2021-06-26T00:00:00"/>
    <n v="0"/>
    <x v="0"/>
  </r>
  <r>
    <n v="70"/>
    <n v="25"/>
    <n v="1"/>
    <n v="15"/>
    <x v="1"/>
    <d v="2021-06-18T00:00:00"/>
    <d v="2021-06-25T00:00:00"/>
    <d v="2021-06-26T00:00:00"/>
    <n v="20"/>
    <x v="0"/>
  </r>
  <r>
    <n v="71"/>
    <n v="6"/>
    <n v="1"/>
    <n v="15"/>
    <x v="1"/>
    <d v="2021-06-18T00:00:00"/>
    <d v="2021-06-25T00:00:00"/>
    <d v="2021-06-26T00:00:00"/>
    <n v="50"/>
    <x v="0"/>
  </r>
  <r>
    <n v="72"/>
    <n v="8"/>
    <n v="1"/>
    <n v="15"/>
    <x v="1"/>
    <d v="2021-06-18T00:00:00"/>
    <d v="2021-06-25T00:00:00"/>
    <d v="2021-06-26T00:00:00"/>
    <n v="0"/>
    <x v="0"/>
  </r>
  <r>
    <n v="172"/>
    <n v="29"/>
    <n v="3"/>
    <n v="28"/>
    <x v="2"/>
    <d v="2021-06-16T00:00:00"/>
    <d v="2021-06-23T00:00:00"/>
    <d v="2021-06-23T00:00:00"/>
    <n v="60"/>
    <x v="0"/>
  </r>
  <r>
    <n v="173"/>
    <n v="30"/>
    <n v="3"/>
    <n v="28"/>
    <x v="2"/>
    <d v="2021-06-16T00:00:00"/>
    <d v="2021-06-23T00:00:00"/>
    <d v="2021-06-23T00:00:00"/>
    <n v="30"/>
    <x v="0"/>
  </r>
  <r>
    <n v="174"/>
    <n v="1"/>
    <n v="3"/>
    <n v="28"/>
    <x v="2"/>
    <d v="2021-06-16T00:00:00"/>
    <d v="2021-06-23T00:00:00"/>
    <d v="2021-06-23T00:00:00"/>
    <n v="40"/>
    <x v="0"/>
  </r>
  <r>
    <n v="175"/>
    <n v="2"/>
    <n v="3"/>
    <n v="28"/>
    <x v="2"/>
    <d v="2021-06-16T00:00:00"/>
    <d v="2021-06-23T00:00:00"/>
    <d v="2021-06-23T00:00:00"/>
    <n v="40"/>
    <x v="0"/>
  </r>
  <r>
    <n v="176"/>
    <n v="21"/>
    <n v="3"/>
    <n v="36"/>
    <x v="3"/>
    <d v="2021-06-16T00:00:00"/>
    <d v="2021-06-23T00:00:00"/>
    <d v="2021-06-23T00:00:00"/>
    <n v="0"/>
    <x v="0"/>
  </r>
  <r>
    <n v="177"/>
    <n v="12"/>
    <n v="3"/>
    <n v="36"/>
    <x v="3"/>
    <d v="2021-06-16T00:00:00"/>
    <d v="2021-06-23T00:00:00"/>
    <d v="2021-06-23T00:00:00"/>
    <n v="50"/>
    <x v="0"/>
  </r>
  <r>
    <n v="178"/>
    <n v="22"/>
    <n v="3"/>
    <n v="37"/>
    <x v="0"/>
    <d v="2021-06-16T00:00:00"/>
    <d v="2021-06-23T00:00:00"/>
    <d v="2021-06-23T00:00:00"/>
    <n v="40"/>
    <x v="0"/>
  </r>
  <r>
    <n v="179"/>
    <n v="26"/>
    <n v="3"/>
    <n v="37"/>
    <x v="0"/>
    <d v="2021-06-16T00:00:00"/>
    <d v="2021-06-23T00:00:00"/>
    <d v="2021-06-23T00:00:00"/>
    <n v="10"/>
    <x v="0"/>
  </r>
  <r>
    <n v="180"/>
    <n v="27"/>
    <n v="2"/>
    <n v="63"/>
    <x v="2"/>
    <d v="2021-06-16T00:00:00"/>
    <d v="2021-06-23T00:00:00"/>
    <d v="2021-06-23T00:00:00"/>
    <n v="10"/>
    <x v="0"/>
  </r>
  <r>
    <n v="181"/>
    <n v="28"/>
    <n v="2"/>
    <n v="63"/>
    <x v="2"/>
    <d v="2021-06-16T00:00:00"/>
    <d v="2021-06-23T00:00:00"/>
    <d v="2021-06-23T00:00:00"/>
    <n v="50"/>
    <x v="0"/>
  </r>
  <r>
    <n v="182"/>
    <n v="15"/>
    <n v="2"/>
    <n v="63"/>
    <x v="2"/>
    <d v="2021-06-16T00:00:00"/>
    <d v="2021-06-23T00:00:00"/>
    <d v="2021-06-23T00:00:00"/>
    <n v="60"/>
    <x v="0"/>
  </r>
  <r>
    <n v="183"/>
    <n v="19"/>
    <n v="6"/>
    <n v="99"/>
    <x v="2"/>
    <d v="2021-06-16T00:00:00"/>
    <d v="2021-06-23T00:00:00"/>
    <d v="2021-06-24T00:00:00"/>
    <n v="0"/>
    <x v="0"/>
  </r>
  <r>
    <n v="184"/>
    <n v="20"/>
    <n v="6"/>
    <n v="99"/>
    <x v="2"/>
    <d v="2021-06-16T00:00:00"/>
    <d v="2021-06-23T00:00:00"/>
    <d v="2021-06-24T00:00:00"/>
    <n v="40"/>
    <x v="0"/>
  </r>
  <r>
    <n v="185"/>
    <n v="21"/>
    <n v="6"/>
    <n v="99"/>
    <x v="2"/>
    <d v="2021-06-16T00:00:00"/>
    <d v="2021-06-23T00:00:00"/>
    <d v="2021-06-24T00:00:00"/>
    <n v="50"/>
    <x v="0"/>
  </r>
  <r>
    <n v="186"/>
    <n v="25"/>
    <n v="6"/>
    <n v="99"/>
    <x v="2"/>
    <d v="2021-06-16T00:00:00"/>
    <d v="2021-06-23T00:00:00"/>
    <d v="2021-06-24T00:00:00"/>
    <n v="60"/>
    <x v="0"/>
  </r>
  <r>
    <n v="187"/>
    <n v="30"/>
    <n v="6"/>
    <n v="99"/>
    <x v="2"/>
    <d v="2021-06-16T00:00:00"/>
    <d v="2021-06-23T00:00:00"/>
    <d v="2021-06-24T00:00:00"/>
    <n v="70"/>
    <x v="0"/>
  </r>
  <r>
    <n v="188"/>
    <n v="29"/>
    <n v="6"/>
    <n v="99"/>
    <x v="2"/>
    <d v="2021-06-16T00:00:00"/>
    <d v="2021-06-23T00:00:00"/>
    <d v="2021-06-24T00:00:00"/>
    <n v="20"/>
    <x v="0"/>
  </r>
  <r>
    <n v="189"/>
    <n v="5"/>
    <n v="6"/>
    <n v="99"/>
    <x v="2"/>
    <d v="2021-06-16T00:00:00"/>
    <d v="2021-06-23T00:00:00"/>
    <d v="2021-06-24T00:00:00"/>
    <n v="20"/>
    <x v="0"/>
  </r>
  <r>
    <n v="190"/>
    <n v="6"/>
    <n v="6"/>
    <n v="103"/>
    <x v="3"/>
    <d v="2021-06-16T00:00:00"/>
    <d v="2021-06-23T00:00:00"/>
    <d v="2021-06-24T00:00:00"/>
    <n v="0"/>
    <x v="0"/>
  </r>
  <r>
    <n v="191"/>
    <n v="5"/>
    <n v="6"/>
    <n v="103"/>
    <x v="3"/>
    <d v="2021-06-16T00:00:00"/>
    <d v="2021-06-23T00:00:00"/>
    <d v="2021-06-24T00:00:00"/>
    <n v="0"/>
    <x v="0"/>
  </r>
  <r>
    <n v="192"/>
    <n v="4"/>
    <n v="6"/>
    <n v="103"/>
    <x v="3"/>
    <d v="2021-06-16T00:00:00"/>
    <d v="2021-06-23T00:00:00"/>
    <d v="2021-06-24T00:00:00"/>
    <n v="20"/>
    <x v="0"/>
  </r>
  <r>
    <n v="193"/>
    <n v="18"/>
    <n v="6"/>
    <n v="103"/>
    <x v="3"/>
    <d v="2021-06-16T00:00:00"/>
    <d v="2021-06-23T00:00:00"/>
    <d v="2021-06-24T00:00:00"/>
    <n v="40"/>
    <x v="0"/>
  </r>
  <r>
    <n v="194"/>
    <n v="17"/>
    <n v="6"/>
    <n v="103"/>
    <x v="3"/>
    <d v="2021-06-16T00:00:00"/>
    <d v="2021-06-23T00:00:00"/>
    <d v="2021-06-24T00:00:00"/>
    <n v="50"/>
    <x v="0"/>
  </r>
  <r>
    <n v="195"/>
    <n v="12"/>
    <n v="6"/>
    <n v="103"/>
    <x v="3"/>
    <d v="2021-06-16T00:00:00"/>
    <d v="2021-06-23T00:00:00"/>
    <d v="2021-06-24T00:00:00"/>
    <n v="60"/>
    <x v="0"/>
  </r>
  <r>
    <n v="196"/>
    <n v="16"/>
    <n v="6"/>
    <n v="106"/>
    <x v="0"/>
    <d v="2021-06-16T00:00:00"/>
    <d v="2021-06-23T00:00:00"/>
    <d v="2021-06-24T00:00:00"/>
    <n v="70"/>
    <x v="0"/>
  </r>
  <r>
    <n v="197"/>
    <n v="15"/>
    <n v="6"/>
    <n v="106"/>
    <x v="0"/>
    <d v="2021-06-16T00:00:00"/>
    <d v="2021-06-23T00:00:00"/>
    <d v="2021-06-24T00:00:00"/>
    <n v="10"/>
    <x v="0"/>
  </r>
  <r>
    <n v="198"/>
    <n v="30"/>
    <n v="6"/>
    <n v="106"/>
    <x v="0"/>
    <d v="2021-06-16T00:00:00"/>
    <d v="2021-06-23T00:00:00"/>
    <d v="2021-06-24T00:00:00"/>
    <n v="10"/>
    <x v="0"/>
  </r>
  <r>
    <n v="199"/>
    <n v="29"/>
    <n v="6"/>
    <n v="106"/>
    <x v="0"/>
    <d v="2021-06-16T00:00:00"/>
    <d v="2021-06-23T00:00:00"/>
    <d v="2021-06-24T00:00:00"/>
    <n v="0"/>
    <x v="0"/>
  </r>
  <r>
    <n v="200"/>
    <n v="1"/>
    <n v="6"/>
    <n v="106"/>
    <x v="0"/>
    <d v="2021-06-16T00:00:00"/>
    <d v="2021-06-23T00:00:00"/>
    <d v="2021-06-24T00:00:00"/>
    <n v="90"/>
    <x v="1"/>
  </r>
  <r>
    <n v="201"/>
    <n v="2"/>
    <n v="6"/>
    <n v="106"/>
    <x v="0"/>
    <d v="2021-06-16T00:00:00"/>
    <d v="2021-06-23T00:00:00"/>
    <d v="2021-06-24T00:00:00"/>
    <n v="50"/>
    <x v="0"/>
  </r>
  <r>
    <n v="203"/>
    <n v="21"/>
    <n v="3"/>
    <n v="40"/>
    <x v="1"/>
    <d v="2021-06-18T00:00:00"/>
    <d v="2021-06-25T00:00:00"/>
    <d v="2021-06-25T00:00:00"/>
    <n v="0"/>
    <x v="0"/>
  </r>
  <r>
    <n v="204"/>
    <n v="12"/>
    <n v="3"/>
    <n v="53"/>
    <x v="4"/>
    <d v="2021-06-18T00:00:00"/>
    <d v="2021-06-25T00:00:00"/>
    <d v="2021-06-25T00:00:00"/>
    <n v="80"/>
    <x v="1"/>
  </r>
  <r>
    <n v="205"/>
    <n v="2"/>
    <n v="3"/>
    <n v="53"/>
    <x v="4"/>
    <d v="2021-06-18T00:00:00"/>
    <d v="2021-06-25T00:00:00"/>
    <d v="2021-06-25T00:00:00"/>
    <n v="40"/>
    <x v="0"/>
  </r>
  <r>
    <n v="212"/>
    <n v="27"/>
    <n v="4"/>
    <n v="50"/>
    <x v="4"/>
    <d v="2021-06-18T00:00:00"/>
    <d v="2021-06-25T00:00:00"/>
    <d v="2021-06-26T00:00:00"/>
    <n v="20"/>
    <x v="0"/>
  </r>
  <r>
    <n v="213"/>
    <n v="28"/>
    <n v="4"/>
    <n v="50"/>
    <x v="4"/>
    <d v="2021-06-18T00:00:00"/>
    <d v="2021-06-25T00:00:00"/>
    <d v="2021-06-26T00:00:00"/>
    <n v="20"/>
    <x v="0"/>
  </r>
  <r>
    <n v="214"/>
    <n v="15"/>
    <n v="4"/>
    <n v="50"/>
    <x v="4"/>
    <d v="2021-06-18T00:00:00"/>
    <d v="2021-06-25T00:00:00"/>
    <d v="2021-06-26T00:00:00"/>
    <n v="0"/>
    <x v="0"/>
  </r>
  <r>
    <n v="217"/>
    <n v="3"/>
    <n v="6"/>
    <n v="119"/>
    <x v="1"/>
    <d v="2021-06-18T00:00:00"/>
    <d v="2021-06-25T00:00:00"/>
    <d v="2021-06-26T00:00:00"/>
    <n v="80"/>
    <x v="1"/>
  </r>
  <r>
    <n v="218"/>
    <n v="15"/>
    <n v="6"/>
    <n v="119"/>
    <x v="1"/>
    <d v="2021-06-18T00:00:00"/>
    <d v="2021-06-25T00:00:00"/>
    <d v="2021-06-26T00:00:00"/>
    <n v="0"/>
    <x v="0"/>
  </r>
  <r>
    <n v="219"/>
    <n v="16"/>
    <n v="6"/>
    <n v="119"/>
    <x v="1"/>
    <d v="2021-06-18T00:00:00"/>
    <d v="2021-06-25T00:00:00"/>
    <d v="2021-06-26T00:00:00"/>
    <n v="50"/>
    <x v="0"/>
  </r>
  <r>
    <n v="220"/>
    <n v="17"/>
    <n v="6"/>
    <n v="119"/>
    <x v="1"/>
    <d v="2021-06-18T00:00:00"/>
    <d v="2021-06-25T00:00:00"/>
    <d v="2021-06-26T00:00:00"/>
    <n v="60"/>
    <x v="0"/>
  </r>
  <r>
    <n v="221"/>
    <n v="18"/>
    <n v="6"/>
    <n v="119"/>
    <x v="1"/>
    <d v="2021-06-18T00:00:00"/>
    <d v="2021-06-25T00:00:00"/>
    <d v="2021-06-26T00:00:00"/>
    <n v="50"/>
    <x v="0"/>
  </r>
  <r>
    <n v="222"/>
    <n v="19"/>
    <n v="6"/>
    <n v="119"/>
    <x v="1"/>
    <d v="2021-06-18T00:00:00"/>
    <d v="2021-06-25T00:00:00"/>
    <d v="2021-06-26T00:00:00"/>
    <n v="40"/>
    <x v="0"/>
  </r>
  <r>
    <n v="223"/>
    <n v="15"/>
    <n v="6"/>
    <n v="127"/>
    <x v="4"/>
    <d v="2021-06-18T00:00:00"/>
    <d v="2021-06-25T00:00:00"/>
    <d v="2021-06-26T00:00:00"/>
    <n v="20"/>
    <x v="0"/>
  </r>
  <r>
    <n v="224"/>
    <n v="16"/>
    <n v="6"/>
    <n v="127"/>
    <x v="4"/>
    <d v="2021-06-18T00:00:00"/>
    <d v="2021-06-25T00:00:00"/>
    <d v="2021-06-26T00:00:00"/>
    <n v="30"/>
    <x v="0"/>
  </r>
  <r>
    <n v="225"/>
    <n v="17"/>
    <n v="6"/>
    <n v="127"/>
    <x v="4"/>
    <d v="2021-06-18T00:00:00"/>
    <d v="2021-06-25T00:00:00"/>
    <d v="2021-06-26T00:00:00"/>
    <n v="30"/>
    <x v="0"/>
  </r>
  <r>
    <n v="226"/>
    <n v="18"/>
    <n v="6"/>
    <n v="127"/>
    <x v="4"/>
    <d v="2021-06-18T00:00:00"/>
    <d v="2021-06-25T00:00:00"/>
    <d v="2021-06-26T00:00:00"/>
    <n v="30"/>
    <x v="0"/>
  </r>
  <r>
    <n v="227"/>
    <n v="19"/>
    <n v="6"/>
    <n v="127"/>
    <x v="4"/>
    <d v="2021-06-18T00:00:00"/>
    <d v="2021-06-25T00:00:00"/>
    <d v="2021-06-26T00:00:00"/>
    <n v="60"/>
    <x v="0"/>
  </r>
  <r>
    <n v="228"/>
    <n v="11"/>
    <n v="6"/>
    <n v="127"/>
    <x v="4"/>
    <d v="2021-06-18T00:00:00"/>
    <d v="2021-06-25T00:00:00"/>
    <d v="2021-06-26T00:00:00"/>
    <n v="5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V3:W6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4" showAll="0"/>
    <pivotField numFmtId="14" showAll="0"/>
    <pivotField showAll="0"/>
    <pivotField axis="axisRow" dataField="1" showAll="0" sortType="ascending" sumSubtotal="1">
      <items count="4">
        <item sd="0" x="0"/>
        <item sd="0" x="1"/>
        <item m="1" x="2"/>
        <item t="sum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개수 : 합격여부" fld="9" subtotal="count" showDataAs="percentOfTotal" baseField="9" baseItem="0" numFmtId="10"/>
  </dataFields>
  <chartFormats count="3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피벗 테이블3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BZ1:CC8" firstHeaderRow="1" firstDataRow="2" firstDataCol="1"/>
  <pivotFields count="10">
    <pivotField showAll="0"/>
    <pivotField showAll="0"/>
    <pivotField showAll="0"/>
    <pivotField showAll="0"/>
    <pivotField axis="axisRow" showAll="0" sortType="ascending">
      <items count="40">
        <item m="1" x="23"/>
        <item m="1" x="12"/>
        <item m="1" x="25"/>
        <item m="1" x="36"/>
        <item m="1" x="9"/>
        <item x="2"/>
        <item x="3"/>
        <item x="0"/>
        <item x="1"/>
        <item x="4"/>
        <item m="1" x="33"/>
        <item m="1" x="37"/>
        <item m="1" x="6"/>
        <item m="1" x="10"/>
        <item m="1" x="11"/>
        <item m="1" x="13"/>
        <item m="1" x="14"/>
        <item m="1" x="15"/>
        <item m="1" x="16"/>
        <item m="1" x="17"/>
        <item m="1" x="19"/>
        <item m="1" x="21"/>
        <item m="1" x="24"/>
        <item m="1" x="27"/>
        <item m="1" x="28"/>
        <item m="1" x="29"/>
        <item m="1" x="30"/>
        <item m="1" x="31"/>
        <item m="1" x="32"/>
        <item m="1" x="34"/>
        <item m="1" x="35"/>
        <item m="1" x="38"/>
        <item m="1" x="18"/>
        <item m="1" x="5"/>
        <item m="1" x="20"/>
        <item m="1" x="7"/>
        <item m="1" x="22"/>
        <item m="1" x="8"/>
        <item m="1" x="26"/>
        <item t="default"/>
      </items>
    </pivotField>
    <pivotField numFmtId="14" showAll="0"/>
    <pivotField numFmtId="14" showAll="0"/>
    <pivotField numFmtId="14" showAll="0"/>
    <pivotField showAll="0"/>
    <pivotField axis="axisCol" dataField="1" showAll="0">
      <items count="3">
        <item x="0"/>
        <item x="1"/>
        <item t="default"/>
      </items>
    </pivotField>
  </pivotFields>
  <rowFields count="1">
    <field x="4"/>
  </rowFields>
  <rowItems count="6">
    <i>
      <x v="5"/>
    </i>
    <i>
      <x v="6"/>
    </i>
    <i>
      <x v="7"/>
    </i>
    <i>
      <x v="8"/>
    </i>
    <i>
      <x v="9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개수 : 합격여부" fld="9" subtotal="count" baseField="0" baseItem="0"/>
  </dataFields>
  <chartFormats count="2"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표5" displayName="표5" ref="A1:H31" totalsRowShown="0" headerRowDxfId="93" dataDxfId="91" headerRowBorderDxfId="92" tableBorderDxfId="90">
  <autoFilter ref="A1:H31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000-000001000000}" name="번호" dataDxfId="89"/>
    <tableColumn id="2" xr3:uid="{00000000-0010-0000-0000-000002000000}" name="이름" dataDxfId="88"/>
    <tableColumn id="3" xr3:uid="{00000000-0010-0000-0000-000003000000}" name="아이디" dataDxfId="87"/>
    <tableColumn id="4" xr3:uid="{00000000-0010-0000-0000-000004000000}" name="비밀번호" dataDxfId="86"/>
    <tableColumn id="5" xr3:uid="{00000000-0010-0000-0000-000005000000}" name="이메일" dataDxfId="85"/>
    <tableColumn id="6" xr3:uid="{00000000-0010-0000-0000-000006000000}" name="전화번호" dataDxfId="84"/>
    <tableColumn id="7" xr3:uid="{00000000-0010-0000-0000-000007000000}" name="성별" dataDxfId="83"/>
    <tableColumn id="8" xr3:uid="{00000000-0010-0000-0000-000008000000}" name="생년월일" dataDxfId="82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표2" displayName="표2" ref="A1:I159" totalsRowShown="0" headerRowDxfId="74" dataDxfId="72" headerRowBorderDxfId="73" tableBorderDxfId="71">
  <tableColumns count="9">
    <tableColumn id="1" xr3:uid="{00000000-0010-0000-0100-000001000000}" name="번호" dataDxfId="70"/>
    <tableColumn id="2" xr3:uid="{00000000-0010-0000-0100-000002000000}" name="종목번호" dataDxfId="69"/>
    <tableColumn id="3" xr3:uid="{00000000-0010-0000-0100-000003000000}" name="회차" dataDxfId="68"/>
    <tableColumn id="4" xr3:uid="{00000000-0010-0000-0100-000004000000}" name="접수일" dataDxfId="67">
      <calculatedColumnFormula>TEXT(J2,"yyyy-mm-dd")&amp; "~" &amp; TEXT(K2, "yyyy-mm-dd")</calculatedColumnFormula>
    </tableColumn>
    <tableColumn id="5" xr3:uid="{00000000-0010-0000-0100-000005000000}" name="시험일자" dataDxfId="66"/>
    <tableColumn id="6" xr3:uid="{00000000-0010-0000-0100-000006000000}" name="시험시간" dataDxfId="65"/>
    <tableColumn id="7" xr3:uid="{00000000-0010-0000-0100-000007000000}" name="발표일자" dataDxfId="64">
      <calculatedColumnFormula>E2 + IF(LOOKUP(시험일정!B2,자격증정보!$A$2:$A$7,자격증정보!$E$2:$E$7) = "당일날", 0, 1)</calculatedColumnFormula>
    </tableColumn>
    <tableColumn id="8" xr3:uid="{00000000-0010-0000-0100-000008000000}" name="합격률" dataDxfId="63">
      <calculatedColumnFormula>IFERROR(COUNTIFS(표6[일정번호],표2[[#This Row],[번호]],표6[합격여부], "합격")/COUNTIFS(표6[일정번호],표2[[#This Row],[번호]]),0)</calculatedColumnFormula>
    </tableColumn>
    <tableColumn id="9" xr3:uid="{00000000-0010-0000-0100-000009000000}" name="좌석수" dataDxfId="62">
      <calculatedColumnFormula>COUNTIF(표6[일정번호],표2[[#This Row],[번호]])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표6" displayName="표6" ref="A1:M504" totalsRowShown="0" headerRowDxfId="60" dataDxfId="59" tableBorderDxfId="58">
  <tableColumns count="13">
    <tableColumn id="1" xr3:uid="{00000000-0010-0000-0200-000001000000}" name="번호" dataDxfId="57"/>
    <tableColumn id="2" xr3:uid="{00000000-0010-0000-0200-000002000000}" name="회원번호" dataDxfId="56"/>
    <tableColumn id="3" xr3:uid="{00000000-0010-0000-0200-000003000000}" name="종목" dataDxfId="55"/>
    <tableColumn id="4" xr3:uid="{00000000-0010-0000-0200-000004000000}" name="일정번호" dataDxfId="54"/>
    <tableColumn id="5" xr3:uid="{00000000-0010-0000-0200-000005000000}" name="회차" dataDxfId="53"/>
    <tableColumn id="6" xr3:uid="{00000000-0010-0000-0200-000006000000}" name="접수일자" dataDxfId="52"/>
    <tableColumn id="7" xr3:uid="{00000000-0010-0000-0200-000007000000}" name="시험일자" dataDxfId="51"/>
    <tableColumn id="8" xr3:uid="{00000000-0010-0000-0200-000008000000}" name="발표일자" dataDxfId="50"/>
    <tableColumn id="9" xr3:uid="{00000000-0010-0000-0200-000009000000}" name="점수" dataDxfId="49"/>
    <tableColumn id="10" xr3:uid="{00000000-0010-0000-0200-00000A000000}" name="합격여부" dataDxfId="48"/>
    <tableColumn id="11" xr3:uid="{00000000-0010-0000-0200-00000B000000}" name="열1" dataDxfId="47">
      <calculatedColumnFormula>VLOOKUP(표6[[#This Row],[종목]],자격증정보!$A$2:$I$7,2,FALSE) &amp; " " &amp; VLOOKUP(표6[[#This Row],[종목]],자격증정보!$A$2:$I$7,3,FALSE)</calculatedColumnFormula>
    </tableColumn>
    <tableColumn id="12" xr3:uid="{00000000-0010-0000-0200-00000C000000}" name="열2" dataDxfId="46">
      <calculatedColumnFormula>TEXT(VLOOKUP(표6[[#This Row],[일정번호]],표2[],6,FALSE), "hh:mm")</calculatedColumnFormula>
    </tableColumn>
    <tableColumn id="14" xr3:uid="{00000000-0010-0000-0200-00000E000000}" name="열3" dataDxfId="45">
      <calculatedColumnFormula>VLOOKUP(표6[[#This Row],[종목]],자격증정보!$A$2:$I$7,9,FALSE)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표3" displayName="표3" ref="E19:I29" totalsRowShown="0" headerRowDxfId="43" dataDxfId="42">
  <autoFilter ref="E19:I29" xr:uid="{00000000-0009-0000-0100-000003000000}"/>
  <tableColumns count="5">
    <tableColumn id="1" xr3:uid="{00000000-0010-0000-0300-000001000000}" name="종목 이름" dataDxfId="41"/>
    <tableColumn id="2" xr3:uid="{00000000-0010-0000-0300-000002000000}" name="접수시작일" dataDxfId="40"/>
    <tableColumn id="5" xr3:uid="{00000000-0010-0000-0300-000005000000}" name="기간" dataDxfId="39"/>
    <tableColumn id="3" xr3:uid="{00000000-0010-0000-0300-000003000000}" name="남은 일수" dataDxfId="38"/>
    <tableColumn id="4" xr3:uid="{00000000-0010-0000-0300-000004000000}" name="접수마감일" dataDxfId="3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표1" displayName="표1" ref="A1:J504" totalsRowShown="0" headerRowDxfId="35" dataDxfId="34" tableBorderDxfId="33">
  <tableColumns count="10">
    <tableColumn id="1" xr3:uid="{00000000-0010-0000-0400-000001000000}" name="번호" dataDxfId="32" totalsRowDxfId="31"/>
    <tableColumn id="2" xr3:uid="{00000000-0010-0000-0400-000002000000}" name="회원번호" dataDxfId="30" totalsRowDxfId="29"/>
    <tableColumn id="3" xr3:uid="{00000000-0010-0000-0400-000003000000}" name="종목" dataDxfId="28" totalsRowDxfId="27"/>
    <tableColumn id="4" xr3:uid="{00000000-0010-0000-0400-000004000000}" name="일정번호" dataDxfId="26" totalsRowDxfId="25"/>
    <tableColumn id="5" xr3:uid="{00000000-0010-0000-0400-000005000000}" name="회차" dataDxfId="24" totalsRowDxfId="23"/>
    <tableColumn id="6" xr3:uid="{00000000-0010-0000-0400-000006000000}" name="접수일자" dataDxfId="22" totalsRowDxfId="21"/>
    <tableColumn id="7" xr3:uid="{00000000-0010-0000-0400-000007000000}" name="시험일자" dataDxfId="20" totalsRowDxfId="19"/>
    <tableColumn id="8" xr3:uid="{00000000-0010-0000-0400-000008000000}" name="발표일자" dataDxfId="18" totalsRowDxfId="17"/>
    <tableColumn id="9" xr3:uid="{00000000-0010-0000-0400-000009000000}" name="점수" dataDxfId="16" totalsRowDxfId="15"/>
    <tableColumn id="10" xr3:uid="{00000000-0010-0000-0400-00000A000000}" name="합격여부" dataDxfId="14" totalsRow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표4" displayName="표4" ref="AZ1:BI56" totalsRowShown="0" headerRowDxfId="12" dataDxfId="11" tableBorderDxfId="10">
  <autoFilter ref="AZ1:BI56" xr:uid="{00000000-0009-0000-0100-000004000000}"/>
  <sortState xmlns:xlrd2="http://schemas.microsoft.com/office/spreadsheetml/2017/richdata2" ref="AZ2:BI101">
    <sortCondition ref="BD2:BD101"/>
  </sortState>
  <tableColumns count="10">
    <tableColumn id="1" xr3:uid="{00000000-0010-0000-0500-000001000000}" name="번호" dataDxfId="9"/>
    <tableColumn id="2" xr3:uid="{00000000-0010-0000-0500-000002000000}" name="회원번호" dataDxfId="8"/>
    <tableColumn id="3" xr3:uid="{00000000-0010-0000-0500-000003000000}" name="종목" dataDxfId="7"/>
    <tableColumn id="4" xr3:uid="{00000000-0010-0000-0500-000004000000}" name="일정번호" dataDxfId="6"/>
    <tableColumn id="5" xr3:uid="{00000000-0010-0000-0500-000005000000}" name="회차" dataDxfId="5"/>
    <tableColumn id="6" xr3:uid="{00000000-0010-0000-0500-000006000000}" name="접수일자" dataDxfId="4"/>
    <tableColumn id="7" xr3:uid="{00000000-0010-0000-0500-000007000000}" name="시험일자" dataDxfId="3"/>
    <tableColumn id="8" xr3:uid="{00000000-0010-0000-0500-000008000000}" name="발표일자" dataDxfId="2"/>
    <tableColumn id="9" xr3:uid="{00000000-0010-0000-0500-000009000000}" name="점수" dataDxfId="1"/>
    <tableColumn id="10" xr3:uid="{00000000-0010-0000-0500-00000A000000}" name="합격여부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3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P1:Y14"/>
  <sheetViews>
    <sheetView topLeftCell="C1" zoomScaleNormal="100" workbookViewId="0">
      <selection activeCell="R9" activeCellId="1" sqref="Z1 R9"/>
    </sheetView>
  </sheetViews>
  <sheetFormatPr defaultRowHeight="16.5"/>
  <cols>
    <col min="1" max="18" width="9" style="1"/>
    <col min="19" max="19" width="14.375" style="1" bestFit="1" customWidth="1"/>
    <col min="20" max="23" width="9" style="1"/>
    <col min="24" max="24" width="17.875" style="1" bestFit="1" customWidth="1"/>
    <col min="25" max="16384" width="9" style="1"/>
  </cols>
  <sheetData>
    <row r="1" spans="16:25">
      <c r="R1" s="1">
        <f>데이터처리!N2</f>
        <v>0</v>
      </c>
      <c r="S1" s="1" t="str">
        <f>IFERROR(VLOOKUP($R$1,표5[],2,FALSE),"")</f>
        <v/>
      </c>
      <c r="T1" s="1" t="str">
        <f>IFERROR(VLOOKUP($R$1,표5[],3,FALSE),"")</f>
        <v/>
      </c>
      <c r="U1" s="1" t="str">
        <f>IFERROR(VLOOKUP($R$1,표5[],4,FALSE),"")</f>
        <v/>
      </c>
      <c r="V1" s="1">
        <v>449</v>
      </c>
      <c r="W1" s="1" t="str">
        <f>VLOOKUP(시험번호,표6[],12)</f>
        <v>13:00</v>
      </c>
      <c r="X1" s="1" t="str">
        <f>VLOOKUP(시험번호,표6[],11)</f>
        <v>워드프로세서 단일</v>
      </c>
      <c r="Y1" s="1">
        <f>VLOOKUP(시험번호,표6[],3)</f>
        <v>1</v>
      </c>
    </row>
    <row r="2" spans="16:25">
      <c r="S2" s="1" t="str">
        <f>IFERROR(VLOOKUP($R$1,표5[],6,FALSE),"")</f>
        <v/>
      </c>
      <c r="T2" s="1" t="str">
        <f>TEXT(IFERROR(VLOOKUP($R$1,표5[],8,FALSE),""),"yymmdd")</f>
        <v/>
      </c>
    </row>
    <row r="14" spans="16:25">
      <c r="P14" s="49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유저명">
          <controlPr defaultSize="0" autoLine="0" r:id="rId5">
            <anchor moveWithCells="1">
              <from>
                <xdr:col>10</xdr:col>
                <xdr:colOff>371475</xdr:colOff>
                <xdr:row>4</xdr:row>
                <xdr:rowOff>47625</xdr:rowOff>
              </from>
              <to>
                <xdr:col>12</xdr:col>
                <xdr:colOff>542925</xdr:colOff>
                <xdr:row>5</xdr:row>
                <xdr:rowOff>190500</xdr:rowOff>
              </to>
            </anchor>
          </controlPr>
        </control>
      </mc:Choice>
      <mc:Fallback>
        <control shapeId="1025" r:id="rId4" name="유저명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1"/>
  <sheetViews>
    <sheetView workbookViewId="0">
      <selection activeCell="A2" sqref="A2:H31"/>
    </sheetView>
  </sheetViews>
  <sheetFormatPr defaultRowHeight="16.5"/>
  <cols>
    <col min="1" max="3" width="9" style="2"/>
    <col min="4" max="4" width="10.25" style="2" customWidth="1"/>
    <col min="5" max="5" width="24" style="2" bestFit="1" customWidth="1"/>
    <col min="6" max="6" width="14.375" style="2" bestFit="1" customWidth="1"/>
    <col min="7" max="7" width="9" style="2"/>
    <col min="8" max="8" width="11.125" style="2" bestFit="1" customWidth="1"/>
  </cols>
  <sheetData>
    <row r="1" spans="1:8">
      <c r="A1" s="28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</row>
    <row r="2" spans="1:8">
      <c r="A2" s="2">
        <v>1</v>
      </c>
      <c r="B2" s="2" t="s">
        <v>8</v>
      </c>
      <c r="C2" s="2" t="s">
        <v>9</v>
      </c>
      <c r="D2" s="2" t="s">
        <v>1531</v>
      </c>
      <c r="E2" s="2" t="s">
        <v>10</v>
      </c>
      <c r="F2" s="2" t="s">
        <v>11</v>
      </c>
      <c r="G2" s="2" t="s">
        <v>12</v>
      </c>
      <c r="H2" s="3">
        <v>35012</v>
      </c>
    </row>
    <row r="3" spans="1:8">
      <c r="A3" s="2">
        <v>2</v>
      </c>
      <c r="B3" s="2" t="s">
        <v>13</v>
      </c>
      <c r="C3" s="2" t="s">
        <v>14</v>
      </c>
      <c r="D3" s="2" t="s">
        <v>15</v>
      </c>
      <c r="E3" s="2" t="s">
        <v>16</v>
      </c>
      <c r="F3" s="2" t="s">
        <v>17</v>
      </c>
      <c r="G3" s="2" t="s">
        <v>18</v>
      </c>
      <c r="H3" s="3">
        <v>35781</v>
      </c>
    </row>
    <row r="4" spans="1:8">
      <c r="A4" s="2">
        <v>3</v>
      </c>
      <c r="B4" s="2" t="s">
        <v>19</v>
      </c>
      <c r="C4" s="2" t="s">
        <v>20</v>
      </c>
      <c r="D4" s="2" t="s">
        <v>21</v>
      </c>
      <c r="E4" s="2" t="s">
        <v>22</v>
      </c>
      <c r="F4" s="2" t="s">
        <v>23</v>
      </c>
      <c r="G4" s="2" t="s">
        <v>12</v>
      </c>
      <c r="H4" s="3">
        <v>36301</v>
      </c>
    </row>
    <row r="5" spans="1:8">
      <c r="A5" s="2">
        <v>4</v>
      </c>
      <c r="B5" s="2" t="s">
        <v>24</v>
      </c>
      <c r="C5" s="2" t="s">
        <v>25</v>
      </c>
      <c r="D5" s="2" t="s">
        <v>26</v>
      </c>
      <c r="E5" s="2" t="s">
        <v>27</v>
      </c>
      <c r="F5" s="2" t="s">
        <v>28</v>
      </c>
      <c r="G5" s="2" t="s">
        <v>18</v>
      </c>
      <c r="H5" s="3">
        <v>32968</v>
      </c>
    </row>
    <row r="6" spans="1:8">
      <c r="A6" s="2">
        <v>5</v>
      </c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18</v>
      </c>
      <c r="H6" s="3">
        <v>29650</v>
      </c>
    </row>
    <row r="7" spans="1:8">
      <c r="A7" s="2">
        <v>6</v>
      </c>
      <c r="B7" s="2" t="s">
        <v>34</v>
      </c>
      <c r="C7" s="2" t="s">
        <v>35</v>
      </c>
      <c r="D7" s="2" t="s">
        <v>36</v>
      </c>
      <c r="E7" s="2" t="s">
        <v>37</v>
      </c>
      <c r="F7" s="2" t="s">
        <v>38</v>
      </c>
      <c r="G7" s="2" t="s">
        <v>18</v>
      </c>
      <c r="H7" s="3">
        <v>36582</v>
      </c>
    </row>
    <row r="8" spans="1:8">
      <c r="A8" s="2">
        <v>7</v>
      </c>
      <c r="B8" s="2" t="s">
        <v>39</v>
      </c>
      <c r="C8" s="2" t="s">
        <v>40</v>
      </c>
      <c r="D8" s="2" t="s">
        <v>41</v>
      </c>
      <c r="E8" s="2" t="s">
        <v>42</v>
      </c>
      <c r="F8" s="2" t="s">
        <v>43</v>
      </c>
      <c r="G8" s="2" t="s">
        <v>18</v>
      </c>
      <c r="H8" s="3">
        <v>32256</v>
      </c>
    </row>
    <row r="9" spans="1:8">
      <c r="A9" s="2">
        <v>8</v>
      </c>
      <c r="B9" s="2" t="s">
        <v>44</v>
      </c>
      <c r="C9" s="2" t="s">
        <v>45</v>
      </c>
      <c r="D9" s="2" t="s">
        <v>46</v>
      </c>
      <c r="E9" s="2" t="s">
        <v>47</v>
      </c>
      <c r="F9" s="2" t="s">
        <v>48</v>
      </c>
      <c r="G9" s="2" t="s">
        <v>18</v>
      </c>
      <c r="H9" s="3">
        <v>31512</v>
      </c>
    </row>
    <row r="10" spans="1:8">
      <c r="A10" s="2">
        <v>9</v>
      </c>
      <c r="B10" s="2" t="s">
        <v>49</v>
      </c>
      <c r="C10" s="2" t="s">
        <v>50</v>
      </c>
      <c r="D10" s="2" t="s">
        <v>51</v>
      </c>
      <c r="E10" s="2" t="s">
        <v>52</v>
      </c>
      <c r="F10" s="2" t="s">
        <v>53</v>
      </c>
      <c r="G10" s="2" t="s">
        <v>18</v>
      </c>
      <c r="H10" s="3">
        <v>29593</v>
      </c>
    </row>
    <row r="11" spans="1:8">
      <c r="A11" s="2">
        <v>10</v>
      </c>
      <c r="B11" s="2" t="s">
        <v>54</v>
      </c>
      <c r="C11" s="2" t="s">
        <v>55</v>
      </c>
      <c r="D11" s="2" t="s">
        <v>56</v>
      </c>
      <c r="E11" s="2" t="s">
        <v>57</v>
      </c>
      <c r="F11" s="2" t="s">
        <v>58</v>
      </c>
      <c r="G11" s="2" t="s">
        <v>18</v>
      </c>
      <c r="H11" s="3">
        <v>31520</v>
      </c>
    </row>
    <row r="12" spans="1:8">
      <c r="A12" s="2">
        <v>11</v>
      </c>
      <c r="B12" s="2" t="s">
        <v>59</v>
      </c>
      <c r="C12" s="2" t="s">
        <v>60</v>
      </c>
      <c r="D12" s="2" t="s">
        <v>61</v>
      </c>
      <c r="E12" s="2" t="s">
        <v>62</v>
      </c>
      <c r="F12" s="2" t="s">
        <v>63</v>
      </c>
      <c r="G12" s="2" t="s">
        <v>12</v>
      </c>
      <c r="H12" s="3">
        <v>33880</v>
      </c>
    </row>
    <row r="13" spans="1:8">
      <c r="A13" s="2">
        <v>12</v>
      </c>
      <c r="B13" s="2" t="s">
        <v>64</v>
      </c>
      <c r="C13" s="2" t="s">
        <v>65</v>
      </c>
      <c r="D13" s="2" t="s">
        <v>66</v>
      </c>
      <c r="E13" s="2" t="s">
        <v>67</v>
      </c>
      <c r="F13" s="2" t="s">
        <v>68</v>
      </c>
      <c r="G13" s="2" t="s">
        <v>18</v>
      </c>
      <c r="H13" s="3">
        <v>31471</v>
      </c>
    </row>
    <row r="14" spans="1:8">
      <c r="A14" s="2">
        <v>13</v>
      </c>
      <c r="B14" s="2" t="s">
        <v>69</v>
      </c>
      <c r="C14" s="2" t="s">
        <v>70</v>
      </c>
      <c r="D14" s="2" t="s">
        <v>71</v>
      </c>
      <c r="E14" s="2" t="s">
        <v>72</v>
      </c>
      <c r="F14" s="2" t="s">
        <v>73</v>
      </c>
      <c r="G14" s="2" t="s">
        <v>18</v>
      </c>
      <c r="H14" s="3">
        <v>30173</v>
      </c>
    </row>
    <row r="15" spans="1:8">
      <c r="A15" s="2">
        <v>14</v>
      </c>
      <c r="B15" s="2" t="s">
        <v>74</v>
      </c>
      <c r="C15" s="2" t="s">
        <v>75</v>
      </c>
      <c r="D15" s="2" t="s">
        <v>76</v>
      </c>
      <c r="E15" s="2" t="s">
        <v>77</v>
      </c>
      <c r="F15" s="2" t="s">
        <v>78</v>
      </c>
      <c r="G15" s="2" t="s">
        <v>18</v>
      </c>
      <c r="H15" s="3">
        <v>34072</v>
      </c>
    </row>
    <row r="16" spans="1:8">
      <c r="A16" s="2">
        <v>15</v>
      </c>
      <c r="B16" s="2" t="s">
        <v>79</v>
      </c>
      <c r="C16" s="2" t="s">
        <v>80</v>
      </c>
      <c r="D16" s="2" t="s">
        <v>81</v>
      </c>
      <c r="E16" s="2" t="s">
        <v>82</v>
      </c>
      <c r="F16" s="2" t="s">
        <v>83</v>
      </c>
      <c r="G16" s="2" t="s">
        <v>18</v>
      </c>
      <c r="H16" s="3">
        <v>32574</v>
      </c>
    </row>
    <row r="17" spans="1:8">
      <c r="A17" s="2">
        <v>16</v>
      </c>
      <c r="B17" s="2" t="s">
        <v>84</v>
      </c>
      <c r="C17" s="2" t="s">
        <v>85</v>
      </c>
      <c r="D17" s="2" t="s">
        <v>86</v>
      </c>
      <c r="E17" s="2" t="s">
        <v>87</v>
      </c>
      <c r="F17" s="2" t="s">
        <v>88</v>
      </c>
      <c r="G17" s="2" t="s">
        <v>18</v>
      </c>
      <c r="H17" s="3">
        <v>32777</v>
      </c>
    </row>
    <row r="18" spans="1:8">
      <c r="A18" s="2">
        <v>17</v>
      </c>
      <c r="B18" s="2" t="s">
        <v>89</v>
      </c>
      <c r="C18" s="2" t="s">
        <v>90</v>
      </c>
      <c r="D18" s="2" t="s">
        <v>91</v>
      </c>
      <c r="E18" s="2" t="s">
        <v>92</v>
      </c>
      <c r="F18" s="2" t="s">
        <v>93</v>
      </c>
      <c r="G18" s="2" t="s">
        <v>18</v>
      </c>
      <c r="H18" s="3">
        <v>36101</v>
      </c>
    </row>
    <row r="19" spans="1:8">
      <c r="A19" s="2">
        <v>18</v>
      </c>
      <c r="B19" s="2" t="s">
        <v>94</v>
      </c>
      <c r="C19" s="2" t="s">
        <v>95</v>
      </c>
      <c r="D19" s="2" t="s">
        <v>96</v>
      </c>
      <c r="E19" s="2" t="s">
        <v>97</v>
      </c>
      <c r="F19" s="2" t="s">
        <v>98</v>
      </c>
      <c r="G19" s="2" t="s">
        <v>18</v>
      </c>
      <c r="H19" s="3">
        <v>32176</v>
      </c>
    </row>
    <row r="20" spans="1:8">
      <c r="A20" s="2">
        <v>19</v>
      </c>
      <c r="B20" s="2" t="s">
        <v>99</v>
      </c>
      <c r="C20" s="2" t="s">
        <v>100</v>
      </c>
      <c r="D20" s="2" t="s">
        <v>101</v>
      </c>
      <c r="E20" s="2" t="s">
        <v>102</v>
      </c>
      <c r="F20" s="2" t="s">
        <v>103</v>
      </c>
      <c r="G20" s="2" t="s">
        <v>18</v>
      </c>
      <c r="H20" s="3">
        <v>31169</v>
      </c>
    </row>
    <row r="21" spans="1:8">
      <c r="A21" s="2">
        <v>20</v>
      </c>
      <c r="B21" s="2" t="s">
        <v>104</v>
      </c>
      <c r="C21" s="2" t="s">
        <v>105</v>
      </c>
      <c r="D21" s="2" t="s">
        <v>106</v>
      </c>
      <c r="E21" s="2" t="s">
        <v>107</v>
      </c>
      <c r="F21" s="2" t="s">
        <v>108</v>
      </c>
      <c r="G21" s="2" t="s">
        <v>12</v>
      </c>
      <c r="H21" s="3">
        <v>31068</v>
      </c>
    </row>
    <row r="22" spans="1:8">
      <c r="A22" s="2">
        <v>21</v>
      </c>
      <c r="B22" s="2" t="s">
        <v>109</v>
      </c>
      <c r="C22" s="2" t="s">
        <v>110</v>
      </c>
      <c r="D22" s="2" t="s">
        <v>111</v>
      </c>
      <c r="E22" s="2" t="s">
        <v>112</v>
      </c>
      <c r="F22" s="2" t="s">
        <v>113</v>
      </c>
      <c r="G22" s="2" t="s">
        <v>18</v>
      </c>
      <c r="H22" s="3">
        <v>15534</v>
      </c>
    </row>
    <row r="23" spans="1:8">
      <c r="A23" s="2">
        <v>22</v>
      </c>
      <c r="B23" s="2" t="s">
        <v>114</v>
      </c>
      <c r="C23" s="2" t="s">
        <v>115</v>
      </c>
      <c r="D23" s="2" t="s">
        <v>116</v>
      </c>
      <c r="E23" s="2" t="s">
        <v>117</v>
      </c>
      <c r="F23" s="2" t="s">
        <v>118</v>
      </c>
      <c r="G23" s="2" t="s">
        <v>12</v>
      </c>
      <c r="H23" s="3">
        <v>27203</v>
      </c>
    </row>
    <row r="24" spans="1:8">
      <c r="A24" s="2">
        <v>23</v>
      </c>
      <c r="B24" s="2" t="s">
        <v>119</v>
      </c>
      <c r="C24" s="2" t="s">
        <v>120</v>
      </c>
      <c r="D24" s="2" t="s">
        <v>121</v>
      </c>
      <c r="E24" s="2" t="s">
        <v>122</v>
      </c>
      <c r="F24" s="2" t="s">
        <v>123</v>
      </c>
      <c r="G24" s="2" t="s">
        <v>12</v>
      </c>
      <c r="H24" s="3">
        <v>28876</v>
      </c>
    </row>
    <row r="25" spans="1:8">
      <c r="A25" s="2">
        <v>24</v>
      </c>
      <c r="B25" s="2" t="s">
        <v>124</v>
      </c>
      <c r="C25" s="2" t="s">
        <v>125</v>
      </c>
      <c r="D25" s="2" t="s">
        <v>126</v>
      </c>
      <c r="E25" s="2" t="s">
        <v>127</v>
      </c>
      <c r="F25" s="2" t="s">
        <v>128</v>
      </c>
      <c r="G25" s="2" t="s">
        <v>12</v>
      </c>
      <c r="H25" s="3">
        <v>21517</v>
      </c>
    </row>
    <row r="26" spans="1:8">
      <c r="A26" s="2">
        <v>25</v>
      </c>
      <c r="B26" s="2" t="s">
        <v>129</v>
      </c>
      <c r="C26" s="2" t="s">
        <v>130</v>
      </c>
      <c r="D26" s="2" t="s">
        <v>131</v>
      </c>
      <c r="E26" s="2" t="s">
        <v>132</v>
      </c>
      <c r="F26" s="2" t="s">
        <v>133</v>
      </c>
      <c r="G26" s="2" t="s">
        <v>12</v>
      </c>
      <c r="H26" s="3">
        <v>20804</v>
      </c>
    </row>
    <row r="27" spans="1:8">
      <c r="A27" s="2">
        <v>26</v>
      </c>
      <c r="B27" s="2" t="s">
        <v>134</v>
      </c>
      <c r="C27" s="2" t="s">
        <v>135</v>
      </c>
      <c r="D27" s="2" t="s">
        <v>136</v>
      </c>
      <c r="E27" s="2" t="s">
        <v>137</v>
      </c>
      <c r="F27" s="2" t="s">
        <v>138</v>
      </c>
      <c r="G27" s="2" t="s">
        <v>12</v>
      </c>
      <c r="H27" s="3">
        <v>31280</v>
      </c>
    </row>
    <row r="28" spans="1:8">
      <c r="A28" s="2">
        <v>27</v>
      </c>
      <c r="B28" s="2" t="s">
        <v>139</v>
      </c>
      <c r="C28" s="2" t="s">
        <v>140</v>
      </c>
      <c r="D28" s="2" t="s">
        <v>141</v>
      </c>
      <c r="E28" s="2" t="s">
        <v>142</v>
      </c>
      <c r="F28" s="2" t="s">
        <v>143</v>
      </c>
      <c r="G28" s="2" t="s">
        <v>18</v>
      </c>
      <c r="H28" s="3">
        <v>33165</v>
      </c>
    </row>
    <row r="29" spans="1:8">
      <c r="A29" s="2">
        <v>28</v>
      </c>
      <c r="B29" s="2" t="s">
        <v>144</v>
      </c>
      <c r="C29" s="2" t="s">
        <v>145</v>
      </c>
      <c r="D29" s="2" t="s">
        <v>146</v>
      </c>
      <c r="E29" s="2" t="s">
        <v>147</v>
      </c>
      <c r="F29" s="2" t="s">
        <v>148</v>
      </c>
      <c r="G29" s="2" t="s">
        <v>18</v>
      </c>
      <c r="H29" s="3">
        <v>40451</v>
      </c>
    </row>
    <row r="30" spans="1:8">
      <c r="A30" s="2">
        <v>29</v>
      </c>
      <c r="B30" s="2" t="s">
        <v>149</v>
      </c>
      <c r="C30" s="2" t="s">
        <v>150</v>
      </c>
      <c r="D30" s="2" t="s">
        <v>151</v>
      </c>
      <c r="E30" s="2" t="s">
        <v>152</v>
      </c>
      <c r="F30" s="2" t="s">
        <v>153</v>
      </c>
      <c r="G30" s="2" t="s">
        <v>18</v>
      </c>
      <c r="H30" s="3">
        <v>31638</v>
      </c>
    </row>
    <row r="31" spans="1:8">
      <c r="A31" s="2">
        <v>30</v>
      </c>
      <c r="B31" s="2" t="s">
        <v>154</v>
      </c>
      <c r="C31" s="2" t="s">
        <v>155</v>
      </c>
      <c r="D31" s="2" t="s">
        <v>156</v>
      </c>
      <c r="E31" s="2" t="s">
        <v>157</v>
      </c>
      <c r="F31" s="2" t="s">
        <v>158</v>
      </c>
      <c r="G31" s="2" t="s">
        <v>18</v>
      </c>
      <c r="H31" s="3">
        <v>38330</v>
      </c>
    </row>
  </sheetData>
  <phoneticPr fontId="1" type="noConversion"/>
  <conditionalFormatting sqref="A2:H1048576">
    <cfRule type="expression" dxfId="94" priority="1">
      <formula>$A2 &lt;&gt; ""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7"/>
  <sheetViews>
    <sheetView workbookViewId="0">
      <selection activeCell="H34" sqref="H34"/>
    </sheetView>
  </sheetViews>
  <sheetFormatPr defaultRowHeight="16.5"/>
  <cols>
    <col min="1" max="1" width="9" style="2"/>
    <col min="2" max="2" width="15.125" style="2" bestFit="1" customWidth="1"/>
    <col min="3" max="3" width="9" style="2"/>
    <col min="4" max="4" width="16.875" style="2" bestFit="1" customWidth="1"/>
    <col min="5" max="6" width="9" style="2"/>
    <col min="7" max="7" width="13" style="2" bestFit="1" customWidth="1"/>
    <col min="8" max="9" width="9" style="2"/>
    <col min="10" max="10" width="9" customWidth="1"/>
  </cols>
  <sheetData>
    <row r="1" spans="1:14">
      <c r="A1" s="4" t="s">
        <v>185</v>
      </c>
      <c r="B1" s="4" t="s">
        <v>1497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164</v>
      </c>
      <c r="H1" s="4" t="s">
        <v>165</v>
      </c>
      <c r="I1" s="4" t="s">
        <v>166</v>
      </c>
      <c r="J1" s="41" t="s">
        <v>1534</v>
      </c>
      <c r="K1" s="40"/>
      <c r="L1" t="s">
        <v>1520</v>
      </c>
      <c r="N1" t="s">
        <v>1533</v>
      </c>
    </row>
    <row r="2" spans="1:14">
      <c r="A2" s="2">
        <v>1</v>
      </c>
      <c r="B2" s="2" t="s">
        <v>167</v>
      </c>
      <c r="C2" s="2" t="s">
        <v>168</v>
      </c>
      <c r="D2" s="2" t="s">
        <v>169</v>
      </c>
      <c r="E2" s="2" t="s">
        <v>170</v>
      </c>
      <c r="F2" s="2" t="s">
        <v>171</v>
      </c>
      <c r="G2" s="2" t="s">
        <v>172</v>
      </c>
      <c r="H2" s="5">
        <v>18000</v>
      </c>
      <c r="I2" s="2" t="s">
        <v>173</v>
      </c>
      <c r="J2" s="41" t="s">
        <v>1518</v>
      </c>
      <c r="K2">
        <v>1</v>
      </c>
      <c r="N2">
        <f>IFERROR(VLOOKUP(L1,J2:K7,2,FALSE), "")</f>
        <v>3</v>
      </c>
    </row>
    <row r="3" spans="1:14">
      <c r="A3" s="2">
        <v>2</v>
      </c>
      <c r="B3" s="2" t="s">
        <v>174</v>
      </c>
      <c r="C3" s="2" t="s">
        <v>175</v>
      </c>
      <c r="D3" s="2" t="s">
        <v>176</v>
      </c>
      <c r="E3" s="2" t="s">
        <v>177</v>
      </c>
      <c r="F3" s="2" t="s">
        <v>171</v>
      </c>
      <c r="G3" s="2" t="s">
        <v>178</v>
      </c>
      <c r="H3" s="5">
        <v>19000</v>
      </c>
      <c r="I3" s="2" t="s">
        <v>173</v>
      </c>
      <c r="J3" s="41" t="s">
        <v>1519</v>
      </c>
      <c r="K3">
        <v>2</v>
      </c>
    </row>
    <row r="4" spans="1:14">
      <c r="A4" s="2">
        <v>3</v>
      </c>
      <c r="B4" s="2" t="s">
        <v>174</v>
      </c>
      <c r="C4" s="2" t="s">
        <v>179</v>
      </c>
      <c r="D4" s="2" t="s">
        <v>176</v>
      </c>
      <c r="E4" s="2" t="s">
        <v>177</v>
      </c>
      <c r="F4" s="2" t="s">
        <v>171</v>
      </c>
      <c r="G4" s="2" t="s">
        <v>178</v>
      </c>
      <c r="H4" s="5">
        <v>19000</v>
      </c>
      <c r="I4" s="2" t="s">
        <v>173</v>
      </c>
      <c r="J4" s="41" t="s">
        <v>1520</v>
      </c>
      <c r="K4">
        <v>3</v>
      </c>
    </row>
    <row r="5" spans="1:14">
      <c r="A5" s="2">
        <v>4</v>
      </c>
      <c r="B5" s="2" t="s">
        <v>180</v>
      </c>
      <c r="C5" s="2" t="s">
        <v>175</v>
      </c>
      <c r="D5" s="2" t="s">
        <v>181</v>
      </c>
      <c r="E5" s="2" t="s">
        <v>170</v>
      </c>
      <c r="F5" s="2" t="s">
        <v>171</v>
      </c>
      <c r="G5" s="2" t="s">
        <v>182</v>
      </c>
      <c r="H5" s="5">
        <v>22000</v>
      </c>
      <c r="I5" s="2" t="s">
        <v>183</v>
      </c>
      <c r="J5" s="41" t="s">
        <v>1521</v>
      </c>
      <c r="K5">
        <v>4</v>
      </c>
    </row>
    <row r="6" spans="1:14">
      <c r="A6" s="2">
        <v>5</v>
      </c>
      <c r="B6" s="2" t="s">
        <v>180</v>
      </c>
      <c r="C6" s="2" t="s">
        <v>179</v>
      </c>
      <c r="D6" s="2" t="s">
        <v>181</v>
      </c>
      <c r="E6" s="2" t="s">
        <v>170</v>
      </c>
      <c r="F6" s="2" t="s">
        <v>171</v>
      </c>
      <c r="G6" s="2" t="s">
        <v>182</v>
      </c>
      <c r="H6" s="5">
        <v>21000</v>
      </c>
      <c r="I6" s="2" t="s">
        <v>183</v>
      </c>
      <c r="J6" s="41" t="s">
        <v>1522</v>
      </c>
      <c r="K6">
        <v>5</v>
      </c>
    </row>
    <row r="7" spans="1:14">
      <c r="A7" s="2">
        <v>6</v>
      </c>
      <c r="B7" s="2" t="s">
        <v>180</v>
      </c>
      <c r="C7" s="2" t="s">
        <v>184</v>
      </c>
      <c r="D7" s="2" t="s">
        <v>181</v>
      </c>
      <c r="E7" s="2" t="s">
        <v>170</v>
      </c>
      <c r="F7" s="2" t="s">
        <v>171</v>
      </c>
      <c r="G7" s="2" t="s">
        <v>182</v>
      </c>
      <c r="H7" s="5">
        <v>20000</v>
      </c>
      <c r="I7" s="2" t="s">
        <v>183</v>
      </c>
      <c r="J7" s="41" t="s">
        <v>1523</v>
      </c>
      <c r="K7">
        <v>6</v>
      </c>
    </row>
  </sheetData>
  <phoneticPr fontId="1" type="noConversion"/>
  <conditionalFormatting sqref="A2:I1048576">
    <cfRule type="expression" dxfId="81" priority="1">
      <formula>$A2 &lt;&gt; 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61"/>
  <sheetViews>
    <sheetView tabSelected="1" zoomScaleNormal="100" workbookViewId="0">
      <selection activeCell="I3" sqref="I3"/>
    </sheetView>
  </sheetViews>
  <sheetFormatPr defaultRowHeight="16.5"/>
  <cols>
    <col min="1" max="1" width="5.25" bestFit="1" customWidth="1"/>
    <col min="2" max="2" width="9" bestFit="1" customWidth="1"/>
    <col min="3" max="3" width="5.25" bestFit="1" customWidth="1"/>
    <col min="4" max="4" width="23.125" bestFit="1" customWidth="1"/>
    <col min="5" max="5" width="11.125" bestFit="1" customWidth="1"/>
    <col min="6" max="6" width="9" bestFit="1" customWidth="1"/>
    <col min="7" max="7" width="11.125" bestFit="1" customWidth="1"/>
    <col min="8" max="8" width="8.875" style="15" bestFit="1" customWidth="1"/>
    <col min="9" max="9" width="12.25" style="25" bestFit="1" customWidth="1"/>
    <col min="10" max="10" width="10.75" style="11" customWidth="1"/>
    <col min="11" max="11" width="11.125" style="11" customWidth="1"/>
    <col min="12" max="12" width="15.5" bestFit="1" customWidth="1"/>
    <col min="15" max="15" width="11.625" bestFit="1" customWidth="1"/>
    <col min="17" max="17" width="23.125" bestFit="1" customWidth="1"/>
    <col min="18" max="18" width="11.125" bestFit="1" customWidth="1"/>
  </cols>
  <sheetData>
    <row r="1" spans="1:18">
      <c r="A1" s="28" t="s">
        <v>0</v>
      </c>
      <c r="B1" s="28" t="s">
        <v>186</v>
      </c>
      <c r="C1" s="28" t="s">
        <v>187</v>
      </c>
      <c r="D1" s="28" t="s">
        <v>188</v>
      </c>
      <c r="E1" s="28" t="s">
        <v>189</v>
      </c>
      <c r="F1" s="28" t="s">
        <v>190</v>
      </c>
      <c r="G1" s="28" t="s">
        <v>162</v>
      </c>
      <c r="H1" s="28" t="s">
        <v>191</v>
      </c>
      <c r="I1" s="47" t="s">
        <v>1536</v>
      </c>
      <c r="J1" s="13" t="s">
        <v>1488</v>
      </c>
      <c r="K1" s="12" t="s">
        <v>1489</v>
      </c>
      <c r="L1" t="s">
        <v>1535</v>
      </c>
      <c r="N1" s="28" t="s">
        <v>1537</v>
      </c>
      <c r="O1" s="28" t="s">
        <v>1538</v>
      </c>
      <c r="P1" s="28" t="s">
        <v>1539</v>
      </c>
      <c r="Q1" s="28" t="s">
        <v>1536</v>
      </c>
      <c r="R1" s="58" t="s">
        <v>1569</v>
      </c>
    </row>
    <row r="2" spans="1:18">
      <c r="A2" s="2">
        <v>1</v>
      </c>
      <c r="B2" s="2">
        <v>3</v>
      </c>
      <c r="C2" s="2">
        <v>1</v>
      </c>
      <c r="D2" s="3" t="str">
        <f>TEXT(J2,"yyyy-mm-dd")&amp; "~" &amp; TEXT(K2, "yyyy-mm-dd")</f>
        <v>2021-04-28~2021-05-12</v>
      </c>
      <c r="E2" s="3">
        <v>44333</v>
      </c>
      <c r="F2" s="6">
        <v>0.54166666666666663</v>
      </c>
      <c r="G2" s="3">
        <f>E2 + IF(LOOKUP(시험일정!B2,자격증정보!$A$2:$A$7,자격증정보!$E$2:$E$7) = "당일날", 0, 1)</f>
        <v>44333</v>
      </c>
      <c r="H2" s="14">
        <f>IFERROR(COUNTIFS(표6[일정번호],표2[[#This Row],[번호]],표6[합격여부], "합격")/COUNTIFS(표6[일정번호],표2[[#This Row],[번호]]),0)</f>
        <v>0</v>
      </c>
      <c r="I2" s="48">
        <f>COUNTIF(표6[일정번호],표2[[#This Row],[번호]])</f>
        <v>4</v>
      </c>
      <c r="J2" s="10">
        <f>K2-14</f>
        <v>44314</v>
      </c>
      <c r="K2" s="10">
        <f>E2 - MID(LOOKUP(B2,자격증정보!$A$2:$A$7,자격증정보!$D$2:$D$7),5,1)</f>
        <v>44328</v>
      </c>
      <c r="L2">
        <v>3</v>
      </c>
      <c r="N2" s="2">
        <v>1</v>
      </c>
      <c r="O2" s="3">
        <v>44333</v>
      </c>
      <c r="P2" s="6">
        <v>0.54166666666666663</v>
      </c>
      <c r="Q2" s="48">
        <v>4</v>
      </c>
      <c r="R2" s="3">
        <v>44333</v>
      </c>
    </row>
    <row r="3" spans="1:18">
      <c r="A3" s="2">
        <v>2</v>
      </c>
      <c r="B3" s="2">
        <v>4</v>
      </c>
      <c r="C3" s="2">
        <v>1</v>
      </c>
      <c r="D3" s="3" t="str">
        <f t="shared" ref="D3:D66" si="0">TEXT(J3,"yyyy-mm-dd")&amp; "~" &amp; TEXT(K3, "yyyy-mm-dd")</f>
        <v>2021-05-01~2021-05-15</v>
      </c>
      <c r="E3" s="3">
        <v>44340</v>
      </c>
      <c r="F3" s="6">
        <v>0.59722222222222221</v>
      </c>
      <c r="G3" s="3">
        <f>E3 + IF(LOOKUP(시험일정!B3,자격증정보!$A$2:$A$7,자격증정보!$E$2:$E$7) = "당일날", 0, 1)</f>
        <v>44341</v>
      </c>
      <c r="H3" s="14">
        <f>IFERROR(COUNTIFS(표6[일정번호],표2[[#This Row],[번호]],표6[합격여부], "합격")/COUNTIFS(표6[일정번호],표2[[#This Row],[번호]]),0)</f>
        <v>0</v>
      </c>
      <c r="I3" s="48">
        <f>COUNTIF(표6[일정번호],표2[[#This Row],[번호]])</f>
        <v>0</v>
      </c>
      <c r="J3" s="10">
        <f t="shared" ref="J3:J66" si="1">K3-14</f>
        <v>44317</v>
      </c>
      <c r="K3" s="10">
        <f>E3 - MID(LOOKUP(B3,자격증정보!$A$2:$A$7,자격증정보!$D$2:$D$7),5,1)</f>
        <v>44331</v>
      </c>
      <c r="N3" s="2">
        <v>13</v>
      </c>
      <c r="O3" s="3">
        <v>44373</v>
      </c>
      <c r="P3" s="6">
        <v>0.45833333333333331</v>
      </c>
      <c r="Q3" s="48">
        <v>4</v>
      </c>
      <c r="R3" s="3">
        <v>44373</v>
      </c>
    </row>
    <row r="4" spans="1:18">
      <c r="A4" s="2">
        <v>3</v>
      </c>
      <c r="B4" s="2">
        <v>5</v>
      </c>
      <c r="C4" s="2">
        <v>1</v>
      </c>
      <c r="D4" s="3" t="str">
        <f t="shared" si="0"/>
        <v>2021-05-08~2021-05-22</v>
      </c>
      <c r="E4" s="3">
        <v>44347</v>
      </c>
      <c r="F4" s="6">
        <v>0.54166666666666663</v>
      </c>
      <c r="G4" s="3">
        <f>E4 + IF(LOOKUP(시험일정!B4,자격증정보!$A$2:$A$7,자격증정보!$E$2:$E$7) = "당일날", 0, 1)</f>
        <v>44348</v>
      </c>
      <c r="H4" s="14">
        <f>IFERROR(COUNTIFS(표6[일정번호],표2[[#This Row],[번호]],표6[합격여부], "합격")/COUNTIFS(표6[일정번호],표2[[#This Row],[번호]]),0)</f>
        <v>0</v>
      </c>
      <c r="I4" s="48">
        <f>COUNTIF(표6[일정번호],표2[[#This Row],[번호]])</f>
        <v>0</v>
      </c>
      <c r="J4" s="10">
        <f>K4-14</f>
        <v>44324</v>
      </c>
      <c r="K4" s="10">
        <f>E4 - MID(LOOKUP(B4,자격증정보!$A$2:$A$7,자격증정보!$D$2:$D$7),5,1)</f>
        <v>44338</v>
      </c>
      <c r="L4" t="s">
        <v>1570</v>
      </c>
      <c r="N4" s="2">
        <v>18</v>
      </c>
      <c r="O4" s="3">
        <v>44378</v>
      </c>
      <c r="P4" s="6">
        <v>0.66666666666666663</v>
      </c>
      <c r="Q4" s="48">
        <v>4</v>
      </c>
      <c r="R4" s="3">
        <v>44378</v>
      </c>
    </row>
    <row r="5" spans="1:18">
      <c r="A5" s="2">
        <v>4</v>
      </c>
      <c r="B5" s="2">
        <v>4</v>
      </c>
      <c r="C5" s="2">
        <v>2</v>
      </c>
      <c r="D5" s="3" t="str">
        <f t="shared" si="0"/>
        <v>2021-05-10~2021-05-24</v>
      </c>
      <c r="E5" s="3">
        <v>44349</v>
      </c>
      <c r="F5" s="6">
        <v>0.41666666666666669</v>
      </c>
      <c r="G5" s="3">
        <f>E5 + IF(LOOKUP(시험일정!B5,자격증정보!$A$2:$A$7,자격증정보!$E$2:$E$7) = "당일날", 0, 1)</f>
        <v>44350</v>
      </c>
      <c r="H5" s="14">
        <f>IFERROR(COUNTIFS(표6[일정번호],표2[[#This Row],[번호]],표6[합격여부], "합격")/COUNTIFS(표6[일정번호],표2[[#This Row],[번호]]),0)</f>
        <v>0</v>
      </c>
      <c r="I5" s="48">
        <f>COUNTIF(표6[일정번호],표2[[#This Row],[번호]])</f>
        <v>0</v>
      </c>
      <c r="J5" s="10">
        <f t="shared" si="1"/>
        <v>44326</v>
      </c>
      <c r="K5" s="10">
        <f>E5 - MID(LOOKUP(B5,자격증정보!$A$2:$A$7,자격증정보!$D$2:$D$7),5,1)</f>
        <v>44340</v>
      </c>
      <c r="L5">
        <f>IFERROR(VLOOKUP(L2,자격증정보!A2:I7,8,FALSE),"")</f>
        <v>19000</v>
      </c>
      <c r="N5" s="2">
        <v>23</v>
      </c>
      <c r="O5" s="3">
        <v>44383</v>
      </c>
      <c r="P5" s="6">
        <v>0.375</v>
      </c>
      <c r="Q5" s="48">
        <v>4</v>
      </c>
      <c r="R5" s="3">
        <v>44383</v>
      </c>
    </row>
    <row r="6" spans="1:18">
      <c r="A6" s="2">
        <v>5</v>
      </c>
      <c r="B6" s="2">
        <v>5</v>
      </c>
      <c r="C6" s="2">
        <v>2</v>
      </c>
      <c r="D6" s="3" t="str">
        <f t="shared" si="0"/>
        <v>2021-05-18~2021-06-01</v>
      </c>
      <c r="E6" s="3">
        <v>44357</v>
      </c>
      <c r="F6" s="6">
        <v>0.58333333333333337</v>
      </c>
      <c r="G6" s="3">
        <f>E6 + IF(LOOKUP(시험일정!B6,자격증정보!$A$2:$A$7,자격증정보!$E$2:$E$7) = "당일날", 0, 1)</f>
        <v>44358</v>
      </c>
      <c r="H6" s="14">
        <f>IFERROR(COUNTIFS(표6[일정번호],표2[[#This Row],[번호]],표6[합격여부], "합격")/COUNTIFS(표6[일정번호],표2[[#This Row],[번호]]),0)</f>
        <v>0</v>
      </c>
      <c r="I6" s="48">
        <f>COUNTIF(표6[일정번호],표2[[#This Row],[번호]])</f>
        <v>0</v>
      </c>
      <c r="J6" s="10">
        <f t="shared" si="1"/>
        <v>44334</v>
      </c>
      <c r="K6" s="10">
        <f>E6 - MID(LOOKUP(B6,자격증정보!$A$2:$A$7,자격증정보!$D$2:$D$7),5,1)</f>
        <v>44348</v>
      </c>
      <c r="L6" t="s">
        <v>1571</v>
      </c>
      <c r="N6" s="2">
        <v>25</v>
      </c>
      <c r="O6" s="3">
        <v>44387</v>
      </c>
      <c r="P6" s="6">
        <v>0.41666666666666669</v>
      </c>
      <c r="Q6" s="48">
        <v>0</v>
      </c>
      <c r="R6" s="3">
        <v>44387</v>
      </c>
    </row>
    <row r="7" spans="1:18">
      <c r="A7" s="2">
        <v>6</v>
      </c>
      <c r="B7" s="2">
        <v>1</v>
      </c>
      <c r="C7" s="2">
        <v>1</v>
      </c>
      <c r="D7" s="3" t="str">
        <f t="shared" si="0"/>
        <v>2021-06-05~2021-06-19</v>
      </c>
      <c r="E7" s="3">
        <v>44370</v>
      </c>
      <c r="F7" s="6">
        <v>0.375</v>
      </c>
      <c r="G7" s="3">
        <f>E7 + IF(LOOKUP(시험일정!B7,자격증정보!$A$2:$A$7,자격증정보!$E$2:$E$7) = "당일날", 0, 1)</f>
        <v>44371</v>
      </c>
      <c r="H7" s="14">
        <f>IFERROR(COUNTIFS(표6[일정번호],표2[[#This Row],[번호]],표6[합격여부], "합격")/COUNTIFS(표6[일정번호],표2[[#This Row],[번호]]),0)</f>
        <v>0</v>
      </c>
      <c r="I7" s="48">
        <f>COUNTIF(표6[일정번호],표2[[#This Row],[번호]])</f>
        <v>3</v>
      </c>
      <c r="J7" s="10">
        <f t="shared" si="1"/>
        <v>44352</v>
      </c>
      <c r="K7" s="10">
        <f>E7 - MID(LOOKUP(B7,자격증정보!$A$2:$A$7,자격증정보!$D$2:$D$7),5,1)</f>
        <v>44366</v>
      </c>
      <c r="L7">
        <f>접수비*0.07 *0.0001</f>
        <v>0.13300000000000003</v>
      </c>
      <c r="N7" s="2">
        <v>28</v>
      </c>
      <c r="O7" s="3">
        <v>44388</v>
      </c>
      <c r="P7" s="6">
        <v>0.66666666666666663</v>
      </c>
      <c r="Q7" s="48">
        <v>4</v>
      </c>
      <c r="R7" s="3">
        <v>44388</v>
      </c>
    </row>
    <row r="8" spans="1:18">
      <c r="A8" s="2">
        <v>7</v>
      </c>
      <c r="B8" s="2">
        <v>1</v>
      </c>
      <c r="C8" s="2">
        <v>2</v>
      </c>
      <c r="D8" s="3" t="str">
        <f t="shared" si="0"/>
        <v>2021-06-05~2021-06-19</v>
      </c>
      <c r="E8" s="3">
        <v>44370</v>
      </c>
      <c r="F8" s="6">
        <v>0.43055555555555558</v>
      </c>
      <c r="G8" s="3">
        <f>E8 + IF(LOOKUP(시험일정!B8,자격증정보!$A$2:$A$7,자격증정보!$E$2:$E$7) = "당일날", 0, 1)</f>
        <v>44371</v>
      </c>
      <c r="H8" s="14">
        <f>IFERROR(COUNTIFS(표6[일정번호],표2[[#This Row],[번호]],표6[합격여부], "합격")/COUNTIFS(표6[일정번호],표2[[#This Row],[번호]]),0)</f>
        <v>0</v>
      </c>
      <c r="I8" s="48">
        <f>COUNTIF(표6[일정번호],표2[[#This Row],[번호]])</f>
        <v>3</v>
      </c>
      <c r="J8" s="10">
        <f t="shared" si="1"/>
        <v>44352</v>
      </c>
      <c r="K8" s="10">
        <f>E8 - MID(LOOKUP(B8,자격증정보!$A$2:$A$7,자격증정보!$D$2:$D$7),5,1)</f>
        <v>44366</v>
      </c>
      <c r="L8">
        <f>ROUND(L7,2)*10000</f>
        <v>1300</v>
      </c>
      <c r="N8" s="2">
        <v>36</v>
      </c>
      <c r="O8" s="3">
        <v>44395</v>
      </c>
      <c r="P8" s="6">
        <v>0.625</v>
      </c>
      <c r="Q8" s="48">
        <v>2</v>
      </c>
      <c r="R8" s="3">
        <v>44395</v>
      </c>
    </row>
    <row r="9" spans="1:18">
      <c r="A9" s="2">
        <v>8</v>
      </c>
      <c r="B9" s="2">
        <v>1</v>
      </c>
      <c r="C9" s="2">
        <v>3</v>
      </c>
      <c r="D9" s="3" t="str">
        <f t="shared" si="0"/>
        <v>2021-06-05~2021-06-19</v>
      </c>
      <c r="E9" s="3">
        <v>44370</v>
      </c>
      <c r="F9" s="6">
        <v>0.625</v>
      </c>
      <c r="G9" s="3">
        <f>E9 + IF(LOOKUP(시험일정!B9,자격증정보!$A$2:$A$7,자격증정보!$E$2:$E$7) = "당일날", 0, 1)</f>
        <v>44371</v>
      </c>
      <c r="H9" s="14">
        <f>IFERROR(COUNTIFS(표6[일정번호],표2[[#This Row],[번호]],표6[합격여부], "합격")/COUNTIFS(표6[일정번호],표2[[#This Row],[번호]]),0)</f>
        <v>0</v>
      </c>
      <c r="I9" s="48">
        <f>COUNTIF(표6[일정번호],표2[[#This Row],[번호]])</f>
        <v>0</v>
      </c>
      <c r="J9" s="10">
        <f t="shared" si="1"/>
        <v>44352</v>
      </c>
      <c r="K9" s="10">
        <f>E9 - MID(LOOKUP(B9,자격증정보!$A$2:$A$7,자격증정보!$D$2:$D$7),5,1)</f>
        <v>44366</v>
      </c>
      <c r="N9" s="2">
        <v>37</v>
      </c>
      <c r="O9" s="3">
        <v>44396</v>
      </c>
      <c r="P9" s="6">
        <v>0.41666666666666669</v>
      </c>
      <c r="Q9" s="48">
        <v>2</v>
      </c>
      <c r="R9" s="3">
        <v>44396</v>
      </c>
    </row>
    <row r="10" spans="1:18">
      <c r="A10" s="2">
        <v>9</v>
      </c>
      <c r="B10" s="2">
        <v>1</v>
      </c>
      <c r="C10" s="2">
        <v>4</v>
      </c>
      <c r="D10" s="3" t="str">
        <f t="shared" si="0"/>
        <v>2021-06-07~2021-06-21</v>
      </c>
      <c r="E10" s="3">
        <v>44372</v>
      </c>
      <c r="F10" s="6">
        <v>0.45833333333333331</v>
      </c>
      <c r="G10" s="3">
        <f>E10 + IF(LOOKUP(시험일정!B10,자격증정보!$A$2:$A$7,자격증정보!$E$2:$E$7) = "당일날", 0, 1)</f>
        <v>44373</v>
      </c>
      <c r="H10" s="14">
        <f>IFERROR(COUNTIFS(표6[일정번호],표2[[#This Row],[번호]],표6[합격여부], "합격")/COUNTIFS(표6[일정번호],표2[[#This Row],[번호]]),0)</f>
        <v>0</v>
      </c>
      <c r="I10" s="48">
        <f>COUNTIF(표6[일정번호],표2[[#This Row],[번호]])</f>
        <v>4</v>
      </c>
      <c r="J10" s="10">
        <f t="shared" si="1"/>
        <v>44354</v>
      </c>
      <c r="K10" s="10">
        <f>E10 - MID(LOOKUP(B10,자격증정보!$A$2:$A$7,자격증정보!$D$2:$D$7),5,1)</f>
        <v>44368</v>
      </c>
      <c r="L10" s="31"/>
      <c r="N10" s="2">
        <v>40</v>
      </c>
      <c r="O10" s="3">
        <v>44397</v>
      </c>
      <c r="P10" s="6">
        <v>0.54166666666666663</v>
      </c>
      <c r="Q10" s="48">
        <v>1</v>
      </c>
      <c r="R10" s="3">
        <v>44397</v>
      </c>
    </row>
    <row r="11" spans="1:18">
      <c r="A11" s="2">
        <v>10</v>
      </c>
      <c r="B11" s="2">
        <v>1</v>
      </c>
      <c r="C11" s="2">
        <v>5</v>
      </c>
      <c r="D11" s="3" t="str">
        <f t="shared" si="0"/>
        <v>2021-06-07~2021-06-21</v>
      </c>
      <c r="E11" s="3">
        <v>44372</v>
      </c>
      <c r="F11" s="6">
        <v>0.58333333333333337</v>
      </c>
      <c r="G11" s="3">
        <f>E11 + IF(LOOKUP(시험일정!B11,자격증정보!$A$2:$A$7,자격증정보!$E$2:$E$7) = "당일날", 0, 1)</f>
        <v>44373</v>
      </c>
      <c r="H11" s="14">
        <f>IFERROR(COUNTIFS(표6[일정번호],표2[[#This Row],[번호]],표6[합격여부], "합격")/COUNTIFS(표6[일정번호],표2[[#This Row],[번호]]),0)</f>
        <v>0</v>
      </c>
      <c r="I11" s="48">
        <f>COUNTIF(표6[일정번호],표2[[#This Row],[번호]])</f>
        <v>5</v>
      </c>
      <c r="J11" s="10">
        <f t="shared" si="1"/>
        <v>44354</v>
      </c>
      <c r="K11" s="10">
        <f>E11 - MID(LOOKUP(B11,자격증정보!$A$2:$A$7,자격증정보!$D$2:$D$7),5,1)</f>
        <v>44368</v>
      </c>
      <c r="L11" s="25"/>
      <c r="N11" s="2">
        <v>53</v>
      </c>
      <c r="O11" s="3">
        <v>44406</v>
      </c>
      <c r="P11" s="6">
        <v>0.58333333333333337</v>
      </c>
      <c r="Q11" s="48">
        <v>2</v>
      </c>
      <c r="R11" s="3">
        <v>44406</v>
      </c>
    </row>
    <row r="12" spans="1:18">
      <c r="A12" s="2">
        <v>11</v>
      </c>
      <c r="B12" s="2">
        <v>1</v>
      </c>
      <c r="C12" s="2">
        <v>6</v>
      </c>
      <c r="D12" s="3" t="str">
        <f t="shared" si="0"/>
        <v>2021-06-07~2021-06-21</v>
      </c>
      <c r="E12" s="3">
        <v>44372</v>
      </c>
      <c r="F12" s="6">
        <v>0.63888888888888895</v>
      </c>
      <c r="G12" s="3">
        <f>E12 + IF(LOOKUP(시험일정!B12,자격증정보!$A$2:$A$7,자격증정보!$E$2:$E$7) = "당일날", 0, 1)</f>
        <v>44373</v>
      </c>
      <c r="H12" s="14">
        <f>IFERROR(COUNTIFS(표6[일정번호],표2[[#This Row],[번호]],표6[합격여부], "합격")/COUNTIFS(표6[일정번호],표2[[#This Row],[번호]]),0)</f>
        <v>0</v>
      </c>
      <c r="I12" s="48">
        <f>COUNTIF(표6[일정번호],표2[[#This Row],[번호]])</f>
        <v>8</v>
      </c>
      <c r="J12" s="10">
        <f t="shared" si="1"/>
        <v>44354</v>
      </c>
      <c r="K12" s="10">
        <f>E12 - MID(LOOKUP(B12,자격증정보!$A$2:$A$7,자격증정보!$D$2:$D$7),5,1)</f>
        <v>44368</v>
      </c>
      <c r="N12" s="2">
        <v>62</v>
      </c>
      <c r="O12" s="3">
        <v>44416</v>
      </c>
      <c r="P12" s="6">
        <v>0.375</v>
      </c>
      <c r="Q12" s="48">
        <v>2</v>
      </c>
      <c r="R12" s="3">
        <v>44416</v>
      </c>
    </row>
    <row r="13" spans="1:18">
      <c r="A13" s="2">
        <v>12</v>
      </c>
      <c r="B13" s="2">
        <v>1</v>
      </c>
      <c r="C13" s="2">
        <v>7</v>
      </c>
      <c r="D13" s="3" t="str">
        <f t="shared" si="0"/>
        <v>2021-06-07~2021-06-21</v>
      </c>
      <c r="E13" s="3">
        <v>44372</v>
      </c>
      <c r="F13" s="6">
        <v>0.70833333333333337</v>
      </c>
      <c r="G13" s="3">
        <f>E13 + IF(LOOKUP(시험일정!B13,자격증정보!$A$2:$A$7,자격증정보!$E$2:$E$7) = "당일날", 0, 1)</f>
        <v>44373</v>
      </c>
      <c r="H13" s="14">
        <f>IFERROR(COUNTIFS(표6[일정번호],표2[[#This Row],[번호]],표6[합격여부], "합격")/COUNTIFS(표6[일정번호],표2[[#This Row],[번호]]),0)</f>
        <v>0</v>
      </c>
      <c r="I13" s="48">
        <f>COUNTIF(표6[일정번호],표2[[#This Row],[번호]])</f>
        <v>8</v>
      </c>
      <c r="J13" s="10">
        <f t="shared" si="1"/>
        <v>44354</v>
      </c>
      <c r="K13" s="10">
        <f>E13 - MID(LOOKUP(B13,자격증정보!$A$2:$A$7,자격증정보!$D$2:$D$7),5,1)</f>
        <v>44368</v>
      </c>
      <c r="N13" s="2">
        <v>75</v>
      </c>
      <c r="O13" s="3">
        <v>44429</v>
      </c>
      <c r="P13" s="6">
        <v>0.54166666666666663</v>
      </c>
      <c r="Q13" s="48">
        <v>3</v>
      </c>
      <c r="R13" s="3">
        <v>44429</v>
      </c>
    </row>
    <row r="14" spans="1:18">
      <c r="A14" s="2">
        <v>13</v>
      </c>
      <c r="B14" s="2">
        <v>3</v>
      </c>
      <c r="C14" s="2">
        <v>2</v>
      </c>
      <c r="D14" s="3" t="str">
        <f t="shared" si="0"/>
        <v>2021-06-07~2021-06-21</v>
      </c>
      <c r="E14" s="3">
        <v>44373</v>
      </c>
      <c r="F14" s="6">
        <v>0.45833333333333331</v>
      </c>
      <c r="G14" s="3">
        <f>E14 + IF(LOOKUP(시험일정!B14,자격증정보!$A$2:$A$7,자격증정보!$E$2:$E$7) = "당일날", 0, 1)</f>
        <v>44373</v>
      </c>
      <c r="H14" s="14">
        <f>IFERROR(COUNTIFS(표6[일정번호],표2[[#This Row],[번호]],표6[합격여부], "합격")/COUNTIFS(표6[일정번호],표2[[#This Row],[번호]]),0)</f>
        <v>0</v>
      </c>
      <c r="I14" s="48">
        <f>COUNTIF(표6[일정번호],표2[[#This Row],[번호]])</f>
        <v>4</v>
      </c>
      <c r="J14" s="10">
        <f t="shared" si="1"/>
        <v>44354</v>
      </c>
      <c r="K14" s="10">
        <f>E14 - MID(LOOKUP(B14,자격증정보!$A$2:$A$7,자격증정보!$D$2:$D$7),5,1)</f>
        <v>44368</v>
      </c>
      <c r="N14" s="2">
        <v>81</v>
      </c>
      <c r="O14" s="3">
        <v>44433</v>
      </c>
      <c r="P14" s="6">
        <v>0.45833333333333331</v>
      </c>
      <c r="Q14" s="48">
        <v>4</v>
      </c>
      <c r="R14" s="3">
        <v>44433</v>
      </c>
    </row>
    <row r="15" spans="1:18">
      <c r="A15" s="2">
        <v>14</v>
      </c>
      <c r="B15" s="2">
        <v>1</v>
      </c>
      <c r="C15" s="2">
        <v>8</v>
      </c>
      <c r="D15" s="3" t="str">
        <f t="shared" si="0"/>
        <v>2021-06-10~2021-06-24</v>
      </c>
      <c r="E15" s="3">
        <v>44375</v>
      </c>
      <c r="F15" s="6">
        <v>0.45833333333333331</v>
      </c>
      <c r="G15" s="3">
        <f>E15 + IF(LOOKUP(시험일정!B15,자격증정보!$A$2:$A$7,자격증정보!$E$2:$E$7) = "당일날", 0, 1)</f>
        <v>44376</v>
      </c>
      <c r="H15" s="14">
        <f>IFERROR(COUNTIFS(표6[일정번호],표2[[#This Row],[번호]],표6[합격여부], "합격")/COUNTIFS(표6[일정번호],표2[[#This Row],[번호]]),0)</f>
        <v>0</v>
      </c>
      <c r="I15" s="48">
        <f>COUNTIF(표6[일정번호],표2[[#This Row],[번호]])</f>
        <v>9</v>
      </c>
      <c r="J15" s="10">
        <f t="shared" si="1"/>
        <v>44357</v>
      </c>
      <c r="K15" s="10">
        <f>E15 - MID(LOOKUP(B15,자격증정보!$A$2:$A$7,자격증정보!$D$2:$D$7),5,1)</f>
        <v>44371</v>
      </c>
      <c r="N15" s="2">
        <v>84</v>
      </c>
      <c r="O15" s="3">
        <v>44437</v>
      </c>
      <c r="P15" s="6">
        <v>0.58333333333333337</v>
      </c>
      <c r="Q15" s="48">
        <v>6</v>
      </c>
      <c r="R15" s="3">
        <v>44437</v>
      </c>
    </row>
    <row r="16" spans="1:18">
      <c r="A16" s="2">
        <v>15</v>
      </c>
      <c r="B16" s="2">
        <v>1</v>
      </c>
      <c r="C16" s="2">
        <v>9</v>
      </c>
      <c r="D16" s="3" t="str">
        <f t="shared" si="0"/>
        <v>2021-06-10~2021-06-24</v>
      </c>
      <c r="E16" s="3">
        <v>44375</v>
      </c>
      <c r="F16" s="6">
        <v>0.54166666666666663</v>
      </c>
      <c r="G16" s="3">
        <f>E16 + IF(LOOKUP(시험일정!B16,자격증정보!$A$2:$A$7,자격증정보!$E$2:$E$7) = "당일날", 0, 1)</f>
        <v>44376</v>
      </c>
      <c r="H16" s="14">
        <f>IFERROR(COUNTIFS(표6[일정번호],표2[[#This Row],[번호]],표6[합격여부], "합격")/COUNTIFS(표6[일정번호],표2[[#This Row],[번호]]),0)</f>
        <v>0</v>
      </c>
      <c r="I16" s="48">
        <f>COUNTIF(표6[일정번호],표2[[#This Row],[번호]])</f>
        <v>8</v>
      </c>
      <c r="J16" s="10">
        <f t="shared" si="1"/>
        <v>44357</v>
      </c>
      <c r="K16" s="10">
        <f>E16 - MID(LOOKUP(B16,자격증정보!$A$2:$A$7,자격증정보!$D$2:$D$7),5,1)</f>
        <v>44371</v>
      </c>
      <c r="N16" s="2">
        <v>90</v>
      </c>
      <c r="O16" s="3">
        <v>44440</v>
      </c>
      <c r="P16" s="6">
        <v>0.375</v>
      </c>
      <c r="Q16" s="48">
        <v>5</v>
      </c>
      <c r="R16" s="3">
        <v>44440</v>
      </c>
    </row>
    <row r="17" spans="1:18">
      <c r="A17" s="2">
        <v>16</v>
      </c>
      <c r="B17" s="2">
        <v>1</v>
      </c>
      <c r="C17" s="2">
        <v>10</v>
      </c>
      <c r="D17" s="3" t="str">
        <f t="shared" si="0"/>
        <v>2021-06-10~2021-06-24</v>
      </c>
      <c r="E17" s="3">
        <v>44375</v>
      </c>
      <c r="F17" s="6">
        <v>0.625</v>
      </c>
      <c r="G17" s="3">
        <f>E17 + IF(LOOKUP(시험일정!B17,자격증정보!$A$2:$A$7,자격증정보!$E$2:$E$7) = "당일날", 0, 1)</f>
        <v>44376</v>
      </c>
      <c r="H17" s="14">
        <f>IFERROR(COUNTIFS(표6[일정번호],표2[[#This Row],[번호]],표6[합격여부], "합격")/COUNTIFS(표6[일정번호],표2[[#This Row],[번호]]),0)</f>
        <v>0</v>
      </c>
      <c r="I17" s="48">
        <f>COUNTIF(표6[일정번호],표2[[#This Row],[번호]])</f>
        <v>6</v>
      </c>
      <c r="J17" s="10">
        <f t="shared" si="1"/>
        <v>44357</v>
      </c>
      <c r="K17" s="10">
        <f>E17 - MID(LOOKUP(B17,자격증정보!$A$2:$A$7,자격증정보!$D$2:$D$7),5,1)</f>
        <v>44371</v>
      </c>
      <c r="N17" s="2">
        <v>95</v>
      </c>
      <c r="O17" s="3">
        <v>44444</v>
      </c>
      <c r="P17" s="6">
        <v>0.54166666666666663</v>
      </c>
      <c r="Q17" s="48">
        <v>5</v>
      </c>
      <c r="R17" s="3">
        <v>44444</v>
      </c>
    </row>
    <row r="18" spans="1:18">
      <c r="A18" s="2">
        <v>17</v>
      </c>
      <c r="B18" s="2">
        <v>1</v>
      </c>
      <c r="C18" s="2">
        <v>11</v>
      </c>
      <c r="D18" s="3" t="str">
        <f t="shared" si="0"/>
        <v>2021-06-10~2021-06-24</v>
      </c>
      <c r="E18" s="3">
        <v>44375</v>
      </c>
      <c r="F18" s="6">
        <v>0.68055555555555547</v>
      </c>
      <c r="G18" s="3">
        <f>E18 + IF(LOOKUP(시험일정!B18,자격증정보!$A$2:$A$7,자격증정보!$E$2:$E$7) = "당일날", 0, 1)</f>
        <v>44376</v>
      </c>
      <c r="H18" s="14">
        <f>IFERROR(COUNTIFS(표6[일정번호],표2[[#This Row],[번호]],표6[합격여부], "합격")/COUNTIFS(표6[일정번호],표2[[#This Row],[번호]]),0)</f>
        <v>0</v>
      </c>
      <c r="I18" s="48">
        <f>COUNTIF(표6[일정번호],표2[[#This Row],[번호]])</f>
        <v>8</v>
      </c>
      <c r="J18" s="10">
        <f t="shared" si="1"/>
        <v>44357</v>
      </c>
      <c r="K18" s="10">
        <f>E18 - MID(LOOKUP(B18,자격증정보!$A$2:$A$7,자격증정보!$D$2:$D$7),5,1)</f>
        <v>44371</v>
      </c>
      <c r="N18" s="2">
        <v>98</v>
      </c>
      <c r="O18" s="3">
        <v>44449</v>
      </c>
      <c r="P18" s="6">
        <v>0.45833333333333331</v>
      </c>
      <c r="Q18" s="48">
        <v>4</v>
      </c>
      <c r="R18" s="3">
        <v>44449</v>
      </c>
    </row>
    <row r="19" spans="1:18">
      <c r="A19" s="2">
        <v>18</v>
      </c>
      <c r="B19" s="2">
        <v>3</v>
      </c>
      <c r="C19" s="2">
        <v>3</v>
      </c>
      <c r="D19" s="3" t="str">
        <f t="shared" si="0"/>
        <v>2021-06-12~2021-06-26</v>
      </c>
      <c r="E19" s="3">
        <v>44378</v>
      </c>
      <c r="F19" s="6">
        <v>0.66666666666666663</v>
      </c>
      <c r="G19" s="3">
        <f>E19 + IF(LOOKUP(시험일정!B19,자격증정보!$A$2:$A$7,자격증정보!$E$2:$E$7) = "당일날", 0, 1)</f>
        <v>44378</v>
      </c>
      <c r="H19" s="14">
        <f>IFERROR(COUNTIFS(표6[일정번호],표2[[#This Row],[번호]],표6[합격여부], "합격")/COUNTIFS(표6[일정번호],표2[[#This Row],[번호]]),0)</f>
        <v>0</v>
      </c>
      <c r="I19" s="48">
        <f>COUNTIF(표6[일정번호],표2[[#This Row],[번호]])</f>
        <v>4</v>
      </c>
      <c r="J19" s="10">
        <f t="shared" si="1"/>
        <v>44359</v>
      </c>
      <c r="K19" s="10">
        <f>E19 - MID(LOOKUP(B19,자격증정보!$A$2:$A$7,자격증정보!$D$2:$D$7),5,1)</f>
        <v>44373</v>
      </c>
      <c r="N19" s="2">
        <v>104</v>
      </c>
      <c r="O19" s="3">
        <v>44454</v>
      </c>
      <c r="P19" s="6">
        <v>0.54166666666666663</v>
      </c>
      <c r="Q19" s="48">
        <v>3</v>
      </c>
      <c r="R19" s="3">
        <v>44454</v>
      </c>
    </row>
    <row r="20" spans="1:18">
      <c r="A20" s="2">
        <v>19</v>
      </c>
      <c r="B20" s="2">
        <v>1</v>
      </c>
      <c r="C20" s="2">
        <v>12</v>
      </c>
      <c r="D20" s="3" t="str">
        <f t="shared" si="0"/>
        <v>2021-06-14~2021-06-28</v>
      </c>
      <c r="E20" s="3">
        <v>44379</v>
      </c>
      <c r="F20" s="6">
        <v>0.625</v>
      </c>
      <c r="G20" s="3">
        <f>E20 + IF(LOOKUP(시험일정!B20,자격증정보!$A$2:$A$7,자격증정보!$E$2:$E$7) = "당일날", 0, 1)</f>
        <v>44380</v>
      </c>
      <c r="H20" s="14">
        <f>IFERROR(COUNTIFS(표6[일정번호],표2[[#This Row],[번호]],표6[합격여부], "합격")/COUNTIFS(표6[일정번호],표2[[#This Row],[번호]]),0)</f>
        <v>0</v>
      </c>
      <c r="I20" s="48">
        <f>COUNTIF(표6[일정번호],표2[[#This Row],[번호]])</f>
        <v>6</v>
      </c>
      <c r="J20" s="10">
        <f t="shared" si="1"/>
        <v>44361</v>
      </c>
      <c r="K20" s="10">
        <f>E20 - MID(LOOKUP(B20,자격증정보!$A$2:$A$7,자격증정보!$D$2:$D$7),5,1)</f>
        <v>44375</v>
      </c>
      <c r="N20" s="2">
        <v>110</v>
      </c>
      <c r="O20" s="3">
        <v>44457</v>
      </c>
      <c r="P20" s="6">
        <v>0.45833333333333331</v>
      </c>
      <c r="Q20" s="48">
        <v>4</v>
      </c>
      <c r="R20" s="3">
        <v>44457</v>
      </c>
    </row>
    <row r="21" spans="1:18">
      <c r="A21" s="2">
        <v>20</v>
      </c>
      <c r="B21" s="2">
        <v>1</v>
      </c>
      <c r="C21" s="2">
        <v>13</v>
      </c>
      <c r="D21" s="3" t="str">
        <f t="shared" si="0"/>
        <v>2021-06-14~2021-06-28</v>
      </c>
      <c r="E21" s="3">
        <v>44379</v>
      </c>
      <c r="F21" s="6">
        <v>0.68055555555555547</v>
      </c>
      <c r="G21" s="3">
        <f>E21 + IF(LOOKUP(시험일정!B21,자격증정보!$A$2:$A$7,자격증정보!$E$2:$E$7) = "당일날", 0, 1)</f>
        <v>44380</v>
      </c>
      <c r="H21" s="14">
        <f>IFERROR(COUNTIFS(표6[일정번호],표2[[#This Row],[번호]],표6[합격여부], "합격")/COUNTIFS(표6[일정번호],표2[[#This Row],[번호]]),0)</f>
        <v>0</v>
      </c>
      <c r="I21" s="48">
        <f>COUNTIF(표6[일정번호],표2[[#This Row],[번호]])</f>
        <v>7</v>
      </c>
      <c r="J21" s="10">
        <f t="shared" si="1"/>
        <v>44361</v>
      </c>
      <c r="K21" s="10">
        <f>E21 - MID(LOOKUP(B21,자격증정보!$A$2:$A$7,자격증정보!$D$2:$D$7),5,1)</f>
        <v>44375</v>
      </c>
      <c r="N21" s="2">
        <v>112</v>
      </c>
      <c r="O21" s="3">
        <v>44458</v>
      </c>
      <c r="P21" s="6">
        <v>0.41666666666666669</v>
      </c>
      <c r="Q21" s="48">
        <v>3</v>
      </c>
      <c r="R21" s="3">
        <v>44458</v>
      </c>
    </row>
    <row r="22" spans="1:18">
      <c r="A22" s="2">
        <v>21</v>
      </c>
      <c r="B22" s="2">
        <v>4</v>
      </c>
      <c r="C22" s="2">
        <v>3</v>
      </c>
      <c r="D22" s="3" t="str">
        <f t="shared" si="0"/>
        <v>2021-06-10~2021-06-24</v>
      </c>
      <c r="E22" s="3">
        <v>44380</v>
      </c>
      <c r="F22" s="6">
        <v>0.625</v>
      </c>
      <c r="G22" s="3">
        <f>E22 + IF(LOOKUP(시험일정!B22,자격증정보!$A$2:$A$7,자격증정보!$E$2:$E$7) = "당일날", 0, 1)</f>
        <v>44381</v>
      </c>
      <c r="H22" s="14">
        <f>IFERROR(COUNTIFS(표6[일정번호],표2[[#This Row],[번호]],표6[합격여부], "합격")/COUNTIFS(표6[일정번호],표2[[#This Row],[번호]]),0)</f>
        <v>0</v>
      </c>
      <c r="I22" s="48">
        <f>COUNTIF(표6[일정번호],표2[[#This Row],[번호]])</f>
        <v>0</v>
      </c>
      <c r="J22" s="10">
        <f t="shared" si="1"/>
        <v>44357</v>
      </c>
      <c r="K22" s="10">
        <f>E22 - MID(LOOKUP(B22,자격증정보!$A$2:$A$7,자격증정보!$D$2:$D$7),5,1)</f>
        <v>44371</v>
      </c>
      <c r="N22" s="2">
        <v>115</v>
      </c>
      <c r="O22" s="3">
        <v>44462</v>
      </c>
      <c r="P22" s="6">
        <v>0.375</v>
      </c>
      <c r="Q22" s="48">
        <v>2</v>
      </c>
      <c r="R22" s="3">
        <v>44462</v>
      </c>
    </row>
    <row r="23" spans="1:18">
      <c r="A23" s="2">
        <v>22</v>
      </c>
      <c r="B23" s="2">
        <v>4</v>
      </c>
      <c r="C23" s="2">
        <v>4</v>
      </c>
      <c r="D23" s="3" t="str">
        <f t="shared" si="0"/>
        <v>2021-06-11~2021-06-25</v>
      </c>
      <c r="E23" s="3">
        <v>44381</v>
      </c>
      <c r="F23" s="6">
        <v>0.58333333333333337</v>
      </c>
      <c r="G23" s="3">
        <f>E23 + IF(LOOKUP(시험일정!B23,자격증정보!$A$2:$A$7,자격증정보!$E$2:$E$7) = "당일날", 0, 1)</f>
        <v>44382</v>
      </c>
      <c r="H23" s="14">
        <f>IFERROR(COUNTIFS(표6[일정번호],표2[[#This Row],[번호]],표6[합격여부], "합격")/COUNTIFS(표6[일정번호],표2[[#This Row],[번호]]),0)</f>
        <v>0</v>
      </c>
      <c r="I23" s="48">
        <f>COUNTIF(표6[일정번호],표2[[#This Row],[번호]])</f>
        <v>0</v>
      </c>
      <c r="J23" s="10">
        <f t="shared" si="1"/>
        <v>44358</v>
      </c>
      <c r="K23" s="10">
        <f>E23 - MID(LOOKUP(B23,자격증정보!$A$2:$A$7,자격증정보!$D$2:$D$7),5,1)</f>
        <v>44372</v>
      </c>
      <c r="N23" s="2">
        <v>132</v>
      </c>
      <c r="O23" s="3">
        <v>44497</v>
      </c>
      <c r="P23" s="6">
        <v>0.54166666666666663</v>
      </c>
      <c r="Q23" s="48">
        <v>4</v>
      </c>
      <c r="R23" s="3">
        <v>44497</v>
      </c>
    </row>
    <row r="24" spans="1:18">
      <c r="A24" s="2">
        <v>23</v>
      </c>
      <c r="B24" s="2">
        <v>3</v>
      </c>
      <c r="C24" s="2">
        <v>4</v>
      </c>
      <c r="D24" s="3" t="str">
        <f t="shared" si="0"/>
        <v>2021-06-17~2021-07-01</v>
      </c>
      <c r="E24" s="3">
        <v>44383</v>
      </c>
      <c r="F24" s="6">
        <v>0.375</v>
      </c>
      <c r="G24" s="3">
        <f>E24 + IF(LOOKUP(시험일정!B24,자격증정보!$A$2:$A$7,자격증정보!$E$2:$E$7) = "당일날", 0, 1)</f>
        <v>44383</v>
      </c>
      <c r="H24" s="14">
        <f>IFERROR(COUNTIFS(표6[일정번호],표2[[#This Row],[번호]],표6[합격여부], "합격")/COUNTIFS(표6[일정번호],표2[[#This Row],[번호]]),0)</f>
        <v>0</v>
      </c>
      <c r="I24" s="48">
        <f>COUNTIF(표6[일정번호],표2[[#This Row],[번호]])</f>
        <v>4</v>
      </c>
      <c r="J24" s="10">
        <f t="shared" si="1"/>
        <v>44364</v>
      </c>
      <c r="K24" s="10">
        <f>E24 - MID(LOOKUP(B24,자격증정보!$A$2:$A$7,자격증정보!$D$2:$D$7),5,1)</f>
        <v>44378</v>
      </c>
      <c r="N24" s="2">
        <v>133</v>
      </c>
      <c r="O24" s="3">
        <v>44499</v>
      </c>
      <c r="P24" s="6">
        <v>0.59722222222222221</v>
      </c>
      <c r="Q24" s="48">
        <v>2</v>
      </c>
      <c r="R24" s="3">
        <v>44499</v>
      </c>
    </row>
    <row r="25" spans="1:18">
      <c r="A25" s="2">
        <v>24</v>
      </c>
      <c r="B25" s="2">
        <v>4</v>
      </c>
      <c r="C25" s="2">
        <v>5</v>
      </c>
      <c r="D25" s="3" t="str">
        <f t="shared" si="0"/>
        <v>2021-06-16~2021-06-30</v>
      </c>
      <c r="E25" s="3">
        <v>44386</v>
      </c>
      <c r="F25" s="6">
        <v>0.70833333333333337</v>
      </c>
      <c r="G25" s="3">
        <f>E25 + IF(LOOKUP(시험일정!B25,자격증정보!$A$2:$A$7,자격증정보!$E$2:$E$7) = "당일날", 0, 1)</f>
        <v>44387</v>
      </c>
      <c r="H25" s="14">
        <f>IFERROR(COUNTIFS(표6[일정번호],표2[[#This Row],[번호]],표6[합격여부], "합격")/COUNTIFS(표6[일정번호],표2[[#This Row],[번호]]),0)</f>
        <v>0</v>
      </c>
      <c r="I25" s="48">
        <f>COUNTIF(표6[일정번호],표2[[#This Row],[번호]])</f>
        <v>0</v>
      </c>
      <c r="J25" s="10">
        <f t="shared" si="1"/>
        <v>44363</v>
      </c>
      <c r="K25" s="10">
        <f>E25 - MID(LOOKUP(B25,자격증정보!$A$2:$A$7,자격증정보!$D$2:$D$7),5,1)</f>
        <v>44377</v>
      </c>
      <c r="N25" s="2">
        <v>134</v>
      </c>
      <c r="O25" s="3">
        <v>44502</v>
      </c>
      <c r="P25" s="6">
        <v>0.66666666666666663</v>
      </c>
      <c r="Q25" s="48">
        <v>2</v>
      </c>
      <c r="R25" s="3">
        <v>44502</v>
      </c>
    </row>
    <row r="26" spans="1:18">
      <c r="A26" s="2">
        <v>25</v>
      </c>
      <c r="B26" s="2">
        <v>3</v>
      </c>
      <c r="C26" s="2">
        <v>5</v>
      </c>
      <c r="D26" s="3" t="str">
        <f t="shared" si="0"/>
        <v>2021-06-21~2021-07-05</v>
      </c>
      <c r="E26" s="3">
        <v>44387</v>
      </c>
      <c r="F26" s="6">
        <v>0.41666666666666669</v>
      </c>
      <c r="G26" s="3">
        <f>E26 + IF(LOOKUP(시험일정!B26,자격증정보!$A$2:$A$7,자격증정보!$E$2:$E$7) = "당일날", 0, 1)</f>
        <v>44387</v>
      </c>
      <c r="H26" s="14">
        <f>IFERROR(COUNTIFS(표6[일정번호],표2[[#This Row],[번호]],표6[합격여부], "합격")/COUNTIFS(표6[일정번호],표2[[#This Row],[번호]]),0)</f>
        <v>0</v>
      </c>
      <c r="I26" s="48">
        <f>COUNTIF(표6[일정번호],표2[[#This Row],[번호]])</f>
        <v>0</v>
      </c>
      <c r="J26" s="10">
        <f t="shared" si="1"/>
        <v>44368</v>
      </c>
      <c r="K26" s="10">
        <f>E26 - MID(LOOKUP(B26,자격증정보!$A$2:$A$7,자격증정보!$D$2:$D$7),5,1)</f>
        <v>44382</v>
      </c>
      <c r="N26" s="2">
        <v>138</v>
      </c>
      <c r="O26" s="3">
        <v>44503</v>
      </c>
      <c r="P26" s="6">
        <v>0.375</v>
      </c>
      <c r="Q26" s="48">
        <v>6</v>
      </c>
      <c r="R26" s="3">
        <v>44503</v>
      </c>
    </row>
    <row r="27" spans="1:18">
      <c r="A27" s="2">
        <v>26</v>
      </c>
      <c r="B27" s="2">
        <v>5</v>
      </c>
      <c r="C27" s="2">
        <v>3</v>
      </c>
      <c r="D27" s="3" t="str">
        <f t="shared" si="0"/>
        <v>2021-06-17~2021-07-01</v>
      </c>
      <c r="E27" s="3">
        <v>44387</v>
      </c>
      <c r="F27" s="6">
        <v>0.625</v>
      </c>
      <c r="G27" s="3">
        <f>E27 + IF(LOOKUP(시험일정!B27,자격증정보!$A$2:$A$7,자격증정보!$E$2:$E$7) = "당일날", 0, 1)</f>
        <v>44388</v>
      </c>
      <c r="H27" s="14">
        <f>IFERROR(COUNTIFS(표6[일정번호],표2[[#This Row],[번호]],표6[합격여부], "합격")/COUNTIFS(표6[일정번호],표2[[#This Row],[번호]]),0)</f>
        <v>0</v>
      </c>
      <c r="I27" s="48">
        <f>COUNTIF(표6[일정번호],표2[[#This Row],[번호]])</f>
        <v>0</v>
      </c>
      <c r="J27" s="10">
        <f t="shared" si="1"/>
        <v>44364</v>
      </c>
      <c r="K27" s="10">
        <f>E27 - MID(LOOKUP(B27,자격증정보!$A$2:$A$7,자격증정보!$D$2:$D$7),5,1)</f>
        <v>44378</v>
      </c>
      <c r="N27" s="2">
        <v>139</v>
      </c>
      <c r="O27" s="3">
        <v>44504</v>
      </c>
      <c r="P27" s="6">
        <v>0.43055555555555558</v>
      </c>
      <c r="Q27" s="48">
        <v>7</v>
      </c>
      <c r="R27" s="3">
        <v>44504</v>
      </c>
    </row>
    <row r="28" spans="1:18">
      <c r="A28" s="2">
        <v>27</v>
      </c>
      <c r="B28" s="2">
        <v>1</v>
      </c>
      <c r="C28" s="2">
        <v>14</v>
      </c>
      <c r="D28" s="3" t="str">
        <f t="shared" si="0"/>
        <v>2021-06-23~2021-07-07</v>
      </c>
      <c r="E28" s="3">
        <v>44388</v>
      </c>
      <c r="F28" s="6">
        <v>0.375</v>
      </c>
      <c r="G28" s="3">
        <f>E28 + IF(LOOKUP(시험일정!B28,자격증정보!$A$2:$A$7,자격증정보!$E$2:$E$7) = "당일날", 0, 1)</f>
        <v>44389</v>
      </c>
      <c r="H28" s="14">
        <f>IFERROR(COUNTIFS(표6[일정번호],표2[[#This Row],[번호]],표6[합격여부], "합격")/COUNTIFS(표6[일정번호],표2[[#This Row],[번호]]),0)</f>
        <v>0</v>
      </c>
      <c r="I28" s="48">
        <f>COUNTIF(표6[일정번호],표2[[#This Row],[번호]])</f>
        <v>8</v>
      </c>
      <c r="J28" s="10">
        <f t="shared" si="1"/>
        <v>44370</v>
      </c>
      <c r="K28" s="10">
        <f>E28 - MID(LOOKUP(B28,자격증정보!$A$2:$A$7,자격증정보!$D$2:$D$7),5,1)</f>
        <v>44384</v>
      </c>
      <c r="N28" s="2">
        <v>142</v>
      </c>
      <c r="O28" s="3">
        <v>44505</v>
      </c>
      <c r="P28" s="6">
        <v>0.54166666666666663</v>
      </c>
      <c r="Q28" s="48">
        <v>4</v>
      </c>
      <c r="R28" s="3">
        <v>44505</v>
      </c>
    </row>
    <row r="29" spans="1:18">
      <c r="A29" s="2">
        <v>28</v>
      </c>
      <c r="B29" s="2">
        <v>3</v>
      </c>
      <c r="C29" s="2">
        <v>6</v>
      </c>
      <c r="D29" s="3" t="str">
        <f t="shared" si="0"/>
        <v>2021-06-22~2021-07-06</v>
      </c>
      <c r="E29" s="3">
        <v>44388</v>
      </c>
      <c r="F29" s="6">
        <v>0.66666666666666663</v>
      </c>
      <c r="G29" s="3">
        <f>E29 + IF(LOOKUP(시험일정!B29,자격증정보!$A$2:$A$7,자격증정보!$E$2:$E$7) = "당일날", 0, 1)</f>
        <v>44388</v>
      </c>
      <c r="H29" s="14">
        <f>IFERROR(COUNTIFS(표6[일정번호],표2[[#This Row],[번호]],표6[합격여부], "합격")/COUNTIFS(표6[일정번호],표2[[#This Row],[번호]]),0)</f>
        <v>0</v>
      </c>
      <c r="I29" s="48">
        <f>COUNTIF(표6[일정번호],표2[[#This Row],[번호]])</f>
        <v>4</v>
      </c>
      <c r="J29" s="10">
        <f t="shared" si="1"/>
        <v>44369</v>
      </c>
      <c r="K29" s="10">
        <f>E29 - MID(LOOKUP(B29,자격증정보!$A$2:$A$7,자격증정보!$D$2:$D$7),5,1)</f>
        <v>44383</v>
      </c>
      <c r="N29" s="2">
        <v>154</v>
      </c>
      <c r="O29" s="3">
        <v>44476</v>
      </c>
      <c r="P29" s="6">
        <v>0.41666666666666669</v>
      </c>
      <c r="Q29" s="48">
        <v>4</v>
      </c>
      <c r="R29" s="3">
        <v>44476</v>
      </c>
    </row>
    <row r="30" spans="1:18">
      <c r="A30" s="2">
        <v>29</v>
      </c>
      <c r="B30" s="2">
        <v>4</v>
      </c>
      <c r="C30" s="2">
        <v>6</v>
      </c>
      <c r="D30" s="3" t="str">
        <f t="shared" si="0"/>
        <v>2021-06-18~2021-07-02</v>
      </c>
      <c r="E30" s="3">
        <v>44388</v>
      </c>
      <c r="F30" s="6">
        <v>0.41666666666666669</v>
      </c>
      <c r="G30" s="3">
        <f>E30 + IF(LOOKUP(시험일정!B30,자격증정보!$A$2:$A$7,자격증정보!$E$2:$E$7) = "당일날", 0, 1)</f>
        <v>44389</v>
      </c>
      <c r="H30" s="14">
        <f>IFERROR(COUNTIFS(표6[일정번호],표2[[#This Row],[번호]],표6[합격여부], "합격")/COUNTIFS(표6[일정번호],표2[[#This Row],[번호]]),0)</f>
        <v>0</v>
      </c>
      <c r="I30" s="48">
        <f>COUNTIF(표6[일정번호],표2[[#This Row],[번호]])</f>
        <v>0</v>
      </c>
      <c r="J30" s="10">
        <f t="shared" si="1"/>
        <v>44365</v>
      </c>
      <c r="K30" s="10">
        <f>E30 - MID(LOOKUP(B30,자격증정보!$A$2:$A$7,자격증정보!$D$2:$D$7),5,1)</f>
        <v>44379</v>
      </c>
      <c r="N30" s="2">
        <v>155</v>
      </c>
      <c r="O30" s="3">
        <v>44476</v>
      </c>
      <c r="P30" s="6">
        <v>0.58333333333333337</v>
      </c>
      <c r="Q30" s="48">
        <v>3</v>
      </c>
      <c r="R30" s="3">
        <v>44476</v>
      </c>
    </row>
    <row r="31" spans="1:18">
      <c r="A31" s="2">
        <v>30</v>
      </c>
      <c r="B31" s="2">
        <v>1</v>
      </c>
      <c r="C31" s="2">
        <v>15</v>
      </c>
      <c r="D31" s="3" t="str">
        <f t="shared" si="0"/>
        <v>2021-06-25~2021-07-09</v>
      </c>
      <c r="E31" s="3">
        <v>44390</v>
      </c>
      <c r="F31" s="6">
        <v>0.41666666666666669</v>
      </c>
      <c r="G31" s="3">
        <f>E31 + IF(LOOKUP(시험일정!B31,자격증정보!$A$2:$A$7,자격증정보!$E$2:$E$7) = "당일날", 0, 1)</f>
        <v>44391</v>
      </c>
      <c r="H31" s="14">
        <f>IFERROR(COUNTIFS(표6[일정번호],표2[[#This Row],[번호]],표6[합격여부], "합격")/COUNTIFS(표6[일정번호],표2[[#This Row],[번호]]),0)</f>
        <v>0</v>
      </c>
      <c r="I31" s="48">
        <f>COUNTIF(표6[일정번호],표2[[#This Row],[번호]])</f>
        <v>7</v>
      </c>
      <c r="J31" s="10">
        <f t="shared" si="1"/>
        <v>44372</v>
      </c>
      <c r="K31" s="10">
        <f>E31 - MID(LOOKUP(B31,자격증정보!$A$2:$A$7,자격증정보!$D$2:$D$7),5,1)</f>
        <v>44386</v>
      </c>
      <c r="N31" s="2">
        <v>156</v>
      </c>
      <c r="O31" s="3">
        <v>44476</v>
      </c>
      <c r="P31" s="6">
        <v>0.63888888888888895</v>
      </c>
      <c r="Q31" s="48">
        <v>4</v>
      </c>
      <c r="R31" s="3">
        <v>44476</v>
      </c>
    </row>
    <row r="32" spans="1:18">
      <c r="A32" s="2">
        <v>31</v>
      </c>
      <c r="B32" s="2">
        <v>5</v>
      </c>
      <c r="C32" s="2">
        <v>4</v>
      </c>
      <c r="D32" s="3" t="str">
        <f t="shared" si="0"/>
        <v>2021-06-20~2021-07-04</v>
      </c>
      <c r="E32" s="3">
        <v>44390</v>
      </c>
      <c r="F32" s="6">
        <v>0.375</v>
      </c>
      <c r="G32" s="3">
        <f>E32 + IF(LOOKUP(시험일정!B32,자격증정보!$A$2:$A$7,자격증정보!$E$2:$E$7) = "당일날", 0, 1)</f>
        <v>44391</v>
      </c>
      <c r="H32" s="14">
        <f>IFERROR(COUNTIFS(표6[일정번호],표2[[#This Row],[번호]],표6[합격여부], "합격")/COUNTIFS(표6[일정번호],표2[[#This Row],[번호]]),0)</f>
        <v>0</v>
      </c>
      <c r="I32" s="48">
        <f>COUNTIF(표6[일정번호],표2[[#This Row],[번호]])</f>
        <v>0</v>
      </c>
      <c r="J32" s="10">
        <f t="shared" si="1"/>
        <v>44367</v>
      </c>
      <c r="K32" s="10">
        <f>E32 - MID(LOOKUP(B32,자격증정보!$A$2:$A$7,자격증정보!$D$2:$D$7),5,1)</f>
        <v>44381</v>
      </c>
    </row>
    <row r="33" spans="1:11">
      <c r="A33" s="2">
        <v>32</v>
      </c>
      <c r="B33" s="2">
        <v>5</v>
      </c>
      <c r="C33" s="2">
        <v>5</v>
      </c>
      <c r="D33" s="3" t="str">
        <f t="shared" si="0"/>
        <v>2021-06-20~2021-07-04</v>
      </c>
      <c r="E33" s="3">
        <v>44390</v>
      </c>
      <c r="F33" s="6">
        <v>0.70833333333333337</v>
      </c>
      <c r="G33" s="3">
        <f>E33 + IF(LOOKUP(시험일정!B33,자격증정보!$A$2:$A$7,자격증정보!$E$2:$E$7) = "당일날", 0, 1)</f>
        <v>44391</v>
      </c>
      <c r="H33" s="14">
        <f>IFERROR(COUNTIFS(표6[일정번호],표2[[#This Row],[번호]],표6[합격여부], "합격")/COUNTIFS(표6[일정번호],표2[[#This Row],[번호]]),0)</f>
        <v>0</v>
      </c>
      <c r="I33" s="48">
        <f>COUNTIF(표6[일정번호],표2[[#This Row],[번호]])</f>
        <v>0</v>
      </c>
      <c r="J33" s="10">
        <f t="shared" si="1"/>
        <v>44367</v>
      </c>
      <c r="K33" s="10">
        <f>E33 - MID(LOOKUP(B33,자격증정보!$A$2:$A$7,자격증정보!$D$2:$D$7),5,1)</f>
        <v>44381</v>
      </c>
    </row>
    <row r="34" spans="1:11">
      <c r="A34" s="2">
        <v>33</v>
      </c>
      <c r="B34" s="2">
        <v>5</v>
      </c>
      <c r="C34" s="2">
        <v>6</v>
      </c>
      <c r="D34" s="3" t="str">
        <f t="shared" si="0"/>
        <v>2021-06-21~2021-07-05</v>
      </c>
      <c r="E34" s="3">
        <v>44391</v>
      </c>
      <c r="F34" s="6">
        <v>0.54166666666666663</v>
      </c>
      <c r="G34" s="3">
        <f>E34 + IF(LOOKUP(시험일정!B34,자격증정보!$A$2:$A$7,자격증정보!$E$2:$E$7) = "당일날", 0, 1)</f>
        <v>44392</v>
      </c>
      <c r="H34" s="14">
        <f>IFERROR(COUNTIFS(표6[일정번호],표2[[#This Row],[번호]],표6[합격여부], "합격")/COUNTIFS(표6[일정번호],표2[[#This Row],[번호]]),0)</f>
        <v>0</v>
      </c>
      <c r="I34" s="48">
        <f>COUNTIF(표6[일정번호],표2[[#This Row],[번호]])</f>
        <v>0</v>
      </c>
      <c r="J34" s="10">
        <f t="shared" si="1"/>
        <v>44368</v>
      </c>
      <c r="K34" s="10">
        <f>E34 - MID(LOOKUP(B34,자격증정보!$A$2:$A$7,자격증정보!$D$2:$D$7),5,1)</f>
        <v>44382</v>
      </c>
    </row>
    <row r="35" spans="1:11">
      <c r="A35" s="2">
        <v>34</v>
      </c>
      <c r="B35" s="2">
        <v>4</v>
      </c>
      <c r="C35" s="2">
        <v>7</v>
      </c>
      <c r="D35" s="3" t="str">
        <f t="shared" si="0"/>
        <v>2021-06-23~2021-07-07</v>
      </c>
      <c r="E35" s="3">
        <v>44393</v>
      </c>
      <c r="F35" s="6">
        <v>0.625</v>
      </c>
      <c r="G35" s="3">
        <f>E35 + IF(LOOKUP(시험일정!B35,자격증정보!$A$2:$A$7,자격증정보!$E$2:$E$7) = "당일날", 0, 1)</f>
        <v>44394</v>
      </c>
      <c r="H35" s="14">
        <f>IFERROR(COUNTIFS(표6[일정번호],표2[[#This Row],[번호]],표6[합격여부], "합격")/COUNTIFS(표6[일정번호],표2[[#This Row],[번호]]),0)</f>
        <v>0</v>
      </c>
      <c r="I35" s="48">
        <f>COUNTIF(표6[일정번호],표2[[#This Row],[번호]])</f>
        <v>0</v>
      </c>
      <c r="J35" s="10">
        <f t="shared" si="1"/>
        <v>44370</v>
      </c>
      <c r="K35" s="10">
        <f>E35 - MID(LOOKUP(B35,자격증정보!$A$2:$A$7,자격증정보!$D$2:$D$7),5,1)</f>
        <v>44384</v>
      </c>
    </row>
    <row r="36" spans="1:11">
      <c r="A36" s="2">
        <v>35</v>
      </c>
      <c r="B36" s="2">
        <v>5</v>
      </c>
      <c r="C36" s="2">
        <v>7</v>
      </c>
      <c r="D36" s="3" t="str">
        <f t="shared" si="0"/>
        <v>2021-06-24~2021-07-08</v>
      </c>
      <c r="E36" s="3">
        <v>44394</v>
      </c>
      <c r="F36" s="6">
        <v>0.375</v>
      </c>
      <c r="G36" s="3">
        <f>E36 + IF(LOOKUP(시험일정!B36,자격증정보!$A$2:$A$7,자격증정보!$E$2:$E$7) = "당일날", 0, 1)</f>
        <v>44395</v>
      </c>
      <c r="H36" s="14">
        <f>IFERROR(COUNTIFS(표6[일정번호],표2[[#This Row],[번호]],표6[합격여부], "합격")/COUNTIFS(표6[일정번호],표2[[#This Row],[번호]]),0)</f>
        <v>0</v>
      </c>
      <c r="I36" s="48">
        <f>COUNTIF(표6[일정번호],표2[[#This Row],[번호]])</f>
        <v>0</v>
      </c>
      <c r="J36" s="10">
        <f t="shared" si="1"/>
        <v>44371</v>
      </c>
      <c r="K36" s="10">
        <f>E36 - MID(LOOKUP(B36,자격증정보!$A$2:$A$7,자격증정보!$D$2:$D$7),5,1)</f>
        <v>44385</v>
      </c>
    </row>
    <row r="37" spans="1:11">
      <c r="A37" s="2">
        <v>36</v>
      </c>
      <c r="B37" s="2">
        <v>3</v>
      </c>
      <c r="C37" s="2">
        <v>7</v>
      </c>
      <c r="D37" s="3" t="str">
        <f t="shared" si="0"/>
        <v>2021-06-29~2021-07-13</v>
      </c>
      <c r="E37" s="3">
        <v>44395</v>
      </c>
      <c r="F37" s="6">
        <v>0.625</v>
      </c>
      <c r="G37" s="3">
        <f>E37 + IF(LOOKUP(시험일정!B37,자격증정보!$A$2:$A$7,자격증정보!$E$2:$E$7) = "당일날", 0, 1)</f>
        <v>44395</v>
      </c>
      <c r="H37" s="14">
        <f>IFERROR(COUNTIFS(표6[일정번호],표2[[#This Row],[번호]],표6[합격여부], "합격")/COUNTIFS(표6[일정번호],표2[[#This Row],[번호]]),0)</f>
        <v>0</v>
      </c>
      <c r="I37" s="48">
        <f>COUNTIF(표6[일정번호],표2[[#This Row],[번호]])</f>
        <v>2</v>
      </c>
      <c r="J37" s="10">
        <f t="shared" si="1"/>
        <v>44376</v>
      </c>
      <c r="K37" s="10">
        <f>E37 - MID(LOOKUP(B37,자격증정보!$A$2:$A$7,자격증정보!$D$2:$D$7),5,1)</f>
        <v>44390</v>
      </c>
    </row>
    <row r="38" spans="1:11">
      <c r="A38" s="2">
        <v>37</v>
      </c>
      <c r="B38" s="2">
        <v>3</v>
      </c>
      <c r="C38" s="2">
        <v>8</v>
      </c>
      <c r="D38" s="3" t="str">
        <f t="shared" si="0"/>
        <v>2021-06-30~2021-07-14</v>
      </c>
      <c r="E38" s="3">
        <v>44396</v>
      </c>
      <c r="F38" s="6">
        <v>0.41666666666666669</v>
      </c>
      <c r="G38" s="3">
        <f>E38 + IF(LOOKUP(시험일정!B38,자격증정보!$A$2:$A$7,자격증정보!$E$2:$E$7) = "당일날", 0, 1)</f>
        <v>44396</v>
      </c>
      <c r="H38" s="14">
        <f>IFERROR(COUNTIFS(표6[일정번호],표2[[#This Row],[번호]],표6[합격여부], "합격")/COUNTIFS(표6[일정번호],표2[[#This Row],[번호]]),0)</f>
        <v>0</v>
      </c>
      <c r="I38" s="48">
        <f>COUNTIF(표6[일정번호],표2[[#This Row],[번호]])</f>
        <v>2</v>
      </c>
      <c r="J38" s="10">
        <f t="shared" si="1"/>
        <v>44377</v>
      </c>
      <c r="K38" s="10">
        <f>E38 - MID(LOOKUP(B38,자격증정보!$A$2:$A$7,자격증정보!$D$2:$D$7),5,1)</f>
        <v>44391</v>
      </c>
    </row>
    <row r="39" spans="1:11">
      <c r="A39" s="2">
        <v>38</v>
      </c>
      <c r="B39" s="2">
        <v>4</v>
      </c>
      <c r="C39" s="2">
        <v>8</v>
      </c>
      <c r="D39" s="3" t="str">
        <f t="shared" si="0"/>
        <v>2021-06-26~2021-07-10</v>
      </c>
      <c r="E39" s="3">
        <v>44396</v>
      </c>
      <c r="F39" s="6">
        <v>0.45833333333333331</v>
      </c>
      <c r="G39" s="3">
        <f>E39 + IF(LOOKUP(시험일정!B39,자격증정보!$A$2:$A$7,자격증정보!$E$2:$E$7) = "당일날", 0, 1)</f>
        <v>44397</v>
      </c>
      <c r="H39" s="14">
        <f>IFERROR(COUNTIFS(표6[일정번호],표2[[#This Row],[번호]],표6[합격여부], "합격")/COUNTIFS(표6[일정번호],표2[[#This Row],[번호]]),0)</f>
        <v>0</v>
      </c>
      <c r="I39" s="48">
        <f>COUNTIF(표6[일정번호],표2[[#This Row],[번호]])</f>
        <v>0</v>
      </c>
      <c r="J39" s="10">
        <f t="shared" si="1"/>
        <v>44373</v>
      </c>
      <c r="K39" s="10">
        <f>E39 - MID(LOOKUP(B39,자격증정보!$A$2:$A$7,자격증정보!$D$2:$D$7),5,1)</f>
        <v>44387</v>
      </c>
    </row>
    <row r="40" spans="1:11">
      <c r="A40" s="2">
        <v>39</v>
      </c>
      <c r="B40" s="2">
        <v>5</v>
      </c>
      <c r="C40" s="2">
        <v>8</v>
      </c>
      <c r="D40" s="3" t="str">
        <f t="shared" si="0"/>
        <v>2021-06-26~2021-07-10</v>
      </c>
      <c r="E40" s="3">
        <v>44396</v>
      </c>
      <c r="F40" s="6">
        <v>0.45833333333333331</v>
      </c>
      <c r="G40" s="3">
        <f>E40 + IF(LOOKUP(시험일정!B40,자격증정보!$A$2:$A$7,자격증정보!$E$2:$E$7) = "당일날", 0, 1)</f>
        <v>44397</v>
      </c>
      <c r="H40" s="14">
        <f>IFERROR(COUNTIFS(표6[일정번호],표2[[#This Row],[번호]],표6[합격여부], "합격")/COUNTIFS(표6[일정번호],표2[[#This Row],[번호]]),0)</f>
        <v>0</v>
      </c>
      <c r="I40" s="48">
        <f>COUNTIF(표6[일정번호],표2[[#This Row],[번호]])</f>
        <v>0</v>
      </c>
      <c r="J40" s="10">
        <f t="shared" si="1"/>
        <v>44373</v>
      </c>
      <c r="K40" s="10">
        <f>E40 - MID(LOOKUP(B40,자격증정보!$A$2:$A$7,자격증정보!$D$2:$D$7),5,1)</f>
        <v>44387</v>
      </c>
    </row>
    <row r="41" spans="1:11">
      <c r="A41" s="2">
        <v>40</v>
      </c>
      <c r="B41" s="2">
        <v>3</v>
      </c>
      <c r="C41" s="2">
        <v>9</v>
      </c>
      <c r="D41" s="3" t="str">
        <f t="shared" si="0"/>
        <v>2021-07-01~2021-07-15</v>
      </c>
      <c r="E41" s="3">
        <v>44397</v>
      </c>
      <c r="F41" s="6">
        <v>0.54166666666666663</v>
      </c>
      <c r="G41" s="3">
        <f>E41 + IF(LOOKUP(시험일정!B41,자격증정보!$A$2:$A$7,자격증정보!$E$2:$E$7) = "당일날", 0, 1)</f>
        <v>44397</v>
      </c>
      <c r="H41" s="14">
        <f>IFERROR(COUNTIFS(표6[일정번호],표2[[#This Row],[번호]],표6[합격여부], "합격")/COUNTIFS(표6[일정번호],표2[[#This Row],[번호]]),0)</f>
        <v>0</v>
      </c>
      <c r="I41" s="48">
        <f>COUNTIF(표6[일정번호],표2[[#This Row],[번호]])</f>
        <v>1</v>
      </c>
      <c r="J41" s="10">
        <f t="shared" si="1"/>
        <v>44378</v>
      </c>
      <c r="K41" s="10">
        <f>E41 - MID(LOOKUP(B41,자격증정보!$A$2:$A$7,자격증정보!$D$2:$D$7),5,1)</f>
        <v>44392</v>
      </c>
    </row>
    <row r="42" spans="1:11">
      <c r="A42" s="2">
        <v>41</v>
      </c>
      <c r="B42" s="2">
        <v>4</v>
      </c>
      <c r="C42" s="2">
        <v>9</v>
      </c>
      <c r="D42" s="3" t="str">
        <f t="shared" si="0"/>
        <v>2021-06-27~2021-07-11</v>
      </c>
      <c r="E42" s="3">
        <v>44397</v>
      </c>
      <c r="F42" s="6">
        <v>0.625</v>
      </c>
      <c r="G42" s="3">
        <f>E42 + IF(LOOKUP(시험일정!B42,자격증정보!$A$2:$A$7,자격증정보!$E$2:$E$7) = "당일날", 0, 1)</f>
        <v>44398</v>
      </c>
      <c r="H42" s="14">
        <f>IFERROR(COUNTIFS(표6[일정번호],표2[[#This Row],[번호]],표6[합격여부], "합격")/COUNTIFS(표6[일정번호],표2[[#This Row],[번호]]),0)</f>
        <v>0</v>
      </c>
      <c r="I42" s="48">
        <f>COUNTIF(표6[일정번호],표2[[#This Row],[번호]])</f>
        <v>0</v>
      </c>
      <c r="J42" s="10">
        <f t="shared" si="1"/>
        <v>44374</v>
      </c>
      <c r="K42" s="10">
        <f>E42 - MID(LOOKUP(B42,자격증정보!$A$2:$A$7,자격증정보!$D$2:$D$7),5,1)</f>
        <v>44388</v>
      </c>
    </row>
    <row r="43" spans="1:11">
      <c r="A43" s="2">
        <v>42</v>
      </c>
      <c r="B43" s="2">
        <v>2</v>
      </c>
      <c r="C43" s="2">
        <v>1</v>
      </c>
      <c r="D43" s="3" t="str">
        <f t="shared" si="0"/>
        <v>2021-07-02~2021-07-16</v>
      </c>
      <c r="E43" s="3">
        <v>44398</v>
      </c>
      <c r="F43" s="6">
        <v>0.41666666666666669</v>
      </c>
      <c r="G43" s="3">
        <f>E43 + IF(LOOKUP(시험일정!B43,자격증정보!$A$2:$A$7,자격증정보!$E$2:$E$7) = "당일날", 0, 1)</f>
        <v>44398</v>
      </c>
      <c r="H43" s="14">
        <f>IFERROR(COUNTIFS(표6[일정번호],표2[[#This Row],[번호]],표6[합격여부], "합격")/COUNTIFS(표6[일정번호],표2[[#This Row],[번호]]),0)</f>
        <v>0</v>
      </c>
      <c r="I43" s="48">
        <f>COUNTIF(표6[일정번호],표2[[#This Row],[번호]])</f>
        <v>0</v>
      </c>
      <c r="J43" s="10">
        <f t="shared" si="1"/>
        <v>44379</v>
      </c>
      <c r="K43" s="10">
        <f>E43 - MID(LOOKUP(B43,자격증정보!$A$2:$A$7,자격증정보!$D$2:$D$7),5,1)</f>
        <v>44393</v>
      </c>
    </row>
    <row r="44" spans="1:11">
      <c r="A44" s="2">
        <v>43</v>
      </c>
      <c r="B44" s="2">
        <v>1</v>
      </c>
      <c r="C44" s="2">
        <v>16</v>
      </c>
      <c r="D44" s="3" t="str">
        <f t="shared" si="0"/>
        <v>2021-07-04~2021-07-18</v>
      </c>
      <c r="E44" s="3">
        <v>44399</v>
      </c>
      <c r="F44" s="6">
        <v>0.58333333333333337</v>
      </c>
      <c r="G44" s="3">
        <f>E44 + IF(LOOKUP(시험일정!B44,자격증정보!$A$2:$A$7,자격증정보!$E$2:$E$7) = "당일날", 0, 1)</f>
        <v>44400</v>
      </c>
      <c r="H44" s="14">
        <f>IFERROR(COUNTIFS(표6[일정번호],표2[[#This Row],[번호]],표6[합격여부], "합격")/COUNTIFS(표6[일정번호],표2[[#This Row],[번호]]),0)</f>
        <v>0</v>
      </c>
      <c r="I44" s="48">
        <f>COUNTIF(표6[일정번호],표2[[#This Row],[번호]])</f>
        <v>9</v>
      </c>
      <c r="J44" s="10">
        <f t="shared" si="1"/>
        <v>44381</v>
      </c>
      <c r="K44" s="10">
        <f>E44 - MID(LOOKUP(B44,자격증정보!$A$2:$A$7,자격증정보!$D$2:$D$7),5,1)</f>
        <v>44395</v>
      </c>
    </row>
    <row r="45" spans="1:11">
      <c r="A45" s="2">
        <v>44</v>
      </c>
      <c r="B45" s="2">
        <v>5</v>
      </c>
      <c r="C45" s="2">
        <v>9</v>
      </c>
      <c r="D45" s="3" t="str">
        <f t="shared" si="0"/>
        <v>2021-06-29~2021-07-13</v>
      </c>
      <c r="E45" s="3">
        <v>44399</v>
      </c>
      <c r="F45" s="6">
        <v>0.58333333333333337</v>
      </c>
      <c r="G45" s="3">
        <f>E45 + IF(LOOKUP(시험일정!B45,자격증정보!$A$2:$A$7,자격증정보!$E$2:$E$7) = "당일날", 0, 1)</f>
        <v>44400</v>
      </c>
      <c r="H45" s="14">
        <f>IFERROR(COUNTIFS(표6[일정번호],표2[[#This Row],[번호]],표6[합격여부], "합격")/COUNTIFS(표6[일정번호],표2[[#This Row],[번호]]),0)</f>
        <v>0</v>
      </c>
      <c r="I45" s="48">
        <f>COUNTIF(표6[일정번호],표2[[#This Row],[번호]])</f>
        <v>0</v>
      </c>
      <c r="J45" s="10">
        <f t="shared" si="1"/>
        <v>44376</v>
      </c>
      <c r="K45" s="10">
        <f>E45 - MID(LOOKUP(B45,자격증정보!$A$2:$A$7,자격증정보!$D$2:$D$7),5,1)</f>
        <v>44390</v>
      </c>
    </row>
    <row r="46" spans="1:11">
      <c r="A46" s="2">
        <v>45</v>
      </c>
      <c r="B46" s="2">
        <v>2</v>
      </c>
      <c r="C46" s="2">
        <v>2</v>
      </c>
      <c r="D46" s="3" t="str">
        <f t="shared" si="0"/>
        <v>2021-07-04~2021-07-18</v>
      </c>
      <c r="E46" s="3">
        <v>44400</v>
      </c>
      <c r="F46" s="6">
        <v>0.625</v>
      </c>
      <c r="G46" s="3">
        <f>E46 + IF(LOOKUP(시험일정!B46,자격증정보!$A$2:$A$7,자격증정보!$E$2:$E$7) = "당일날", 0, 1)</f>
        <v>44400</v>
      </c>
      <c r="H46" s="14">
        <f>IFERROR(COUNTIFS(표6[일정번호],표2[[#This Row],[번호]],표6[합격여부], "합격")/COUNTIFS(표6[일정번호],표2[[#This Row],[번호]]),0)</f>
        <v>0</v>
      </c>
      <c r="I46" s="48">
        <f>COUNTIF(표6[일정번호],표2[[#This Row],[번호]])</f>
        <v>0</v>
      </c>
      <c r="J46" s="10">
        <f t="shared" si="1"/>
        <v>44381</v>
      </c>
      <c r="K46" s="10">
        <f>E46 - MID(LOOKUP(B46,자격증정보!$A$2:$A$7,자격증정보!$D$2:$D$7),5,1)</f>
        <v>44395</v>
      </c>
    </row>
    <row r="47" spans="1:11">
      <c r="A47" s="2">
        <v>46</v>
      </c>
      <c r="B47" s="2">
        <v>1</v>
      </c>
      <c r="C47" s="2">
        <v>17</v>
      </c>
      <c r="D47" s="3" t="str">
        <f t="shared" si="0"/>
        <v>2021-07-06~2021-07-20</v>
      </c>
      <c r="E47" s="3">
        <v>44401</v>
      </c>
      <c r="F47" s="6">
        <v>0.58333333333333337</v>
      </c>
      <c r="G47" s="3">
        <f>E47 + IF(LOOKUP(시험일정!B47,자격증정보!$A$2:$A$7,자격증정보!$E$2:$E$7) = "당일날", 0, 1)</f>
        <v>44402</v>
      </c>
      <c r="H47" s="14">
        <f>IFERROR(COUNTIFS(표6[일정번호],표2[[#This Row],[번호]],표6[합격여부], "합격")/COUNTIFS(표6[일정번호],표2[[#This Row],[번호]]),0)</f>
        <v>0</v>
      </c>
      <c r="I47" s="48">
        <f>COUNTIF(표6[일정번호],표2[[#This Row],[번호]])</f>
        <v>10</v>
      </c>
      <c r="J47" s="10">
        <f t="shared" si="1"/>
        <v>44383</v>
      </c>
      <c r="K47" s="10">
        <f>E47 - MID(LOOKUP(B47,자격증정보!$A$2:$A$7,자격증정보!$D$2:$D$7),5,1)</f>
        <v>44397</v>
      </c>
    </row>
    <row r="48" spans="1:11">
      <c r="A48" s="2">
        <v>47</v>
      </c>
      <c r="B48" s="2">
        <v>2</v>
      </c>
      <c r="C48" s="2">
        <v>3</v>
      </c>
      <c r="D48" s="3" t="str">
        <f t="shared" si="0"/>
        <v>2021-07-05~2021-07-19</v>
      </c>
      <c r="E48" s="3">
        <v>44401</v>
      </c>
      <c r="F48" s="6">
        <v>0.66666666666666663</v>
      </c>
      <c r="G48" s="3">
        <f>E48 + IF(LOOKUP(시험일정!B48,자격증정보!$A$2:$A$7,자격증정보!$E$2:$E$7) = "당일날", 0, 1)</f>
        <v>44401</v>
      </c>
      <c r="H48" s="14">
        <f>IFERROR(COUNTIFS(표6[일정번호],표2[[#This Row],[번호]],표6[합격여부], "합격")/COUNTIFS(표6[일정번호],표2[[#This Row],[번호]]),0)</f>
        <v>0</v>
      </c>
      <c r="I48" s="48">
        <f>COUNTIF(표6[일정번호],표2[[#This Row],[번호]])</f>
        <v>0</v>
      </c>
      <c r="J48" s="10">
        <f t="shared" si="1"/>
        <v>44382</v>
      </c>
      <c r="K48" s="10">
        <f>E48 - MID(LOOKUP(B48,자격증정보!$A$2:$A$7,자격증정보!$D$2:$D$7),5,1)</f>
        <v>44396</v>
      </c>
    </row>
    <row r="49" spans="1:11">
      <c r="A49" s="2">
        <v>48</v>
      </c>
      <c r="B49" s="2">
        <v>5</v>
      </c>
      <c r="C49" s="2">
        <v>10</v>
      </c>
      <c r="D49" s="3" t="str">
        <f t="shared" si="0"/>
        <v>2021-07-01~2021-07-15</v>
      </c>
      <c r="E49" s="3">
        <v>44401</v>
      </c>
      <c r="F49" s="6">
        <v>0.41666666666666669</v>
      </c>
      <c r="G49" s="3">
        <f>E49 + IF(LOOKUP(시험일정!B49,자격증정보!$A$2:$A$7,자격증정보!$E$2:$E$7) = "당일날", 0, 1)</f>
        <v>44402</v>
      </c>
      <c r="H49" s="14">
        <f>IFERROR(COUNTIFS(표6[일정번호],표2[[#This Row],[번호]],표6[합격여부], "합격")/COUNTIFS(표6[일정번호],표2[[#This Row],[번호]]),0)</f>
        <v>0</v>
      </c>
      <c r="I49" s="48">
        <f>COUNTIF(표6[일정번호],표2[[#This Row],[번호]])</f>
        <v>0</v>
      </c>
      <c r="J49" s="10">
        <f t="shared" si="1"/>
        <v>44378</v>
      </c>
      <c r="K49" s="10">
        <f>E49 - MID(LOOKUP(B49,자격증정보!$A$2:$A$7,자격증정보!$D$2:$D$7),5,1)</f>
        <v>44392</v>
      </c>
    </row>
    <row r="50" spans="1:11">
      <c r="A50" s="2">
        <v>49</v>
      </c>
      <c r="B50" s="2">
        <v>1</v>
      </c>
      <c r="C50" s="2">
        <v>18</v>
      </c>
      <c r="D50" s="3" t="str">
        <f t="shared" si="0"/>
        <v>2021-07-08~2021-07-22</v>
      </c>
      <c r="E50" s="3">
        <v>44403</v>
      </c>
      <c r="F50" s="6">
        <v>0.375</v>
      </c>
      <c r="G50" s="3">
        <f>E50 + IF(LOOKUP(시험일정!B50,자격증정보!$A$2:$A$7,자격증정보!$E$2:$E$7) = "당일날", 0, 1)</f>
        <v>44404</v>
      </c>
      <c r="H50" s="14">
        <f>IFERROR(COUNTIFS(표6[일정번호],표2[[#This Row],[번호]],표6[합격여부], "합격")/COUNTIFS(표6[일정번호],표2[[#This Row],[번호]]),0)</f>
        <v>0</v>
      </c>
      <c r="I50" s="48">
        <f>COUNTIF(표6[일정번호],표2[[#This Row],[번호]])</f>
        <v>7</v>
      </c>
      <c r="J50" s="10">
        <f t="shared" si="1"/>
        <v>44385</v>
      </c>
      <c r="K50" s="10">
        <f>E50 - MID(LOOKUP(B50,자격증정보!$A$2:$A$7,자격증정보!$D$2:$D$7),5,1)</f>
        <v>44399</v>
      </c>
    </row>
    <row r="51" spans="1:11">
      <c r="A51" s="2">
        <v>50</v>
      </c>
      <c r="B51" s="2">
        <v>4</v>
      </c>
      <c r="C51" s="2">
        <v>10</v>
      </c>
      <c r="D51" s="3" t="str">
        <f t="shared" si="0"/>
        <v>2021-07-03~2021-07-17</v>
      </c>
      <c r="E51" s="3">
        <v>44403</v>
      </c>
      <c r="F51" s="6">
        <v>0.41666666666666669</v>
      </c>
      <c r="G51" s="3">
        <f>E51 + IF(LOOKUP(시험일정!B51,자격증정보!$A$2:$A$7,자격증정보!$E$2:$E$7) = "당일날", 0, 1)</f>
        <v>44404</v>
      </c>
      <c r="H51" s="14">
        <f>IFERROR(COUNTIFS(표6[일정번호],표2[[#This Row],[번호]],표6[합격여부], "합격")/COUNTIFS(표6[일정번호],표2[[#This Row],[번호]]),0)</f>
        <v>0</v>
      </c>
      <c r="I51" s="48">
        <f>COUNTIF(표6[일정번호],표2[[#This Row],[번호]])</f>
        <v>3</v>
      </c>
      <c r="J51" s="10">
        <f t="shared" si="1"/>
        <v>44380</v>
      </c>
      <c r="K51" s="10">
        <f>E51 - MID(LOOKUP(B51,자격증정보!$A$2:$A$7,자격증정보!$D$2:$D$7),5,1)</f>
        <v>44394</v>
      </c>
    </row>
    <row r="52" spans="1:11">
      <c r="A52" s="2">
        <v>51</v>
      </c>
      <c r="B52" s="2">
        <v>1</v>
      </c>
      <c r="C52" s="2">
        <v>19</v>
      </c>
      <c r="D52" s="3" t="str">
        <f t="shared" si="0"/>
        <v>2021-07-09~2021-07-23</v>
      </c>
      <c r="E52" s="3">
        <v>44404</v>
      </c>
      <c r="F52" s="6">
        <v>0.45833333333333331</v>
      </c>
      <c r="G52" s="3">
        <f>E52 + IF(LOOKUP(시험일정!B52,자격증정보!$A$2:$A$7,자격증정보!$E$2:$E$7) = "당일날", 0, 1)</f>
        <v>44405</v>
      </c>
      <c r="H52" s="14">
        <f>IFERROR(COUNTIFS(표6[일정번호],표2[[#This Row],[번호]],표6[합격여부], "합격")/COUNTIFS(표6[일정번호],표2[[#This Row],[번호]]),0)</f>
        <v>0</v>
      </c>
      <c r="I52" s="48">
        <f>COUNTIF(표6[일정번호],표2[[#This Row],[번호]])</f>
        <v>5</v>
      </c>
      <c r="J52" s="10">
        <f t="shared" si="1"/>
        <v>44386</v>
      </c>
      <c r="K52" s="10">
        <f>E52 - MID(LOOKUP(B52,자격증정보!$A$2:$A$7,자격증정보!$D$2:$D$7),5,1)</f>
        <v>44400</v>
      </c>
    </row>
    <row r="53" spans="1:11">
      <c r="A53" s="2">
        <v>52</v>
      </c>
      <c r="B53" s="2">
        <v>2</v>
      </c>
      <c r="C53" s="2">
        <v>4</v>
      </c>
      <c r="D53" s="3" t="str">
        <f t="shared" si="0"/>
        <v>2021-07-10~2021-07-24</v>
      </c>
      <c r="E53" s="3">
        <v>44406</v>
      </c>
      <c r="F53" s="6">
        <v>0.70833333333333337</v>
      </c>
      <c r="G53" s="3">
        <f>E53 + IF(LOOKUP(시험일정!B53,자격증정보!$A$2:$A$7,자격증정보!$E$2:$E$7) = "당일날", 0, 1)</f>
        <v>44406</v>
      </c>
      <c r="H53" s="14">
        <f>IFERROR(COUNTIFS(표6[일정번호],표2[[#This Row],[번호]],표6[합격여부], "합격")/COUNTIFS(표6[일정번호],표2[[#This Row],[번호]]),0)</f>
        <v>0</v>
      </c>
      <c r="I53" s="48">
        <f>COUNTIF(표6[일정번호],표2[[#This Row],[번호]])</f>
        <v>3</v>
      </c>
      <c r="J53" s="10">
        <f t="shared" si="1"/>
        <v>44387</v>
      </c>
      <c r="K53" s="10">
        <f>E53 - MID(LOOKUP(B53,자격증정보!$A$2:$A$7,자격증정보!$D$2:$D$7),5,1)</f>
        <v>44401</v>
      </c>
    </row>
    <row r="54" spans="1:11">
      <c r="A54" s="2">
        <v>53</v>
      </c>
      <c r="B54" s="2">
        <v>3</v>
      </c>
      <c r="C54" s="2">
        <v>10</v>
      </c>
      <c r="D54" s="3" t="str">
        <f t="shared" si="0"/>
        <v>2021-07-10~2021-07-24</v>
      </c>
      <c r="E54" s="3">
        <v>44406</v>
      </c>
      <c r="F54" s="6">
        <v>0.58333333333333337</v>
      </c>
      <c r="G54" s="3">
        <f>E54 + IF(LOOKUP(시험일정!B54,자격증정보!$A$2:$A$7,자격증정보!$E$2:$E$7) = "당일날", 0, 1)</f>
        <v>44406</v>
      </c>
      <c r="H54" s="14">
        <f>IFERROR(COUNTIFS(표6[일정번호],표2[[#This Row],[번호]],표6[합격여부], "합격")/COUNTIFS(표6[일정번호],표2[[#This Row],[번호]]),0)</f>
        <v>0.5</v>
      </c>
      <c r="I54" s="48">
        <f>COUNTIF(표6[일정번호],표2[[#This Row],[번호]])</f>
        <v>2</v>
      </c>
      <c r="J54" s="10">
        <f t="shared" si="1"/>
        <v>44387</v>
      </c>
      <c r="K54" s="10">
        <f>E54 - MID(LOOKUP(B54,자격증정보!$A$2:$A$7,자격증정보!$D$2:$D$7),5,1)</f>
        <v>44401</v>
      </c>
    </row>
    <row r="55" spans="1:11">
      <c r="A55" s="2">
        <v>54</v>
      </c>
      <c r="B55" s="2">
        <v>5</v>
      </c>
      <c r="C55" s="2">
        <v>11</v>
      </c>
      <c r="D55" s="3" t="str">
        <f t="shared" si="0"/>
        <v>2021-07-06~2021-07-20</v>
      </c>
      <c r="E55" s="3">
        <v>44406</v>
      </c>
      <c r="F55" s="6">
        <v>0.58333333333333337</v>
      </c>
      <c r="G55" s="3">
        <f>E55 + IF(LOOKUP(시험일정!B55,자격증정보!$A$2:$A$7,자격증정보!$E$2:$E$7) = "당일날", 0, 1)</f>
        <v>44407</v>
      </c>
      <c r="H55" s="14">
        <f>IFERROR(COUNTIFS(표6[일정번호],표2[[#This Row],[번호]],표6[합격여부], "합격")/COUNTIFS(표6[일정번호],표2[[#This Row],[번호]]),0)</f>
        <v>0</v>
      </c>
      <c r="I55" s="48">
        <f>COUNTIF(표6[일정번호],표2[[#This Row],[번호]])</f>
        <v>0</v>
      </c>
      <c r="J55" s="10">
        <f t="shared" si="1"/>
        <v>44383</v>
      </c>
      <c r="K55" s="10">
        <f>E55 - MID(LOOKUP(B55,자격증정보!$A$2:$A$7,자격증정보!$D$2:$D$7),5,1)</f>
        <v>44397</v>
      </c>
    </row>
    <row r="56" spans="1:11">
      <c r="A56" s="2">
        <v>55</v>
      </c>
      <c r="B56" s="2">
        <v>2</v>
      </c>
      <c r="C56" s="2">
        <v>5</v>
      </c>
      <c r="D56" s="3" t="str">
        <f t="shared" si="0"/>
        <v>2021-07-14~2021-07-28</v>
      </c>
      <c r="E56" s="3">
        <v>44410</v>
      </c>
      <c r="F56" s="6">
        <v>0.58333333333333337</v>
      </c>
      <c r="G56" s="3">
        <f>E56 + IF(LOOKUP(시험일정!B56,자격증정보!$A$2:$A$7,자격증정보!$E$2:$E$7) = "당일날", 0, 1)</f>
        <v>44410</v>
      </c>
      <c r="H56" s="14">
        <f>IFERROR(COUNTIFS(표6[일정번호],표2[[#This Row],[번호]],표6[합격여부], "합격")/COUNTIFS(표6[일정번호],표2[[#This Row],[번호]]),0)</f>
        <v>0</v>
      </c>
      <c r="I56" s="48">
        <f>COUNTIF(표6[일정번호],표2[[#This Row],[번호]])</f>
        <v>0</v>
      </c>
      <c r="J56" s="10">
        <f t="shared" si="1"/>
        <v>44391</v>
      </c>
      <c r="K56" s="10">
        <f>E56 - MID(LOOKUP(B56,자격증정보!$A$2:$A$7,자격증정보!$D$2:$D$7),5,1)</f>
        <v>44405</v>
      </c>
    </row>
    <row r="57" spans="1:11">
      <c r="A57" s="2">
        <v>56</v>
      </c>
      <c r="B57" s="2">
        <v>4</v>
      </c>
      <c r="C57" s="2">
        <v>11</v>
      </c>
      <c r="D57" s="3" t="str">
        <f t="shared" si="0"/>
        <v>2021-07-11~2021-07-25</v>
      </c>
      <c r="E57" s="3">
        <v>44411</v>
      </c>
      <c r="F57" s="6">
        <v>0.45833333333333331</v>
      </c>
      <c r="G57" s="3">
        <f>E57 + IF(LOOKUP(시험일정!B57,자격증정보!$A$2:$A$7,자격증정보!$E$2:$E$7) = "당일날", 0, 1)</f>
        <v>44412</v>
      </c>
      <c r="H57" s="14">
        <f>IFERROR(COUNTIFS(표6[일정번호],표2[[#This Row],[번호]],표6[합격여부], "합격")/COUNTIFS(표6[일정번호],표2[[#This Row],[번호]]),0)</f>
        <v>0</v>
      </c>
      <c r="I57" s="48">
        <f>COUNTIF(표6[일정번호],표2[[#This Row],[번호]])</f>
        <v>0</v>
      </c>
      <c r="J57" s="10">
        <f t="shared" si="1"/>
        <v>44388</v>
      </c>
      <c r="K57" s="10">
        <f>E57 - MID(LOOKUP(B57,자격증정보!$A$2:$A$7,자격증정보!$D$2:$D$7),5,1)</f>
        <v>44402</v>
      </c>
    </row>
    <row r="58" spans="1:11">
      <c r="A58" s="2">
        <v>57</v>
      </c>
      <c r="B58" s="2">
        <v>5</v>
      </c>
      <c r="C58" s="2">
        <v>12</v>
      </c>
      <c r="D58" s="3" t="str">
        <f t="shared" si="0"/>
        <v>2021-07-14~2021-07-28</v>
      </c>
      <c r="E58" s="3">
        <v>44414</v>
      </c>
      <c r="F58" s="6">
        <v>0.58333333333333337</v>
      </c>
      <c r="G58" s="3">
        <f>E58 + IF(LOOKUP(시험일정!B58,자격증정보!$A$2:$A$7,자격증정보!$E$2:$E$7) = "당일날", 0, 1)</f>
        <v>44415</v>
      </c>
      <c r="H58" s="14">
        <f>IFERROR(COUNTIFS(표6[일정번호],표2[[#This Row],[번호]],표6[합격여부], "합격")/COUNTIFS(표6[일정번호],표2[[#This Row],[번호]]),0)</f>
        <v>0</v>
      </c>
      <c r="I58" s="48">
        <f>COUNTIF(표6[일정번호],표2[[#This Row],[번호]])</f>
        <v>0</v>
      </c>
      <c r="J58" s="10">
        <f t="shared" si="1"/>
        <v>44391</v>
      </c>
      <c r="K58" s="10">
        <f>E58 - MID(LOOKUP(B58,자격증정보!$A$2:$A$7,자격증정보!$D$2:$D$7),5,1)</f>
        <v>44405</v>
      </c>
    </row>
    <row r="59" spans="1:11">
      <c r="A59" s="2">
        <v>58</v>
      </c>
      <c r="B59" s="2">
        <v>6</v>
      </c>
      <c r="C59" s="2">
        <v>1</v>
      </c>
      <c r="D59" s="3" t="str">
        <f t="shared" si="0"/>
        <v>2021-07-14~2021-07-28</v>
      </c>
      <c r="E59" s="3">
        <v>44414</v>
      </c>
      <c r="F59" s="6">
        <v>0.54166666666666663</v>
      </c>
      <c r="G59" s="3">
        <f>E59 + IF(LOOKUP(시험일정!B59,자격증정보!$A$2:$A$7,자격증정보!$E$2:$E$7) = "당일날", 0, 1)</f>
        <v>44415</v>
      </c>
      <c r="H59" s="14">
        <f>IFERROR(COUNTIFS(표6[일정번호],표2[[#This Row],[번호]],표6[합격여부], "합격")/COUNTIFS(표6[일정번호],표2[[#This Row],[번호]]),0)</f>
        <v>0.125</v>
      </c>
      <c r="I59" s="48">
        <f>COUNTIF(표6[일정번호],표2[[#This Row],[번호]])</f>
        <v>8</v>
      </c>
      <c r="J59" s="10">
        <f t="shared" si="1"/>
        <v>44391</v>
      </c>
      <c r="K59" s="10">
        <f>E59 - MID(LOOKUP(B59,자격증정보!$A$2:$A$7,자격증정보!$D$2:$D$7),5,1)</f>
        <v>44405</v>
      </c>
    </row>
    <row r="60" spans="1:11">
      <c r="A60" s="2">
        <v>59</v>
      </c>
      <c r="B60" s="2">
        <v>4</v>
      </c>
      <c r="C60" s="2">
        <v>12</v>
      </c>
      <c r="D60" s="3" t="str">
        <f t="shared" si="0"/>
        <v>2021-07-15~2021-07-29</v>
      </c>
      <c r="E60" s="3">
        <v>44415</v>
      </c>
      <c r="F60" s="6">
        <v>0.58333333333333337</v>
      </c>
      <c r="G60" s="3">
        <f>E60 + IF(LOOKUP(시험일정!B60,자격증정보!$A$2:$A$7,자격증정보!$E$2:$E$7) = "당일날", 0, 1)</f>
        <v>44416</v>
      </c>
      <c r="H60" s="14">
        <f>IFERROR(COUNTIFS(표6[일정번호],표2[[#This Row],[번호]],표6[합격여부], "합격")/COUNTIFS(표6[일정번호],표2[[#This Row],[번호]]),0)</f>
        <v>0</v>
      </c>
      <c r="I60" s="48">
        <f>COUNTIF(표6[일정번호],표2[[#This Row],[번호]])</f>
        <v>0</v>
      </c>
      <c r="J60" s="10">
        <f t="shared" si="1"/>
        <v>44392</v>
      </c>
      <c r="K60" s="10">
        <f>E60 - MID(LOOKUP(B60,자격증정보!$A$2:$A$7,자격증정보!$D$2:$D$7),5,1)</f>
        <v>44406</v>
      </c>
    </row>
    <row r="61" spans="1:11">
      <c r="A61" s="2">
        <v>60</v>
      </c>
      <c r="B61" s="2">
        <v>5</v>
      </c>
      <c r="C61" s="2">
        <v>13</v>
      </c>
      <c r="D61" s="3" t="str">
        <f t="shared" si="0"/>
        <v>2021-07-15~2021-07-29</v>
      </c>
      <c r="E61" s="3">
        <v>44415</v>
      </c>
      <c r="F61" s="6">
        <v>0.375</v>
      </c>
      <c r="G61" s="3">
        <f>E61 + IF(LOOKUP(시험일정!B61,자격증정보!$A$2:$A$7,자격증정보!$E$2:$E$7) = "당일날", 0, 1)</f>
        <v>44416</v>
      </c>
      <c r="H61" s="14">
        <f>IFERROR(COUNTIFS(표6[일정번호],표2[[#This Row],[번호]],표6[합격여부], "합격")/COUNTIFS(표6[일정번호],표2[[#This Row],[번호]]),0)</f>
        <v>0</v>
      </c>
      <c r="I61" s="48">
        <f>COUNTIF(표6[일정번호],표2[[#This Row],[번호]])</f>
        <v>0</v>
      </c>
      <c r="J61" s="10">
        <f t="shared" si="1"/>
        <v>44392</v>
      </c>
      <c r="K61" s="10">
        <f>E61 - MID(LOOKUP(B61,자격증정보!$A$2:$A$7,자격증정보!$D$2:$D$7),5,1)</f>
        <v>44406</v>
      </c>
    </row>
    <row r="62" spans="1:11">
      <c r="A62" s="2">
        <v>61</v>
      </c>
      <c r="B62" s="2">
        <v>5</v>
      </c>
      <c r="C62" s="2">
        <v>14</v>
      </c>
      <c r="D62" s="3" t="str">
        <f t="shared" si="0"/>
        <v>2021-07-15~2021-07-29</v>
      </c>
      <c r="E62" s="3">
        <v>44415</v>
      </c>
      <c r="F62" s="6">
        <v>0.625</v>
      </c>
      <c r="G62" s="3">
        <f>E62 + IF(LOOKUP(시험일정!B62,자격증정보!$A$2:$A$7,자격증정보!$E$2:$E$7) = "당일날", 0, 1)</f>
        <v>44416</v>
      </c>
      <c r="H62" s="14">
        <f>IFERROR(COUNTIFS(표6[일정번호],표2[[#This Row],[번호]],표6[합격여부], "합격")/COUNTIFS(표6[일정번호],표2[[#This Row],[번호]]),0)</f>
        <v>0</v>
      </c>
      <c r="I62" s="48">
        <f>COUNTIF(표6[일정번호],표2[[#This Row],[번호]])</f>
        <v>0</v>
      </c>
      <c r="J62" s="10">
        <f t="shared" si="1"/>
        <v>44392</v>
      </c>
      <c r="K62" s="10">
        <f>E62 - MID(LOOKUP(B62,자격증정보!$A$2:$A$7,자격증정보!$D$2:$D$7),5,1)</f>
        <v>44406</v>
      </c>
    </row>
    <row r="63" spans="1:11">
      <c r="A63" s="2">
        <v>62</v>
      </c>
      <c r="B63" s="2">
        <v>3</v>
      </c>
      <c r="C63" s="2">
        <v>11</v>
      </c>
      <c r="D63" s="3" t="str">
        <f t="shared" si="0"/>
        <v>2021-07-20~2021-08-03</v>
      </c>
      <c r="E63" s="3">
        <v>44416</v>
      </c>
      <c r="F63" s="6">
        <v>0.375</v>
      </c>
      <c r="G63" s="3">
        <f>E63 + IF(LOOKUP(시험일정!B63,자격증정보!$A$2:$A$7,자격증정보!$E$2:$E$7) = "당일날", 0, 1)</f>
        <v>44416</v>
      </c>
      <c r="H63" s="14">
        <f>IFERROR(COUNTIFS(표6[일정번호],표2[[#This Row],[번호]],표6[합격여부], "합격")/COUNTIFS(표6[일정번호],표2[[#This Row],[번호]]),0)</f>
        <v>0</v>
      </c>
      <c r="I63" s="48">
        <f>COUNTIF(표6[일정번호],표2[[#This Row],[번호]])</f>
        <v>2</v>
      </c>
      <c r="J63" s="10">
        <f t="shared" si="1"/>
        <v>44397</v>
      </c>
      <c r="K63" s="10">
        <f>E63 - MID(LOOKUP(B63,자격증정보!$A$2:$A$7,자격증정보!$D$2:$D$7),5,1)</f>
        <v>44411</v>
      </c>
    </row>
    <row r="64" spans="1:11">
      <c r="A64" s="2">
        <v>63</v>
      </c>
      <c r="B64" s="2">
        <v>2</v>
      </c>
      <c r="C64" s="2">
        <v>6</v>
      </c>
      <c r="D64" s="3" t="str">
        <f t="shared" si="0"/>
        <v>2021-07-22~2021-08-05</v>
      </c>
      <c r="E64" s="3">
        <v>44418</v>
      </c>
      <c r="F64" s="6">
        <v>0.66666666666666663</v>
      </c>
      <c r="G64" s="3">
        <f>E64 + IF(LOOKUP(시험일정!B64,자격증정보!$A$2:$A$7,자격증정보!$E$2:$E$7) = "당일날", 0, 1)</f>
        <v>44418</v>
      </c>
      <c r="H64" s="14">
        <f>IFERROR(COUNTIFS(표6[일정번호],표2[[#This Row],[번호]],표6[합격여부], "합격")/COUNTIFS(표6[일정번호],표2[[#This Row],[번호]]),0)</f>
        <v>0</v>
      </c>
      <c r="I64" s="48">
        <f>COUNTIF(표6[일정번호],표2[[#This Row],[번호]])</f>
        <v>3</v>
      </c>
      <c r="J64" s="10">
        <f t="shared" si="1"/>
        <v>44399</v>
      </c>
      <c r="K64" s="10">
        <f>E64 - MID(LOOKUP(B64,자격증정보!$A$2:$A$7,자격증정보!$D$2:$D$7),5,1)</f>
        <v>44413</v>
      </c>
    </row>
    <row r="65" spans="1:11">
      <c r="A65" s="2">
        <v>64</v>
      </c>
      <c r="B65" s="2">
        <v>4</v>
      </c>
      <c r="C65" s="2">
        <v>13</v>
      </c>
      <c r="D65" s="3" t="str">
        <f t="shared" si="0"/>
        <v>2021-07-20~2021-08-03</v>
      </c>
      <c r="E65" s="3">
        <v>44420</v>
      </c>
      <c r="F65" s="6">
        <v>0.70833333333333337</v>
      </c>
      <c r="G65" s="3">
        <f>E65 + IF(LOOKUP(시험일정!B65,자격증정보!$A$2:$A$7,자격증정보!$E$2:$E$7) = "당일날", 0, 1)</f>
        <v>44421</v>
      </c>
      <c r="H65" s="14">
        <f>IFERROR(COUNTIFS(표6[일정번호],표2[[#This Row],[번호]],표6[합격여부], "합격")/COUNTIFS(표6[일정번호],표2[[#This Row],[번호]]),0)</f>
        <v>0</v>
      </c>
      <c r="I65" s="48">
        <f>COUNTIF(표6[일정번호],표2[[#This Row],[번호]])</f>
        <v>0</v>
      </c>
      <c r="J65" s="10">
        <f t="shared" si="1"/>
        <v>44397</v>
      </c>
      <c r="K65" s="10">
        <f>E65 - MID(LOOKUP(B65,자격증정보!$A$2:$A$7,자격증정보!$D$2:$D$7),5,1)</f>
        <v>44411</v>
      </c>
    </row>
    <row r="66" spans="1:11">
      <c r="A66" s="2">
        <v>65</v>
      </c>
      <c r="B66" s="2">
        <v>1</v>
      </c>
      <c r="C66" s="2">
        <v>20</v>
      </c>
      <c r="D66" s="3" t="str">
        <f t="shared" si="0"/>
        <v>2021-07-27~2021-08-10</v>
      </c>
      <c r="E66" s="3">
        <v>44422</v>
      </c>
      <c r="F66" s="6">
        <v>0.54166666666666663</v>
      </c>
      <c r="G66" s="3">
        <f>E66 + IF(LOOKUP(시험일정!B66,자격증정보!$A$2:$A$7,자격증정보!$E$2:$E$7) = "당일날", 0, 1)</f>
        <v>44423</v>
      </c>
      <c r="H66" s="14">
        <f>IFERROR(COUNTIFS(표6[일정번호],표2[[#This Row],[번호]],표6[합격여부], "합격")/COUNTIFS(표6[일정번호],표2[[#This Row],[번호]]),0)</f>
        <v>0</v>
      </c>
      <c r="I66" s="48">
        <f>COUNTIF(표6[일정번호],표2[[#This Row],[번호]])</f>
        <v>10</v>
      </c>
      <c r="J66" s="10">
        <f t="shared" si="1"/>
        <v>44404</v>
      </c>
      <c r="K66" s="10">
        <f>E66 - MID(LOOKUP(B66,자격증정보!$A$2:$A$7,자격증정보!$D$2:$D$7),5,1)</f>
        <v>44418</v>
      </c>
    </row>
    <row r="67" spans="1:11">
      <c r="A67" s="2">
        <v>66</v>
      </c>
      <c r="B67" s="2">
        <v>1</v>
      </c>
      <c r="C67" s="2">
        <v>21</v>
      </c>
      <c r="D67" s="3" t="str">
        <f t="shared" ref="D67:D130" si="2">TEXT(J67,"yyyy-mm-dd")&amp; "~" &amp; TEXT(K67, "yyyy-mm-dd")</f>
        <v>2021-07-29~2021-08-12</v>
      </c>
      <c r="E67" s="3">
        <v>44424</v>
      </c>
      <c r="F67" s="6">
        <v>0.625</v>
      </c>
      <c r="G67" s="3">
        <f>E67 + IF(LOOKUP(시험일정!B67,자격증정보!$A$2:$A$7,자격증정보!$E$2:$E$7) = "당일날", 0, 1)</f>
        <v>44425</v>
      </c>
      <c r="H67" s="14">
        <f>IFERROR(COUNTIFS(표6[일정번호],표2[[#This Row],[번호]],표6[합격여부], "합격")/COUNTIFS(표6[일정번호],표2[[#This Row],[번호]]),0)</f>
        <v>0</v>
      </c>
      <c r="I67" s="48">
        <f>COUNTIF(표6[일정번호],표2[[#This Row],[번호]])</f>
        <v>10</v>
      </c>
      <c r="J67" s="10">
        <f t="shared" ref="J67:J130" si="3">K67-14</f>
        <v>44406</v>
      </c>
      <c r="K67" s="10">
        <f>E67 - MID(LOOKUP(B67,자격증정보!$A$2:$A$7,자격증정보!$D$2:$D$7),5,1)</f>
        <v>44420</v>
      </c>
    </row>
    <row r="68" spans="1:11">
      <c r="A68" s="2">
        <v>67</v>
      </c>
      <c r="B68" s="2">
        <v>4</v>
      </c>
      <c r="C68" s="2">
        <v>14</v>
      </c>
      <c r="D68" s="3" t="str">
        <f t="shared" si="2"/>
        <v>2021-07-25~2021-08-08</v>
      </c>
      <c r="E68" s="3">
        <v>44425</v>
      </c>
      <c r="F68" s="6">
        <v>0.41666666666666669</v>
      </c>
      <c r="G68" s="3">
        <f>E68 + IF(LOOKUP(시험일정!B68,자격증정보!$A$2:$A$7,자격증정보!$E$2:$E$7) = "당일날", 0, 1)</f>
        <v>44426</v>
      </c>
      <c r="H68" s="14">
        <f>IFERROR(COUNTIFS(표6[일정번호],표2[[#This Row],[번호]],표6[합격여부], "합격")/COUNTIFS(표6[일정번호],표2[[#This Row],[번호]]),0)</f>
        <v>0</v>
      </c>
      <c r="I68" s="48">
        <f>COUNTIF(표6[일정번호],표2[[#This Row],[번호]])</f>
        <v>0</v>
      </c>
      <c r="J68" s="10">
        <f t="shared" si="3"/>
        <v>44402</v>
      </c>
      <c r="K68" s="10">
        <f>E68 - MID(LOOKUP(B68,자격증정보!$A$2:$A$7,자격증정보!$D$2:$D$7),5,1)</f>
        <v>44416</v>
      </c>
    </row>
    <row r="69" spans="1:11">
      <c r="A69" s="2">
        <v>68</v>
      </c>
      <c r="B69" s="2">
        <v>5</v>
      </c>
      <c r="C69" s="2">
        <v>15</v>
      </c>
      <c r="D69" s="3" t="str">
        <f t="shared" si="2"/>
        <v>2021-07-25~2021-08-08</v>
      </c>
      <c r="E69" s="3">
        <v>44425</v>
      </c>
      <c r="F69" s="6">
        <v>0.625</v>
      </c>
      <c r="G69" s="3">
        <f>E69 + IF(LOOKUP(시험일정!B69,자격증정보!$A$2:$A$7,자격증정보!$E$2:$E$7) = "당일날", 0, 1)</f>
        <v>44426</v>
      </c>
      <c r="H69" s="14">
        <f>IFERROR(COUNTIFS(표6[일정번호],표2[[#This Row],[번호]],표6[합격여부], "합격")/COUNTIFS(표6[일정번호],표2[[#This Row],[번호]]),0)</f>
        <v>0</v>
      </c>
      <c r="I69" s="48">
        <f>COUNTIF(표6[일정번호],표2[[#This Row],[번호]])</f>
        <v>0</v>
      </c>
      <c r="J69" s="10">
        <f t="shared" si="3"/>
        <v>44402</v>
      </c>
      <c r="K69" s="10">
        <f>E69 - MID(LOOKUP(B69,자격증정보!$A$2:$A$7,자격증정보!$D$2:$D$7),5,1)</f>
        <v>44416</v>
      </c>
    </row>
    <row r="70" spans="1:11">
      <c r="A70" s="2">
        <v>69</v>
      </c>
      <c r="B70" s="2">
        <v>2</v>
      </c>
      <c r="C70" s="2">
        <v>7</v>
      </c>
      <c r="D70" s="3" t="str">
        <f t="shared" si="2"/>
        <v>2021-07-30~2021-08-13</v>
      </c>
      <c r="E70" s="3">
        <v>44426</v>
      </c>
      <c r="F70" s="6">
        <v>0.41666666666666669</v>
      </c>
      <c r="G70" s="3">
        <f>E70 + IF(LOOKUP(시험일정!B70,자격증정보!$A$2:$A$7,자격증정보!$E$2:$E$7) = "당일날", 0, 1)</f>
        <v>44426</v>
      </c>
      <c r="H70" s="14">
        <f>IFERROR(COUNTIFS(표6[일정번호],표2[[#This Row],[번호]],표6[합격여부], "합격")/COUNTIFS(표6[일정번호],표2[[#This Row],[번호]]),0)</f>
        <v>0</v>
      </c>
      <c r="I70" s="48">
        <f>COUNTIF(표6[일정번호],표2[[#This Row],[번호]])</f>
        <v>0</v>
      </c>
      <c r="J70" s="10">
        <f t="shared" si="3"/>
        <v>44407</v>
      </c>
      <c r="K70" s="10">
        <f>E70 - MID(LOOKUP(B70,자격증정보!$A$2:$A$7,자격증정보!$D$2:$D$7),5,1)</f>
        <v>44421</v>
      </c>
    </row>
    <row r="71" spans="1:11">
      <c r="A71" s="2">
        <v>70</v>
      </c>
      <c r="B71" s="2">
        <v>1</v>
      </c>
      <c r="C71" s="2">
        <v>22</v>
      </c>
      <c r="D71" s="3" t="str">
        <f t="shared" si="2"/>
        <v>2021-08-01~2021-08-15</v>
      </c>
      <c r="E71" s="3">
        <v>44427</v>
      </c>
      <c r="F71" s="6">
        <v>0.70833333333333337</v>
      </c>
      <c r="G71" s="3">
        <f>E71 + IF(LOOKUP(시험일정!B71,자격증정보!$A$2:$A$7,자격증정보!$E$2:$E$7) = "당일날", 0, 1)</f>
        <v>44428</v>
      </c>
      <c r="H71" s="14">
        <f>IFERROR(COUNTIFS(표6[일정번호],표2[[#This Row],[번호]],표6[합격여부], "합격")/COUNTIFS(표6[일정번호],표2[[#This Row],[번호]]),0)</f>
        <v>0</v>
      </c>
      <c r="I71" s="48">
        <f>COUNTIF(표6[일정번호],표2[[#This Row],[번호]])</f>
        <v>7</v>
      </c>
      <c r="J71" s="10">
        <f t="shared" si="3"/>
        <v>44409</v>
      </c>
      <c r="K71" s="10">
        <f>E71 - MID(LOOKUP(B71,자격증정보!$A$2:$A$7,자격증정보!$D$2:$D$7),5,1)</f>
        <v>44423</v>
      </c>
    </row>
    <row r="72" spans="1:11">
      <c r="A72" s="2">
        <v>71</v>
      </c>
      <c r="B72" s="2">
        <v>5</v>
      </c>
      <c r="C72" s="2">
        <v>16</v>
      </c>
      <c r="D72" s="3" t="str">
        <f t="shared" si="2"/>
        <v>2021-07-27~2021-08-10</v>
      </c>
      <c r="E72" s="3">
        <v>44427</v>
      </c>
      <c r="F72" s="6">
        <v>0.45833333333333331</v>
      </c>
      <c r="G72" s="3">
        <f>E72 + IF(LOOKUP(시험일정!B72,자격증정보!$A$2:$A$7,자격증정보!$E$2:$E$7) = "당일날", 0, 1)</f>
        <v>44428</v>
      </c>
      <c r="H72" s="14">
        <f>IFERROR(COUNTIFS(표6[일정번호],표2[[#This Row],[번호]],표6[합격여부], "합격")/COUNTIFS(표6[일정번호],표2[[#This Row],[번호]]),0)</f>
        <v>0</v>
      </c>
      <c r="I72" s="48">
        <f>COUNTIF(표6[일정번호],표2[[#This Row],[번호]])</f>
        <v>2</v>
      </c>
      <c r="J72" s="10">
        <f t="shared" si="3"/>
        <v>44404</v>
      </c>
      <c r="K72" s="10">
        <f>E72 - MID(LOOKUP(B72,자격증정보!$A$2:$A$7,자격증정보!$D$2:$D$7),5,1)</f>
        <v>44418</v>
      </c>
    </row>
    <row r="73" spans="1:11">
      <c r="A73" s="2">
        <v>72</v>
      </c>
      <c r="B73" s="2">
        <v>6</v>
      </c>
      <c r="C73" s="2">
        <v>2</v>
      </c>
      <c r="D73" s="3" t="str">
        <f t="shared" si="2"/>
        <v>2021-07-27~2021-08-10</v>
      </c>
      <c r="E73" s="3">
        <v>44427</v>
      </c>
      <c r="F73" s="6">
        <v>0.58333333333333337</v>
      </c>
      <c r="G73" s="3">
        <f>E73 + IF(LOOKUP(시험일정!B73,자격증정보!$A$2:$A$7,자격증정보!$E$2:$E$7) = "당일날", 0, 1)</f>
        <v>44428</v>
      </c>
      <c r="H73" s="14">
        <f>IFERROR(COUNTIFS(표6[일정번호],표2[[#This Row],[번호]],표6[합격여부], "합격")/COUNTIFS(표6[일정번호],표2[[#This Row],[번호]]),0)</f>
        <v>0</v>
      </c>
      <c r="I73" s="48">
        <f>COUNTIF(표6[일정번호],표2[[#This Row],[번호]])</f>
        <v>5</v>
      </c>
      <c r="J73" s="10">
        <f t="shared" si="3"/>
        <v>44404</v>
      </c>
      <c r="K73" s="10">
        <f>E73 - MID(LOOKUP(B73,자격증정보!$A$2:$A$7,자격증정보!$D$2:$D$7),5,1)</f>
        <v>44418</v>
      </c>
    </row>
    <row r="74" spans="1:11">
      <c r="A74" s="2">
        <v>73</v>
      </c>
      <c r="B74" s="2">
        <v>5</v>
      </c>
      <c r="C74" s="2">
        <v>17</v>
      </c>
      <c r="D74" s="3" t="str">
        <f t="shared" si="2"/>
        <v>2021-07-28~2021-08-11</v>
      </c>
      <c r="E74" s="3">
        <v>44428</v>
      </c>
      <c r="F74" s="6">
        <v>0.375</v>
      </c>
      <c r="G74" s="3">
        <f>E74 + IF(LOOKUP(시험일정!B74,자격증정보!$A$2:$A$7,자격증정보!$E$2:$E$7) = "당일날", 0, 1)</f>
        <v>44429</v>
      </c>
      <c r="H74" s="14">
        <f>IFERROR(COUNTIFS(표6[일정번호],표2[[#This Row],[번호]],표6[합격여부], "합격")/COUNTIFS(표6[일정번호],표2[[#This Row],[번호]]),0)</f>
        <v>0</v>
      </c>
      <c r="I74" s="48">
        <f>COUNTIF(표6[일정번호],표2[[#This Row],[번호]])</f>
        <v>0</v>
      </c>
      <c r="J74" s="10">
        <f t="shared" si="3"/>
        <v>44405</v>
      </c>
      <c r="K74" s="10">
        <f>E74 - MID(LOOKUP(B74,자격증정보!$A$2:$A$7,자격증정보!$D$2:$D$7),5,1)</f>
        <v>44419</v>
      </c>
    </row>
    <row r="75" spans="1:11">
      <c r="A75" s="2">
        <v>74</v>
      </c>
      <c r="B75" s="2">
        <v>1</v>
      </c>
      <c r="C75" s="2">
        <v>23</v>
      </c>
      <c r="D75" s="3" t="str">
        <f t="shared" si="2"/>
        <v>2021-08-03~2021-08-17</v>
      </c>
      <c r="E75" s="3">
        <v>44429</v>
      </c>
      <c r="F75" s="6">
        <v>0.58333333333333337</v>
      </c>
      <c r="G75" s="3">
        <f>E75 + IF(LOOKUP(시험일정!B75,자격증정보!$A$2:$A$7,자격증정보!$E$2:$E$7) = "당일날", 0, 1)</f>
        <v>44430</v>
      </c>
      <c r="H75" s="14">
        <f>IFERROR(COUNTIFS(표6[일정번호],표2[[#This Row],[번호]],표6[합격여부], "합격")/COUNTIFS(표6[일정번호],표2[[#This Row],[번호]]),0)</f>
        <v>0</v>
      </c>
      <c r="I75" s="48">
        <f>COUNTIF(표6[일정번호],표2[[#This Row],[번호]])</f>
        <v>10</v>
      </c>
      <c r="J75" s="10">
        <f t="shared" si="3"/>
        <v>44411</v>
      </c>
      <c r="K75" s="10">
        <f>E75 - MID(LOOKUP(B75,자격증정보!$A$2:$A$7,자격증정보!$D$2:$D$7),5,1)</f>
        <v>44425</v>
      </c>
    </row>
    <row r="76" spans="1:11">
      <c r="A76" s="2">
        <v>75</v>
      </c>
      <c r="B76" s="2">
        <v>3</v>
      </c>
      <c r="C76" s="2">
        <v>12</v>
      </c>
      <c r="D76" s="3" t="str">
        <f t="shared" si="2"/>
        <v>2021-08-02~2021-08-16</v>
      </c>
      <c r="E76" s="3">
        <v>44429</v>
      </c>
      <c r="F76" s="6">
        <v>0.54166666666666663</v>
      </c>
      <c r="G76" s="3">
        <f>E76 + IF(LOOKUP(시험일정!B76,자격증정보!$A$2:$A$7,자격증정보!$E$2:$E$7) = "당일날", 0, 1)</f>
        <v>44429</v>
      </c>
      <c r="H76" s="14">
        <f>IFERROR(COUNTIFS(표6[일정번호],표2[[#This Row],[번호]],표6[합격여부], "합격")/COUNTIFS(표6[일정번호],표2[[#This Row],[번호]]),0)</f>
        <v>0</v>
      </c>
      <c r="I76" s="48">
        <f>COUNTIF(표6[일정번호],표2[[#This Row],[번호]])</f>
        <v>3</v>
      </c>
      <c r="J76" s="10">
        <f t="shared" si="3"/>
        <v>44410</v>
      </c>
      <c r="K76" s="10">
        <f>E76 - MID(LOOKUP(B76,자격증정보!$A$2:$A$7,자격증정보!$D$2:$D$7),5,1)</f>
        <v>44424</v>
      </c>
    </row>
    <row r="77" spans="1:11">
      <c r="A77" s="2">
        <v>76</v>
      </c>
      <c r="B77" s="2">
        <v>2</v>
      </c>
      <c r="C77" s="2">
        <v>8</v>
      </c>
      <c r="D77" s="3" t="str">
        <f t="shared" si="2"/>
        <v>2021-08-03~2021-08-17</v>
      </c>
      <c r="E77" s="3">
        <v>44430</v>
      </c>
      <c r="F77" s="6">
        <v>0.45833333333333331</v>
      </c>
      <c r="G77" s="3">
        <f>E77 + IF(LOOKUP(시험일정!B77,자격증정보!$A$2:$A$7,자격증정보!$E$2:$E$7) = "당일날", 0, 1)</f>
        <v>44430</v>
      </c>
      <c r="H77" s="14">
        <f>IFERROR(COUNTIFS(표6[일정번호],표2[[#This Row],[번호]],표6[합격여부], "합격")/COUNTIFS(표6[일정번호],표2[[#This Row],[번호]]),0)</f>
        <v>0</v>
      </c>
      <c r="I77" s="48">
        <f>COUNTIF(표6[일정번호],표2[[#This Row],[번호]])</f>
        <v>0</v>
      </c>
      <c r="J77" s="10">
        <f t="shared" si="3"/>
        <v>44411</v>
      </c>
      <c r="K77" s="10">
        <f>E77 - MID(LOOKUP(B77,자격증정보!$A$2:$A$7,자격증정보!$D$2:$D$7),5,1)</f>
        <v>44425</v>
      </c>
    </row>
    <row r="78" spans="1:11">
      <c r="A78" s="2">
        <v>77</v>
      </c>
      <c r="B78" s="2">
        <v>4</v>
      </c>
      <c r="C78" s="2">
        <v>15</v>
      </c>
      <c r="D78" s="3" t="str">
        <f t="shared" si="2"/>
        <v>2021-07-30~2021-08-13</v>
      </c>
      <c r="E78" s="3">
        <v>44430</v>
      </c>
      <c r="F78" s="6">
        <v>0.375</v>
      </c>
      <c r="G78" s="3">
        <f>E78 + IF(LOOKUP(시험일정!B78,자격증정보!$A$2:$A$7,자격증정보!$E$2:$E$7) = "당일날", 0, 1)</f>
        <v>44431</v>
      </c>
      <c r="H78" s="14">
        <f>IFERROR(COUNTIFS(표6[일정번호],표2[[#This Row],[번호]],표6[합격여부], "합격")/COUNTIFS(표6[일정번호],표2[[#This Row],[번호]]),0)</f>
        <v>0</v>
      </c>
      <c r="I78" s="48">
        <f>COUNTIF(표6[일정번호],표2[[#This Row],[번호]])</f>
        <v>0</v>
      </c>
      <c r="J78" s="10">
        <f t="shared" si="3"/>
        <v>44407</v>
      </c>
      <c r="K78" s="10">
        <f>E78 - MID(LOOKUP(B78,자격증정보!$A$2:$A$7,자격증정보!$D$2:$D$7),5,1)</f>
        <v>44421</v>
      </c>
    </row>
    <row r="79" spans="1:11">
      <c r="A79" s="2">
        <v>78</v>
      </c>
      <c r="B79" s="2">
        <v>1</v>
      </c>
      <c r="C79" s="2">
        <v>24</v>
      </c>
      <c r="D79" s="3" t="str">
        <f t="shared" si="2"/>
        <v>2021-08-05~2021-08-19</v>
      </c>
      <c r="E79" s="3">
        <v>44431</v>
      </c>
      <c r="F79" s="6">
        <v>0.41666666666666669</v>
      </c>
      <c r="G79" s="3">
        <f>E79 + IF(LOOKUP(시험일정!B79,자격증정보!$A$2:$A$7,자격증정보!$E$2:$E$7) = "당일날", 0, 1)</f>
        <v>44432</v>
      </c>
      <c r="H79" s="14">
        <f>IFERROR(COUNTIFS(표6[일정번호],표2[[#This Row],[번호]],표6[합격여부], "합격")/COUNTIFS(표6[일정번호],표2[[#This Row],[번호]]),0)</f>
        <v>0</v>
      </c>
      <c r="I79" s="48">
        <f>COUNTIF(표6[일정번호],표2[[#This Row],[번호]])</f>
        <v>10</v>
      </c>
      <c r="J79" s="10">
        <f t="shared" si="3"/>
        <v>44413</v>
      </c>
      <c r="K79" s="10">
        <f>E79 - MID(LOOKUP(B79,자격증정보!$A$2:$A$7,자격증정보!$D$2:$D$7),5,1)</f>
        <v>44427</v>
      </c>
    </row>
    <row r="80" spans="1:11">
      <c r="A80" s="2">
        <v>79</v>
      </c>
      <c r="B80" s="2">
        <v>1</v>
      </c>
      <c r="C80" s="2">
        <v>25</v>
      </c>
      <c r="D80" s="3" t="str">
        <f t="shared" si="2"/>
        <v>2021-08-06~2021-08-20</v>
      </c>
      <c r="E80" s="3">
        <v>44432</v>
      </c>
      <c r="F80" s="6">
        <v>0.45833333333333331</v>
      </c>
      <c r="G80" s="3">
        <f>E80 + IF(LOOKUP(시험일정!B80,자격증정보!$A$2:$A$7,자격증정보!$E$2:$E$7) = "당일날", 0, 1)</f>
        <v>44433</v>
      </c>
      <c r="H80" s="14">
        <f>IFERROR(COUNTIFS(표6[일정번호],표2[[#This Row],[번호]],표6[합격여부], "합격")/COUNTIFS(표6[일정번호],표2[[#This Row],[번호]]),0)</f>
        <v>0.2</v>
      </c>
      <c r="I80" s="48">
        <f>COUNTIF(표6[일정번호],표2[[#This Row],[번호]])</f>
        <v>10</v>
      </c>
      <c r="J80" s="10">
        <f t="shared" si="3"/>
        <v>44414</v>
      </c>
      <c r="K80" s="10">
        <f>E80 - MID(LOOKUP(B80,자격증정보!$A$2:$A$7,자격증정보!$D$2:$D$7),5,1)</f>
        <v>44428</v>
      </c>
    </row>
    <row r="81" spans="1:11">
      <c r="A81" s="2">
        <v>80</v>
      </c>
      <c r="B81" s="2">
        <v>1</v>
      </c>
      <c r="C81" s="2">
        <v>26</v>
      </c>
      <c r="D81" s="3" t="str">
        <f t="shared" si="2"/>
        <v>2021-08-07~2021-08-21</v>
      </c>
      <c r="E81" s="3">
        <v>44433</v>
      </c>
      <c r="F81" s="6">
        <v>0.41666666666666669</v>
      </c>
      <c r="G81" s="3">
        <f>E81 + IF(LOOKUP(시험일정!B81,자격증정보!$A$2:$A$7,자격증정보!$E$2:$E$7) = "당일날", 0, 1)</f>
        <v>44434</v>
      </c>
      <c r="H81" s="14">
        <f>IFERROR(COUNTIFS(표6[일정번호],표2[[#This Row],[번호]],표6[합격여부], "합격")/COUNTIFS(표6[일정번호],표2[[#This Row],[번호]]),0)</f>
        <v>0.125</v>
      </c>
      <c r="I81" s="48">
        <f>COUNTIF(표6[일정번호],표2[[#This Row],[번호]])</f>
        <v>8</v>
      </c>
      <c r="J81" s="10">
        <f t="shared" si="3"/>
        <v>44415</v>
      </c>
      <c r="K81" s="10">
        <f>E81 - MID(LOOKUP(B81,자격증정보!$A$2:$A$7,자격증정보!$D$2:$D$7),5,1)</f>
        <v>44429</v>
      </c>
    </row>
    <row r="82" spans="1:11">
      <c r="A82" s="2">
        <v>81</v>
      </c>
      <c r="B82" s="2">
        <v>3</v>
      </c>
      <c r="C82" s="2">
        <v>13</v>
      </c>
      <c r="D82" s="3" t="str">
        <f t="shared" si="2"/>
        <v>2021-08-06~2021-08-20</v>
      </c>
      <c r="E82" s="3">
        <v>44433</v>
      </c>
      <c r="F82" s="6">
        <v>0.45833333333333331</v>
      </c>
      <c r="G82" s="3">
        <f>E82 + IF(LOOKUP(시험일정!B82,자격증정보!$A$2:$A$7,자격증정보!$E$2:$E$7) = "당일날", 0, 1)</f>
        <v>44433</v>
      </c>
      <c r="H82" s="14">
        <f>IFERROR(COUNTIFS(표6[일정번호],표2[[#This Row],[번호]],표6[합격여부], "합격")/COUNTIFS(표6[일정번호],표2[[#This Row],[번호]]),0)</f>
        <v>0</v>
      </c>
      <c r="I82" s="48">
        <f>COUNTIF(표6[일정번호],표2[[#This Row],[번호]])</f>
        <v>4</v>
      </c>
      <c r="J82" s="10">
        <f t="shared" si="3"/>
        <v>44414</v>
      </c>
      <c r="K82" s="10">
        <f>E82 - MID(LOOKUP(B82,자격증정보!$A$2:$A$7,자격증정보!$D$2:$D$7),5,1)</f>
        <v>44428</v>
      </c>
    </row>
    <row r="83" spans="1:11">
      <c r="A83" s="2">
        <v>82</v>
      </c>
      <c r="B83" s="2">
        <v>6</v>
      </c>
      <c r="C83" s="2">
        <v>3</v>
      </c>
      <c r="D83" s="3" t="str">
        <f t="shared" si="2"/>
        <v>2021-08-03~2021-08-17</v>
      </c>
      <c r="E83" s="3">
        <v>44434</v>
      </c>
      <c r="F83" s="6">
        <v>0.375</v>
      </c>
      <c r="G83" s="3">
        <f>E83 + IF(LOOKUP(시험일정!B83,자격증정보!$A$2:$A$7,자격증정보!$E$2:$E$7) = "당일날", 0, 1)</f>
        <v>44435</v>
      </c>
      <c r="H83" s="14">
        <f>IFERROR(COUNTIFS(표6[일정번호],표2[[#This Row],[번호]],표6[합격여부], "합격")/COUNTIFS(표6[일정번호],표2[[#This Row],[번호]]),0)</f>
        <v>0</v>
      </c>
      <c r="I83" s="48">
        <f>COUNTIF(표6[일정번호],표2[[#This Row],[번호]])</f>
        <v>6</v>
      </c>
      <c r="J83" s="10">
        <f t="shared" si="3"/>
        <v>44411</v>
      </c>
      <c r="K83" s="10">
        <f>E83 - MID(LOOKUP(B83,자격증정보!$A$2:$A$7,자격증정보!$D$2:$D$7),5,1)</f>
        <v>44425</v>
      </c>
    </row>
    <row r="84" spans="1:11">
      <c r="A84" s="2">
        <v>83</v>
      </c>
      <c r="B84" s="2">
        <v>5</v>
      </c>
      <c r="C84" s="2">
        <v>18</v>
      </c>
      <c r="D84" s="3" t="str">
        <f t="shared" si="2"/>
        <v>2021-08-05~2021-08-19</v>
      </c>
      <c r="E84" s="3">
        <v>44436</v>
      </c>
      <c r="F84" s="6">
        <v>0.66666666666666663</v>
      </c>
      <c r="G84" s="3">
        <f>E84 + IF(LOOKUP(시험일정!B84,자격증정보!$A$2:$A$7,자격증정보!$E$2:$E$7) = "당일날", 0, 1)</f>
        <v>44437</v>
      </c>
      <c r="H84" s="14">
        <f>IFERROR(COUNTIFS(표6[일정번호],표2[[#This Row],[번호]],표6[합격여부], "합격")/COUNTIFS(표6[일정번호],표2[[#This Row],[번호]]),0)</f>
        <v>0</v>
      </c>
      <c r="I84" s="48">
        <f>COUNTIF(표6[일정번호],표2[[#This Row],[번호]])</f>
        <v>0</v>
      </c>
      <c r="J84" s="10">
        <f t="shared" si="3"/>
        <v>44413</v>
      </c>
      <c r="K84" s="10">
        <f>E84 - MID(LOOKUP(B84,자격증정보!$A$2:$A$7,자격증정보!$D$2:$D$7),5,1)</f>
        <v>44427</v>
      </c>
    </row>
    <row r="85" spans="1:11">
      <c r="A85" s="2">
        <v>84</v>
      </c>
      <c r="B85" s="2">
        <v>3</v>
      </c>
      <c r="C85" s="2">
        <v>14</v>
      </c>
      <c r="D85" s="3" t="str">
        <f t="shared" si="2"/>
        <v>2021-08-10~2021-08-24</v>
      </c>
      <c r="E85" s="3">
        <v>44437</v>
      </c>
      <c r="F85" s="6">
        <v>0.58333333333333337</v>
      </c>
      <c r="G85" s="3">
        <f>E85 + IF(LOOKUP(시험일정!B85,자격증정보!$A$2:$A$7,자격증정보!$E$2:$E$7) = "당일날", 0, 1)</f>
        <v>44437</v>
      </c>
      <c r="H85" s="14">
        <f>IFERROR(COUNTIFS(표6[일정번호],표2[[#This Row],[번호]],표6[합격여부], "합격")/COUNTIFS(표6[일정번호],표2[[#This Row],[번호]]),0)</f>
        <v>0</v>
      </c>
      <c r="I85" s="48">
        <f>COUNTIF(표6[일정번호],표2[[#This Row],[번호]])</f>
        <v>6</v>
      </c>
      <c r="J85" s="10">
        <f t="shared" si="3"/>
        <v>44418</v>
      </c>
      <c r="K85" s="10">
        <f>E85 - MID(LOOKUP(B85,자격증정보!$A$2:$A$7,자격증정보!$D$2:$D$7),5,1)</f>
        <v>44432</v>
      </c>
    </row>
    <row r="86" spans="1:11">
      <c r="A86" s="2">
        <v>85</v>
      </c>
      <c r="B86" s="2">
        <v>6</v>
      </c>
      <c r="C86" s="2">
        <v>4</v>
      </c>
      <c r="D86" s="3" t="str">
        <f t="shared" si="2"/>
        <v>2021-08-06~2021-08-20</v>
      </c>
      <c r="E86" s="3">
        <v>44437</v>
      </c>
      <c r="F86" s="6">
        <v>0.41666666666666669</v>
      </c>
      <c r="G86" s="3">
        <f>E86 + IF(LOOKUP(시험일정!B86,자격증정보!$A$2:$A$7,자격증정보!$E$2:$E$7) = "당일날", 0, 1)</f>
        <v>44438</v>
      </c>
      <c r="H86" s="14">
        <f>IFERROR(COUNTIFS(표6[일정번호],표2[[#This Row],[번호]],표6[합격여부], "합격")/COUNTIFS(표6[일정번호],표2[[#This Row],[번호]]),0)</f>
        <v>0</v>
      </c>
      <c r="I86" s="48">
        <f>COUNTIF(표6[일정번호],표2[[#This Row],[번호]])</f>
        <v>6</v>
      </c>
      <c r="J86" s="10">
        <f t="shared" si="3"/>
        <v>44414</v>
      </c>
      <c r="K86" s="10">
        <f>E86 - MID(LOOKUP(B86,자격증정보!$A$2:$A$7,자격증정보!$D$2:$D$7),5,1)</f>
        <v>44428</v>
      </c>
    </row>
    <row r="87" spans="1:11">
      <c r="A87" s="2">
        <v>86</v>
      </c>
      <c r="B87" s="2">
        <v>2</v>
      </c>
      <c r="C87" s="2">
        <v>9</v>
      </c>
      <c r="D87" s="3" t="str">
        <f t="shared" si="2"/>
        <v>2021-08-11~2021-08-25</v>
      </c>
      <c r="E87" s="3">
        <v>44438</v>
      </c>
      <c r="F87" s="6">
        <v>0.375</v>
      </c>
      <c r="G87" s="3">
        <f>E87 + IF(LOOKUP(시험일정!B87,자격증정보!$A$2:$A$7,자격증정보!$E$2:$E$7) = "당일날", 0, 1)</f>
        <v>44438</v>
      </c>
      <c r="H87" s="14">
        <f>IFERROR(COUNTIFS(표6[일정번호],표2[[#This Row],[번호]],표6[합격여부], "합격")/COUNTIFS(표6[일정번호],표2[[#This Row],[번호]]),0)</f>
        <v>0</v>
      </c>
      <c r="I87" s="48">
        <f>COUNTIF(표6[일정번호],표2[[#This Row],[번호]])</f>
        <v>0</v>
      </c>
      <c r="J87" s="10">
        <f t="shared" si="3"/>
        <v>44419</v>
      </c>
      <c r="K87" s="10">
        <f>E87 - MID(LOOKUP(B87,자격증정보!$A$2:$A$7,자격증정보!$D$2:$D$7),5,1)</f>
        <v>44433</v>
      </c>
    </row>
    <row r="88" spans="1:11">
      <c r="A88" s="2">
        <v>87</v>
      </c>
      <c r="B88" s="2">
        <v>4</v>
      </c>
      <c r="C88" s="2">
        <v>16</v>
      </c>
      <c r="D88" s="3" t="str">
        <f t="shared" si="2"/>
        <v>2021-08-07~2021-08-21</v>
      </c>
      <c r="E88" s="3">
        <v>44438</v>
      </c>
      <c r="F88" s="6">
        <v>0.625</v>
      </c>
      <c r="G88" s="3">
        <f>E88 + IF(LOOKUP(시험일정!B88,자격증정보!$A$2:$A$7,자격증정보!$E$2:$E$7) = "당일날", 0, 1)</f>
        <v>44439</v>
      </c>
      <c r="H88" s="14">
        <f>IFERROR(COUNTIFS(표6[일정번호],표2[[#This Row],[번호]],표6[합격여부], "합격")/COUNTIFS(표6[일정번호],표2[[#This Row],[번호]]),0)</f>
        <v>0</v>
      </c>
      <c r="I88" s="48">
        <f>COUNTIF(표6[일정번호],표2[[#This Row],[번호]])</f>
        <v>0</v>
      </c>
      <c r="J88" s="10">
        <f t="shared" si="3"/>
        <v>44415</v>
      </c>
      <c r="K88" s="10">
        <f>E88 - MID(LOOKUP(B88,자격증정보!$A$2:$A$7,자격증정보!$D$2:$D$7),5,1)</f>
        <v>44429</v>
      </c>
    </row>
    <row r="89" spans="1:11">
      <c r="A89" s="2">
        <v>88</v>
      </c>
      <c r="B89" s="2">
        <v>2</v>
      </c>
      <c r="C89" s="2">
        <v>10</v>
      </c>
      <c r="D89" s="3" t="str">
        <f t="shared" si="2"/>
        <v>2021-08-13~2021-08-27</v>
      </c>
      <c r="E89" s="3">
        <v>44440</v>
      </c>
      <c r="F89" s="6">
        <v>0.45833333333333331</v>
      </c>
      <c r="G89" s="3">
        <f>E89 + IF(LOOKUP(시험일정!B89,자격증정보!$A$2:$A$7,자격증정보!$E$2:$E$7) = "당일날", 0, 1)</f>
        <v>44440</v>
      </c>
      <c r="H89" s="14">
        <f>IFERROR(COUNTIFS(표6[일정번호],표2[[#This Row],[번호]],표6[합격여부], "합격")/COUNTIFS(표6[일정번호],표2[[#This Row],[번호]]),0)</f>
        <v>0</v>
      </c>
      <c r="I89" s="48">
        <f>COUNTIF(표6[일정번호],표2[[#This Row],[번호]])</f>
        <v>0</v>
      </c>
      <c r="J89" s="10">
        <f t="shared" si="3"/>
        <v>44421</v>
      </c>
      <c r="K89" s="10">
        <f>E89 - MID(LOOKUP(B89,자격증정보!$A$2:$A$7,자격증정보!$D$2:$D$7),5,1)</f>
        <v>44435</v>
      </c>
    </row>
    <row r="90" spans="1:11">
      <c r="A90" s="2">
        <v>89</v>
      </c>
      <c r="B90" s="2">
        <v>2</v>
      </c>
      <c r="C90" s="2">
        <v>11</v>
      </c>
      <c r="D90" s="3" t="str">
        <f t="shared" si="2"/>
        <v>2021-08-13~2021-08-27</v>
      </c>
      <c r="E90" s="3">
        <v>44440</v>
      </c>
      <c r="F90" s="6">
        <v>0.54166666666666663</v>
      </c>
      <c r="G90" s="3">
        <f>E90 + IF(LOOKUP(시험일정!B90,자격증정보!$A$2:$A$7,자격증정보!$E$2:$E$7) = "당일날", 0, 1)</f>
        <v>44440</v>
      </c>
      <c r="H90" s="14">
        <f>IFERROR(COUNTIFS(표6[일정번호],표2[[#This Row],[번호]],표6[합격여부], "합격")/COUNTIFS(표6[일정번호],표2[[#This Row],[번호]]),0)</f>
        <v>0</v>
      </c>
      <c r="I90" s="48">
        <f>COUNTIF(표6[일정번호],표2[[#This Row],[번호]])</f>
        <v>0</v>
      </c>
      <c r="J90" s="10">
        <f t="shared" si="3"/>
        <v>44421</v>
      </c>
      <c r="K90" s="10">
        <f>E90 - MID(LOOKUP(B90,자격증정보!$A$2:$A$7,자격증정보!$D$2:$D$7),5,1)</f>
        <v>44435</v>
      </c>
    </row>
    <row r="91" spans="1:11">
      <c r="A91" s="2">
        <v>90</v>
      </c>
      <c r="B91" s="2">
        <v>3</v>
      </c>
      <c r="C91" s="2">
        <v>15</v>
      </c>
      <c r="D91" s="3" t="str">
        <f t="shared" si="2"/>
        <v>2021-08-13~2021-08-27</v>
      </c>
      <c r="E91" s="3">
        <v>44440</v>
      </c>
      <c r="F91" s="6">
        <v>0.375</v>
      </c>
      <c r="G91" s="3">
        <f>E91 + IF(LOOKUP(시험일정!B91,자격증정보!$A$2:$A$7,자격증정보!$E$2:$E$7) = "당일날", 0, 1)</f>
        <v>44440</v>
      </c>
      <c r="H91" s="14">
        <f>IFERROR(COUNTIFS(표6[일정번호],표2[[#This Row],[번호]],표6[합격여부], "합격")/COUNTIFS(표6[일정번호],표2[[#This Row],[번호]]),0)</f>
        <v>0</v>
      </c>
      <c r="I91" s="48">
        <f>COUNTIF(표6[일정번호],표2[[#This Row],[번호]])</f>
        <v>5</v>
      </c>
      <c r="J91" s="10">
        <f t="shared" si="3"/>
        <v>44421</v>
      </c>
      <c r="K91" s="10">
        <f>E91 - MID(LOOKUP(B91,자격증정보!$A$2:$A$7,자격증정보!$D$2:$D$7),5,1)</f>
        <v>44435</v>
      </c>
    </row>
    <row r="92" spans="1:11">
      <c r="A92" s="2">
        <v>91</v>
      </c>
      <c r="B92" s="2">
        <v>4</v>
      </c>
      <c r="C92" s="2">
        <v>17</v>
      </c>
      <c r="D92" s="3" t="str">
        <f t="shared" si="2"/>
        <v>2021-08-09~2021-08-23</v>
      </c>
      <c r="E92" s="3">
        <v>44440</v>
      </c>
      <c r="F92" s="6">
        <v>0.54166666666666663</v>
      </c>
      <c r="G92" s="3">
        <f>E92 + IF(LOOKUP(시험일정!B92,자격증정보!$A$2:$A$7,자격증정보!$E$2:$E$7) = "당일날", 0, 1)</f>
        <v>44441</v>
      </c>
      <c r="H92" s="14">
        <f>IFERROR(COUNTIFS(표6[일정번호],표2[[#This Row],[번호]],표6[합격여부], "합격")/COUNTIFS(표6[일정번호],표2[[#This Row],[번호]]),0)</f>
        <v>0</v>
      </c>
      <c r="I92" s="48">
        <f>COUNTIF(표6[일정번호],표2[[#This Row],[번호]])</f>
        <v>0</v>
      </c>
      <c r="J92" s="10">
        <f t="shared" si="3"/>
        <v>44417</v>
      </c>
      <c r="K92" s="10">
        <f>E92 - MID(LOOKUP(B92,자격증정보!$A$2:$A$7,자격증정보!$D$2:$D$7),5,1)</f>
        <v>44431</v>
      </c>
    </row>
    <row r="93" spans="1:11">
      <c r="A93" s="2">
        <v>92</v>
      </c>
      <c r="B93" s="2">
        <v>6</v>
      </c>
      <c r="C93" s="2">
        <v>5</v>
      </c>
      <c r="D93" s="3" t="str">
        <f t="shared" si="2"/>
        <v>2021-08-09~2021-08-23</v>
      </c>
      <c r="E93" s="3">
        <v>44440</v>
      </c>
      <c r="F93" s="6">
        <v>0.54166666666666663</v>
      </c>
      <c r="G93" s="3">
        <f>E93 + IF(LOOKUP(시험일정!B93,자격증정보!$A$2:$A$7,자격증정보!$E$2:$E$7) = "당일날", 0, 1)</f>
        <v>44441</v>
      </c>
      <c r="H93" s="14">
        <f>IFERROR(COUNTIFS(표6[일정번호],표2[[#This Row],[번호]],표6[합격여부], "합격")/COUNTIFS(표6[일정번호],표2[[#This Row],[번호]]),0)</f>
        <v>0</v>
      </c>
      <c r="I93" s="48">
        <f>COUNTIF(표6[일정번호],표2[[#This Row],[번호]])</f>
        <v>6</v>
      </c>
      <c r="J93" s="10">
        <f t="shared" si="3"/>
        <v>44417</v>
      </c>
      <c r="K93" s="10">
        <f>E93 - MID(LOOKUP(B93,자격증정보!$A$2:$A$7,자격증정보!$D$2:$D$7),5,1)</f>
        <v>44431</v>
      </c>
    </row>
    <row r="94" spans="1:11">
      <c r="A94" s="2">
        <v>93</v>
      </c>
      <c r="B94" s="2">
        <v>1</v>
      </c>
      <c r="C94" s="2">
        <v>27</v>
      </c>
      <c r="D94" s="3" t="str">
        <f t="shared" si="2"/>
        <v>2021-08-17~2021-08-31</v>
      </c>
      <c r="E94" s="3">
        <v>44443</v>
      </c>
      <c r="F94" s="6">
        <v>0.54166666666666663</v>
      </c>
      <c r="G94" s="3">
        <f>E94 + IF(LOOKUP(시험일정!B94,자격증정보!$A$2:$A$7,자격증정보!$E$2:$E$7) = "당일날", 0, 1)</f>
        <v>44444</v>
      </c>
      <c r="H94" s="14">
        <f>IFERROR(COUNTIFS(표6[일정번호],표2[[#This Row],[번호]],표6[합격여부], "합격")/COUNTIFS(표6[일정번호],표2[[#This Row],[번호]]),0)</f>
        <v>0</v>
      </c>
      <c r="I94" s="48">
        <f>COUNTIF(표6[일정번호],표2[[#This Row],[번호]])</f>
        <v>5</v>
      </c>
      <c r="J94" s="10">
        <f t="shared" si="3"/>
        <v>44425</v>
      </c>
      <c r="K94" s="10">
        <f>E94 - MID(LOOKUP(B94,자격증정보!$A$2:$A$7,자격증정보!$D$2:$D$7),5,1)</f>
        <v>44439</v>
      </c>
    </row>
    <row r="95" spans="1:11">
      <c r="A95" s="2">
        <v>94</v>
      </c>
      <c r="B95" s="2">
        <v>1</v>
      </c>
      <c r="C95" s="2">
        <v>28</v>
      </c>
      <c r="D95" s="3" t="str">
        <f t="shared" si="2"/>
        <v>2021-08-17~2021-08-31</v>
      </c>
      <c r="E95" s="3">
        <v>44443</v>
      </c>
      <c r="F95" s="6">
        <v>0.59722222222222221</v>
      </c>
      <c r="G95" s="3">
        <f>E95 + IF(LOOKUP(시험일정!B95,자격증정보!$A$2:$A$7,자격증정보!$E$2:$E$7) = "당일날", 0, 1)</f>
        <v>44444</v>
      </c>
      <c r="H95" s="14">
        <f>IFERROR(COUNTIFS(표6[일정번호],표2[[#This Row],[번호]],표6[합격여부], "합격")/COUNTIFS(표6[일정번호],표2[[#This Row],[번호]]),0)</f>
        <v>0</v>
      </c>
      <c r="I95" s="48">
        <f>COUNTIF(표6[일정번호],표2[[#This Row],[번호]])</f>
        <v>10</v>
      </c>
      <c r="J95" s="10">
        <f t="shared" si="3"/>
        <v>44425</v>
      </c>
      <c r="K95" s="10">
        <f>E95 - MID(LOOKUP(B95,자격증정보!$A$2:$A$7,자격증정보!$D$2:$D$7),5,1)</f>
        <v>44439</v>
      </c>
    </row>
    <row r="96" spans="1:11">
      <c r="A96" s="2">
        <v>95</v>
      </c>
      <c r="B96" s="2">
        <v>3</v>
      </c>
      <c r="C96" s="2">
        <v>16</v>
      </c>
      <c r="D96" s="3" t="str">
        <f t="shared" si="2"/>
        <v>2021-08-17~2021-08-31</v>
      </c>
      <c r="E96" s="3">
        <v>44444</v>
      </c>
      <c r="F96" s="6">
        <v>0.54166666666666663</v>
      </c>
      <c r="G96" s="3">
        <f>E96 + IF(LOOKUP(시험일정!B96,자격증정보!$A$2:$A$7,자격증정보!$E$2:$E$7) = "당일날", 0, 1)</f>
        <v>44444</v>
      </c>
      <c r="H96" s="14">
        <f>IFERROR(COUNTIFS(표6[일정번호],표2[[#This Row],[번호]],표6[합격여부], "합격")/COUNTIFS(표6[일정번호],표2[[#This Row],[번호]]),0)</f>
        <v>0</v>
      </c>
      <c r="I96" s="48">
        <f>COUNTIF(표6[일정번호],표2[[#This Row],[번호]])</f>
        <v>5</v>
      </c>
      <c r="J96" s="10">
        <f t="shared" si="3"/>
        <v>44425</v>
      </c>
      <c r="K96" s="10">
        <f>E96 - MID(LOOKUP(B96,자격증정보!$A$2:$A$7,자격증정보!$D$2:$D$7),5,1)</f>
        <v>44439</v>
      </c>
    </row>
    <row r="97" spans="1:11">
      <c r="A97" s="2">
        <v>96</v>
      </c>
      <c r="B97" s="2">
        <v>4</v>
      </c>
      <c r="C97" s="2">
        <v>18</v>
      </c>
      <c r="D97" s="3" t="str">
        <f t="shared" si="2"/>
        <v>2021-08-13~2021-08-27</v>
      </c>
      <c r="E97" s="3">
        <v>44444</v>
      </c>
      <c r="F97" s="6">
        <v>0.375</v>
      </c>
      <c r="G97" s="3">
        <f>E97 + IF(LOOKUP(시험일정!B97,자격증정보!$A$2:$A$7,자격증정보!$E$2:$E$7) = "당일날", 0, 1)</f>
        <v>44445</v>
      </c>
      <c r="H97" s="14">
        <f>IFERROR(COUNTIFS(표6[일정번호],표2[[#This Row],[번호]],표6[합격여부], "합격")/COUNTIFS(표6[일정번호],표2[[#This Row],[번호]]),0)</f>
        <v>0</v>
      </c>
      <c r="I97" s="48">
        <f>COUNTIF(표6[일정번호],표2[[#This Row],[번호]])</f>
        <v>2</v>
      </c>
      <c r="J97" s="10">
        <f t="shared" si="3"/>
        <v>44421</v>
      </c>
      <c r="K97" s="10">
        <f>E97 - MID(LOOKUP(B97,자격증정보!$A$2:$A$7,자격증정보!$D$2:$D$7),5,1)</f>
        <v>44435</v>
      </c>
    </row>
    <row r="98" spans="1:11">
      <c r="A98" s="2">
        <v>97</v>
      </c>
      <c r="B98" s="2">
        <v>2</v>
      </c>
      <c r="C98" s="2">
        <v>12</v>
      </c>
      <c r="D98" s="3" t="str">
        <f t="shared" si="2"/>
        <v>2021-08-19~2021-09-02</v>
      </c>
      <c r="E98" s="3">
        <v>44446</v>
      </c>
      <c r="F98" s="6">
        <v>0.625</v>
      </c>
      <c r="G98" s="3">
        <f>E98 + IF(LOOKUP(시험일정!B98,자격증정보!$A$2:$A$7,자격증정보!$E$2:$E$7) = "당일날", 0, 1)</f>
        <v>44446</v>
      </c>
      <c r="H98" s="14">
        <f>IFERROR(COUNTIFS(표6[일정번호],표2[[#This Row],[번호]],표6[합격여부], "합격")/COUNTIFS(표6[일정번호],표2[[#This Row],[번호]]),0)</f>
        <v>0</v>
      </c>
      <c r="I98" s="48">
        <f>COUNTIF(표6[일정번호],표2[[#This Row],[번호]])</f>
        <v>2</v>
      </c>
      <c r="J98" s="10">
        <f t="shared" si="3"/>
        <v>44427</v>
      </c>
      <c r="K98" s="10">
        <f>E98 - MID(LOOKUP(B98,자격증정보!$A$2:$A$7,자격증정보!$D$2:$D$7),5,1)</f>
        <v>44441</v>
      </c>
    </row>
    <row r="99" spans="1:11">
      <c r="A99" s="2">
        <v>98</v>
      </c>
      <c r="B99" s="2">
        <v>3</v>
      </c>
      <c r="C99" s="2">
        <v>17</v>
      </c>
      <c r="D99" s="3" t="str">
        <f t="shared" si="2"/>
        <v>2021-08-22~2021-09-05</v>
      </c>
      <c r="E99" s="3">
        <v>44449</v>
      </c>
      <c r="F99" s="6">
        <v>0.45833333333333331</v>
      </c>
      <c r="G99" s="3">
        <f>E99 + IF(LOOKUP(시험일정!B99,자격증정보!$A$2:$A$7,자격증정보!$E$2:$E$7) = "당일날", 0, 1)</f>
        <v>44449</v>
      </c>
      <c r="H99" s="14">
        <f>IFERROR(COUNTIFS(표6[일정번호],표2[[#This Row],[번호]],표6[합격여부], "합격")/COUNTIFS(표6[일정번호],표2[[#This Row],[번호]]),0)</f>
        <v>0.5</v>
      </c>
      <c r="I99" s="48">
        <f>COUNTIF(표6[일정번호],표2[[#This Row],[번호]])</f>
        <v>4</v>
      </c>
      <c r="J99" s="10">
        <f t="shared" si="3"/>
        <v>44430</v>
      </c>
      <c r="K99" s="10">
        <f>E99 - MID(LOOKUP(B99,자격증정보!$A$2:$A$7,자격증정보!$D$2:$D$7),5,1)</f>
        <v>44444</v>
      </c>
    </row>
    <row r="100" spans="1:11">
      <c r="A100" s="2">
        <v>99</v>
      </c>
      <c r="B100" s="2">
        <v>6</v>
      </c>
      <c r="C100" s="2">
        <v>6</v>
      </c>
      <c r="D100" s="3" t="str">
        <f t="shared" si="2"/>
        <v>2021-08-18~2021-09-01</v>
      </c>
      <c r="E100" s="3">
        <v>44449</v>
      </c>
      <c r="F100" s="6">
        <v>0.625</v>
      </c>
      <c r="G100" s="3">
        <f>E100 + IF(LOOKUP(시험일정!B100,자격증정보!$A$2:$A$7,자격증정보!$E$2:$E$7) = "당일날", 0, 1)</f>
        <v>44450</v>
      </c>
      <c r="H100" s="14">
        <f>IFERROR(COUNTIFS(표6[일정번호],표2[[#This Row],[번호]],표6[합격여부], "합격")/COUNTIFS(표6[일정번호],표2[[#This Row],[번호]]),0)</f>
        <v>0</v>
      </c>
      <c r="I100" s="48">
        <f>COUNTIF(표6[일정번호],표2[[#This Row],[번호]])</f>
        <v>7</v>
      </c>
      <c r="J100" s="10">
        <f t="shared" si="3"/>
        <v>44426</v>
      </c>
      <c r="K100" s="10">
        <f>E100 - MID(LOOKUP(B100,자격증정보!$A$2:$A$7,자격증정보!$D$2:$D$7),5,1)</f>
        <v>44440</v>
      </c>
    </row>
    <row r="101" spans="1:11">
      <c r="A101" s="2">
        <v>100</v>
      </c>
      <c r="B101" s="2">
        <v>2</v>
      </c>
      <c r="C101" s="2">
        <v>13</v>
      </c>
      <c r="D101" s="3" t="str">
        <f t="shared" si="2"/>
        <v>2021-08-23~2021-09-06</v>
      </c>
      <c r="E101" s="3">
        <v>44450</v>
      </c>
      <c r="F101" s="6">
        <v>0.45833333333333331</v>
      </c>
      <c r="G101" s="3">
        <f>E101 + IF(LOOKUP(시험일정!B101,자격증정보!$A$2:$A$7,자격증정보!$E$2:$E$7) = "당일날", 0, 1)</f>
        <v>44450</v>
      </c>
      <c r="H101" s="14">
        <f>IFERROR(COUNTIFS(표6[일정번호],표2[[#This Row],[번호]],표6[합격여부], "합격")/COUNTIFS(표6[일정번호],표2[[#This Row],[번호]]),0)</f>
        <v>0</v>
      </c>
      <c r="I101" s="48">
        <f>COUNTIF(표6[일정번호],표2[[#This Row],[번호]])</f>
        <v>0</v>
      </c>
      <c r="J101" s="10">
        <f t="shared" si="3"/>
        <v>44431</v>
      </c>
      <c r="K101" s="10">
        <f>E101 - MID(LOOKUP(B101,자격증정보!$A$2:$A$7,자격증정보!$D$2:$D$7),5,1)</f>
        <v>44445</v>
      </c>
    </row>
    <row r="102" spans="1:11">
      <c r="A102" s="2">
        <v>101</v>
      </c>
      <c r="B102" s="2">
        <v>1</v>
      </c>
      <c r="C102" s="2">
        <v>29</v>
      </c>
      <c r="D102" s="3" t="str">
        <f t="shared" si="2"/>
        <v>2021-08-25~2021-09-08</v>
      </c>
      <c r="E102" s="3">
        <v>44451</v>
      </c>
      <c r="F102" s="6">
        <v>0.45833333333333331</v>
      </c>
      <c r="G102" s="3">
        <f>E102 + IF(LOOKUP(시험일정!B102,자격증정보!$A$2:$A$7,자격증정보!$E$2:$E$7) = "당일날", 0, 1)</f>
        <v>44452</v>
      </c>
      <c r="H102" s="14">
        <f>IFERROR(COUNTIFS(표6[일정번호],표2[[#This Row],[번호]],표6[합격여부], "합격")/COUNTIFS(표6[일정번호],표2[[#This Row],[번호]]),0)</f>
        <v>0</v>
      </c>
      <c r="I102" s="48">
        <f>COUNTIF(표6[일정번호],표2[[#This Row],[번호]])</f>
        <v>8</v>
      </c>
      <c r="J102" s="10">
        <f t="shared" si="3"/>
        <v>44433</v>
      </c>
      <c r="K102" s="10">
        <f>E102 - MID(LOOKUP(B102,자격증정보!$A$2:$A$7,자격증정보!$D$2:$D$7),5,1)</f>
        <v>44447</v>
      </c>
    </row>
    <row r="103" spans="1:11">
      <c r="A103" s="2">
        <v>102</v>
      </c>
      <c r="B103" s="2">
        <v>2</v>
      </c>
      <c r="C103" s="2">
        <v>14</v>
      </c>
      <c r="D103" s="3" t="str">
        <f t="shared" si="2"/>
        <v>2021-08-24~2021-09-07</v>
      </c>
      <c r="E103" s="3">
        <v>44451</v>
      </c>
      <c r="F103" s="6">
        <v>0.54166666666666663</v>
      </c>
      <c r="G103" s="3">
        <f>E103 + IF(LOOKUP(시험일정!B103,자격증정보!$A$2:$A$7,자격증정보!$E$2:$E$7) = "당일날", 0, 1)</f>
        <v>44451</v>
      </c>
      <c r="H103" s="14">
        <f>IFERROR(COUNTIFS(표6[일정번호],표2[[#This Row],[번호]],표6[합격여부], "합격")/COUNTIFS(표6[일정번호],표2[[#This Row],[번호]]),0)</f>
        <v>0</v>
      </c>
      <c r="I103" s="48">
        <f>COUNTIF(표6[일정번호],표2[[#This Row],[번호]])</f>
        <v>0</v>
      </c>
      <c r="J103" s="10">
        <f t="shared" si="3"/>
        <v>44432</v>
      </c>
      <c r="K103" s="10">
        <f>E103 - MID(LOOKUP(B103,자격증정보!$A$2:$A$7,자격증정보!$D$2:$D$7),5,1)</f>
        <v>44446</v>
      </c>
    </row>
    <row r="104" spans="1:11">
      <c r="A104" s="2">
        <v>103</v>
      </c>
      <c r="B104" s="2">
        <v>6</v>
      </c>
      <c r="C104" s="2">
        <v>7</v>
      </c>
      <c r="D104" s="3" t="str">
        <f t="shared" si="2"/>
        <v>2021-08-22~2021-09-05</v>
      </c>
      <c r="E104" s="3">
        <v>44453</v>
      </c>
      <c r="F104" s="6">
        <v>0.375</v>
      </c>
      <c r="G104" s="3">
        <f>E104 + IF(LOOKUP(시험일정!B104,자격증정보!$A$2:$A$7,자격증정보!$E$2:$E$7) = "당일날", 0, 1)</f>
        <v>44454</v>
      </c>
      <c r="H104" s="14">
        <f>IFERROR(COUNTIFS(표6[일정번호],표2[[#This Row],[번호]],표6[합격여부], "합격")/COUNTIFS(표6[일정번호],표2[[#This Row],[번호]]),0)</f>
        <v>0</v>
      </c>
      <c r="I104" s="48">
        <f>COUNTIF(표6[일정번호],표2[[#This Row],[번호]])</f>
        <v>6</v>
      </c>
      <c r="J104" s="10">
        <f t="shared" si="3"/>
        <v>44430</v>
      </c>
      <c r="K104" s="10">
        <f>E104 - MID(LOOKUP(B104,자격증정보!$A$2:$A$7,자격증정보!$D$2:$D$7),5,1)</f>
        <v>44444</v>
      </c>
    </row>
    <row r="105" spans="1:11">
      <c r="A105" s="2">
        <v>104</v>
      </c>
      <c r="B105" s="2">
        <v>3</v>
      </c>
      <c r="C105" s="2">
        <v>18</v>
      </c>
      <c r="D105" s="3" t="str">
        <f t="shared" si="2"/>
        <v>2021-08-27~2021-09-10</v>
      </c>
      <c r="E105" s="3">
        <v>44454</v>
      </c>
      <c r="F105" s="6">
        <v>0.54166666666666663</v>
      </c>
      <c r="G105" s="3">
        <f>E105 + IF(LOOKUP(시험일정!B105,자격증정보!$A$2:$A$7,자격증정보!$E$2:$E$7) = "당일날", 0, 1)</f>
        <v>44454</v>
      </c>
      <c r="H105" s="14">
        <f>IFERROR(COUNTIFS(표6[일정번호],표2[[#This Row],[번호]],표6[합격여부], "합격")/COUNTIFS(표6[일정번호],표2[[#This Row],[번호]]),0)</f>
        <v>0.33333333333333331</v>
      </c>
      <c r="I105" s="48">
        <f>COUNTIF(표6[일정번호],표2[[#This Row],[번호]])</f>
        <v>3</v>
      </c>
      <c r="J105" s="10">
        <f t="shared" si="3"/>
        <v>44435</v>
      </c>
      <c r="K105" s="10">
        <f>E105 - MID(LOOKUP(B105,자격증정보!$A$2:$A$7,자격증정보!$D$2:$D$7),5,1)</f>
        <v>44449</v>
      </c>
    </row>
    <row r="106" spans="1:11">
      <c r="A106" s="2">
        <v>105</v>
      </c>
      <c r="B106" s="2">
        <v>5</v>
      </c>
      <c r="C106" s="2">
        <v>19</v>
      </c>
      <c r="D106" s="3" t="str">
        <f t="shared" si="2"/>
        <v>2021-08-23~2021-09-06</v>
      </c>
      <c r="E106" s="3">
        <v>44454</v>
      </c>
      <c r="F106" s="6">
        <v>0.625</v>
      </c>
      <c r="G106" s="3">
        <f>E106 + IF(LOOKUP(시험일정!B106,자격증정보!$A$2:$A$7,자격증정보!$E$2:$E$7) = "당일날", 0, 1)</f>
        <v>44455</v>
      </c>
      <c r="H106" s="14">
        <f>IFERROR(COUNTIFS(표6[일정번호],표2[[#This Row],[번호]],표6[합격여부], "합격")/COUNTIFS(표6[일정번호],표2[[#This Row],[번호]]),0)</f>
        <v>0</v>
      </c>
      <c r="I106" s="48">
        <f>COUNTIF(표6[일정번호],표2[[#This Row],[번호]])</f>
        <v>2</v>
      </c>
      <c r="J106" s="10">
        <f t="shared" si="3"/>
        <v>44431</v>
      </c>
      <c r="K106" s="10">
        <f>E106 - MID(LOOKUP(B106,자격증정보!$A$2:$A$7,자격증정보!$D$2:$D$7),5,1)</f>
        <v>44445</v>
      </c>
    </row>
    <row r="107" spans="1:11">
      <c r="A107" s="2">
        <v>106</v>
      </c>
      <c r="B107" s="2">
        <v>6</v>
      </c>
      <c r="C107" s="2">
        <v>8</v>
      </c>
      <c r="D107" s="3" t="str">
        <f t="shared" si="2"/>
        <v>2021-08-23~2021-09-06</v>
      </c>
      <c r="E107" s="3">
        <v>44454</v>
      </c>
      <c r="F107" s="6">
        <v>0.54166666666666663</v>
      </c>
      <c r="G107" s="3">
        <f>E107 + IF(LOOKUP(시험일정!B107,자격증정보!$A$2:$A$7,자격증정보!$E$2:$E$7) = "당일날", 0, 1)</f>
        <v>44455</v>
      </c>
      <c r="H107" s="14">
        <f>IFERROR(COUNTIFS(표6[일정번호],표2[[#This Row],[번호]],표6[합격여부], "합격")/COUNTIFS(표6[일정번호],표2[[#This Row],[번호]]),0)</f>
        <v>0.16666666666666666</v>
      </c>
      <c r="I107" s="48">
        <f>COUNTIF(표6[일정번호],표2[[#This Row],[번호]])</f>
        <v>6</v>
      </c>
      <c r="J107" s="10">
        <f t="shared" si="3"/>
        <v>44431</v>
      </c>
      <c r="K107" s="10">
        <f>E107 - MID(LOOKUP(B107,자격증정보!$A$2:$A$7,자격증정보!$D$2:$D$7),5,1)</f>
        <v>44445</v>
      </c>
    </row>
    <row r="108" spans="1:11">
      <c r="A108" s="2">
        <v>107</v>
      </c>
      <c r="B108" s="2">
        <v>5</v>
      </c>
      <c r="C108" s="2">
        <v>20</v>
      </c>
      <c r="D108" s="3" t="str">
        <f t="shared" si="2"/>
        <v>2021-08-24~2021-09-07</v>
      </c>
      <c r="E108" s="3">
        <v>44455</v>
      </c>
      <c r="F108" s="6">
        <v>0.625</v>
      </c>
      <c r="G108" s="3">
        <f>E108 + IF(LOOKUP(시험일정!B108,자격증정보!$A$2:$A$7,자격증정보!$E$2:$E$7) = "당일날", 0, 1)</f>
        <v>44456</v>
      </c>
      <c r="H108" s="14">
        <f>IFERROR(COUNTIFS(표6[일정번호],표2[[#This Row],[번호]],표6[합격여부], "합격")/COUNTIFS(표6[일정번호],표2[[#This Row],[번호]]),0)</f>
        <v>0</v>
      </c>
      <c r="I108" s="48">
        <f>COUNTIF(표6[일정번호],표2[[#This Row],[번호]])</f>
        <v>0</v>
      </c>
      <c r="J108" s="10">
        <f t="shared" si="3"/>
        <v>44432</v>
      </c>
      <c r="K108" s="10">
        <f>E108 - MID(LOOKUP(B108,자격증정보!$A$2:$A$7,자격증정보!$D$2:$D$7),5,1)</f>
        <v>44446</v>
      </c>
    </row>
    <row r="109" spans="1:11">
      <c r="A109" s="2">
        <v>108</v>
      </c>
      <c r="B109" s="2">
        <v>2</v>
      </c>
      <c r="C109" s="2">
        <v>15</v>
      </c>
      <c r="D109" s="3" t="str">
        <f t="shared" si="2"/>
        <v>2021-08-29~2021-09-12</v>
      </c>
      <c r="E109" s="3">
        <v>44456</v>
      </c>
      <c r="F109" s="6">
        <v>0.66666666666666663</v>
      </c>
      <c r="G109" s="3">
        <f>E109 + IF(LOOKUP(시험일정!B109,자격증정보!$A$2:$A$7,자격증정보!$E$2:$E$7) = "당일날", 0, 1)</f>
        <v>44456</v>
      </c>
      <c r="H109" s="14">
        <f>IFERROR(COUNTIFS(표6[일정번호],표2[[#This Row],[번호]],표6[합격여부], "합격")/COUNTIFS(표6[일정번호],표2[[#This Row],[번호]]),0)</f>
        <v>0</v>
      </c>
      <c r="I109" s="48">
        <f>COUNTIF(표6[일정번호],표2[[#This Row],[번호]])</f>
        <v>2</v>
      </c>
      <c r="J109" s="10">
        <f t="shared" si="3"/>
        <v>44437</v>
      </c>
      <c r="K109" s="10">
        <f>E109 - MID(LOOKUP(B109,자격증정보!$A$2:$A$7,자격증정보!$D$2:$D$7),5,1)</f>
        <v>44451</v>
      </c>
    </row>
    <row r="110" spans="1:11">
      <c r="A110" s="2">
        <v>109</v>
      </c>
      <c r="B110" s="2">
        <v>1</v>
      </c>
      <c r="C110" s="2">
        <v>30</v>
      </c>
      <c r="D110" s="3" t="str">
        <f t="shared" si="2"/>
        <v>2021-08-31~2021-09-14</v>
      </c>
      <c r="E110" s="3">
        <v>44457</v>
      </c>
      <c r="F110" s="6">
        <v>0.58333333333333337</v>
      </c>
      <c r="G110" s="3">
        <f>E110 + IF(LOOKUP(시험일정!B110,자격증정보!$A$2:$A$7,자격증정보!$E$2:$E$7) = "당일날", 0, 1)</f>
        <v>44458</v>
      </c>
      <c r="H110" s="14">
        <f>IFERROR(COUNTIFS(표6[일정번호],표2[[#This Row],[번호]],표6[합격여부], "합격")/COUNTIFS(표6[일정번호],표2[[#This Row],[번호]]),0)</f>
        <v>0</v>
      </c>
      <c r="I110" s="48">
        <f>COUNTIF(표6[일정번호],표2[[#This Row],[번호]])</f>
        <v>8</v>
      </c>
      <c r="J110" s="10">
        <f t="shared" si="3"/>
        <v>44439</v>
      </c>
      <c r="K110" s="10">
        <f>E110 - MID(LOOKUP(B110,자격증정보!$A$2:$A$7,자격증정보!$D$2:$D$7),5,1)</f>
        <v>44453</v>
      </c>
    </row>
    <row r="111" spans="1:11">
      <c r="A111" s="2">
        <v>110</v>
      </c>
      <c r="B111" s="2">
        <v>3</v>
      </c>
      <c r="C111" s="2">
        <v>19</v>
      </c>
      <c r="D111" s="3" t="str">
        <f t="shared" si="2"/>
        <v>2021-08-30~2021-09-13</v>
      </c>
      <c r="E111" s="3">
        <v>44457</v>
      </c>
      <c r="F111" s="6">
        <v>0.45833333333333331</v>
      </c>
      <c r="G111" s="3">
        <f>E111 + IF(LOOKUP(시험일정!B111,자격증정보!$A$2:$A$7,자격증정보!$E$2:$E$7) = "당일날", 0, 1)</f>
        <v>44457</v>
      </c>
      <c r="H111" s="14">
        <f>IFERROR(COUNTIFS(표6[일정번호],표2[[#This Row],[번호]],표6[합격여부], "합격")/COUNTIFS(표6[일정번호],표2[[#This Row],[번호]]),0)</f>
        <v>0</v>
      </c>
      <c r="I111" s="48">
        <f>COUNTIF(표6[일정번호],표2[[#This Row],[번호]])</f>
        <v>4</v>
      </c>
      <c r="J111" s="10">
        <f t="shared" si="3"/>
        <v>44438</v>
      </c>
      <c r="K111" s="10">
        <f>E111 - MID(LOOKUP(B111,자격증정보!$A$2:$A$7,자격증정보!$D$2:$D$7),5,1)</f>
        <v>44452</v>
      </c>
    </row>
    <row r="112" spans="1:11">
      <c r="A112" s="2">
        <v>111</v>
      </c>
      <c r="B112" s="2">
        <v>5</v>
      </c>
      <c r="C112" s="2">
        <v>21</v>
      </c>
      <c r="D112" s="3" t="str">
        <f t="shared" si="2"/>
        <v>2021-08-26~2021-09-09</v>
      </c>
      <c r="E112" s="3">
        <v>44457</v>
      </c>
      <c r="F112" s="6">
        <v>0.375</v>
      </c>
      <c r="G112" s="3">
        <f>E112 + IF(LOOKUP(시험일정!B112,자격증정보!$A$2:$A$7,자격증정보!$E$2:$E$7) = "당일날", 0, 1)</f>
        <v>44458</v>
      </c>
      <c r="H112" s="14">
        <f>IFERROR(COUNTIFS(표6[일정번호],표2[[#This Row],[번호]],표6[합격여부], "합격")/COUNTIFS(표6[일정번호],표2[[#This Row],[번호]]),0)</f>
        <v>0</v>
      </c>
      <c r="I112" s="48">
        <f>COUNTIF(표6[일정번호],표2[[#This Row],[번호]])</f>
        <v>0</v>
      </c>
      <c r="J112" s="10">
        <f t="shared" si="3"/>
        <v>44434</v>
      </c>
      <c r="K112" s="10">
        <f>E112 - MID(LOOKUP(B112,자격증정보!$A$2:$A$7,자격증정보!$D$2:$D$7),5,1)</f>
        <v>44448</v>
      </c>
    </row>
    <row r="113" spans="1:11">
      <c r="A113" s="2">
        <v>112</v>
      </c>
      <c r="B113" s="2">
        <v>3</v>
      </c>
      <c r="C113" s="2">
        <v>20</v>
      </c>
      <c r="D113" s="3" t="str">
        <f t="shared" si="2"/>
        <v>2021-08-31~2021-09-14</v>
      </c>
      <c r="E113" s="3">
        <v>44458</v>
      </c>
      <c r="F113" s="6">
        <v>0.41666666666666669</v>
      </c>
      <c r="G113" s="3">
        <f>E113 + IF(LOOKUP(시험일정!B113,자격증정보!$A$2:$A$7,자격증정보!$E$2:$E$7) = "당일날", 0, 1)</f>
        <v>44458</v>
      </c>
      <c r="H113" s="14">
        <f>IFERROR(COUNTIFS(표6[일정번호],표2[[#This Row],[번호]],표6[합격여부], "합격")/COUNTIFS(표6[일정번호],표2[[#This Row],[번호]]),0)</f>
        <v>0</v>
      </c>
      <c r="I113" s="48">
        <f>COUNTIF(표6[일정번호],표2[[#This Row],[번호]])</f>
        <v>3</v>
      </c>
      <c r="J113" s="10">
        <f t="shared" si="3"/>
        <v>44439</v>
      </c>
      <c r="K113" s="10">
        <f>E113 - MID(LOOKUP(B113,자격증정보!$A$2:$A$7,자격증정보!$D$2:$D$7),5,1)</f>
        <v>44453</v>
      </c>
    </row>
    <row r="114" spans="1:11">
      <c r="A114" s="2">
        <v>113</v>
      </c>
      <c r="B114" s="2">
        <v>1</v>
      </c>
      <c r="C114" s="2">
        <v>31</v>
      </c>
      <c r="D114" s="3" t="str">
        <f t="shared" si="2"/>
        <v>2021-09-02~2021-09-16</v>
      </c>
      <c r="E114" s="3">
        <v>44459</v>
      </c>
      <c r="F114" s="6">
        <v>0.625</v>
      </c>
      <c r="G114" s="3">
        <f>E114 + IF(LOOKUP(시험일정!B114,자격증정보!$A$2:$A$7,자격증정보!$E$2:$E$7) = "당일날", 0, 1)</f>
        <v>44460</v>
      </c>
      <c r="H114" s="14">
        <f>IFERROR(COUNTIFS(표6[일정번호],표2[[#This Row],[번호]],표6[합격여부], "합격")/COUNTIFS(표6[일정번호],표2[[#This Row],[번호]]),0)</f>
        <v>0</v>
      </c>
      <c r="I114" s="48">
        <f>COUNTIF(표6[일정번호],표2[[#This Row],[번호]])</f>
        <v>10</v>
      </c>
      <c r="J114" s="10">
        <f t="shared" si="3"/>
        <v>44441</v>
      </c>
      <c r="K114" s="10">
        <f>E114 - MID(LOOKUP(B114,자격증정보!$A$2:$A$7,자격증정보!$D$2:$D$7),5,1)</f>
        <v>44455</v>
      </c>
    </row>
    <row r="115" spans="1:11">
      <c r="A115" s="2">
        <v>114</v>
      </c>
      <c r="B115" s="2">
        <v>1</v>
      </c>
      <c r="C115" s="2">
        <v>32</v>
      </c>
      <c r="D115" s="3" t="str">
        <f t="shared" si="2"/>
        <v>2021-09-05~2021-09-19</v>
      </c>
      <c r="E115" s="3">
        <v>44462</v>
      </c>
      <c r="F115" s="6">
        <v>0.41666666666666669</v>
      </c>
      <c r="G115" s="3">
        <f>E115 + IF(LOOKUP(시험일정!B115,자격증정보!$A$2:$A$7,자격증정보!$E$2:$E$7) = "당일날", 0, 1)</f>
        <v>44463</v>
      </c>
      <c r="H115" s="14">
        <f>IFERROR(COUNTIFS(표6[일정번호],표2[[#This Row],[번호]],표6[합격여부], "합격")/COUNTIFS(표6[일정번호],표2[[#This Row],[번호]]),0)</f>
        <v>0</v>
      </c>
      <c r="I115" s="48">
        <f>COUNTIF(표6[일정번호],표2[[#This Row],[번호]])</f>
        <v>9</v>
      </c>
      <c r="J115" s="10">
        <f t="shared" si="3"/>
        <v>44444</v>
      </c>
      <c r="K115" s="10">
        <f>E115 - MID(LOOKUP(B115,자격증정보!$A$2:$A$7,자격증정보!$D$2:$D$7),5,1)</f>
        <v>44458</v>
      </c>
    </row>
    <row r="116" spans="1:11">
      <c r="A116" s="2">
        <v>115</v>
      </c>
      <c r="B116" s="2">
        <v>3</v>
      </c>
      <c r="C116" s="2">
        <v>21</v>
      </c>
      <c r="D116" s="3" t="str">
        <f t="shared" si="2"/>
        <v>2021-09-04~2021-09-18</v>
      </c>
      <c r="E116" s="3">
        <v>44462</v>
      </c>
      <c r="F116" s="6">
        <v>0.375</v>
      </c>
      <c r="G116" s="3">
        <f>E116 + IF(LOOKUP(시험일정!B116,자격증정보!$A$2:$A$7,자격증정보!$E$2:$E$7) = "당일날", 0, 1)</f>
        <v>44462</v>
      </c>
      <c r="H116" s="14">
        <f>IFERROR(COUNTIFS(표6[일정번호],표2[[#This Row],[번호]],표6[합격여부], "합격")/COUNTIFS(표6[일정번호],표2[[#This Row],[번호]]),0)</f>
        <v>1</v>
      </c>
      <c r="I116" s="48">
        <f>COUNTIF(표6[일정번호],표2[[#This Row],[번호]])</f>
        <v>2</v>
      </c>
      <c r="J116" s="10">
        <f t="shared" si="3"/>
        <v>44443</v>
      </c>
      <c r="K116" s="10">
        <f>E116 - MID(LOOKUP(B116,자격증정보!$A$2:$A$7,자격증정보!$D$2:$D$7),5,1)</f>
        <v>44457</v>
      </c>
    </row>
    <row r="117" spans="1:11">
      <c r="A117" s="2">
        <v>116</v>
      </c>
      <c r="B117" s="2">
        <v>5</v>
      </c>
      <c r="C117" s="2">
        <v>22</v>
      </c>
      <c r="D117" s="3" t="str">
        <f t="shared" si="2"/>
        <v>2021-08-31~2021-09-14</v>
      </c>
      <c r="E117" s="3">
        <v>44462</v>
      </c>
      <c r="F117" s="6">
        <v>0.375</v>
      </c>
      <c r="G117" s="3">
        <f>E117 + IF(LOOKUP(시험일정!B117,자격증정보!$A$2:$A$7,자격증정보!$E$2:$E$7) = "당일날", 0, 1)</f>
        <v>44463</v>
      </c>
      <c r="H117" s="14">
        <f>IFERROR(COUNTIFS(표6[일정번호],표2[[#This Row],[번호]],표6[합격여부], "합격")/COUNTIFS(표6[일정번호],표2[[#This Row],[번호]]),0)</f>
        <v>0</v>
      </c>
      <c r="I117" s="48">
        <f>COUNTIF(표6[일정번호],표2[[#This Row],[번호]])</f>
        <v>2</v>
      </c>
      <c r="J117" s="10">
        <f t="shared" si="3"/>
        <v>44439</v>
      </c>
      <c r="K117" s="10">
        <f>E117 - MID(LOOKUP(B117,자격증정보!$A$2:$A$7,자격증정보!$D$2:$D$7),5,1)</f>
        <v>44453</v>
      </c>
    </row>
    <row r="118" spans="1:11">
      <c r="A118" s="2">
        <v>117</v>
      </c>
      <c r="B118" s="2">
        <v>1</v>
      </c>
      <c r="C118" s="2">
        <v>33</v>
      </c>
      <c r="D118" s="3" t="str">
        <f t="shared" si="2"/>
        <v>2021-09-07~2021-09-21</v>
      </c>
      <c r="E118" s="3">
        <v>44464</v>
      </c>
      <c r="F118" s="6">
        <v>0.66666666666666663</v>
      </c>
      <c r="G118" s="3">
        <f>E118 + IF(LOOKUP(시험일정!B118,자격증정보!$A$2:$A$7,자격증정보!$E$2:$E$7) = "당일날", 0, 1)</f>
        <v>44465</v>
      </c>
      <c r="H118" s="14">
        <f>IFERROR(COUNTIFS(표6[일정번호],표2[[#This Row],[번호]],표6[합격여부], "합격")/COUNTIFS(표6[일정번호],표2[[#This Row],[번호]]),0)</f>
        <v>0</v>
      </c>
      <c r="I118" s="48">
        <f>COUNTIF(표6[일정번호],표2[[#This Row],[번호]])</f>
        <v>7</v>
      </c>
      <c r="J118" s="10">
        <f t="shared" si="3"/>
        <v>44446</v>
      </c>
      <c r="K118" s="10">
        <f>E118 - MID(LOOKUP(B118,자격증정보!$A$2:$A$7,자격증정보!$D$2:$D$7),5,1)</f>
        <v>44460</v>
      </c>
    </row>
    <row r="119" spans="1:11">
      <c r="A119" s="2">
        <v>118</v>
      </c>
      <c r="B119" s="2">
        <v>5</v>
      </c>
      <c r="C119" s="2">
        <v>23</v>
      </c>
      <c r="D119" s="3" t="str">
        <f t="shared" si="2"/>
        <v>2021-09-02~2021-09-16</v>
      </c>
      <c r="E119" s="3">
        <v>44464</v>
      </c>
      <c r="F119" s="6">
        <v>0.54166666666666663</v>
      </c>
      <c r="G119" s="3">
        <f>E119 + IF(LOOKUP(시험일정!B119,자격증정보!$A$2:$A$7,자격증정보!$E$2:$E$7) = "당일날", 0, 1)</f>
        <v>44465</v>
      </c>
      <c r="H119" s="14">
        <f>IFERROR(COUNTIFS(표6[일정번호],표2[[#This Row],[번호]],표6[합격여부], "합격")/COUNTIFS(표6[일정번호],표2[[#This Row],[번호]]),0)</f>
        <v>0</v>
      </c>
      <c r="I119" s="48">
        <f>COUNTIF(표6[일정번호],표2[[#This Row],[번호]])</f>
        <v>0</v>
      </c>
      <c r="J119" s="10">
        <f t="shared" si="3"/>
        <v>44441</v>
      </c>
      <c r="K119" s="10">
        <f>E119 - MID(LOOKUP(B119,자격증정보!$A$2:$A$7,자격증정보!$D$2:$D$7),5,1)</f>
        <v>44455</v>
      </c>
    </row>
    <row r="120" spans="1:11">
      <c r="A120" s="2">
        <v>119</v>
      </c>
      <c r="B120" s="2">
        <v>6</v>
      </c>
      <c r="C120" s="2">
        <v>9</v>
      </c>
      <c r="D120" s="3" t="str">
        <f t="shared" si="2"/>
        <v>2021-09-02~2021-09-16</v>
      </c>
      <c r="E120" s="3">
        <v>44464</v>
      </c>
      <c r="F120" s="6">
        <v>0.66666666666666663</v>
      </c>
      <c r="G120" s="3">
        <f>E120 + IF(LOOKUP(시험일정!B120,자격증정보!$A$2:$A$7,자격증정보!$E$2:$E$7) = "당일날", 0, 1)</f>
        <v>44465</v>
      </c>
      <c r="H120" s="14">
        <f>IFERROR(COUNTIFS(표6[일정번호],표2[[#This Row],[번호]],표6[합격여부], "합격")/COUNTIFS(표6[일정번호],표2[[#This Row],[번호]]),0)</f>
        <v>0.16666666666666666</v>
      </c>
      <c r="I120" s="48">
        <f>COUNTIF(표6[일정번호],표2[[#This Row],[번호]])</f>
        <v>6</v>
      </c>
      <c r="J120" s="10">
        <f t="shared" si="3"/>
        <v>44441</v>
      </c>
      <c r="K120" s="10">
        <f>E120 - MID(LOOKUP(B120,자격증정보!$A$2:$A$7,자격증정보!$D$2:$D$7),5,1)</f>
        <v>44455</v>
      </c>
    </row>
    <row r="121" spans="1:11">
      <c r="A121" s="2">
        <v>120</v>
      </c>
      <c r="B121" s="2">
        <v>1</v>
      </c>
      <c r="C121" s="2">
        <v>34</v>
      </c>
      <c r="D121" s="3" t="str">
        <f t="shared" si="2"/>
        <v>2021-09-08~2021-09-22</v>
      </c>
      <c r="E121" s="3">
        <v>44465</v>
      </c>
      <c r="F121" s="6">
        <v>0.375</v>
      </c>
      <c r="G121" s="3">
        <f>E121 + IF(LOOKUP(시험일정!B121,자격증정보!$A$2:$A$7,자격증정보!$E$2:$E$7) = "당일날", 0, 1)</f>
        <v>44466</v>
      </c>
      <c r="H121" s="14">
        <f>IFERROR(COUNTIFS(표6[일정번호],표2[[#This Row],[번호]],표6[합격여부], "합격")/COUNTIFS(표6[일정번호],표2[[#This Row],[번호]]),0)</f>
        <v>0</v>
      </c>
      <c r="I121" s="48">
        <f>COUNTIF(표6[일정번호],표2[[#This Row],[번호]])</f>
        <v>8</v>
      </c>
      <c r="J121" s="10">
        <f t="shared" si="3"/>
        <v>44447</v>
      </c>
      <c r="K121" s="10">
        <f>E121 - MID(LOOKUP(B121,자격증정보!$A$2:$A$7,자격증정보!$D$2:$D$7),5,1)</f>
        <v>44461</v>
      </c>
    </row>
    <row r="122" spans="1:11">
      <c r="A122" s="2">
        <v>121</v>
      </c>
      <c r="B122" s="2">
        <v>1</v>
      </c>
      <c r="C122" s="2">
        <v>35</v>
      </c>
      <c r="D122" s="3" t="str">
        <f t="shared" si="2"/>
        <v>2021-09-09~2021-09-23</v>
      </c>
      <c r="E122" s="3">
        <v>44466</v>
      </c>
      <c r="F122" s="6">
        <v>0.375</v>
      </c>
      <c r="G122" s="3">
        <f>E122 + IF(LOOKUP(시험일정!B122,자격증정보!$A$2:$A$7,자격증정보!$E$2:$E$7) = "당일날", 0, 1)</f>
        <v>44467</v>
      </c>
      <c r="H122" s="14">
        <f>IFERROR(COUNTIFS(표6[일정번호],표2[[#This Row],[번호]],표6[합격여부], "합격")/COUNTIFS(표6[일정번호],표2[[#This Row],[번호]]),0)</f>
        <v>0</v>
      </c>
      <c r="I122" s="48">
        <f>COUNTIF(표6[일정번호],표2[[#This Row],[번호]])</f>
        <v>8</v>
      </c>
      <c r="J122" s="10">
        <f t="shared" si="3"/>
        <v>44448</v>
      </c>
      <c r="K122" s="10">
        <f>E122 - MID(LOOKUP(B122,자격증정보!$A$2:$A$7,자격증정보!$D$2:$D$7),5,1)</f>
        <v>44462</v>
      </c>
    </row>
    <row r="123" spans="1:11">
      <c r="A123" s="2">
        <v>122</v>
      </c>
      <c r="B123" s="2">
        <v>1</v>
      </c>
      <c r="C123" s="2">
        <v>36</v>
      </c>
      <c r="D123" s="3" t="str">
        <f t="shared" si="2"/>
        <v>2021-09-09~2021-09-23</v>
      </c>
      <c r="E123" s="3">
        <v>44466</v>
      </c>
      <c r="F123" s="6">
        <v>0.45833333333333331</v>
      </c>
      <c r="G123" s="3">
        <f>E123 + IF(LOOKUP(시험일정!B123,자격증정보!$A$2:$A$7,자격증정보!$E$2:$E$7) = "당일날", 0, 1)</f>
        <v>44467</v>
      </c>
      <c r="H123" s="14">
        <f>IFERROR(COUNTIFS(표6[일정번호],표2[[#This Row],[번호]],표6[합격여부], "합격")/COUNTIFS(표6[일정번호],표2[[#This Row],[번호]]),0)</f>
        <v>0.5</v>
      </c>
      <c r="I123" s="48">
        <f>COUNTIF(표6[일정번호],표2[[#This Row],[번호]])</f>
        <v>6</v>
      </c>
      <c r="J123" s="10">
        <f t="shared" si="3"/>
        <v>44448</v>
      </c>
      <c r="K123" s="10">
        <f>E123 - MID(LOOKUP(B123,자격증정보!$A$2:$A$7,자격증정보!$D$2:$D$7),5,1)</f>
        <v>44462</v>
      </c>
    </row>
    <row r="124" spans="1:11">
      <c r="A124" s="2">
        <v>123</v>
      </c>
      <c r="B124" s="2">
        <v>4</v>
      </c>
      <c r="C124" s="2">
        <v>19</v>
      </c>
      <c r="D124" s="3" t="str">
        <f t="shared" si="2"/>
        <v>2021-09-04~2021-09-18</v>
      </c>
      <c r="E124" s="3">
        <v>44466</v>
      </c>
      <c r="F124" s="6">
        <v>0.54166666666666663</v>
      </c>
      <c r="G124" s="3">
        <f>E124 + IF(LOOKUP(시험일정!B124,자격증정보!$A$2:$A$7,자격증정보!$E$2:$E$7) = "당일날", 0, 1)</f>
        <v>44467</v>
      </c>
      <c r="H124" s="14">
        <f>IFERROR(COUNTIFS(표6[일정번호],표2[[#This Row],[번호]],표6[합격여부], "합격")/COUNTIFS(표6[일정번호],표2[[#This Row],[번호]]),0)</f>
        <v>0</v>
      </c>
      <c r="I124" s="48">
        <f>COUNTIF(표6[일정번호],표2[[#This Row],[번호]])</f>
        <v>0</v>
      </c>
      <c r="J124" s="10">
        <f t="shared" si="3"/>
        <v>44443</v>
      </c>
      <c r="K124" s="10">
        <f>E124 - MID(LOOKUP(B124,자격증정보!$A$2:$A$7,자격증정보!$D$2:$D$7),5,1)</f>
        <v>44457</v>
      </c>
    </row>
    <row r="125" spans="1:11">
      <c r="A125" s="2">
        <v>124</v>
      </c>
      <c r="B125" s="2">
        <v>2</v>
      </c>
      <c r="C125" s="2">
        <v>16</v>
      </c>
      <c r="D125" s="3" t="str">
        <f t="shared" si="2"/>
        <v>2021-09-09~2021-09-23</v>
      </c>
      <c r="E125" s="3">
        <v>44467</v>
      </c>
      <c r="F125" s="6">
        <v>0.58333333333333337</v>
      </c>
      <c r="G125" s="3">
        <f>E125 + IF(LOOKUP(시험일정!B125,자격증정보!$A$2:$A$7,자격증정보!$E$2:$E$7) = "당일날", 0, 1)</f>
        <v>44467</v>
      </c>
      <c r="H125" s="14">
        <f>IFERROR(COUNTIFS(표6[일정번호],표2[[#This Row],[번호]],표6[합격여부], "합격")/COUNTIFS(표6[일정번호],표2[[#This Row],[번호]]),0)</f>
        <v>0</v>
      </c>
      <c r="I125" s="48">
        <f>COUNTIF(표6[일정번호],표2[[#This Row],[번호]])</f>
        <v>0</v>
      </c>
      <c r="J125" s="10">
        <f t="shared" si="3"/>
        <v>44448</v>
      </c>
      <c r="K125" s="10">
        <f>E125 - MID(LOOKUP(B125,자격증정보!$A$2:$A$7,자격증정보!$D$2:$D$7),5,1)</f>
        <v>44462</v>
      </c>
    </row>
    <row r="126" spans="1:11">
      <c r="A126" s="2">
        <v>125</v>
      </c>
      <c r="B126" s="2">
        <v>4</v>
      </c>
      <c r="C126" s="2">
        <v>20</v>
      </c>
      <c r="D126" s="3" t="str">
        <f t="shared" si="2"/>
        <v>2021-09-05~2021-09-19</v>
      </c>
      <c r="E126" s="3">
        <v>44467</v>
      </c>
      <c r="F126" s="6">
        <v>0.45833333333333331</v>
      </c>
      <c r="G126" s="3">
        <f>E126 + IF(LOOKUP(시험일정!B126,자격증정보!$A$2:$A$7,자격증정보!$E$2:$E$7) = "당일날", 0, 1)</f>
        <v>44468</v>
      </c>
      <c r="H126" s="14">
        <f>IFERROR(COUNTIFS(표6[일정번호],표2[[#This Row],[번호]],표6[합격여부], "합격")/COUNTIFS(표6[일정번호],표2[[#This Row],[번호]]),0)</f>
        <v>0</v>
      </c>
      <c r="I126" s="48">
        <f>COUNTIF(표6[일정번호],표2[[#This Row],[번호]])</f>
        <v>0</v>
      </c>
      <c r="J126" s="10">
        <f t="shared" si="3"/>
        <v>44444</v>
      </c>
      <c r="K126" s="10">
        <f>E126 - MID(LOOKUP(B126,자격증정보!$A$2:$A$7,자격증정보!$D$2:$D$7),5,1)</f>
        <v>44458</v>
      </c>
    </row>
    <row r="127" spans="1:11">
      <c r="A127" s="2">
        <v>126</v>
      </c>
      <c r="B127" s="2">
        <v>5</v>
      </c>
      <c r="C127" s="2">
        <v>24</v>
      </c>
      <c r="D127" s="3" t="str">
        <f t="shared" si="2"/>
        <v>2021-09-05~2021-09-19</v>
      </c>
      <c r="E127" s="3">
        <v>44467</v>
      </c>
      <c r="F127" s="6">
        <v>0.54166666666666663</v>
      </c>
      <c r="G127" s="3">
        <f>E127 + IF(LOOKUP(시험일정!B127,자격증정보!$A$2:$A$7,자격증정보!$E$2:$E$7) = "당일날", 0, 1)</f>
        <v>44468</v>
      </c>
      <c r="H127" s="14">
        <f>IFERROR(COUNTIFS(표6[일정번호],표2[[#This Row],[번호]],표6[합격여부], "합격")/COUNTIFS(표6[일정번호],표2[[#This Row],[번호]]),0)</f>
        <v>0</v>
      </c>
      <c r="I127" s="48">
        <f>COUNTIF(표6[일정번호],표2[[#This Row],[번호]])</f>
        <v>0</v>
      </c>
      <c r="J127" s="10">
        <f t="shared" si="3"/>
        <v>44444</v>
      </c>
      <c r="K127" s="10">
        <f>E127 - MID(LOOKUP(B127,자격증정보!$A$2:$A$7,자격증정보!$D$2:$D$7),5,1)</f>
        <v>44458</v>
      </c>
    </row>
    <row r="128" spans="1:11">
      <c r="A128" s="2">
        <v>127</v>
      </c>
      <c r="B128" s="2">
        <v>6</v>
      </c>
      <c r="C128" s="2">
        <v>10</v>
      </c>
      <c r="D128" s="3" t="str">
        <f t="shared" si="2"/>
        <v>2021-09-05~2021-09-19</v>
      </c>
      <c r="E128" s="3">
        <v>44467</v>
      </c>
      <c r="F128" s="6">
        <v>0.625</v>
      </c>
      <c r="G128" s="3">
        <f>E128 + IF(LOOKUP(시험일정!B128,자격증정보!$A$2:$A$7,자격증정보!$E$2:$E$7) = "당일날", 0, 1)</f>
        <v>44468</v>
      </c>
      <c r="H128" s="14">
        <f>IFERROR(COUNTIFS(표6[일정번호],표2[[#This Row],[번호]],표6[합격여부], "합격")/COUNTIFS(표6[일정번호],표2[[#This Row],[번호]]),0)</f>
        <v>0</v>
      </c>
      <c r="I128" s="48">
        <f>COUNTIF(표6[일정번호],표2[[#This Row],[번호]])</f>
        <v>6</v>
      </c>
      <c r="J128" s="10">
        <f t="shared" si="3"/>
        <v>44444</v>
      </c>
      <c r="K128" s="10">
        <f>E128 - MID(LOOKUP(B128,자격증정보!$A$2:$A$7,자격증정보!$D$2:$D$7),5,1)</f>
        <v>44458</v>
      </c>
    </row>
    <row r="129" spans="1:11">
      <c r="A129" s="2">
        <v>128</v>
      </c>
      <c r="B129" s="2">
        <v>2</v>
      </c>
      <c r="C129" s="2">
        <v>17</v>
      </c>
      <c r="D129" s="3" t="str">
        <f t="shared" si="2"/>
        <v>2021-09-29~2021-10-13</v>
      </c>
      <c r="E129" s="3">
        <v>44487</v>
      </c>
      <c r="F129" s="6">
        <v>0.375</v>
      </c>
      <c r="G129" s="3">
        <f>E129 + IF(LOOKUP(시험일정!B129,자격증정보!$A$2:$A$7,자격증정보!$E$2:$E$7) = "당일날", 0, 1)</f>
        <v>44487</v>
      </c>
      <c r="H129" s="14">
        <f>IFERROR(COUNTIFS(표6[일정번호],표2[[#This Row],[번호]],표6[합격여부], "합격")/COUNTIFS(표6[일정번호],표2[[#This Row],[번호]]),0)</f>
        <v>0</v>
      </c>
      <c r="I129" s="48">
        <f>COUNTIF(표6[일정번호],표2[[#This Row],[번호]])</f>
        <v>0</v>
      </c>
      <c r="J129" s="10">
        <f t="shared" si="3"/>
        <v>44468</v>
      </c>
      <c r="K129" s="10">
        <f>E129 - MID(LOOKUP(B129,자격증정보!$A$2:$A$7,자격증정보!$D$2:$D$7),5,1)</f>
        <v>44482</v>
      </c>
    </row>
    <row r="130" spans="1:11">
      <c r="A130" s="2">
        <v>129</v>
      </c>
      <c r="B130" s="2">
        <v>2</v>
      </c>
      <c r="C130" s="2">
        <v>18</v>
      </c>
      <c r="D130" s="3" t="str">
        <f t="shared" si="2"/>
        <v>2021-10-01~2021-10-15</v>
      </c>
      <c r="E130" s="3">
        <v>44489</v>
      </c>
      <c r="F130" s="6">
        <v>0.43055555555555558</v>
      </c>
      <c r="G130" s="3">
        <f>E130 + IF(LOOKUP(시험일정!B130,자격증정보!$A$2:$A$7,자격증정보!$E$2:$E$7) = "당일날", 0, 1)</f>
        <v>44489</v>
      </c>
      <c r="H130" s="14">
        <f>IFERROR(COUNTIFS(표6[일정번호],표2[[#This Row],[번호]],표6[합격여부], "합격")/COUNTIFS(표6[일정번호],표2[[#This Row],[번호]]),0)</f>
        <v>0</v>
      </c>
      <c r="I130" s="48">
        <f>COUNTIF(표6[일정번호],표2[[#This Row],[번호]])</f>
        <v>0</v>
      </c>
      <c r="J130" s="10">
        <f t="shared" si="3"/>
        <v>44470</v>
      </c>
      <c r="K130" s="10">
        <f>E130 - MID(LOOKUP(B130,자격증정보!$A$2:$A$7,자격증정보!$D$2:$D$7),5,1)</f>
        <v>44484</v>
      </c>
    </row>
    <row r="131" spans="1:11">
      <c r="A131" s="2">
        <v>130</v>
      </c>
      <c r="B131" s="2">
        <v>2</v>
      </c>
      <c r="C131" s="2">
        <v>19</v>
      </c>
      <c r="D131" s="3" t="str">
        <f t="shared" ref="D131:D157" si="4">TEXT(J131,"yyyy-mm-dd")&amp; "~" &amp; TEXT(K131, "yyyy-mm-dd")</f>
        <v>2021-10-03~2021-10-17</v>
      </c>
      <c r="E131" s="3">
        <v>44491</v>
      </c>
      <c r="F131" s="6">
        <v>0.625</v>
      </c>
      <c r="G131" s="3">
        <f>E131 + IF(LOOKUP(시험일정!B131,자격증정보!$A$2:$A$7,자격증정보!$E$2:$E$7) = "당일날", 0, 1)</f>
        <v>44491</v>
      </c>
      <c r="H131" s="14">
        <f>IFERROR(COUNTIFS(표6[일정번호],표2[[#This Row],[번호]],표6[합격여부], "합격")/COUNTIFS(표6[일정번호],표2[[#This Row],[번호]]),0)</f>
        <v>0</v>
      </c>
      <c r="I131" s="48">
        <f>COUNTIF(표6[일정번호],표2[[#This Row],[번호]])</f>
        <v>0</v>
      </c>
      <c r="J131" s="10">
        <f t="shared" ref="J131:J158" si="5">K131-14</f>
        <v>44472</v>
      </c>
      <c r="K131" s="10">
        <f>E131 - MID(LOOKUP(B131,자격증정보!$A$2:$A$7,자격증정보!$D$2:$D$7),5,1)</f>
        <v>44486</v>
      </c>
    </row>
    <row r="132" spans="1:11">
      <c r="A132" s="2">
        <v>131</v>
      </c>
      <c r="B132" s="2">
        <v>2</v>
      </c>
      <c r="C132" s="2">
        <v>20</v>
      </c>
      <c r="D132" s="3" t="str">
        <f t="shared" si="4"/>
        <v>2021-10-06~2021-10-20</v>
      </c>
      <c r="E132" s="3">
        <v>44494</v>
      </c>
      <c r="F132" s="6">
        <v>0.68055555555555547</v>
      </c>
      <c r="G132" s="3">
        <f>E132 + IF(LOOKUP(시험일정!B132,자격증정보!$A$2:$A$7,자격증정보!$E$2:$E$7) = "당일날", 0, 1)</f>
        <v>44494</v>
      </c>
      <c r="H132" s="14">
        <f>IFERROR(COUNTIFS(표6[일정번호],표2[[#This Row],[번호]],표6[합격여부], "합격")/COUNTIFS(표6[일정번호],표2[[#This Row],[번호]]),0)</f>
        <v>0</v>
      </c>
      <c r="I132" s="48">
        <f>COUNTIF(표6[일정번호],표2[[#This Row],[번호]])</f>
        <v>0</v>
      </c>
      <c r="J132" s="10">
        <f t="shared" si="5"/>
        <v>44475</v>
      </c>
      <c r="K132" s="10">
        <f>E132 - MID(LOOKUP(B132,자격증정보!$A$2:$A$7,자격증정보!$D$2:$D$7),5,1)</f>
        <v>44489</v>
      </c>
    </row>
    <row r="133" spans="1:11">
      <c r="A133" s="2">
        <v>132</v>
      </c>
      <c r="B133" s="2">
        <v>3</v>
      </c>
      <c r="C133" s="2">
        <v>22</v>
      </c>
      <c r="D133" s="3" t="str">
        <f t="shared" si="4"/>
        <v>2021-10-09~2021-10-23</v>
      </c>
      <c r="E133" s="3">
        <v>44497</v>
      </c>
      <c r="F133" s="6">
        <v>0.54166666666666663</v>
      </c>
      <c r="G133" s="3">
        <f>E133 + IF(LOOKUP(시험일정!B133,자격증정보!$A$2:$A$7,자격증정보!$E$2:$E$7) = "당일날", 0, 1)</f>
        <v>44497</v>
      </c>
      <c r="H133" s="14">
        <f>IFERROR(COUNTIFS(표6[일정번호],표2[[#This Row],[번호]],표6[합격여부], "합격")/COUNTIFS(표6[일정번호],표2[[#This Row],[번호]]),0)</f>
        <v>0</v>
      </c>
      <c r="I133" s="48">
        <f>COUNTIF(표6[일정번호],표2[[#This Row],[번호]])</f>
        <v>4</v>
      </c>
      <c r="J133" s="10">
        <f t="shared" si="5"/>
        <v>44478</v>
      </c>
      <c r="K133" s="10">
        <f>E133 - MID(LOOKUP(B133,자격증정보!$A$2:$A$7,자격증정보!$D$2:$D$7),5,1)</f>
        <v>44492</v>
      </c>
    </row>
    <row r="134" spans="1:11">
      <c r="A134" s="2">
        <v>133</v>
      </c>
      <c r="B134" s="2">
        <v>3</v>
      </c>
      <c r="C134" s="2">
        <v>23</v>
      </c>
      <c r="D134" s="3" t="str">
        <f t="shared" si="4"/>
        <v>2021-10-11~2021-10-25</v>
      </c>
      <c r="E134" s="3">
        <v>44499</v>
      </c>
      <c r="F134" s="6">
        <v>0.59722222222222221</v>
      </c>
      <c r="G134" s="3">
        <f>E134 + IF(LOOKUP(시험일정!B134,자격증정보!$A$2:$A$7,자격증정보!$E$2:$E$7) = "당일날", 0, 1)</f>
        <v>44499</v>
      </c>
      <c r="H134" s="14">
        <f>IFERROR(COUNTIFS(표6[일정번호],표2[[#This Row],[번호]],표6[합격여부], "합격")/COUNTIFS(표6[일정번호],표2[[#This Row],[번호]]),0)</f>
        <v>0</v>
      </c>
      <c r="I134" s="48">
        <f>COUNTIF(표6[일정번호],표2[[#This Row],[번호]])</f>
        <v>2</v>
      </c>
      <c r="J134" s="10">
        <f t="shared" si="5"/>
        <v>44480</v>
      </c>
      <c r="K134" s="10">
        <f>E134 - MID(LOOKUP(B134,자격증정보!$A$2:$A$7,자격증정보!$D$2:$D$7),5,1)</f>
        <v>44494</v>
      </c>
    </row>
    <row r="135" spans="1:11">
      <c r="A135" s="2">
        <v>134</v>
      </c>
      <c r="B135" s="2">
        <v>3</v>
      </c>
      <c r="C135" s="2">
        <v>24</v>
      </c>
      <c r="D135" s="3" t="str">
        <f t="shared" si="4"/>
        <v>2021-10-14~2021-10-28</v>
      </c>
      <c r="E135" s="3">
        <v>44502</v>
      </c>
      <c r="F135" s="6">
        <v>0.66666666666666663</v>
      </c>
      <c r="G135" s="3">
        <f>E135 + IF(LOOKUP(시험일정!B135,자격증정보!$A$2:$A$7,자격증정보!$E$2:$E$7) = "당일날", 0, 1)</f>
        <v>44502</v>
      </c>
      <c r="H135" s="14">
        <f>IFERROR(COUNTIFS(표6[일정번호],표2[[#This Row],[번호]],표6[합격여부], "합격")/COUNTIFS(표6[일정번호],표2[[#This Row],[번호]]),0)</f>
        <v>0.5</v>
      </c>
      <c r="I135" s="48">
        <f>COUNTIF(표6[일정번호],표2[[#This Row],[번호]])</f>
        <v>2</v>
      </c>
      <c r="J135" s="10">
        <f t="shared" si="5"/>
        <v>44483</v>
      </c>
      <c r="K135" s="10">
        <f>E135 - MID(LOOKUP(B135,자격증정보!$A$2:$A$7,자격증정보!$D$2:$D$7),5,1)</f>
        <v>44497</v>
      </c>
    </row>
    <row r="136" spans="1:11">
      <c r="A136" s="2">
        <v>135</v>
      </c>
      <c r="B136" s="2">
        <v>4</v>
      </c>
      <c r="C136" s="2">
        <v>21</v>
      </c>
      <c r="D136" s="3" t="str">
        <f t="shared" si="4"/>
        <v>2021-10-10~2021-10-24</v>
      </c>
      <c r="E136" s="3">
        <v>44502</v>
      </c>
      <c r="F136" s="6">
        <v>0.375</v>
      </c>
      <c r="G136" s="3">
        <f>E136 + IF(LOOKUP(시험일정!B136,자격증정보!$A$2:$A$7,자격증정보!$E$2:$E$7) = "당일날", 0, 1)</f>
        <v>44503</v>
      </c>
      <c r="H136" s="14">
        <f>IFERROR(COUNTIFS(표6[일정번호],표2[[#This Row],[번호]],표6[합격여부], "합격")/COUNTIFS(표6[일정번호],표2[[#This Row],[번호]]),0)</f>
        <v>0</v>
      </c>
      <c r="I136" s="48">
        <f>COUNTIF(표6[일정번호],표2[[#This Row],[번호]])</f>
        <v>0</v>
      </c>
      <c r="J136" s="10">
        <f t="shared" si="5"/>
        <v>44479</v>
      </c>
      <c r="K136" s="10">
        <f>E136 - MID(LOOKUP(B136,자격증정보!$A$2:$A$7,자격증정보!$D$2:$D$7),5,1)</f>
        <v>44493</v>
      </c>
    </row>
    <row r="137" spans="1:11">
      <c r="A137" s="2">
        <v>136</v>
      </c>
      <c r="B137" s="2">
        <v>4</v>
      </c>
      <c r="C137" s="2">
        <v>22</v>
      </c>
      <c r="D137" s="3" t="str">
        <f t="shared" si="4"/>
        <v>2021-10-11~2021-10-25</v>
      </c>
      <c r="E137" s="3">
        <v>44503</v>
      </c>
      <c r="F137" s="6">
        <v>0.625</v>
      </c>
      <c r="G137" s="3">
        <f>E137 + IF(LOOKUP(시험일정!B137,자격증정보!$A$2:$A$7,자격증정보!$E$2:$E$7) = "당일날", 0, 1)</f>
        <v>44504</v>
      </c>
      <c r="H137" s="14">
        <f>IFERROR(COUNTIFS(표6[일정번호],표2[[#This Row],[번호]],표6[합격여부], "합격")/COUNTIFS(표6[일정번호],표2[[#This Row],[번호]]),0)</f>
        <v>0</v>
      </c>
      <c r="I137" s="48">
        <f>COUNTIF(표6[일정번호],표2[[#This Row],[번호]])</f>
        <v>2</v>
      </c>
      <c r="J137" s="10">
        <f t="shared" si="5"/>
        <v>44480</v>
      </c>
      <c r="K137" s="10">
        <f>E137 - MID(LOOKUP(B137,자격증정보!$A$2:$A$7,자격증정보!$D$2:$D$7),5,1)</f>
        <v>44494</v>
      </c>
    </row>
    <row r="138" spans="1:11">
      <c r="A138" s="2">
        <v>137</v>
      </c>
      <c r="B138" s="2">
        <v>1</v>
      </c>
      <c r="C138" s="2">
        <v>37</v>
      </c>
      <c r="D138" s="3" t="str">
        <f t="shared" si="4"/>
        <v>2021-10-16~2021-10-30</v>
      </c>
      <c r="E138" s="3">
        <v>44503</v>
      </c>
      <c r="F138" s="6">
        <v>0.5</v>
      </c>
      <c r="G138" s="3">
        <f>E138 + IF(LOOKUP(시험일정!B138,자격증정보!$A$2:$A$7,자격증정보!$E$2:$E$7) = "당일날", 0, 1)</f>
        <v>44504</v>
      </c>
      <c r="H138" s="14">
        <f>IFERROR(COUNTIFS(표6[일정번호],표2[[#This Row],[번호]],표6[합격여부], "합격")/COUNTIFS(표6[일정번호],표2[[#This Row],[번호]]),0)</f>
        <v>0.3</v>
      </c>
      <c r="I138" s="48">
        <f>COUNTIF(표6[일정번호],표2[[#This Row],[번호]])</f>
        <v>10</v>
      </c>
      <c r="J138" s="10">
        <f t="shared" si="5"/>
        <v>44485</v>
      </c>
      <c r="K138" s="10">
        <f>E138 - MID(LOOKUP(B138,자격증정보!$A$2:$A$7,자격증정보!$D$2:$D$7),5,1)</f>
        <v>44499</v>
      </c>
    </row>
    <row r="139" spans="1:11">
      <c r="A139" s="2">
        <v>138</v>
      </c>
      <c r="B139" s="2">
        <v>3</v>
      </c>
      <c r="C139" s="2">
        <v>25</v>
      </c>
      <c r="D139" s="3" t="str">
        <f t="shared" si="4"/>
        <v>2021-10-15~2021-10-29</v>
      </c>
      <c r="E139" s="3">
        <v>44503</v>
      </c>
      <c r="F139" s="6">
        <v>0.375</v>
      </c>
      <c r="G139" s="3">
        <f>E139 + IF(LOOKUP(시험일정!B139,자격증정보!$A$2:$A$7,자격증정보!$E$2:$E$7) = "당일날", 0, 1)</f>
        <v>44503</v>
      </c>
      <c r="H139" s="14">
        <f>IFERROR(COUNTIFS(표6[일정번호],표2[[#This Row],[번호]],표6[합격여부], "합격")/COUNTIFS(표6[일정번호],표2[[#This Row],[번호]]),0)</f>
        <v>0</v>
      </c>
      <c r="I139" s="48">
        <f>COUNTIF(표6[일정번호],표2[[#This Row],[번호]])</f>
        <v>6</v>
      </c>
      <c r="J139" s="10">
        <f t="shared" si="5"/>
        <v>44484</v>
      </c>
      <c r="K139" s="10">
        <f>E139 - MID(LOOKUP(B139,자격증정보!$A$2:$A$7,자격증정보!$D$2:$D$7),5,1)</f>
        <v>44498</v>
      </c>
    </row>
    <row r="140" spans="1:11">
      <c r="A140" s="2">
        <v>139</v>
      </c>
      <c r="B140" s="2">
        <v>3</v>
      </c>
      <c r="C140" s="2">
        <v>26</v>
      </c>
      <c r="D140" s="3" t="str">
        <f t="shared" si="4"/>
        <v>2021-10-16~2021-10-30</v>
      </c>
      <c r="E140" s="3">
        <v>44504</v>
      </c>
      <c r="F140" s="6">
        <v>0.43055555555555558</v>
      </c>
      <c r="G140" s="3">
        <f>E140 + IF(LOOKUP(시험일정!B140,자격증정보!$A$2:$A$7,자격증정보!$E$2:$E$7) = "당일날", 0, 1)</f>
        <v>44504</v>
      </c>
      <c r="H140" s="14">
        <f>IFERROR(COUNTIFS(표6[일정번호],표2[[#This Row],[번호]],표6[합격여부], "합격")/COUNTIFS(표6[일정번호],표2[[#This Row],[번호]]),0)</f>
        <v>0</v>
      </c>
      <c r="I140" s="48">
        <f>COUNTIF(표6[일정번호],표2[[#This Row],[번호]])</f>
        <v>7</v>
      </c>
      <c r="J140" s="10">
        <f t="shared" si="5"/>
        <v>44485</v>
      </c>
      <c r="K140" s="10">
        <f>E140 - MID(LOOKUP(B140,자격증정보!$A$2:$A$7,자격증정보!$D$2:$D$7),5,1)</f>
        <v>44499</v>
      </c>
    </row>
    <row r="141" spans="1:11">
      <c r="A141" s="2">
        <v>140</v>
      </c>
      <c r="B141" s="2">
        <v>4</v>
      </c>
      <c r="C141" s="2">
        <v>23</v>
      </c>
      <c r="D141" s="3" t="str">
        <f t="shared" si="4"/>
        <v>2021-10-12~2021-10-26</v>
      </c>
      <c r="E141" s="3">
        <v>44504</v>
      </c>
      <c r="F141" s="6">
        <v>0.41666666666666669</v>
      </c>
      <c r="G141" s="3">
        <f>E141 + IF(LOOKUP(시험일정!B141,자격증정보!$A$2:$A$7,자격증정보!$E$2:$E$7) = "당일날", 0, 1)</f>
        <v>44505</v>
      </c>
      <c r="H141" s="14">
        <f>IFERROR(COUNTIFS(표6[일정번호],표2[[#This Row],[번호]],표6[합격여부], "합격")/COUNTIFS(표6[일정번호],표2[[#This Row],[번호]]),0)</f>
        <v>0</v>
      </c>
      <c r="I141" s="48">
        <f>COUNTIF(표6[일정번호],표2[[#This Row],[번호]])</f>
        <v>0</v>
      </c>
      <c r="J141" s="10">
        <f t="shared" si="5"/>
        <v>44481</v>
      </c>
      <c r="K141" s="10">
        <f>E141 - MID(LOOKUP(B141,자격증정보!$A$2:$A$7,자격증정보!$D$2:$D$7),5,1)</f>
        <v>44495</v>
      </c>
    </row>
    <row r="142" spans="1:11">
      <c r="A142" s="2">
        <v>141</v>
      </c>
      <c r="B142" s="2">
        <v>6</v>
      </c>
      <c r="C142" s="2">
        <v>11</v>
      </c>
      <c r="D142" s="3" t="str">
        <f t="shared" si="4"/>
        <v>2021-10-13~2021-10-27</v>
      </c>
      <c r="E142" s="3">
        <v>44505</v>
      </c>
      <c r="F142" s="6">
        <v>0.66666666666666663</v>
      </c>
      <c r="G142" s="3">
        <f>E142 + IF(LOOKUP(시험일정!B142,자격증정보!$A$2:$A$7,자격증정보!$E$2:$E$7) = "당일날", 0, 1)</f>
        <v>44506</v>
      </c>
      <c r="H142" s="14">
        <f>IFERROR(COUNTIFS(표6[일정번호],표2[[#This Row],[번호]],표6[합격여부], "합격")/COUNTIFS(표6[일정번호],표2[[#This Row],[번호]]),0)</f>
        <v>0</v>
      </c>
      <c r="I142" s="48">
        <f>COUNTIF(표6[일정번호],표2[[#This Row],[번호]])</f>
        <v>6</v>
      </c>
      <c r="J142" s="10">
        <f t="shared" si="5"/>
        <v>44482</v>
      </c>
      <c r="K142" s="10">
        <f>E142 - MID(LOOKUP(B142,자격증정보!$A$2:$A$7,자격증정보!$D$2:$D$7),5,1)</f>
        <v>44496</v>
      </c>
    </row>
    <row r="143" spans="1:11">
      <c r="A143" s="2">
        <v>142</v>
      </c>
      <c r="B143" s="2">
        <v>3</v>
      </c>
      <c r="C143" s="2">
        <v>27</v>
      </c>
      <c r="D143" s="3" t="str">
        <f t="shared" si="4"/>
        <v>2021-10-17~2021-10-31</v>
      </c>
      <c r="E143" s="3">
        <v>44505</v>
      </c>
      <c r="F143" s="6">
        <v>0.54166666666666663</v>
      </c>
      <c r="G143" s="3">
        <f>E143 + IF(LOOKUP(시험일정!B143,자격증정보!$A$2:$A$7,자격증정보!$E$2:$E$7) = "당일날", 0, 1)</f>
        <v>44505</v>
      </c>
      <c r="H143" s="14">
        <f>IFERROR(COUNTIFS(표6[일정번호],표2[[#This Row],[번호]],표6[합격여부], "합격")/COUNTIFS(표6[일정번호],표2[[#This Row],[번호]]),0)</f>
        <v>0.5</v>
      </c>
      <c r="I143" s="48">
        <f>COUNTIF(표6[일정번호],표2[[#This Row],[번호]])</f>
        <v>4</v>
      </c>
      <c r="J143" s="10">
        <f t="shared" si="5"/>
        <v>44486</v>
      </c>
      <c r="K143" s="10">
        <f>E143 - MID(LOOKUP(B143,자격증정보!$A$2:$A$7,자격증정보!$D$2:$D$7),5,1)</f>
        <v>44500</v>
      </c>
    </row>
    <row r="144" spans="1:11">
      <c r="A144" s="2">
        <v>143</v>
      </c>
      <c r="B144" s="2">
        <v>4</v>
      </c>
      <c r="C144" s="2">
        <v>24</v>
      </c>
      <c r="D144" s="3" t="str">
        <f t="shared" si="4"/>
        <v>2021-10-15~2021-10-29</v>
      </c>
      <c r="E144" s="3">
        <v>44507</v>
      </c>
      <c r="F144" s="6">
        <v>0.41666666666666669</v>
      </c>
      <c r="G144" s="3">
        <f>E144 + IF(LOOKUP(시험일정!B144,자격증정보!$A$2:$A$7,자격증정보!$E$2:$E$7) = "당일날", 0, 1)</f>
        <v>44508</v>
      </c>
      <c r="H144" s="14">
        <f>IFERROR(COUNTIFS(표6[일정번호],표2[[#This Row],[번호]],표6[합격여부], "합격")/COUNTIFS(표6[일정번호],표2[[#This Row],[번호]]),0)</f>
        <v>0</v>
      </c>
      <c r="I144" s="48">
        <f>COUNTIF(표6[일정번호],표2[[#This Row],[번호]])</f>
        <v>0</v>
      </c>
      <c r="J144" s="10">
        <f t="shared" si="5"/>
        <v>44484</v>
      </c>
      <c r="K144" s="10">
        <f>E144 - MID(LOOKUP(B144,자격증정보!$A$2:$A$7,자격증정보!$D$2:$D$7),5,1)</f>
        <v>44498</v>
      </c>
    </row>
    <row r="145" spans="1:11">
      <c r="A145" s="2">
        <v>144</v>
      </c>
      <c r="B145" s="2">
        <v>4</v>
      </c>
      <c r="C145" s="2">
        <v>25</v>
      </c>
      <c r="D145" s="3" t="str">
        <f t="shared" si="4"/>
        <v>2021-10-15~2021-10-29</v>
      </c>
      <c r="E145" s="3">
        <v>44507</v>
      </c>
      <c r="F145" s="6">
        <v>0.625</v>
      </c>
      <c r="G145" s="3">
        <f>E145 + IF(LOOKUP(시험일정!B145,자격증정보!$A$2:$A$7,자격증정보!$E$2:$E$7) = "당일날", 0, 1)</f>
        <v>44508</v>
      </c>
      <c r="H145" s="14">
        <f>IFERROR(COUNTIFS(표6[일정번호],표2[[#This Row],[번호]],표6[합격여부], "합격")/COUNTIFS(표6[일정번호],표2[[#This Row],[번호]]),0)</f>
        <v>0</v>
      </c>
      <c r="I145" s="48">
        <f>COUNTIF(표6[일정번호],표2[[#This Row],[번호]])</f>
        <v>0</v>
      </c>
      <c r="J145" s="10">
        <f t="shared" si="5"/>
        <v>44484</v>
      </c>
      <c r="K145" s="10">
        <f>E145 - MID(LOOKUP(B145,자격증정보!$A$2:$A$7,자격증정보!$D$2:$D$7),5,1)</f>
        <v>44498</v>
      </c>
    </row>
    <row r="146" spans="1:11">
      <c r="A146" s="2">
        <v>145</v>
      </c>
      <c r="B146" s="2">
        <v>5</v>
      </c>
      <c r="C146" s="2">
        <v>25</v>
      </c>
      <c r="D146" s="3" t="str">
        <f t="shared" si="4"/>
        <v>2021-10-16~2021-10-30</v>
      </c>
      <c r="E146" s="3">
        <v>44508</v>
      </c>
      <c r="F146" s="6">
        <v>0.41666666666666669</v>
      </c>
      <c r="G146" s="3">
        <f>E146 + IF(LOOKUP(시험일정!B146,자격증정보!$A$2:$A$7,자격증정보!$E$2:$E$7) = "당일날", 0, 1)</f>
        <v>44509</v>
      </c>
      <c r="H146" s="14">
        <f>IFERROR(COUNTIFS(표6[일정번호],표2[[#This Row],[번호]],표6[합격여부], "합격")/COUNTIFS(표6[일정번호],표2[[#This Row],[번호]]),0)</f>
        <v>0</v>
      </c>
      <c r="I146" s="48">
        <f>COUNTIF(표6[일정번호],표2[[#This Row],[번호]])</f>
        <v>0</v>
      </c>
      <c r="J146" s="10">
        <f t="shared" si="5"/>
        <v>44485</v>
      </c>
      <c r="K146" s="10">
        <f>E146 - MID(LOOKUP(B146,자격증정보!$A$2:$A$7,자격증정보!$D$2:$D$7),5,1)</f>
        <v>44499</v>
      </c>
    </row>
    <row r="147" spans="1:11">
      <c r="A147" s="2">
        <v>146</v>
      </c>
      <c r="B147" s="2">
        <v>5</v>
      </c>
      <c r="C147" s="2">
        <v>26</v>
      </c>
      <c r="D147" s="3" t="str">
        <f t="shared" si="4"/>
        <v>2021-10-16~2021-10-30</v>
      </c>
      <c r="E147" s="3">
        <v>44508</v>
      </c>
      <c r="F147" s="6">
        <v>0.58333333333333337</v>
      </c>
      <c r="G147" s="3">
        <f>E147 + IF(LOOKUP(시험일정!B147,자격증정보!$A$2:$A$7,자격증정보!$E$2:$E$7) = "당일날", 0, 1)</f>
        <v>44509</v>
      </c>
      <c r="H147" s="14">
        <f>IFERROR(COUNTIFS(표6[일정번호],표2[[#This Row],[번호]],표6[합격여부], "합격")/COUNTIFS(표6[일정번호],표2[[#This Row],[번호]]),0)</f>
        <v>0</v>
      </c>
      <c r="I147" s="48">
        <f>COUNTIF(표6[일정번호],표2[[#This Row],[번호]])</f>
        <v>0</v>
      </c>
      <c r="J147" s="10">
        <f t="shared" si="5"/>
        <v>44485</v>
      </c>
      <c r="K147" s="10">
        <f>E147 - MID(LOOKUP(B147,자격증정보!$A$2:$A$7,자격증정보!$D$2:$D$7),5,1)</f>
        <v>44499</v>
      </c>
    </row>
    <row r="148" spans="1:11">
      <c r="A148" s="2">
        <v>147</v>
      </c>
      <c r="B148" s="2">
        <v>6</v>
      </c>
      <c r="C148" s="2">
        <v>12</v>
      </c>
      <c r="D148" s="3" t="str">
        <f t="shared" si="4"/>
        <v>2021-10-16~2021-10-30</v>
      </c>
      <c r="E148" s="3">
        <v>44508</v>
      </c>
      <c r="F148" s="6">
        <v>0.41666666666666669</v>
      </c>
      <c r="G148" s="3">
        <f>E148 + IF(LOOKUP(시험일정!B148,자격증정보!$A$2:$A$7,자격증정보!$E$2:$E$7) = "당일날", 0, 1)</f>
        <v>44509</v>
      </c>
      <c r="H148" s="14">
        <f>IFERROR(COUNTIFS(표6[일정번호],표2[[#This Row],[번호]],표6[합격여부], "합격")/COUNTIFS(표6[일정번호],표2[[#This Row],[번호]]),0)</f>
        <v>0.2857142857142857</v>
      </c>
      <c r="I148" s="48">
        <f>COUNTIF(표6[일정번호],표2[[#This Row],[번호]])</f>
        <v>7</v>
      </c>
      <c r="J148" s="10">
        <f t="shared" si="5"/>
        <v>44485</v>
      </c>
      <c r="K148" s="10">
        <f>E148 - MID(LOOKUP(B148,자격증정보!$A$2:$A$7,자격증정보!$D$2:$D$7),5,1)</f>
        <v>44499</v>
      </c>
    </row>
    <row r="149" spans="1:11">
      <c r="A149" s="2">
        <v>148</v>
      </c>
      <c r="B149" s="2">
        <v>6</v>
      </c>
      <c r="C149" s="2">
        <v>13</v>
      </c>
      <c r="D149" s="3" t="str">
        <f t="shared" si="4"/>
        <v>2021-10-16~2021-10-30</v>
      </c>
      <c r="E149" s="3">
        <v>44508</v>
      </c>
      <c r="F149" s="6">
        <v>0.47916666666666669</v>
      </c>
      <c r="G149" s="3">
        <f>E149 + IF(LOOKUP(시험일정!B149,자격증정보!$A$2:$A$7,자격증정보!$E$2:$E$7) = "당일날", 0, 1)</f>
        <v>44509</v>
      </c>
      <c r="H149" s="14">
        <f>IFERROR(COUNTIFS(표6[일정번호],표2[[#This Row],[번호]],표6[합격여부], "합격")/COUNTIFS(표6[일정번호],표2[[#This Row],[번호]]),0)</f>
        <v>0.83333333333333337</v>
      </c>
      <c r="I149" s="48">
        <f>COUNTIF(표6[일정번호],표2[[#This Row],[번호]])</f>
        <v>6</v>
      </c>
      <c r="J149" s="10">
        <f t="shared" si="5"/>
        <v>44485</v>
      </c>
      <c r="K149" s="10">
        <f>E149 - MID(LOOKUP(B149,자격증정보!$A$2:$A$7,자격증정보!$D$2:$D$7),5,1)</f>
        <v>44499</v>
      </c>
    </row>
    <row r="150" spans="1:11">
      <c r="A150" s="2">
        <v>149</v>
      </c>
      <c r="B150" s="2">
        <v>6</v>
      </c>
      <c r="C150" s="2">
        <v>14</v>
      </c>
      <c r="D150" s="3" t="str">
        <f t="shared" si="4"/>
        <v>2021-10-11~2021-10-25</v>
      </c>
      <c r="E150" s="3">
        <v>44503</v>
      </c>
      <c r="F150" s="6">
        <v>0.58333333333333337</v>
      </c>
      <c r="G150" s="3">
        <f>E150 + IF(LOOKUP(시험일정!B150,자격증정보!$A$2:$A$7,자격증정보!$E$2:$E$7) = "당일날", 0, 1)</f>
        <v>44504</v>
      </c>
      <c r="H150" s="14">
        <f>IFERROR(COUNTIFS(표6[일정번호],표2[[#This Row],[번호]],표6[합격여부], "합격")/COUNTIFS(표6[일정번호],표2[[#This Row],[번호]]),0)</f>
        <v>1</v>
      </c>
      <c r="I150" s="48">
        <f>COUNTIF(표6[일정번호],표2[[#This Row],[번호]])</f>
        <v>4</v>
      </c>
      <c r="J150" s="10">
        <f t="shared" si="5"/>
        <v>44480</v>
      </c>
      <c r="K150" s="10">
        <f>E150 - MID(LOOKUP(B150,자격증정보!$A$2:$A$7,자격증정보!$D$2:$D$7),5,1)</f>
        <v>44494</v>
      </c>
    </row>
    <row r="151" spans="1:11">
      <c r="A151" s="2">
        <v>150</v>
      </c>
      <c r="B151" s="2">
        <v>1</v>
      </c>
      <c r="C151" s="2">
        <v>38</v>
      </c>
      <c r="D151" s="3" t="str">
        <f t="shared" si="4"/>
        <v>2021-10-21~2021-11-04</v>
      </c>
      <c r="E151" s="3">
        <v>44508</v>
      </c>
      <c r="F151" s="6">
        <v>0.41666666666666669</v>
      </c>
      <c r="G151" s="3">
        <f>E151 + IF(LOOKUP(시험일정!B151,자격증정보!$A$2:$A$7,자격증정보!$E$2:$E$7) = "당일날", 0, 1)</f>
        <v>44509</v>
      </c>
      <c r="H151" s="14">
        <f>IFERROR(COUNTIFS(표6[일정번호],표2[[#This Row],[번호]],표6[합격여부], "합격")/COUNTIFS(표6[일정번호],표2[[#This Row],[번호]]),0)</f>
        <v>0.33333333333333331</v>
      </c>
      <c r="I151" s="48">
        <f>COUNTIF(표6[일정번호],표2[[#This Row],[번호]])</f>
        <v>6</v>
      </c>
      <c r="J151" s="10">
        <f t="shared" si="5"/>
        <v>44490</v>
      </c>
      <c r="K151" s="10">
        <f>E151 - MID(LOOKUP(B151,자격증정보!$A$2:$A$7,자격증정보!$D$2:$D$7),5,1)</f>
        <v>44504</v>
      </c>
    </row>
    <row r="152" spans="1:11">
      <c r="A152" s="2">
        <v>151</v>
      </c>
      <c r="B152" s="2">
        <v>1</v>
      </c>
      <c r="C152" s="2">
        <v>39</v>
      </c>
      <c r="D152" s="3" t="str">
        <f t="shared" si="4"/>
        <v>2021-09-16~2021-09-30</v>
      </c>
      <c r="E152" s="3">
        <v>44473</v>
      </c>
      <c r="F152" s="6">
        <v>0.54166666666666663</v>
      </c>
      <c r="G152" s="3">
        <f>E152 + IF(LOOKUP(시험일정!B152,자격증정보!$A$2:$A$7,자격증정보!$E$2:$E$7) = "당일날", 0, 1)</f>
        <v>44474</v>
      </c>
      <c r="H152" s="14">
        <f>IFERROR(COUNTIFS(표6[일정번호],표2[[#This Row],[번호]],표6[합격여부], "합격")/COUNTIFS(표6[일정번호],표2[[#This Row],[번호]]),0)</f>
        <v>0.7</v>
      </c>
      <c r="I152" s="48">
        <f>COUNTIF(표6[일정번호],표2[[#This Row],[번호]])</f>
        <v>10</v>
      </c>
      <c r="J152" s="10">
        <f t="shared" si="5"/>
        <v>44455</v>
      </c>
      <c r="K152" s="10">
        <f>E152 - MID(LOOKUP(B152,자격증정보!$A$2:$A$7,자격증정보!$D$2:$D$7),5,1)</f>
        <v>44469</v>
      </c>
    </row>
    <row r="153" spans="1:11">
      <c r="A153" s="2">
        <v>152</v>
      </c>
      <c r="B153" s="2">
        <v>2</v>
      </c>
      <c r="C153" s="2">
        <v>21</v>
      </c>
      <c r="D153" s="3" t="str">
        <f>TEXT(J153,"yyyy-mm-dd")&amp; "~" &amp; TEXT(K153, "yyyy-mm-dd")</f>
        <v>2021-09-16~2021-09-30</v>
      </c>
      <c r="E153" s="3">
        <v>44474</v>
      </c>
      <c r="F153" s="6">
        <v>0.375</v>
      </c>
      <c r="G153" s="3">
        <f>E153 + IF(LOOKUP(시험일정!B153,자격증정보!$A$2:$A$7,자격증정보!$E$2:$E$7) = "당일날", 0, 1)</f>
        <v>44474</v>
      </c>
      <c r="H153" s="14">
        <f>IFERROR(COUNTIFS(표6[일정번호],표2[[#This Row],[번호]],표6[합격여부], "합격")/COUNTIFS(표6[일정번호],표2[[#This Row],[번호]]),0)</f>
        <v>0</v>
      </c>
      <c r="I153" s="48">
        <f>COUNTIF(표6[일정번호],표2[[#This Row],[번호]])</f>
        <v>0</v>
      </c>
      <c r="J153" s="10">
        <f t="shared" si="5"/>
        <v>44455</v>
      </c>
      <c r="K153" s="10">
        <f>E153 - MID(LOOKUP(B153,자격증정보!$A$2:$A$7,자격증정보!$D$2:$D$7),5,1)</f>
        <v>44469</v>
      </c>
    </row>
    <row r="154" spans="1:11">
      <c r="A154" s="2">
        <v>153</v>
      </c>
      <c r="B154" s="2">
        <v>2</v>
      </c>
      <c r="C154" s="2">
        <v>22</v>
      </c>
      <c r="D154" s="3" t="str">
        <f t="shared" si="4"/>
        <v>2021-09-16~2021-09-30</v>
      </c>
      <c r="E154" s="3">
        <v>44474</v>
      </c>
      <c r="F154" s="6">
        <v>0.66666666666666663</v>
      </c>
      <c r="G154" s="3">
        <f>E154 + IF(LOOKUP(시험일정!B154,자격증정보!$A$2:$A$7,자격증정보!$E$2:$E$7) = "당일날", 0, 1)</f>
        <v>44474</v>
      </c>
      <c r="H154" s="14">
        <f>IFERROR(COUNTIFS(표6[일정번호],표2[[#This Row],[번호]],표6[합격여부], "합격")/COUNTIFS(표6[일정번호],표2[[#This Row],[번호]]),0)</f>
        <v>0</v>
      </c>
      <c r="I154" s="48">
        <f>COUNTIF(표6[일정번호],표2[[#This Row],[번호]])</f>
        <v>0</v>
      </c>
      <c r="J154" s="10">
        <f t="shared" si="5"/>
        <v>44455</v>
      </c>
      <c r="K154" s="10">
        <f>E154 - MID(LOOKUP(B154,자격증정보!$A$2:$A$7,자격증정보!$D$2:$D$7),5,1)</f>
        <v>44469</v>
      </c>
    </row>
    <row r="155" spans="1:11">
      <c r="A155" s="2">
        <v>154</v>
      </c>
      <c r="B155" s="2">
        <v>3</v>
      </c>
      <c r="C155" s="2">
        <v>28</v>
      </c>
      <c r="D155" s="3" t="str">
        <f t="shared" si="4"/>
        <v>2021-09-18~2021-10-02</v>
      </c>
      <c r="E155" s="3">
        <v>44476</v>
      </c>
      <c r="F155" s="6">
        <v>0.41666666666666669</v>
      </c>
      <c r="G155" s="3">
        <f>E155 + IF(LOOKUP(시험일정!B155,자격증정보!$A$2:$A$7,자격증정보!$E$2:$E$7) = "당일날", 0, 1)</f>
        <v>44476</v>
      </c>
      <c r="H155" s="14">
        <f>IFERROR(COUNTIFS(표6[일정번호],표2[[#This Row],[번호]],표6[합격여부], "합격")/COUNTIFS(표6[일정번호],표2[[#This Row],[번호]]),0)</f>
        <v>0</v>
      </c>
      <c r="I155" s="48">
        <f>COUNTIF(표6[일정번호],표2[[#This Row],[번호]])</f>
        <v>4</v>
      </c>
      <c r="J155" s="10">
        <f t="shared" si="5"/>
        <v>44457</v>
      </c>
      <c r="K155" s="10">
        <f>E155 - MID(LOOKUP(B155,자격증정보!$A$2:$A$7,자격증정보!$D$2:$D$7),5,1)</f>
        <v>44471</v>
      </c>
    </row>
    <row r="156" spans="1:11">
      <c r="A156" s="2">
        <v>155</v>
      </c>
      <c r="B156" s="2">
        <v>3</v>
      </c>
      <c r="C156" s="2">
        <v>29</v>
      </c>
      <c r="D156" s="3" t="str">
        <f t="shared" si="4"/>
        <v>2021-09-18~2021-10-02</v>
      </c>
      <c r="E156" s="3">
        <v>44476</v>
      </c>
      <c r="F156" s="6">
        <v>0.58333333333333337</v>
      </c>
      <c r="G156" s="3">
        <f>E156 + IF(LOOKUP(시험일정!B156,자격증정보!$A$2:$A$7,자격증정보!$E$2:$E$7) = "당일날", 0, 1)</f>
        <v>44476</v>
      </c>
      <c r="H156" s="14">
        <f>IFERROR(COUNTIFS(표6[일정번호],표2[[#This Row],[번호]],표6[합격여부], "합격")/COUNTIFS(표6[일정번호],표2[[#This Row],[번호]]),0)</f>
        <v>0</v>
      </c>
      <c r="I156" s="48">
        <f>COUNTIF(표6[일정번호],표2[[#This Row],[번호]])</f>
        <v>3</v>
      </c>
      <c r="J156" s="10">
        <f t="shared" si="5"/>
        <v>44457</v>
      </c>
      <c r="K156" s="10">
        <f>E156 - MID(LOOKUP(B156,자격증정보!$A$2:$A$7,자격증정보!$D$2:$D$7),5,1)</f>
        <v>44471</v>
      </c>
    </row>
    <row r="157" spans="1:11">
      <c r="A157" s="2">
        <v>156</v>
      </c>
      <c r="B157" s="2">
        <v>3</v>
      </c>
      <c r="C157" s="2">
        <v>30</v>
      </c>
      <c r="D157" s="3" t="str">
        <f t="shared" si="4"/>
        <v>2021-09-18~2021-10-02</v>
      </c>
      <c r="E157" s="3">
        <v>44476</v>
      </c>
      <c r="F157" s="6">
        <v>0.63888888888888895</v>
      </c>
      <c r="G157" s="3">
        <f>E157 + IF(LOOKUP(시험일정!B157,자격증정보!$A$2:$A$7,자격증정보!$E$2:$E$7) = "당일날", 0, 1)</f>
        <v>44476</v>
      </c>
      <c r="H157" s="14">
        <f>IFERROR(COUNTIFS(표6[일정번호],표2[[#This Row],[번호]],표6[합격여부], "합격")/COUNTIFS(표6[일정번호],표2[[#This Row],[번호]]),0)</f>
        <v>0</v>
      </c>
      <c r="I157" s="48">
        <f>COUNTIF(표6[일정번호],표2[[#This Row],[번호]])</f>
        <v>4</v>
      </c>
      <c r="J157" s="10">
        <f t="shared" si="5"/>
        <v>44457</v>
      </c>
      <c r="K157" s="10">
        <f>E157 - MID(LOOKUP(B157,자격증정보!$A$2:$A$7,자격증정보!$D$2:$D$7),5,1)</f>
        <v>44471</v>
      </c>
    </row>
    <row r="158" spans="1:11">
      <c r="A158" s="2">
        <v>157</v>
      </c>
      <c r="B158" s="2">
        <v>4</v>
      </c>
      <c r="C158" s="2">
        <v>27</v>
      </c>
      <c r="D158" s="3" t="str">
        <f>TEXT(J158,"yyyy-mm-dd")&amp; "~" &amp; TEXT(K158, "yyyy-mm-dd")</f>
        <v>2021-09-15~2021-09-29</v>
      </c>
      <c r="E158" s="3">
        <v>44477</v>
      </c>
      <c r="F158" s="6">
        <v>0.4375</v>
      </c>
      <c r="G158" s="3">
        <f>E158 + IF(LOOKUP(시험일정!B158,자격증정보!$A$2:$A$7,자격증정보!$E$2:$E$7) = "당일날", 0, 1)</f>
        <v>44478</v>
      </c>
      <c r="H158" s="14">
        <f>IFERROR(COUNTIFS(표6[일정번호],표2[[#This Row],[번호]],표6[합격여부], "합격")/COUNTIFS(표6[일정번호],표2[[#This Row],[번호]]),0)</f>
        <v>0</v>
      </c>
      <c r="I158" s="48">
        <f>COUNTIF(표6[일정번호],표2[[#This Row],[번호]])</f>
        <v>0</v>
      </c>
      <c r="J158" s="10">
        <f t="shared" si="5"/>
        <v>44454</v>
      </c>
      <c r="K158" s="10">
        <f>E158 - MID(LOOKUP(B158,자격증정보!$A$2:$A$7,자격증정보!$D$2:$D$7),5,1)</f>
        <v>44468</v>
      </c>
    </row>
    <row r="159" spans="1:11">
      <c r="A159" s="2">
        <v>159</v>
      </c>
      <c r="B159" s="2">
        <v>1</v>
      </c>
      <c r="C159" s="2">
        <v>40</v>
      </c>
      <c r="D159" s="3" t="str">
        <f>TEXT(J159,"yyyy-mm-dd")&amp; "~" &amp; TEXT(K159, "yyyy-mm-dd")</f>
        <v>2021-07-25~2021-08-08</v>
      </c>
      <c r="E159" s="3">
        <v>44420</v>
      </c>
      <c r="F159" s="6" t="s">
        <v>1525</v>
      </c>
      <c r="G159" s="3">
        <f>E159 + IF(LOOKUP(시험일정!B159,자격증정보!$A$2:$A$7,자격증정보!$E$2:$E$7) = "당일날", 0, 1)</f>
        <v>44421</v>
      </c>
      <c r="H159" s="14">
        <f>IFERROR(COUNTIFS(표6[일정번호],표2[[#This Row],[번호]],표6[합격여부], "합격")/COUNTIFS(표6[일정번호],표2[[#This Row],[번호]]),0)</f>
        <v>0</v>
      </c>
      <c r="I159" s="48">
        <f>COUNTIF(표6[일정번호],표2[[#This Row],[번호]])</f>
        <v>0</v>
      </c>
      <c r="J159" s="10">
        <f t="shared" ref="J159" si="6">K159-14</f>
        <v>44402</v>
      </c>
      <c r="K159" s="10">
        <f>E159 - MID(LOOKUP(B159,자격증정보!$A$2:$A$7,자격증정보!$D$2:$D$7),5,1)</f>
        <v>44416</v>
      </c>
    </row>
    <row r="160" spans="1:11">
      <c r="A160" s="2"/>
      <c r="B160" s="2"/>
      <c r="C160" s="2"/>
      <c r="D160" s="3"/>
      <c r="E160" s="3"/>
      <c r="F160" s="6"/>
      <c r="G160" s="3"/>
      <c r="H160" s="14"/>
      <c r="J160" s="10"/>
      <c r="K160" s="10"/>
    </row>
    <row r="161" spans="1:11">
      <c r="A161" s="2"/>
      <c r="B161" s="2"/>
      <c r="C161" s="2"/>
      <c r="D161" s="3"/>
      <c r="E161" s="3"/>
      <c r="F161" s="6"/>
      <c r="G161" s="3"/>
      <c r="H161" s="14"/>
      <c r="J161" s="10"/>
      <c r="K161" s="10"/>
    </row>
  </sheetData>
  <phoneticPr fontId="1" type="noConversion"/>
  <conditionalFormatting sqref="A2:H1048576">
    <cfRule type="expression" dxfId="80" priority="1">
      <formula>$B2 = 6</formula>
    </cfRule>
    <cfRule type="expression" dxfId="79" priority="2">
      <formula>$B2 = 5</formula>
    </cfRule>
    <cfRule type="expression" dxfId="78" priority="3">
      <formula>$B2 = 4</formula>
    </cfRule>
    <cfRule type="expression" dxfId="77" priority="4">
      <formula>$B2 = 3</formula>
    </cfRule>
    <cfRule type="expression" dxfId="76" priority="5">
      <formula>$B2 = 2</formula>
    </cfRule>
    <cfRule type="expression" dxfId="75" priority="6">
      <formula>$B2 = 1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504"/>
  <sheetViews>
    <sheetView zoomScale="85" zoomScaleNormal="85" workbookViewId="0">
      <selection activeCell="S13" sqref="S13"/>
    </sheetView>
  </sheetViews>
  <sheetFormatPr defaultRowHeight="16.5"/>
  <cols>
    <col min="1" max="1" width="9" style="2"/>
    <col min="2" max="2" width="10.25" style="2" customWidth="1"/>
    <col min="3" max="3" width="9" style="2"/>
    <col min="4" max="4" width="10.25" style="2" customWidth="1"/>
    <col min="5" max="5" width="9" style="2"/>
    <col min="6" max="8" width="11.125" style="2" bestFit="1" customWidth="1"/>
    <col min="9" max="9" width="9" style="2"/>
    <col min="10" max="10" width="9" style="2" bestFit="1" customWidth="1"/>
    <col min="11" max="11" width="19" style="52" hidden="1" customWidth="1"/>
    <col min="12" max="13" width="0" hidden="1" customWidth="1"/>
  </cols>
  <sheetData>
    <row r="1" spans="1:13">
      <c r="A1" s="23" t="s">
        <v>0</v>
      </c>
      <c r="B1" s="24" t="s">
        <v>192</v>
      </c>
      <c r="C1" s="24" t="s">
        <v>159</v>
      </c>
      <c r="D1" s="24" t="s">
        <v>193</v>
      </c>
      <c r="E1" s="24" t="s">
        <v>187</v>
      </c>
      <c r="F1" s="24" t="s">
        <v>194</v>
      </c>
      <c r="G1" s="24" t="s">
        <v>189</v>
      </c>
      <c r="H1" s="24" t="s">
        <v>162</v>
      </c>
      <c r="I1" s="24" t="s">
        <v>195</v>
      </c>
      <c r="J1" s="24" t="s">
        <v>196</v>
      </c>
      <c r="K1" s="50" t="s">
        <v>1540</v>
      </c>
      <c r="L1" s="32" t="s">
        <v>1541</v>
      </c>
      <c r="M1" s="32" t="s">
        <v>1542</v>
      </c>
    </row>
    <row r="2" spans="1:13">
      <c r="A2" s="21">
        <v>1</v>
      </c>
      <c r="B2" s="21">
        <v>1</v>
      </c>
      <c r="C2" s="2">
        <v>2</v>
      </c>
      <c r="D2" s="21">
        <v>6</v>
      </c>
      <c r="E2" s="21">
        <v>1</v>
      </c>
      <c r="F2" s="22">
        <v>44326</v>
      </c>
      <c r="G2" s="22">
        <v>44333</v>
      </c>
      <c r="H2" s="22">
        <v>44333</v>
      </c>
      <c r="I2" s="21">
        <v>20</v>
      </c>
      <c r="J2" s="21" t="s">
        <v>197</v>
      </c>
      <c r="K2" s="51" t="str">
        <f>VLOOKUP(표6[[#This Row],[종목]],자격증정보!$A$2:$I$7,2,FALSE) &amp; " " &amp; VLOOKUP(표6[[#This Row],[종목]],자격증정보!$A$2:$I$7,3,FALSE)</f>
        <v>컴퓨터활용능력 1급</v>
      </c>
      <c r="L2" s="2" t="str">
        <f>TEXT(VLOOKUP(표6[[#This Row],[일정번호]],표2[],6,FALSE), "hh:mm")</f>
        <v>09:00</v>
      </c>
      <c r="M2" s="2" t="str">
        <f>VLOOKUP(표6[[#This Row],[종목]],자격증정보!$A$2:$I$7,9,FALSE)</f>
        <v>30분</v>
      </c>
    </row>
    <row r="3" spans="1:13">
      <c r="A3" s="29">
        <v>2</v>
      </c>
      <c r="B3" s="2">
        <v>2</v>
      </c>
      <c r="C3" s="2">
        <v>2</v>
      </c>
      <c r="D3" s="2">
        <v>6</v>
      </c>
      <c r="E3" s="2">
        <v>1</v>
      </c>
      <c r="F3" s="3">
        <v>44326</v>
      </c>
      <c r="G3" s="3">
        <v>44333</v>
      </c>
      <c r="H3" s="3">
        <v>44333</v>
      </c>
      <c r="I3" s="2">
        <v>50</v>
      </c>
      <c r="J3" s="29" t="s">
        <v>197</v>
      </c>
      <c r="K3" s="51" t="str">
        <f>VLOOKUP(표6[[#This Row],[종목]],자격증정보!$A$2:$I$7,2,FALSE) &amp; " " &amp; VLOOKUP(표6[[#This Row],[종목]],자격증정보!$A$2:$I$7,3,FALSE)</f>
        <v>컴퓨터활용능력 1급</v>
      </c>
      <c r="L3" s="2" t="str">
        <f>TEXT(VLOOKUP(표6[[#This Row],[일정번호]],표2[],6,FALSE), "hh:mm")</f>
        <v>09:00</v>
      </c>
      <c r="M3" s="2" t="str">
        <f>VLOOKUP(표6[[#This Row],[종목]],자격증정보!$A$2:$I$7,9,FALSE)</f>
        <v>30분</v>
      </c>
    </row>
    <row r="4" spans="1:13">
      <c r="A4" s="29">
        <v>3</v>
      </c>
      <c r="B4" s="2">
        <v>4</v>
      </c>
      <c r="C4" s="2">
        <v>2</v>
      </c>
      <c r="D4" s="2">
        <v>6</v>
      </c>
      <c r="E4" s="2">
        <v>1</v>
      </c>
      <c r="F4" s="3">
        <v>44326</v>
      </c>
      <c r="G4" s="3">
        <v>44333</v>
      </c>
      <c r="H4" s="3">
        <v>44333</v>
      </c>
      <c r="I4" s="2">
        <v>50</v>
      </c>
      <c r="J4" s="29" t="s">
        <v>197</v>
      </c>
      <c r="K4" s="51" t="str">
        <f>VLOOKUP(표6[[#This Row],[종목]],자격증정보!$A$2:$I$7,2,FALSE) &amp; " " &amp; VLOOKUP(표6[[#This Row],[종목]],자격증정보!$A$2:$I$7,3,FALSE)</f>
        <v>컴퓨터활용능력 1급</v>
      </c>
      <c r="L4" s="2" t="str">
        <f>TEXT(VLOOKUP(표6[[#This Row],[일정번호]],표2[],6,FALSE), "hh:mm")</f>
        <v>09:00</v>
      </c>
      <c r="M4" s="2" t="str">
        <f>VLOOKUP(표6[[#This Row],[종목]],자격증정보!$A$2:$I$7,9,FALSE)</f>
        <v>30분</v>
      </c>
    </row>
    <row r="5" spans="1:13">
      <c r="A5" s="29">
        <v>4</v>
      </c>
      <c r="B5" s="2">
        <v>6</v>
      </c>
      <c r="C5" s="2">
        <v>2</v>
      </c>
      <c r="D5" s="2">
        <v>7</v>
      </c>
      <c r="E5" s="2">
        <v>1</v>
      </c>
      <c r="F5" s="3">
        <v>44326</v>
      </c>
      <c r="G5" s="3">
        <v>44333</v>
      </c>
      <c r="H5" s="3">
        <v>44333</v>
      </c>
      <c r="I5" s="2">
        <v>20</v>
      </c>
      <c r="J5" s="29" t="s">
        <v>197</v>
      </c>
      <c r="K5" s="51" t="str">
        <f>VLOOKUP(표6[[#This Row],[종목]],자격증정보!$A$2:$I$7,2,FALSE) &amp; " " &amp; VLOOKUP(표6[[#This Row],[종목]],자격증정보!$A$2:$I$7,3,FALSE)</f>
        <v>컴퓨터활용능력 1급</v>
      </c>
      <c r="L5" s="2" t="str">
        <f>TEXT(VLOOKUP(표6[[#This Row],[일정번호]],표2[],6,FALSE), "hh:mm")</f>
        <v>10:20</v>
      </c>
      <c r="M5" s="2" t="str">
        <f>VLOOKUP(표6[[#This Row],[종목]],자격증정보!$A$2:$I$7,9,FALSE)</f>
        <v>30분</v>
      </c>
    </row>
    <row r="6" spans="1:13">
      <c r="A6" s="29">
        <v>5</v>
      </c>
      <c r="B6" s="2">
        <v>2</v>
      </c>
      <c r="C6" s="2">
        <v>2</v>
      </c>
      <c r="D6" s="2">
        <v>7</v>
      </c>
      <c r="E6" s="2">
        <v>1</v>
      </c>
      <c r="F6" s="3">
        <v>44326</v>
      </c>
      <c r="G6" s="3">
        <v>44333</v>
      </c>
      <c r="H6" s="3">
        <v>44333</v>
      </c>
      <c r="I6" s="2">
        <v>40</v>
      </c>
      <c r="J6" s="29" t="s">
        <v>197</v>
      </c>
      <c r="K6" s="51" t="str">
        <f>VLOOKUP(표6[[#This Row],[종목]],자격증정보!$A$2:$I$7,2,FALSE) &amp; " " &amp; VLOOKUP(표6[[#This Row],[종목]],자격증정보!$A$2:$I$7,3,FALSE)</f>
        <v>컴퓨터활용능력 1급</v>
      </c>
      <c r="L6" s="2" t="str">
        <f>TEXT(VLOOKUP(표6[[#This Row],[일정번호]],표2[],6,FALSE), "hh:mm")</f>
        <v>10:20</v>
      </c>
      <c r="M6" s="2" t="str">
        <f>VLOOKUP(표6[[#This Row],[종목]],자격증정보!$A$2:$I$7,9,FALSE)</f>
        <v>30분</v>
      </c>
    </row>
    <row r="7" spans="1:13">
      <c r="A7" s="29">
        <v>6</v>
      </c>
      <c r="B7" s="2">
        <v>8</v>
      </c>
      <c r="C7" s="2">
        <v>2</v>
      </c>
      <c r="D7" s="2">
        <v>7</v>
      </c>
      <c r="E7" s="2">
        <v>1</v>
      </c>
      <c r="F7" s="3">
        <v>44326</v>
      </c>
      <c r="G7" s="3">
        <v>44333</v>
      </c>
      <c r="H7" s="3">
        <v>44333</v>
      </c>
      <c r="I7" s="2">
        <v>20</v>
      </c>
      <c r="J7" s="29" t="s">
        <v>197</v>
      </c>
      <c r="K7" s="51" t="str">
        <f>VLOOKUP(표6[[#This Row],[종목]],자격증정보!$A$2:$I$7,2,FALSE) &amp; " " &amp; VLOOKUP(표6[[#This Row],[종목]],자격증정보!$A$2:$I$7,3,FALSE)</f>
        <v>컴퓨터활용능력 1급</v>
      </c>
      <c r="L7" s="2" t="str">
        <f>TEXT(VLOOKUP(표6[[#This Row],[일정번호]],표2[],6,FALSE), "hh:mm")</f>
        <v>10:20</v>
      </c>
      <c r="M7" s="2" t="str">
        <f>VLOOKUP(표6[[#This Row],[종목]],자격증정보!$A$2:$I$7,9,FALSE)</f>
        <v>30분</v>
      </c>
    </row>
    <row r="8" spans="1:13">
      <c r="A8" s="29">
        <v>7</v>
      </c>
      <c r="B8" s="2">
        <v>9</v>
      </c>
      <c r="C8" s="2">
        <v>2</v>
      </c>
      <c r="D8" s="2">
        <v>9</v>
      </c>
      <c r="E8" s="2">
        <v>1</v>
      </c>
      <c r="F8" s="3">
        <v>44326</v>
      </c>
      <c r="G8" s="3">
        <v>44333</v>
      </c>
      <c r="H8" s="3">
        <v>44333</v>
      </c>
      <c r="I8" s="2">
        <v>50</v>
      </c>
      <c r="J8" s="29" t="s">
        <v>197</v>
      </c>
      <c r="K8" s="51" t="str">
        <f>VLOOKUP(표6[[#This Row],[종목]],자격증정보!$A$2:$I$7,2,FALSE) &amp; " " &amp; VLOOKUP(표6[[#This Row],[종목]],자격증정보!$A$2:$I$7,3,FALSE)</f>
        <v>컴퓨터활용능력 1급</v>
      </c>
      <c r="L8" s="2" t="str">
        <f>TEXT(VLOOKUP(표6[[#This Row],[일정번호]],표2[],6,FALSE), "hh:mm")</f>
        <v>11:00</v>
      </c>
      <c r="M8" s="2" t="str">
        <f>VLOOKUP(표6[[#This Row],[종목]],자격증정보!$A$2:$I$7,9,FALSE)</f>
        <v>30분</v>
      </c>
    </row>
    <row r="9" spans="1:13">
      <c r="A9" s="29">
        <v>8</v>
      </c>
      <c r="B9" s="2">
        <v>4</v>
      </c>
      <c r="C9" s="2">
        <v>2</v>
      </c>
      <c r="D9" s="2">
        <v>9</v>
      </c>
      <c r="E9" s="2">
        <v>1</v>
      </c>
      <c r="F9" s="3">
        <v>44326</v>
      </c>
      <c r="G9" s="3">
        <v>44333</v>
      </c>
      <c r="H9" s="3">
        <v>44333</v>
      </c>
      <c r="I9" s="2">
        <v>10</v>
      </c>
      <c r="J9" s="29" t="s">
        <v>197</v>
      </c>
      <c r="K9" s="51" t="str">
        <f>VLOOKUP(표6[[#This Row],[종목]],자격증정보!$A$2:$I$7,2,FALSE) &amp; " " &amp; VLOOKUP(표6[[#This Row],[종목]],자격증정보!$A$2:$I$7,3,FALSE)</f>
        <v>컴퓨터활용능력 1급</v>
      </c>
      <c r="L9" s="2" t="str">
        <f>TEXT(VLOOKUP(표6[[#This Row],[일정번호]],표2[],6,FALSE), "hh:mm")</f>
        <v>11:00</v>
      </c>
      <c r="M9" s="2" t="str">
        <f>VLOOKUP(표6[[#This Row],[종목]],자격증정보!$A$2:$I$7,9,FALSE)</f>
        <v>30분</v>
      </c>
    </row>
    <row r="10" spans="1:13">
      <c r="A10" s="29">
        <v>9</v>
      </c>
      <c r="B10" s="2">
        <v>6</v>
      </c>
      <c r="C10" s="2">
        <v>2</v>
      </c>
      <c r="D10" s="2">
        <v>9</v>
      </c>
      <c r="E10" s="2">
        <v>1</v>
      </c>
      <c r="F10" s="3">
        <v>44326</v>
      </c>
      <c r="G10" s="3">
        <v>44333</v>
      </c>
      <c r="H10" s="3">
        <v>44333</v>
      </c>
      <c r="I10" s="2">
        <v>30</v>
      </c>
      <c r="J10" s="29" t="s">
        <v>197</v>
      </c>
      <c r="K10" s="51" t="str">
        <f>VLOOKUP(표6[[#This Row],[종목]],자격증정보!$A$2:$I$7,2,FALSE) &amp; " " &amp; VLOOKUP(표6[[#This Row],[종목]],자격증정보!$A$2:$I$7,3,FALSE)</f>
        <v>컴퓨터활용능력 1급</v>
      </c>
      <c r="L10" s="2" t="str">
        <f>TEXT(VLOOKUP(표6[[#This Row],[일정번호]],표2[],6,FALSE), "hh:mm")</f>
        <v>11:00</v>
      </c>
      <c r="M10" s="2" t="str">
        <f>VLOOKUP(표6[[#This Row],[종목]],자격증정보!$A$2:$I$7,9,FALSE)</f>
        <v>30분</v>
      </c>
    </row>
    <row r="11" spans="1:13">
      <c r="A11" s="29">
        <v>10</v>
      </c>
      <c r="B11" s="2">
        <v>15</v>
      </c>
      <c r="C11" s="2">
        <v>2</v>
      </c>
      <c r="D11" s="2">
        <v>9</v>
      </c>
      <c r="E11" s="2">
        <v>1</v>
      </c>
      <c r="F11" s="3">
        <v>44326</v>
      </c>
      <c r="G11" s="3">
        <v>44333</v>
      </c>
      <c r="H11" s="3">
        <v>44333</v>
      </c>
      <c r="I11" s="2">
        <v>10</v>
      </c>
      <c r="J11" s="29" t="s">
        <v>197</v>
      </c>
      <c r="K11" s="51" t="str">
        <f>VLOOKUP(표6[[#This Row],[종목]],자격증정보!$A$2:$I$7,2,FALSE) &amp; " " &amp; VLOOKUP(표6[[#This Row],[종목]],자격증정보!$A$2:$I$7,3,FALSE)</f>
        <v>컴퓨터활용능력 1급</v>
      </c>
      <c r="L11" s="2" t="str">
        <f>TEXT(VLOOKUP(표6[[#This Row],[일정번호]],표2[],6,FALSE), "hh:mm")</f>
        <v>11:00</v>
      </c>
      <c r="M11" s="2" t="str">
        <f>VLOOKUP(표6[[#This Row],[종목]],자격증정보!$A$2:$I$7,9,FALSE)</f>
        <v>30분</v>
      </c>
    </row>
    <row r="12" spans="1:13">
      <c r="A12" s="29">
        <v>11</v>
      </c>
      <c r="B12" s="2">
        <v>15</v>
      </c>
      <c r="C12" s="2">
        <v>3</v>
      </c>
      <c r="D12" s="2">
        <v>10</v>
      </c>
      <c r="E12" s="2">
        <v>1</v>
      </c>
      <c r="F12" s="3">
        <v>44326</v>
      </c>
      <c r="G12" s="3">
        <v>44333</v>
      </c>
      <c r="H12" s="3">
        <v>44333</v>
      </c>
      <c r="I12" s="2">
        <v>0</v>
      </c>
      <c r="J12" s="29" t="s">
        <v>197</v>
      </c>
      <c r="K12" s="51" t="str">
        <f>VLOOKUP(표6[[#This Row],[종목]],자격증정보!$A$2:$I$7,2,FALSE) &amp; " " &amp; VLOOKUP(표6[[#This Row],[종목]],자격증정보!$A$2:$I$7,3,FALSE)</f>
        <v>컴퓨터활용능력 2급</v>
      </c>
      <c r="L12" s="2" t="str">
        <f>TEXT(VLOOKUP(표6[[#This Row],[일정번호]],표2[],6,FALSE), "hh:mm")</f>
        <v>14:00</v>
      </c>
      <c r="M12" s="2" t="str">
        <f>VLOOKUP(표6[[#This Row],[종목]],자격증정보!$A$2:$I$7,9,FALSE)</f>
        <v>30분</v>
      </c>
    </row>
    <row r="13" spans="1:13">
      <c r="A13" s="29">
        <v>12</v>
      </c>
      <c r="B13" s="2">
        <v>2</v>
      </c>
      <c r="C13" s="2">
        <v>3</v>
      </c>
      <c r="D13" s="2">
        <v>10</v>
      </c>
      <c r="E13" s="2">
        <v>1</v>
      </c>
      <c r="F13" s="3">
        <v>44326</v>
      </c>
      <c r="G13" s="3">
        <v>44333</v>
      </c>
      <c r="H13" s="3">
        <v>44333</v>
      </c>
      <c r="I13" s="2">
        <v>0</v>
      </c>
      <c r="J13" s="29" t="s">
        <v>197</v>
      </c>
      <c r="K13" s="51" t="str">
        <f>VLOOKUP(표6[[#This Row],[종목]],자격증정보!$A$2:$I$7,2,FALSE) &amp; " " &amp; VLOOKUP(표6[[#This Row],[종목]],자격증정보!$A$2:$I$7,3,FALSE)</f>
        <v>컴퓨터활용능력 2급</v>
      </c>
      <c r="L13" s="2" t="str">
        <f>TEXT(VLOOKUP(표6[[#This Row],[일정번호]],표2[],6,FALSE), "hh:mm")</f>
        <v>14:00</v>
      </c>
      <c r="M13" s="2" t="str">
        <f>VLOOKUP(표6[[#This Row],[종목]],자격증정보!$A$2:$I$7,9,FALSE)</f>
        <v>30분</v>
      </c>
    </row>
    <row r="14" spans="1:13">
      <c r="A14" s="29">
        <v>13</v>
      </c>
      <c r="B14" s="2">
        <v>8</v>
      </c>
      <c r="C14" s="2">
        <v>3</v>
      </c>
      <c r="D14" s="2">
        <v>10</v>
      </c>
      <c r="E14" s="2">
        <v>1</v>
      </c>
      <c r="F14" s="3">
        <v>44326</v>
      </c>
      <c r="G14" s="3">
        <v>44333</v>
      </c>
      <c r="H14" s="3">
        <v>44333</v>
      </c>
      <c r="I14" s="2">
        <v>10</v>
      </c>
      <c r="J14" s="29" t="s">
        <v>197</v>
      </c>
      <c r="K14" s="51" t="str">
        <f>VLOOKUP(표6[[#This Row],[종목]],자격증정보!$A$2:$I$7,2,FALSE) &amp; " " &amp; VLOOKUP(표6[[#This Row],[종목]],자격증정보!$A$2:$I$7,3,FALSE)</f>
        <v>컴퓨터활용능력 2급</v>
      </c>
      <c r="L14" s="2" t="str">
        <f>TEXT(VLOOKUP(표6[[#This Row],[일정번호]],표2[],6,FALSE), "hh:mm")</f>
        <v>14:00</v>
      </c>
      <c r="M14" s="2" t="str">
        <f>VLOOKUP(표6[[#This Row],[종목]],자격증정보!$A$2:$I$7,9,FALSE)</f>
        <v>30분</v>
      </c>
    </row>
    <row r="15" spans="1:13">
      <c r="A15" s="29">
        <v>14</v>
      </c>
      <c r="B15" s="2">
        <v>16</v>
      </c>
      <c r="C15" s="2">
        <v>3</v>
      </c>
      <c r="D15" s="2">
        <v>10</v>
      </c>
      <c r="E15" s="2">
        <v>1</v>
      </c>
      <c r="F15" s="3">
        <v>44326</v>
      </c>
      <c r="G15" s="3">
        <v>44333</v>
      </c>
      <c r="H15" s="3">
        <v>44333</v>
      </c>
      <c r="I15" s="2">
        <v>0</v>
      </c>
      <c r="J15" s="29" t="s">
        <v>197</v>
      </c>
      <c r="K15" s="51" t="str">
        <f>VLOOKUP(표6[[#This Row],[종목]],자격증정보!$A$2:$I$7,2,FALSE) &amp; " " &amp; VLOOKUP(표6[[#This Row],[종목]],자격증정보!$A$2:$I$7,3,FALSE)</f>
        <v>컴퓨터활용능력 2급</v>
      </c>
      <c r="L15" s="2" t="str">
        <f>TEXT(VLOOKUP(표6[[#This Row],[일정번호]],표2[],6,FALSE), "hh:mm")</f>
        <v>14:00</v>
      </c>
      <c r="M15" s="2" t="str">
        <f>VLOOKUP(표6[[#This Row],[종목]],자격증정보!$A$2:$I$7,9,FALSE)</f>
        <v>30분</v>
      </c>
    </row>
    <row r="16" spans="1:13">
      <c r="A16" s="29">
        <v>15</v>
      </c>
      <c r="B16" s="2">
        <v>4</v>
      </c>
      <c r="C16" s="2">
        <v>3</v>
      </c>
      <c r="D16" s="2">
        <v>10</v>
      </c>
      <c r="E16" s="2">
        <v>1</v>
      </c>
      <c r="F16" s="3">
        <v>44326</v>
      </c>
      <c r="G16" s="3">
        <v>44333</v>
      </c>
      <c r="H16" s="3">
        <v>44333</v>
      </c>
      <c r="I16" s="2">
        <v>0</v>
      </c>
      <c r="J16" s="29" t="s">
        <v>197</v>
      </c>
      <c r="K16" s="51" t="str">
        <f>VLOOKUP(표6[[#This Row],[종목]],자격증정보!$A$2:$I$7,2,FALSE) &amp; " " &amp; VLOOKUP(표6[[#This Row],[종목]],자격증정보!$A$2:$I$7,3,FALSE)</f>
        <v>컴퓨터활용능력 2급</v>
      </c>
      <c r="L16" s="2" t="str">
        <f>TEXT(VLOOKUP(표6[[#This Row],[일정번호]],표2[],6,FALSE), "hh:mm")</f>
        <v>14:00</v>
      </c>
      <c r="M16" s="2" t="str">
        <f>VLOOKUP(표6[[#This Row],[종목]],자격증정보!$A$2:$I$7,9,FALSE)</f>
        <v>30분</v>
      </c>
    </row>
    <row r="17" spans="1:13">
      <c r="A17" s="29">
        <v>16</v>
      </c>
      <c r="B17" s="2">
        <v>18</v>
      </c>
      <c r="C17" s="2">
        <v>3</v>
      </c>
      <c r="D17" s="2">
        <v>11</v>
      </c>
      <c r="E17" s="2">
        <v>1</v>
      </c>
      <c r="F17" s="3">
        <v>44326</v>
      </c>
      <c r="G17" s="3">
        <v>44333</v>
      </c>
      <c r="H17" s="3">
        <v>44333</v>
      </c>
      <c r="I17" s="2">
        <v>20</v>
      </c>
      <c r="J17" s="29" t="s">
        <v>197</v>
      </c>
      <c r="K17" s="51" t="str">
        <f>VLOOKUP(표6[[#This Row],[종목]],자격증정보!$A$2:$I$7,2,FALSE) &amp; " " &amp; VLOOKUP(표6[[#This Row],[종목]],자격증정보!$A$2:$I$7,3,FALSE)</f>
        <v>컴퓨터활용능력 2급</v>
      </c>
      <c r="L17" s="2" t="str">
        <f>TEXT(VLOOKUP(표6[[#This Row],[일정번호]],표2[],6,FALSE), "hh:mm")</f>
        <v>15:20</v>
      </c>
      <c r="M17" s="2" t="str">
        <f>VLOOKUP(표6[[#This Row],[종목]],자격증정보!$A$2:$I$7,9,FALSE)</f>
        <v>30분</v>
      </c>
    </row>
    <row r="18" spans="1:13">
      <c r="A18" s="29">
        <v>17</v>
      </c>
      <c r="B18" s="2">
        <v>20</v>
      </c>
      <c r="C18" s="2">
        <v>3</v>
      </c>
      <c r="D18" s="2">
        <v>11</v>
      </c>
      <c r="E18" s="2">
        <v>1</v>
      </c>
      <c r="F18" s="3">
        <v>44326</v>
      </c>
      <c r="G18" s="3">
        <v>44333</v>
      </c>
      <c r="H18" s="3">
        <v>44333</v>
      </c>
      <c r="I18" s="2">
        <v>40</v>
      </c>
      <c r="J18" s="29" t="s">
        <v>197</v>
      </c>
      <c r="K18" s="51" t="str">
        <f>VLOOKUP(표6[[#This Row],[종목]],자격증정보!$A$2:$I$7,2,FALSE) &amp; " " &amp; VLOOKUP(표6[[#This Row],[종목]],자격증정보!$A$2:$I$7,3,FALSE)</f>
        <v>컴퓨터활용능력 2급</v>
      </c>
      <c r="L18" s="2" t="str">
        <f>TEXT(VLOOKUP(표6[[#This Row],[일정번호]],표2[],6,FALSE), "hh:mm")</f>
        <v>15:20</v>
      </c>
      <c r="M18" s="2" t="str">
        <f>VLOOKUP(표6[[#This Row],[종목]],자격증정보!$A$2:$I$7,9,FALSE)</f>
        <v>30분</v>
      </c>
    </row>
    <row r="19" spans="1:13">
      <c r="A19" s="29">
        <v>18</v>
      </c>
      <c r="B19" s="2">
        <v>1</v>
      </c>
      <c r="C19" s="2">
        <v>3</v>
      </c>
      <c r="D19" s="2">
        <v>11</v>
      </c>
      <c r="E19" s="2">
        <v>1</v>
      </c>
      <c r="F19" s="3">
        <v>44326</v>
      </c>
      <c r="G19" s="3">
        <v>44333</v>
      </c>
      <c r="H19" s="3">
        <v>44333</v>
      </c>
      <c r="I19" s="2">
        <v>50</v>
      </c>
      <c r="J19" s="29" t="s">
        <v>197</v>
      </c>
      <c r="K19" s="51" t="str">
        <f>VLOOKUP(표6[[#This Row],[종목]],자격증정보!$A$2:$I$7,2,FALSE) &amp; " " &amp; VLOOKUP(표6[[#This Row],[종목]],자격증정보!$A$2:$I$7,3,FALSE)</f>
        <v>컴퓨터활용능력 2급</v>
      </c>
      <c r="L19" s="2" t="str">
        <f>TEXT(VLOOKUP(표6[[#This Row],[일정번호]],표2[],6,FALSE), "hh:mm")</f>
        <v>15:20</v>
      </c>
      <c r="M19" s="2" t="str">
        <f>VLOOKUP(표6[[#This Row],[종목]],자격증정보!$A$2:$I$7,9,FALSE)</f>
        <v>30분</v>
      </c>
    </row>
    <row r="20" spans="1:13">
      <c r="A20" s="29">
        <v>19</v>
      </c>
      <c r="B20" s="2">
        <v>29</v>
      </c>
      <c r="C20" s="2">
        <v>3</v>
      </c>
      <c r="D20" s="2">
        <v>11</v>
      </c>
      <c r="E20" s="2">
        <v>1</v>
      </c>
      <c r="F20" s="3">
        <v>44326</v>
      </c>
      <c r="G20" s="3">
        <v>44333</v>
      </c>
      <c r="H20" s="3">
        <v>44333</v>
      </c>
      <c r="I20" s="2">
        <v>10</v>
      </c>
      <c r="J20" s="29" t="s">
        <v>197</v>
      </c>
      <c r="K20" s="51" t="str">
        <f>VLOOKUP(표6[[#This Row],[종목]],자격증정보!$A$2:$I$7,2,FALSE) &amp; " " &amp; VLOOKUP(표6[[#This Row],[종목]],자격증정보!$A$2:$I$7,3,FALSE)</f>
        <v>컴퓨터활용능력 2급</v>
      </c>
      <c r="L20" s="2" t="str">
        <f>TEXT(VLOOKUP(표6[[#This Row],[일정번호]],표2[],6,FALSE), "hh:mm")</f>
        <v>15:20</v>
      </c>
      <c r="M20" s="2" t="str">
        <f>VLOOKUP(표6[[#This Row],[종목]],자격증정보!$A$2:$I$7,9,FALSE)</f>
        <v>30분</v>
      </c>
    </row>
    <row r="21" spans="1:13">
      <c r="A21" s="29">
        <v>20</v>
      </c>
      <c r="B21" s="2">
        <v>10</v>
      </c>
      <c r="C21" s="2">
        <v>3</v>
      </c>
      <c r="D21" s="2">
        <v>11</v>
      </c>
      <c r="E21" s="2">
        <v>1</v>
      </c>
      <c r="F21" s="3">
        <v>44326</v>
      </c>
      <c r="G21" s="3">
        <v>44333</v>
      </c>
      <c r="H21" s="3">
        <v>44333</v>
      </c>
      <c r="I21" s="2">
        <v>0</v>
      </c>
      <c r="J21" s="29" t="s">
        <v>197</v>
      </c>
      <c r="K21" s="51" t="str">
        <f>VLOOKUP(표6[[#This Row],[종목]],자격증정보!$A$2:$I$7,2,FALSE) &amp; " " &amp; VLOOKUP(표6[[#This Row],[종목]],자격증정보!$A$2:$I$7,3,FALSE)</f>
        <v>컴퓨터활용능력 2급</v>
      </c>
      <c r="L21" s="2" t="str">
        <f>TEXT(VLOOKUP(표6[[#This Row],[일정번호]],표2[],6,FALSE), "hh:mm")</f>
        <v>15:20</v>
      </c>
      <c r="M21" s="2" t="str">
        <f>VLOOKUP(표6[[#This Row],[종목]],자격증정보!$A$2:$I$7,9,FALSE)</f>
        <v>30분</v>
      </c>
    </row>
    <row r="22" spans="1:13">
      <c r="A22" s="29">
        <v>21</v>
      </c>
      <c r="B22" s="2">
        <v>4</v>
      </c>
      <c r="C22" s="2">
        <v>4</v>
      </c>
      <c r="D22" s="2">
        <v>11</v>
      </c>
      <c r="E22" s="2">
        <v>1</v>
      </c>
      <c r="F22" s="3">
        <v>44326</v>
      </c>
      <c r="G22" s="3">
        <v>44333</v>
      </c>
      <c r="H22" s="3">
        <v>44334</v>
      </c>
      <c r="I22" s="2">
        <v>0</v>
      </c>
      <c r="J22" s="29" t="s">
        <v>197</v>
      </c>
      <c r="K22" s="51" t="str">
        <f>VLOOKUP(표6[[#This Row],[종목]],자격증정보!$A$2:$I$7,2,FALSE) &amp; " " &amp; VLOOKUP(표6[[#This Row],[종목]],자격증정보!$A$2:$I$7,3,FALSE)</f>
        <v>비서 1급</v>
      </c>
      <c r="L22" s="2" t="str">
        <f>TEXT(VLOOKUP(표6[[#This Row],[일정번호]],표2[],6,FALSE), "hh:mm")</f>
        <v>15:20</v>
      </c>
      <c r="M22" s="2" t="str">
        <f>VLOOKUP(표6[[#This Row],[종목]],자격증정보!$A$2:$I$7,9,FALSE)</f>
        <v>40분</v>
      </c>
    </row>
    <row r="23" spans="1:13">
      <c r="A23" s="29">
        <v>22</v>
      </c>
      <c r="B23" s="2">
        <v>15</v>
      </c>
      <c r="C23" s="2">
        <v>4</v>
      </c>
      <c r="D23" s="2">
        <v>11</v>
      </c>
      <c r="E23" s="2">
        <v>1</v>
      </c>
      <c r="F23" s="3">
        <v>44326</v>
      </c>
      <c r="G23" s="3">
        <v>44333</v>
      </c>
      <c r="H23" s="3">
        <v>44334</v>
      </c>
      <c r="I23" s="2">
        <v>40</v>
      </c>
      <c r="J23" s="29" t="s">
        <v>197</v>
      </c>
      <c r="K23" s="51" t="str">
        <f>VLOOKUP(표6[[#This Row],[종목]],자격증정보!$A$2:$I$7,2,FALSE) &amp; " " &amp; VLOOKUP(표6[[#This Row],[종목]],자격증정보!$A$2:$I$7,3,FALSE)</f>
        <v>비서 1급</v>
      </c>
      <c r="L23" s="2" t="str">
        <f>TEXT(VLOOKUP(표6[[#This Row],[일정번호]],표2[],6,FALSE), "hh:mm")</f>
        <v>15:20</v>
      </c>
      <c r="M23" s="2" t="str">
        <f>VLOOKUP(표6[[#This Row],[종목]],자격증정보!$A$2:$I$7,9,FALSE)</f>
        <v>40분</v>
      </c>
    </row>
    <row r="24" spans="1:13">
      <c r="A24" s="29">
        <v>23</v>
      </c>
      <c r="B24" s="2">
        <v>16</v>
      </c>
      <c r="C24" s="2">
        <v>4</v>
      </c>
      <c r="D24" s="2">
        <v>11</v>
      </c>
      <c r="E24" s="2">
        <v>1</v>
      </c>
      <c r="F24" s="3">
        <v>44326</v>
      </c>
      <c r="G24" s="3">
        <v>44333</v>
      </c>
      <c r="H24" s="3">
        <v>44334</v>
      </c>
      <c r="I24" s="2">
        <v>10</v>
      </c>
      <c r="J24" s="29" t="s">
        <v>197</v>
      </c>
      <c r="K24" s="51" t="str">
        <f>VLOOKUP(표6[[#This Row],[종목]],자격증정보!$A$2:$I$7,2,FALSE) &amp; " " &amp; VLOOKUP(표6[[#This Row],[종목]],자격증정보!$A$2:$I$7,3,FALSE)</f>
        <v>비서 1급</v>
      </c>
      <c r="L24" s="2" t="str">
        <f>TEXT(VLOOKUP(표6[[#This Row],[일정번호]],표2[],6,FALSE), "hh:mm")</f>
        <v>15:20</v>
      </c>
      <c r="M24" s="2" t="str">
        <f>VLOOKUP(표6[[#This Row],[종목]],자격증정보!$A$2:$I$7,9,FALSE)</f>
        <v>40분</v>
      </c>
    </row>
    <row r="25" spans="1:13">
      <c r="A25" s="29">
        <v>24</v>
      </c>
      <c r="B25" s="2">
        <v>19</v>
      </c>
      <c r="C25" s="2">
        <v>4</v>
      </c>
      <c r="D25" s="2">
        <v>12</v>
      </c>
      <c r="E25" s="2">
        <v>1</v>
      </c>
      <c r="F25" s="3">
        <v>44326</v>
      </c>
      <c r="G25" s="3">
        <v>44333</v>
      </c>
      <c r="H25" s="3">
        <v>44334</v>
      </c>
      <c r="I25" s="2">
        <v>30</v>
      </c>
      <c r="J25" s="29" t="s">
        <v>197</v>
      </c>
      <c r="K25" s="51" t="str">
        <f>VLOOKUP(표6[[#This Row],[종목]],자격증정보!$A$2:$I$7,2,FALSE) &amp; " " &amp; VLOOKUP(표6[[#This Row],[종목]],자격증정보!$A$2:$I$7,3,FALSE)</f>
        <v>비서 1급</v>
      </c>
      <c r="L25" s="2" t="str">
        <f>TEXT(VLOOKUP(표6[[#This Row],[일정번호]],표2[],6,FALSE), "hh:mm")</f>
        <v>17:00</v>
      </c>
      <c r="M25" s="2" t="str">
        <f>VLOOKUP(표6[[#This Row],[종목]],자격증정보!$A$2:$I$7,9,FALSE)</f>
        <v>40분</v>
      </c>
    </row>
    <row r="26" spans="1:13">
      <c r="A26" s="29">
        <v>25</v>
      </c>
      <c r="B26" s="2">
        <v>2</v>
      </c>
      <c r="C26" s="2">
        <v>4</v>
      </c>
      <c r="D26" s="2">
        <v>12</v>
      </c>
      <c r="E26" s="2">
        <v>1</v>
      </c>
      <c r="F26" s="3">
        <v>44326</v>
      </c>
      <c r="G26" s="3">
        <v>44333</v>
      </c>
      <c r="H26" s="3">
        <v>44334</v>
      </c>
      <c r="I26" s="2">
        <v>0</v>
      </c>
      <c r="J26" s="29" t="s">
        <v>197</v>
      </c>
      <c r="K26" s="51" t="str">
        <f>VLOOKUP(표6[[#This Row],[종목]],자격증정보!$A$2:$I$7,2,FALSE) &amp; " " &amp; VLOOKUP(표6[[#This Row],[종목]],자격증정보!$A$2:$I$7,3,FALSE)</f>
        <v>비서 1급</v>
      </c>
      <c r="L26" s="2" t="str">
        <f>TEXT(VLOOKUP(표6[[#This Row],[일정번호]],표2[],6,FALSE), "hh:mm")</f>
        <v>17:00</v>
      </c>
      <c r="M26" s="2" t="str">
        <f>VLOOKUP(표6[[#This Row],[종목]],자격증정보!$A$2:$I$7,9,FALSE)</f>
        <v>40분</v>
      </c>
    </row>
    <row r="27" spans="1:13">
      <c r="A27" s="29">
        <v>26</v>
      </c>
      <c r="B27" s="2">
        <v>17</v>
      </c>
      <c r="C27" s="2">
        <v>4</v>
      </c>
      <c r="D27" s="2">
        <v>12</v>
      </c>
      <c r="E27" s="2">
        <v>1</v>
      </c>
      <c r="F27" s="3">
        <v>44326</v>
      </c>
      <c r="G27" s="3">
        <v>44333</v>
      </c>
      <c r="H27" s="3">
        <v>44334</v>
      </c>
      <c r="I27" s="2">
        <v>10</v>
      </c>
      <c r="J27" s="29" t="s">
        <v>197</v>
      </c>
      <c r="K27" s="51" t="str">
        <f>VLOOKUP(표6[[#This Row],[종목]],자격증정보!$A$2:$I$7,2,FALSE) &amp; " " &amp; VLOOKUP(표6[[#This Row],[종목]],자격증정보!$A$2:$I$7,3,FALSE)</f>
        <v>비서 1급</v>
      </c>
      <c r="L27" s="2" t="str">
        <f>TEXT(VLOOKUP(표6[[#This Row],[일정번호]],표2[],6,FALSE), "hh:mm")</f>
        <v>17:00</v>
      </c>
      <c r="M27" s="2" t="str">
        <f>VLOOKUP(표6[[#This Row],[종목]],자격증정보!$A$2:$I$7,9,FALSE)</f>
        <v>40분</v>
      </c>
    </row>
    <row r="28" spans="1:13">
      <c r="A28" s="29">
        <v>27</v>
      </c>
      <c r="B28" s="2">
        <v>23</v>
      </c>
      <c r="C28" s="2">
        <v>4</v>
      </c>
      <c r="D28" s="2">
        <v>12</v>
      </c>
      <c r="E28" s="2">
        <v>1</v>
      </c>
      <c r="F28" s="3">
        <v>44326</v>
      </c>
      <c r="G28" s="3">
        <v>44333</v>
      </c>
      <c r="H28" s="3">
        <v>44334</v>
      </c>
      <c r="I28" s="2">
        <v>50</v>
      </c>
      <c r="J28" s="29" t="s">
        <v>197</v>
      </c>
      <c r="K28" s="51" t="str">
        <f>VLOOKUP(표6[[#This Row],[종목]],자격증정보!$A$2:$I$7,2,FALSE) &amp; " " &amp; VLOOKUP(표6[[#This Row],[종목]],자격증정보!$A$2:$I$7,3,FALSE)</f>
        <v>비서 1급</v>
      </c>
      <c r="L28" s="2" t="str">
        <f>TEXT(VLOOKUP(표6[[#This Row],[일정번호]],표2[],6,FALSE), "hh:mm")</f>
        <v>17:00</v>
      </c>
      <c r="M28" s="2" t="str">
        <f>VLOOKUP(표6[[#This Row],[종목]],자격증정보!$A$2:$I$7,9,FALSE)</f>
        <v>40분</v>
      </c>
    </row>
    <row r="29" spans="1:13">
      <c r="A29" s="29">
        <v>28</v>
      </c>
      <c r="B29" s="2">
        <v>15</v>
      </c>
      <c r="C29" s="2">
        <v>4</v>
      </c>
      <c r="D29" s="2">
        <v>12</v>
      </c>
      <c r="E29" s="2">
        <v>1</v>
      </c>
      <c r="F29" s="3">
        <v>44326</v>
      </c>
      <c r="G29" s="3">
        <v>44333</v>
      </c>
      <c r="H29" s="3">
        <v>44334</v>
      </c>
      <c r="I29" s="2">
        <v>20</v>
      </c>
      <c r="J29" s="29" t="s">
        <v>197</v>
      </c>
      <c r="K29" s="51" t="str">
        <f>VLOOKUP(표6[[#This Row],[종목]],자격증정보!$A$2:$I$7,2,FALSE) &amp; " " &amp; VLOOKUP(표6[[#This Row],[종목]],자격증정보!$A$2:$I$7,3,FALSE)</f>
        <v>비서 1급</v>
      </c>
      <c r="L29" s="2" t="str">
        <f>TEXT(VLOOKUP(표6[[#This Row],[일정번호]],표2[],6,FALSE), "hh:mm")</f>
        <v>17:00</v>
      </c>
      <c r="M29" s="2" t="str">
        <f>VLOOKUP(표6[[#This Row],[종목]],자격증정보!$A$2:$I$7,9,FALSE)</f>
        <v>40분</v>
      </c>
    </row>
    <row r="30" spans="1:13">
      <c r="A30" s="29">
        <v>29</v>
      </c>
      <c r="B30" s="2">
        <v>6</v>
      </c>
      <c r="C30" s="2">
        <v>4</v>
      </c>
      <c r="D30" s="2">
        <v>12</v>
      </c>
      <c r="E30" s="2">
        <v>1</v>
      </c>
      <c r="F30" s="3">
        <v>44326</v>
      </c>
      <c r="G30" s="3">
        <v>44333</v>
      </c>
      <c r="H30" s="3">
        <v>44334</v>
      </c>
      <c r="I30" s="2">
        <v>0</v>
      </c>
      <c r="J30" s="29" t="s">
        <v>197</v>
      </c>
      <c r="K30" s="51" t="str">
        <f>VLOOKUP(표6[[#This Row],[종목]],자격증정보!$A$2:$I$7,2,FALSE) &amp; " " &amp; VLOOKUP(표6[[#This Row],[종목]],자격증정보!$A$2:$I$7,3,FALSE)</f>
        <v>비서 1급</v>
      </c>
      <c r="L30" s="2" t="str">
        <f>TEXT(VLOOKUP(표6[[#This Row],[일정번호]],표2[],6,FALSE), "hh:mm")</f>
        <v>17:00</v>
      </c>
      <c r="M30" s="2" t="str">
        <f>VLOOKUP(표6[[#This Row],[종목]],자격증정보!$A$2:$I$7,9,FALSE)</f>
        <v>40분</v>
      </c>
    </row>
    <row r="31" spans="1:13">
      <c r="A31" s="29">
        <v>30</v>
      </c>
      <c r="B31" s="2">
        <v>3</v>
      </c>
      <c r="C31" s="2">
        <v>4</v>
      </c>
      <c r="D31" s="2">
        <v>12</v>
      </c>
      <c r="E31" s="2">
        <v>1</v>
      </c>
      <c r="F31" s="3">
        <v>44326</v>
      </c>
      <c r="G31" s="3">
        <v>44333</v>
      </c>
      <c r="H31" s="3">
        <v>44334</v>
      </c>
      <c r="I31" s="2">
        <v>0</v>
      </c>
      <c r="J31" s="29" t="s">
        <v>197</v>
      </c>
      <c r="K31" s="51" t="str">
        <f>VLOOKUP(표6[[#This Row],[종목]],자격증정보!$A$2:$I$7,2,FALSE) &amp; " " &amp; VLOOKUP(표6[[#This Row],[종목]],자격증정보!$A$2:$I$7,3,FALSE)</f>
        <v>비서 1급</v>
      </c>
      <c r="L31" s="2" t="str">
        <f>TEXT(VLOOKUP(표6[[#This Row],[일정번호]],표2[],6,FALSE), "hh:mm")</f>
        <v>17:00</v>
      </c>
      <c r="M31" s="2" t="str">
        <f>VLOOKUP(표6[[#This Row],[종목]],자격증정보!$A$2:$I$7,9,FALSE)</f>
        <v>40분</v>
      </c>
    </row>
    <row r="32" spans="1:13">
      <c r="A32" s="29">
        <v>31</v>
      </c>
      <c r="B32" s="2">
        <v>16</v>
      </c>
      <c r="C32" s="2">
        <v>5</v>
      </c>
      <c r="D32" s="2">
        <v>12</v>
      </c>
      <c r="E32" s="2">
        <v>1</v>
      </c>
      <c r="F32" s="3">
        <v>44326</v>
      </c>
      <c r="G32" s="3">
        <v>44333</v>
      </c>
      <c r="H32" s="3">
        <v>44334</v>
      </c>
      <c r="I32" s="2">
        <v>50</v>
      </c>
      <c r="J32" s="29" t="s">
        <v>197</v>
      </c>
      <c r="K32" s="51" t="str">
        <f>VLOOKUP(표6[[#This Row],[종목]],자격증정보!$A$2:$I$7,2,FALSE) &amp; " " &amp; VLOOKUP(표6[[#This Row],[종목]],자격증정보!$A$2:$I$7,3,FALSE)</f>
        <v>비서 2급</v>
      </c>
      <c r="L32" s="2" t="str">
        <f>TEXT(VLOOKUP(표6[[#This Row],[일정번호]],표2[],6,FALSE), "hh:mm")</f>
        <v>17:00</v>
      </c>
      <c r="M32" s="2" t="str">
        <f>VLOOKUP(표6[[#This Row],[종목]],자격증정보!$A$2:$I$7,9,FALSE)</f>
        <v>40분</v>
      </c>
    </row>
    <row r="33" spans="1:13">
      <c r="A33" s="29">
        <v>32</v>
      </c>
      <c r="B33" s="2">
        <v>12</v>
      </c>
      <c r="C33" s="2">
        <v>5</v>
      </c>
      <c r="D33" s="2">
        <v>14</v>
      </c>
      <c r="E33" s="2">
        <v>1</v>
      </c>
      <c r="F33" s="3">
        <v>44326</v>
      </c>
      <c r="G33" s="3">
        <v>44333</v>
      </c>
      <c r="H33" s="3">
        <v>44334</v>
      </c>
      <c r="I33" s="2">
        <v>20</v>
      </c>
      <c r="J33" s="29" t="s">
        <v>197</v>
      </c>
      <c r="K33" s="51" t="str">
        <f>VLOOKUP(표6[[#This Row],[종목]],자격증정보!$A$2:$I$7,2,FALSE) &amp; " " &amp; VLOOKUP(표6[[#This Row],[종목]],자격증정보!$A$2:$I$7,3,FALSE)</f>
        <v>비서 2급</v>
      </c>
      <c r="L33" s="2" t="str">
        <f>TEXT(VLOOKUP(표6[[#This Row],[일정번호]],표2[],6,FALSE), "hh:mm")</f>
        <v>11:00</v>
      </c>
      <c r="M33" s="2" t="str">
        <f>VLOOKUP(표6[[#This Row],[종목]],자격증정보!$A$2:$I$7,9,FALSE)</f>
        <v>40분</v>
      </c>
    </row>
    <row r="34" spans="1:13">
      <c r="A34" s="29">
        <v>33</v>
      </c>
      <c r="B34" s="2">
        <v>22</v>
      </c>
      <c r="C34" s="2">
        <v>5</v>
      </c>
      <c r="D34" s="2">
        <v>14</v>
      </c>
      <c r="E34" s="2">
        <v>1</v>
      </c>
      <c r="F34" s="3">
        <v>44326</v>
      </c>
      <c r="G34" s="3">
        <v>44333</v>
      </c>
      <c r="H34" s="3">
        <v>44334</v>
      </c>
      <c r="I34" s="2">
        <v>10</v>
      </c>
      <c r="J34" s="29" t="s">
        <v>197</v>
      </c>
      <c r="K34" s="51" t="str">
        <f>VLOOKUP(표6[[#This Row],[종목]],자격증정보!$A$2:$I$7,2,FALSE) &amp; " " &amp; VLOOKUP(표6[[#This Row],[종목]],자격증정보!$A$2:$I$7,3,FALSE)</f>
        <v>비서 2급</v>
      </c>
      <c r="L34" s="2" t="str">
        <f>TEXT(VLOOKUP(표6[[#This Row],[일정번호]],표2[],6,FALSE), "hh:mm")</f>
        <v>11:00</v>
      </c>
      <c r="M34" s="2" t="str">
        <f>VLOOKUP(표6[[#This Row],[종목]],자격증정보!$A$2:$I$7,9,FALSE)</f>
        <v>40분</v>
      </c>
    </row>
    <row r="35" spans="1:13">
      <c r="A35" s="29">
        <v>34</v>
      </c>
      <c r="B35" s="2">
        <v>19</v>
      </c>
      <c r="C35" s="2">
        <v>5</v>
      </c>
      <c r="D35" s="2">
        <v>14</v>
      </c>
      <c r="E35" s="2">
        <v>1</v>
      </c>
      <c r="F35" s="3">
        <v>44326</v>
      </c>
      <c r="G35" s="3">
        <v>44333</v>
      </c>
      <c r="H35" s="3">
        <v>44334</v>
      </c>
      <c r="I35" s="2">
        <v>0</v>
      </c>
      <c r="J35" s="29" t="s">
        <v>197</v>
      </c>
      <c r="K35" s="51" t="str">
        <f>VLOOKUP(표6[[#This Row],[종목]],자격증정보!$A$2:$I$7,2,FALSE) &amp; " " &amp; VLOOKUP(표6[[#This Row],[종목]],자격증정보!$A$2:$I$7,3,FALSE)</f>
        <v>비서 2급</v>
      </c>
      <c r="L35" s="2" t="str">
        <f>TEXT(VLOOKUP(표6[[#This Row],[일정번호]],표2[],6,FALSE), "hh:mm")</f>
        <v>11:00</v>
      </c>
      <c r="M35" s="2" t="str">
        <f>VLOOKUP(표6[[#This Row],[종목]],자격증정보!$A$2:$I$7,9,FALSE)</f>
        <v>40분</v>
      </c>
    </row>
    <row r="36" spans="1:13">
      <c r="A36" s="29">
        <v>35</v>
      </c>
      <c r="B36" s="2">
        <v>11</v>
      </c>
      <c r="C36" s="2">
        <v>5</v>
      </c>
      <c r="D36" s="2">
        <v>14</v>
      </c>
      <c r="E36" s="2">
        <v>1</v>
      </c>
      <c r="F36" s="3">
        <v>44326</v>
      </c>
      <c r="G36" s="3">
        <v>44333</v>
      </c>
      <c r="H36" s="3">
        <v>44334</v>
      </c>
      <c r="I36" s="2">
        <v>10</v>
      </c>
      <c r="J36" s="29" t="s">
        <v>197</v>
      </c>
      <c r="K36" s="51" t="str">
        <f>VLOOKUP(표6[[#This Row],[종목]],자격증정보!$A$2:$I$7,2,FALSE) &amp; " " &amp; VLOOKUP(표6[[#This Row],[종목]],자격증정보!$A$2:$I$7,3,FALSE)</f>
        <v>비서 2급</v>
      </c>
      <c r="L36" s="2" t="str">
        <f>TEXT(VLOOKUP(표6[[#This Row],[일정번호]],표2[],6,FALSE), "hh:mm")</f>
        <v>11:00</v>
      </c>
      <c r="M36" s="2" t="str">
        <f>VLOOKUP(표6[[#This Row],[종목]],자격증정보!$A$2:$I$7,9,FALSE)</f>
        <v>40분</v>
      </c>
    </row>
    <row r="37" spans="1:13">
      <c r="A37" s="29">
        <v>36</v>
      </c>
      <c r="B37" s="2">
        <v>25</v>
      </c>
      <c r="C37" s="2">
        <v>5</v>
      </c>
      <c r="D37" s="2">
        <v>14</v>
      </c>
      <c r="E37" s="2">
        <v>1</v>
      </c>
      <c r="F37" s="3">
        <v>44326</v>
      </c>
      <c r="G37" s="3">
        <v>44333</v>
      </c>
      <c r="H37" s="3">
        <v>44334</v>
      </c>
      <c r="I37" s="2">
        <v>0</v>
      </c>
      <c r="J37" s="29" t="s">
        <v>197</v>
      </c>
      <c r="K37" s="51" t="str">
        <f>VLOOKUP(표6[[#This Row],[종목]],자격증정보!$A$2:$I$7,2,FALSE) &amp; " " &amp; VLOOKUP(표6[[#This Row],[종목]],자격증정보!$A$2:$I$7,3,FALSE)</f>
        <v>비서 2급</v>
      </c>
      <c r="L37" s="2" t="str">
        <f>TEXT(VLOOKUP(표6[[#This Row],[일정번호]],표2[],6,FALSE), "hh:mm")</f>
        <v>11:00</v>
      </c>
      <c r="M37" s="2" t="str">
        <f>VLOOKUP(표6[[#This Row],[종목]],자격증정보!$A$2:$I$7,9,FALSE)</f>
        <v>40분</v>
      </c>
    </row>
    <row r="38" spans="1:13">
      <c r="A38" s="29">
        <v>37</v>
      </c>
      <c r="B38" s="2">
        <v>10</v>
      </c>
      <c r="C38" s="2">
        <v>5</v>
      </c>
      <c r="D38" s="2">
        <v>14</v>
      </c>
      <c r="E38" s="2">
        <v>1</v>
      </c>
      <c r="F38" s="3">
        <v>44326</v>
      </c>
      <c r="G38" s="3">
        <v>44333</v>
      </c>
      <c r="H38" s="3">
        <v>44334</v>
      </c>
      <c r="I38" s="2">
        <v>0</v>
      </c>
      <c r="J38" s="29" t="s">
        <v>197</v>
      </c>
      <c r="K38" s="51" t="str">
        <f>VLOOKUP(표6[[#This Row],[종목]],자격증정보!$A$2:$I$7,2,FALSE) &amp; " " &amp; VLOOKUP(표6[[#This Row],[종목]],자격증정보!$A$2:$I$7,3,FALSE)</f>
        <v>비서 2급</v>
      </c>
      <c r="L38" s="2" t="str">
        <f>TEXT(VLOOKUP(표6[[#This Row],[일정번호]],표2[],6,FALSE), "hh:mm")</f>
        <v>11:00</v>
      </c>
      <c r="M38" s="2" t="str">
        <f>VLOOKUP(표6[[#This Row],[종목]],자격증정보!$A$2:$I$7,9,FALSE)</f>
        <v>40분</v>
      </c>
    </row>
    <row r="39" spans="1:13">
      <c r="A39" s="29">
        <v>38</v>
      </c>
      <c r="B39" s="2">
        <v>6</v>
      </c>
      <c r="C39" s="2">
        <v>5</v>
      </c>
      <c r="D39" s="2">
        <v>14</v>
      </c>
      <c r="E39" s="2">
        <v>1</v>
      </c>
      <c r="F39" s="3">
        <v>44326</v>
      </c>
      <c r="G39" s="3">
        <v>44333</v>
      </c>
      <c r="H39" s="3">
        <v>44334</v>
      </c>
      <c r="I39" s="2">
        <v>40</v>
      </c>
      <c r="J39" s="29" t="s">
        <v>197</v>
      </c>
      <c r="K39" s="51" t="str">
        <f>VLOOKUP(표6[[#This Row],[종목]],자격증정보!$A$2:$I$7,2,FALSE) &amp; " " &amp; VLOOKUP(표6[[#This Row],[종목]],자격증정보!$A$2:$I$7,3,FALSE)</f>
        <v>비서 2급</v>
      </c>
      <c r="L39" s="2" t="str">
        <f>TEXT(VLOOKUP(표6[[#This Row],[일정번호]],표2[],6,FALSE), "hh:mm")</f>
        <v>11:00</v>
      </c>
      <c r="M39" s="2" t="str">
        <f>VLOOKUP(표6[[#This Row],[종목]],자격증정보!$A$2:$I$7,9,FALSE)</f>
        <v>40분</v>
      </c>
    </row>
    <row r="40" spans="1:13">
      <c r="A40" s="29">
        <v>39</v>
      </c>
      <c r="B40" s="2">
        <v>30</v>
      </c>
      <c r="C40" s="2">
        <v>6</v>
      </c>
      <c r="D40" s="2">
        <v>15</v>
      </c>
      <c r="E40" s="2">
        <v>1</v>
      </c>
      <c r="F40" s="3">
        <v>44326</v>
      </c>
      <c r="G40" s="3">
        <v>44333</v>
      </c>
      <c r="H40" s="3">
        <v>44334</v>
      </c>
      <c r="I40" s="2">
        <v>10</v>
      </c>
      <c r="J40" s="29" t="s">
        <v>197</v>
      </c>
      <c r="K40" s="51" t="str">
        <f>VLOOKUP(표6[[#This Row],[종목]],자격증정보!$A$2:$I$7,2,FALSE) &amp; " " &amp; VLOOKUP(표6[[#This Row],[종목]],자격증정보!$A$2:$I$7,3,FALSE)</f>
        <v>비서 3급</v>
      </c>
      <c r="L40" s="2" t="str">
        <f>TEXT(VLOOKUP(표6[[#This Row],[일정번호]],표2[],6,FALSE), "hh:mm")</f>
        <v>13:00</v>
      </c>
      <c r="M40" s="2" t="str">
        <f>VLOOKUP(표6[[#This Row],[종목]],자격증정보!$A$2:$I$7,9,FALSE)</f>
        <v>40분</v>
      </c>
    </row>
    <row r="41" spans="1:13">
      <c r="A41" s="29">
        <v>40</v>
      </c>
      <c r="B41" s="2">
        <v>27</v>
      </c>
      <c r="C41" s="2">
        <v>6</v>
      </c>
      <c r="D41" s="2">
        <v>15</v>
      </c>
      <c r="E41" s="2">
        <v>1</v>
      </c>
      <c r="F41" s="3">
        <v>44326</v>
      </c>
      <c r="G41" s="3">
        <v>44333</v>
      </c>
      <c r="H41" s="3">
        <v>44334</v>
      </c>
      <c r="I41" s="2">
        <v>0</v>
      </c>
      <c r="J41" s="29" t="s">
        <v>197</v>
      </c>
      <c r="K41" s="51" t="str">
        <f>VLOOKUP(표6[[#This Row],[종목]],자격증정보!$A$2:$I$7,2,FALSE) &amp; " " &amp; VLOOKUP(표6[[#This Row],[종목]],자격증정보!$A$2:$I$7,3,FALSE)</f>
        <v>비서 3급</v>
      </c>
      <c r="L41" s="2" t="str">
        <f>TEXT(VLOOKUP(표6[[#This Row],[일정번호]],표2[],6,FALSE), "hh:mm")</f>
        <v>13:00</v>
      </c>
      <c r="M41" s="2" t="str">
        <f>VLOOKUP(표6[[#This Row],[종목]],자격증정보!$A$2:$I$7,9,FALSE)</f>
        <v>40분</v>
      </c>
    </row>
    <row r="42" spans="1:13">
      <c r="A42" s="29">
        <v>41</v>
      </c>
      <c r="B42" s="2">
        <v>15</v>
      </c>
      <c r="C42" s="2">
        <v>6</v>
      </c>
      <c r="D42" s="2">
        <v>15</v>
      </c>
      <c r="E42" s="2">
        <v>1</v>
      </c>
      <c r="F42" s="3">
        <v>44326</v>
      </c>
      <c r="G42" s="3">
        <v>44333</v>
      </c>
      <c r="H42" s="3">
        <v>44334</v>
      </c>
      <c r="I42" s="2">
        <v>0</v>
      </c>
      <c r="J42" s="29" t="s">
        <v>197</v>
      </c>
      <c r="K42" s="51" t="str">
        <f>VLOOKUP(표6[[#This Row],[종목]],자격증정보!$A$2:$I$7,2,FALSE) &amp; " " &amp; VLOOKUP(표6[[#This Row],[종목]],자격증정보!$A$2:$I$7,3,FALSE)</f>
        <v>비서 3급</v>
      </c>
      <c r="L42" s="2" t="str">
        <f>TEXT(VLOOKUP(표6[[#This Row],[일정번호]],표2[],6,FALSE), "hh:mm")</f>
        <v>13:00</v>
      </c>
      <c r="M42" s="2" t="str">
        <f>VLOOKUP(표6[[#This Row],[종목]],자격증정보!$A$2:$I$7,9,FALSE)</f>
        <v>40분</v>
      </c>
    </row>
    <row r="43" spans="1:13">
      <c r="A43" s="29">
        <v>42</v>
      </c>
      <c r="B43" s="2">
        <v>16</v>
      </c>
      <c r="C43" s="2">
        <v>6</v>
      </c>
      <c r="D43" s="2">
        <v>16</v>
      </c>
      <c r="E43" s="2">
        <v>1</v>
      </c>
      <c r="F43" s="3">
        <v>44326</v>
      </c>
      <c r="G43" s="3">
        <v>44333</v>
      </c>
      <c r="H43" s="3">
        <v>44334</v>
      </c>
      <c r="I43" s="2">
        <v>10</v>
      </c>
      <c r="J43" s="29" t="s">
        <v>197</v>
      </c>
      <c r="K43" s="51" t="str">
        <f>VLOOKUP(표6[[#This Row],[종목]],자격증정보!$A$2:$I$7,2,FALSE) &amp; " " &amp; VLOOKUP(표6[[#This Row],[종목]],자격증정보!$A$2:$I$7,3,FALSE)</f>
        <v>비서 3급</v>
      </c>
      <c r="L43" s="2" t="str">
        <f>TEXT(VLOOKUP(표6[[#This Row],[일정번호]],표2[],6,FALSE), "hh:mm")</f>
        <v>15:00</v>
      </c>
      <c r="M43" s="2" t="str">
        <f>VLOOKUP(표6[[#This Row],[종목]],자격증정보!$A$2:$I$7,9,FALSE)</f>
        <v>40분</v>
      </c>
    </row>
    <row r="44" spans="1:13">
      <c r="A44" s="29">
        <v>43</v>
      </c>
      <c r="B44" s="2">
        <v>2</v>
      </c>
      <c r="C44" s="2">
        <v>6</v>
      </c>
      <c r="D44" s="2">
        <v>16</v>
      </c>
      <c r="E44" s="2">
        <v>1</v>
      </c>
      <c r="F44" s="3">
        <v>44326</v>
      </c>
      <c r="G44" s="3">
        <v>44333</v>
      </c>
      <c r="H44" s="3">
        <v>44334</v>
      </c>
      <c r="I44" s="2">
        <v>0</v>
      </c>
      <c r="J44" s="29" t="s">
        <v>197</v>
      </c>
      <c r="K44" s="51" t="str">
        <f>VLOOKUP(표6[[#This Row],[종목]],자격증정보!$A$2:$I$7,2,FALSE) &amp; " " &amp; VLOOKUP(표6[[#This Row],[종목]],자격증정보!$A$2:$I$7,3,FALSE)</f>
        <v>비서 3급</v>
      </c>
      <c r="L44" s="2" t="str">
        <f>TEXT(VLOOKUP(표6[[#This Row],[일정번호]],표2[],6,FALSE), "hh:mm")</f>
        <v>15:00</v>
      </c>
      <c r="M44" s="2" t="str">
        <f>VLOOKUP(표6[[#This Row],[종목]],자격증정보!$A$2:$I$7,9,FALSE)</f>
        <v>40분</v>
      </c>
    </row>
    <row r="45" spans="1:13">
      <c r="A45" s="29">
        <v>44</v>
      </c>
      <c r="B45" s="2">
        <v>4</v>
      </c>
      <c r="C45" s="2">
        <v>6</v>
      </c>
      <c r="D45" s="2">
        <v>16</v>
      </c>
      <c r="E45" s="2">
        <v>1</v>
      </c>
      <c r="F45" s="3">
        <v>44326</v>
      </c>
      <c r="G45" s="3">
        <v>44333</v>
      </c>
      <c r="H45" s="3">
        <v>44334</v>
      </c>
      <c r="I45" s="2">
        <v>20</v>
      </c>
      <c r="J45" s="29" t="s">
        <v>197</v>
      </c>
      <c r="K45" s="51" t="str">
        <f>VLOOKUP(표6[[#This Row],[종목]],자격증정보!$A$2:$I$7,2,FALSE) &amp; " " &amp; VLOOKUP(표6[[#This Row],[종목]],자격증정보!$A$2:$I$7,3,FALSE)</f>
        <v>비서 3급</v>
      </c>
      <c r="L45" s="2" t="str">
        <f>TEXT(VLOOKUP(표6[[#This Row],[일정번호]],표2[],6,FALSE), "hh:mm")</f>
        <v>15:00</v>
      </c>
      <c r="M45" s="2" t="str">
        <f>VLOOKUP(표6[[#This Row],[종목]],자격증정보!$A$2:$I$7,9,FALSE)</f>
        <v>40분</v>
      </c>
    </row>
    <row r="46" spans="1:13">
      <c r="A46" s="29">
        <v>45</v>
      </c>
      <c r="B46" s="2">
        <v>28</v>
      </c>
      <c r="C46" s="2">
        <v>6</v>
      </c>
      <c r="D46" s="2">
        <v>16</v>
      </c>
      <c r="E46" s="2">
        <v>1</v>
      </c>
      <c r="F46" s="3">
        <v>44326</v>
      </c>
      <c r="G46" s="3">
        <v>44333</v>
      </c>
      <c r="H46" s="3">
        <v>44334</v>
      </c>
      <c r="I46" s="2">
        <v>0</v>
      </c>
      <c r="J46" s="29" t="s">
        <v>197</v>
      </c>
      <c r="K46" s="51" t="str">
        <f>VLOOKUP(표6[[#This Row],[종목]],자격증정보!$A$2:$I$7,2,FALSE) &amp; " " &amp; VLOOKUP(표6[[#This Row],[종목]],자격증정보!$A$2:$I$7,3,FALSE)</f>
        <v>비서 3급</v>
      </c>
      <c r="L46" s="2" t="str">
        <f>TEXT(VLOOKUP(표6[[#This Row],[일정번호]],표2[],6,FALSE), "hh:mm")</f>
        <v>15:00</v>
      </c>
      <c r="M46" s="2" t="str">
        <f>VLOOKUP(표6[[#This Row],[종목]],자격증정보!$A$2:$I$7,9,FALSE)</f>
        <v>40분</v>
      </c>
    </row>
    <row r="47" spans="1:13">
      <c r="A47" s="29">
        <v>46</v>
      </c>
      <c r="B47" s="2">
        <v>30</v>
      </c>
      <c r="C47" s="2">
        <v>6</v>
      </c>
      <c r="D47" s="2">
        <v>16</v>
      </c>
      <c r="E47" s="2">
        <v>1</v>
      </c>
      <c r="F47" s="3">
        <v>44326</v>
      </c>
      <c r="G47" s="3">
        <v>44333</v>
      </c>
      <c r="H47" s="3">
        <v>44334</v>
      </c>
      <c r="I47" s="2">
        <v>50</v>
      </c>
      <c r="J47" s="29" t="s">
        <v>197</v>
      </c>
      <c r="K47" s="51" t="str">
        <f>VLOOKUP(표6[[#This Row],[종목]],자격증정보!$A$2:$I$7,2,FALSE) &amp; " " &amp; VLOOKUP(표6[[#This Row],[종목]],자격증정보!$A$2:$I$7,3,FALSE)</f>
        <v>비서 3급</v>
      </c>
      <c r="L47" s="2" t="str">
        <f>TEXT(VLOOKUP(표6[[#This Row],[일정번호]],표2[],6,FALSE), "hh:mm")</f>
        <v>15:00</v>
      </c>
      <c r="M47" s="2" t="str">
        <f>VLOOKUP(표6[[#This Row],[종목]],자격증정보!$A$2:$I$7,9,FALSE)</f>
        <v>40분</v>
      </c>
    </row>
    <row r="48" spans="1:13">
      <c r="A48" s="29">
        <v>47</v>
      </c>
      <c r="B48" s="2">
        <v>9</v>
      </c>
      <c r="C48" s="2">
        <v>6</v>
      </c>
      <c r="D48" s="2">
        <v>16</v>
      </c>
      <c r="E48" s="2">
        <v>1</v>
      </c>
      <c r="F48" s="3">
        <v>44326</v>
      </c>
      <c r="G48" s="3">
        <v>44333</v>
      </c>
      <c r="H48" s="3">
        <v>44334</v>
      </c>
      <c r="I48" s="2">
        <v>40</v>
      </c>
      <c r="J48" s="29" t="s">
        <v>197</v>
      </c>
      <c r="K48" s="51" t="str">
        <f>VLOOKUP(표6[[#This Row],[종목]],자격증정보!$A$2:$I$7,2,FALSE) &amp; " " &amp; VLOOKUP(표6[[#This Row],[종목]],자격증정보!$A$2:$I$7,3,FALSE)</f>
        <v>비서 3급</v>
      </c>
      <c r="L48" s="2" t="str">
        <f>TEXT(VLOOKUP(표6[[#This Row],[일정번호]],표2[],6,FALSE), "hh:mm")</f>
        <v>15:00</v>
      </c>
      <c r="M48" s="2" t="str">
        <f>VLOOKUP(표6[[#This Row],[종목]],자격증정보!$A$2:$I$7,9,FALSE)</f>
        <v>40분</v>
      </c>
    </row>
    <row r="49" spans="1:13">
      <c r="A49" s="29">
        <v>48</v>
      </c>
      <c r="B49" s="2">
        <v>4</v>
      </c>
      <c r="C49" s="2">
        <v>1</v>
      </c>
      <c r="D49" s="2">
        <v>43</v>
      </c>
      <c r="E49" s="2">
        <v>1</v>
      </c>
      <c r="F49" s="3">
        <v>44326</v>
      </c>
      <c r="G49" s="3">
        <v>44333</v>
      </c>
      <c r="H49" s="3">
        <v>44334</v>
      </c>
      <c r="I49" s="2">
        <v>20</v>
      </c>
      <c r="J49" s="29" t="s">
        <v>197</v>
      </c>
      <c r="K49" s="51" t="str">
        <f>VLOOKUP(표6[[#This Row],[종목]],자격증정보!$A$2:$I$7,2,FALSE) &amp; " " &amp; VLOOKUP(표6[[#This Row],[종목]],자격증정보!$A$2:$I$7,3,FALSE)</f>
        <v>워드프로세서 단일</v>
      </c>
      <c r="L49" s="2" t="str">
        <f>TEXT(VLOOKUP(표6[[#This Row],[일정번호]],표2[],6,FALSE), "hh:mm")</f>
        <v>14:00</v>
      </c>
      <c r="M49" s="2" t="str">
        <f>VLOOKUP(표6[[#This Row],[종목]],자격증정보!$A$2:$I$7,9,FALSE)</f>
        <v>30분</v>
      </c>
    </row>
    <row r="50" spans="1:13">
      <c r="A50" s="29">
        <v>49</v>
      </c>
      <c r="B50" s="2">
        <v>18</v>
      </c>
      <c r="C50" s="2">
        <v>1</v>
      </c>
      <c r="D50" s="2">
        <v>43</v>
      </c>
      <c r="E50" s="2">
        <v>1</v>
      </c>
      <c r="F50" s="3">
        <v>44326</v>
      </c>
      <c r="G50" s="3">
        <v>44333</v>
      </c>
      <c r="H50" s="3">
        <v>44334</v>
      </c>
      <c r="I50" s="2">
        <v>0</v>
      </c>
      <c r="J50" s="29" t="s">
        <v>197</v>
      </c>
      <c r="K50" s="51" t="str">
        <f>VLOOKUP(표6[[#This Row],[종목]],자격증정보!$A$2:$I$7,2,FALSE) &amp; " " &amp; VLOOKUP(표6[[#This Row],[종목]],자격증정보!$A$2:$I$7,3,FALSE)</f>
        <v>워드프로세서 단일</v>
      </c>
      <c r="L50" s="2" t="str">
        <f>TEXT(VLOOKUP(표6[[#This Row],[일정번호]],표2[],6,FALSE), "hh:mm")</f>
        <v>14:00</v>
      </c>
      <c r="M50" s="2" t="str">
        <f>VLOOKUP(표6[[#This Row],[종목]],자격증정보!$A$2:$I$7,9,FALSE)</f>
        <v>30분</v>
      </c>
    </row>
    <row r="51" spans="1:13">
      <c r="A51" s="29">
        <v>50</v>
      </c>
      <c r="B51" s="2">
        <v>23</v>
      </c>
      <c r="C51" s="2">
        <v>1</v>
      </c>
      <c r="D51" s="2">
        <v>43</v>
      </c>
      <c r="E51" s="2">
        <v>1</v>
      </c>
      <c r="F51" s="3">
        <v>44326</v>
      </c>
      <c r="G51" s="3">
        <v>44333</v>
      </c>
      <c r="H51" s="3">
        <v>44334</v>
      </c>
      <c r="I51" s="2">
        <v>40</v>
      </c>
      <c r="J51" s="29" t="s">
        <v>197</v>
      </c>
      <c r="K51" s="51" t="str">
        <f>VLOOKUP(표6[[#This Row],[종목]],자격증정보!$A$2:$I$7,2,FALSE) &amp; " " &amp; VLOOKUP(표6[[#This Row],[종목]],자격증정보!$A$2:$I$7,3,FALSE)</f>
        <v>워드프로세서 단일</v>
      </c>
      <c r="L51" s="2" t="str">
        <f>TEXT(VLOOKUP(표6[[#This Row],[일정번호]],표2[],6,FALSE), "hh:mm")</f>
        <v>14:00</v>
      </c>
      <c r="M51" s="2" t="str">
        <f>VLOOKUP(표6[[#This Row],[종목]],자격증정보!$A$2:$I$7,9,FALSE)</f>
        <v>30분</v>
      </c>
    </row>
    <row r="52" spans="1:13">
      <c r="A52" s="29">
        <v>51</v>
      </c>
      <c r="B52" s="2">
        <v>1</v>
      </c>
      <c r="C52" s="2">
        <v>1</v>
      </c>
      <c r="D52" s="2">
        <v>150</v>
      </c>
      <c r="E52" s="2">
        <v>38</v>
      </c>
      <c r="F52" s="3">
        <v>44389</v>
      </c>
      <c r="G52" s="3">
        <v>44396</v>
      </c>
      <c r="H52" s="3">
        <v>44397</v>
      </c>
      <c r="I52" s="2">
        <v>100</v>
      </c>
      <c r="J52" s="29" t="s">
        <v>198</v>
      </c>
      <c r="K52" s="51" t="str">
        <f>VLOOKUP(표6[[#This Row],[종목]],자격증정보!$A$2:$I$7,2,FALSE) &amp; " " &amp; VLOOKUP(표6[[#This Row],[종목]],자격증정보!$A$2:$I$7,3,FALSE)</f>
        <v>워드프로세서 단일</v>
      </c>
      <c r="L52" s="2" t="str">
        <f>TEXT(VLOOKUP(표6[[#This Row],[일정번호]],표2[],6,FALSE), "hh:mm")</f>
        <v>10:00</v>
      </c>
      <c r="M52" s="2" t="str">
        <f>VLOOKUP(표6[[#This Row],[종목]],자격증정보!$A$2:$I$7,9,FALSE)</f>
        <v>30분</v>
      </c>
    </row>
    <row r="53" spans="1:13">
      <c r="A53" s="29">
        <v>52</v>
      </c>
      <c r="B53" s="2">
        <v>22</v>
      </c>
      <c r="C53" s="2">
        <v>1</v>
      </c>
      <c r="D53" s="2">
        <v>43</v>
      </c>
      <c r="E53" s="2">
        <v>16</v>
      </c>
      <c r="F53" s="3">
        <v>44368</v>
      </c>
      <c r="G53" s="3">
        <v>44375</v>
      </c>
      <c r="H53" s="3">
        <v>44376</v>
      </c>
      <c r="I53" s="2">
        <v>30</v>
      </c>
      <c r="J53" s="29" t="s">
        <v>197</v>
      </c>
      <c r="K53" s="51" t="str">
        <f>VLOOKUP(표6[[#This Row],[종목]],자격증정보!$A$2:$I$7,2,FALSE) &amp; " " &amp; VLOOKUP(표6[[#This Row],[종목]],자격증정보!$A$2:$I$7,3,FALSE)</f>
        <v>워드프로세서 단일</v>
      </c>
      <c r="L53" s="2" t="str">
        <f>TEXT(VLOOKUP(표6[[#This Row],[일정번호]],표2[],6,FALSE), "hh:mm")</f>
        <v>14:00</v>
      </c>
      <c r="M53" s="2" t="str">
        <f>VLOOKUP(표6[[#This Row],[종목]],자격증정보!$A$2:$I$7,9,FALSE)</f>
        <v>30분</v>
      </c>
    </row>
    <row r="54" spans="1:13">
      <c r="A54" s="29">
        <v>53</v>
      </c>
      <c r="B54" s="2">
        <v>19</v>
      </c>
      <c r="C54" s="2">
        <v>1</v>
      </c>
      <c r="D54" s="2">
        <v>43</v>
      </c>
      <c r="E54" s="2">
        <v>16</v>
      </c>
      <c r="F54" s="3">
        <v>44368</v>
      </c>
      <c r="G54" s="3">
        <v>44375</v>
      </c>
      <c r="H54" s="3">
        <v>44376</v>
      </c>
      <c r="I54" s="2">
        <v>20</v>
      </c>
      <c r="J54" s="29" t="s">
        <v>197</v>
      </c>
      <c r="K54" s="51" t="str">
        <f>VLOOKUP(표6[[#This Row],[종목]],자격증정보!$A$2:$I$7,2,FALSE) &amp; " " &amp; VLOOKUP(표6[[#This Row],[종목]],자격증정보!$A$2:$I$7,3,FALSE)</f>
        <v>워드프로세서 단일</v>
      </c>
      <c r="L54" s="2" t="str">
        <f>TEXT(VLOOKUP(표6[[#This Row],[일정번호]],표2[],6,FALSE), "hh:mm")</f>
        <v>14:00</v>
      </c>
      <c r="M54" s="2" t="str">
        <f>VLOOKUP(표6[[#This Row],[종목]],자격증정보!$A$2:$I$7,9,FALSE)</f>
        <v>30분</v>
      </c>
    </row>
    <row r="55" spans="1:13">
      <c r="A55" s="29">
        <v>54</v>
      </c>
      <c r="B55" s="2">
        <v>1</v>
      </c>
      <c r="C55" s="2">
        <v>3</v>
      </c>
      <c r="D55" s="2">
        <v>1</v>
      </c>
      <c r="E55" s="2">
        <v>1</v>
      </c>
      <c r="F55" s="3">
        <v>44326</v>
      </c>
      <c r="G55" s="3">
        <v>44333</v>
      </c>
      <c r="H55" s="3">
        <v>44333</v>
      </c>
      <c r="I55" s="2">
        <v>30</v>
      </c>
      <c r="J55" s="29" t="s">
        <v>197</v>
      </c>
      <c r="K55" s="51" t="str">
        <f>VLOOKUP(표6[[#This Row],[종목]],자격증정보!$A$2:$I$7,2,FALSE) &amp; " " &amp; VLOOKUP(표6[[#This Row],[종목]],자격증정보!$A$2:$I$7,3,FALSE)</f>
        <v>컴퓨터활용능력 2급</v>
      </c>
      <c r="L55" s="2" t="str">
        <f>TEXT(VLOOKUP(표6[[#This Row],[일정번호]],표2[],6,FALSE), "hh:mm")</f>
        <v>13:00</v>
      </c>
      <c r="M55" s="2" t="str">
        <f>VLOOKUP(표6[[#This Row],[종목]],자격증정보!$A$2:$I$7,9,FALSE)</f>
        <v>30분</v>
      </c>
    </row>
    <row r="56" spans="1:13">
      <c r="A56" s="29">
        <v>55</v>
      </c>
      <c r="B56" s="2">
        <v>2</v>
      </c>
      <c r="C56" s="2">
        <v>3</v>
      </c>
      <c r="D56" s="2">
        <v>1</v>
      </c>
      <c r="E56" s="2">
        <v>1</v>
      </c>
      <c r="F56" s="3">
        <v>44326</v>
      </c>
      <c r="G56" s="3">
        <v>44333</v>
      </c>
      <c r="H56" s="3">
        <v>44333</v>
      </c>
      <c r="I56" s="2">
        <v>50</v>
      </c>
      <c r="J56" s="29" t="s">
        <v>197</v>
      </c>
      <c r="K56" s="51" t="str">
        <f>VLOOKUP(표6[[#This Row],[종목]],자격증정보!$A$2:$I$7,2,FALSE) &amp; " " &amp; VLOOKUP(표6[[#This Row],[종목]],자격증정보!$A$2:$I$7,3,FALSE)</f>
        <v>컴퓨터활용능력 2급</v>
      </c>
      <c r="L56" s="2" t="str">
        <f>TEXT(VLOOKUP(표6[[#This Row],[일정번호]],표2[],6,FALSE), "hh:mm")</f>
        <v>13:00</v>
      </c>
      <c r="M56" s="2" t="str">
        <f>VLOOKUP(표6[[#This Row],[종목]],자격증정보!$A$2:$I$7,9,FALSE)</f>
        <v>30분</v>
      </c>
    </row>
    <row r="57" spans="1:13">
      <c r="A57" s="29">
        <v>56</v>
      </c>
      <c r="B57" s="2">
        <v>3</v>
      </c>
      <c r="C57" s="2">
        <v>3</v>
      </c>
      <c r="D57" s="2">
        <v>1</v>
      </c>
      <c r="E57" s="2">
        <v>1</v>
      </c>
      <c r="F57" s="3">
        <v>44326</v>
      </c>
      <c r="G57" s="3">
        <v>44333</v>
      </c>
      <c r="H57" s="3">
        <v>44333</v>
      </c>
      <c r="I57" s="2">
        <v>60</v>
      </c>
      <c r="J57" s="29" t="s">
        <v>197</v>
      </c>
      <c r="K57" s="51" t="str">
        <f>VLOOKUP(표6[[#This Row],[종목]],자격증정보!$A$2:$I$7,2,FALSE) &amp; " " &amp; VLOOKUP(표6[[#This Row],[종목]],자격증정보!$A$2:$I$7,3,FALSE)</f>
        <v>컴퓨터활용능력 2급</v>
      </c>
      <c r="L57" s="2" t="str">
        <f>TEXT(VLOOKUP(표6[[#This Row],[일정번호]],표2[],6,FALSE), "hh:mm")</f>
        <v>13:00</v>
      </c>
      <c r="M57" s="2" t="str">
        <f>VLOOKUP(표6[[#This Row],[종목]],자격증정보!$A$2:$I$7,9,FALSE)</f>
        <v>30분</v>
      </c>
    </row>
    <row r="58" spans="1:13">
      <c r="A58" s="29">
        <v>57</v>
      </c>
      <c r="B58" s="2">
        <v>4</v>
      </c>
      <c r="C58" s="2">
        <v>3</v>
      </c>
      <c r="D58" s="2">
        <v>1</v>
      </c>
      <c r="E58" s="2">
        <v>1</v>
      </c>
      <c r="F58" s="3">
        <v>44326</v>
      </c>
      <c r="G58" s="3">
        <v>44333</v>
      </c>
      <c r="H58" s="3">
        <v>44333</v>
      </c>
      <c r="I58" s="2">
        <v>50</v>
      </c>
      <c r="J58" s="29" t="s">
        <v>197</v>
      </c>
      <c r="K58" s="51" t="str">
        <f>VLOOKUP(표6[[#This Row],[종목]],자격증정보!$A$2:$I$7,2,FALSE) &amp; " " &amp; VLOOKUP(표6[[#This Row],[종목]],자격증정보!$A$2:$I$7,3,FALSE)</f>
        <v>컴퓨터활용능력 2급</v>
      </c>
      <c r="L58" s="2" t="str">
        <f>TEXT(VLOOKUP(표6[[#This Row],[일정번호]],표2[],6,FALSE), "hh:mm")</f>
        <v>13:00</v>
      </c>
      <c r="M58" s="2" t="str">
        <f>VLOOKUP(표6[[#This Row],[종목]],자격증정보!$A$2:$I$7,9,FALSE)</f>
        <v>30분</v>
      </c>
    </row>
    <row r="59" spans="1:13">
      <c r="A59" s="29">
        <v>58</v>
      </c>
      <c r="B59" s="2">
        <v>10</v>
      </c>
      <c r="C59" s="2">
        <v>6</v>
      </c>
      <c r="D59" s="2">
        <v>58</v>
      </c>
      <c r="E59" s="2">
        <v>1</v>
      </c>
      <c r="F59" s="3">
        <v>44326</v>
      </c>
      <c r="G59" s="3">
        <v>44333</v>
      </c>
      <c r="H59" s="3">
        <v>44334</v>
      </c>
      <c r="I59" s="2">
        <v>60</v>
      </c>
      <c r="J59" s="29" t="s">
        <v>197</v>
      </c>
      <c r="K59" s="51" t="str">
        <f>VLOOKUP(표6[[#This Row],[종목]],자격증정보!$A$2:$I$7,2,FALSE) &amp; " " &amp; VLOOKUP(표6[[#This Row],[종목]],자격증정보!$A$2:$I$7,3,FALSE)</f>
        <v>비서 3급</v>
      </c>
      <c r="L59" s="2" t="str">
        <f>TEXT(VLOOKUP(표6[[#This Row],[일정번호]],표2[],6,FALSE), "hh:mm")</f>
        <v>13:00</v>
      </c>
      <c r="M59" s="2" t="str">
        <f>VLOOKUP(표6[[#This Row],[종목]],자격증정보!$A$2:$I$7,9,FALSE)</f>
        <v>40분</v>
      </c>
    </row>
    <row r="60" spans="1:13">
      <c r="A60" s="29">
        <v>59</v>
      </c>
      <c r="B60" s="2">
        <v>12</v>
      </c>
      <c r="C60" s="2">
        <v>6</v>
      </c>
      <c r="D60" s="2">
        <v>58</v>
      </c>
      <c r="E60" s="2">
        <v>1</v>
      </c>
      <c r="F60" s="3">
        <v>44326</v>
      </c>
      <c r="G60" s="3">
        <v>44333</v>
      </c>
      <c r="H60" s="3">
        <v>44334</v>
      </c>
      <c r="I60" s="2">
        <v>40</v>
      </c>
      <c r="J60" s="29" t="s">
        <v>197</v>
      </c>
      <c r="K60" s="51" t="str">
        <f>VLOOKUP(표6[[#This Row],[종목]],자격증정보!$A$2:$I$7,2,FALSE) &amp; " " &amp; VLOOKUP(표6[[#This Row],[종목]],자격증정보!$A$2:$I$7,3,FALSE)</f>
        <v>비서 3급</v>
      </c>
      <c r="L60" s="2" t="str">
        <f>TEXT(VLOOKUP(표6[[#This Row],[일정번호]],표2[],6,FALSE), "hh:mm")</f>
        <v>13:00</v>
      </c>
      <c r="M60" s="2" t="str">
        <f>VLOOKUP(표6[[#This Row],[종목]],자격증정보!$A$2:$I$7,9,FALSE)</f>
        <v>40분</v>
      </c>
    </row>
    <row r="61" spans="1:13">
      <c r="A61" s="29">
        <v>60</v>
      </c>
      <c r="B61" s="2">
        <v>1</v>
      </c>
      <c r="C61" s="2">
        <v>6</v>
      </c>
      <c r="D61" s="2">
        <v>58</v>
      </c>
      <c r="E61" s="2">
        <v>1</v>
      </c>
      <c r="F61" s="3">
        <v>44326</v>
      </c>
      <c r="G61" s="3">
        <v>44333</v>
      </c>
      <c r="H61" s="3">
        <v>44334</v>
      </c>
      <c r="I61" s="2">
        <v>50</v>
      </c>
      <c r="J61" s="29" t="s">
        <v>197</v>
      </c>
      <c r="K61" s="51" t="str">
        <f>VLOOKUP(표6[[#This Row],[종목]],자격증정보!$A$2:$I$7,2,FALSE) &amp; " " &amp; VLOOKUP(표6[[#This Row],[종목]],자격증정보!$A$2:$I$7,3,FALSE)</f>
        <v>비서 3급</v>
      </c>
      <c r="L61" s="2" t="str">
        <f>TEXT(VLOOKUP(표6[[#This Row],[일정번호]],표2[],6,FALSE), "hh:mm")</f>
        <v>13:00</v>
      </c>
      <c r="M61" s="2" t="str">
        <f>VLOOKUP(표6[[#This Row],[종목]],자격증정보!$A$2:$I$7,9,FALSE)</f>
        <v>40분</v>
      </c>
    </row>
    <row r="62" spans="1:13">
      <c r="A62" s="29">
        <v>61</v>
      </c>
      <c r="B62" s="2">
        <v>2</v>
      </c>
      <c r="C62" s="2">
        <v>6</v>
      </c>
      <c r="D62" s="2">
        <v>58</v>
      </c>
      <c r="E62" s="2">
        <v>1</v>
      </c>
      <c r="F62" s="3">
        <v>44326</v>
      </c>
      <c r="G62" s="3">
        <v>44333</v>
      </c>
      <c r="H62" s="3">
        <v>44334</v>
      </c>
      <c r="I62" s="2">
        <v>60</v>
      </c>
      <c r="J62" s="29" t="s">
        <v>197</v>
      </c>
      <c r="K62" s="51" t="str">
        <f>VLOOKUP(표6[[#This Row],[종목]],자격증정보!$A$2:$I$7,2,FALSE) &amp; " " &amp; VLOOKUP(표6[[#This Row],[종목]],자격증정보!$A$2:$I$7,3,FALSE)</f>
        <v>비서 3급</v>
      </c>
      <c r="L62" s="2" t="str">
        <f>TEXT(VLOOKUP(표6[[#This Row],[일정번호]],표2[],6,FALSE), "hh:mm")</f>
        <v>13:00</v>
      </c>
      <c r="M62" s="2" t="str">
        <f>VLOOKUP(표6[[#This Row],[종목]],자격증정보!$A$2:$I$7,9,FALSE)</f>
        <v>40분</v>
      </c>
    </row>
    <row r="63" spans="1:13">
      <c r="A63" s="29">
        <v>62</v>
      </c>
      <c r="B63" s="2">
        <v>3</v>
      </c>
      <c r="C63" s="2">
        <v>6</v>
      </c>
      <c r="D63" s="2">
        <v>58</v>
      </c>
      <c r="E63" s="2">
        <v>1</v>
      </c>
      <c r="F63" s="3">
        <v>44326</v>
      </c>
      <c r="G63" s="3">
        <v>44333</v>
      </c>
      <c r="H63" s="3">
        <v>44334</v>
      </c>
      <c r="I63" s="2">
        <v>40</v>
      </c>
      <c r="J63" s="29" t="s">
        <v>197</v>
      </c>
      <c r="K63" s="51" t="str">
        <f>VLOOKUP(표6[[#This Row],[종목]],자격증정보!$A$2:$I$7,2,FALSE) &amp; " " &amp; VLOOKUP(표6[[#This Row],[종목]],자격증정보!$A$2:$I$7,3,FALSE)</f>
        <v>비서 3급</v>
      </c>
      <c r="L63" s="2" t="str">
        <f>TEXT(VLOOKUP(표6[[#This Row],[일정번호]],표2[],6,FALSE), "hh:mm")</f>
        <v>13:00</v>
      </c>
      <c r="M63" s="2" t="str">
        <f>VLOOKUP(표6[[#This Row],[종목]],자격증정보!$A$2:$I$7,9,FALSE)</f>
        <v>40분</v>
      </c>
    </row>
    <row r="64" spans="1:13">
      <c r="A64" s="29">
        <v>63</v>
      </c>
      <c r="B64" s="2">
        <v>4</v>
      </c>
      <c r="C64" s="2">
        <v>6</v>
      </c>
      <c r="D64" s="2">
        <v>58</v>
      </c>
      <c r="E64" s="2">
        <v>1</v>
      </c>
      <c r="F64" s="3">
        <v>44326</v>
      </c>
      <c r="G64" s="3">
        <v>44333</v>
      </c>
      <c r="H64" s="3">
        <v>44334</v>
      </c>
      <c r="I64" s="2">
        <v>10</v>
      </c>
      <c r="J64" s="29" t="s">
        <v>197</v>
      </c>
      <c r="K64" s="51" t="str">
        <f>VLOOKUP(표6[[#This Row],[종목]],자격증정보!$A$2:$I$7,2,FALSE) &amp; " " &amp; VLOOKUP(표6[[#This Row],[종목]],자격증정보!$A$2:$I$7,3,FALSE)</f>
        <v>비서 3급</v>
      </c>
      <c r="L64" s="2" t="str">
        <f>TEXT(VLOOKUP(표6[[#This Row],[일정번호]],표2[],6,FALSE), "hh:mm")</f>
        <v>13:00</v>
      </c>
      <c r="M64" s="2" t="str">
        <f>VLOOKUP(표6[[#This Row],[종목]],자격증정보!$A$2:$I$7,9,FALSE)</f>
        <v>40분</v>
      </c>
    </row>
    <row r="65" spans="1:13">
      <c r="A65" s="29">
        <v>64</v>
      </c>
      <c r="B65" s="2">
        <v>5</v>
      </c>
      <c r="C65" s="2">
        <v>6</v>
      </c>
      <c r="D65" s="2">
        <v>58</v>
      </c>
      <c r="E65" s="2">
        <v>1</v>
      </c>
      <c r="F65" s="3">
        <v>44326</v>
      </c>
      <c r="G65" s="3">
        <v>44333</v>
      </c>
      <c r="H65" s="3">
        <v>44334</v>
      </c>
      <c r="I65" s="2">
        <v>20</v>
      </c>
      <c r="J65" s="29" t="s">
        <v>197</v>
      </c>
      <c r="K65" s="51" t="str">
        <f>VLOOKUP(표6[[#This Row],[종목]],자격증정보!$A$2:$I$7,2,FALSE) &amp; " " &amp; VLOOKUP(표6[[#This Row],[종목]],자격증정보!$A$2:$I$7,3,FALSE)</f>
        <v>비서 3급</v>
      </c>
      <c r="L65" s="2" t="str">
        <f>TEXT(VLOOKUP(표6[[#This Row],[일정번호]],표2[],6,FALSE), "hh:mm")</f>
        <v>13:00</v>
      </c>
      <c r="M65" s="2" t="str">
        <f>VLOOKUP(표6[[#This Row],[종목]],자격증정보!$A$2:$I$7,9,FALSE)</f>
        <v>40분</v>
      </c>
    </row>
    <row r="66" spans="1:13">
      <c r="A66" s="29">
        <v>65</v>
      </c>
      <c r="B66" s="2">
        <v>6</v>
      </c>
      <c r="C66" s="2">
        <v>6</v>
      </c>
      <c r="D66" s="2">
        <v>58</v>
      </c>
      <c r="E66" s="2">
        <v>1</v>
      </c>
      <c r="F66" s="3">
        <v>44326</v>
      </c>
      <c r="G66" s="3">
        <v>44333</v>
      </c>
      <c r="H66" s="3">
        <v>44334</v>
      </c>
      <c r="I66" s="2">
        <v>80</v>
      </c>
      <c r="J66" s="29" t="s">
        <v>198</v>
      </c>
      <c r="K66" s="51" t="str">
        <f>VLOOKUP(표6[[#This Row],[종목]],자격증정보!$A$2:$I$7,2,FALSE) &amp; " " &amp; VLOOKUP(표6[[#This Row],[종목]],자격증정보!$A$2:$I$7,3,FALSE)</f>
        <v>비서 3급</v>
      </c>
      <c r="L66" s="2" t="str">
        <f>TEXT(VLOOKUP(표6[[#This Row],[일정번호]],표2[],6,FALSE), "hh:mm")</f>
        <v>13:00</v>
      </c>
      <c r="M66" s="2" t="str">
        <f>VLOOKUP(표6[[#This Row],[종목]],자격증정보!$A$2:$I$7,9,FALSE)</f>
        <v>40분</v>
      </c>
    </row>
    <row r="67" spans="1:13">
      <c r="A67" s="29">
        <v>66</v>
      </c>
      <c r="B67" s="2">
        <v>30</v>
      </c>
      <c r="C67" s="2">
        <v>1</v>
      </c>
      <c r="D67" s="2">
        <v>14</v>
      </c>
      <c r="E67" s="2">
        <v>8</v>
      </c>
      <c r="F67" s="3">
        <v>44363</v>
      </c>
      <c r="G67" s="3">
        <v>44370</v>
      </c>
      <c r="H67" s="3">
        <v>44371</v>
      </c>
      <c r="I67" s="2">
        <v>0</v>
      </c>
      <c r="J67" s="29" t="s">
        <v>197</v>
      </c>
      <c r="K67" s="51" t="str">
        <f>VLOOKUP(표6[[#This Row],[종목]],자격증정보!$A$2:$I$7,2,FALSE) &amp; " " &amp; VLOOKUP(표6[[#This Row],[종목]],자격증정보!$A$2:$I$7,3,FALSE)</f>
        <v>워드프로세서 단일</v>
      </c>
      <c r="L67" s="2" t="str">
        <f>TEXT(VLOOKUP(표6[[#This Row],[일정번호]],표2[],6,FALSE), "hh:mm")</f>
        <v>11:00</v>
      </c>
      <c r="M67" s="2" t="str">
        <f>VLOOKUP(표6[[#This Row],[종목]],자격증정보!$A$2:$I$7,9,FALSE)</f>
        <v>30분</v>
      </c>
    </row>
    <row r="68" spans="1:13">
      <c r="A68" s="29">
        <v>67</v>
      </c>
      <c r="B68" s="2">
        <v>27</v>
      </c>
      <c r="C68" s="2">
        <v>1</v>
      </c>
      <c r="D68" s="2">
        <v>14</v>
      </c>
      <c r="E68" s="2">
        <v>8</v>
      </c>
      <c r="F68" s="3">
        <v>44363</v>
      </c>
      <c r="G68" s="3">
        <v>44370</v>
      </c>
      <c r="H68" s="3">
        <v>44371</v>
      </c>
      <c r="I68" s="2">
        <v>30</v>
      </c>
      <c r="J68" s="29" t="s">
        <v>197</v>
      </c>
      <c r="K68" s="51" t="str">
        <f>VLOOKUP(표6[[#This Row],[종목]],자격증정보!$A$2:$I$7,2,FALSE) &amp; " " &amp; VLOOKUP(표6[[#This Row],[종목]],자격증정보!$A$2:$I$7,3,FALSE)</f>
        <v>워드프로세서 단일</v>
      </c>
      <c r="L68" s="2" t="str">
        <f>TEXT(VLOOKUP(표6[[#This Row],[일정번호]],표2[],6,FALSE), "hh:mm")</f>
        <v>11:00</v>
      </c>
      <c r="M68" s="2" t="str">
        <f>VLOOKUP(표6[[#This Row],[종목]],자격증정보!$A$2:$I$7,9,FALSE)</f>
        <v>30분</v>
      </c>
    </row>
    <row r="69" spans="1:13">
      <c r="A69" s="29">
        <v>68</v>
      </c>
      <c r="B69" s="2">
        <v>18</v>
      </c>
      <c r="C69" s="2">
        <v>1</v>
      </c>
      <c r="D69" s="2">
        <v>15</v>
      </c>
      <c r="E69" s="2">
        <v>9</v>
      </c>
      <c r="F69" s="3">
        <v>44365</v>
      </c>
      <c r="G69" s="3">
        <v>44372</v>
      </c>
      <c r="H69" s="3">
        <v>44373</v>
      </c>
      <c r="I69" s="2">
        <v>10</v>
      </c>
      <c r="J69" s="29" t="s">
        <v>197</v>
      </c>
      <c r="K69" s="51" t="str">
        <f>VLOOKUP(표6[[#This Row],[종목]],자격증정보!$A$2:$I$7,2,FALSE) &amp; " " &amp; VLOOKUP(표6[[#This Row],[종목]],자격증정보!$A$2:$I$7,3,FALSE)</f>
        <v>워드프로세서 단일</v>
      </c>
      <c r="L69" s="2" t="str">
        <f>TEXT(VLOOKUP(표6[[#This Row],[일정번호]],표2[],6,FALSE), "hh:mm")</f>
        <v>13:00</v>
      </c>
      <c r="M69" s="2" t="str">
        <f>VLOOKUP(표6[[#This Row],[종목]],자격증정보!$A$2:$I$7,9,FALSE)</f>
        <v>30분</v>
      </c>
    </row>
    <row r="70" spans="1:13">
      <c r="A70" s="29">
        <v>69</v>
      </c>
      <c r="B70" s="2">
        <v>11</v>
      </c>
      <c r="C70" s="2">
        <v>1</v>
      </c>
      <c r="D70" s="2">
        <v>15</v>
      </c>
      <c r="E70" s="2">
        <v>9</v>
      </c>
      <c r="F70" s="3">
        <v>44365</v>
      </c>
      <c r="G70" s="3">
        <v>44372</v>
      </c>
      <c r="H70" s="3">
        <v>44373</v>
      </c>
      <c r="I70" s="2">
        <v>0</v>
      </c>
      <c r="J70" s="29" t="s">
        <v>197</v>
      </c>
      <c r="K70" s="51" t="str">
        <f>VLOOKUP(표6[[#This Row],[종목]],자격증정보!$A$2:$I$7,2,FALSE) &amp; " " &amp; VLOOKUP(표6[[#This Row],[종목]],자격증정보!$A$2:$I$7,3,FALSE)</f>
        <v>워드프로세서 단일</v>
      </c>
      <c r="L70" s="2" t="str">
        <f>TEXT(VLOOKUP(표6[[#This Row],[일정번호]],표2[],6,FALSE), "hh:mm")</f>
        <v>13:00</v>
      </c>
      <c r="M70" s="2" t="str">
        <f>VLOOKUP(표6[[#This Row],[종목]],자격증정보!$A$2:$I$7,9,FALSE)</f>
        <v>30분</v>
      </c>
    </row>
    <row r="71" spans="1:13">
      <c r="A71" s="29">
        <v>70</v>
      </c>
      <c r="B71" s="2">
        <v>25</v>
      </c>
      <c r="C71" s="2">
        <v>1</v>
      </c>
      <c r="D71" s="2">
        <v>15</v>
      </c>
      <c r="E71" s="2">
        <v>9</v>
      </c>
      <c r="F71" s="3">
        <v>44365</v>
      </c>
      <c r="G71" s="3">
        <v>44372</v>
      </c>
      <c r="H71" s="3">
        <v>44373</v>
      </c>
      <c r="I71" s="2">
        <v>20</v>
      </c>
      <c r="J71" s="29" t="s">
        <v>197</v>
      </c>
      <c r="K71" s="51" t="str">
        <f>VLOOKUP(표6[[#This Row],[종목]],자격증정보!$A$2:$I$7,2,FALSE) &amp; " " &amp; VLOOKUP(표6[[#This Row],[종목]],자격증정보!$A$2:$I$7,3,FALSE)</f>
        <v>워드프로세서 단일</v>
      </c>
      <c r="L71" s="2" t="str">
        <f>TEXT(VLOOKUP(표6[[#This Row],[일정번호]],표2[],6,FALSE), "hh:mm")</f>
        <v>13:00</v>
      </c>
      <c r="M71" s="2" t="str">
        <f>VLOOKUP(표6[[#This Row],[종목]],자격증정보!$A$2:$I$7,9,FALSE)</f>
        <v>30분</v>
      </c>
    </row>
    <row r="72" spans="1:13">
      <c r="A72" s="29">
        <v>71</v>
      </c>
      <c r="B72" s="2">
        <v>6</v>
      </c>
      <c r="C72" s="2">
        <v>1</v>
      </c>
      <c r="D72" s="2">
        <v>15</v>
      </c>
      <c r="E72" s="2">
        <v>9</v>
      </c>
      <c r="F72" s="3">
        <v>44365</v>
      </c>
      <c r="G72" s="3">
        <v>44372</v>
      </c>
      <c r="H72" s="3">
        <v>44373</v>
      </c>
      <c r="I72" s="2">
        <v>50</v>
      </c>
      <c r="J72" s="29" t="s">
        <v>197</v>
      </c>
      <c r="K72" s="51" t="str">
        <f>VLOOKUP(표6[[#This Row],[종목]],자격증정보!$A$2:$I$7,2,FALSE) &amp; " " &amp; VLOOKUP(표6[[#This Row],[종목]],자격증정보!$A$2:$I$7,3,FALSE)</f>
        <v>워드프로세서 단일</v>
      </c>
      <c r="L72" s="2" t="str">
        <f>TEXT(VLOOKUP(표6[[#This Row],[일정번호]],표2[],6,FALSE), "hh:mm")</f>
        <v>13:00</v>
      </c>
      <c r="M72" s="2" t="str">
        <f>VLOOKUP(표6[[#This Row],[종목]],자격증정보!$A$2:$I$7,9,FALSE)</f>
        <v>30분</v>
      </c>
    </row>
    <row r="73" spans="1:13">
      <c r="A73" s="29">
        <v>72</v>
      </c>
      <c r="B73" s="2">
        <v>8</v>
      </c>
      <c r="C73" s="2">
        <v>1</v>
      </c>
      <c r="D73" s="2">
        <v>15</v>
      </c>
      <c r="E73" s="2">
        <v>9</v>
      </c>
      <c r="F73" s="3">
        <v>44365</v>
      </c>
      <c r="G73" s="3">
        <v>44372</v>
      </c>
      <c r="H73" s="3">
        <v>44373</v>
      </c>
      <c r="I73" s="2">
        <v>0</v>
      </c>
      <c r="J73" s="29" t="s">
        <v>197</v>
      </c>
      <c r="K73" s="51" t="str">
        <f>VLOOKUP(표6[[#This Row],[종목]],자격증정보!$A$2:$I$7,2,FALSE) &amp; " " &amp; VLOOKUP(표6[[#This Row],[종목]],자격증정보!$A$2:$I$7,3,FALSE)</f>
        <v>워드프로세서 단일</v>
      </c>
      <c r="L73" s="2" t="str">
        <f>TEXT(VLOOKUP(표6[[#This Row],[일정번호]],표2[],6,FALSE), "hh:mm")</f>
        <v>13:00</v>
      </c>
      <c r="M73" s="2" t="str">
        <f>VLOOKUP(표6[[#This Row],[종목]],자격증정보!$A$2:$I$7,9,FALSE)</f>
        <v>30분</v>
      </c>
    </row>
    <row r="74" spans="1:13">
      <c r="A74" s="29">
        <v>73</v>
      </c>
      <c r="B74" s="2">
        <v>15</v>
      </c>
      <c r="C74" s="2">
        <v>1</v>
      </c>
      <c r="D74" s="2">
        <v>17</v>
      </c>
      <c r="E74" s="2">
        <v>11</v>
      </c>
      <c r="F74" s="3">
        <v>44365</v>
      </c>
      <c r="G74" s="3">
        <v>44372</v>
      </c>
      <c r="H74" s="3">
        <v>44373</v>
      </c>
      <c r="I74" s="2">
        <v>40</v>
      </c>
      <c r="J74" s="29" t="s">
        <v>197</v>
      </c>
      <c r="K74" s="51" t="str">
        <f>VLOOKUP(표6[[#This Row],[종목]],자격증정보!$A$2:$I$7,2,FALSE) &amp; " " &amp; VLOOKUP(표6[[#This Row],[종목]],자격증정보!$A$2:$I$7,3,FALSE)</f>
        <v>워드프로세서 단일</v>
      </c>
      <c r="L74" s="2" t="str">
        <f>TEXT(VLOOKUP(표6[[#This Row],[일정번호]],표2[],6,FALSE), "hh:mm")</f>
        <v>16:20</v>
      </c>
      <c r="M74" s="2" t="str">
        <f>VLOOKUP(표6[[#This Row],[종목]],자격증정보!$A$2:$I$7,9,FALSE)</f>
        <v>30분</v>
      </c>
    </row>
    <row r="75" spans="1:13">
      <c r="A75" s="29">
        <v>74</v>
      </c>
      <c r="B75" s="2">
        <v>25</v>
      </c>
      <c r="C75" s="2">
        <v>1</v>
      </c>
      <c r="D75" s="2">
        <v>17</v>
      </c>
      <c r="E75" s="2">
        <v>11</v>
      </c>
      <c r="F75" s="3">
        <v>44365</v>
      </c>
      <c r="G75" s="3">
        <v>44372</v>
      </c>
      <c r="H75" s="3">
        <v>44373</v>
      </c>
      <c r="I75" s="2">
        <v>30</v>
      </c>
      <c r="J75" s="29" t="s">
        <v>197</v>
      </c>
      <c r="K75" s="51" t="str">
        <f>VLOOKUP(표6[[#This Row],[종목]],자격증정보!$A$2:$I$7,2,FALSE) &amp; " " &amp; VLOOKUP(표6[[#This Row],[종목]],자격증정보!$A$2:$I$7,3,FALSE)</f>
        <v>워드프로세서 단일</v>
      </c>
      <c r="L75" s="2" t="str">
        <f>TEXT(VLOOKUP(표6[[#This Row],[일정번호]],표2[],6,FALSE), "hh:mm")</f>
        <v>16:20</v>
      </c>
      <c r="M75" s="2" t="str">
        <f>VLOOKUP(표6[[#This Row],[종목]],자격증정보!$A$2:$I$7,9,FALSE)</f>
        <v>30분</v>
      </c>
    </row>
    <row r="76" spans="1:13">
      <c r="A76" s="29">
        <v>75</v>
      </c>
      <c r="B76" s="2">
        <v>2</v>
      </c>
      <c r="C76" s="2">
        <v>1</v>
      </c>
      <c r="D76" s="2">
        <v>51</v>
      </c>
      <c r="E76" s="2">
        <v>19</v>
      </c>
      <c r="F76" s="3">
        <v>44372</v>
      </c>
      <c r="G76" s="3">
        <v>44379</v>
      </c>
      <c r="H76" s="3">
        <v>44380</v>
      </c>
      <c r="I76" s="2">
        <v>40</v>
      </c>
      <c r="J76" s="29" t="s">
        <v>197</v>
      </c>
      <c r="K76" s="51" t="str">
        <f>VLOOKUP(표6[[#This Row],[종목]],자격증정보!$A$2:$I$7,2,FALSE) &amp; " " &amp; VLOOKUP(표6[[#This Row],[종목]],자격증정보!$A$2:$I$7,3,FALSE)</f>
        <v>워드프로세서 단일</v>
      </c>
      <c r="L76" s="2" t="str">
        <f>TEXT(VLOOKUP(표6[[#This Row],[일정번호]],표2[],6,FALSE), "hh:mm")</f>
        <v>11:00</v>
      </c>
      <c r="M76" s="2" t="str">
        <f>VLOOKUP(표6[[#This Row],[종목]],자격증정보!$A$2:$I$7,9,FALSE)</f>
        <v>30분</v>
      </c>
    </row>
    <row r="77" spans="1:13">
      <c r="A77" s="29">
        <v>76</v>
      </c>
      <c r="B77" s="2">
        <v>8</v>
      </c>
      <c r="C77" s="2">
        <v>1</v>
      </c>
      <c r="D77" s="2">
        <v>17</v>
      </c>
      <c r="E77" s="2">
        <v>11</v>
      </c>
      <c r="F77" s="3">
        <v>44365</v>
      </c>
      <c r="G77" s="3">
        <v>44372</v>
      </c>
      <c r="H77" s="3">
        <v>44373</v>
      </c>
      <c r="I77" s="2">
        <v>50</v>
      </c>
      <c r="J77" s="29" t="s">
        <v>197</v>
      </c>
      <c r="K77" s="51" t="str">
        <f>VLOOKUP(표6[[#This Row],[종목]],자격증정보!$A$2:$I$7,2,FALSE) &amp; " " &amp; VLOOKUP(표6[[#This Row],[종목]],자격증정보!$A$2:$I$7,3,FALSE)</f>
        <v>워드프로세서 단일</v>
      </c>
      <c r="L77" s="2" t="str">
        <f>TEXT(VLOOKUP(표6[[#This Row],[일정번호]],표2[],6,FALSE), "hh:mm")</f>
        <v>16:20</v>
      </c>
      <c r="M77" s="2" t="str">
        <f>VLOOKUP(표6[[#This Row],[종목]],자격증정보!$A$2:$I$7,9,FALSE)</f>
        <v>30분</v>
      </c>
    </row>
    <row r="78" spans="1:13">
      <c r="A78" s="29">
        <v>77</v>
      </c>
      <c r="B78" s="2">
        <v>30</v>
      </c>
      <c r="C78" s="2">
        <v>1</v>
      </c>
      <c r="D78" s="2">
        <v>17</v>
      </c>
      <c r="E78" s="2">
        <v>11</v>
      </c>
      <c r="F78" s="3">
        <v>44365</v>
      </c>
      <c r="G78" s="3">
        <v>44372</v>
      </c>
      <c r="H78" s="3">
        <v>44373</v>
      </c>
      <c r="I78" s="2">
        <v>20</v>
      </c>
      <c r="J78" s="29" t="s">
        <v>197</v>
      </c>
      <c r="K78" s="51" t="str">
        <f>VLOOKUP(표6[[#This Row],[종목]],자격증정보!$A$2:$I$7,2,FALSE) &amp; " " &amp; VLOOKUP(표6[[#This Row],[종목]],자격증정보!$A$2:$I$7,3,FALSE)</f>
        <v>워드프로세서 단일</v>
      </c>
      <c r="L78" s="2" t="str">
        <f>TEXT(VLOOKUP(표6[[#This Row],[일정번호]],표2[],6,FALSE), "hh:mm")</f>
        <v>16:20</v>
      </c>
      <c r="M78" s="2" t="str">
        <f>VLOOKUP(표6[[#This Row],[종목]],자격증정보!$A$2:$I$7,9,FALSE)</f>
        <v>30분</v>
      </c>
    </row>
    <row r="79" spans="1:13">
      <c r="A79" s="29">
        <v>78</v>
      </c>
      <c r="B79" s="2">
        <v>2</v>
      </c>
      <c r="C79" s="2">
        <v>1</v>
      </c>
      <c r="D79" s="2">
        <v>122</v>
      </c>
      <c r="E79" s="2">
        <v>36</v>
      </c>
      <c r="F79" s="3">
        <v>44388</v>
      </c>
      <c r="G79" s="3">
        <v>44395</v>
      </c>
      <c r="H79" s="3">
        <v>44396</v>
      </c>
      <c r="I79" s="2">
        <v>80</v>
      </c>
      <c r="J79" s="29" t="s">
        <v>198</v>
      </c>
      <c r="K79" s="51" t="str">
        <f>VLOOKUP(표6[[#This Row],[종목]],자격증정보!$A$2:$I$7,2,FALSE) &amp; " " &amp; VLOOKUP(표6[[#This Row],[종목]],자격증정보!$A$2:$I$7,3,FALSE)</f>
        <v>워드프로세서 단일</v>
      </c>
      <c r="L79" s="2" t="str">
        <f>TEXT(VLOOKUP(표6[[#This Row],[일정번호]],표2[],6,FALSE), "hh:mm")</f>
        <v>11:00</v>
      </c>
      <c r="M79" s="2" t="str">
        <f>VLOOKUP(표6[[#This Row],[종목]],자격증정보!$A$2:$I$7,9,FALSE)</f>
        <v>30분</v>
      </c>
    </row>
    <row r="80" spans="1:13">
      <c r="A80" s="29">
        <v>79</v>
      </c>
      <c r="B80" s="2">
        <v>16</v>
      </c>
      <c r="C80" s="2">
        <v>1</v>
      </c>
      <c r="D80" s="2">
        <v>17</v>
      </c>
      <c r="E80" s="2">
        <v>11</v>
      </c>
      <c r="F80" s="3">
        <v>44365</v>
      </c>
      <c r="G80" s="3">
        <v>44372</v>
      </c>
      <c r="H80" s="3">
        <v>44373</v>
      </c>
      <c r="I80" s="2">
        <v>40</v>
      </c>
      <c r="J80" s="29" t="s">
        <v>197</v>
      </c>
      <c r="K80" s="51" t="str">
        <f>VLOOKUP(표6[[#This Row],[종목]],자격증정보!$A$2:$I$7,2,FALSE) &amp; " " &amp; VLOOKUP(표6[[#This Row],[종목]],자격증정보!$A$2:$I$7,3,FALSE)</f>
        <v>워드프로세서 단일</v>
      </c>
      <c r="L80" s="2" t="str">
        <f>TEXT(VLOOKUP(표6[[#This Row],[일정번호]],표2[],6,FALSE), "hh:mm")</f>
        <v>16:20</v>
      </c>
      <c r="M80" s="2" t="str">
        <f>VLOOKUP(표6[[#This Row],[종목]],자격증정보!$A$2:$I$7,9,FALSE)</f>
        <v>30분</v>
      </c>
    </row>
    <row r="81" spans="1:13">
      <c r="A81" s="29">
        <v>80</v>
      </c>
      <c r="B81" s="2">
        <v>2</v>
      </c>
      <c r="C81" s="2">
        <v>1</v>
      </c>
      <c r="D81" s="2">
        <v>19</v>
      </c>
      <c r="E81" s="2">
        <v>12</v>
      </c>
      <c r="F81" s="3">
        <v>44365</v>
      </c>
      <c r="G81" s="3">
        <v>44372</v>
      </c>
      <c r="H81" s="3">
        <v>44373</v>
      </c>
      <c r="I81" s="2">
        <v>0</v>
      </c>
      <c r="J81" s="29" t="s">
        <v>197</v>
      </c>
      <c r="K81" s="51" t="str">
        <f>VLOOKUP(표6[[#This Row],[종목]],자격증정보!$A$2:$I$7,2,FALSE) &amp; " " &amp; VLOOKUP(표6[[#This Row],[종목]],자격증정보!$A$2:$I$7,3,FALSE)</f>
        <v>워드프로세서 단일</v>
      </c>
      <c r="L81" s="2" t="str">
        <f>TEXT(VLOOKUP(표6[[#This Row],[일정번호]],표2[],6,FALSE), "hh:mm")</f>
        <v>15:00</v>
      </c>
      <c r="M81" s="2" t="str">
        <f>VLOOKUP(표6[[#This Row],[종목]],자격증정보!$A$2:$I$7,9,FALSE)</f>
        <v>30분</v>
      </c>
    </row>
    <row r="82" spans="1:13">
      <c r="A82" s="29">
        <v>81</v>
      </c>
      <c r="B82" s="2">
        <v>18</v>
      </c>
      <c r="C82" s="2">
        <v>1</v>
      </c>
      <c r="D82" s="2">
        <v>19</v>
      </c>
      <c r="E82" s="2">
        <v>12</v>
      </c>
      <c r="F82" s="3">
        <v>44365</v>
      </c>
      <c r="G82" s="3">
        <v>44372</v>
      </c>
      <c r="H82" s="3">
        <v>44373</v>
      </c>
      <c r="I82" s="2">
        <v>0</v>
      </c>
      <c r="J82" s="29" t="s">
        <v>197</v>
      </c>
      <c r="K82" s="51" t="str">
        <f>VLOOKUP(표6[[#This Row],[종목]],자격증정보!$A$2:$I$7,2,FALSE) &amp; " " &amp; VLOOKUP(표6[[#This Row],[종목]],자격증정보!$A$2:$I$7,3,FALSE)</f>
        <v>워드프로세서 단일</v>
      </c>
      <c r="L82" s="2" t="str">
        <f>TEXT(VLOOKUP(표6[[#This Row],[일정번호]],표2[],6,FALSE), "hh:mm")</f>
        <v>15:00</v>
      </c>
      <c r="M82" s="2" t="str">
        <f>VLOOKUP(표6[[#This Row],[종목]],자격증정보!$A$2:$I$7,9,FALSE)</f>
        <v>30분</v>
      </c>
    </row>
    <row r="83" spans="1:13">
      <c r="A83" s="29">
        <v>82</v>
      </c>
      <c r="B83" s="2">
        <v>17</v>
      </c>
      <c r="C83" s="2">
        <v>1</v>
      </c>
      <c r="D83" s="2">
        <v>19</v>
      </c>
      <c r="E83" s="2">
        <v>12</v>
      </c>
      <c r="F83" s="3">
        <v>44365</v>
      </c>
      <c r="G83" s="3">
        <v>44372</v>
      </c>
      <c r="H83" s="3">
        <v>44373</v>
      </c>
      <c r="I83" s="2">
        <v>10</v>
      </c>
      <c r="J83" s="29" t="s">
        <v>197</v>
      </c>
      <c r="K83" s="51" t="str">
        <f>VLOOKUP(표6[[#This Row],[종목]],자격증정보!$A$2:$I$7,2,FALSE) &amp; " " &amp; VLOOKUP(표6[[#This Row],[종목]],자격증정보!$A$2:$I$7,3,FALSE)</f>
        <v>워드프로세서 단일</v>
      </c>
      <c r="L83" s="2" t="str">
        <f>TEXT(VLOOKUP(표6[[#This Row],[일정번호]],표2[],6,FALSE), "hh:mm")</f>
        <v>15:00</v>
      </c>
      <c r="M83" s="2" t="str">
        <f>VLOOKUP(표6[[#This Row],[종목]],자격증정보!$A$2:$I$7,9,FALSE)</f>
        <v>30분</v>
      </c>
    </row>
    <row r="84" spans="1:13">
      <c r="A84" s="29">
        <v>83</v>
      </c>
      <c r="B84" s="2">
        <v>6</v>
      </c>
      <c r="C84" s="2">
        <v>1</v>
      </c>
      <c r="D84" s="2">
        <v>19</v>
      </c>
      <c r="E84" s="2">
        <v>12</v>
      </c>
      <c r="F84" s="3">
        <v>44365</v>
      </c>
      <c r="G84" s="3">
        <v>44372</v>
      </c>
      <c r="H84" s="3">
        <v>44373</v>
      </c>
      <c r="I84" s="2">
        <v>20</v>
      </c>
      <c r="J84" s="29" t="s">
        <v>197</v>
      </c>
      <c r="K84" s="51" t="str">
        <f>VLOOKUP(표6[[#This Row],[종목]],자격증정보!$A$2:$I$7,2,FALSE) &amp; " " &amp; VLOOKUP(표6[[#This Row],[종목]],자격증정보!$A$2:$I$7,3,FALSE)</f>
        <v>워드프로세서 단일</v>
      </c>
      <c r="L84" s="2" t="str">
        <f>TEXT(VLOOKUP(표6[[#This Row],[일정번호]],표2[],6,FALSE), "hh:mm")</f>
        <v>15:00</v>
      </c>
      <c r="M84" s="2" t="str">
        <f>VLOOKUP(표6[[#This Row],[종목]],자격증정보!$A$2:$I$7,9,FALSE)</f>
        <v>30분</v>
      </c>
    </row>
    <row r="85" spans="1:13">
      <c r="A85" s="29">
        <v>84</v>
      </c>
      <c r="B85" s="2">
        <v>4</v>
      </c>
      <c r="C85" s="2">
        <v>1</v>
      </c>
      <c r="D85" s="2">
        <v>19</v>
      </c>
      <c r="E85" s="2">
        <v>12</v>
      </c>
      <c r="F85" s="3">
        <v>44365</v>
      </c>
      <c r="G85" s="3">
        <v>44372</v>
      </c>
      <c r="H85" s="3">
        <v>44373</v>
      </c>
      <c r="I85" s="2">
        <v>30</v>
      </c>
      <c r="J85" s="29" t="s">
        <v>197</v>
      </c>
      <c r="K85" s="51" t="str">
        <f>VLOOKUP(표6[[#This Row],[종목]],자격증정보!$A$2:$I$7,2,FALSE) &amp; " " &amp; VLOOKUP(표6[[#This Row],[종목]],자격증정보!$A$2:$I$7,3,FALSE)</f>
        <v>워드프로세서 단일</v>
      </c>
      <c r="L85" s="2" t="str">
        <f>TEXT(VLOOKUP(표6[[#This Row],[일정번호]],표2[],6,FALSE), "hh:mm")</f>
        <v>15:00</v>
      </c>
      <c r="M85" s="2" t="str">
        <f>VLOOKUP(표6[[#This Row],[종목]],자격증정보!$A$2:$I$7,9,FALSE)</f>
        <v>30분</v>
      </c>
    </row>
    <row r="86" spans="1:13">
      <c r="A86" s="29">
        <v>85</v>
      </c>
      <c r="B86" s="2">
        <v>29</v>
      </c>
      <c r="C86" s="2">
        <v>1</v>
      </c>
      <c r="D86" s="2">
        <v>19</v>
      </c>
      <c r="E86" s="2">
        <v>12</v>
      </c>
      <c r="F86" s="3">
        <v>44365</v>
      </c>
      <c r="G86" s="3">
        <v>44372</v>
      </c>
      <c r="H86" s="3">
        <v>44373</v>
      </c>
      <c r="I86" s="2">
        <v>10</v>
      </c>
      <c r="J86" s="29" t="s">
        <v>197</v>
      </c>
      <c r="K86" s="51" t="str">
        <f>VLOOKUP(표6[[#This Row],[종목]],자격증정보!$A$2:$I$7,2,FALSE) &amp; " " &amp; VLOOKUP(표6[[#This Row],[종목]],자격증정보!$A$2:$I$7,3,FALSE)</f>
        <v>워드프로세서 단일</v>
      </c>
      <c r="L86" s="2" t="str">
        <f>TEXT(VLOOKUP(표6[[#This Row],[일정번호]],표2[],6,FALSE), "hh:mm")</f>
        <v>15:00</v>
      </c>
      <c r="M86" s="2" t="str">
        <f>VLOOKUP(표6[[#This Row],[종목]],자격증정보!$A$2:$I$7,9,FALSE)</f>
        <v>30분</v>
      </c>
    </row>
    <row r="87" spans="1:13">
      <c r="A87" s="29">
        <v>86</v>
      </c>
      <c r="B87" s="2">
        <v>3</v>
      </c>
      <c r="C87" s="2">
        <v>1</v>
      </c>
      <c r="D87" s="2">
        <v>20</v>
      </c>
      <c r="E87" s="2">
        <v>13</v>
      </c>
      <c r="F87" s="3">
        <v>44366</v>
      </c>
      <c r="G87" s="3">
        <v>44373</v>
      </c>
      <c r="H87" s="3">
        <v>44374</v>
      </c>
      <c r="I87" s="2">
        <v>0</v>
      </c>
      <c r="J87" s="29" t="s">
        <v>197</v>
      </c>
      <c r="K87" s="51" t="str">
        <f>VLOOKUP(표6[[#This Row],[종목]],자격증정보!$A$2:$I$7,2,FALSE) &amp; " " &amp; VLOOKUP(표6[[#This Row],[종목]],자격증정보!$A$2:$I$7,3,FALSE)</f>
        <v>워드프로세서 단일</v>
      </c>
      <c r="L87" s="2" t="str">
        <f>TEXT(VLOOKUP(표6[[#This Row],[일정번호]],표2[],6,FALSE), "hh:mm")</f>
        <v>16:20</v>
      </c>
      <c r="M87" s="2" t="str">
        <f>VLOOKUP(표6[[#This Row],[종목]],자격증정보!$A$2:$I$7,9,FALSE)</f>
        <v>30분</v>
      </c>
    </row>
    <row r="88" spans="1:13">
      <c r="A88" s="29">
        <v>87</v>
      </c>
      <c r="B88" s="2">
        <v>6</v>
      </c>
      <c r="C88" s="2">
        <v>1</v>
      </c>
      <c r="D88" s="2">
        <v>20</v>
      </c>
      <c r="E88" s="2">
        <v>13</v>
      </c>
      <c r="F88" s="3">
        <v>44366</v>
      </c>
      <c r="G88" s="3">
        <v>44373</v>
      </c>
      <c r="H88" s="3">
        <v>44374</v>
      </c>
      <c r="I88" s="2">
        <v>40</v>
      </c>
      <c r="J88" s="29" t="s">
        <v>197</v>
      </c>
      <c r="K88" s="51" t="str">
        <f>VLOOKUP(표6[[#This Row],[종목]],자격증정보!$A$2:$I$7,2,FALSE) &amp; " " &amp; VLOOKUP(표6[[#This Row],[종목]],자격증정보!$A$2:$I$7,3,FALSE)</f>
        <v>워드프로세서 단일</v>
      </c>
      <c r="L88" s="2" t="str">
        <f>TEXT(VLOOKUP(표6[[#This Row],[일정번호]],표2[],6,FALSE), "hh:mm")</f>
        <v>16:20</v>
      </c>
      <c r="M88" s="2" t="str">
        <f>VLOOKUP(표6[[#This Row],[종목]],자격증정보!$A$2:$I$7,9,FALSE)</f>
        <v>30분</v>
      </c>
    </row>
    <row r="89" spans="1:13">
      <c r="A89" s="29">
        <v>88</v>
      </c>
      <c r="B89" s="2">
        <v>4</v>
      </c>
      <c r="C89" s="2">
        <v>1</v>
      </c>
      <c r="D89" s="2">
        <v>20</v>
      </c>
      <c r="E89" s="2">
        <v>13</v>
      </c>
      <c r="F89" s="3">
        <v>44366</v>
      </c>
      <c r="G89" s="3">
        <v>44373</v>
      </c>
      <c r="H89" s="3">
        <v>44374</v>
      </c>
      <c r="I89" s="2">
        <v>10</v>
      </c>
      <c r="J89" s="29" t="s">
        <v>197</v>
      </c>
      <c r="K89" s="51" t="str">
        <f>VLOOKUP(표6[[#This Row],[종목]],자격증정보!$A$2:$I$7,2,FALSE) &amp; " " &amp; VLOOKUP(표6[[#This Row],[종목]],자격증정보!$A$2:$I$7,3,FALSE)</f>
        <v>워드프로세서 단일</v>
      </c>
      <c r="L89" s="2" t="str">
        <f>TEXT(VLOOKUP(표6[[#This Row],[일정번호]],표2[],6,FALSE), "hh:mm")</f>
        <v>16:20</v>
      </c>
      <c r="M89" s="2" t="str">
        <f>VLOOKUP(표6[[#This Row],[종목]],자격증정보!$A$2:$I$7,9,FALSE)</f>
        <v>30분</v>
      </c>
    </row>
    <row r="90" spans="1:13">
      <c r="A90" s="29">
        <v>89</v>
      </c>
      <c r="B90" s="2">
        <v>9</v>
      </c>
      <c r="C90" s="2">
        <v>1</v>
      </c>
      <c r="D90" s="2">
        <v>20</v>
      </c>
      <c r="E90" s="2">
        <v>13</v>
      </c>
      <c r="F90" s="3">
        <v>44366</v>
      </c>
      <c r="G90" s="3">
        <v>44373</v>
      </c>
      <c r="H90" s="3">
        <v>44374</v>
      </c>
      <c r="I90" s="2">
        <v>10</v>
      </c>
      <c r="J90" s="29" t="s">
        <v>197</v>
      </c>
      <c r="K90" s="51" t="str">
        <f>VLOOKUP(표6[[#This Row],[종목]],자격증정보!$A$2:$I$7,2,FALSE) &amp; " " &amp; VLOOKUP(표6[[#This Row],[종목]],자격증정보!$A$2:$I$7,3,FALSE)</f>
        <v>워드프로세서 단일</v>
      </c>
      <c r="L90" s="2" t="str">
        <f>TEXT(VLOOKUP(표6[[#This Row],[일정번호]],표2[],6,FALSE), "hh:mm")</f>
        <v>16:20</v>
      </c>
      <c r="M90" s="2" t="str">
        <f>VLOOKUP(표6[[#This Row],[종목]],자격증정보!$A$2:$I$7,9,FALSE)</f>
        <v>30분</v>
      </c>
    </row>
    <row r="91" spans="1:13">
      <c r="A91" s="29">
        <v>90</v>
      </c>
      <c r="B91" s="2">
        <v>10</v>
      </c>
      <c r="C91" s="2">
        <v>1</v>
      </c>
      <c r="D91" s="2">
        <v>20</v>
      </c>
      <c r="E91" s="2">
        <v>13</v>
      </c>
      <c r="F91" s="3">
        <v>44366</v>
      </c>
      <c r="G91" s="3">
        <v>44373</v>
      </c>
      <c r="H91" s="3">
        <v>44374</v>
      </c>
      <c r="I91" s="2">
        <v>50</v>
      </c>
      <c r="J91" s="29" t="s">
        <v>197</v>
      </c>
      <c r="K91" s="51" t="str">
        <f>VLOOKUP(표6[[#This Row],[종목]],자격증정보!$A$2:$I$7,2,FALSE) &amp; " " &amp; VLOOKUP(표6[[#This Row],[종목]],자격증정보!$A$2:$I$7,3,FALSE)</f>
        <v>워드프로세서 단일</v>
      </c>
      <c r="L91" s="2" t="str">
        <f>TEXT(VLOOKUP(표6[[#This Row],[일정번호]],표2[],6,FALSE), "hh:mm")</f>
        <v>16:20</v>
      </c>
      <c r="M91" s="2" t="str">
        <f>VLOOKUP(표6[[#This Row],[종목]],자격증정보!$A$2:$I$7,9,FALSE)</f>
        <v>30분</v>
      </c>
    </row>
    <row r="92" spans="1:13">
      <c r="A92" s="29">
        <v>91</v>
      </c>
      <c r="B92" s="2">
        <v>28</v>
      </c>
      <c r="C92" s="2">
        <v>1</v>
      </c>
      <c r="D92" s="2">
        <v>20</v>
      </c>
      <c r="E92" s="2">
        <v>13</v>
      </c>
      <c r="F92" s="3">
        <v>44366</v>
      </c>
      <c r="G92" s="3">
        <v>44373</v>
      </c>
      <c r="H92" s="3">
        <v>44374</v>
      </c>
      <c r="I92" s="2">
        <v>40</v>
      </c>
      <c r="J92" s="29" t="s">
        <v>197</v>
      </c>
      <c r="K92" s="51" t="str">
        <f>VLOOKUP(표6[[#This Row],[종목]],자격증정보!$A$2:$I$7,2,FALSE) &amp; " " &amp; VLOOKUP(표6[[#This Row],[종목]],자격증정보!$A$2:$I$7,3,FALSE)</f>
        <v>워드프로세서 단일</v>
      </c>
      <c r="L92" s="2" t="str">
        <f>TEXT(VLOOKUP(표6[[#This Row],[일정번호]],표2[],6,FALSE), "hh:mm")</f>
        <v>16:20</v>
      </c>
      <c r="M92" s="2" t="str">
        <f>VLOOKUP(표6[[#This Row],[종목]],자격증정보!$A$2:$I$7,9,FALSE)</f>
        <v>30분</v>
      </c>
    </row>
    <row r="93" spans="1:13">
      <c r="A93" s="29">
        <v>92</v>
      </c>
      <c r="B93" s="2">
        <v>11</v>
      </c>
      <c r="C93" s="2">
        <v>1</v>
      </c>
      <c r="D93" s="2">
        <v>20</v>
      </c>
      <c r="E93" s="2">
        <v>13</v>
      </c>
      <c r="F93" s="3">
        <v>44366</v>
      </c>
      <c r="G93" s="3">
        <v>44373</v>
      </c>
      <c r="H93" s="3">
        <v>44374</v>
      </c>
      <c r="I93" s="2">
        <v>20</v>
      </c>
      <c r="J93" s="29" t="s">
        <v>197</v>
      </c>
      <c r="K93" s="51" t="str">
        <f>VLOOKUP(표6[[#This Row],[종목]],자격증정보!$A$2:$I$7,2,FALSE) &amp; " " &amp; VLOOKUP(표6[[#This Row],[종목]],자격증정보!$A$2:$I$7,3,FALSE)</f>
        <v>워드프로세서 단일</v>
      </c>
      <c r="L93" s="2" t="str">
        <f>TEXT(VLOOKUP(표6[[#This Row],[일정번호]],표2[],6,FALSE), "hh:mm")</f>
        <v>16:20</v>
      </c>
      <c r="M93" s="2" t="str">
        <f>VLOOKUP(표6[[#This Row],[종목]],자격증정보!$A$2:$I$7,9,FALSE)</f>
        <v>30분</v>
      </c>
    </row>
    <row r="94" spans="1:13">
      <c r="A94" s="29">
        <v>93</v>
      </c>
      <c r="B94" s="2">
        <v>15</v>
      </c>
      <c r="C94" s="2">
        <v>1</v>
      </c>
      <c r="D94" s="2">
        <v>27</v>
      </c>
      <c r="E94" s="2">
        <v>14</v>
      </c>
      <c r="F94" s="3">
        <v>44368</v>
      </c>
      <c r="G94" s="3">
        <v>44375</v>
      </c>
      <c r="H94" s="3">
        <v>44376</v>
      </c>
      <c r="I94" s="2">
        <v>30</v>
      </c>
      <c r="J94" s="29" t="s">
        <v>197</v>
      </c>
      <c r="K94" s="51" t="str">
        <f>VLOOKUP(표6[[#This Row],[종목]],자격증정보!$A$2:$I$7,2,FALSE) &amp; " " &amp; VLOOKUP(표6[[#This Row],[종목]],자격증정보!$A$2:$I$7,3,FALSE)</f>
        <v>워드프로세서 단일</v>
      </c>
      <c r="L94" s="2" t="str">
        <f>TEXT(VLOOKUP(표6[[#This Row],[일정번호]],표2[],6,FALSE), "hh:mm")</f>
        <v>09:00</v>
      </c>
      <c r="M94" s="2" t="str">
        <f>VLOOKUP(표6[[#This Row],[종목]],자격증정보!$A$2:$I$7,9,FALSE)</f>
        <v>30분</v>
      </c>
    </row>
    <row r="95" spans="1:13">
      <c r="A95" s="29">
        <v>94</v>
      </c>
      <c r="B95" s="2">
        <v>22</v>
      </c>
      <c r="C95" s="2">
        <v>1</v>
      </c>
      <c r="D95" s="2">
        <v>27</v>
      </c>
      <c r="E95" s="2">
        <v>14</v>
      </c>
      <c r="F95" s="3">
        <v>44368</v>
      </c>
      <c r="G95" s="3">
        <v>44375</v>
      </c>
      <c r="H95" s="3">
        <v>44376</v>
      </c>
      <c r="I95" s="2">
        <v>20</v>
      </c>
      <c r="J95" s="29" t="s">
        <v>197</v>
      </c>
      <c r="K95" s="51" t="str">
        <f>VLOOKUP(표6[[#This Row],[종목]],자격증정보!$A$2:$I$7,2,FALSE) &amp; " " &amp; VLOOKUP(표6[[#This Row],[종목]],자격증정보!$A$2:$I$7,3,FALSE)</f>
        <v>워드프로세서 단일</v>
      </c>
      <c r="L95" s="2" t="str">
        <f>TEXT(VLOOKUP(표6[[#This Row],[일정번호]],표2[],6,FALSE), "hh:mm")</f>
        <v>09:00</v>
      </c>
      <c r="M95" s="2" t="str">
        <f>VLOOKUP(표6[[#This Row],[종목]],자격증정보!$A$2:$I$7,9,FALSE)</f>
        <v>30분</v>
      </c>
    </row>
    <row r="96" spans="1:13">
      <c r="A96" s="29">
        <v>95</v>
      </c>
      <c r="B96" s="2">
        <v>5</v>
      </c>
      <c r="C96" s="2">
        <v>1</v>
      </c>
      <c r="D96" s="2">
        <v>27</v>
      </c>
      <c r="E96" s="2">
        <v>14</v>
      </c>
      <c r="F96" s="3">
        <v>44368</v>
      </c>
      <c r="G96" s="3">
        <v>44375</v>
      </c>
      <c r="H96" s="3">
        <v>44376</v>
      </c>
      <c r="I96" s="2">
        <v>30</v>
      </c>
      <c r="J96" s="29" t="s">
        <v>197</v>
      </c>
      <c r="K96" s="51" t="str">
        <f>VLOOKUP(표6[[#This Row],[종목]],자격증정보!$A$2:$I$7,2,FALSE) &amp; " " &amp; VLOOKUP(표6[[#This Row],[종목]],자격증정보!$A$2:$I$7,3,FALSE)</f>
        <v>워드프로세서 단일</v>
      </c>
      <c r="L96" s="2" t="str">
        <f>TEXT(VLOOKUP(표6[[#This Row],[일정번호]],표2[],6,FALSE), "hh:mm")</f>
        <v>09:00</v>
      </c>
      <c r="M96" s="2" t="str">
        <f>VLOOKUP(표6[[#This Row],[종목]],자격증정보!$A$2:$I$7,9,FALSE)</f>
        <v>30분</v>
      </c>
    </row>
    <row r="97" spans="1:13">
      <c r="A97" s="29">
        <v>96</v>
      </c>
      <c r="B97" s="2">
        <v>17</v>
      </c>
      <c r="C97" s="2">
        <v>1</v>
      </c>
      <c r="D97" s="2">
        <v>27</v>
      </c>
      <c r="E97" s="2">
        <v>14</v>
      </c>
      <c r="F97" s="3">
        <v>44368</v>
      </c>
      <c r="G97" s="3">
        <v>44375</v>
      </c>
      <c r="H97" s="3">
        <v>44376</v>
      </c>
      <c r="I97" s="2">
        <v>0</v>
      </c>
      <c r="J97" s="29" t="s">
        <v>197</v>
      </c>
      <c r="K97" s="51" t="str">
        <f>VLOOKUP(표6[[#This Row],[종목]],자격증정보!$A$2:$I$7,2,FALSE) &amp; " " &amp; VLOOKUP(표6[[#This Row],[종목]],자격증정보!$A$2:$I$7,3,FALSE)</f>
        <v>워드프로세서 단일</v>
      </c>
      <c r="L97" s="2" t="str">
        <f>TEXT(VLOOKUP(표6[[#This Row],[일정번호]],표2[],6,FALSE), "hh:mm")</f>
        <v>09:00</v>
      </c>
      <c r="M97" s="2" t="str">
        <f>VLOOKUP(표6[[#This Row],[종목]],자격증정보!$A$2:$I$7,9,FALSE)</f>
        <v>30분</v>
      </c>
    </row>
    <row r="98" spans="1:13">
      <c r="A98" s="29">
        <v>97</v>
      </c>
      <c r="B98" s="2">
        <v>4</v>
      </c>
      <c r="C98" s="2">
        <v>1</v>
      </c>
      <c r="D98" s="2">
        <v>27</v>
      </c>
      <c r="E98" s="2">
        <v>14</v>
      </c>
      <c r="F98" s="3">
        <v>44368</v>
      </c>
      <c r="G98" s="3">
        <v>44375</v>
      </c>
      <c r="H98" s="3">
        <v>44376</v>
      </c>
      <c r="I98" s="2">
        <v>0</v>
      </c>
      <c r="J98" s="29" t="s">
        <v>197</v>
      </c>
      <c r="K98" s="51" t="str">
        <f>VLOOKUP(표6[[#This Row],[종목]],자격증정보!$A$2:$I$7,2,FALSE) &amp; " " &amp; VLOOKUP(표6[[#This Row],[종목]],자격증정보!$A$2:$I$7,3,FALSE)</f>
        <v>워드프로세서 단일</v>
      </c>
      <c r="L98" s="2" t="str">
        <f>TEXT(VLOOKUP(표6[[#This Row],[일정번호]],표2[],6,FALSE), "hh:mm")</f>
        <v>09:00</v>
      </c>
      <c r="M98" s="2" t="str">
        <f>VLOOKUP(표6[[#This Row],[종목]],자격증정보!$A$2:$I$7,9,FALSE)</f>
        <v>30분</v>
      </c>
    </row>
    <row r="99" spans="1:13">
      <c r="A99" s="29">
        <v>98</v>
      </c>
      <c r="B99" s="2">
        <v>19</v>
      </c>
      <c r="C99" s="2">
        <v>1</v>
      </c>
      <c r="D99" s="2">
        <v>27</v>
      </c>
      <c r="E99" s="2">
        <v>14</v>
      </c>
      <c r="F99" s="3">
        <v>44368</v>
      </c>
      <c r="G99" s="3">
        <v>44375</v>
      </c>
      <c r="H99" s="3">
        <v>44376</v>
      </c>
      <c r="I99" s="2">
        <v>0</v>
      </c>
      <c r="J99" s="29" t="s">
        <v>197</v>
      </c>
      <c r="K99" s="51" t="str">
        <f>VLOOKUP(표6[[#This Row],[종목]],자격증정보!$A$2:$I$7,2,FALSE) &amp; " " &amp; VLOOKUP(표6[[#This Row],[종목]],자격증정보!$A$2:$I$7,3,FALSE)</f>
        <v>워드프로세서 단일</v>
      </c>
      <c r="L99" s="2" t="str">
        <f>TEXT(VLOOKUP(표6[[#This Row],[일정번호]],표2[],6,FALSE), "hh:mm")</f>
        <v>09:00</v>
      </c>
      <c r="M99" s="2" t="str">
        <f>VLOOKUP(표6[[#This Row],[종목]],자격증정보!$A$2:$I$7,9,FALSE)</f>
        <v>30분</v>
      </c>
    </row>
    <row r="100" spans="1:13">
      <c r="A100" s="29">
        <v>99</v>
      </c>
      <c r="B100" s="2">
        <v>27</v>
      </c>
      <c r="C100" s="2">
        <v>1</v>
      </c>
      <c r="D100" s="2">
        <v>27</v>
      </c>
      <c r="E100" s="2">
        <v>14</v>
      </c>
      <c r="F100" s="3">
        <v>44368</v>
      </c>
      <c r="G100" s="3">
        <v>44375</v>
      </c>
      <c r="H100" s="3">
        <v>44376</v>
      </c>
      <c r="I100" s="2">
        <v>50</v>
      </c>
      <c r="J100" s="29" t="s">
        <v>197</v>
      </c>
      <c r="K100" s="51" t="str">
        <f>VLOOKUP(표6[[#This Row],[종목]],자격증정보!$A$2:$I$7,2,FALSE) &amp; " " &amp; VLOOKUP(표6[[#This Row],[종목]],자격증정보!$A$2:$I$7,3,FALSE)</f>
        <v>워드프로세서 단일</v>
      </c>
      <c r="L100" s="2" t="str">
        <f>TEXT(VLOOKUP(표6[[#This Row],[일정번호]],표2[],6,FALSE), "hh:mm")</f>
        <v>09:00</v>
      </c>
      <c r="M100" s="2" t="str">
        <f>VLOOKUP(표6[[#This Row],[종목]],자격증정보!$A$2:$I$7,9,FALSE)</f>
        <v>30분</v>
      </c>
    </row>
    <row r="101" spans="1:13">
      <c r="A101" s="29">
        <v>100</v>
      </c>
      <c r="B101" s="2">
        <v>28</v>
      </c>
      <c r="C101" s="2">
        <v>1</v>
      </c>
      <c r="D101" s="2">
        <v>27</v>
      </c>
      <c r="E101" s="2">
        <v>14</v>
      </c>
      <c r="F101" s="3">
        <v>44368</v>
      </c>
      <c r="G101" s="3">
        <v>44375</v>
      </c>
      <c r="H101" s="3">
        <v>44376</v>
      </c>
      <c r="I101" s="2">
        <v>20</v>
      </c>
      <c r="J101" s="29" t="s">
        <v>197</v>
      </c>
      <c r="K101" s="51" t="str">
        <f>VLOOKUP(표6[[#This Row],[종목]],자격증정보!$A$2:$I$7,2,FALSE) &amp; " " &amp; VLOOKUP(표6[[#This Row],[종목]],자격증정보!$A$2:$I$7,3,FALSE)</f>
        <v>워드프로세서 단일</v>
      </c>
      <c r="L101" s="2" t="str">
        <f>TEXT(VLOOKUP(표6[[#This Row],[일정번호]],표2[],6,FALSE), "hh:mm")</f>
        <v>09:00</v>
      </c>
      <c r="M101" s="2" t="str">
        <f>VLOOKUP(표6[[#This Row],[종목]],자격증정보!$A$2:$I$7,9,FALSE)</f>
        <v>30분</v>
      </c>
    </row>
    <row r="102" spans="1:13">
      <c r="A102" s="29">
        <v>101</v>
      </c>
      <c r="B102" s="2">
        <v>1</v>
      </c>
      <c r="C102" s="2">
        <v>1</v>
      </c>
      <c r="D102" s="2">
        <v>30</v>
      </c>
      <c r="E102" s="2">
        <v>15</v>
      </c>
      <c r="F102" s="3">
        <v>44368</v>
      </c>
      <c r="G102" s="3">
        <v>44375</v>
      </c>
      <c r="H102" s="3">
        <v>44376</v>
      </c>
      <c r="I102" s="2">
        <v>20</v>
      </c>
      <c r="J102" s="29" t="s">
        <v>197</v>
      </c>
      <c r="K102" s="51" t="str">
        <f>VLOOKUP(표6[[#This Row],[종목]],자격증정보!$A$2:$I$7,2,FALSE) &amp; " " &amp; VLOOKUP(표6[[#This Row],[종목]],자격증정보!$A$2:$I$7,3,FALSE)</f>
        <v>워드프로세서 단일</v>
      </c>
      <c r="L102" s="2" t="str">
        <f>TEXT(VLOOKUP(표6[[#This Row],[일정번호]],표2[],6,FALSE), "hh:mm")</f>
        <v>10:00</v>
      </c>
      <c r="M102" s="2" t="str">
        <f>VLOOKUP(표6[[#This Row],[종목]],자격증정보!$A$2:$I$7,9,FALSE)</f>
        <v>30분</v>
      </c>
    </row>
    <row r="103" spans="1:13">
      <c r="A103" s="29">
        <v>102</v>
      </c>
      <c r="B103" s="2">
        <v>4</v>
      </c>
      <c r="C103" s="2">
        <v>1</v>
      </c>
      <c r="D103" s="2">
        <v>30</v>
      </c>
      <c r="E103" s="2">
        <v>15</v>
      </c>
      <c r="F103" s="3">
        <v>44368</v>
      </c>
      <c r="G103" s="3">
        <v>44375</v>
      </c>
      <c r="H103" s="3">
        <v>44376</v>
      </c>
      <c r="I103" s="2">
        <v>50</v>
      </c>
      <c r="J103" s="29" t="s">
        <v>197</v>
      </c>
      <c r="K103" s="51" t="str">
        <f>VLOOKUP(표6[[#This Row],[종목]],자격증정보!$A$2:$I$7,2,FALSE) &amp; " " &amp; VLOOKUP(표6[[#This Row],[종목]],자격증정보!$A$2:$I$7,3,FALSE)</f>
        <v>워드프로세서 단일</v>
      </c>
      <c r="L103" s="2" t="str">
        <f>TEXT(VLOOKUP(표6[[#This Row],[일정번호]],표2[],6,FALSE), "hh:mm")</f>
        <v>10:00</v>
      </c>
      <c r="M103" s="2" t="str">
        <f>VLOOKUP(표6[[#This Row],[종목]],자격증정보!$A$2:$I$7,9,FALSE)</f>
        <v>30분</v>
      </c>
    </row>
    <row r="104" spans="1:13">
      <c r="A104" s="29">
        <v>103</v>
      </c>
      <c r="B104" s="2">
        <v>6</v>
      </c>
      <c r="C104" s="2">
        <v>1</v>
      </c>
      <c r="D104" s="2">
        <v>30</v>
      </c>
      <c r="E104" s="2">
        <v>15</v>
      </c>
      <c r="F104" s="3">
        <v>44368</v>
      </c>
      <c r="G104" s="3">
        <v>44375</v>
      </c>
      <c r="H104" s="3">
        <v>44376</v>
      </c>
      <c r="I104" s="2">
        <v>40</v>
      </c>
      <c r="J104" s="29" t="s">
        <v>197</v>
      </c>
      <c r="K104" s="51" t="str">
        <f>VLOOKUP(표6[[#This Row],[종목]],자격증정보!$A$2:$I$7,2,FALSE) &amp; " " &amp; VLOOKUP(표6[[#This Row],[종목]],자격증정보!$A$2:$I$7,3,FALSE)</f>
        <v>워드프로세서 단일</v>
      </c>
      <c r="L104" s="2" t="str">
        <f>TEXT(VLOOKUP(표6[[#This Row],[일정번호]],표2[],6,FALSE), "hh:mm")</f>
        <v>10:00</v>
      </c>
      <c r="M104" s="2" t="str">
        <f>VLOOKUP(표6[[#This Row],[종목]],자격증정보!$A$2:$I$7,9,FALSE)</f>
        <v>30분</v>
      </c>
    </row>
    <row r="105" spans="1:13">
      <c r="A105" s="29">
        <v>104</v>
      </c>
      <c r="B105" s="2">
        <v>19</v>
      </c>
      <c r="C105" s="2">
        <v>1</v>
      </c>
      <c r="D105" s="2">
        <v>30</v>
      </c>
      <c r="E105" s="2">
        <v>15</v>
      </c>
      <c r="F105" s="3">
        <v>44368</v>
      </c>
      <c r="G105" s="3">
        <v>44375</v>
      </c>
      <c r="H105" s="3">
        <v>44376</v>
      </c>
      <c r="I105" s="2">
        <v>0</v>
      </c>
      <c r="J105" s="29" t="s">
        <v>197</v>
      </c>
      <c r="K105" s="51" t="str">
        <f>VLOOKUP(표6[[#This Row],[종목]],자격증정보!$A$2:$I$7,2,FALSE) &amp; " " &amp; VLOOKUP(표6[[#This Row],[종목]],자격증정보!$A$2:$I$7,3,FALSE)</f>
        <v>워드프로세서 단일</v>
      </c>
      <c r="L105" s="2" t="str">
        <f>TEXT(VLOOKUP(표6[[#This Row],[일정번호]],표2[],6,FALSE), "hh:mm")</f>
        <v>10:00</v>
      </c>
      <c r="M105" s="2" t="str">
        <f>VLOOKUP(표6[[#This Row],[종목]],자격증정보!$A$2:$I$7,9,FALSE)</f>
        <v>30분</v>
      </c>
    </row>
    <row r="106" spans="1:13">
      <c r="A106" s="29">
        <v>105</v>
      </c>
      <c r="B106" s="2">
        <v>9</v>
      </c>
      <c r="C106" s="2">
        <v>1</v>
      </c>
      <c r="D106" s="2">
        <v>30</v>
      </c>
      <c r="E106" s="2">
        <v>15</v>
      </c>
      <c r="F106" s="3">
        <v>44368</v>
      </c>
      <c r="G106" s="3">
        <v>44375</v>
      </c>
      <c r="H106" s="3">
        <v>44376</v>
      </c>
      <c r="I106" s="2">
        <v>30</v>
      </c>
      <c r="J106" s="29" t="s">
        <v>197</v>
      </c>
      <c r="K106" s="51" t="str">
        <f>VLOOKUP(표6[[#This Row],[종목]],자격증정보!$A$2:$I$7,2,FALSE) &amp; " " &amp; VLOOKUP(표6[[#This Row],[종목]],자격증정보!$A$2:$I$7,3,FALSE)</f>
        <v>워드프로세서 단일</v>
      </c>
      <c r="L106" s="2" t="str">
        <f>TEXT(VLOOKUP(표6[[#This Row],[일정번호]],표2[],6,FALSE), "hh:mm")</f>
        <v>10:00</v>
      </c>
      <c r="M106" s="2" t="str">
        <f>VLOOKUP(표6[[#This Row],[종목]],자격증정보!$A$2:$I$7,9,FALSE)</f>
        <v>30분</v>
      </c>
    </row>
    <row r="107" spans="1:13">
      <c r="A107" s="29">
        <v>106</v>
      </c>
      <c r="B107" s="2">
        <v>13</v>
      </c>
      <c r="C107" s="2">
        <v>1</v>
      </c>
      <c r="D107" s="2">
        <v>30</v>
      </c>
      <c r="E107" s="2">
        <v>15</v>
      </c>
      <c r="F107" s="3">
        <v>44368</v>
      </c>
      <c r="G107" s="3">
        <v>44375</v>
      </c>
      <c r="H107" s="3">
        <v>44376</v>
      </c>
      <c r="I107" s="2">
        <v>50</v>
      </c>
      <c r="J107" s="29" t="s">
        <v>197</v>
      </c>
      <c r="K107" s="51" t="str">
        <f>VLOOKUP(표6[[#This Row],[종목]],자격증정보!$A$2:$I$7,2,FALSE) &amp; " " &amp; VLOOKUP(표6[[#This Row],[종목]],자격증정보!$A$2:$I$7,3,FALSE)</f>
        <v>워드프로세서 단일</v>
      </c>
      <c r="L107" s="2" t="str">
        <f>TEXT(VLOOKUP(표6[[#This Row],[일정번호]],표2[],6,FALSE), "hh:mm")</f>
        <v>10:00</v>
      </c>
      <c r="M107" s="2" t="str">
        <f>VLOOKUP(표6[[#This Row],[종목]],자격증정보!$A$2:$I$7,9,FALSE)</f>
        <v>30분</v>
      </c>
    </row>
    <row r="108" spans="1:13">
      <c r="A108" s="29">
        <v>107</v>
      </c>
      <c r="B108" s="2">
        <v>16</v>
      </c>
      <c r="C108" s="2">
        <v>1</v>
      </c>
      <c r="D108" s="2">
        <v>30</v>
      </c>
      <c r="E108" s="2">
        <v>15</v>
      </c>
      <c r="F108" s="3">
        <v>44368</v>
      </c>
      <c r="G108" s="3">
        <v>44375</v>
      </c>
      <c r="H108" s="3">
        <v>44376</v>
      </c>
      <c r="I108" s="2">
        <v>20</v>
      </c>
      <c r="J108" s="29" t="s">
        <v>197</v>
      </c>
      <c r="K108" s="51" t="str">
        <f>VLOOKUP(표6[[#This Row],[종목]],자격증정보!$A$2:$I$7,2,FALSE) &amp; " " &amp; VLOOKUP(표6[[#This Row],[종목]],자격증정보!$A$2:$I$7,3,FALSE)</f>
        <v>워드프로세서 단일</v>
      </c>
      <c r="L108" s="2" t="str">
        <f>TEXT(VLOOKUP(표6[[#This Row],[일정번호]],표2[],6,FALSE), "hh:mm")</f>
        <v>10:00</v>
      </c>
      <c r="M108" s="2" t="str">
        <f>VLOOKUP(표6[[#This Row],[종목]],자격증정보!$A$2:$I$7,9,FALSE)</f>
        <v>30분</v>
      </c>
    </row>
    <row r="109" spans="1:13">
      <c r="A109" s="29">
        <v>108</v>
      </c>
      <c r="B109" s="2">
        <v>2</v>
      </c>
      <c r="C109" s="2">
        <v>1</v>
      </c>
      <c r="D109" s="2">
        <v>43</v>
      </c>
      <c r="E109" s="2">
        <v>16</v>
      </c>
      <c r="F109" s="3">
        <v>44368</v>
      </c>
      <c r="G109" s="3">
        <v>44375</v>
      </c>
      <c r="H109" s="3">
        <v>44376</v>
      </c>
      <c r="I109" s="2">
        <v>10</v>
      </c>
      <c r="J109" s="29" t="s">
        <v>197</v>
      </c>
      <c r="K109" s="51" t="str">
        <f>VLOOKUP(표6[[#This Row],[종목]],자격증정보!$A$2:$I$7,2,FALSE) &amp; " " &amp; VLOOKUP(표6[[#This Row],[종목]],자격증정보!$A$2:$I$7,3,FALSE)</f>
        <v>워드프로세서 단일</v>
      </c>
      <c r="L109" s="2" t="str">
        <f>TEXT(VLOOKUP(표6[[#This Row],[일정번호]],표2[],6,FALSE), "hh:mm")</f>
        <v>14:00</v>
      </c>
      <c r="M109" s="2" t="str">
        <f>VLOOKUP(표6[[#This Row],[종목]],자격증정보!$A$2:$I$7,9,FALSE)</f>
        <v>30분</v>
      </c>
    </row>
    <row r="110" spans="1:13">
      <c r="A110" s="29">
        <v>109</v>
      </c>
      <c r="B110" s="2">
        <v>9</v>
      </c>
      <c r="C110" s="2">
        <v>1</v>
      </c>
      <c r="D110" s="2">
        <v>43</v>
      </c>
      <c r="E110" s="2">
        <v>16</v>
      </c>
      <c r="F110" s="3">
        <v>44368</v>
      </c>
      <c r="G110" s="3">
        <v>44375</v>
      </c>
      <c r="H110" s="3">
        <v>44376</v>
      </c>
      <c r="I110" s="2">
        <v>10</v>
      </c>
      <c r="J110" s="29" t="s">
        <v>197</v>
      </c>
      <c r="K110" s="51" t="str">
        <f>VLOOKUP(표6[[#This Row],[종목]],자격증정보!$A$2:$I$7,2,FALSE) &amp; " " &amp; VLOOKUP(표6[[#This Row],[종목]],자격증정보!$A$2:$I$7,3,FALSE)</f>
        <v>워드프로세서 단일</v>
      </c>
      <c r="L110" s="2" t="str">
        <f>TEXT(VLOOKUP(표6[[#This Row],[일정번호]],표2[],6,FALSE), "hh:mm")</f>
        <v>14:00</v>
      </c>
      <c r="M110" s="2" t="str">
        <f>VLOOKUP(표6[[#This Row],[종목]],자격증정보!$A$2:$I$7,9,FALSE)</f>
        <v>30분</v>
      </c>
    </row>
    <row r="111" spans="1:13">
      <c r="A111" s="29">
        <v>110</v>
      </c>
      <c r="B111" s="2">
        <v>5</v>
      </c>
      <c r="C111" s="2">
        <v>3</v>
      </c>
      <c r="D111" s="2">
        <v>13</v>
      </c>
      <c r="E111" s="2">
        <v>2</v>
      </c>
      <c r="F111" s="3">
        <v>44333</v>
      </c>
      <c r="G111" s="3">
        <v>44340</v>
      </c>
      <c r="H111" s="3">
        <v>44340</v>
      </c>
      <c r="I111" s="2">
        <v>40</v>
      </c>
      <c r="J111" s="29" t="s">
        <v>197</v>
      </c>
      <c r="K111" s="51" t="str">
        <f>VLOOKUP(표6[[#This Row],[종목]],자격증정보!$A$2:$I$7,2,FALSE) &amp; " " &amp; VLOOKUP(표6[[#This Row],[종목]],자격증정보!$A$2:$I$7,3,FALSE)</f>
        <v>컴퓨터활용능력 2급</v>
      </c>
      <c r="L111" s="2" t="str">
        <f>TEXT(VLOOKUP(표6[[#This Row],[일정번호]],표2[],6,FALSE), "hh:mm")</f>
        <v>11:00</v>
      </c>
      <c r="M111" s="2" t="str">
        <f>VLOOKUP(표6[[#This Row],[종목]],자격증정보!$A$2:$I$7,9,FALSE)</f>
        <v>30분</v>
      </c>
    </row>
    <row r="112" spans="1:13">
      <c r="A112" s="29">
        <v>111</v>
      </c>
      <c r="B112" s="2">
        <v>6</v>
      </c>
      <c r="C112" s="2">
        <v>3</v>
      </c>
      <c r="D112" s="2">
        <v>13</v>
      </c>
      <c r="E112" s="2">
        <v>2</v>
      </c>
      <c r="F112" s="3">
        <v>44333</v>
      </c>
      <c r="G112" s="3">
        <v>44340</v>
      </c>
      <c r="H112" s="3">
        <v>44340</v>
      </c>
      <c r="I112" s="2">
        <v>30</v>
      </c>
      <c r="J112" s="29" t="s">
        <v>197</v>
      </c>
      <c r="K112" s="51" t="str">
        <f>VLOOKUP(표6[[#This Row],[종목]],자격증정보!$A$2:$I$7,2,FALSE) &amp; " " &amp; VLOOKUP(표6[[#This Row],[종목]],자격증정보!$A$2:$I$7,3,FALSE)</f>
        <v>컴퓨터활용능력 2급</v>
      </c>
      <c r="L112" s="2" t="str">
        <f>TEXT(VLOOKUP(표6[[#This Row],[일정번호]],표2[],6,FALSE), "hh:mm")</f>
        <v>11:00</v>
      </c>
      <c r="M112" s="2" t="str">
        <f>VLOOKUP(표6[[#This Row],[종목]],자격증정보!$A$2:$I$7,9,FALSE)</f>
        <v>30분</v>
      </c>
    </row>
    <row r="113" spans="1:13">
      <c r="A113" s="29">
        <v>112</v>
      </c>
      <c r="B113" s="2">
        <v>7</v>
      </c>
      <c r="C113" s="2">
        <v>3</v>
      </c>
      <c r="D113" s="2">
        <v>13</v>
      </c>
      <c r="E113" s="2">
        <v>2</v>
      </c>
      <c r="F113" s="3">
        <v>44333</v>
      </c>
      <c r="G113" s="3">
        <v>44340</v>
      </c>
      <c r="H113" s="3">
        <v>44340</v>
      </c>
      <c r="I113" s="2">
        <v>30</v>
      </c>
      <c r="J113" s="29" t="s">
        <v>197</v>
      </c>
      <c r="K113" s="51" t="str">
        <f>VLOOKUP(표6[[#This Row],[종목]],자격증정보!$A$2:$I$7,2,FALSE) &amp; " " &amp; VLOOKUP(표6[[#This Row],[종목]],자격증정보!$A$2:$I$7,3,FALSE)</f>
        <v>컴퓨터활용능력 2급</v>
      </c>
      <c r="L113" s="2" t="str">
        <f>TEXT(VLOOKUP(표6[[#This Row],[일정번호]],표2[],6,FALSE), "hh:mm")</f>
        <v>11:00</v>
      </c>
      <c r="M113" s="2" t="str">
        <f>VLOOKUP(표6[[#This Row],[종목]],자격증정보!$A$2:$I$7,9,FALSE)</f>
        <v>30분</v>
      </c>
    </row>
    <row r="114" spans="1:13">
      <c r="A114" s="29">
        <v>113</v>
      </c>
      <c r="B114" s="2">
        <v>8</v>
      </c>
      <c r="C114" s="2">
        <v>3</v>
      </c>
      <c r="D114" s="2">
        <v>13</v>
      </c>
      <c r="E114" s="2">
        <v>2</v>
      </c>
      <c r="F114" s="3">
        <v>44333</v>
      </c>
      <c r="G114" s="3">
        <v>44340</v>
      </c>
      <c r="H114" s="3">
        <v>44340</v>
      </c>
      <c r="I114" s="2">
        <v>60</v>
      </c>
      <c r="J114" s="29" t="s">
        <v>197</v>
      </c>
      <c r="K114" s="51" t="str">
        <f>VLOOKUP(표6[[#This Row],[종목]],자격증정보!$A$2:$I$7,2,FALSE) &amp; " " &amp; VLOOKUP(표6[[#This Row],[종목]],자격증정보!$A$2:$I$7,3,FALSE)</f>
        <v>컴퓨터활용능력 2급</v>
      </c>
      <c r="L114" s="2" t="str">
        <f>TEXT(VLOOKUP(표6[[#This Row],[일정번호]],표2[],6,FALSE), "hh:mm")</f>
        <v>11:00</v>
      </c>
      <c r="M114" s="2" t="str">
        <f>VLOOKUP(표6[[#This Row],[종목]],자격증정보!$A$2:$I$7,9,FALSE)</f>
        <v>30분</v>
      </c>
    </row>
    <row r="115" spans="1:13">
      <c r="A115" s="29">
        <v>483</v>
      </c>
      <c r="B115" s="2">
        <v>7</v>
      </c>
      <c r="C115" s="2">
        <v>1</v>
      </c>
      <c r="D115" s="2">
        <v>65</v>
      </c>
      <c r="E115" s="2">
        <v>20</v>
      </c>
      <c r="F115" s="3">
        <v>44372</v>
      </c>
      <c r="G115" s="3">
        <v>44379</v>
      </c>
      <c r="H115" s="3">
        <v>44380</v>
      </c>
      <c r="I115" s="2">
        <v>20</v>
      </c>
      <c r="J115" s="29" t="s">
        <v>197</v>
      </c>
      <c r="K115" s="51" t="str">
        <f>VLOOKUP(표6[[#This Row],[종목]],자격증정보!$A$2:$I$7,2,FALSE) &amp; " " &amp; VLOOKUP(표6[[#This Row],[종목]],자격증정보!$A$2:$I$7,3,FALSE)</f>
        <v>워드프로세서 단일</v>
      </c>
      <c r="L115" s="2" t="str">
        <f>TEXT(VLOOKUP(표6[[#This Row],[일정번호]],표2[],6,FALSE), "hh:mm")</f>
        <v>13:00</v>
      </c>
      <c r="M115" s="2" t="str">
        <f>VLOOKUP(표6[[#This Row],[종목]],자격증정보!$A$2:$I$7,9,FALSE)</f>
        <v>30분</v>
      </c>
    </row>
    <row r="116" spans="1:13">
      <c r="A116" s="29">
        <v>115</v>
      </c>
      <c r="B116" s="2">
        <v>8</v>
      </c>
      <c r="C116" s="2">
        <v>6</v>
      </c>
      <c r="D116" s="2">
        <v>72</v>
      </c>
      <c r="E116" s="2">
        <v>2</v>
      </c>
      <c r="F116" s="3">
        <v>44333</v>
      </c>
      <c r="G116" s="3">
        <v>44340</v>
      </c>
      <c r="H116" s="3">
        <v>44341</v>
      </c>
      <c r="I116" s="2">
        <v>70</v>
      </c>
      <c r="J116" s="29" t="s">
        <v>197</v>
      </c>
      <c r="K116" s="51" t="str">
        <f>VLOOKUP(표6[[#This Row],[종목]],자격증정보!$A$2:$I$7,2,FALSE) &amp; " " &amp; VLOOKUP(표6[[#This Row],[종목]],자격증정보!$A$2:$I$7,3,FALSE)</f>
        <v>비서 3급</v>
      </c>
      <c r="L116" s="2" t="str">
        <f>TEXT(VLOOKUP(표6[[#This Row],[일정번호]],표2[],6,FALSE), "hh:mm")</f>
        <v>14:00</v>
      </c>
      <c r="M116" s="2" t="str">
        <f>VLOOKUP(표6[[#This Row],[종목]],자격증정보!$A$2:$I$7,9,FALSE)</f>
        <v>40분</v>
      </c>
    </row>
    <row r="117" spans="1:13">
      <c r="A117" s="29">
        <v>116</v>
      </c>
      <c r="B117" s="2">
        <v>9</v>
      </c>
      <c r="C117" s="2">
        <v>6</v>
      </c>
      <c r="D117" s="2">
        <v>72</v>
      </c>
      <c r="E117" s="2">
        <v>2</v>
      </c>
      <c r="F117" s="3">
        <v>44333</v>
      </c>
      <c r="G117" s="3">
        <v>44340</v>
      </c>
      <c r="H117" s="3">
        <v>44341</v>
      </c>
      <c r="I117" s="2">
        <v>50</v>
      </c>
      <c r="J117" s="29" t="s">
        <v>197</v>
      </c>
      <c r="K117" s="51" t="str">
        <f>VLOOKUP(표6[[#This Row],[종목]],자격증정보!$A$2:$I$7,2,FALSE) &amp; " " &amp; VLOOKUP(표6[[#This Row],[종목]],자격증정보!$A$2:$I$7,3,FALSE)</f>
        <v>비서 3급</v>
      </c>
      <c r="L117" s="2" t="str">
        <f>TEXT(VLOOKUP(표6[[#This Row],[일정번호]],표2[],6,FALSE), "hh:mm")</f>
        <v>14:00</v>
      </c>
      <c r="M117" s="2" t="str">
        <f>VLOOKUP(표6[[#This Row],[종목]],자격증정보!$A$2:$I$7,9,FALSE)</f>
        <v>40분</v>
      </c>
    </row>
    <row r="118" spans="1:13">
      <c r="A118" s="29">
        <v>117</v>
      </c>
      <c r="B118" s="2">
        <v>10</v>
      </c>
      <c r="C118" s="2">
        <v>6</v>
      </c>
      <c r="D118" s="2">
        <v>72</v>
      </c>
      <c r="E118" s="2">
        <v>2</v>
      </c>
      <c r="F118" s="3">
        <v>44333</v>
      </c>
      <c r="G118" s="3">
        <v>44340</v>
      </c>
      <c r="H118" s="3">
        <v>44341</v>
      </c>
      <c r="I118" s="2">
        <v>40</v>
      </c>
      <c r="J118" s="29" t="s">
        <v>197</v>
      </c>
      <c r="K118" s="51" t="str">
        <f>VLOOKUP(표6[[#This Row],[종목]],자격증정보!$A$2:$I$7,2,FALSE) &amp; " " &amp; VLOOKUP(표6[[#This Row],[종목]],자격증정보!$A$2:$I$7,3,FALSE)</f>
        <v>비서 3급</v>
      </c>
      <c r="L118" s="2" t="str">
        <f>TEXT(VLOOKUP(표6[[#This Row],[일정번호]],표2[],6,FALSE), "hh:mm")</f>
        <v>14:00</v>
      </c>
      <c r="M118" s="2" t="str">
        <f>VLOOKUP(표6[[#This Row],[종목]],자격증정보!$A$2:$I$7,9,FALSE)</f>
        <v>40분</v>
      </c>
    </row>
    <row r="119" spans="1:13">
      <c r="A119" s="29">
        <v>118</v>
      </c>
      <c r="B119" s="2">
        <v>1</v>
      </c>
      <c r="C119" s="2">
        <v>6</v>
      </c>
      <c r="D119" s="2">
        <v>72</v>
      </c>
      <c r="E119" s="2">
        <v>2</v>
      </c>
      <c r="F119" s="3">
        <v>44333</v>
      </c>
      <c r="G119" s="3">
        <v>44340</v>
      </c>
      <c r="H119" s="3">
        <v>44341</v>
      </c>
      <c r="I119" s="2">
        <v>30</v>
      </c>
      <c r="J119" s="29" t="s">
        <v>197</v>
      </c>
      <c r="K119" s="51" t="str">
        <f>VLOOKUP(표6[[#This Row],[종목]],자격증정보!$A$2:$I$7,2,FALSE) &amp; " " &amp; VLOOKUP(표6[[#This Row],[종목]],자격증정보!$A$2:$I$7,3,FALSE)</f>
        <v>비서 3급</v>
      </c>
      <c r="L119" s="2" t="str">
        <f>TEXT(VLOOKUP(표6[[#This Row],[일정번호]],표2[],6,FALSE), "hh:mm")</f>
        <v>14:00</v>
      </c>
      <c r="M119" s="2" t="str">
        <f>VLOOKUP(표6[[#This Row],[종목]],자격증정보!$A$2:$I$7,9,FALSE)</f>
        <v>40분</v>
      </c>
    </row>
    <row r="120" spans="1:13">
      <c r="A120" s="29">
        <v>119</v>
      </c>
      <c r="B120" s="2">
        <v>18</v>
      </c>
      <c r="C120" s="2">
        <v>1</v>
      </c>
      <c r="D120" s="2">
        <v>17</v>
      </c>
      <c r="E120" s="2">
        <v>11</v>
      </c>
      <c r="F120" s="3">
        <v>44365</v>
      </c>
      <c r="G120" s="3">
        <v>44372</v>
      </c>
      <c r="H120" s="3">
        <v>44373</v>
      </c>
      <c r="I120" s="2">
        <v>40</v>
      </c>
      <c r="J120" s="29" t="s">
        <v>197</v>
      </c>
      <c r="K120" s="51" t="str">
        <f>VLOOKUP(표6[[#This Row],[종목]],자격증정보!$A$2:$I$7,2,FALSE) &amp; " " &amp; VLOOKUP(표6[[#This Row],[종목]],자격증정보!$A$2:$I$7,3,FALSE)</f>
        <v>워드프로세서 단일</v>
      </c>
      <c r="L120" s="2" t="str">
        <f>TEXT(VLOOKUP(표6[[#This Row],[일정번호]],표2[],6,FALSE), "hh:mm")</f>
        <v>16:20</v>
      </c>
      <c r="M120" s="2" t="str">
        <f>VLOOKUP(표6[[#This Row],[종목]],자격증정보!$A$2:$I$7,9,FALSE)</f>
        <v>30분</v>
      </c>
    </row>
    <row r="121" spans="1:13">
      <c r="A121" s="29">
        <v>120</v>
      </c>
      <c r="B121" s="2">
        <v>26</v>
      </c>
      <c r="C121" s="2">
        <v>1</v>
      </c>
      <c r="D121" s="2">
        <v>43</v>
      </c>
      <c r="E121" s="2">
        <v>16</v>
      </c>
      <c r="F121" s="3">
        <v>44368</v>
      </c>
      <c r="G121" s="3">
        <v>44375</v>
      </c>
      <c r="H121" s="3">
        <v>44376</v>
      </c>
      <c r="I121" s="2">
        <v>0</v>
      </c>
      <c r="J121" s="29" t="s">
        <v>197</v>
      </c>
      <c r="K121" s="51" t="str">
        <f>VLOOKUP(표6[[#This Row],[종목]],자격증정보!$A$2:$I$7,2,FALSE) &amp; " " &amp; VLOOKUP(표6[[#This Row],[종목]],자격증정보!$A$2:$I$7,3,FALSE)</f>
        <v>워드프로세서 단일</v>
      </c>
      <c r="L121" s="2" t="str">
        <f>TEXT(VLOOKUP(표6[[#This Row],[일정번호]],표2[],6,FALSE), "hh:mm")</f>
        <v>14:00</v>
      </c>
      <c r="M121" s="2" t="str">
        <f>VLOOKUP(표6[[#This Row],[종목]],자격증정보!$A$2:$I$7,9,FALSE)</f>
        <v>30분</v>
      </c>
    </row>
    <row r="122" spans="1:13">
      <c r="A122" s="29">
        <v>121</v>
      </c>
      <c r="B122" s="2">
        <v>1</v>
      </c>
      <c r="C122" s="2">
        <v>1</v>
      </c>
      <c r="D122" s="2">
        <v>46</v>
      </c>
      <c r="E122" s="2">
        <v>17</v>
      </c>
      <c r="F122" s="3">
        <v>44368</v>
      </c>
      <c r="G122" s="3">
        <v>44375</v>
      </c>
      <c r="H122" s="3">
        <v>44376</v>
      </c>
      <c r="I122" s="2">
        <v>10</v>
      </c>
      <c r="J122" s="29" t="s">
        <v>197</v>
      </c>
      <c r="K122" s="51" t="str">
        <f>VLOOKUP(표6[[#This Row],[종목]],자격증정보!$A$2:$I$7,2,FALSE) &amp; " " &amp; VLOOKUP(표6[[#This Row],[종목]],자격증정보!$A$2:$I$7,3,FALSE)</f>
        <v>워드프로세서 단일</v>
      </c>
      <c r="L122" s="2" t="str">
        <f>TEXT(VLOOKUP(표6[[#This Row],[일정번호]],표2[],6,FALSE), "hh:mm")</f>
        <v>14:00</v>
      </c>
      <c r="M122" s="2" t="str">
        <f>VLOOKUP(표6[[#This Row],[종목]],자격증정보!$A$2:$I$7,9,FALSE)</f>
        <v>30분</v>
      </c>
    </row>
    <row r="123" spans="1:13">
      <c r="A123" s="29">
        <v>122</v>
      </c>
      <c r="B123" s="2">
        <v>3</v>
      </c>
      <c r="C123" s="2">
        <v>1</v>
      </c>
      <c r="D123" s="2">
        <v>151</v>
      </c>
      <c r="E123" s="2">
        <v>39</v>
      </c>
      <c r="F123" s="3">
        <v>44389</v>
      </c>
      <c r="G123" s="3">
        <v>44396</v>
      </c>
      <c r="H123" s="3">
        <v>44397</v>
      </c>
      <c r="I123" s="2">
        <v>80</v>
      </c>
      <c r="J123" s="29" t="s">
        <v>198</v>
      </c>
      <c r="K123" s="51" t="str">
        <f>VLOOKUP(표6[[#This Row],[종목]],자격증정보!$A$2:$I$7,2,FALSE) &amp; " " &amp; VLOOKUP(표6[[#This Row],[종목]],자격증정보!$A$2:$I$7,3,FALSE)</f>
        <v>워드프로세서 단일</v>
      </c>
      <c r="L123" s="2" t="str">
        <f>TEXT(VLOOKUP(표6[[#This Row],[일정번호]],표2[],6,FALSE), "hh:mm")</f>
        <v>13:00</v>
      </c>
      <c r="M123" s="2" t="str">
        <f>VLOOKUP(표6[[#This Row],[종목]],자격증정보!$A$2:$I$7,9,FALSE)</f>
        <v>30분</v>
      </c>
    </row>
    <row r="124" spans="1:13">
      <c r="A124" s="29">
        <v>123</v>
      </c>
      <c r="B124" s="2">
        <v>5</v>
      </c>
      <c r="C124" s="2">
        <v>1</v>
      </c>
      <c r="D124" s="2">
        <v>46</v>
      </c>
      <c r="E124" s="2">
        <v>17</v>
      </c>
      <c r="F124" s="3">
        <v>44368</v>
      </c>
      <c r="G124" s="3">
        <v>44375</v>
      </c>
      <c r="H124" s="3">
        <v>44376</v>
      </c>
      <c r="I124" s="2">
        <v>0</v>
      </c>
      <c r="J124" s="29" t="s">
        <v>197</v>
      </c>
      <c r="K124" s="51" t="str">
        <f>VLOOKUP(표6[[#This Row],[종목]],자격증정보!$A$2:$I$7,2,FALSE) &amp; " " &amp; VLOOKUP(표6[[#This Row],[종목]],자격증정보!$A$2:$I$7,3,FALSE)</f>
        <v>워드프로세서 단일</v>
      </c>
      <c r="L124" s="2" t="str">
        <f>TEXT(VLOOKUP(표6[[#This Row],[일정번호]],표2[],6,FALSE), "hh:mm")</f>
        <v>14:00</v>
      </c>
      <c r="M124" s="2" t="str">
        <f>VLOOKUP(표6[[#This Row],[종목]],자격증정보!$A$2:$I$7,9,FALSE)</f>
        <v>30분</v>
      </c>
    </row>
    <row r="125" spans="1:13">
      <c r="A125" s="29">
        <v>124</v>
      </c>
      <c r="B125" s="2">
        <v>4</v>
      </c>
      <c r="C125" s="2">
        <v>1</v>
      </c>
      <c r="D125" s="2">
        <v>46</v>
      </c>
      <c r="E125" s="2">
        <v>17</v>
      </c>
      <c r="F125" s="3">
        <v>44368</v>
      </c>
      <c r="G125" s="3">
        <v>44375</v>
      </c>
      <c r="H125" s="3">
        <v>44376</v>
      </c>
      <c r="I125" s="2">
        <v>0</v>
      </c>
      <c r="J125" s="29" t="s">
        <v>197</v>
      </c>
      <c r="K125" s="51" t="str">
        <f>VLOOKUP(표6[[#This Row],[종목]],자격증정보!$A$2:$I$7,2,FALSE) &amp; " " &amp; VLOOKUP(표6[[#This Row],[종목]],자격증정보!$A$2:$I$7,3,FALSE)</f>
        <v>워드프로세서 단일</v>
      </c>
      <c r="L125" s="2" t="str">
        <f>TEXT(VLOOKUP(표6[[#This Row],[일정번호]],표2[],6,FALSE), "hh:mm")</f>
        <v>14:00</v>
      </c>
      <c r="M125" s="2" t="str">
        <f>VLOOKUP(표6[[#This Row],[종목]],자격증정보!$A$2:$I$7,9,FALSE)</f>
        <v>30분</v>
      </c>
    </row>
    <row r="126" spans="1:13">
      <c r="A126" s="29">
        <v>125</v>
      </c>
      <c r="B126" s="2">
        <v>17</v>
      </c>
      <c r="C126" s="2">
        <v>1</v>
      </c>
      <c r="D126" s="2">
        <v>46</v>
      </c>
      <c r="E126" s="2">
        <v>17</v>
      </c>
      <c r="F126" s="3">
        <v>44368</v>
      </c>
      <c r="G126" s="3">
        <v>44375</v>
      </c>
      <c r="H126" s="3">
        <v>44376</v>
      </c>
      <c r="I126" s="2">
        <v>0</v>
      </c>
      <c r="J126" s="29" t="s">
        <v>197</v>
      </c>
      <c r="K126" s="51" t="str">
        <f>VLOOKUP(표6[[#This Row],[종목]],자격증정보!$A$2:$I$7,2,FALSE) &amp; " " &amp; VLOOKUP(표6[[#This Row],[종목]],자격증정보!$A$2:$I$7,3,FALSE)</f>
        <v>워드프로세서 단일</v>
      </c>
      <c r="L126" s="2" t="str">
        <f>TEXT(VLOOKUP(표6[[#This Row],[일정번호]],표2[],6,FALSE), "hh:mm")</f>
        <v>14:00</v>
      </c>
      <c r="M126" s="2" t="str">
        <f>VLOOKUP(표6[[#This Row],[종목]],자격증정보!$A$2:$I$7,9,FALSE)</f>
        <v>30분</v>
      </c>
    </row>
    <row r="127" spans="1:13">
      <c r="A127" s="29">
        <v>126</v>
      </c>
      <c r="B127" s="2">
        <v>29</v>
      </c>
      <c r="C127" s="2">
        <v>1</v>
      </c>
      <c r="D127" s="2">
        <v>46</v>
      </c>
      <c r="E127" s="2">
        <v>17</v>
      </c>
      <c r="F127" s="3">
        <v>44368</v>
      </c>
      <c r="G127" s="3">
        <v>44375</v>
      </c>
      <c r="H127" s="3">
        <v>44376</v>
      </c>
      <c r="I127" s="2">
        <v>30</v>
      </c>
      <c r="J127" s="29" t="s">
        <v>197</v>
      </c>
      <c r="K127" s="51" t="str">
        <f>VLOOKUP(표6[[#This Row],[종목]],자격증정보!$A$2:$I$7,2,FALSE) &amp; " " &amp; VLOOKUP(표6[[#This Row],[종목]],자격증정보!$A$2:$I$7,3,FALSE)</f>
        <v>워드프로세서 단일</v>
      </c>
      <c r="L127" s="2" t="str">
        <f>TEXT(VLOOKUP(표6[[#This Row],[일정번호]],표2[],6,FALSE), "hh:mm")</f>
        <v>14:00</v>
      </c>
      <c r="M127" s="2" t="str">
        <f>VLOOKUP(표6[[#This Row],[종목]],자격증정보!$A$2:$I$7,9,FALSE)</f>
        <v>30분</v>
      </c>
    </row>
    <row r="128" spans="1:13">
      <c r="A128" s="29">
        <v>127</v>
      </c>
      <c r="B128" s="2">
        <v>9</v>
      </c>
      <c r="C128" s="2">
        <v>3</v>
      </c>
      <c r="D128" s="2">
        <v>18</v>
      </c>
      <c r="E128" s="2">
        <v>3</v>
      </c>
      <c r="F128" s="3">
        <v>44340</v>
      </c>
      <c r="G128" s="3">
        <v>44347</v>
      </c>
      <c r="H128" s="3">
        <v>44347</v>
      </c>
      <c r="I128" s="2">
        <v>40</v>
      </c>
      <c r="J128" s="29" t="s">
        <v>197</v>
      </c>
      <c r="K128" s="51" t="str">
        <f>VLOOKUP(표6[[#This Row],[종목]],자격증정보!$A$2:$I$7,2,FALSE) &amp; " " &amp; VLOOKUP(표6[[#This Row],[종목]],자격증정보!$A$2:$I$7,3,FALSE)</f>
        <v>컴퓨터활용능력 2급</v>
      </c>
      <c r="L128" s="2" t="str">
        <f>TEXT(VLOOKUP(표6[[#This Row],[일정번호]],표2[],6,FALSE), "hh:mm")</f>
        <v>16:00</v>
      </c>
      <c r="M128" s="2" t="str">
        <f>VLOOKUP(표6[[#This Row],[종목]],자격증정보!$A$2:$I$7,9,FALSE)</f>
        <v>30분</v>
      </c>
    </row>
    <row r="129" spans="1:13">
      <c r="A129" s="29">
        <v>128</v>
      </c>
      <c r="B129" s="2">
        <v>10</v>
      </c>
      <c r="C129" s="2">
        <v>3</v>
      </c>
      <c r="D129" s="2">
        <v>18</v>
      </c>
      <c r="E129" s="2">
        <v>3</v>
      </c>
      <c r="F129" s="3">
        <v>44340</v>
      </c>
      <c r="G129" s="3">
        <v>44347</v>
      </c>
      <c r="H129" s="3">
        <v>44347</v>
      </c>
      <c r="I129" s="2">
        <v>60</v>
      </c>
      <c r="J129" s="29" t="s">
        <v>197</v>
      </c>
      <c r="K129" s="51" t="str">
        <f>VLOOKUP(표6[[#This Row],[종목]],자격증정보!$A$2:$I$7,2,FALSE) &amp; " " &amp; VLOOKUP(표6[[#This Row],[종목]],자격증정보!$A$2:$I$7,3,FALSE)</f>
        <v>컴퓨터활용능력 2급</v>
      </c>
      <c r="L129" s="2" t="str">
        <f>TEXT(VLOOKUP(표6[[#This Row],[일정번호]],표2[],6,FALSE), "hh:mm")</f>
        <v>16:00</v>
      </c>
      <c r="M129" s="2" t="str">
        <f>VLOOKUP(표6[[#This Row],[종목]],자격증정보!$A$2:$I$7,9,FALSE)</f>
        <v>30분</v>
      </c>
    </row>
    <row r="130" spans="1:13">
      <c r="A130" s="29">
        <v>129</v>
      </c>
      <c r="B130" s="2">
        <v>11</v>
      </c>
      <c r="C130" s="2">
        <v>3</v>
      </c>
      <c r="D130" s="2">
        <v>18</v>
      </c>
      <c r="E130" s="2">
        <v>3</v>
      </c>
      <c r="F130" s="3">
        <v>44340</v>
      </c>
      <c r="G130" s="3">
        <v>44347</v>
      </c>
      <c r="H130" s="3">
        <v>44347</v>
      </c>
      <c r="I130" s="2">
        <v>50</v>
      </c>
      <c r="J130" s="29" t="s">
        <v>197</v>
      </c>
      <c r="K130" s="51" t="str">
        <f>VLOOKUP(표6[[#This Row],[종목]],자격증정보!$A$2:$I$7,2,FALSE) &amp; " " &amp; VLOOKUP(표6[[#This Row],[종목]],자격증정보!$A$2:$I$7,3,FALSE)</f>
        <v>컴퓨터활용능력 2급</v>
      </c>
      <c r="L130" s="2" t="str">
        <f>TEXT(VLOOKUP(표6[[#This Row],[일정번호]],표2[],6,FALSE), "hh:mm")</f>
        <v>16:00</v>
      </c>
      <c r="M130" s="2" t="str">
        <f>VLOOKUP(표6[[#This Row],[종목]],자격증정보!$A$2:$I$7,9,FALSE)</f>
        <v>30분</v>
      </c>
    </row>
    <row r="131" spans="1:13">
      <c r="A131" s="29">
        <v>130</v>
      </c>
      <c r="B131" s="2">
        <v>12</v>
      </c>
      <c r="C131" s="2">
        <v>3</v>
      </c>
      <c r="D131" s="2">
        <v>18</v>
      </c>
      <c r="E131" s="2">
        <v>3</v>
      </c>
      <c r="F131" s="3">
        <v>44340</v>
      </c>
      <c r="G131" s="3">
        <v>44347</v>
      </c>
      <c r="H131" s="3">
        <v>44347</v>
      </c>
      <c r="I131" s="2">
        <v>40</v>
      </c>
      <c r="J131" s="29" t="s">
        <v>197</v>
      </c>
      <c r="K131" s="51" t="str">
        <f>VLOOKUP(표6[[#This Row],[종목]],자격증정보!$A$2:$I$7,2,FALSE) &amp; " " &amp; VLOOKUP(표6[[#This Row],[종목]],자격증정보!$A$2:$I$7,3,FALSE)</f>
        <v>컴퓨터활용능력 2급</v>
      </c>
      <c r="L131" s="2" t="str">
        <f>TEXT(VLOOKUP(표6[[#This Row],[일정번호]],표2[],6,FALSE), "hh:mm")</f>
        <v>16:00</v>
      </c>
      <c r="M131" s="2" t="str">
        <f>VLOOKUP(표6[[#This Row],[종목]],자격증정보!$A$2:$I$7,9,FALSE)</f>
        <v>30분</v>
      </c>
    </row>
    <row r="132" spans="1:13">
      <c r="A132" s="29">
        <v>131</v>
      </c>
      <c r="B132" s="2">
        <v>30</v>
      </c>
      <c r="C132" s="2">
        <v>6</v>
      </c>
      <c r="D132" s="2">
        <v>82</v>
      </c>
      <c r="E132" s="2">
        <v>3</v>
      </c>
      <c r="F132" s="3">
        <v>44340</v>
      </c>
      <c r="G132" s="3">
        <v>44347</v>
      </c>
      <c r="H132" s="3">
        <v>44348</v>
      </c>
      <c r="I132" s="2">
        <v>60</v>
      </c>
      <c r="J132" s="29" t="s">
        <v>197</v>
      </c>
      <c r="K132" s="51" t="str">
        <f>VLOOKUP(표6[[#This Row],[종목]],자격증정보!$A$2:$I$7,2,FALSE) &amp; " " &amp; VLOOKUP(표6[[#This Row],[종목]],자격증정보!$A$2:$I$7,3,FALSE)</f>
        <v>비서 3급</v>
      </c>
      <c r="L132" s="2" t="str">
        <f>TEXT(VLOOKUP(표6[[#This Row],[일정번호]],표2[],6,FALSE), "hh:mm")</f>
        <v>09:00</v>
      </c>
      <c r="M132" s="2" t="str">
        <f>VLOOKUP(표6[[#This Row],[종목]],자격증정보!$A$2:$I$7,9,FALSE)</f>
        <v>40분</v>
      </c>
    </row>
    <row r="133" spans="1:13">
      <c r="A133" s="29">
        <v>132</v>
      </c>
      <c r="B133" s="2">
        <v>29</v>
      </c>
      <c r="C133" s="2">
        <v>6</v>
      </c>
      <c r="D133" s="2">
        <v>82</v>
      </c>
      <c r="E133" s="2">
        <v>3</v>
      </c>
      <c r="F133" s="3">
        <v>44340</v>
      </c>
      <c r="G133" s="3">
        <v>44347</v>
      </c>
      <c r="H133" s="3">
        <v>44348</v>
      </c>
      <c r="I133" s="2">
        <v>50</v>
      </c>
      <c r="J133" s="29" t="s">
        <v>197</v>
      </c>
      <c r="K133" s="51" t="str">
        <f>VLOOKUP(표6[[#This Row],[종목]],자격증정보!$A$2:$I$7,2,FALSE) &amp; " " &amp; VLOOKUP(표6[[#This Row],[종목]],자격증정보!$A$2:$I$7,3,FALSE)</f>
        <v>비서 3급</v>
      </c>
      <c r="L133" s="2" t="str">
        <f>TEXT(VLOOKUP(표6[[#This Row],[일정번호]],표2[],6,FALSE), "hh:mm")</f>
        <v>09:00</v>
      </c>
      <c r="M133" s="2" t="str">
        <f>VLOOKUP(표6[[#This Row],[종목]],자격증정보!$A$2:$I$7,9,FALSE)</f>
        <v>40분</v>
      </c>
    </row>
    <row r="134" spans="1:13">
      <c r="A134" s="29">
        <v>133</v>
      </c>
      <c r="B134" s="2">
        <v>28</v>
      </c>
      <c r="C134" s="2">
        <v>6</v>
      </c>
      <c r="D134" s="2">
        <v>82</v>
      </c>
      <c r="E134" s="2">
        <v>3</v>
      </c>
      <c r="F134" s="3">
        <v>44340</v>
      </c>
      <c r="G134" s="3">
        <v>44347</v>
      </c>
      <c r="H134" s="3">
        <v>44348</v>
      </c>
      <c r="I134" s="2">
        <v>20</v>
      </c>
      <c r="J134" s="29" t="s">
        <v>197</v>
      </c>
      <c r="K134" s="51" t="str">
        <f>VLOOKUP(표6[[#This Row],[종목]],자격증정보!$A$2:$I$7,2,FALSE) &amp; " " &amp; VLOOKUP(표6[[#This Row],[종목]],자격증정보!$A$2:$I$7,3,FALSE)</f>
        <v>비서 3급</v>
      </c>
      <c r="L134" s="2" t="str">
        <f>TEXT(VLOOKUP(표6[[#This Row],[일정번호]],표2[],6,FALSE), "hh:mm")</f>
        <v>09:00</v>
      </c>
      <c r="M134" s="2" t="str">
        <f>VLOOKUP(표6[[#This Row],[종목]],자격증정보!$A$2:$I$7,9,FALSE)</f>
        <v>40분</v>
      </c>
    </row>
    <row r="135" spans="1:13">
      <c r="A135" s="29">
        <v>134</v>
      </c>
      <c r="B135" s="2">
        <v>27</v>
      </c>
      <c r="C135" s="2">
        <v>6</v>
      </c>
      <c r="D135" s="2">
        <v>82</v>
      </c>
      <c r="E135" s="2">
        <v>3</v>
      </c>
      <c r="F135" s="3">
        <v>44340</v>
      </c>
      <c r="G135" s="3">
        <v>44347</v>
      </c>
      <c r="H135" s="3">
        <v>44348</v>
      </c>
      <c r="I135" s="2">
        <v>10</v>
      </c>
      <c r="J135" s="29" t="s">
        <v>197</v>
      </c>
      <c r="K135" s="51" t="str">
        <f>VLOOKUP(표6[[#This Row],[종목]],자격증정보!$A$2:$I$7,2,FALSE) &amp; " " &amp; VLOOKUP(표6[[#This Row],[종목]],자격증정보!$A$2:$I$7,3,FALSE)</f>
        <v>비서 3급</v>
      </c>
      <c r="L135" s="2" t="str">
        <f>TEXT(VLOOKUP(표6[[#This Row],[일정번호]],표2[],6,FALSE), "hh:mm")</f>
        <v>09:00</v>
      </c>
      <c r="M135" s="2" t="str">
        <f>VLOOKUP(표6[[#This Row],[종목]],자격증정보!$A$2:$I$7,9,FALSE)</f>
        <v>40분</v>
      </c>
    </row>
    <row r="136" spans="1:13">
      <c r="A136" s="29">
        <v>135</v>
      </c>
      <c r="B136" s="2">
        <v>25</v>
      </c>
      <c r="C136" s="2">
        <v>6</v>
      </c>
      <c r="D136" s="2">
        <v>82</v>
      </c>
      <c r="E136" s="2">
        <v>3</v>
      </c>
      <c r="F136" s="3">
        <v>44340</v>
      </c>
      <c r="G136" s="3">
        <v>44347</v>
      </c>
      <c r="H136" s="3">
        <v>44348</v>
      </c>
      <c r="I136" s="2">
        <v>60</v>
      </c>
      <c r="J136" s="29" t="s">
        <v>197</v>
      </c>
      <c r="K136" s="51" t="str">
        <f>VLOOKUP(표6[[#This Row],[종목]],자격증정보!$A$2:$I$7,2,FALSE) &amp; " " &amp; VLOOKUP(표6[[#This Row],[종목]],자격증정보!$A$2:$I$7,3,FALSE)</f>
        <v>비서 3급</v>
      </c>
      <c r="L136" s="2" t="str">
        <f>TEXT(VLOOKUP(표6[[#This Row],[일정번호]],표2[],6,FALSE), "hh:mm")</f>
        <v>09:00</v>
      </c>
      <c r="M136" s="2" t="str">
        <f>VLOOKUP(표6[[#This Row],[종목]],자격증정보!$A$2:$I$7,9,FALSE)</f>
        <v>40분</v>
      </c>
    </row>
    <row r="137" spans="1:13">
      <c r="A137" s="29">
        <v>136</v>
      </c>
      <c r="B137" s="2">
        <v>24</v>
      </c>
      <c r="C137" s="2">
        <v>6</v>
      </c>
      <c r="D137" s="2">
        <v>82</v>
      </c>
      <c r="E137" s="2">
        <v>3</v>
      </c>
      <c r="F137" s="3">
        <v>44340</v>
      </c>
      <c r="G137" s="3">
        <v>44347</v>
      </c>
      <c r="H137" s="3">
        <v>44348</v>
      </c>
      <c r="I137" s="2">
        <v>50</v>
      </c>
      <c r="J137" s="29" t="s">
        <v>197</v>
      </c>
      <c r="K137" s="51" t="str">
        <f>VLOOKUP(표6[[#This Row],[종목]],자격증정보!$A$2:$I$7,2,FALSE) &amp; " " &amp; VLOOKUP(표6[[#This Row],[종목]],자격증정보!$A$2:$I$7,3,FALSE)</f>
        <v>비서 3급</v>
      </c>
      <c r="L137" s="2" t="str">
        <f>TEXT(VLOOKUP(표6[[#This Row],[일정번호]],표2[],6,FALSE), "hh:mm")</f>
        <v>09:00</v>
      </c>
      <c r="M137" s="2" t="str">
        <f>VLOOKUP(표6[[#This Row],[종목]],자격증정보!$A$2:$I$7,9,FALSE)</f>
        <v>40분</v>
      </c>
    </row>
    <row r="138" spans="1:13">
      <c r="A138" s="29">
        <v>137</v>
      </c>
      <c r="B138" s="2">
        <v>27</v>
      </c>
      <c r="C138" s="2">
        <v>3</v>
      </c>
      <c r="D138" s="2">
        <v>23</v>
      </c>
      <c r="E138" s="2">
        <v>4</v>
      </c>
      <c r="F138" s="3">
        <v>44342</v>
      </c>
      <c r="G138" s="3">
        <v>44349</v>
      </c>
      <c r="H138" s="3">
        <v>44349</v>
      </c>
      <c r="I138" s="2">
        <v>50</v>
      </c>
      <c r="J138" s="29" t="s">
        <v>197</v>
      </c>
      <c r="K138" s="51" t="str">
        <f>VLOOKUP(표6[[#This Row],[종목]],자격증정보!$A$2:$I$7,2,FALSE) &amp; " " &amp; VLOOKUP(표6[[#This Row],[종목]],자격증정보!$A$2:$I$7,3,FALSE)</f>
        <v>컴퓨터활용능력 2급</v>
      </c>
      <c r="L138" s="2" t="str">
        <f>TEXT(VLOOKUP(표6[[#This Row],[일정번호]],표2[],6,FALSE), "hh:mm")</f>
        <v>09:00</v>
      </c>
      <c r="M138" s="2" t="str">
        <f>VLOOKUP(표6[[#This Row],[종목]],자격증정보!$A$2:$I$7,9,FALSE)</f>
        <v>30분</v>
      </c>
    </row>
    <row r="139" spans="1:13">
      <c r="A139" s="29">
        <v>138</v>
      </c>
      <c r="B139" s="2">
        <v>28</v>
      </c>
      <c r="C139" s="2">
        <v>3</v>
      </c>
      <c r="D139" s="2">
        <v>23</v>
      </c>
      <c r="E139" s="2">
        <v>4</v>
      </c>
      <c r="F139" s="3">
        <v>44342</v>
      </c>
      <c r="G139" s="3">
        <v>44349</v>
      </c>
      <c r="H139" s="3">
        <v>44349</v>
      </c>
      <c r="I139" s="2">
        <v>40</v>
      </c>
      <c r="J139" s="29" t="s">
        <v>197</v>
      </c>
      <c r="K139" s="51" t="str">
        <f>VLOOKUP(표6[[#This Row],[종목]],자격증정보!$A$2:$I$7,2,FALSE) &amp; " " &amp; VLOOKUP(표6[[#This Row],[종목]],자격증정보!$A$2:$I$7,3,FALSE)</f>
        <v>컴퓨터활용능력 2급</v>
      </c>
      <c r="L139" s="2" t="str">
        <f>TEXT(VLOOKUP(표6[[#This Row],[일정번호]],표2[],6,FALSE), "hh:mm")</f>
        <v>09:00</v>
      </c>
      <c r="M139" s="2" t="str">
        <f>VLOOKUP(표6[[#This Row],[종목]],자격증정보!$A$2:$I$7,9,FALSE)</f>
        <v>30분</v>
      </c>
    </row>
    <row r="140" spans="1:13">
      <c r="A140" s="29">
        <v>139</v>
      </c>
      <c r="B140" s="2">
        <v>1</v>
      </c>
      <c r="C140" s="2">
        <v>3</v>
      </c>
      <c r="D140" s="2">
        <v>23</v>
      </c>
      <c r="E140" s="2">
        <v>4</v>
      </c>
      <c r="F140" s="3">
        <v>44342</v>
      </c>
      <c r="G140" s="3">
        <v>44349</v>
      </c>
      <c r="H140" s="3">
        <v>44349</v>
      </c>
      <c r="I140" s="2">
        <v>50</v>
      </c>
      <c r="J140" s="29" t="s">
        <v>197</v>
      </c>
      <c r="K140" s="51" t="str">
        <f>VLOOKUP(표6[[#This Row],[종목]],자격증정보!$A$2:$I$7,2,FALSE) &amp; " " &amp; VLOOKUP(표6[[#This Row],[종목]],자격증정보!$A$2:$I$7,3,FALSE)</f>
        <v>컴퓨터활용능력 2급</v>
      </c>
      <c r="L140" s="2" t="str">
        <f>TEXT(VLOOKUP(표6[[#This Row],[일정번호]],표2[],6,FALSE), "hh:mm")</f>
        <v>09:00</v>
      </c>
      <c r="M140" s="2" t="str">
        <f>VLOOKUP(표6[[#This Row],[종목]],자격증정보!$A$2:$I$7,9,FALSE)</f>
        <v>30분</v>
      </c>
    </row>
    <row r="141" spans="1:13">
      <c r="A141" s="29">
        <v>140</v>
      </c>
      <c r="B141" s="2">
        <v>3</v>
      </c>
      <c r="C141" s="2">
        <v>3</v>
      </c>
      <c r="D141" s="2">
        <v>23</v>
      </c>
      <c r="E141" s="2">
        <v>4</v>
      </c>
      <c r="F141" s="3">
        <v>44342</v>
      </c>
      <c r="G141" s="3">
        <v>44349</v>
      </c>
      <c r="H141" s="3">
        <v>44349</v>
      </c>
      <c r="I141" s="2">
        <v>0</v>
      </c>
      <c r="J141" s="29" t="s">
        <v>197</v>
      </c>
      <c r="K141" s="51" t="str">
        <f>VLOOKUP(표6[[#This Row],[종목]],자격증정보!$A$2:$I$7,2,FALSE) &amp; " " &amp; VLOOKUP(표6[[#This Row],[종목]],자격증정보!$A$2:$I$7,3,FALSE)</f>
        <v>컴퓨터활용능력 2급</v>
      </c>
      <c r="L141" s="2" t="str">
        <f>TEXT(VLOOKUP(표6[[#This Row],[일정번호]],표2[],6,FALSE), "hh:mm")</f>
        <v>09:00</v>
      </c>
      <c r="M141" s="2" t="str">
        <f>VLOOKUP(표6[[#This Row],[종목]],자격증정보!$A$2:$I$7,9,FALSE)</f>
        <v>30분</v>
      </c>
    </row>
    <row r="142" spans="1:13">
      <c r="A142" s="29">
        <v>141</v>
      </c>
      <c r="B142" s="2">
        <v>16</v>
      </c>
      <c r="C142" s="2">
        <v>2</v>
      </c>
      <c r="D142" s="2">
        <v>52</v>
      </c>
      <c r="E142" s="2">
        <v>4</v>
      </c>
      <c r="F142" s="3">
        <v>44342</v>
      </c>
      <c r="G142" s="3">
        <v>44349</v>
      </c>
      <c r="H142" s="3">
        <v>44349</v>
      </c>
      <c r="I142" s="2">
        <v>10</v>
      </c>
      <c r="J142" s="29" t="s">
        <v>197</v>
      </c>
      <c r="K142" s="51" t="str">
        <f>VLOOKUP(표6[[#This Row],[종목]],자격증정보!$A$2:$I$7,2,FALSE) &amp; " " &amp; VLOOKUP(표6[[#This Row],[종목]],자격증정보!$A$2:$I$7,3,FALSE)</f>
        <v>컴퓨터활용능력 1급</v>
      </c>
      <c r="L142" s="2" t="str">
        <f>TEXT(VLOOKUP(표6[[#This Row],[일정번호]],표2[],6,FALSE), "hh:mm")</f>
        <v>17:00</v>
      </c>
      <c r="M142" s="2" t="str">
        <f>VLOOKUP(표6[[#This Row],[종목]],자격증정보!$A$2:$I$7,9,FALSE)</f>
        <v>30분</v>
      </c>
    </row>
    <row r="143" spans="1:13">
      <c r="A143" s="29">
        <v>142</v>
      </c>
      <c r="B143" s="2">
        <v>19</v>
      </c>
      <c r="C143" s="2">
        <v>2</v>
      </c>
      <c r="D143" s="2">
        <v>52</v>
      </c>
      <c r="E143" s="2">
        <v>4</v>
      </c>
      <c r="F143" s="3">
        <v>44342</v>
      </c>
      <c r="G143" s="3">
        <v>44349</v>
      </c>
      <c r="H143" s="3">
        <v>44349</v>
      </c>
      <c r="I143" s="2">
        <v>50</v>
      </c>
      <c r="J143" s="29" t="s">
        <v>197</v>
      </c>
      <c r="K143" s="51" t="str">
        <f>VLOOKUP(표6[[#This Row],[종목]],자격증정보!$A$2:$I$7,2,FALSE) &amp; " " &amp; VLOOKUP(표6[[#This Row],[종목]],자격증정보!$A$2:$I$7,3,FALSE)</f>
        <v>컴퓨터활용능력 1급</v>
      </c>
      <c r="L143" s="2" t="str">
        <f>TEXT(VLOOKUP(표6[[#This Row],[일정번호]],표2[],6,FALSE), "hh:mm")</f>
        <v>17:00</v>
      </c>
      <c r="M143" s="2" t="str">
        <f>VLOOKUP(표6[[#This Row],[종목]],자격증정보!$A$2:$I$7,9,FALSE)</f>
        <v>30분</v>
      </c>
    </row>
    <row r="144" spans="1:13">
      <c r="A144" s="29">
        <v>143</v>
      </c>
      <c r="B144" s="2">
        <v>9</v>
      </c>
      <c r="C144" s="2">
        <v>2</v>
      </c>
      <c r="D144" s="2">
        <v>52</v>
      </c>
      <c r="E144" s="2">
        <v>4</v>
      </c>
      <c r="F144" s="3">
        <v>44342</v>
      </c>
      <c r="G144" s="3">
        <v>44349</v>
      </c>
      <c r="H144" s="3">
        <v>44349</v>
      </c>
      <c r="I144" s="2">
        <v>30</v>
      </c>
      <c r="J144" s="29" t="s">
        <v>197</v>
      </c>
      <c r="K144" s="51" t="str">
        <f>VLOOKUP(표6[[#This Row],[종목]],자격증정보!$A$2:$I$7,2,FALSE) &amp; " " &amp; VLOOKUP(표6[[#This Row],[종목]],자격증정보!$A$2:$I$7,3,FALSE)</f>
        <v>컴퓨터활용능력 1급</v>
      </c>
      <c r="L144" s="2" t="str">
        <f>TEXT(VLOOKUP(표6[[#This Row],[일정번호]],표2[],6,FALSE), "hh:mm")</f>
        <v>17:00</v>
      </c>
      <c r="M144" s="2" t="str">
        <f>VLOOKUP(표6[[#This Row],[종목]],자격증정보!$A$2:$I$7,9,FALSE)</f>
        <v>30분</v>
      </c>
    </row>
    <row r="145" spans="1:13">
      <c r="A145" s="29">
        <v>144</v>
      </c>
      <c r="B145" s="2">
        <v>23</v>
      </c>
      <c r="C145" s="2">
        <v>6</v>
      </c>
      <c r="D145" s="2">
        <v>85</v>
      </c>
      <c r="E145" s="2">
        <v>4</v>
      </c>
      <c r="F145" s="3">
        <v>44342</v>
      </c>
      <c r="G145" s="3">
        <v>44349</v>
      </c>
      <c r="H145" s="3">
        <v>44350</v>
      </c>
      <c r="I145" s="2">
        <v>40</v>
      </c>
      <c r="J145" s="29" t="s">
        <v>197</v>
      </c>
      <c r="K145" s="51" t="str">
        <f>VLOOKUP(표6[[#This Row],[종목]],자격증정보!$A$2:$I$7,2,FALSE) &amp; " " &amp; VLOOKUP(표6[[#This Row],[종목]],자격증정보!$A$2:$I$7,3,FALSE)</f>
        <v>비서 3급</v>
      </c>
      <c r="L145" s="2" t="str">
        <f>TEXT(VLOOKUP(표6[[#This Row],[일정번호]],표2[],6,FALSE), "hh:mm")</f>
        <v>10:00</v>
      </c>
      <c r="M145" s="2" t="str">
        <f>VLOOKUP(표6[[#This Row],[종목]],자격증정보!$A$2:$I$7,9,FALSE)</f>
        <v>40분</v>
      </c>
    </row>
    <row r="146" spans="1:13">
      <c r="A146" s="29">
        <v>145</v>
      </c>
      <c r="B146" s="2">
        <v>20</v>
      </c>
      <c r="C146" s="2">
        <v>6</v>
      </c>
      <c r="D146" s="2">
        <v>85</v>
      </c>
      <c r="E146" s="2">
        <v>4</v>
      </c>
      <c r="F146" s="3">
        <v>44342</v>
      </c>
      <c r="G146" s="3">
        <v>44349</v>
      </c>
      <c r="H146" s="3">
        <v>44350</v>
      </c>
      <c r="I146" s="2">
        <v>60</v>
      </c>
      <c r="J146" s="29" t="s">
        <v>197</v>
      </c>
      <c r="K146" s="51" t="str">
        <f>VLOOKUP(표6[[#This Row],[종목]],자격증정보!$A$2:$I$7,2,FALSE) &amp; " " &amp; VLOOKUP(표6[[#This Row],[종목]],자격증정보!$A$2:$I$7,3,FALSE)</f>
        <v>비서 3급</v>
      </c>
      <c r="L146" s="2" t="str">
        <f>TEXT(VLOOKUP(표6[[#This Row],[일정번호]],표2[],6,FALSE), "hh:mm")</f>
        <v>10:00</v>
      </c>
      <c r="M146" s="2" t="str">
        <f>VLOOKUP(표6[[#This Row],[종목]],자격증정보!$A$2:$I$7,9,FALSE)</f>
        <v>40분</v>
      </c>
    </row>
    <row r="147" spans="1:13">
      <c r="A147" s="29">
        <v>146</v>
      </c>
      <c r="B147" s="2">
        <v>19</v>
      </c>
      <c r="C147" s="2">
        <v>6</v>
      </c>
      <c r="D147" s="2">
        <v>85</v>
      </c>
      <c r="E147" s="2">
        <v>4</v>
      </c>
      <c r="F147" s="3">
        <v>44342</v>
      </c>
      <c r="G147" s="3">
        <v>44349</v>
      </c>
      <c r="H147" s="3">
        <v>44350</v>
      </c>
      <c r="I147" s="2">
        <v>50</v>
      </c>
      <c r="J147" s="29" t="s">
        <v>197</v>
      </c>
      <c r="K147" s="51" t="str">
        <f>VLOOKUP(표6[[#This Row],[종목]],자격증정보!$A$2:$I$7,2,FALSE) &amp; " " &amp; VLOOKUP(표6[[#This Row],[종목]],자격증정보!$A$2:$I$7,3,FALSE)</f>
        <v>비서 3급</v>
      </c>
      <c r="L147" s="2" t="str">
        <f>TEXT(VLOOKUP(표6[[#This Row],[일정번호]],표2[],6,FALSE), "hh:mm")</f>
        <v>10:00</v>
      </c>
      <c r="M147" s="2" t="str">
        <f>VLOOKUP(표6[[#This Row],[종목]],자격증정보!$A$2:$I$7,9,FALSE)</f>
        <v>40분</v>
      </c>
    </row>
    <row r="148" spans="1:13">
      <c r="A148" s="29">
        <v>147</v>
      </c>
      <c r="B148" s="2">
        <v>18</v>
      </c>
      <c r="C148" s="2">
        <v>6</v>
      </c>
      <c r="D148" s="2">
        <v>85</v>
      </c>
      <c r="E148" s="2">
        <v>4</v>
      </c>
      <c r="F148" s="3">
        <v>44342</v>
      </c>
      <c r="G148" s="3">
        <v>44349</v>
      </c>
      <c r="H148" s="3">
        <v>44350</v>
      </c>
      <c r="I148" s="2">
        <v>40</v>
      </c>
      <c r="J148" s="29" t="s">
        <v>197</v>
      </c>
      <c r="K148" s="51" t="str">
        <f>VLOOKUP(표6[[#This Row],[종목]],자격증정보!$A$2:$I$7,2,FALSE) &amp; " " &amp; VLOOKUP(표6[[#This Row],[종목]],자격증정보!$A$2:$I$7,3,FALSE)</f>
        <v>비서 3급</v>
      </c>
      <c r="L148" s="2" t="str">
        <f>TEXT(VLOOKUP(표6[[#This Row],[일정번호]],표2[],6,FALSE), "hh:mm")</f>
        <v>10:00</v>
      </c>
      <c r="M148" s="2" t="str">
        <f>VLOOKUP(표6[[#This Row],[종목]],자격증정보!$A$2:$I$7,9,FALSE)</f>
        <v>40분</v>
      </c>
    </row>
    <row r="149" spans="1:13">
      <c r="A149" s="29">
        <v>148</v>
      </c>
      <c r="B149" s="2">
        <v>17</v>
      </c>
      <c r="C149" s="2">
        <v>6</v>
      </c>
      <c r="D149" s="2">
        <v>85</v>
      </c>
      <c r="E149" s="2">
        <v>4</v>
      </c>
      <c r="F149" s="3">
        <v>44342</v>
      </c>
      <c r="G149" s="3">
        <v>44349</v>
      </c>
      <c r="H149" s="3">
        <v>44350</v>
      </c>
      <c r="I149" s="2">
        <v>30</v>
      </c>
      <c r="J149" s="29" t="s">
        <v>197</v>
      </c>
      <c r="K149" s="51" t="str">
        <f>VLOOKUP(표6[[#This Row],[종목]],자격증정보!$A$2:$I$7,2,FALSE) &amp; " " &amp; VLOOKUP(표6[[#This Row],[종목]],자격증정보!$A$2:$I$7,3,FALSE)</f>
        <v>비서 3급</v>
      </c>
      <c r="L149" s="2" t="str">
        <f>TEXT(VLOOKUP(표6[[#This Row],[일정번호]],표2[],6,FALSE), "hh:mm")</f>
        <v>10:00</v>
      </c>
      <c r="M149" s="2" t="str">
        <f>VLOOKUP(표6[[#This Row],[종목]],자격증정보!$A$2:$I$7,9,FALSE)</f>
        <v>40분</v>
      </c>
    </row>
    <row r="150" spans="1:13">
      <c r="A150" s="29">
        <v>149</v>
      </c>
      <c r="B150" s="2">
        <v>15</v>
      </c>
      <c r="C150" s="2">
        <v>6</v>
      </c>
      <c r="D150" s="2">
        <v>85</v>
      </c>
      <c r="E150" s="2">
        <v>4</v>
      </c>
      <c r="F150" s="3">
        <v>44342</v>
      </c>
      <c r="G150" s="3">
        <v>44349</v>
      </c>
      <c r="H150" s="3">
        <v>44350</v>
      </c>
      <c r="I150" s="2">
        <v>20</v>
      </c>
      <c r="J150" s="29" t="s">
        <v>197</v>
      </c>
      <c r="K150" s="51" t="str">
        <f>VLOOKUP(표6[[#This Row],[종목]],자격증정보!$A$2:$I$7,2,FALSE) &amp; " " &amp; VLOOKUP(표6[[#This Row],[종목]],자격증정보!$A$2:$I$7,3,FALSE)</f>
        <v>비서 3급</v>
      </c>
      <c r="L150" s="2" t="str">
        <f>TEXT(VLOOKUP(표6[[#This Row],[일정번호]],표2[],6,FALSE), "hh:mm")</f>
        <v>10:00</v>
      </c>
      <c r="M150" s="2" t="str">
        <f>VLOOKUP(표6[[#This Row],[종목]],자격증정보!$A$2:$I$7,9,FALSE)</f>
        <v>40분</v>
      </c>
    </row>
    <row r="151" spans="1:13">
      <c r="A151" s="29">
        <v>150</v>
      </c>
      <c r="B151" s="2">
        <v>5</v>
      </c>
      <c r="C151" s="2">
        <v>1</v>
      </c>
      <c r="D151" s="2">
        <v>49</v>
      </c>
      <c r="E151" s="2">
        <v>18</v>
      </c>
      <c r="F151" s="3">
        <v>44371</v>
      </c>
      <c r="G151" s="3">
        <v>44378</v>
      </c>
      <c r="H151" s="3">
        <v>44379</v>
      </c>
      <c r="I151" s="2">
        <v>10</v>
      </c>
      <c r="J151" s="29" t="s">
        <v>197</v>
      </c>
      <c r="K151" s="51" t="str">
        <f>VLOOKUP(표6[[#This Row],[종목]],자격증정보!$A$2:$I$7,2,FALSE) &amp; " " &amp; VLOOKUP(표6[[#This Row],[종목]],자격증정보!$A$2:$I$7,3,FALSE)</f>
        <v>워드프로세서 단일</v>
      </c>
      <c r="L151" s="2" t="str">
        <f>TEXT(VLOOKUP(표6[[#This Row],[일정번호]],표2[],6,FALSE), "hh:mm")</f>
        <v>09:00</v>
      </c>
      <c r="M151" s="2" t="str">
        <f>VLOOKUP(표6[[#This Row],[종목]],자격증정보!$A$2:$I$7,9,FALSE)</f>
        <v>30분</v>
      </c>
    </row>
    <row r="152" spans="1:13">
      <c r="A152" s="29">
        <v>151</v>
      </c>
      <c r="B152" s="2">
        <v>4</v>
      </c>
      <c r="C152" s="2">
        <v>1</v>
      </c>
      <c r="D152" s="2">
        <v>49</v>
      </c>
      <c r="E152" s="2">
        <v>18</v>
      </c>
      <c r="F152" s="3">
        <v>44371</v>
      </c>
      <c r="G152" s="3">
        <v>44378</v>
      </c>
      <c r="H152" s="3">
        <v>44379</v>
      </c>
      <c r="I152" s="2">
        <v>30</v>
      </c>
      <c r="J152" s="29" t="s">
        <v>197</v>
      </c>
      <c r="K152" s="51" t="str">
        <f>VLOOKUP(표6[[#This Row],[종목]],자격증정보!$A$2:$I$7,2,FALSE) &amp; " " &amp; VLOOKUP(표6[[#This Row],[종목]],자격증정보!$A$2:$I$7,3,FALSE)</f>
        <v>워드프로세서 단일</v>
      </c>
      <c r="L152" s="2" t="str">
        <f>TEXT(VLOOKUP(표6[[#This Row],[일정번호]],표2[],6,FALSE), "hh:mm")</f>
        <v>09:00</v>
      </c>
      <c r="M152" s="2" t="str">
        <f>VLOOKUP(표6[[#This Row],[종목]],자격증정보!$A$2:$I$7,9,FALSE)</f>
        <v>30분</v>
      </c>
    </row>
    <row r="153" spans="1:13">
      <c r="A153" s="29">
        <v>152</v>
      </c>
      <c r="B153" s="2">
        <v>4</v>
      </c>
      <c r="C153" s="2">
        <v>1</v>
      </c>
      <c r="D153" s="2">
        <v>151</v>
      </c>
      <c r="E153" s="2">
        <v>39</v>
      </c>
      <c r="F153" s="3">
        <v>44389</v>
      </c>
      <c r="G153" s="3">
        <v>44396</v>
      </c>
      <c r="H153" s="3">
        <v>44397</v>
      </c>
      <c r="I153" s="2">
        <v>20</v>
      </c>
      <c r="J153" s="29" t="s">
        <v>197</v>
      </c>
      <c r="K153" s="51" t="str">
        <f>VLOOKUP(표6[[#This Row],[종목]],자격증정보!$A$2:$I$7,2,FALSE) &amp; " " &amp; VLOOKUP(표6[[#This Row],[종목]],자격증정보!$A$2:$I$7,3,FALSE)</f>
        <v>워드프로세서 단일</v>
      </c>
      <c r="L153" s="2" t="str">
        <f>TEXT(VLOOKUP(표6[[#This Row],[일정번호]],표2[],6,FALSE), "hh:mm")</f>
        <v>13:00</v>
      </c>
      <c r="M153" s="2" t="str">
        <f>VLOOKUP(표6[[#This Row],[종목]],자격증정보!$A$2:$I$7,9,FALSE)</f>
        <v>30분</v>
      </c>
    </row>
    <row r="154" spans="1:13">
      <c r="A154" s="29">
        <v>333</v>
      </c>
      <c r="B154" s="2">
        <v>5</v>
      </c>
      <c r="C154" s="2">
        <v>1</v>
      </c>
      <c r="D154" s="2">
        <v>78</v>
      </c>
      <c r="E154" s="2">
        <v>24</v>
      </c>
      <c r="F154" s="3">
        <v>44379</v>
      </c>
      <c r="G154" s="3">
        <v>44386</v>
      </c>
      <c r="H154" s="3">
        <v>44387</v>
      </c>
      <c r="I154" s="2">
        <v>0</v>
      </c>
      <c r="J154" s="29" t="s">
        <v>197</v>
      </c>
      <c r="K154" s="51" t="str">
        <f>VLOOKUP(표6[[#This Row],[종목]],자격증정보!$A$2:$I$7,2,FALSE) &amp; " " &amp; VLOOKUP(표6[[#This Row],[종목]],자격증정보!$A$2:$I$7,3,FALSE)</f>
        <v>워드프로세서 단일</v>
      </c>
      <c r="L154" s="2" t="str">
        <f>TEXT(VLOOKUP(표6[[#This Row],[일정번호]],표2[],6,FALSE), "hh:mm")</f>
        <v>10:00</v>
      </c>
      <c r="M154" s="2" t="str">
        <f>VLOOKUP(표6[[#This Row],[종목]],자격증정보!$A$2:$I$7,9,FALSE)</f>
        <v>30분</v>
      </c>
    </row>
    <row r="155" spans="1:13">
      <c r="A155" s="29">
        <v>154</v>
      </c>
      <c r="B155" s="2">
        <v>21</v>
      </c>
      <c r="C155" s="2">
        <v>1</v>
      </c>
      <c r="D155" s="2">
        <v>49</v>
      </c>
      <c r="E155" s="2">
        <v>18</v>
      </c>
      <c r="F155" s="3">
        <v>44371</v>
      </c>
      <c r="G155" s="3">
        <v>44378</v>
      </c>
      <c r="H155" s="3">
        <v>44379</v>
      </c>
      <c r="I155" s="2">
        <v>0</v>
      </c>
      <c r="J155" s="29" t="s">
        <v>197</v>
      </c>
      <c r="K155" s="51" t="str">
        <f>VLOOKUP(표6[[#This Row],[종목]],자격증정보!$A$2:$I$7,2,FALSE) &amp; " " &amp; VLOOKUP(표6[[#This Row],[종목]],자격증정보!$A$2:$I$7,3,FALSE)</f>
        <v>워드프로세서 단일</v>
      </c>
      <c r="L155" s="2" t="str">
        <f>TEXT(VLOOKUP(표6[[#This Row],[일정번호]],표2[],6,FALSE), "hh:mm")</f>
        <v>09:00</v>
      </c>
      <c r="M155" s="2" t="str">
        <f>VLOOKUP(표6[[#This Row],[종목]],자격증정보!$A$2:$I$7,9,FALSE)</f>
        <v>30분</v>
      </c>
    </row>
    <row r="156" spans="1:13">
      <c r="A156" s="29">
        <v>155</v>
      </c>
      <c r="B156" s="2">
        <v>9</v>
      </c>
      <c r="C156" s="2">
        <v>1</v>
      </c>
      <c r="D156" s="2">
        <v>49</v>
      </c>
      <c r="E156" s="2">
        <v>18</v>
      </c>
      <c r="F156" s="3">
        <v>44371</v>
      </c>
      <c r="G156" s="3">
        <v>44378</v>
      </c>
      <c r="H156" s="3">
        <v>44379</v>
      </c>
      <c r="I156" s="2">
        <v>10</v>
      </c>
      <c r="J156" s="29" t="s">
        <v>197</v>
      </c>
      <c r="K156" s="51" t="str">
        <f>VLOOKUP(표6[[#This Row],[종목]],자격증정보!$A$2:$I$7,2,FALSE) &amp; " " &amp; VLOOKUP(표6[[#This Row],[종목]],자격증정보!$A$2:$I$7,3,FALSE)</f>
        <v>워드프로세서 단일</v>
      </c>
      <c r="L156" s="2" t="str">
        <f>TEXT(VLOOKUP(표6[[#This Row],[일정번호]],표2[],6,FALSE), "hh:mm")</f>
        <v>09:00</v>
      </c>
      <c r="M156" s="2" t="str">
        <f>VLOOKUP(표6[[#This Row],[종목]],자격증정보!$A$2:$I$7,9,FALSE)</f>
        <v>30분</v>
      </c>
    </row>
    <row r="157" spans="1:13">
      <c r="A157" s="29">
        <v>156</v>
      </c>
      <c r="B157" s="2">
        <v>15</v>
      </c>
      <c r="C157" s="2">
        <v>1</v>
      </c>
      <c r="D157" s="2">
        <v>51</v>
      </c>
      <c r="E157" s="2">
        <v>19</v>
      </c>
      <c r="F157" s="3">
        <v>44372</v>
      </c>
      <c r="G157" s="3">
        <v>44379</v>
      </c>
      <c r="H157" s="3">
        <v>44380</v>
      </c>
      <c r="I157" s="2">
        <v>40</v>
      </c>
      <c r="J157" s="29" t="s">
        <v>197</v>
      </c>
      <c r="K157" s="51" t="str">
        <f>VLOOKUP(표6[[#This Row],[종목]],자격증정보!$A$2:$I$7,2,FALSE) &amp; " " &amp; VLOOKUP(표6[[#This Row],[종목]],자격증정보!$A$2:$I$7,3,FALSE)</f>
        <v>워드프로세서 단일</v>
      </c>
      <c r="L157" s="2" t="str">
        <f>TEXT(VLOOKUP(표6[[#This Row],[일정번호]],표2[],6,FALSE), "hh:mm")</f>
        <v>11:00</v>
      </c>
      <c r="M157" s="2" t="str">
        <f>VLOOKUP(표6[[#This Row],[종목]],자격증정보!$A$2:$I$7,9,FALSE)</f>
        <v>30분</v>
      </c>
    </row>
    <row r="158" spans="1:13">
      <c r="A158" s="29">
        <v>157</v>
      </c>
      <c r="B158" s="2">
        <v>6</v>
      </c>
      <c r="C158" s="2">
        <v>1</v>
      </c>
      <c r="D158" s="2">
        <v>151</v>
      </c>
      <c r="E158" s="2">
        <v>39</v>
      </c>
      <c r="F158" s="3">
        <v>44389</v>
      </c>
      <c r="G158" s="3">
        <v>44396</v>
      </c>
      <c r="H158" s="3">
        <v>44397</v>
      </c>
      <c r="I158" s="2">
        <v>90</v>
      </c>
      <c r="J158" s="29" t="s">
        <v>198</v>
      </c>
      <c r="K158" s="51" t="str">
        <f>VLOOKUP(표6[[#This Row],[종목]],자격증정보!$A$2:$I$7,2,FALSE) &amp; " " &amp; VLOOKUP(표6[[#This Row],[종목]],자격증정보!$A$2:$I$7,3,FALSE)</f>
        <v>워드프로세서 단일</v>
      </c>
      <c r="L158" s="2" t="str">
        <f>TEXT(VLOOKUP(표6[[#This Row],[일정번호]],표2[],6,FALSE), "hh:mm")</f>
        <v>13:00</v>
      </c>
      <c r="M158" s="2" t="str">
        <f>VLOOKUP(표6[[#This Row],[종목]],자격증정보!$A$2:$I$7,9,FALSE)</f>
        <v>30분</v>
      </c>
    </row>
    <row r="159" spans="1:13">
      <c r="A159" s="29">
        <v>158</v>
      </c>
      <c r="B159" s="2">
        <v>3</v>
      </c>
      <c r="C159" s="2">
        <v>1</v>
      </c>
      <c r="D159" s="2">
        <v>51</v>
      </c>
      <c r="E159" s="2">
        <v>19</v>
      </c>
      <c r="F159" s="3">
        <v>44372</v>
      </c>
      <c r="G159" s="3">
        <v>44379</v>
      </c>
      <c r="H159" s="3">
        <v>44380</v>
      </c>
      <c r="I159" s="2">
        <v>10</v>
      </c>
      <c r="J159" s="29" t="s">
        <v>197</v>
      </c>
      <c r="K159" s="51" t="str">
        <f>VLOOKUP(표6[[#This Row],[종목]],자격증정보!$A$2:$I$7,2,FALSE) &amp; " " &amp; VLOOKUP(표6[[#This Row],[종목]],자격증정보!$A$2:$I$7,3,FALSE)</f>
        <v>워드프로세서 단일</v>
      </c>
      <c r="L159" s="2" t="str">
        <f>TEXT(VLOOKUP(표6[[#This Row],[일정번호]],표2[],6,FALSE), "hh:mm")</f>
        <v>11:00</v>
      </c>
      <c r="M159" s="2" t="str">
        <f>VLOOKUP(표6[[#This Row],[종목]],자격증정보!$A$2:$I$7,9,FALSE)</f>
        <v>30분</v>
      </c>
    </row>
    <row r="160" spans="1:13">
      <c r="A160" s="29">
        <v>159</v>
      </c>
      <c r="B160" s="2">
        <v>20</v>
      </c>
      <c r="C160" s="2">
        <v>1</v>
      </c>
      <c r="D160" s="2">
        <v>51</v>
      </c>
      <c r="E160" s="2">
        <v>19</v>
      </c>
      <c r="F160" s="3">
        <v>44372</v>
      </c>
      <c r="G160" s="3">
        <v>44379</v>
      </c>
      <c r="H160" s="3">
        <v>44380</v>
      </c>
      <c r="I160" s="2">
        <v>10</v>
      </c>
      <c r="J160" s="29" t="s">
        <v>197</v>
      </c>
      <c r="K160" s="51" t="str">
        <f>VLOOKUP(표6[[#This Row],[종목]],자격증정보!$A$2:$I$7,2,FALSE) &amp; " " &amp; VLOOKUP(표6[[#This Row],[종목]],자격증정보!$A$2:$I$7,3,FALSE)</f>
        <v>워드프로세서 단일</v>
      </c>
      <c r="L160" s="2" t="str">
        <f>TEXT(VLOOKUP(표6[[#This Row],[일정번호]],표2[],6,FALSE), "hh:mm")</f>
        <v>11:00</v>
      </c>
      <c r="M160" s="2" t="str">
        <f>VLOOKUP(표6[[#This Row],[종목]],자격증정보!$A$2:$I$7,9,FALSE)</f>
        <v>30분</v>
      </c>
    </row>
    <row r="161" spans="1:13">
      <c r="A161" s="29">
        <v>160</v>
      </c>
      <c r="B161" s="2">
        <v>5</v>
      </c>
      <c r="C161" s="2">
        <v>6</v>
      </c>
      <c r="D161" s="2">
        <v>92</v>
      </c>
      <c r="E161" s="2">
        <v>5</v>
      </c>
      <c r="F161" s="3">
        <v>44350</v>
      </c>
      <c r="G161" s="3">
        <v>44357</v>
      </c>
      <c r="H161" s="3">
        <v>44358</v>
      </c>
      <c r="I161" s="2">
        <v>50</v>
      </c>
      <c r="J161" s="29" t="s">
        <v>197</v>
      </c>
      <c r="K161" s="51" t="str">
        <f>VLOOKUP(표6[[#This Row],[종목]],자격증정보!$A$2:$I$7,2,FALSE) &amp; " " &amp; VLOOKUP(표6[[#This Row],[종목]],자격증정보!$A$2:$I$7,3,FALSE)</f>
        <v>비서 3급</v>
      </c>
      <c r="L161" s="2" t="str">
        <f>TEXT(VLOOKUP(표6[[#This Row],[일정번호]],표2[],6,FALSE), "hh:mm")</f>
        <v>13:00</v>
      </c>
      <c r="M161" s="2" t="str">
        <f>VLOOKUP(표6[[#This Row],[종목]],자격증정보!$A$2:$I$7,9,FALSE)</f>
        <v>40분</v>
      </c>
    </row>
    <row r="162" spans="1:13">
      <c r="A162" s="29">
        <v>161</v>
      </c>
      <c r="B162" s="2">
        <v>6</v>
      </c>
      <c r="C162" s="2">
        <v>6</v>
      </c>
      <c r="D162" s="2">
        <v>92</v>
      </c>
      <c r="E162" s="2">
        <v>5</v>
      </c>
      <c r="F162" s="3">
        <v>44350</v>
      </c>
      <c r="G162" s="3">
        <v>44357</v>
      </c>
      <c r="H162" s="3">
        <v>44358</v>
      </c>
      <c r="I162" s="2">
        <v>40</v>
      </c>
      <c r="J162" s="29" t="s">
        <v>197</v>
      </c>
      <c r="K162" s="51" t="str">
        <f>VLOOKUP(표6[[#This Row],[종목]],자격증정보!$A$2:$I$7,2,FALSE) &amp; " " &amp; VLOOKUP(표6[[#This Row],[종목]],자격증정보!$A$2:$I$7,3,FALSE)</f>
        <v>비서 3급</v>
      </c>
      <c r="L162" s="2" t="str">
        <f>TEXT(VLOOKUP(표6[[#This Row],[일정번호]],표2[],6,FALSE), "hh:mm")</f>
        <v>13:00</v>
      </c>
      <c r="M162" s="2" t="str">
        <f>VLOOKUP(표6[[#This Row],[종목]],자격증정보!$A$2:$I$7,9,FALSE)</f>
        <v>40분</v>
      </c>
    </row>
    <row r="163" spans="1:13">
      <c r="A163" s="29">
        <v>114</v>
      </c>
      <c r="B163" s="2">
        <v>7</v>
      </c>
      <c r="C163" s="2">
        <v>6</v>
      </c>
      <c r="D163" s="2">
        <v>72</v>
      </c>
      <c r="E163" s="2">
        <v>2</v>
      </c>
      <c r="F163" s="3">
        <v>44333</v>
      </c>
      <c r="G163" s="3">
        <v>44340</v>
      </c>
      <c r="H163" s="3">
        <v>44341</v>
      </c>
      <c r="I163" s="2">
        <v>60</v>
      </c>
      <c r="J163" s="29" t="s">
        <v>197</v>
      </c>
      <c r="K163" s="51" t="str">
        <f>VLOOKUP(표6[[#This Row],[종목]],자격증정보!$A$2:$I$7,2,FALSE) &amp; " " &amp; VLOOKUP(표6[[#This Row],[종목]],자격증정보!$A$2:$I$7,3,FALSE)</f>
        <v>비서 3급</v>
      </c>
      <c r="L163" s="2" t="str">
        <f>TEXT(VLOOKUP(표6[[#This Row],[일정번호]],표2[],6,FALSE), "hh:mm")</f>
        <v>14:00</v>
      </c>
      <c r="M163" s="2" t="str">
        <f>VLOOKUP(표6[[#This Row],[종목]],자격증정보!$A$2:$I$7,9,FALSE)</f>
        <v>40분</v>
      </c>
    </row>
    <row r="164" spans="1:13">
      <c r="A164" s="29">
        <v>163</v>
      </c>
      <c r="B164" s="2">
        <v>8</v>
      </c>
      <c r="C164" s="2">
        <v>6</v>
      </c>
      <c r="D164" s="2">
        <v>92</v>
      </c>
      <c r="E164" s="2">
        <v>5</v>
      </c>
      <c r="F164" s="3">
        <v>44350</v>
      </c>
      <c r="G164" s="3">
        <v>44357</v>
      </c>
      <c r="H164" s="3">
        <v>44358</v>
      </c>
      <c r="I164" s="2">
        <v>40</v>
      </c>
      <c r="J164" s="29" t="s">
        <v>197</v>
      </c>
      <c r="K164" s="51" t="str">
        <f>VLOOKUP(표6[[#This Row],[종목]],자격증정보!$A$2:$I$7,2,FALSE) &amp; " " &amp; VLOOKUP(표6[[#This Row],[종목]],자격증정보!$A$2:$I$7,3,FALSE)</f>
        <v>비서 3급</v>
      </c>
      <c r="L164" s="2" t="str">
        <f>TEXT(VLOOKUP(표6[[#This Row],[일정번호]],표2[],6,FALSE), "hh:mm")</f>
        <v>13:00</v>
      </c>
      <c r="M164" s="2" t="str">
        <f>VLOOKUP(표6[[#This Row],[종목]],자격증정보!$A$2:$I$7,9,FALSE)</f>
        <v>40분</v>
      </c>
    </row>
    <row r="165" spans="1:13">
      <c r="A165" s="29">
        <v>164</v>
      </c>
      <c r="B165" s="2">
        <v>9</v>
      </c>
      <c r="C165" s="2">
        <v>6</v>
      </c>
      <c r="D165" s="2">
        <v>92</v>
      </c>
      <c r="E165" s="2">
        <v>5</v>
      </c>
      <c r="F165" s="3">
        <v>44350</v>
      </c>
      <c r="G165" s="3">
        <v>44357</v>
      </c>
      <c r="H165" s="3">
        <v>44358</v>
      </c>
      <c r="I165" s="2">
        <v>70</v>
      </c>
      <c r="J165" s="29" t="s">
        <v>197</v>
      </c>
      <c r="K165" s="51" t="str">
        <f>VLOOKUP(표6[[#This Row],[종목]],자격증정보!$A$2:$I$7,2,FALSE) &amp; " " &amp; VLOOKUP(표6[[#This Row],[종목]],자격증정보!$A$2:$I$7,3,FALSE)</f>
        <v>비서 3급</v>
      </c>
      <c r="L165" s="2" t="str">
        <f>TEXT(VLOOKUP(표6[[#This Row],[일정번호]],표2[],6,FALSE), "hh:mm")</f>
        <v>13:00</v>
      </c>
      <c r="M165" s="2" t="str">
        <f>VLOOKUP(표6[[#This Row],[종목]],자격증정보!$A$2:$I$7,9,FALSE)</f>
        <v>40분</v>
      </c>
    </row>
    <row r="166" spans="1:13">
      <c r="A166" s="29">
        <v>165</v>
      </c>
      <c r="B166" s="2">
        <v>15</v>
      </c>
      <c r="C166" s="2">
        <v>6</v>
      </c>
      <c r="D166" s="2">
        <v>92</v>
      </c>
      <c r="E166" s="2">
        <v>5</v>
      </c>
      <c r="F166" s="3">
        <v>44350</v>
      </c>
      <c r="G166" s="3">
        <v>44357</v>
      </c>
      <c r="H166" s="3">
        <v>44358</v>
      </c>
      <c r="I166" s="2">
        <v>0</v>
      </c>
      <c r="J166" s="29" t="s">
        <v>197</v>
      </c>
      <c r="K166" s="51" t="str">
        <f>VLOOKUP(표6[[#This Row],[종목]],자격증정보!$A$2:$I$7,2,FALSE) &amp; " " &amp; VLOOKUP(표6[[#This Row],[종목]],자격증정보!$A$2:$I$7,3,FALSE)</f>
        <v>비서 3급</v>
      </c>
      <c r="L166" s="2" t="str">
        <f>TEXT(VLOOKUP(표6[[#This Row],[일정번호]],표2[],6,FALSE), "hh:mm")</f>
        <v>13:00</v>
      </c>
      <c r="M166" s="2" t="str">
        <f>VLOOKUP(표6[[#This Row],[종목]],자격증정보!$A$2:$I$7,9,FALSE)</f>
        <v>40분</v>
      </c>
    </row>
    <row r="167" spans="1:13">
      <c r="A167" s="29">
        <v>166</v>
      </c>
      <c r="B167" s="2">
        <v>30</v>
      </c>
      <c r="C167" s="2">
        <v>1</v>
      </c>
      <c r="D167" s="2">
        <v>46</v>
      </c>
      <c r="E167" s="2">
        <v>17</v>
      </c>
      <c r="F167" s="3">
        <v>44368</v>
      </c>
      <c r="G167" s="3">
        <v>44375</v>
      </c>
      <c r="H167" s="3">
        <v>44376</v>
      </c>
      <c r="I167" s="2">
        <v>50</v>
      </c>
      <c r="J167" s="29" t="s">
        <v>197</v>
      </c>
      <c r="K167" s="51" t="str">
        <f>VLOOKUP(표6[[#This Row],[종목]],자격증정보!$A$2:$I$7,2,FALSE) &amp; " " &amp; VLOOKUP(표6[[#This Row],[종목]],자격증정보!$A$2:$I$7,3,FALSE)</f>
        <v>워드프로세서 단일</v>
      </c>
      <c r="L167" s="2" t="str">
        <f>TEXT(VLOOKUP(표6[[#This Row],[일정번호]],표2[],6,FALSE), "hh:mm")</f>
        <v>14:00</v>
      </c>
      <c r="M167" s="2" t="str">
        <f>VLOOKUP(표6[[#This Row],[종목]],자격증정보!$A$2:$I$7,9,FALSE)</f>
        <v>30분</v>
      </c>
    </row>
    <row r="168" spans="1:13">
      <c r="A168" s="29">
        <v>167</v>
      </c>
      <c r="B168" s="2">
        <v>8</v>
      </c>
      <c r="C168" s="2">
        <v>1</v>
      </c>
      <c r="D168" s="2">
        <v>151</v>
      </c>
      <c r="E168" s="2">
        <v>39</v>
      </c>
      <c r="F168" s="3">
        <v>44389</v>
      </c>
      <c r="G168" s="3">
        <v>44396</v>
      </c>
      <c r="H168" s="3">
        <v>44397</v>
      </c>
      <c r="I168" s="2">
        <v>70</v>
      </c>
      <c r="J168" s="29" t="s">
        <v>198</v>
      </c>
      <c r="K168" s="51" t="str">
        <f>VLOOKUP(표6[[#This Row],[종목]],자격증정보!$A$2:$I$7,2,FALSE) &amp; " " &amp; VLOOKUP(표6[[#This Row],[종목]],자격증정보!$A$2:$I$7,3,FALSE)</f>
        <v>워드프로세서 단일</v>
      </c>
      <c r="L168" s="2" t="str">
        <f>TEXT(VLOOKUP(표6[[#This Row],[일정번호]],표2[],6,FALSE), "hh:mm")</f>
        <v>13:00</v>
      </c>
      <c r="M168" s="2" t="str">
        <f>VLOOKUP(표6[[#This Row],[종목]],자격증정보!$A$2:$I$7,9,FALSE)</f>
        <v>30분</v>
      </c>
    </row>
    <row r="169" spans="1:13">
      <c r="A169" s="29">
        <v>168</v>
      </c>
      <c r="B169" s="2">
        <v>9</v>
      </c>
      <c r="C169" s="2">
        <v>1</v>
      </c>
      <c r="D169" s="2">
        <v>17</v>
      </c>
      <c r="E169" s="2">
        <v>11</v>
      </c>
      <c r="F169" s="3">
        <v>44365</v>
      </c>
      <c r="G169" s="3">
        <v>44372</v>
      </c>
      <c r="H169" s="3">
        <v>44373</v>
      </c>
      <c r="I169" s="2">
        <v>30</v>
      </c>
      <c r="J169" s="29" t="s">
        <v>197</v>
      </c>
      <c r="K169" s="51" t="str">
        <f>VLOOKUP(표6[[#This Row],[종목]],자격증정보!$A$2:$I$7,2,FALSE) &amp; " " &amp; VLOOKUP(표6[[#This Row],[종목]],자격증정보!$A$2:$I$7,3,FALSE)</f>
        <v>워드프로세서 단일</v>
      </c>
      <c r="L169" s="2" t="str">
        <f>TEXT(VLOOKUP(표6[[#This Row],[일정번호]],표2[],6,FALSE), "hh:mm")</f>
        <v>16:20</v>
      </c>
      <c r="M169" s="2" t="str">
        <f>VLOOKUP(표6[[#This Row],[종목]],자격증정보!$A$2:$I$7,9,FALSE)</f>
        <v>30분</v>
      </c>
    </row>
    <row r="170" spans="1:13">
      <c r="A170" s="29">
        <v>170</v>
      </c>
      <c r="B170" s="2">
        <v>15</v>
      </c>
      <c r="C170" s="2">
        <v>1</v>
      </c>
      <c r="D170" s="2">
        <v>51</v>
      </c>
      <c r="E170" s="2">
        <v>19</v>
      </c>
      <c r="F170" s="3">
        <v>44372</v>
      </c>
      <c r="G170" s="3">
        <v>44379</v>
      </c>
      <c r="H170" s="3">
        <v>44380</v>
      </c>
      <c r="I170" s="2">
        <v>20</v>
      </c>
      <c r="J170" s="29" t="s">
        <v>197</v>
      </c>
      <c r="K170" s="51" t="str">
        <f>VLOOKUP(표6[[#This Row],[종목]],자격증정보!$A$2:$I$7,2,FALSE) &amp; " " &amp; VLOOKUP(표6[[#This Row],[종목]],자격증정보!$A$2:$I$7,3,FALSE)</f>
        <v>워드프로세서 단일</v>
      </c>
      <c r="L170" s="2" t="str">
        <f>TEXT(VLOOKUP(표6[[#This Row],[일정번호]],표2[],6,FALSE), "hh:mm")</f>
        <v>11:00</v>
      </c>
      <c r="M170" s="2" t="str">
        <f>VLOOKUP(표6[[#This Row],[종목]],자격증정보!$A$2:$I$7,9,FALSE)</f>
        <v>30분</v>
      </c>
    </row>
    <row r="171" spans="1:13">
      <c r="A171" s="29">
        <v>171</v>
      </c>
      <c r="B171" s="2">
        <v>2</v>
      </c>
      <c r="C171" s="2">
        <v>1</v>
      </c>
      <c r="D171" s="2">
        <v>65</v>
      </c>
      <c r="E171" s="2">
        <v>20</v>
      </c>
      <c r="F171" s="3">
        <v>44372</v>
      </c>
      <c r="G171" s="3">
        <v>44379</v>
      </c>
      <c r="H171" s="3">
        <v>44380</v>
      </c>
      <c r="I171" s="2">
        <v>50</v>
      </c>
      <c r="J171" s="29" t="s">
        <v>197</v>
      </c>
      <c r="K171" s="51" t="str">
        <f>VLOOKUP(표6[[#This Row],[종목]],자격증정보!$A$2:$I$7,2,FALSE) &amp; " " &amp; VLOOKUP(표6[[#This Row],[종목]],자격증정보!$A$2:$I$7,3,FALSE)</f>
        <v>워드프로세서 단일</v>
      </c>
      <c r="L171" s="2" t="str">
        <f>TEXT(VLOOKUP(표6[[#This Row],[일정번호]],표2[],6,FALSE), "hh:mm")</f>
        <v>13:00</v>
      </c>
      <c r="M171" s="2" t="str">
        <f>VLOOKUP(표6[[#This Row],[종목]],자격증정보!$A$2:$I$7,9,FALSE)</f>
        <v>30분</v>
      </c>
    </row>
    <row r="172" spans="1:13">
      <c r="A172" s="29">
        <v>172</v>
      </c>
      <c r="B172" s="2">
        <v>29</v>
      </c>
      <c r="C172" s="2">
        <v>3</v>
      </c>
      <c r="D172" s="2">
        <v>28</v>
      </c>
      <c r="E172" s="2">
        <v>6</v>
      </c>
      <c r="F172" s="3">
        <v>44363</v>
      </c>
      <c r="G172" s="3">
        <v>44370</v>
      </c>
      <c r="H172" s="3">
        <v>44370</v>
      </c>
      <c r="I172" s="2">
        <v>60</v>
      </c>
      <c r="J172" s="29" t="s">
        <v>197</v>
      </c>
      <c r="K172" s="51" t="str">
        <f>VLOOKUP(표6[[#This Row],[종목]],자격증정보!$A$2:$I$7,2,FALSE) &amp; " " &amp; VLOOKUP(표6[[#This Row],[종목]],자격증정보!$A$2:$I$7,3,FALSE)</f>
        <v>컴퓨터활용능력 2급</v>
      </c>
      <c r="L172" s="2" t="str">
        <f>TEXT(VLOOKUP(표6[[#This Row],[일정번호]],표2[],6,FALSE), "hh:mm")</f>
        <v>16:00</v>
      </c>
      <c r="M172" s="2" t="str">
        <f>VLOOKUP(표6[[#This Row],[종목]],자격증정보!$A$2:$I$7,9,FALSE)</f>
        <v>30분</v>
      </c>
    </row>
    <row r="173" spans="1:13">
      <c r="A173" s="29">
        <v>173</v>
      </c>
      <c r="B173" s="2">
        <v>30</v>
      </c>
      <c r="C173" s="2">
        <v>3</v>
      </c>
      <c r="D173" s="2">
        <v>28</v>
      </c>
      <c r="E173" s="2">
        <v>6</v>
      </c>
      <c r="F173" s="3">
        <v>44363</v>
      </c>
      <c r="G173" s="3">
        <v>44370</v>
      </c>
      <c r="H173" s="3">
        <v>44370</v>
      </c>
      <c r="I173" s="2">
        <v>30</v>
      </c>
      <c r="J173" s="29" t="s">
        <v>197</v>
      </c>
      <c r="K173" s="51" t="str">
        <f>VLOOKUP(표6[[#This Row],[종목]],자격증정보!$A$2:$I$7,2,FALSE) &amp; " " &amp; VLOOKUP(표6[[#This Row],[종목]],자격증정보!$A$2:$I$7,3,FALSE)</f>
        <v>컴퓨터활용능력 2급</v>
      </c>
      <c r="L173" s="2" t="str">
        <f>TEXT(VLOOKUP(표6[[#This Row],[일정번호]],표2[],6,FALSE), "hh:mm")</f>
        <v>16:00</v>
      </c>
      <c r="M173" s="2" t="str">
        <f>VLOOKUP(표6[[#This Row],[종목]],자격증정보!$A$2:$I$7,9,FALSE)</f>
        <v>30분</v>
      </c>
    </row>
    <row r="174" spans="1:13">
      <c r="A174" s="29">
        <v>174</v>
      </c>
      <c r="B174" s="2">
        <v>1</v>
      </c>
      <c r="C174" s="2">
        <v>3</v>
      </c>
      <c r="D174" s="2">
        <v>28</v>
      </c>
      <c r="E174" s="2">
        <v>6</v>
      </c>
      <c r="F174" s="3">
        <v>44363</v>
      </c>
      <c r="G174" s="3">
        <v>44370</v>
      </c>
      <c r="H174" s="3">
        <v>44370</v>
      </c>
      <c r="I174" s="2">
        <v>40</v>
      </c>
      <c r="J174" s="29" t="s">
        <v>197</v>
      </c>
      <c r="K174" s="51" t="str">
        <f>VLOOKUP(표6[[#This Row],[종목]],자격증정보!$A$2:$I$7,2,FALSE) &amp; " " &amp; VLOOKUP(표6[[#This Row],[종목]],자격증정보!$A$2:$I$7,3,FALSE)</f>
        <v>컴퓨터활용능력 2급</v>
      </c>
      <c r="L174" s="2" t="str">
        <f>TEXT(VLOOKUP(표6[[#This Row],[일정번호]],표2[],6,FALSE), "hh:mm")</f>
        <v>16:00</v>
      </c>
      <c r="M174" s="2" t="str">
        <f>VLOOKUP(표6[[#This Row],[종목]],자격증정보!$A$2:$I$7,9,FALSE)</f>
        <v>30분</v>
      </c>
    </row>
    <row r="175" spans="1:13">
      <c r="A175" s="29">
        <v>175</v>
      </c>
      <c r="B175" s="2">
        <v>2</v>
      </c>
      <c r="C175" s="2">
        <v>3</v>
      </c>
      <c r="D175" s="2">
        <v>28</v>
      </c>
      <c r="E175" s="2">
        <v>6</v>
      </c>
      <c r="F175" s="3">
        <v>44363</v>
      </c>
      <c r="G175" s="3">
        <v>44370</v>
      </c>
      <c r="H175" s="3">
        <v>44370</v>
      </c>
      <c r="I175" s="2">
        <v>40</v>
      </c>
      <c r="J175" s="29" t="s">
        <v>197</v>
      </c>
      <c r="K175" s="51" t="str">
        <f>VLOOKUP(표6[[#This Row],[종목]],자격증정보!$A$2:$I$7,2,FALSE) &amp; " " &amp; VLOOKUP(표6[[#This Row],[종목]],자격증정보!$A$2:$I$7,3,FALSE)</f>
        <v>컴퓨터활용능력 2급</v>
      </c>
      <c r="L175" s="2" t="str">
        <f>TEXT(VLOOKUP(표6[[#This Row],[일정번호]],표2[],6,FALSE), "hh:mm")</f>
        <v>16:00</v>
      </c>
      <c r="M175" s="2" t="str">
        <f>VLOOKUP(표6[[#This Row],[종목]],자격증정보!$A$2:$I$7,9,FALSE)</f>
        <v>30분</v>
      </c>
    </row>
    <row r="176" spans="1:13">
      <c r="A176" s="29">
        <v>176</v>
      </c>
      <c r="B176" s="2">
        <v>21</v>
      </c>
      <c r="C176" s="2">
        <v>3</v>
      </c>
      <c r="D176" s="2">
        <v>36</v>
      </c>
      <c r="E176" s="2">
        <v>7</v>
      </c>
      <c r="F176" s="3">
        <v>44363</v>
      </c>
      <c r="G176" s="3">
        <v>44370</v>
      </c>
      <c r="H176" s="3">
        <v>44370</v>
      </c>
      <c r="I176" s="2">
        <v>0</v>
      </c>
      <c r="J176" s="29" t="s">
        <v>197</v>
      </c>
      <c r="K176" s="51" t="str">
        <f>VLOOKUP(표6[[#This Row],[종목]],자격증정보!$A$2:$I$7,2,FALSE) &amp; " " &amp; VLOOKUP(표6[[#This Row],[종목]],자격증정보!$A$2:$I$7,3,FALSE)</f>
        <v>컴퓨터활용능력 2급</v>
      </c>
      <c r="L176" s="2" t="str">
        <f>TEXT(VLOOKUP(표6[[#This Row],[일정번호]],표2[],6,FALSE), "hh:mm")</f>
        <v>15:00</v>
      </c>
      <c r="M176" s="2" t="str">
        <f>VLOOKUP(표6[[#This Row],[종목]],자격증정보!$A$2:$I$7,9,FALSE)</f>
        <v>30분</v>
      </c>
    </row>
    <row r="177" spans="1:13">
      <c r="A177" s="29">
        <v>177</v>
      </c>
      <c r="B177" s="2">
        <v>12</v>
      </c>
      <c r="C177" s="2">
        <v>3</v>
      </c>
      <c r="D177" s="2">
        <v>36</v>
      </c>
      <c r="E177" s="2">
        <v>7</v>
      </c>
      <c r="F177" s="3">
        <v>44363</v>
      </c>
      <c r="G177" s="3">
        <v>44370</v>
      </c>
      <c r="H177" s="3">
        <v>44370</v>
      </c>
      <c r="I177" s="2">
        <v>50</v>
      </c>
      <c r="J177" s="29" t="s">
        <v>197</v>
      </c>
      <c r="K177" s="51" t="str">
        <f>VLOOKUP(표6[[#This Row],[종목]],자격증정보!$A$2:$I$7,2,FALSE) &amp; " " &amp; VLOOKUP(표6[[#This Row],[종목]],자격증정보!$A$2:$I$7,3,FALSE)</f>
        <v>컴퓨터활용능력 2급</v>
      </c>
      <c r="L177" s="2" t="str">
        <f>TEXT(VLOOKUP(표6[[#This Row],[일정번호]],표2[],6,FALSE), "hh:mm")</f>
        <v>15:00</v>
      </c>
      <c r="M177" s="2" t="str">
        <f>VLOOKUP(표6[[#This Row],[종목]],자격증정보!$A$2:$I$7,9,FALSE)</f>
        <v>30분</v>
      </c>
    </row>
    <row r="178" spans="1:13">
      <c r="A178" s="29">
        <v>178</v>
      </c>
      <c r="B178" s="2">
        <v>22</v>
      </c>
      <c r="C178" s="2">
        <v>3</v>
      </c>
      <c r="D178" s="2">
        <v>37</v>
      </c>
      <c r="E178" s="2">
        <v>8</v>
      </c>
      <c r="F178" s="3">
        <v>44363</v>
      </c>
      <c r="G178" s="3">
        <v>44370</v>
      </c>
      <c r="H178" s="3">
        <v>44370</v>
      </c>
      <c r="I178" s="2">
        <v>40</v>
      </c>
      <c r="J178" s="29" t="s">
        <v>197</v>
      </c>
      <c r="K178" s="51" t="str">
        <f>VLOOKUP(표6[[#This Row],[종목]],자격증정보!$A$2:$I$7,2,FALSE) &amp; " " &amp; VLOOKUP(표6[[#This Row],[종목]],자격증정보!$A$2:$I$7,3,FALSE)</f>
        <v>컴퓨터활용능력 2급</v>
      </c>
      <c r="L178" s="2" t="str">
        <f>TEXT(VLOOKUP(표6[[#This Row],[일정번호]],표2[],6,FALSE), "hh:mm")</f>
        <v>10:00</v>
      </c>
      <c r="M178" s="2" t="str">
        <f>VLOOKUP(표6[[#This Row],[종목]],자격증정보!$A$2:$I$7,9,FALSE)</f>
        <v>30분</v>
      </c>
    </row>
    <row r="179" spans="1:13">
      <c r="A179" s="29">
        <v>179</v>
      </c>
      <c r="B179" s="2">
        <v>26</v>
      </c>
      <c r="C179" s="2">
        <v>3</v>
      </c>
      <c r="D179" s="2">
        <v>37</v>
      </c>
      <c r="E179" s="2">
        <v>8</v>
      </c>
      <c r="F179" s="3">
        <v>44363</v>
      </c>
      <c r="G179" s="3">
        <v>44370</v>
      </c>
      <c r="H179" s="3">
        <v>44370</v>
      </c>
      <c r="I179" s="2">
        <v>10</v>
      </c>
      <c r="J179" s="29" t="s">
        <v>197</v>
      </c>
      <c r="K179" s="51" t="str">
        <f>VLOOKUP(표6[[#This Row],[종목]],자격증정보!$A$2:$I$7,2,FALSE) &amp; " " &amp; VLOOKUP(표6[[#This Row],[종목]],자격증정보!$A$2:$I$7,3,FALSE)</f>
        <v>컴퓨터활용능력 2급</v>
      </c>
      <c r="L179" s="2" t="str">
        <f>TEXT(VLOOKUP(표6[[#This Row],[일정번호]],표2[],6,FALSE), "hh:mm")</f>
        <v>10:00</v>
      </c>
      <c r="M179" s="2" t="str">
        <f>VLOOKUP(표6[[#This Row],[종목]],자격증정보!$A$2:$I$7,9,FALSE)</f>
        <v>30분</v>
      </c>
    </row>
    <row r="180" spans="1:13">
      <c r="A180" s="29">
        <v>180</v>
      </c>
      <c r="B180" s="2">
        <v>27</v>
      </c>
      <c r="C180" s="2">
        <v>2</v>
      </c>
      <c r="D180" s="2">
        <v>63</v>
      </c>
      <c r="E180" s="2">
        <v>6</v>
      </c>
      <c r="F180" s="3">
        <v>44363</v>
      </c>
      <c r="G180" s="3">
        <v>44370</v>
      </c>
      <c r="H180" s="3">
        <v>44370</v>
      </c>
      <c r="I180" s="2">
        <v>10</v>
      </c>
      <c r="J180" s="29" t="s">
        <v>197</v>
      </c>
      <c r="K180" s="51" t="str">
        <f>VLOOKUP(표6[[#This Row],[종목]],자격증정보!$A$2:$I$7,2,FALSE) &amp; " " &amp; VLOOKUP(표6[[#This Row],[종목]],자격증정보!$A$2:$I$7,3,FALSE)</f>
        <v>컴퓨터활용능력 1급</v>
      </c>
      <c r="L180" s="2" t="str">
        <f>TEXT(VLOOKUP(표6[[#This Row],[일정번호]],표2[],6,FALSE), "hh:mm")</f>
        <v>16:00</v>
      </c>
      <c r="M180" s="2" t="str">
        <f>VLOOKUP(표6[[#This Row],[종목]],자격증정보!$A$2:$I$7,9,FALSE)</f>
        <v>30분</v>
      </c>
    </row>
    <row r="181" spans="1:13">
      <c r="A181" s="29">
        <v>181</v>
      </c>
      <c r="B181" s="2">
        <v>28</v>
      </c>
      <c r="C181" s="2">
        <v>2</v>
      </c>
      <c r="D181" s="2">
        <v>63</v>
      </c>
      <c r="E181" s="2">
        <v>6</v>
      </c>
      <c r="F181" s="3">
        <v>44363</v>
      </c>
      <c r="G181" s="3">
        <v>44370</v>
      </c>
      <c r="H181" s="3">
        <v>44370</v>
      </c>
      <c r="I181" s="2">
        <v>50</v>
      </c>
      <c r="J181" s="29" t="s">
        <v>197</v>
      </c>
      <c r="K181" s="51" t="str">
        <f>VLOOKUP(표6[[#This Row],[종목]],자격증정보!$A$2:$I$7,2,FALSE) &amp; " " &amp; VLOOKUP(표6[[#This Row],[종목]],자격증정보!$A$2:$I$7,3,FALSE)</f>
        <v>컴퓨터활용능력 1급</v>
      </c>
      <c r="L181" s="2" t="str">
        <f>TEXT(VLOOKUP(표6[[#This Row],[일정번호]],표2[],6,FALSE), "hh:mm")</f>
        <v>16:00</v>
      </c>
      <c r="M181" s="2" t="str">
        <f>VLOOKUP(표6[[#This Row],[종목]],자격증정보!$A$2:$I$7,9,FALSE)</f>
        <v>30분</v>
      </c>
    </row>
    <row r="182" spans="1:13">
      <c r="A182" s="29">
        <v>182</v>
      </c>
      <c r="B182" s="2">
        <v>15</v>
      </c>
      <c r="C182" s="2">
        <v>2</v>
      </c>
      <c r="D182" s="2">
        <v>63</v>
      </c>
      <c r="E182" s="2">
        <v>6</v>
      </c>
      <c r="F182" s="3">
        <v>44363</v>
      </c>
      <c r="G182" s="3">
        <v>44370</v>
      </c>
      <c r="H182" s="3">
        <v>44370</v>
      </c>
      <c r="I182" s="2">
        <v>60</v>
      </c>
      <c r="J182" s="29" t="s">
        <v>197</v>
      </c>
      <c r="K182" s="51" t="str">
        <f>VLOOKUP(표6[[#This Row],[종목]],자격증정보!$A$2:$I$7,2,FALSE) &amp; " " &amp; VLOOKUP(표6[[#This Row],[종목]],자격증정보!$A$2:$I$7,3,FALSE)</f>
        <v>컴퓨터활용능력 1급</v>
      </c>
      <c r="L182" s="2" t="str">
        <f>TEXT(VLOOKUP(표6[[#This Row],[일정번호]],표2[],6,FALSE), "hh:mm")</f>
        <v>16:00</v>
      </c>
      <c r="M182" s="2" t="str">
        <f>VLOOKUP(표6[[#This Row],[종목]],자격증정보!$A$2:$I$7,9,FALSE)</f>
        <v>30분</v>
      </c>
    </row>
    <row r="183" spans="1:13">
      <c r="A183" s="29">
        <v>183</v>
      </c>
      <c r="B183" s="2">
        <v>19</v>
      </c>
      <c r="C183" s="2">
        <v>6</v>
      </c>
      <c r="D183" s="2">
        <v>99</v>
      </c>
      <c r="E183" s="2">
        <v>6</v>
      </c>
      <c r="F183" s="3">
        <v>44363</v>
      </c>
      <c r="G183" s="3">
        <v>44370</v>
      </c>
      <c r="H183" s="3">
        <v>44371</v>
      </c>
      <c r="I183" s="2">
        <v>0</v>
      </c>
      <c r="J183" s="29" t="s">
        <v>197</v>
      </c>
      <c r="K183" s="51" t="str">
        <f>VLOOKUP(표6[[#This Row],[종목]],자격증정보!$A$2:$I$7,2,FALSE) &amp; " " &amp; VLOOKUP(표6[[#This Row],[종목]],자격증정보!$A$2:$I$7,3,FALSE)</f>
        <v>비서 3급</v>
      </c>
      <c r="L183" s="2" t="str">
        <f>TEXT(VLOOKUP(표6[[#This Row],[일정번호]],표2[],6,FALSE), "hh:mm")</f>
        <v>15:00</v>
      </c>
      <c r="M183" s="2" t="str">
        <f>VLOOKUP(표6[[#This Row],[종목]],자격증정보!$A$2:$I$7,9,FALSE)</f>
        <v>40분</v>
      </c>
    </row>
    <row r="184" spans="1:13">
      <c r="A184" s="29">
        <v>184</v>
      </c>
      <c r="B184" s="2">
        <v>20</v>
      </c>
      <c r="C184" s="2">
        <v>6</v>
      </c>
      <c r="D184" s="2">
        <v>99</v>
      </c>
      <c r="E184" s="2">
        <v>6</v>
      </c>
      <c r="F184" s="3">
        <v>44363</v>
      </c>
      <c r="G184" s="3">
        <v>44370</v>
      </c>
      <c r="H184" s="3">
        <v>44371</v>
      </c>
      <c r="I184" s="2">
        <v>40</v>
      </c>
      <c r="J184" s="29" t="s">
        <v>197</v>
      </c>
      <c r="K184" s="51" t="str">
        <f>VLOOKUP(표6[[#This Row],[종목]],자격증정보!$A$2:$I$7,2,FALSE) &amp; " " &amp; VLOOKUP(표6[[#This Row],[종목]],자격증정보!$A$2:$I$7,3,FALSE)</f>
        <v>비서 3급</v>
      </c>
      <c r="L184" s="2" t="str">
        <f>TEXT(VLOOKUP(표6[[#This Row],[일정번호]],표2[],6,FALSE), "hh:mm")</f>
        <v>15:00</v>
      </c>
      <c r="M184" s="2" t="str">
        <f>VLOOKUP(표6[[#This Row],[종목]],자격증정보!$A$2:$I$7,9,FALSE)</f>
        <v>40분</v>
      </c>
    </row>
    <row r="185" spans="1:13">
      <c r="A185" s="29">
        <v>185</v>
      </c>
      <c r="B185" s="2">
        <v>21</v>
      </c>
      <c r="C185" s="2">
        <v>6</v>
      </c>
      <c r="D185" s="2">
        <v>99</v>
      </c>
      <c r="E185" s="2">
        <v>6</v>
      </c>
      <c r="F185" s="3">
        <v>44363</v>
      </c>
      <c r="G185" s="3">
        <v>44370</v>
      </c>
      <c r="H185" s="3">
        <v>44371</v>
      </c>
      <c r="I185" s="2">
        <v>50</v>
      </c>
      <c r="J185" s="29" t="s">
        <v>197</v>
      </c>
      <c r="K185" s="51" t="str">
        <f>VLOOKUP(표6[[#This Row],[종목]],자격증정보!$A$2:$I$7,2,FALSE) &amp; " " &amp; VLOOKUP(표6[[#This Row],[종목]],자격증정보!$A$2:$I$7,3,FALSE)</f>
        <v>비서 3급</v>
      </c>
      <c r="L185" s="2" t="str">
        <f>TEXT(VLOOKUP(표6[[#This Row],[일정번호]],표2[],6,FALSE), "hh:mm")</f>
        <v>15:00</v>
      </c>
      <c r="M185" s="2" t="str">
        <f>VLOOKUP(표6[[#This Row],[종목]],자격증정보!$A$2:$I$7,9,FALSE)</f>
        <v>40분</v>
      </c>
    </row>
    <row r="186" spans="1:13">
      <c r="A186" s="29">
        <v>186</v>
      </c>
      <c r="B186" s="2">
        <v>25</v>
      </c>
      <c r="C186" s="2">
        <v>6</v>
      </c>
      <c r="D186" s="2">
        <v>99</v>
      </c>
      <c r="E186" s="2">
        <v>6</v>
      </c>
      <c r="F186" s="3">
        <v>44363</v>
      </c>
      <c r="G186" s="3">
        <v>44370</v>
      </c>
      <c r="H186" s="3">
        <v>44371</v>
      </c>
      <c r="I186" s="2">
        <v>60</v>
      </c>
      <c r="J186" s="29" t="s">
        <v>197</v>
      </c>
      <c r="K186" s="51" t="str">
        <f>VLOOKUP(표6[[#This Row],[종목]],자격증정보!$A$2:$I$7,2,FALSE) &amp; " " &amp; VLOOKUP(표6[[#This Row],[종목]],자격증정보!$A$2:$I$7,3,FALSE)</f>
        <v>비서 3급</v>
      </c>
      <c r="L186" s="2" t="str">
        <f>TEXT(VLOOKUP(표6[[#This Row],[일정번호]],표2[],6,FALSE), "hh:mm")</f>
        <v>15:00</v>
      </c>
      <c r="M186" s="2" t="str">
        <f>VLOOKUP(표6[[#This Row],[종목]],자격증정보!$A$2:$I$7,9,FALSE)</f>
        <v>40분</v>
      </c>
    </row>
    <row r="187" spans="1:13">
      <c r="A187" s="29">
        <v>187</v>
      </c>
      <c r="B187" s="2">
        <v>30</v>
      </c>
      <c r="C187" s="2">
        <v>6</v>
      </c>
      <c r="D187" s="2">
        <v>99</v>
      </c>
      <c r="E187" s="2">
        <v>6</v>
      </c>
      <c r="F187" s="3">
        <v>44363</v>
      </c>
      <c r="G187" s="3">
        <v>44370</v>
      </c>
      <c r="H187" s="3">
        <v>44371</v>
      </c>
      <c r="I187" s="2">
        <v>70</v>
      </c>
      <c r="J187" s="29" t="s">
        <v>197</v>
      </c>
      <c r="K187" s="51" t="str">
        <f>VLOOKUP(표6[[#This Row],[종목]],자격증정보!$A$2:$I$7,2,FALSE) &amp; " " &amp; VLOOKUP(표6[[#This Row],[종목]],자격증정보!$A$2:$I$7,3,FALSE)</f>
        <v>비서 3급</v>
      </c>
      <c r="L187" s="2" t="str">
        <f>TEXT(VLOOKUP(표6[[#This Row],[일정번호]],표2[],6,FALSE), "hh:mm")</f>
        <v>15:00</v>
      </c>
      <c r="M187" s="2" t="str">
        <f>VLOOKUP(표6[[#This Row],[종목]],자격증정보!$A$2:$I$7,9,FALSE)</f>
        <v>40분</v>
      </c>
    </row>
    <row r="188" spans="1:13">
      <c r="A188" s="29">
        <v>188</v>
      </c>
      <c r="B188" s="2">
        <v>29</v>
      </c>
      <c r="C188" s="2">
        <v>6</v>
      </c>
      <c r="D188" s="2">
        <v>99</v>
      </c>
      <c r="E188" s="2">
        <v>6</v>
      </c>
      <c r="F188" s="3">
        <v>44363</v>
      </c>
      <c r="G188" s="3">
        <v>44370</v>
      </c>
      <c r="H188" s="3">
        <v>44371</v>
      </c>
      <c r="I188" s="2">
        <v>20</v>
      </c>
      <c r="J188" s="29" t="s">
        <v>197</v>
      </c>
      <c r="K188" s="51" t="str">
        <f>VLOOKUP(표6[[#This Row],[종목]],자격증정보!$A$2:$I$7,2,FALSE) &amp; " " &amp; VLOOKUP(표6[[#This Row],[종목]],자격증정보!$A$2:$I$7,3,FALSE)</f>
        <v>비서 3급</v>
      </c>
      <c r="L188" s="2" t="str">
        <f>TEXT(VLOOKUP(표6[[#This Row],[일정번호]],표2[],6,FALSE), "hh:mm")</f>
        <v>15:00</v>
      </c>
      <c r="M188" s="2" t="str">
        <f>VLOOKUP(표6[[#This Row],[종목]],자격증정보!$A$2:$I$7,9,FALSE)</f>
        <v>40분</v>
      </c>
    </row>
    <row r="189" spans="1:13">
      <c r="A189" s="29">
        <v>189</v>
      </c>
      <c r="B189" s="2">
        <v>5</v>
      </c>
      <c r="C189" s="2">
        <v>6</v>
      </c>
      <c r="D189" s="2">
        <v>99</v>
      </c>
      <c r="E189" s="2">
        <v>6</v>
      </c>
      <c r="F189" s="3">
        <v>44363</v>
      </c>
      <c r="G189" s="3">
        <v>44370</v>
      </c>
      <c r="H189" s="3">
        <v>44371</v>
      </c>
      <c r="I189" s="2">
        <v>20</v>
      </c>
      <c r="J189" s="29" t="s">
        <v>197</v>
      </c>
      <c r="K189" s="51" t="str">
        <f>VLOOKUP(표6[[#This Row],[종목]],자격증정보!$A$2:$I$7,2,FALSE) &amp; " " &amp; VLOOKUP(표6[[#This Row],[종목]],자격증정보!$A$2:$I$7,3,FALSE)</f>
        <v>비서 3급</v>
      </c>
      <c r="L189" s="2" t="str">
        <f>TEXT(VLOOKUP(표6[[#This Row],[일정번호]],표2[],6,FALSE), "hh:mm")</f>
        <v>15:00</v>
      </c>
      <c r="M189" s="2" t="str">
        <f>VLOOKUP(표6[[#This Row],[종목]],자격증정보!$A$2:$I$7,9,FALSE)</f>
        <v>40분</v>
      </c>
    </row>
    <row r="190" spans="1:13">
      <c r="A190" s="29">
        <v>190</v>
      </c>
      <c r="B190" s="2">
        <v>6</v>
      </c>
      <c r="C190" s="2">
        <v>6</v>
      </c>
      <c r="D190" s="2">
        <v>103</v>
      </c>
      <c r="E190" s="2">
        <v>7</v>
      </c>
      <c r="F190" s="3">
        <v>44363</v>
      </c>
      <c r="G190" s="3">
        <v>44370</v>
      </c>
      <c r="H190" s="3">
        <v>44371</v>
      </c>
      <c r="I190" s="2">
        <v>0</v>
      </c>
      <c r="J190" s="29" t="s">
        <v>197</v>
      </c>
      <c r="K190" s="51" t="str">
        <f>VLOOKUP(표6[[#This Row],[종목]],자격증정보!$A$2:$I$7,2,FALSE) &amp; " " &amp; VLOOKUP(표6[[#This Row],[종목]],자격증정보!$A$2:$I$7,3,FALSE)</f>
        <v>비서 3급</v>
      </c>
      <c r="L190" s="2" t="str">
        <f>TEXT(VLOOKUP(표6[[#This Row],[일정번호]],표2[],6,FALSE), "hh:mm")</f>
        <v>09:00</v>
      </c>
      <c r="M190" s="2" t="str">
        <f>VLOOKUP(표6[[#This Row],[종목]],자격증정보!$A$2:$I$7,9,FALSE)</f>
        <v>40분</v>
      </c>
    </row>
    <row r="191" spans="1:13">
      <c r="A191" s="29">
        <v>191</v>
      </c>
      <c r="B191" s="2">
        <v>5</v>
      </c>
      <c r="C191" s="2">
        <v>6</v>
      </c>
      <c r="D191" s="2">
        <v>103</v>
      </c>
      <c r="E191" s="2">
        <v>7</v>
      </c>
      <c r="F191" s="3">
        <v>44363</v>
      </c>
      <c r="G191" s="3">
        <v>44370</v>
      </c>
      <c r="H191" s="3">
        <v>44371</v>
      </c>
      <c r="I191" s="2">
        <v>0</v>
      </c>
      <c r="J191" s="29" t="s">
        <v>197</v>
      </c>
      <c r="K191" s="51" t="str">
        <f>VLOOKUP(표6[[#This Row],[종목]],자격증정보!$A$2:$I$7,2,FALSE) &amp; " " &amp; VLOOKUP(표6[[#This Row],[종목]],자격증정보!$A$2:$I$7,3,FALSE)</f>
        <v>비서 3급</v>
      </c>
      <c r="L191" s="2" t="str">
        <f>TEXT(VLOOKUP(표6[[#This Row],[일정번호]],표2[],6,FALSE), "hh:mm")</f>
        <v>09:00</v>
      </c>
      <c r="M191" s="2" t="str">
        <f>VLOOKUP(표6[[#This Row],[종목]],자격증정보!$A$2:$I$7,9,FALSE)</f>
        <v>40분</v>
      </c>
    </row>
    <row r="192" spans="1:13">
      <c r="A192" s="29">
        <v>192</v>
      </c>
      <c r="B192" s="2">
        <v>4</v>
      </c>
      <c r="C192" s="2">
        <v>6</v>
      </c>
      <c r="D192" s="2">
        <v>103</v>
      </c>
      <c r="E192" s="2">
        <v>7</v>
      </c>
      <c r="F192" s="3">
        <v>44363</v>
      </c>
      <c r="G192" s="3">
        <v>44370</v>
      </c>
      <c r="H192" s="3">
        <v>44371</v>
      </c>
      <c r="I192" s="2">
        <v>20</v>
      </c>
      <c r="J192" s="29" t="s">
        <v>197</v>
      </c>
      <c r="K192" s="51" t="str">
        <f>VLOOKUP(표6[[#This Row],[종목]],자격증정보!$A$2:$I$7,2,FALSE) &amp; " " &amp; VLOOKUP(표6[[#This Row],[종목]],자격증정보!$A$2:$I$7,3,FALSE)</f>
        <v>비서 3급</v>
      </c>
      <c r="L192" s="2" t="str">
        <f>TEXT(VLOOKUP(표6[[#This Row],[일정번호]],표2[],6,FALSE), "hh:mm")</f>
        <v>09:00</v>
      </c>
      <c r="M192" s="2" t="str">
        <f>VLOOKUP(표6[[#This Row],[종목]],자격증정보!$A$2:$I$7,9,FALSE)</f>
        <v>40분</v>
      </c>
    </row>
    <row r="193" spans="1:13">
      <c r="A193" s="29">
        <v>193</v>
      </c>
      <c r="B193" s="2">
        <v>18</v>
      </c>
      <c r="C193" s="2">
        <v>6</v>
      </c>
      <c r="D193" s="2">
        <v>103</v>
      </c>
      <c r="E193" s="2">
        <v>7</v>
      </c>
      <c r="F193" s="3">
        <v>44363</v>
      </c>
      <c r="G193" s="3">
        <v>44370</v>
      </c>
      <c r="H193" s="3">
        <v>44371</v>
      </c>
      <c r="I193" s="2">
        <v>40</v>
      </c>
      <c r="J193" s="29" t="s">
        <v>197</v>
      </c>
      <c r="K193" s="51" t="str">
        <f>VLOOKUP(표6[[#This Row],[종목]],자격증정보!$A$2:$I$7,2,FALSE) &amp; " " &amp; VLOOKUP(표6[[#This Row],[종목]],자격증정보!$A$2:$I$7,3,FALSE)</f>
        <v>비서 3급</v>
      </c>
      <c r="L193" s="2" t="str">
        <f>TEXT(VLOOKUP(표6[[#This Row],[일정번호]],표2[],6,FALSE), "hh:mm")</f>
        <v>09:00</v>
      </c>
      <c r="M193" s="2" t="str">
        <f>VLOOKUP(표6[[#This Row],[종목]],자격증정보!$A$2:$I$7,9,FALSE)</f>
        <v>40분</v>
      </c>
    </row>
    <row r="194" spans="1:13">
      <c r="A194" s="29">
        <v>194</v>
      </c>
      <c r="B194" s="2">
        <v>17</v>
      </c>
      <c r="C194" s="2">
        <v>6</v>
      </c>
      <c r="D194" s="2">
        <v>103</v>
      </c>
      <c r="E194" s="2">
        <v>7</v>
      </c>
      <c r="F194" s="3">
        <v>44363</v>
      </c>
      <c r="G194" s="3">
        <v>44370</v>
      </c>
      <c r="H194" s="3">
        <v>44371</v>
      </c>
      <c r="I194" s="2">
        <v>50</v>
      </c>
      <c r="J194" s="29" t="s">
        <v>197</v>
      </c>
      <c r="K194" s="51" t="str">
        <f>VLOOKUP(표6[[#This Row],[종목]],자격증정보!$A$2:$I$7,2,FALSE) &amp; " " &amp; VLOOKUP(표6[[#This Row],[종목]],자격증정보!$A$2:$I$7,3,FALSE)</f>
        <v>비서 3급</v>
      </c>
      <c r="L194" s="2" t="str">
        <f>TEXT(VLOOKUP(표6[[#This Row],[일정번호]],표2[],6,FALSE), "hh:mm")</f>
        <v>09:00</v>
      </c>
      <c r="M194" s="2" t="str">
        <f>VLOOKUP(표6[[#This Row],[종목]],자격증정보!$A$2:$I$7,9,FALSE)</f>
        <v>40분</v>
      </c>
    </row>
    <row r="195" spans="1:13">
      <c r="A195" s="29">
        <v>195</v>
      </c>
      <c r="B195" s="2">
        <v>12</v>
      </c>
      <c r="C195" s="2">
        <v>6</v>
      </c>
      <c r="D195" s="2">
        <v>103</v>
      </c>
      <c r="E195" s="2">
        <v>7</v>
      </c>
      <c r="F195" s="3">
        <v>44363</v>
      </c>
      <c r="G195" s="3">
        <v>44370</v>
      </c>
      <c r="H195" s="3">
        <v>44371</v>
      </c>
      <c r="I195" s="2">
        <v>60</v>
      </c>
      <c r="J195" s="29" t="s">
        <v>197</v>
      </c>
      <c r="K195" s="51" t="str">
        <f>VLOOKUP(표6[[#This Row],[종목]],자격증정보!$A$2:$I$7,2,FALSE) &amp; " " &amp; VLOOKUP(표6[[#This Row],[종목]],자격증정보!$A$2:$I$7,3,FALSE)</f>
        <v>비서 3급</v>
      </c>
      <c r="L195" s="2" t="str">
        <f>TEXT(VLOOKUP(표6[[#This Row],[일정번호]],표2[],6,FALSE), "hh:mm")</f>
        <v>09:00</v>
      </c>
      <c r="M195" s="2" t="str">
        <f>VLOOKUP(표6[[#This Row],[종목]],자격증정보!$A$2:$I$7,9,FALSE)</f>
        <v>40분</v>
      </c>
    </row>
    <row r="196" spans="1:13">
      <c r="A196" s="29">
        <v>196</v>
      </c>
      <c r="B196" s="2">
        <v>16</v>
      </c>
      <c r="C196" s="2">
        <v>6</v>
      </c>
      <c r="D196" s="2">
        <v>106</v>
      </c>
      <c r="E196" s="2">
        <v>8</v>
      </c>
      <c r="F196" s="3">
        <v>44363</v>
      </c>
      <c r="G196" s="3">
        <v>44370</v>
      </c>
      <c r="H196" s="3">
        <v>44371</v>
      </c>
      <c r="I196" s="2">
        <v>70</v>
      </c>
      <c r="J196" s="29" t="s">
        <v>197</v>
      </c>
      <c r="K196" s="51" t="str">
        <f>VLOOKUP(표6[[#This Row],[종목]],자격증정보!$A$2:$I$7,2,FALSE) &amp; " " &amp; VLOOKUP(표6[[#This Row],[종목]],자격증정보!$A$2:$I$7,3,FALSE)</f>
        <v>비서 3급</v>
      </c>
      <c r="L196" s="2" t="str">
        <f>TEXT(VLOOKUP(표6[[#This Row],[일정번호]],표2[],6,FALSE), "hh:mm")</f>
        <v>13:00</v>
      </c>
      <c r="M196" s="2" t="str">
        <f>VLOOKUP(표6[[#This Row],[종목]],자격증정보!$A$2:$I$7,9,FALSE)</f>
        <v>40분</v>
      </c>
    </row>
    <row r="197" spans="1:13">
      <c r="A197" s="29">
        <v>197</v>
      </c>
      <c r="B197" s="2">
        <v>15</v>
      </c>
      <c r="C197" s="2">
        <v>6</v>
      </c>
      <c r="D197" s="2">
        <v>106</v>
      </c>
      <c r="E197" s="2">
        <v>8</v>
      </c>
      <c r="F197" s="3">
        <v>44363</v>
      </c>
      <c r="G197" s="3">
        <v>44370</v>
      </c>
      <c r="H197" s="3">
        <v>44371</v>
      </c>
      <c r="I197" s="2">
        <v>10</v>
      </c>
      <c r="J197" s="29" t="s">
        <v>197</v>
      </c>
      <c r="K197" s="51" t="str">
        <f>VLOOKUP(표6[[#This Row],[종목]],자격증정보!$A$2:$I$7,2,FALSE) &amp; " " &amp; VLOOKUP(표6[[#This Row],[종목]],자격증정보!$A$2:$I$7,3,FALSE)</f>
        <v>비서 3급</v>
      </c>
      <c r="L197" s="2" t="str">
        <f>TEXT(VLOOKUP(표6[[#This Row],[일정번호]],표2[],6,FALSE), "hh:mm")</f>
        <v>13:00</v>
      </c>
      <c r="M197" s="2" t="str">
        <f>VLOOKUP(표6[[#This Row],[종목]],자격증정보!$A$2:$I$7,9,FALSE)</f>
        <v>40분</v>
      </c>
    </row>
    <row r="198" spans="1:13">
      <c r="A198" s="29">
        <v>198</v>
      </c>
      <c r="B198" s="2">
        <v>30</v>
      </c>
      <c r="C198" s="2">
        <v>6</v>
      </c>
      <c r="D198" s="2">
        <v>106</v>
      </c>
      <c r="E198" s="2">
        <v>8</v>
      </c>
      <c r="F198" s="3">
        <v>44363</v>
      </c>
      <c r="G198" s="3">
        <v>44370</v>
      </c>
      <c r="H198" s="3">
        <v>44371</v>
      </c>
      <c r="I198" s="2">
        <v>10</v>
      </c>
      <c r="J198" s="29" t="s">
        <v>197</v>
      </c>
      <c r="K198" s="51" t="str">
        <f>VLOOKUP(표6[[#This Row],[종목]],자격증정보!$A$2:$I$7,2,FALSE) &amp; " " &amp; VLOOKUP(표6[[#This Row],[종목]],자격증정보!$A$2:$I$7,3,FALSE)</f>
        <v>비서 3급</v>
      </c>
      <c r="L198" s="2" t="str">
        <f>TEXT(VLOOKUP(표6[[#This Row],[일정번호]],표2[],6,FALSE), "hh:mm")</f>
        <v>13:00</v>
      </c>
      <c r="M198" s="2" t="str">
        <f>VLOOKUP(표6[[#This Row],[종목]],자격증정보!$A$2:$I$7,9,FALSE)</f>
        <v>40분</v>
      </c>
    </row>
    <row r="199" spans="1:13">
      <c r="A199" s="29">
        <v>199</v>
      </c>
      <c r="B199" s="2">
        <v>29</v>
      </c>
      <c r="C199" s="2">
        <v>6</v>
      </c>
      <c r="D199" s="2">
        <v>106</v>
      </c>
      <c r="E199" s="2">
        <v>8</v>
      </c>
      <c r="F199" s="3">
        <v>44363</v>
      </c>
      <c r="G199" s="3">
        <v>44370</v>
      </c>
      <c r="H199" s="3">
        <v>44371</v>
      </c>
      <c r="I199" s="2">
        <v>0</v>
      </c>
      <c r="J199" s="29" t="s">
        <v>197</v>
      </c>
      <c r="K199" s="51" t="str">
        <f>VLOOKUP(표6[[#This Row],[종목]],자격증정보!$A$2:$I$7,2,FALSE) &amp; " " &amp; VLOOKUP(표6[[#This Row],[종목]],자격증정보!$A$2:$I$7,3,FALSE)</f>
        <v>비서 3급</v>
      </c>
      <c r="L199" s="2" t="str">
        <f>TEXT(VLOOKUP(표6[[#This Row],[일정번호]],표2[],6,FALSE), "hh:mm")</f>
        <v>13:00</v>
      </c>
      <c r="M199" s="2" t="str">
        <f>VLOOKUP(표6[[#This Row],[종목]],자격증정보!$A$2:$I$7,9,FALSE)</f>
        <v>40분</v>
      </c>
    </row>
    <row r="200" spans="1:13">
      <c r="A200" s="29">
        <v>200</v>
      </c>
      <c r="B200" s="2">
        <v>1</v>
      </c>
      <c r="C200" s="2">
        <v>6</v>
      </c>
      <c r="D200" s="2">
        <v>106</v>
      </c>
      <c r="E200" s="2">
        <v>8</v>
      </c>
      <c r="F200" s="3">
        <v>44363</v>
      </c>
      <c r="G200" s="3">
        <v>44370</v>
      </c>
      <c r="H200" s="3">
        <v>44371</v>
      </c>
      <c r="I200" s="2">
        <v>90</v>
      </c>
      <c r="J200" s="29" t="s">
        <v>198</v>
      </c>
      <c r="K200" s="51" t="str">
        <f>VLOOKUP(표6[[#This Row],[종목]],자격증정보!$A$2:$I$7,2,FALSE) &amp; " " &amp; VLOOKUP(표6[[#This Row],[종목]],자격증정보!$A$2:$I$7,3,FALSE)</f>
        <v>비서 3급</v>
      </c>
      <c r="L200" s="2" t="str">
        <f>TEXT(VLOOKUP(표6[[#This Row],[일정번호]],표2[],6,FALSE), "hh:mm")</f>
        <v>13:00</v>
      </c>
      <c r="M200" s="2" t="str">
        <f>VLOOKUP(표6[[#This Row],[종목]],자격증정보!$A$2:$I$7,9,FALSE)</f>
        <v>40분</v>
      </c>
    </row>
    <row r="201" spans="1:13">
      <c r="A201" s="29">
        <v>201</v>
      </c>
      <c r="B201" s="2">
        <v>2</v>
      </c>
      <c r="C201" s="2">
        <v>6</v>
      </c>
      <c r="D201" s="2">
        <v>106</v>
      </c>
      <c r="E201" s="2">
        <v>8</v>
      </c>
      <c r="F201" s="3">
        <v>44363</v>
      </c>
      <c r="G201" s="3">
        <v>44370</v>
      </c>
      <c r="H201" s="3">
        <v>44371</v>
      </c>
      <c r="I201" s="2">
        <v>50</v>
      </c>
      <c r="J201" s="29" t="s">
        <v>197</v>
      </c>
      <c r="K201" s="51" t="str">
        <f>VLOOKUP(표6[[#This Row],[종목]],자격증정보!$A$2:$I$7,2,FALSE) &amp; " " &amp; VLOOKUP(표6[[#This Row],[종목]],자격증정보!$A$2:$I$7,3,FALSE)</f>
        <v>비서 3급</v>
      </c>
      <c r="L201" s="2" t="str">
        <f>TEXT(VLOOKUP(표6[[#This Row],[일정번호]],표2[],6,FALSE), "hh:mm")</f>
        <v>13:00</v>
      </c>
      <c r="M201" s="2" t="str">
        <f>VLOOKUP(표6[[#This Row],[종목]],자격증정보!$A$2:$I$7,9,FALSE)</f>
        <v>40분</v>
      </c>
    </row>
    <row r="202" spans="1:13">
      <c r="A202" s="29">
        <v>203</v>
      </c>
      <c r="B202" s="2">
        <v>21</v>
      </c>
      <c r="C202" s="2">
        <v>3</v>
      </c>
      <c r="D202" s="2">
        <v>40</v>
      </c>
      <c r="E202" s="2">
        <v>9</v>
      </c>
      <c r="F202" s="3">
        <v>44365</v>
      </c>
      <c r="G202" s="3">
        <v>44372</v>
      </c>
      <c r="H202" s="3">
        <v>44372</v>
      </c>
      <c r="I202" s="2">
        <v>0</v>
      </c>
      <c r="J202" s="29" t="s">
        <v>197</v>
      </c>
      <c r="K202" s="51" t="str">
        <f>VLOOKUP(표6[[#This Row],[종목]],자격증정보!$A$2:$I$7,2,FALSE) &amp; " " &amp; VLOOKUP(표6[[#This Row],[종목]],자격증정보!$A$2:$I$7,3,FALSE)</f>
        <v>컴퓨터활용능력 2급</v>
      </c>
      <c r="L202" s="2" t="str">
        <f>TEXT(VLOOKUP(표6[[#This Row],[일정번호]],표2[],6,FALSE), "hh:mm")</f>
        <v>13:00</v>
      </c>
      <c r="M202" s="2" t="str">
        <f>VLOOKUP(표6[[#This Row],[종목]],자격증정보!$A$2:$I$7,9,FALSE)</f>
        <v>30분</v>
      </c>
    </row>
    <row r="203" spans="1:13">
      <c r="A203" s="29">
        <v>204</v>
      </c>
      <c r="B203" s="2">
        <v>12</v>
      </c>
      <c r="C203" s="2">
        <v>3</v>
      </c>
      <c r="D203" s="2">
        <v>53</v>
      </c>
      <c r="E203" s="2">
        <v>10</v>
      </c>
      <c r="F203" s="3">
        <v>44365</v>
      </c>
      <c r="G203" s="3">
        <v>44372</v>
      </c>
      <c r="H203" s="3">
        <v>44372</v>
      </c>
      <c r="I203" s="2">
        <v>80</v>
      </c>
      <c r="J203" s="29" t="s">
        <v>198</v>
      </c>
      <c r="K203" s="51" t="str">
        <f>VLOOKUP(표6[[#This Row],[종목]],자격증정보!$A$2:$I$7,2,FALSE) &amp; " " &amp; VLOOKUP(표6[[#This Row],[종목]],자격증정보!$A$2:$I$7,3,FALSE)</f>
        <v>컴퓨터활용능력 2급</v>
      </c>
      <c r="L203" s="2" t="str">
        <f>TEXT(VLOOKUP(표6[[#This Row],[일정번호]],표2[],6,FALSE), "hh:mm")</f>
        <v>14:00</v>
      </c>
      <c r="M203" s="2" t="str">
        <f>VLOOKUP(표6[[#This Row],[종목]],자격증정보!$A$2:$I$7,9,FALSE)</f>
        <v>30분</v>
      </c>
    </row>
    <row r="204" spans="1:13">
      <c r="A204" s="29">
        <v>205</v>
      </c>
      <c r="B204" s="2">
        <v>2</v>
      </c>
      <c r="C204" s="2">
        <v>3</v>
      </c>
      <c r="D204" s="2">
        <v>53</v>
      </c>
      <c r="E204" s="2">
        <v>10</v>
      </c>
      <c r="F204" s="3">
        <v>44365</v>
      </c>
      <c r="G204" s="3">
        <v>44372</v>
      </c>
      <c r="H204" s="3">
        <v>44372</v>
      </c>
      <c r="I204" s="2">
        <v>40</v>
      </c>
      <c r="J204" s="29" t="s">
        <v>197</v>
      </c>
      <c r="K204" s="51" t="str">
        <f>VLOOKUP(표6[[#This Row],[종목]],자격증정보!$A$2:$I$7,2,FALSE) &amp; " " &amp; VLOOKUP(표6[[#This Row],[종목]],자격증정보!$A$2:$I$7,3,FALSE)</f>
        <v>컴퓨터활용능력 2급</v>
      </c>
      <c r="L204" s="2" t="str">
        <f>TEXT(VLOOKUP(표6[[#This Row],[일정번호]],표2[],6,FALSE), "hh:mm")</f>
        <v>14:00</v>
      </c>
      <c r="M204" s="2" t="str">
        <f>VLOOKUP(표6[[#This Row],[종목]],자격증정보!$A$2:$I$7,9,FALSE)</f>
        <v>30분</v>
      </c>
    </row>
    <row r="205" spans="1:13">
      <c r="A205" s="29">
        <v>207</v>
      </c>
      <c r="B205" s="2">
        <v>27</v>
      </c>
      <c r="C205" s="2">
        <v>3</v>
      </c>
      <c r="D205" s="2">
        <v>62</v>
      </c>
      <c r="E205" s="2">
        <v>11</v>
      </c>
      <c r="F205" s="3">
        <v>44365</v>
      </c>
      <c r="G205" s="3">
        <v>44372</v>
      </c>
      <c r="H205" s="3">
        <v>44372</v>
      </c>
      <c r="I205" s="2">
        <v>0</v>
      </c>
      <c r="J205" s="29" t="s">
        <v>197</v>
      </c>
      <c r="K205" s="51" t="str">
        <f>VLOOKUP(표6[[#This Row],[종목]],자격증정보!$A$2:$I$7,2,FALSE) &amp; " " &amp; VLOOKUP(표6[[#This Row],[종목]],자격증정보!$A$2:$I$7,3,FALSE)</f>
        <v>컴퓨터활용능력 2급</v>
      </c>
      <c r="L205" s="2" t="str">
        <f>TEXT(VLOOKUP(표6[[#This Row],[일정번호]],표2[],6,FALSE), "hh:mm")</f>
        <v>09:00</v>
      </c>
      <c r="M205" s="2" t="str">
        <f>VLOOKUP(표6[[#This Row],[종목]],자격증정보!$A$2:$I$7,9,FALSE)</f>
        <v>30분</v>
      </c>
    </row>
    <row r="206" spans="1:13">
      <c r="A206" s="29">
        <v>208</v>
      </c>
      <c r="B206" s="2">
        <v>28</v>
      </c>
      <c r="C206" s="2">
        <v>3</v>
      </c>
      <c r="D206" s="2">
        <v>62</v>
      </c>
      <c r="E206" s="2">
        <v>11</v>
      </c>
      <c r="F206" s="3">
        <v>44365</v>
      </c>
      <c r="G206" s="3">
        <v>44372</v>
      </c>
      <c r="H206" s="3">
        <v>44372</v>
      </c>
      <c r="I206" s="2">
        <v>10</v>
      </c>
      <c r="J206" s="29" t="s">
        <v>197</v>
      </c>
      <c r="K206" s="51" t="str">
        <f>VLOOKUP(표6[[#This Row],[종목]],자격증정보!$A$2:$I$7,2,FALSE) &amp; " " &amp; VLOOKUP(표6[[#This Row],[종목]],자격증정보!$A$2:$I$7,3,FALSE)</f>
        <v>컴퓨터활용능력 2급</v>
      </c>
      <c r="L206" s="2" t="str">
        <f>TEXT(VLOOKUP(표6[[#This Row],[일정번호]],표2[],6,FALSE), "hh:mm")</f>
        <v>09:00</v>
      </c>
      <c r="M206" s="2" t="str">
        <f>VLOOKUP(표6[[#This Row],[종목]],자격증정보!$A$2:$I$7,9,FALSE)</f>
        <v>30분</v>
      </c>
    </row>
    <row r="207" spans="1:13">
      <c r="A207" s="29">
        <v>209</v>
      </c>
      <c r="B207" s="2">
        <v>30</v>
      </c>
      <c r="C207" s="2">
        <v>3</v>
      </c>
      <c r="D207" s="2">
        <v>75</v>
      </c>
      <c r="E207" s="2">
        <v>12</v>
      </c>
      <c r="F207" s="3">
        <v>44365</v>
      </c>
      <c r="G207" s="3">
        <v>44372</v>
      </c>
      <c r="H207" s="3">
        <v>44372</v>
      </c>
      <c r="I207" s="2">
        <v>0</v>
      </c>
      <c r="J207" s="29" t="s">
        <v>197</v>
      </c>
      <c r="K207" s="51" t="str">
        <f>VLOOKUP(표6[[#This Row],[종목]],자격증정보!$A$2:$I$7,2,FALSE) &amp; " " &amp; VLOOKUP(표6[[#This Row],[종목]],자격증정보!$A$2:$I$7,3,FALSE)</f>
        <v>컴퓨터활용능력 2급</v>
      </c>
      <c r="L207" s="2" t="str">
        <f>TEXT(VLOOKUP(표6[[#This Row],[일정번호]],표2[],6,FALSE), "hh:mm")</f>
        <v>13:00</v>
      </c>
      <c r="M207" s="2" t="str">
        <f>VLOOKUP(표6[[#This Row],[종목]],자격증정보!$A$2:$I$7,9,FALSE)</f>
        <v>30분</v>
      </c>
    </row>
    <row r="208" spans="1:13">
      <c r="A208" s="29">
        <v>210</v>
      </c>
      <c r="B208" s="2">
        <v>3</v>
      </c>
      <c r="C208" s="2">
        <v>3</v>
      </c>
      <c r="D208" s="2">
        <v>75</v>
      </c>
      <c r="E208" s="2">
        <v>12</v>
      </c>
      <c r="F208" s="3">
        <v>44365</v>
      </c>
      <c r="G208" s="3">
        <v>44372</v>
      </c>
      <c r="H208" s="3">
        <v>44372</v>
      </c>
      <c r="I208" s="2">
        <v>30</v>
      </c>
      <c r="J208" s="29" t="s">
        <v>197</v>
      </c>
      <c r="K208" s="51" t="str">
        <f>VLOOKUP(표6[[#This Row],[종목]],자격증정보!$A$2:$I$7,2,FALSE) &amp; " " &amp; VLOOKUP(표6[[#This Row],[종목]],자격증정보!$A$2:$I$7,3,FALSE)</f>
        <v>컴퓨터활용능력 2급</v>
      </c>
      <c r="L208" s="2" t="str">
        <f>TEXT(VLOOKUP(표6[[#This Row],[일정번호]],표2[],6,FALSE), "hh:mm")</f>
        <v>13:00</v>
      </c>
      <c r="M208" s="2" t="str">
        <f>VLOOKUP(표6[[#This Row],[종목]],자격증정보!$A$2:$I$7,9,FALSE)</f>
        <v>30분</v>
      </c>
    </row>
    <row r="209" spans="1:13">
      <c r="A209" s="29">
        <v>211</v>
      </c>
      <c r="B209" s="2">
        <v>4</v>
      </c>
      <c r="C209" s="2">
        <v>3</v>
      </c>
      <c r="D209" s="2">
        <v>75</v>
      </c>
      <c r="E209" s="2">
        <v>12</v>
      </c>
      <c r="F209" s="3">
        <v>44365</v>
      </c>
      <c r="G209" s="3">
        <v>44372</v>
      </c>
      <c r="H209" s="3">
        <v>44372</v>
      </c>
      <c r="I209" s="2">
        <v>10</v>
      </c>
      <c r="J209" s="29" t="s">
        <v>197</v>
      </c>
      <c r="K209" s="51" t="str">
        <f>VLOOKUP(표6[[#This Row],[종목]],자격증정보!$A$2:$I$7,2,FALSE) &amp; " " &amp; VLOOKUP(표6[[#This Row],[종목]],자격증정보!$A$2:$I$7,3,FALSE)</f>
        <v>컴퓨터활용능력 2급</v>
      </c>
      <c r="L209" s="2" t="str">
        <f>TEXT(VLOOKUP(표6[[#This Row],[일정번호]],표2[],6,FALSE), "hh:mm")</f>
        <v>13:00</v>
      </c>
      <c r="M209" s="2" t="str">
        <f>VLOOKUP(표6[[#This Row],[종목]],자격증정보!$A$2:$I$7,9,FALSE)</f>
        <v>30분</v>
      </c>
    </row>
    <row r="210" spans="1:13">
      <c r="A210" s="29">
        <v>212</v>
      </c>
      <c r="B210" s="2">
        <v>27</v>
      </c>
      <c r="C210" s="2">
        <v>4</v>
      </c>
      <c r="D210" s="2">
        <v>50</v>
      </c>
      <c r="E210" s="2">
        <v>10</v>
      </c>
      <c r="F210" s="3">
        <v>44365</v>
      </c>
      <c r="G210" s="3">
        <v>44372</v>
      </c>
      <c r="H210" s="3">
        <v>44373</v>
      </c>
      <c r="I210" s="2">
        <v>20</v>
      </c>
      <c r="J210" s="29" t="s">
        <v>197</v>
      </c>
      <c r="K210" s="51" t="str">
        <f>VLOOKUP(표6[[#This Row],[종목]],자격증정보!$A$2:$I$7,2,FALSE) &amp; " " &amp; VLOOKUP(표6[[#This Row],[종목]],자격증정보!$A$2:$I$7,3,FALSE)</f>
        <v>비서 1급</v>
      </c>
      <c r="L210" s="2" t="str">
        <f>TEXT(VLOOKUP(표6[[#This Row],[일정번호]],표2[],6,FALSE), "hh:mm")</f>
        <v>10:00</v>
      </c>
      <c r="M210" s="2" t="str">
        <f>VLOOKUP(표6[[#This Row],[종목]],자격증정보!$A$2:$I$7,9,FALSE)</f>
        <v>40분</v>
      </c>
    </row>
    <row r="211" spans="1:13">
      <c r="A211" s="29">
        <v>213</v>
      </c>
      <c r="B211" s="2">
        <v>28</v>
      </c>
      <c r="C211" s="2">
        <v>4</v>
      </c>
      <c r="D211" s="2">
        <v>50</v>
      </c>
      <c r="E211" s="2">
        <v>10</v>
      </c>
      <c r="F211" s="3">
        <v>44365</v>
      </c>
      <c r="G211" s="3">
        <v>44372</v>
      </c>
      <c r="H211" s="3">
        <v>44373</v>
      </c>
      <c r="I211" s="2">
        <v>20</v>
      </c>
      <c r="J211" s="29" t="s">
        <v>197</v>
      </c>
      <c r="K211" s="51" t="str">
        <f>VLOOKUP(표6[[#This Row],[종목]],자격증정보!$A$2:$I$7,2,FALSE) &amp; " " &amp; VLOOKUP(표6[[#This Row],[종목]],자격증정보!$A$2:$I$7,3,FALSE)</f>
        <v>비서 1급</v>
      </c>
      <c r="L211" s="2" t="str">
        <f>TEXT(VLOOKUP(표6[[#This Row],[일정번호]],표2[],6,FALSE), "hh:mm")</f>
        <v>10:00</v>
      </c>
      <c r="M211" s="2" t="str">
        <f>VLOOKUP(표6[[#This Row],[종목]],자격증정보!$A$2:$I$7,9,FALSE)</f>
        <v>40분</v>
      </c>
    </row>
    <row r="212" spans="1:13">
      <c r="A212" s="29">
        <v>214</v>
      </c>
      <c r="B212" s="2">
        <v>15</v>
      </c>
      <c r="C212" s="2">
        <v>4</v>
      </c>
      <c r="D212" s="2">
        <v>50</v>
      </c>
      <c r="E212" s="2">
        <v>10</v>
      </c>
      <c r="F212" s="3">
        <v>44365</v>
      </c>
      <c r="G212" s="3">
        <v>44372</v>
      </c>
      <c r="H212" s="3">
        <v>44373</v>
      </c>
      <c r="I212" s="2">
        <v>0</v>
      </c>
      <c r="J212" s="29" t="s">
        <v>197</v>
      </c>
      <c r="K212" s="51" t="str">
        <f>VLOOKUP(표6[[#This Row],[종목]],자격증정보!$A$2:$I$7,2,FALSE) &amp; " " &amp; VLOOKUP(표6[[#This Row],[종목]],자격증정보!$A$2:$I$7,3,FALSE)</f>
        <v>비서 1급</v>
      </c>
      <c r="L212" s="2" t="str">
        <f>TEXT(VLOOKUP(표6[[#This Row],[일정번호]],표2[],6,FALSE), "hh:mm")</f>
        <v>10:00</v>
      </c>
      <c r="M212" s="2" t="str">
        <f>VLOOKUP(표6[[#This Row],[종목]],자격증정보!$A$2:$I$7,9,FALSE)</f>
        <v>40분</v>
      </c>
    </row>
    <row r="213" spans="1:13">
      <c r="A213" s="29">
        <v>215</v>
      </c>
      <c r="B213" s="2">
        <v>16</v>
      </c>
      <c r="C213" s="2">
        <v>2</v>
      </c>
      <c r="D213" s="2">
        <v>97</v>
      </c>
      <c r="E213" s="2">
        <v>12</v>
      </c>
      <c r="F213" s="3">
        <v>44365</v>
      </c>
      <c r="G213" s="3">
        <v>44372</v>
      </c>
      <c r="H213" s="3">
        <v>44372</v>
      </c>
      <c r="I213" s="2">
        <v>20</v>
      </c>
      <c r="J213" s="29" t="s">
        <v>197</v>
      </c>
      <c r="K213" s="51" t="str">
        <f>VLOOKUP(표6[[#This Row],[종목]],자격증정보!$A$2:$I$7,2,FALSE) &amp; " " &amp; VLOOKUP(표6[[#This Row],[종목]],자격증정보!$A$2:$I$7,3,FALSE)</f>
        <v>컴퓨터활용능력 1급</v>
      </c>
      <c r="L213" s="2" t="str">
        <f>TEXT(VLOOKUP(표6[[#This Row],[일정번호]],표2[],6,FALSE), "hh:mm")</f>
        <v>15:00</v>
      </c>
      <c r="M213" s="2" t="str">
        <f>VLOOKUP(표6[[#This Row],[종목]],자격증정보!$A$2:$I$7,9,FALSE)</f>
        <v>30분</v>
      </c>
    </row>
    <row r="214" spans="1:13">
      <c r="A214" s="29">
        <v>216</v>
      </c>
      <c r="B214" s="2">
        <v>19</v>
      </c>
      <c r="C214" s="2">
        <v>2</v>
      </c>
      <c r="D214" s="2">
        <v>97</v>
      </c>
      <c r="E214" s="2">
        <v>12</v>
      </c>
      <c r="F214" s="3">
        <v>44365</v>
      </c>
      <c r="G214" s="3">
        <v>44372</v>
      </c>
      <c r="H214" s="3">
        <v>44372</v>
      </c>
      <c r="I214" s="2">
        <v>50</v>
      </c>
      <c r="J214" s="29" t="s">
        <v>197</v>
      </c>
      <c r="K214" s="51" t="str">
        <f>VLOOKUP(표6[[#This Row],[종목]],자격증정보!$A$2:$I$7,2,FALSE) &amp; " " &amp; VLOOKUP(표6[[#This Row],[종목]],자격증정보!$A$2:$I$7,3,FALSE)</f>
        <v>컴퓨터활용능력 1급</v>
      </c>
      <c r="L214" s="2" t="str">
        <f>TEXT(VLOOKUP(표6[[#This Row],[일정번호]],표2[],6,FALSE), "hh:mm")</f>
        <v>15:00</v>
      </c>
      <c r="M214" s="2" t="str">
        <f>VLOOKUP(표6[[#This Row],[종목]],자격증정보!$A$2:$I$7,9,FALSE)</f>
        <v>30분</v>
      </c>
    </row>
    <row r="215" spans="1:13">
      <c r="A215" s="29">
        <v>217</v>
      </c>
      <c r="B215" s="2">
        <v>3</v>
      </c>
      <c r="C215" s="2">
        <v>6</v>
      </c>
      <c r="D215" s="2">
        <v>119</v>
      </c>
      <c r="E215" s="2">
        <v>9</v>
      </c>
      <c r="F215" s="3">
        <v>44365</v>
      </c>
      <c r="G215" s="3">
        <v>44372</v>
      </c>
      <c r="H215" s="3">
        <v>44373</v>
      </c>
      <c r="I215" s="2">
        <v>80</v>
      </c>
      <c r="J215" s="29" t="s">
        <v>198</v>
      </c>
      <c r="K215" s="51" t="str">
        <f>VLOOKUP(표6[[#This Row],[종목]],자격증정보!$A$2:$I$7,2,FALSE) &amp; " " &amp; VLOOKUP(표6[[#This Row],[종목]],자격증정보!$A$2:$I$7,3,FALSE)</f>
        <v>비서 3급</v>
      </c>
      <c r="L215" s="2" t="str">
        <f>TEXT(VLOOKUP(표6[[#This Row],[일정번호]],표2[],6,FALSE), "hh:mm")</f>
        <v>16:00</v>
      </c>
      <c r="M215" s="2" t="str">
        <f>VLOOKUP(표6[[#This Row],[종목]],자격증정보!$A$2:$I$7,9,FALSE)</f>
        <v>40분</v>
      </c>
    </row>
    <row r="216" spans="1:13">
      <c r="A216" s="29">
        <v>218</v>
      </c>
      <c r="B216" s="2">
        <v>15</v>
      </c>
      <c r="C216" s="2">
        <v>6</v>
      </c>
      <c r="D216" s="2">
        <v>119</v>
      </c>
      <c r="E216" s="2">
        <v>9</v>
      </c>
      <c r="F216" s="3">
        <v>44365</v>
      </c>
      <c r="G216" s="3">
        <v>44372</v>
      </c>
      <c r="H216" s="3">
        <v>44373</v>
      </c>
      <c r="I216" s="2">
        <v>0</v>
      </c>
      <c r="J216" s="29" t="s">
        <v>197</v>
      </c>
      <c r="K216" s="51" t="str">
        <f>VLOOKUP(표6[[#This Row],[종목]],자격증정보!$A$2:$I$7,2,FALSE) &amp; " " &amp; VLOOKUP(표6[[#This Row],[종목]],자격증정보!$A$2:$I$7,3,FALSE)</f>
        <v>비서 3급</v>
      </c>
      <c r="L216" s="2" t="str">
        <f>TEXT(VLOOKUP(표6[[#This Row],[일정번호]],표2[],6,FALSE), "hh:mm")</f>
        <v>16:00</v>
      </c>
      <c r="M216" s="2" t="str">
        <f>VLOOKUP(표6[[#This Row],[종목]],자격증정보!$A$2:$I$7,9,FALSE)</f>
        <v>40분</v>
      </c>
    </row>
    <row r="217" spans="1:13">
      <c r="A217" s="29">
        <v>219</v>
      </c>
      <c r="B217" s="2">
        <v>16</v>
      </c>
      <c r="C217" s="2">
        <v>6</v>
      </c>
      <c r="D217" s="2">
        <v>119</v>
      </c>
      <c r="E217" s="2">
        <v>9</v>
      </c>
      <c r="F217" s="3">
        <v>44365</v>
      </c>
      <c r="G217" s="3">
        <v>44372</v>
      </c>
      <c r="H217" s="3">
        <v>44373</v>
      </c>
      <c r="I217" s="2">
        <v>50</v>
      </c>
      <c r="J217" s="29" t="s">
        <v>197</v>
      </c>
      <c r="K217" s="51" t="str">
        <f>VLOOKUP(표6[[#This Row],[종목]],자격증정보!$A$2:$I$7,2,FALSE) &amp; " " &amp; VLOOKUP(표6[[#This Row],[종목]],자격증정보!$A$2:$I$7,3,FALSE)</f>
        <v>비서 3급</v>
      </c>
      <c r="L217" s="2" t="str">
        <f>TEXT(VLOOKUP(표6[[#This Row],[일정번호]],표2[],6,FALSE), "hh:mm")</f>
        <v>16:00</v>
      </c>
      <c r="M217" s="2" t="str">
        <f>VLOOKUP(표6[[#This Row],[종목]],자격증정보!$A$2:$I$7,9,FALSE)</f>
        <v>40분</v>
      </c>
    </row>
    <row r="218" spans="1:13">
      <c r="A218" s="29">
        <v>220</v>
      </c>
      <c r="B218" s="2">
        <v>17</v>
      </c>
      <c r="C218" s="2">
        <v>6</v>
      </c>
      <c r="D218" s="2">
        <v>119</v>
      </c>
      <c r="E218" s="2">
        <v>9</v>
      </c>
      <c r="F218" s="3">
        <v>44365</v>
      </c>
      <c r="G218" s="3">
        <v>44372</v>
      </c>
      <c r="H218" s="3">
        <v>44373</v>
      </c>
      <c r="I218" s="2">
        <v>60</v>
      </c>
      <c r="J218" s="29" t="s">
        <v>197</v>
      </c>
      <c r="K218" s="51" t="str">
        <f>VLOOKUP(표6[[#This Row],[종목]],자격증정보!$A$2:$I$7,2,FALSE) &amp; " " &amp; VLOOKUP(표6[[#This Row],[종목]],자격증정보!$A$2:$I$7,3,FALSE)</f>
        <v>비서 3급</v>
      </c>
      <c r="L218" s="2" t="str">
        <f>TEXT(VLOOKUP(표6[[#This Row],[일정번호]],표2[],6,FALSE), "hh:mm")</f>
        <v>16:00</v>
      </c>
      <c r="M218" s="2" t="str">
        <f>VLOOKUP(표6[[#This Row],[종목]],자격증정보!$A$2:$I$7,9,FALSE)</f>
        <v>40분</v>
      </c>
    </row>
    <row r="219" spans="1:13">
      <c r="A219" s="29">
        <v>221</v>
      </c>
      <c r="B219" s="2">
        <v>18</v>
      </c>
      <c r="C219" s="2">
        <v>6</v>
      </c>
      <c r="D219" s="2">
        <v>119</v>
      </c>
      <c r="E219" s="2">
        <v>9</v>
      </c>
      <c r="F219" s="3">
        <v>44365</v>
      </c>
      <c r="G219" s="3">
        <v>44372</v>
      </c>
      <c r="H219" s="3">
        <v>44373</v>
      </c>
      <c r="I219" s="2">
        <v>50</v>
      </c>
      <c r="J219" s="29" t="s">
        <v>197</v>
      </c>
      <c r="K219" s="51" t="str">
        <f>VLOOKUP(표6[[#This Row],[종목]],자격증정보!$A$2:$I$7,2,FALSE) &amp; " " &amp; VLOOKUP(표6[[#This Row],[종목]],자격증정보!$A$2:$I$7,3,FALSE)</f>
        <v>비서 3급</v>
      </c>
      <c r="L219" s="2" t="str">
        <f>TEXT(VLOOKUP(표6[[#This Row],[일정번호]],표2[],6,FALSE), "hh:mm")</f>
        <v>16:00</v>
      </c>
      <c r="M219" s="2" t="str">
        <f>VLOOKUP(표6[[#This Row],[종목]],자격증정보!$A$2:$I$7,9,FALSE)</f>
        <v>40분</v>
      </c>
    </row>
    <row r="220" spans="1:13">
      <c r="A220" s="29">
        <v>222</v>
      </c>
      <c r="B220" s="2">
        <v>19</v>
      </c>
      <c r="C220" s="2">
        <v>6</v>
      </c>
      <c r="D220" s="2">
        <v>119</v>
      </c>
      <c r="E220" s="2">
        <v>9</v>
      </c>
      <c r="F220" s="3">
        <v>44365</v>
      </c>
      <c r="G220" s="3">
        <v>44372</v>
      </c>
      <c r="H220" s="3">
        <v>44373</v>
      </c>
      <c r="I220" s="2">
        <v>40</v>
      </c>
      <c r="J220" s="29" t="s">
        <v>197</v>
      </c>
      <c r="K220" s="51" t="str">
        <f>VLOOKUP(표6[[#This Row],[종목]],자격증정보!$A$2:$I$7,2,FALSE) &amp; " " &amp; VLOOKUP(표6[[#This Row],[종목]],자격증정보!$A$2:$I$7,3,FALSE)</f>
        <v>비서 3급</v>
      </c>
      <c r="L220" s="2" t="str">
        <f>TEXT(VLOOKUP(표6[[#This Row],[일정번호]],표2[],6,FALSE), "hh:mm")</f>
        <v>16:00</v>
      </c>
      <c r="M220" s="2" t="str">
        <f>VLOOKUP(표6[[#This Row],[종목]],자격증정보!$A$2:$I$7,9,FALSE)</f>
        <v>40분</v>
      </c>
    </row>
    <row r="221" spans="1:13">
      <c r="A221" s="29">
        <v>223</v>
      </c>
      <c r="B221" s="2">
        <v>15</v>
      </c>
      <c r="C221" s="2">
        <v>6</v>
      </c>
      <c r="D221" s="2">
        <v>127</v>
      </c>
      <c r="E221" s="2">
        <v>10</v>
      </c>
      <c r="F221" s="3">
        <v>44365</v>
      </c>
      <c r="G221" s="3">
        <v>44372</v>
      </c>
      <c r="H221" s="3">
        <v>44373</v>
      </c>
      <c r="I221" s="2">
        <v>20</v>
      </c>
      <c r="J221" s="29" t="s">
        <v>197</v>
      </c>
      <c r="K221" s="51" t="str">
        <f>VLOOKUP(표6[[#This Row],[종목]],자격증정보!$A$2:$I$7,2,FALSE) &amp; " " &amp; VLOOKUP(표6[[#This Row],[종목]],자격증정보!$A$2:$I$7,3,FALSE)</f>
        <v>비서 3급</v>
      </c>
      <c r="L221" s="2" t="str">
        <f>TEXT(VLOOKUP(표6[[#This Row],[일정번호]],표2[],6,FALSE), "hh:mm")</f>
        <v>15:00</v>
      </c>
      <c r="M221" s="2" t="str">
        <f>VLOOKUP(표6[[#This Row],[종목]],자격증정보!$A$2:$I$7,9,FALSE)</f>
        <v>40분</v>
      </c>
    </row>
    <row r="222" spans="1:13">
      <c r="A222" s="29">
        <v>224</v>
      </c>
      <c r="B222" s="2">
        <v>16</v>
      </c>
      <c r="C222" s="2">
        <v>6</v>
      </c>
      <c r="D222" s="2">
        <v>127</v>
      </c>
      <c r="E222" s="2">
        <v>10</v>
      </c>
      <c r="F222" s="3">
        <v>44365</v>
      </c>
      <c r="G222" s="3">
        <v>44372</v>
      </c>
      <c r="H222" s="3">
        <v>44373</v>
      </c>
      <c r="I222" s="2">
        <v>30</v>
      </c>
      <c r="J222" s="29" t="s">
        <v>197</v>
      </c>
      <c r="K222" s="51" t="str">
        <f>VLOOKUP(표6[[#This Row],[종목]],자격증정보!$A$2:$I$7,2,FALSE) &amp; " " &amp; VLOOKUP(표6[[#This Row],[종목]],자격증정보!$A$2:$I$7,3,FALSE)</f>
        <v>비서 3급</v>
      </c>
      <c r="L222" s="2" t="str">
        <f>TEXT(VLOOKUP(표6[[#This Row],[일정번호]],표2[],6,FALSE), "hh:mm")</f>
        <v>15:00</v>
      </c>
      <c r="M222" s="2" t="str">
        <f>VLOOKUP(표6[[#This Row],[종목]],자격증정보!$A$2:$I$7,9,FALSE)</f>
        <v>40분</v>
      </c>
    </row>
    <row r="223" spans="1:13">
      <c r="A223" s="29">
        <v>225</v>
      </c>
      <c r="B223" s="2">
        <v>17</v>
      </c>
      <c r="C223" s="2">
        <v>6</v>
      </c>
      <c r="D223" s="2">
        <v>127</v>
      </c>
      <c r="E223" s="2">
        <v>10</v>
      </c>
      <c r="F223" s="3">
        <v>44365</v>
      </c>
      <c r="G223" s="3">
        <v>44372</v>
      </c>
      <c r="H223" s="3">
        <v>44373</v>
      </c>
      <c r="I223" s="2">
        <v>30</v>
      </c>
      <c r="J223" s="29" t="s">
        <v>197</v>
      </c>
      <c r="K223" s="51" t="str">
        <f>VLOOKUP(표6[[#This Row],[종목]],자격증정보!$A$2:$I$7,2,FALSE) &amp; " " &amp; VLOOKUP(표6[[#This Row],[종목]],자격증정보!$A$2:$I$7,3,FALSE)</f>
        <v>비서 3급</v>
      </c>
      <c r="L223" s="2" t="str">
        <f>TEXT(VLOOKUP(표6[[#This Row],[일정번호]],표2[],6,FALSE), "hh:mm")</f>
        <v>15:00</v>
      </c>
      <c r="M223" s="2" t="str">
        <f>VLOOKUP(표6[[#This Row],[종목]],자격증정보!$A$2:$I$7,9,FALSE)</f>
        <v>40분</v>
      </c>
    </row>
    <row r="224" spans="1:13">
      <c r="A224" s="29">
        <v>226</v>
      </c>
      <c r="B224" s="2">
        <v>18</v>
      </c>
      <c r="C224" s="2">
        <v>6</v>
      </c>
      <c r="D224" s="2">
        <v>127</v>
      </c>
      <c r="E224" s="2">
        <v>10</v>
      </c>
      <c r="F224" s="3">
        <v>44365</v>
      </c>
      <c r="G224" s="3">
        <v>44372</v>
      </c>
      <c r="H224" s="3">
        <v>44373</v>
      </c>
      <c r="I224" s="2">
        <v>30</v>
      </c>
      <c r="J224" s="29" t="s">
        <v>197</v>
      </c>
      <c r="K224" s="51" t="str">
        <f>VLOOKUP(표6[[#This Row],[종목]],자격증정보!$A$2:$I$7,2,FALSE) &amp; " " &amp; VLOOKUP(표6[[#This Row],[종목]],자격증정보!$A$2:$I$7,3,FALSE)</f>
        <v>비서 3급</v>
      </c>
      <c r="L224" s="2" t="str">
        <f>TEXT(VLOOKUP(표6[[#This Row],[일정번호]],표2[],6,FALSE), "hh:mm")</f>
        <v>15:00</v>
      </c>
      <c r="M224" s="2" t="str">
        <f>VLOOKUP(표6[[#This Row],[종목]],자격증정보!$A$2:$I$7,9,FALSE)</f>
        <v>40분</v>
      </c>
    </row>
    <row r="225" spans="1:13">
      <c r="A225" s="29">
        <v>227</v>
      </c>
      <c r="B225" s="2">
        <v>19</v>
      </c>
      <c r="C225" s="2">
        <v>6</v>
      </c>
      <c r="D225" s="2">
        <v>127</v>
      </c>
      <c r="E225" s="2">
        <v>10</v>
      </c>
      <c r="F225" s="3">
        <v>44365</v>
      </c>
      <c r="G225" s="3">
        <v>44372</v>
      </c>
      <c r="H225" s="3">
        <v>44373</v>
      </c>
      <c r="I225" s="2">
        <v>60</v>
      </c>
      <c r="J225" s="29" t="s">
        <v>197</v>
      </c>
      <c r="K225" s="51" t="str">
        <f>VLOOKUP(표6[[#This Row],[종목]],자격증정보!$A$2:$I$7,2,FALSE) &amp; " " &amp; VLOOKUP(표6[[#This Row],[종목]],자격증정보!$A$2:$I$7,3,FALSE)</f>
        <v>비서 3급</v>
      </c>
      <c r="L225" s="2" t="str">
        <f>TEXT(VLOOKUP(표6[[#This Row],[일정번호]],표2[],6,FALSE), "hh:mm")</f>
        <v>15:00</v>
      </c>
      <c r="M225" s="2" t="str">
        <f>VLOOKUP(표6[[#This Row],[종목]],자격증정보!$A$2:$I$7,9,FALSE)</f>
        <v>40분</v>
      </c>
    </row>
    <row r="226" spans="1:13">
      <c r="A226" s="29">
        <v>228</v>
      </c>
      <c r="B226" s="2">
        <v>11</v>
      </c>
      <c r="C226" s="2">
        <v>6</v>
      </c>
      <c r="D226" s="2">
        <v>127</v>
      </c>
      <c r="E226" s="2">
        <v>10</v>
      </c>
      <c r="F226" s="3">
        <v>44365</v>
      </c>
      <c r="G226" s="3">
        <v>44372</v>
      </c>
      <c r="H226" s="3">
        <v>44373</v>
      </c>
      <c r="I226" s="2">
        <v>50</v>
      </c>
      <c r="J226" s="29" t="s">
        <v>197</v>
      </c>
      <c r="K226" s="51" t="str">
        <f>VLOOKUP(표6[[#This Row],[종목]],자격증정보!$A$2:$I$7,2,FALSE) &amp; " " &amp; VLOOKUP(표6[[#This Row],[종목]],자격증정보!$A$2:$I$7,3,FALSE)</f>
        <v>비서 3급</v>
      </c>
      <c r="L226" s="2" t="str">
        <f>TEXT(VLOOKUP(표6[[#This Row],[일정번호]],표2[],6,FALSE), "hh:mm")</f>
        <v>15:00</v>
      </c>
      <c r="M226" s="2" t="str">
        <f>VLOOKUP(표6[[#This Row],[종목]],자격증정보!$A$2:$I$7,9,FALSE)</f>
        <v>40분</v>
      </c>
    </row>
    <row r="227" spans="1:13">
      <c r="A227" s="29">
        <v>229</v>
      </c>
      <c r="B227" s="2">
        <v>10</v>
      </c>
      <c r="C227" s="2">
        <v>6</v>
      </c>
      <c r="D227" s="2">
        <v>141</v>
      </c>
      <c r="E227" s="2">
        <v>11</v>
      </c>
      <c r="F227" s="3">
        <v>44365</v>
      </c>
      <c r="G227" s="3">
        <v>44372</v>
      </c>
      <c r="H227" s="3">
        <v>44373</v>
      </c>
      <c r="I227" s="2">
        <v>70</v>
      </c>
      <c r="J227" s="29" t="s">
        <v>197</v>
      </c>
      <c r="K227" s="51" t="str">
        <f>VLOOKUP(표6[[#This Row],[종목]],자격증정보!$A$2:$I$7,2,FALSE) &amp; " " &amp; VLOOKUP(표6[[#This Row],[종목]],자격증정보!$A$2:$I$7,3,FALSE)</f>
        <v>비서 3급</v>
      </c>
      <c r="L227" s="2" t="str">
        <f>TEXT(VLOOKUP(표6[[#This Row],[일정번호]],표2[],6,FALSE), "hh:mm")</f>
        <v>16:00</v>
      </c>
      <c r="M227" s="2" t="str">
        <f>VLOOKUP(표6[[#This Row],[종목]],자격증정보!$A$2:$I$7,9,FALSE)</f>
        <v>40분</v>
      </c>
    </row>
    <row r="228" spans="1:13">
      <c r="A228" s="29">
        <v>230</v>
      </c>
      <c r="B228" s="2">
        <v>20</v>
      </c>
      <c r="C228" s="2">
        <v>6</v>
      </c>
      <c r="D228" s="2">
        <v>141</v>
      </c>
      <c r="E228" s="2">
        <v>11</v>
      </c>
      <c r="F228" s="3">
        <v>44365</v>
      </c>
      <c r="G228" s="3">
        <v>44372</v>
      </c>
      <c r="H228" s="3">
        <v>44373</v>
      </c>
      <c r="I228" s="2">
        <v>70</v>
      </c>
      <c r="J228" s="29" t="s">
        <v>197</v>
      </c>
      <c r="K228" s="51" t="str">
        <f>VLOOKUP(표6[[#This Row],[종목]],자격증정보!$A$2:$I$7,2,FALSE) &amp; " " &amp; VLOOKUP(표6[[#This Row],[종목]],자격증정보!$A$2:$I$7,3,FALSE)</f>
        <v>비서 3급</v>
      </c>
      <c r="L228" s="2" t="str">
        <f>TEXT(VLOOKUP(표6[[#This Row],[일정번호]],표2[],6,FALSE), "hh:mm")</f>
        <v>16:00</v>
      </c>
      <c r="M228" s="2" t="str">
        <f>VLOOKUP(표6[[#This Row],[종목]],자격증정보!$A$2:$I$7,9,FALSE)</f>
        <v>40분</v>
      </c>
    </row>
    <row r="229" spans="1:13">
      <c r="A229" s="29">
        <v>231</v>
      </c>
      <c r="B229" s="2">
        <v>24</v>
      </c>
      <c r="C229" s="2">
        <v>6</v>
      </c>
      <c r="D229" s="2">
        <v>141</v>
      </c>
      <c r="E229" s="2">
        <v>11</v>
      </c>
      <c r="F229" s="3">
        <v>44365</v>
      </c>
      <c r="G229" s="3">
        <v>44372</v>
      </c>
      <c r="H229" s="3">
        <v>44373</v>
      </c>
      <c r="I229" s="2">
        <v>70</v>
      </c>
      <c r="J229" s="29" t="s">
        <v>197</v>
      </c>
      <c r="K229" s="51" t="str">
        <f>VLOOKUP(표6[[#This Row],[종목]],자격증정보!$A$2:$I$7,2,FALSE) &amp; " " &amp; VLOOKUP(표6[[#This Row],[종목]],자격증정보!$A$2:$I$7,3,FALSE)</f>
        <v>비서 3급</v>
      </c>
      <c r="L229" s="2" t="str">
        <f>TEXT(VLOOKUP(표6[[#This Row],[일정번호]],표2[],6,FALSE), "hh:mm")</f>
        <v>16:00</v>
      </c>
      <c r="M229" s="2" t="str">
        <f>VLOOKUP(표6[[#This Row],[종목]],자격증정보!$A$2:$I$7,9,FALSE)</f>
        <v>40분</v>
      </c>
    </row>
    <row r="230" spans="1:13">
      <c r="A230" s="29">
        <v>232</v>
      </c>
      <c r="B230" s="2">
        <v>25</v>
      </c>
      <c r="C230" s="2">
        <v>6</v>
      </c>
      <c r="D230" s="2">
        <v>141</v>
      </c>
      <c r="E230" s="2">
        <v>11</v>
      </c>
      <c r="F230" s="3">
        <v>44365</v>
      </c>
      <c r="G230" s="3">
        <v>44372</v>
      </c>
      <c r="H230" s="3">
        <v>44373</v>
      </c>
      <c r="I230" s="2">
        <v>0</v>
      </c>
      <c r="J230" s="29" t="s">
        <v>197</v>
      </c>
      <c r="K230" s="51" t="str">
        <f>VLOOKUP(표6[[#This Row],[종목]],자격증정보!$A$2:$I$7,2,FALSE) &amp; " " &amp; VLOOKUP(표6[[#This Row],[종목]],자격증정보!$A$2:$I$7,3,FALSE)</f>
        <v>비서 3급</v>
      </c>
      <c r="L230" s="2" t="str">
        <f>TEXT(VLOOKUP(표6[[#This Row],[일정번호]],표2[],6,FALSE), "hh:mm")</f>
        <v>16:00</v>
      </c>
      <c r="M230" s="2" t="str">
        <f>VLOOKUP(표6[[#This Row],[종목]],자격증정보!$A$2:$I$7,9,FALSE)</f>
        <v>40분</v>
      </c>
    </row>
    <row r="231" spans="1:13">
      <c r="A231" s="29">
        <v>233</v>
      </c>
      <c r="B231" s="2">
        <v>26</v>
      </c>
      <c r="C231" s="2">
        <v>6</v>
      </c>
      <c r="D231" s="2">
        <v>141</v>
      </c>
      <c r="E231" s="2">
        <v>11</v>
      </c>
      <c r="F231" s="3">
        <v>44365</v>
      </c>
      <c r="G231" s="3">
        <v>44372</v>
      </c>
      <c r="H231" s="3">
        <v>44373</v>
      </c>
      <c r="I231" s="2">
        <v>0</v>
      </c>
      <c r="J231" s="29" t="s">
        <v>197</v>
      </c>
      <c r="K231" s="51" t="str">
        <f>VLOOKUP(표6[[#This Row],[종목]],자격증정보!$A$2:$I$7,2,FALSE) &amp; " " &amp; VLOOKUP(표6[[#This Row],[종목]],자격증정보!$A$2:$I$7,3,FALSE)</f>
        <v>비서 3급</v>
      </c>
      <c r="L231" s="2" t="str">
        <f>TEXT(VLOOKUP(표6[[#This Row],[일정번호]],표2[],6,FALSE), "hh:mm")</f>
        <v>16:00</v>
      </c>
      <c r="M231" s="2" t="str">
        <f>VLOOKUP(표6[[#This Row],[종목]],자격증정보!$A$2:$I$7,9,FALSE)</f>
        <v>40분</v>
      </c>
    </row>
    <row r="232" spans="1:13">
      <c r="A232" s="29">
        <v>234</v>
      </c>
      <c r="B232" s="2">
        <v>27</v>
      </c>
      <c r="C232" s="2">
        <v>6</v>
      </c>
      <c r="D232" s="2">
        <v>141</v>
      </c>
      <c r="E232" s="2">
        <v>11</v>
      </c>
      <c r="F232" s="3">
        <v>44365</v>
      </c>
      <c r="G232" s="3">
        <v>44372</v>
      </c>
      <c r="H232" s="3">
        <v>44373</v>
      </c>
      <c r="I232" s="2">
        <v>40</v>
      </c>
      <c r="J232" s="29" t="s">
        <v>197</v>
      </c>
      <c r="K232" s="51" t="str">
        <f>VLOOKUP(표6[[#This Row],[종목]],자격증정보!$A$2:$I$7,2,FALSE) &amp; " " &amp; VLOOKUP(표6[[#This Row],[종목]],자격증정보!$A$2:$I$7,3,FALSE)</f>
        <v>비서 3급</v>
      </c>
      <c r="L232" s="2" t="str">
        <f>TEXT(VLOOKUP(표6[[#This Row],[일정번호]],표2[],6,FALSE), "hh:mm")</f>
        <v>16:00</v>
      </c>
      <c r="M232" s="2" t="str">
        <f>VLOOKUP(표6[[#This Row],[종목]],자격증정보!$A$2:$I$7,9,FALSE)</f>
        <v>40분</v>
      </c>
    </row>
    <row r="233" spans="1:13">
      <c r="A233" s="29">
        <v>235</v>
      </c>
      <c r="B233" s="2">
        <v>30</v>
      </c>
      <c r="C233" s="2">
        <v>6</v>
      </c>
      <c r="D233" s="2">
        <v>147</v>
      </c>
      <c r="E233" s="2">
        <v>12</v>
      </c>
      <c r="F233" s="3">
        <v>44365</v>
      </c>
      <c r="G233" s="3">
        <v>44372</v>
      </c>
      <c r="H233" s="3">
        <v>44373</v>
      </c>
      <c r="I233" s="2">
        <v>50</v>
      </c>
      <c r="J233" s="29" t="s">
        <v>197</v>
      </c>
      <c r="K233" s="51" t="str">
        <f>VLOOKUP(표6[[#This Row],[종목]],자격증정보!$A$2:$I$7,2,FALSE) &amp; " " &amp; VLOOKUP(표6[[#This Row],[종목]],자격증정보!$A$2:$I$7,3,FALSE)</f>
        <v>비서 3급</v>
      </c>
      <c r="L233" s="2" t="str">
        <f>TEXT(VLOOKUP(표6[[#This Row],[일정번호]],표2[],6,FALSE), "hh:mm")</f>
        <v>10:00</v>
      </c>
      <c r="M233" s="2" t="str">
        <f>VLOOKUP(표6[[#This Row],[종목]],자격증정보!$A$2:$I$7,9,FALSE)</f>
        <v>40분</v>
      </c>
    </row>
    <row r="234" spans="1:13">
      <c r="A234" s="29">
        <v>236</v>
      </c>
      <c r="B234" s="2">
        <v>29</v>
      </c>
      <c r="C234" s="2">
        <v>6</v>
      </c>
      <c r="D234" s="2">
        <v>147</v>
      </c>
      <c r="E234" s="2">
        <v>12</v>
      </c>
      <c r="F234" s="3">
        <v>44365</v>
      </c>
      <c r="G234" s="3">
        <v>44372</v>
      </c>
      <c r="H234" s="3">
        <v>44373</v>
      </c>
      <c r="I234" s="2">
        <v>60</v>
      </c>
      <c r="J234" s="29" t="s">
        <v>197</v>
      </c>
      <c r="K234" s="51" t="str">
        <f>VLOOKUP(표6[[#This Row],[종목]],자격증정보!$A$2:$I$7,2,FALSE) &amp; " " &amp; VLOOKUP(표6[[#This Row],[종목]],자격증정보!$A$2:$I$7,3,FALSE)</f>
        <v>비서 3급</v>
      </c>
      <c r="L234" s="2" t="str">
        <f>TEXT(VLOOKUP(표6[[#This Row],[일정번호]],표2[],6,FALSE), "hh:mm")</f>
        <v>10:00</v>
      </c>
      <c r="M234" s="2" t="str">
        <f>VLOOKUP(표6[[#This Row],[종목]],자격증정보!$A$2:$I$7,9,FALSE)</f>
        <v>40분</v>
      </c>
    </row>
    <row r="235" spans="1:13">
      <c r="A235" s="29">
        <v>237</v>
      </c>
      <c r="B235" s="2">
        <v>27</v>
      </c>
      <c r="C235" s="2">
        <v>6</v>
      </c>
      <c r="D235" s="2">
        <v>147</v>
      </c>
      <c r="E235" s="2">
        <v>12</v>
      </c>
      <c r="F235" s="3">
        <v>44365</v>
      </c>
      <c r="G235" s="3">
        <v>44372</v>
      </c>
      <c r="H235" s="3">
        <v>44373</v>
      </c>
      <c r="I235" s="2">
        <v>70</v>
      </c>
      <c r="J235" s="29" t="s">
        <v>197</v>
      </c>
      <c r="K235" s="51" t="str">
        <f>VLOOKUP(표6[[#This Row],[종목]],자격증정보!$A$2:$I$7,2,FALSE) &amp; " " &amp; VLOOKUP(표6[[#This Row],[종목]],자격증정보!$A$2:$I$7,3,FALSE)</f>
        <v>비서 3급</v>
      </c>
      <c r="L235" s="2" t="str">
        <f>TEXT(VLOOKUP(표6[[#This Row],[일정번호]],표2[],6,FALSE), "hh:mm")</f>
        <v>10:00</v>
      </c>
      <c r="M235" s="2" t="str">
        <f>VLOOKUP(표6[[#This Row],[종목]],자격증정보!$A$2:$I$7,9,FALSE)</f>
        <v>40분</v>
      </c>
    </row>
    <row r="236" spans="1:13">
      <c r="A236" s="29">
        <v>238</v>
      </c>
      <c r="B236" s="2">
        <v>25</v>
      </c>
      <c r="C236" s="2">
        <v>6</v>
      </c>
      <c r="D236" s="2">
        <v>147</v>
      </c>
      <c r="E236" s="2">
        <v>12</v>
      </c>
      <c r="F236" s="3">
        <v>44365</v>
      </c>
      <c r="G236" s="3">
        <v>44372</v>
      </c>
      <c r="H236" s="3">
        <v>44373</v>
      </c>
      <c r="I236" s="2">
        <v>70</v>
      </c>
      <c r="J236" s="29" t="s">
        <v>197</v>
      </c>
      <c r="K236" s="51" t="str">
        <f>VLOOKUP(표6[[#This Row],[종목]],자격증정보!$A$2:$I$7,2,FALSE) &amp; " " &amp; VLOOKUP(표6[[#This Row],[종목]],자격증정보!$A$2:$I$7,3,FALSE)</f>
        <v>비서 3급</v>
      </c>
      <c r="L236" s="2" t="str">
        <f>TEXT(VLOOKUP(표6[[#This Row],[일정번호]],표2[],6,FALSE), "hh:mm")</f>
        <v>10:00</v>
      </c>
      <c r="M236" s="2" t="str">
        <f>VLOOKUP(표6[[#This Row],[종목]],자격증정보!$A$2:$I$7,9,FALSE)</f>
        <v>40분</v>
      </c>
    </row>
    <row r="237" spans="1:13">
      <c r="A237" s="29">
        <v>239</v>
      </c>
      <c r="B237" s="2">
        <v>24</v>
      </c>
      <c r="C237" s="2">
        <v>6</v>
      </c>
      <c r="D237" s="2">
        <v>147</v>
      </c>
      <c r="E237" s="2">
        <v>12</v>
      </c>
      <c r="F237" s="3">
        <v>44365</v>
      </c>
      <c r="G237" s="3">
        <v>44372</v>
      </c>
      <c r="H237" s="3">
        <v>44373</v>
      </c>
      <c r="I237" s="2">
        <v>50</v>
      </c>
      <c r="J237" s="29" t="s">
        <v>197</v>
      </c>
      <c r="K237" s="51" t="str">
        <f>VLOOKUP(표6[[#This Row],[종목]],자격증정보!$A$2:$I$7,2,FALSE) &amp; " " &amp; VLOOKUP(표6[[#This Row],[종목]],자격증정보!$A$2:$I$7,3,FALSE)</f>
        <v>비서 3급</v>
      </c>
      <c r="L237" s="2" t="str">
        <f>TEXT(VLOOKUP(표6[[#This Row],[일정번호]],표2[],6,FALSE), "hh:mm")</f>
        <v>10:00</v>
      </c>
      <c r="M237" s="2" t="str">
        <f>VLOOKUP(표6[[#This Row],[종목]],자격증정보!$A$2:$I$7,9,FALSE)</f>
        <v>40분</v>
      </c>
    </row>
    <row r="238" spans="1:13">
      <c r="A238" s="29">
        <v>240</v>
      </c>
      <c r="B238" s="2">
        <v>22</v>
      </c>
      <c r="C238" s="2">
        <v>6</v>
      </c>
      <c r="D238" s="2">
        <v>147</v>
      </c>
      <c r="E238" s="2">
        <v>12</v>
      </c>
      <c r="F238" s="3">
        <v>44365</v>
      </c>
      <c r="G238" s="3">
        <v>44372</v>
      </c>
      <c r="H238" s="3">
        <v>44373</v>
      </c>
      <c r="I238" s="2">
        <v>80</v>
      </c>
      <c r="J238" s="29" t="s">
        <v>198</v>
      </c>
      <c r="K238" s="51" t="str">
        <f>VLOOKUP(표6[[#This Row],[종목]],자격증정보!$A$2:$I$7,2,FALSE) &amp; " " &amp; VLOOKUP(표6[[#This Row],[종목]],자격증정보!$A$2:$I$7,3,FALSE)</f>
        <v>비서 3급</v>
      </c>
      <c r="L238" s="2" t="str">
        <f>TEXT(VLOOKUP(표6[[#This Row],[일정번호]],표2[],6,FALSE), "hh:mm")</f>
        <v>10:00</v>
      </c>
      <c r="M238" s="2" t="str">
        <f>VLOOKUP(표6[[#This Row],[종목]],자격증정보!$A$2:$I$7,9,FALSE)</f>
        <v>40분</v>
      </c>
    </row>
    <row r="239" spans="1:13">
      <c r="A239" s="29">
        <v>241</v>
      </c>
      <c r="B239" s="2">
        <v>21</v>
      </c>
      <c r="C239" s="2">
        <v>6</v>
      </c>
      <c r="D239" s="2">
        <v>147</v>
      </c>
      <c r="E239" s="2">
        <v>12</v>
      </c>
      <c r="F239" s="3">
        <v>44365</v>
      </c>
      <c r="G239" s="3">
        <v>44372</v>
      </c>
      <c r="H239" s="3">
        <v>44373</v>
      </c>
      <c r="I239" s="2">
        <v>90</v>
      </c>
      <c r="J239" s="29" t="s">
        <v>198</v>
      </c>
      <c r="K239" s="51" t="str">
        <f>VLOOKUP(표6[[#This Row],[종목]],자격증정보!$A$2:$I$7,2,FALSE) &amp; " " &amp; VLOOKUP(표6[[#This Row],[종목]],자격증정보!$A$2:$I$7,3,FALSE)</f>
        <v>비서 3급</v>
      </c>
      <c r="L239" s="2" t="str">
        <f>TEXT(VLOOKUP(표6[[#This Row],[일정번호]],표2[],6,FALSE), "hh:mm")</f>
        <v>10:00</v>
      </c>
      <c r="M239" s="2" t="str">
        <f>VLOOKUP(표6[[#This Row],[종목]],자격증정보!$A$2:$I$7,9,FALSE)</f>
        <v>40분</v>
      </c>
    </row>
    <row r="240" spans="1:13">
      <c r="A240" s="29">
        <v>242</v>
      </c>
      <c r="B240" s="2">
        <v>5</v>
      </c>
      <c r="C240" s="2">
        <v>3</v>
      </c>
      <c r="D240" s="2">
        <v>81</v>
      </c>
      <c r="E240" s="2">
        <v>13</v>
      </c>
      <c r="F240" s="3">
        <v>44366</v>
      </c>
      <c r="G240" s="3">
        <v>44373</v>
      </c>
      <c r="H240" s="3">
        <v>44373</v>
      </c>
      <c r="I240" s="2">
        <v>50</v>
      </c>
      <c r="J240" s="29" t="s">
        <v>197</v>
      </c>
      <c r="K240" s="51" t="str">
        <f>VLOOKUP(표6[[#This Row],[종목]],자격증정보!$A$2:$I$7,2,FALSE) &amp; " " &amp; VLOOKUP(표6[[#This Row],[종목]],자격증정보!$A$2:$I$7,3,FALSE)</f>
        <v>컴퓨터활용능력 2급</v>
      </c>
      <c r="L240" s="2" t="str">
        <f>TEXT(VLOOKUP(표6[[#This Row],[일정번호]],표2[],6,FALSE), "hh:mm")</f>
        <v>11:00</v>
      </c>
      <c r="M240" s="2" t="str">
        <f>VLOOKUP(표6[[#This Row],[종목]],자격증정보!$A$2:$I$7,9,FALSE)</f>
        <v>30분</v>
      </c>
    </row>
    <row r="241" spans="1:13">
      <c r="A241" s="29">
        <v>243</v>
      </c>
      <c r="B241" s="2">
        <v>6</v>
      </c>
      <c r="C241" s="2">
        <v>3</v>
      </c>
      <c r="D241" s="2">
        <v>81</v>
      </c>
      <c r="E241" s="2">
        <v>13</v>
      </c>
      <c r="F241" s="3">
        <v>44366</v>
      </c>
      <c r="G241" s="3">
        <v>44373</v>
      </c>
      <c r="H241" s="3">
        <v>44373</v>
      </c>
      <c r="I241" s="2">
        <v>40</v>
      </c>
      <c r="J241" s="29" t="s">
        <v>197</v>
      </c>
      <c r="K241" s="51" t="str">
        <f>VLOOKUP(표6[[#This Row],[종목]],자격증정보!$A$2:$I$7,2,FALSE) &amp; " " &amp; VLOOKUP(표6[[#This Row],[종목]],자격증정보!$A$2:$I$7,3,FALSE)</f>
        <v>컴퓨터활용능력 2급</v>
      </c>
      <c r="L241" s="2" t="str">
        <f>TEXT(VLOOKUP(표6[[#This Row],[일정번호]],표2[],6,FALSE), "hh:mm")</f>
        <v>11:00</v>
      </c>
      <c r="M241" s="2" t="str">
        <f>VLOOKUP(표6[[#This Row],[종목]],자격증정보!$A$2:$I$7,9,FALSE)</f>
        <v>30분</v>
      </c>
    </row>
    <row r="242" spans="1:13">
      <c r="A242" s="29">
        <v>327</v>
      </c>
      <c r="B242" s="2">
        <v>7</v>
      </c>
      <c r="C242" s="2">
        <v>1</v>
      </c>
      <c r="D242" s="2">
        <v>74</v>
      </c>
      <c r="E242" s="2">
        <v>23</v>
      </c>
      <c r="F242" s="3">
        <v>44376</v>
      </c>
      <c r="G242" s="3">
        <v>44383</v>
      </c>
      <c r="H242" s="3">
        <v>44384</v>
      </c>
      <c r="I242" s="2">
        <v>20</v>
      </c>
      <c r="J242" s="29" t="s">
        <v>197</v>
      </c>
      <c r="K242" s="51" t="str">
        <f>VLOOKUP(표6[[#This Row],[종목]],자격증정보!$A$2:$I$7,2,FALSE) &amp; " " &amp; VLOOKUP(표6[[#This Row],[종목]],자격증정보!$A$2:$I$7,3,FALSE)</f>
        <v>워드프로세서 단일</v>
      </c>
      <c r="L242" s="2" t="str">
        <f>TEXT(VLOOKUP(표6[[#This Row],[일정번호]],표2[],6,FALSE), "hh:mm")</f>
        <v>14:00</v>
      </c>
      <c r="M242" s="2" t="str">
        <f>VLOOKUP(표6[[#This Row],[종목]],자격증정보!$A$2:$I$7,9,FALSE)</f>
        <v>30분</v>
      </c>
    </row>
    <row r="243" spans="1:13">
      <c r="A243" s="29">
        <v>245</v>
      </c>
      <c r="B243" s="2">
        <v>8</v>
      </c>
      <c r="C243" s="2">
        <v>3</v>
      </c>
      <c r="D243" s="2">
        <v>81</v>
      </c>
      <c r="E243" s="2">
        <v>13</v>
      </c>
      <c r="F243" s="3">
        <v>44366</v>
      </c>
      <c r="G243" s="3">
        <v>44373</v>
      </c>
      <c r="H243" s="3">
        <v>44373</v>
      </c>
      <c r="I243" s="2">
        <v>50</v>
      </c>
      <c r="J243" s="29" t="s">
        <v>197</v>
      </c>
      <c r="K243" s="51" t="str">
        <f>VLOOKUP(표6[[#This Row],[종목]],자격증정보!$A$2:$I$7,2,FALSE) &amp; " " &amp; VLOOKUP(표6[[#This Row],[종목]],자격증정보!$A$2:$I$7,3,FALSE)</f>
        <v>컴퓨터활용능력 2급</v>
      </c>
      <c r="L243" s="2" t="str">
        <f>TEXT(VLOOKUP(표6[[#This Row],[일정번호]],표2[],6,FALSE), "hh:mm")</f>
        <v>11:00</v>
      </c>
      <c r="M243" s="2" t="str">
        <f>VLOOKUP(표6[[#This Row],[종목]],자격증정보!$A$2:$I$7,9,FALSE)</f>
        <v>30분</v>
      </c>
    </row>
    <row r="244" spans="1:13">
      <c r="A244" s="29">
        <v>246</v>
      </c>
      <c r="B244" s="2">
        <v>15</v>
      </c>
      <c r="C244" s="2">
        <v>6</v>
      </c>
      <c r="D244" s="2">
        <v>148</v>
      </c>
      <c r="E244" s="2">
        <v>13</v>
      </c>
      <c r="F244" s="3">
        <v>44366</v>
      </c>
      <c r="G244" s="3">
        <v>44373</v>
      </c>
      <c r="H244" s="3">
        <v>44374</v>
      </c>
      <c r="I244" s="2">
        <v>100</v>
      </c>
      <c r="J244" s="29" t="s">
        <v>198</v>
      </c>
      <c r="K244" s="51" t="str">
        <f>VLOOKUP(표6[[#This Row],[종목]],자격증정보!$A$2:$I$7,2,FALSE) &amp; " " &amp; VLOOKUP(표6[[#This Row],[종목]],자격증정보!$A$2:$I$7,3,FALSE)</f>
        <v>비서 3급</v>
      </c>
      <c r="L244" s="2" t="str">
        <f>TEXT(VLOOKUP(표6[[#This Row],[일정번호]],표2[],6,FALSE), "hh:mm")</f>
        <v>11:30</v>
      </c>
      <c r="M244" s="2" t="str">
        <f>VLOOKUP(표6[[#This Row],[종목]],자격증정보!$A$2:$I$7,9,FALSE)</f>
        <v>40분</v>
      </c>
    </row>
    <row r="245" spans="1:13">
      <c r="A245" s="29">
        <v>247</v>
      </c>
      <c r="B245" s="2">
        <v>14</v>
      </c>
      <c r="C245" s="2">
        <v>6</v>
      </c>
      <c r="D245" s="2">
        <v>148</v>
      </c>
      <c r="E245" s="2">
        <v>13</v>
      </c>
      <c r="F245" s="3">
        <v>44366</v>
      </c>
      <c r="G245" s="3">
        <v>44373</v>
      </c>
      <c r="H245" s="3">
        <v>44374</v>
      </c>
      <c r="I245" s="2">
        <v>50</v>
      </c>
      <c r="J245" s="29" t="s">
        <v>197</v>
      </c>
      <c r="K245" s="51" t="str">
        <f>VLOOKUP(표6[[#This Row],[종목]],자격증정보!$A$2:$I$7,2,FALSE) &amp; " " &amp; VLOOKUP(표6[[#This Row],[종목]],자격증정보!$A$2:$I$7,3,FALSE)</f>
        <v>비서 3급</v>
      </c>
      <c r="L245" s="2" t="str">
        <f>TEXT(VLOOKUP(표6[[#This Row],[일정번호]],표2[],6,FALSE), "hh:mm")</f>
        <v>11:30</v>
      </c>
      <c r="M245" s="2" t="str">
        <f>VLOOKUP(표6[[#This Row],[종목]],자격증정보!$A$2:$I$7,9,FALSE)</f>
        <v>40분</v>
      </c>
    </row>
    <row r="246" spans="1:13">
      <c r="A246" s="29">
        <v>248</v>
      </c>
      <c r="B246" s="2">
        <v>11</v>
      </c>
      <c r="C246" s="2">
        <v>6</v>
      </c>
      <c r="D246" s="2">
        <v>148</v>
      </c>
      <c r="E246" s="2">
        <v>13</v>
      </c>
      <c r="F246" s="3">
        <v>44366</v>
      </c>
      <c r="G246" s="3">
        <v>44373</v>
      </c>
      <c r="H246" s="3">
        <v>44374</v>
      </c>
      <c r="I246" s="2">
        <v>90</v>
      </c>
      <c r="J246" s="29" t="s">
        <v>198</v>
      </c>
      <c r="K246" s="51" t="str">
        <f>VLOOKUP(표6[[#This Row],[종목]],자격증정보!$A$2:$I$7,2,FALSE) &amp; " " &amp; VLOOKUP(표6[[#This Row],[종목]],자격증정보!$A$2:$I$7,3,FALSE)</f>
        <v>비서 3급</v>
      </c>
      <c r="L246" s="2" t="str">
        <f>TEXT(VLOOKUP(표6[[#This Row],[일정번호]],표2[],6,FALSE), "hh:mm")</f>
        <v>11:30</v>
      </c>
      <c r="M246" s="2" t="str">
        <f>VLOOKUP(표6[[#This Row],[종목]],자격증정보!$A$2:$I$7,9,FALSE)</f>
        <v>40분</v>
      </c>
    </row>
    <row r="247" spans="1:13">
      <c r="A247" s="29">
        <v>249</v>
      </c>
      <c r="B247" s="2">
        <v>12</v>
      </c>
      <c r="C247" s="2">
        <v>6</v>
      </c>
      <c r="D247" s="2">
        <v>148</v>
      </c>
      <c r="E247" s="2">
        <v>13</v>
      </c>
      <c r="F247" s="3">
        <v>44366</v>
      </c>
      <c r="G247" s="3">
        <v>44373</v>
      </c>
      <c r="H247" s="3">
        <v>44374</v>
      </c>
      <c r="I247" s="2">
        <v>80</v>
      </c>
      <c r="J247" s="29" t="s">
        <v>198</v>
      </c>
      <c r="K247" s="51" t="str">
        <f>VLOOKUP(표6[[#This Row],[종목]],자격증정보!$A$2:$I$7,2,FALSE) &amp; " " &amp; VLOOKUP(표6[[#This Row],[종목]],자격증정보!$A$2:$I$7,3,FALSE)</f>
        <v>비서 3급</v>
      </c>
      <c r="L247" s="2" t="str">
        <f>TEXT(VLOOKUP(표6[[#This Row],[일정번호]],표2[],6,FALSE), "hh:mm")</f>
        <v>11:30</v>
      </c>
      <c r="M247" s="2" t="str">
        <f>VLOOKUP(표6[[#This Row],[종목]],자격증정보!$A$2:$I$7,9,FALSE)</f>
        <v>40분</v>
      </c>
    </row>
    <row r="248" spans="1:13">
      <c r="A248" s="29">
        <v>250</v>
      </c>
      <c r="B248" s="2">
        <v>2</v>
      </c>
      <c r="C248" s="2">
        <v>6</v>
      </c>
      <c r="D248" s="2">
        <v>148</v>
      </c>
      <c r="E248" s="2">
        <v>13</v>
      </c>
      <c r="F248" s="3">
        <v>44366</v>
      </c>
      <c r="G248" s="3">
        <v>44373</v>
      </c>
      <c r="H248" s="3">
        <v>44374</v>
      </c>
      <c r="I248" s="2">
        <v>90</v>
      </c>
      <c r="J248" s="29" t="s">
        <v>198</v>
      </c>
      <c r="K248" s="51" t="str">
        <f>VLOOKUP(표6[[#This Row],[종목]],자격증정보!$A$2:$I$7,2,FALSE) &amp; " " &amp; VLOOKUP(표6[[#This Row],[종목]],자격증정보!$A$2:$I$7,3,FALSE)</f>
        <v>비서 3급</v>
      </c>
      <c r="L248" s="2" t="str">
        <f>TEXT(VLOOKUP(표6[[#This Row],[일정번호]],표2[],6,FALSE), "hh:mm")</f>
        <v>11:30</v>
      </c>
      <c r="M248" s="2" t="str">
        <f>VLOOKUP(표6[[#This Row],[종목]],자격증정보!$A$2:$I$7,9,FALSE)</f>
        <v>40분</v>
      </c>
    </row>
    <row r="249" spans="1:13">
      <c r="A249" s="29">
        <v>251</v>
      </c>
      <c r="B249" s="2">
        <v>4</v>
      </c>
      <c r="C249" s="2">
        <v>6</v>
      </c>
      <c r="D249" s="2">
        <v>148</v>
      </c>
      <c r="E249" s="2">
        <v>13</v>
      </c>
      <c r="F249" s="3">
        <v>44366</v>
      </c>
      <c r="G249" s="3">
        <v>44373</v>
      </c>
      <c r="H249" s="3">
        <v>44374</v>
      </c>
      <c r="I249" s="2">
        <v>90</v>
      </c>
      <c r="J249" s="29" t="s">
        <v>198</v>
      </c>
      <c r="K249" s="51" t="str">
        <f>VLOOKUP(표6[[#This Row],[종목]],자격증정보!$A$2:$I$7,2,FALSE) &amp; " " &amp; VLOOKUP(표6[[#This Row],[종목]],자격증정보!$A$2:$I$7,3,FALSE)</f>
        <v>비서 3급</v>
      </c>
      <c r="L249" s="2" t="str">
        <f>TEXT(VLOOKUP(표6[[#This Row],[일정번호]],표2[],6,FALSE), "hh:mm")</f>
        <v>11:30</v>
      </c>
      <c r="M249" s="2" t="str">
        <f>VLOOKUP(표6[[#This Row],[종목]],자격증정보!$A$2:$I$7,9,FALSE)</f>
        <v>40분</v>
      </c>
    </row>
    <row r="250" spans="1:13">
      <c r="A250" s="29">
        <v>252</v>
      </c>
      <c r="B250" s="2">
        <v>9</v>
      </c>
      <c r="C250" s="2">
        <v>3</v>
      </c>
      <c r="D250" s="2">
        <v>84</v>
      </c>
      <c r="E250" s="2">
        <v>14</v>
      </c>
      <c r="F250" s="3">
        <v>44368</v>
      </c>
      <c r="G250" s="3">
        <v>44375</v>
      </c>
      <c r="H250" s="3">
        <v>44375</v>
      </c>
      <c r="I250" s="2">
        <v>30</v>
      </c>
      <c r="J250" s="29" t="s">
        <v>197</v>
      </c>
      <c r="K250" s="51" t="str">
        <f>VLOOKUP(표6[[#This Row],[종목]],자격증정보!$A$2:$I$7,2,FALSE) &amp; " " &amp; VLOOKUP(표6[[#This Row],[종목]],자격증정보!$A$2:$I$7,3,FALSE)</f>
        <v>컴퓨터활용능력 2급</v>
      </c>
      <c r="L250" s="2" t="str">
        <f>TEXT(VLOOKUP(표6[[#This Row],[일정번호]],표2[],6,FALSE), "hh:mm")</f>
        <v>14:00</v>
      </c>
      <c r="M250" s="2" t="str">
        <f>VLOOKUP(표6[[#This Row],[종목]],자격증정보!$A$2:$I$7,9,FALSE)</f>
        <v>30분</v>
      </c>
    </row>
    <row r="251" spans="1:13">
      <c r="A251" s="29">
        <v>253</v>
      </c>
      <c r="B251" s="2">
        <v>10</v>
      </c>
      <c r="C251" s="2">
        <v>3</v>
      </c>
      <c r="D251" s="2">
        <v>84</v>
      </c>
      <c r="E251" s="2">
        <v>14</v>
      </c>
      <c r="F251" s="3">
        <v>44368</v>
      </c>
      <c r="G251" s="3">
        <v>44375</v>
      </c>
      <c r="H251" s="3">
        <v>44375</v>
      </c>
      <c r="I251" s="2">
        <v>40</v>
      </c>
      <c r="J251" s="29" t="s">
        <v>197</v>
      </c>
      <c r="K251" s="51" t="str">
        <f>VLOOKUP(표6[[#This Row],[종목]],자격증정보!$A$2:$I$7,2,FALSE) &amp; " " &amp; VLOOKUP(표6[[#This Row],[종목]],자격증정보!$A$2:$I$7,3,FALSE)</f>
        <v>컴퓨터활용능력 2급</v>
      </c>
      <c r="L251" s="2" t="str">
        <f>TEXT(VLOOKUP(표6[[#This Row],[일정번호]],표2[],6,FALSE), "hh:mm")</f>
        <v>14:00</v>
      </c>
      <c r="M251" s="2" t="str">
        <f>VLOOKUP(표6[[#This Row],[종목]],자격증정보!$A$2:$I$7,9,FALSE)</f>
        <v>30분</v>
      </c>
    </row>
    <row r="252" spans="1:13">
      <c r="A252" s="29">
        <v>254</v>
      </c>
      <c r="B252" s="2">
        <v>11</v>
      </c>
      <c r="C252" s="2">
        <v>3</v>
      </c>
      <c r="D252" s="2">
        <v>84</v>
      </c>
      <c r="E252" s="2">
        <v>14</v>
      </c>
      <c r="F252" s="3">
        <v>44368</v>
      </c>
      <c r="G252" s="3">
        <v>44375</v>
      </c>
      <c r="H252" s="3">
        <v>44375</v>
      </c>
      <c r="I252" s="2">
        <v>60</v>
      </c>
      <c r="J252" s="29" t="s">
        <v>197</v>
      </c>
      <c r="K252" s="51" t="str">
        <f>VLOOKUP(표6[[#This Row],[종목]],자격증정보!$A$2:$I$7,2,FALSE) &amp; " " &amp; VLOOKUP(표6[[#This Row],[종목]],자격증정보!$A$2:$I$7,3,FALSE)</f>
        <v>컴퓨터활용능력 2급</v>
      </c>
      <c r="L252" s="2" t="str">
        <f>TEXT(VLOOKUP(표6[[#This Row],[일정번호]],표2[],6,FALSE), "hh:mm")</f>
        <v>14:00</v>
      </c>
      <c r="M252" s="2" t="str">
        <f>VLOOKUP(표6[[#This Row],[종목]],자격증정보!$A$2:$I$7,9,FALSE)</f>
        <v>30분</v>
      </c>
    </row>
    <row r="253" spans="1:13">
      <c r="A253" s="29">
        <v>255</v>
      </c>
      <c r="B253" s="2">
        <v>12</v>
      </c>
      <c r="C253" s="2">
        <v>3</v>
      </c>
      <c r="D253" s="2">
        <v>84</v>
      </c>
      <c r="E253" s="2">
        <v>14</v>
      </c>
      <c r="F253" s="3">
        <v>44368</v>
      </c>
      <c r="G253" s="3">
        <v>44375</v>
      </c>
      <c r="H253" s="3">
        <v>44375</v>
      </c>
      <c r="I253" s="2">
        <v>50</v>
      </c>
      <c r="J253" s="29" t="s">
        <v>197</v>
      </c>
      <c r="K253" s="51" t="str">
        <f>VLOOKUP(표6[[#This Row],[종목]],자격증정보!$A$2:$I$7,2,FALSE) &amp; " " &amp; VLOOKUP(표6[[#This Row],[종목]],자격증정보!$A$2:$I$7,3,FALSE)</f>
        <v>컴퓨터활용능력 2급</v>
      </c>
      <c r="L253" s="2" t="str">
        <f>TEXT(VLOOKUP(표6[[#This Row],[일정번호]],표2[],6,FALSE), "hh:mm")</f>
        <v>14:00</v>
      </c>
      <c r="M253" s="2" t="str">
        <f>VLOOKUP(표6[[#This Row],[종목]],자격증정보!$A$2:$I$7,9,FALSE)</f>
        <v>30분</v>
      </c>
    </row>
    <row r="254" spans="1:13">
      <c r="A254" s="29">
        <v>256</v>
      </c>
      <c r="B254" s="2">
        <v>20</v>
      </c>
      <c r="C254" s="2">
        <v>3</v>
      </c>
      <c r="D254" s="2">
        <v>84</v>
      </c>
      <c r="E254" s="2">
        <v>14</v>
      </c>
      <c r="F254" s="3">
        <v>44368</v>
      </c>
      <c r="G254" s="3">
        <v>44375</v>
      </c>
      <c r="H254" s="3">
        <v>44375</v>
      </c>
      <c r="I254" s="2">
        <v>50</v>
      </c>
      <c r="J254" s="29" t="s">
        <v>197</v>
      </c>
      <c r="K254" s="51" t="str">
        <f>VLOOKUP(표6[[#This Row],[종목]],자격증정보!$A$2:$I$7,2,FALSE) &amp; " " &amp; VLOOKUP(표6[[#This Row],[종목]],자격증정보!$A$2:$I$7,3,FALSE)</f>
        <v>컴퓨터활용능력 2급</v>
      </c>
      <c r="L254" s="2" t="str">
        <f>TEXT(VLOOKUP(표6[[#This Row],[일정번호]],표2[],6,FALSE), "hh:mm")</f>
        <v>14:00</v>
      </c>
      <c r="M254" s="2" t="str">
        <f>VLOOKUP(표6[[#This Row],[종목]],자격증정보!$A$2:$I$7,9,FALSE)</f>
        <v>30분</v>
      </c>
    </row>
    <row r="255" spans="1:13">
      <c r="A255" s="29">
        <v>257</v>
      </c>
      <c r="B255" s="2">
        <v>25</v>
      </c>
      <c r="C255" s="2">
        <v>3</v>
      </c>
      <c r="D255" s="2">
        <v>90</v>
      </c>
      <c r="E255" s="2">
        <v>15</v>
      </c>
      <c r="F255" s="3">
        <v>44368</v>
      </c>
      <c r="G255" s="3">
        <v>44375</v>
      </c>
      <c r="H255" s="3">
        <v>44375</v>
      </c>
      <c r="I255" s="2">
        <v>0</v>
      </c>
      <c r="J255" s="29" t="s">
        <v>197</v>
      </c>
      <c r="K255" s="51" t="str">
        <f>VLOOKUP(표6[[#This Row],[종목]],자격증정보!$A$2:$I$7,2,FALSE) &amp; " " &amp; VLOOKUP(표6[[#This Row],[종목]],자격증정보!$A$2:$I$7,3,FALSE)</f>
        <v>컴퓨터활용능력 2급</v>
      </c>
      <c r="L255" s="2" t="str">
        <f>TEXT(VLOOKUP(표6[[#This Row],[일정번호]],표2[],6,FALSE), "hh:mm")</f>
        <v>09:00</v>
      </c>
      <c r="M255" s="2" t="str">
        <f>VLOOKUP(표6[[#This Row],[종목]],자격증정보!$A$2:$I$7,9,FALSE)</f>
        <v>30분</v>
      </c>
    </row>
    <row r="256" spans="1:13">
      <c r="A256" s="29">
        <v>258</v>
      </c>
      <c r="B256" s="2">
        <v>26</v>
      </c>
      <c r="C256" s="2">
        <v>3</v>
      </c>
      <c r="D256" s="2">
        <v>90</v>
      </c>
      <c r="E256" s="2">
        <v>15</v>
      </c>
      <c r="F256" s="3">
        <v>44368</v>
      </c>
      <c r="G256" s="3">
        <v>44375</v>
      </c>
      <c r="H256" s="3">
        <v>44375</v>
      </c>
      <c r="I256" s="2">
        <v>20</v>
      </c>
      <c r="J256" s="29" t="s">
        <v>197</v>
      </c>
      <c r="K256" s="51" t="str">
        <f>VLOOKUP(표6[[#This Row],[종목]],자격증정보!$A$2:$I$7,2,FALSE) &amp; " " &amp; VLOOKUP(표6[[#This Row],[종목]],자격증정보!$A$2:$I$7,3,FALSE)</f>
        <v>컴퓨터활용능력 2급</v>
      </c>
      <c r="L256" s="2" t="str">
        <f>TEXT(VLOOKUP(표6[[#This Row],[일정번호]],표2[],6,FALSE), "hh:mm")</f>
        <v>09:00</v>
      </c>
      <c r="M256" s="2" t="str">
        <f>VLOOKUP(표6[[#This Row],[종목]],자격증정보!$A$2:$I$7,9,FALSE)</f>
        <v>30분</v>
      </c>
    </row>
    <row r="257" spans="1:13">
      <c r="A257" s="29">
        <v>259</v>
      </c>
      <c r="B257" s="2">
        <v>27</v>
      </c>
      <c r="C257" s="2">
        <v>3</v>
      </c>
      <c r="D257" s="2">
        <v>90</v>
      </c>
      <c r="E257" s="2">
        <v>15</v>
      </c>
      <c r="F257" s="3">
        <v>44368</v>
      </c>
      <c r="G257" s="3">
        <v>44375</v>
      </c>
      <c r="H257" s="3">
        <v>44375</v>
      </c>
      <c r="I257" s="2">
        <v>50</v>
      </c>
      <c r="J257" s="29" t="s">
        <v>197</v>
      </c>
      <c r="K257" s="51" t="str">
        <f>VLOOKUP(표6[[#This Row],[종목]],자격증정보!$A$2:$I$7,2,FALSE) &amp; " " &amp; VLOOKUP(표6[[#This Row],[종목]],자격증정보!$A$2:$I$7,3,FALSE)</f>
        <v>컴퓨터활용능력 2급</v>
      </c>
      <c r="L257" s="2" t="str">
        <f>TEXT(VLOOKUP(표6[[#This Row],[일정번호]],표2[],6,FALSE), "hh:mm")</f>
        <v>09:00</v>
      </c>
      <c r="M257" s="2" t="str">
        <f>VLOOKUP(표6[[#This Row],[종목]],자격증정보!$A$2:$I$7,9,FALSE)</f>
        <v>30분</v>
      </c>
    </row>
    <row r="258" spans="1:13">
      <c r="A258" s="29">
        <v>260</v>
      </c>
      <c r="B258" s="2">
        <v>28</v>
      </c>
      <c r="C258" s="2">
        <v>3</v>
      </c>
      <c r="D258" s="2">
        <v>90</v>
      </c>
      <c r="E258" s="2">
        <v>15</v>
      </c>
      <c r="F258" s="3">
        <v>44368</v>
      </c>
      <c r="G258" s="3">
        <v>44375</v>
      </c>
      <c r="H258" s="3">
        <v>44375</v>
      </c>
      <c r="I258" s="2">
        <v>40</v>
      </c>
      <c r="J258" s="29" t="s">
        <v>197</v>
      </c>
      <c r="K258" s="51" t="str">
        <f>VLOOKUP(표6[[#This Row],[종목]],자격증정보!$A$2:$I$7,2,FALSE) &amp; " " &amp; VLOOKUP(표6[[#This Row],[종목]],자격증정보!$A$2:$I$7,3,FALSE)</f>
        <v>컴퓨터활용능력 2급</v>
      </c>
      <c r="L258" s="2" t="str">
        <f>TEXT(VLOOKUP(표6[[#This Row],[일정번호]],표2[],6,FALSE), "hh:mm")</f>
        <v>09:00</v>
      </c>
      <c r="M258" s="2" t="str">
        <f>VLOOKUP(표6[[#This Row],[종목]],자격증정보!$A$2:$I$7,9,FALSE)</f>
        <v>30분</v>
      </c>
    </row>
    <row r="259" spans="1:13">
      <c r="A259" s="29">
        <v>261</v>
      </c>
      <c r="B259" s="2">
        <v>29</v>
      </c>
      <c r="C259" s="2">
        <v>3</v>
      </c>
      <c r="D259" s="2">
        <v>90</v>
      </c>
      <c r="E259" s="2">
        <v>15</v>
      </c>
      <c r="F259" s="3">
        <v>44368</v>
      </c>
      <c r="G259" s="3">
        <v>44375</v>
      </c>
      <c r="H259" s="3">
        <v>44375</v>
      </c>
      <c r="I259" s="2">
        <v>30</v>
      </c>
      <c r="J259" s="29" t="s">
        <v>197</v>
      </c>
      <c r="K259" s="51" t="str">
        <f>VLOOKUP(표6[[#This Row],[종목]],자격증정보!$A$2:$I$7,2,FALSE) &amp; " " &amp; VLOOKUP(표6[[#This Row],[종목]],자격증정보!$A$2:$I$7,3,FALSE)</f>
        <v>컴퓨터활용능력 2급</v>
      </c>
      <c r="L259" s="2" t="str">
        <f>TEXT(VLOOKUP(표6[[#This Row],[일정번호]],표2[],6,FALSE), "hh:mm")</f>
        <v>09:00</v>
      </c>
      <c r="M259" s="2" t="str">
        <f>VLOOKUP(표6[[#This Row],[종목]],자격증정보!$A$2:$I$7,9,FALSE)</f>
        <v>30분</v>
      </c>
    </row>
    <row r="260" spans="1:13">
      <c r="A260" s="29">
        <v>262</v>
      </c>
      <c r="B260" s="2">
        <v>26</v>
      </c>
      <c r="C260" s="2">
        <v>3</v>
      </c>
      <c r="D260" s="2">
        <v>95</v>
      </c>
      <c r="E260" s="2">
        <v>16</v>
      </c>
      <c r="F260" s="3">
        <v>44368</v>
      </c>
      <c r="G260" s="3">
        <v>44375</v>
      </c>
      <c r="H260" s="3">
        <v>44375</v>
      </c>
      <c r="I260" s="2">
        <v>20</v>
      </c>
      <c r="J260" s="29" t="s">
        <v>197</v>
      </c>
      <c r="K260" s="51" t="str">
        <f>VLOOKUP(표6[[#This Row],[종목]],자격증정보!$A$2:$I$7,2,FALSE) &amp; " " &amp; VLOOKUP(표6[[#This Row],[종목]],자격증정보!$A$2:$I$7,3,FALSE)</f>
        <v>컴퓨터활용능력 2급</v>
      </c>
      <c r="L260" s="2" t="str">
        <f>TEXT(VLOOKUP(표6[[#This Row],[일정번호]],표2[],6,FALSE), "hh:mm")</f>
        <v>13:00</v>
      </c>
      <c r="M260" s="2" t="str">
        <f>VLOOKUP(표6[[#This Row],[종목]],자격증정보!$A$2:$I$7,9,FALSE)</f>
        <v>30분</v>
      </c>
    </row>
    <row r="261" spans="1:13">
      <c r="A261" s="29">
        <v>263</v>
      </c>
      <c r="B261" s="2">
        <v>27</v>
      </c>
      <c r="C261" s="2">
        <v>3</v>
      </c>
      <c r="D261" s="2">
        <v>95</v>
      </c>
      <c r="E261" s="2">
        <v>16</v>
      </c>
      <c r="F261" s="3">
        <v>44368</v>
      </c>
      <c r="G261" s="3">
        <v>44375</v>
      </c>
      <c r="H261" s="3">
        <v>44375</v>
      </c>
      <c r="I261" s="2">
        <v>30</v>
      </c>
      <c r="J261" s="29" t="s">
        <v>197</v>
      </c>
      <c r="K261" s="51" t="str">
        <f>VLOOKUP(표6[[#This Row],[종목]],자격증정보!$A$2:$I$7,2,FALSE) &amp; " " &amp; VLOOKUP(표6[[#This Row],[종목]],자격증정보!$A$2:$I$7,3,FALSE)</f>
        <v>컴퓨터활용능력 2급</v>
      </c>
      <c r="L261" s="2" t="str">
        <f>TEXT(VLOOKUP(표6[[#This Row],[일정번호]],표2[],6,FALSE), "hh:mm")</f>
        <v>13:00</v>
      </c>
      <c r="M261" s="2" t="str">
        <f>VLOOKUP(표6[[#This Row],[종목]],자격증정보!$A$2:$I$7,9,FALSE)</f>
        <v>30분</v>
      </c>
    </row>
    <row r="262" spans="1:13">
      <c r="A262" s="29">
        <v>264</v>
      </c>
      <c r="B262" s="2">
        <v>28</v>
      </c>
      <c r="C262" s="2">
        <v>3</v>
      </c>
      <c r="D262" s="2">
        <v>95</v>
      </c>
      <c r="E262" s="2">
        <v>16</v>
      </c>
      <c r="F262" s="3">
        <v>44368</v>
      </c>
      <c r="G262" s="3">
        <v>44375</v>
      </c>
      <c r="H262" s="3">
        <v>44375</v>
      </c>
      <c r="I262" s="2">
        <v>60</v>
      </c>
      <c r="J262" s="29" t="s">
        <v>197</v>
      </c>
      <c r="K262" s="51" t="str">
        <f>VLOOKUP(표6[[#This Row],[종목]],자격증정보!$A$2:$I$7,2,FALSE) &amp; " " &amp; VLOOKUP(표6[[#This Row],[종목]],자격증정보!$A$2:$I$7,3,FALSE)</f>
        <v>컴퓨터활용능력 2급</v>
      </c>
      <c r="L262" s="2" t="str">
        <f>TEXT(VLOOKUP(표6[[#This Row],[일정번호]],표2[],6,FALSE), "hh:mm")</f>
        <v>13:00</v>
      </c>
      <c r="M262" s="2" t="str">
        <f>VLOOKUP(표6[[#This Row],[종목]],자격증정보!$A$2:$I$7,9,FALSE)</f>
        <v>30분</v>
      </c>
    </row>
    <row r="263" spans="1:13">
      <c r="A263" s="29">
        <v>265</v>
      </c>
      <c r="B263" s="2">
        <v>30</v>
      </c>
      <c r="C263" s="2">
        <v>3</v>
      </c>
      <c r="D263" s="2">
        <v>95</v>
      </c>
      <c r="E263" s="2">
        <v>16</v>
      </c>
      <c r="F263" s="3">
        <v>44368</v>
      </c>
      <c r="G263" s="3">
        <v>44375</v>
      </c>
      <c r="H263" s="3">
        <v>44375</v>
      </c>
      <c r="I263" s="2">
        <v>10</v>
      </c>
      <c r="J263" s="29" t="s">
        <v>197</v>
      </c>
      <c r="K263" s="51" t="str">
        <f>VLOOKUP(표6[[#This Row],[종목]],자격증정보!$A$2:$I$7,2,FALSE) &amp; " " &amp; VLOOKUP(표6[[#This Row],[종목]],자격증정보!$A$2:$I$7,3,FALSE)</f>
        <v>컴퓨터활용능력 2급</v>
      </c>
      <c r="L263" s="2" t="str">
        <f>TEXT(VLOOKUP(표6[[#This Row],[일정번호]],표2[],6,FALSE), "hh:mm")</f>
        <v>13:00</v>
      </c>
      <c r="M263" s="2" t="str">
        <f>VLOOKUP(표6[[#This Row],[종목]],자격증정보!$A$2:$I$7,9,FALSE)</f>
        <v>30분</v>
      </c>
    </row>
    <row r="264" spans="1:13">
      <c r="A264" s="29">
        <v>266</v>
      </c>
      <c r="B264" s="2">
        <v>3</v>
      </c>
      <c r="C264" s="2">
        <v>3</v>
      </c>
      <c r="D264" s="2">
        <v>95</v>
      </c>
      <c r="E264" s="2">
        <v>16</v>
      </c>
      <c r="F264" s="3">
        <v>44368</v>
      </c>
      <c r="G264" s="3">
        <v>44375</v>
      </c>
      <c r="H264" s="3">
        <v>44375</v>
      </c>
      <c r="I264" s="2">
        <v>60</v>
      </c>
      <c r="J264" s="29" t="s">
        <v>197</v>
      </c>
      <c r="K264" s="51" t="str">
        <f>VLOOKUP(표6[[#This Row],[종목]],자격증정보!$A$2:$I$7,2,FALSE) &amp; " " &amp; VLOOKUP(표6[[#This Row],[종목]],자격증정보!$A$2:$I$7,3,FALSE)</f>
        <v>컴퓨터활용능력 2급</v>
      </c>
      <c r="L264" s="2" t="str">
        <f>TEXT(VLOOKUP(표6[[#This Row],[일정번호]],표2[],6,FALSE), "hh:mm")</f>
        <v>13:00</v>
      </c>
      <c r="M264" s="2" t="str">
        <f>VLOOKUP(표6[[#This Row],[종목]],자격증정보!$A$2:$I$7,9,FALSE)</f>
        <v>30분</v>
      </c>
    </row>
    <row r="265" spans="1:13">
      <c r="A265" s="29">
        <v>267</v>
      </c>
      <c r="B265" s="2">
        <v>15</v>
      </c>
      <c r="C265" s="2">
        <v>3</v>
      </c>
      <c r="D265" s="2">
        <v>98</v>
      </c>
      <c r="E265" s="2">
        <v>17</v>
      </c>
      <c r="F265" s="3">
        <v>44368</v>
      </c>
      <c r="G265" s="3">
        <v>44375</v>
      </c>
      <c r="H265" s="3">
        <v>44375</v>
      </c>
      <c r="I265" s="2">
        <v>0</v>
      </c>
      <c r="J265" s="29" t="s">
        <v>197</v>
      </c>
      <c r="K265" s="51" t="str">
        <f>VLOOKUP(표6[[#This Row],[종목]],자격증정보!$A$2:$I$7,2,FALSE) &amp; " " &amp; VLOOKUP(표6[[#This Row],[종목]],자격증정보!$A$2:$I$7,3,FALSE)</f>
        <v>컴퓨터활용능력 2급</v>
      </c>
      <c r="L265" s="2" t="str">
        <f>TEXT(VLOOKUP(표6[[#This Row],[일정번호]],표2[],6,FALSE), "hh:mm")</f>
        <v>11:00</v>
      </c>
      <c r="M265" s="2" t="str">
        <f>VLOOKUP(표6[[#This Row],[종목]],자격증정보!$A$2:$I$7,9,FALSE)</f>
        <v>30분</v>
      </c>
    </row>
    <row r="266" spans="1:13">
      <c r="A266" s="29">
        <v>268</v>
      </c>
      <c r="B266" s="2">
        <v>26</v>
      </c>
      <c r="C266" s="2">
        <v>3</v>
      </c>
      <c r="D266" s="2">
        <v>98</v>
      </c>
      <c r="E266" s="2">
        <v>17</v>
      </c>
      <c r="F266" s="3">
        <v>44368</v>
      </c>
      <c r="G266" s="3">
        <v>44375</v>
      </c>
      <c r="H266" s="3">
        <v>44375</v>
      </c>
      <c r="I266" s="2">
        <v>50</v>
      </c>
      <c r="J266" s="29" t="s">
        <v>197</v>
      </c>
      <c r="K266" s="51" t="str">
        <f>VLOOKUP(표6[[#This Row],[종목]],자격증정보!$A$2:$I$7,2,FALSE) &amp; " " &amp; VLOOKUP(표6[[#This Row],[종목]],자격증정보!$A$2:$I$7,3,FALSE)</f>
        <v>컴퓨터활용능력 2급</v>
      </c>
      <c r="L266" s="2" t="str">
        <f>TEXT(VLOOKUP(표6[[#This Row],[일정번호]],표2[],6,FALSE), "hh:mm")</f>
        <v>11:00</v>
      </c>
      <c r="M266" s="2" t="str">
        <f>VLOOKUP(표6[[#This Row],[종목]],자격증정보!$A$2:$I$7,9,FALSE)</f>
        <v>30분</v>
      </c>
    </row>
    <row r="267" spans="1:13">
      <c r="A267" s="29">
        <v>269</v>
      </c>
      <c r="B267" s="2">
        <v>27</v>
      </c>
      <c r="C267" s="2">
        <v>3</v>
      </c>
      <c r="D267" s="2">
        <v>98</v>
      </c>
      <c r="E267" s="2">
        <v>17</v>
      </c>
      <c r="F267" s="3">
        <v>44368</v>
      </c>
      <c r="G267" s="3">
        <v>44375</v>
      </c>
      <c r="H267" s="3">
        <v>44375</v>
      </c>
      <c r="I267" s="2">
        <v>70</v>
      </c>
      <c r="J267" s="29" t="s">
        <v>198</v>
      </c>
      <c r="K267" s="51" t="str">
        <f>VLOOKUP(표6[[#This Row],[종목]],자격증정보!$A$2:$I$7,2,FALSE) &amp; " " &amp; VLOOKUP(표6[[#This Row],[종목]],자격증정보!$A$2:$I$7,3,FALSE)</f>
        <v>컴퓨터활용능력 2급</v>
      </c>
      <c r="L267" s="2" t="str">
        <f>TEXT(VLOOKUP(표6[[#This Row],[일정번호]],표2[],6,FALSE), "hh:mm")</f>
        <v>11:00</v>
      </c>
      <c r="M267" s="2" t="str">
        <f>VLOOKUP(표6[[#This Row],[종목]],자격증정보!$A$2:$I$7,9,FALSE)</f>
        <v>30분</v>
      </c>
    </row>
    <row r="268" spans="1:13">
      <c r="A268" s="29">
        <v>270</v>
      </c>
      <c r="B268" s="2">
        <v>28</v>
      </c>
      <c r="C268" s="2">
        <v>3</v>
      </c>
      <c r="D268" s="2">
        <v>98</v>
      </c>
      <c r="E268" s="2">
        <v>17</v>
      </c>
      <c r="F268" s="3">
        <v>44368</v>
      </c>
      <c r="G268" s="3">
        <v>44375</v>
      </c>
      <c r="H268" s="3">
        <v>44375</v>
      </c>
      <c r="I268" s="2">
        <v>80</v>
      </c>
      <c r="J268" s="29" t="s">
        <v>198</v>
      </c>
      <c r="K268" s="51" t="str">
        <f>VLOOKUP(표6[[#This Row],[종목]],자격증정보!$A$2:$I$7,2,FALSE) &amp; " " &amp; VLOOKUP(표6[[#This Row],[종목]],자격증정보!$A$2:$I$7,3,FALSE)</f>
        <v>컴퓨터활용능력 2급</v>
      </c>
      <c r="L268" s="2" t="str">
        <f>TEXT(VLOOKUP(표6[[#This Row],[일정번호]],표2[],6,FALSE), "hh:mm")</f>
        <v>11:00</v>
      </c>
      <c r="M268" s="2" t="str">
        <f>VLOOKUP(표6[[#This Row],[종목]],자격증정보!$A$2:$I$7,9,FALSE)</f>
        <v>30분</v>
      </c>
    </row>
    <row r="269" spans="1:13">
      <c r="A269" s="29">
        <v>271</v>
      </c>
      <c r="B269" s="2">
        <v>9</v>
      </c>
      <c r="C269" s="2">
        <v>1</v>
      </c>
      <c r="D269" s="2">
        <v>46</v>
      </c>
      <c r="E269" s="2">
        <v>17</v>
      </c>
      <c r="F269" s="3">
        <v>44368</v>
      </c>
      <c r="G269" s="3">
        <v>44375</v>
      </c>
      <c r="H269" s="3">
        <v>44376</v>
      </c>
      <c r="I269" s="2">
        <v>50</v>
      </c>
      <c r="J269" s="29" t="s">
        <v>197</v>
      </c>
      <c r="K269" s="51" t="str">
        <f>VLOOKUP(표6[[#This Row],[종목]],자격증정보!$A$2:$I$7,2,FALSE) &amp; " " &amp; VLOOKUP(표6[[#This Row],[종목]],자격증정보!$A$2:$I$7,3,FALSE)</f>
        <v>워드프로세서 단일</v>
      </c>
      <c r="L269" s="2" t="str">
        <f>TEXT(VLOOKUP(표6[[#This Row],[일정번호]],표2[],6,FALSE), "hh:mm")</f>
        <v>14:00</v>
      </c>
      <c r="M269" s="2" t="str">
        <f>VLOOKUP(표6[[#This Row],[종목]],자격증정보!$A$2:$I$7,9,FALSE)</f>
        <v>30분</v>
      </c>
    </row>
    <row r="270" spans="1:13">
      <c r="A270" s="29">
        <v>272</v>
      </c>
      <c r="B270" s="2">
        <v>10</v>
      </c>
      <c r="C270" s="2">
        <v>1</v>
      </c>
      <c r="D270" s="2">
        <v>46</v>
      </c>
      <c r="E270" s="2">
        <v>17</v>
      </c>
      <c r="F270" s="3">
        <v>44368</v>
      </c>
      <c r="G270" s="3">
        <v>44375</v>
      </c>
      <c r="H270" s="3">
        <v>44376</v>
      </c>
      <c r="I270" s="2">
        <v>0</v>
      </c>
      <c r="J270" s="29" t="s">
        <v>197</v>
      </c>
      <c r="K270" s="51" t="str">
        <f>VLOOKUP(표6[[#This Row],[종목]],자격증정보!$A$2:$I$7,2,FALSE) &amp; " " &amp; VLOOKUP(표6[[#This Row],[종목]],자격증정보!$A$2:$I$7,3,FALSE)</f>
        <v>워드프로세서 단일</v>
      </c>
      <c r="L270" s="2" t="str">
        <f>TEXT(VLOOKUP(표6[[#This Row],[일정번호]],표2[],6,FALSE), "hh:mm")</f>
        <v>14:00</v>
      </c>
      <c r="M270" s="2" t="str">
        <f>VLOOKUP(표6[[#This Row],[종목]],자격증정보!$A$2:$I$7,9,FALSE)</f>
        <v>30분</v>
      </c>
    </row>
    <row r="271" spans="1:13">
      <c r="A271" s="29">
        <v>273</v>
      </c>
      <c r="B271" s="2">
        <v>12</v>
      </c>
      <c r="C271" s="2">
        <v>1</v>
      </c>
      <c r="D271" s="2">
        <v>46</v>
      </c>
      <c r="E271" s="2">
        <v>17</v>
      </c>
      <c r="F271" s="3">
        <v>44368</v>
      </c>
      <c r="G271" s="3">
        <v>44375</v>
      </c>
      <c r="H271" s="3">
        <v>44376</v>
      </c>
      <c r="I271" s="2">
        <v>40</v>
      </c>
      <c r="J271" s="29" t="s">
        <v>197</v>
      </c>
      <c r="K271" s="51" t="str">
        <f>VLOOKUP(표6[[#This Row],[종목]],자격증정보!$A$2:$I$7,2,FALSE) &amp; " " &amp; VLOOKUP(표6[[#This Row],[종목]],자격증정보!$A$2:$I$7,3,FALSE)</f>
        <v>워드프로세서 단일</v>
      </c>
      <c r="L271" s="2" t="str">
        <f>TEXT(VLOOKUP(표6[[#This Row],[일정번호]],표2[],6,FALSE), "hh:mm")</f>
        <v>14:00</v>
      </c>
      <c r="M271" s="2" t="str">
        <f>VLOOKUP(표6[[#This Row],[종목]],자격증정보!$A$2:$I$7,9,FALSE)</f>
        <v>30분</v>
      </c>
    </row>
    <row r="272" spans="1:13">
      <c r="A272" s="29">
        <v>274</v>
      </c>
      <c r="B272" s="2">
        <v>16</v>
      </c>
      <c r="C272" s="2">
        <v>5</v>
      </c>
      <c r="D272" s="2">
        <v>71</v>
      </c>
      <c r="E272" s="2">
        <v>16</v>
      </c>
      <c r="F272" s="3">
        <v>44368</v>
      </c>
      <c r="G272" s="3">
        <v>44375</v>
      </c>
      <c r="H272" s="3">
        <v>44376</v>
      </c>
      <c r="I272" s="2">
        <v>40</v>
      </c>
      <c r="J272" s="29" t="s">
        <v>197</v>
      </c>
      <c r="K272" s="51" t="str">
        <f>VLOOKUP(표6[[#This Row],[종목]],자격증정보!$A$2:$I$7,2,FALSE) &amp; " " &amp; VLOOKUP(표6[[#This Row],[종목]],자격증정보!$A$2:$I$7,3,FALSE)</f>
        <v>비서 2급</v>
      </c>
      <c r="L272" s="2" t="str">
        <f>TEXT(VLOOKUP(표6[[#This Row],[일정번호]],표2[],6,FALSE), "hh:mm")</f>
        <v>11:00</v>
      </c>
      <c r="M272" s="2" t="str">
        <f>VLOOKUP(표6[[#This Row],[종목]],자격증정보!$A$2:$I$7,9,FALSE)</f>
        <v>40분</v>
      </c>
    </row>
    <row r="273" spans="1:13">
      <c r="A273" s="29">
        <v>275</v>
      </c>
      <c r="B273" s="2">
        <v>9</v>
      </c>
      <c r="C273" s="2">
        <v>5</v>
      </c>
      <c r="D273" s="2">
        <v>71</v>
      </c>
      <c r="E273" s="2">
        <v>16</v>
      </c>
      <c r="F273" s="3">
        <v>44368</v>
      </c>
      <c r="G273" s="3">
        <v>44375</v>
      </c>
      <c r="H273" s="3">
        <v>44376</v>
      </c>
      <c r="I273" s="2">
        <v>50</v>
      </c>
      <c r="J273" s="29" t="s">
        <v>197</v>
      </c>
      <c r="K273" s="51" t="str">
        <f>VLOOKUP(표6[[#This Row],[종목]],자격증정보!$A$2:$I$7,2,FALSE) &amp; " " &amp; VLOOKUP(표6[[#This Row],[종목]],자격증정보!$A$2:$I$7,3,FALSE)</f>
        <v>비서 2급</v>
      </c>
      <c r="L273" s="2" t="str">
        <f>TEXT(VLOOKUP(표6[[#This Row],[일정번호]],표2[],6,FALSE), "hh:mm")</f>
        <v>11:00</v>
      </c>
      <c r="M273" s="2" t="str">
        <f>VLOOKUP(표6[[#This Row],[종목]],자격증정보!$A$2:$I$7,9,FALSE)</f>
        <v>40분</v>
      </c>
    </row>
    <row r="274" spans="1:13">
      <c r="A274" s="29">
        <v>276</v>
      </c>
      <c r="B274" s="2">
        <v>10</v>
      </c>
      <c r="C274" s="2">
        <v>3</v>
      </c>
      <c r="D274" s="2">
        <v>84</v>
      </c>
      <c r="E274" s="2">
        <v>14</v>
      </c>
      <c r="F274" s="3">
        <v>44368</v>
      </c>
      <c r="G274" s="3">
        <v>44375</v>
      </c>
      <c r="H274" s="3">
        <v>44375</v>
      </c>
      <c r="I274" s="2">
        <v>60</v>
      </c>
      <c r="J274" s="29" t="s">
        <v>197</v>
      </c>
      <c r="K274" s="51" t="str">
        <f>VLOOKUP(표6[[#This Row],[종목]],자격증정보!$A$2:$I$7,2,FALSE) &amp; " " &amp; VLOOKUP(표6[[#This Row],[종목]],자격증정보!$A$2:$I$7,3,FALSE)</f>
        <v>컴퓨터활용능력 2급</v>
      </c>
      <c r="L274" s="2" t="str">
        <f>TEXT(VLOOKUP(표6[[#This Row],[일정번호]],표2[],6,FALSE), "hh:mm")</f>
        <v>14:00</v>
      </c>
      <c r="M274" s="2" t="str">
        <f>VLOOKUP(표6[[#This Row],[종목]],자격증정보!$A$2:$I$7,9,FALSE)</f>
        <v>30분</v>
      </c>
    </row>
    <row r="275" spans="1:13">
      <c r="A275" s="29">
        <v>277</v>
      </c>
      <c r="B275" s="2">
        <v>12</v>
      </c>
      <c r="C275" s="2">
        <v>2</v>
      </c>
      <c r="D275" s="2">
        <v>108</v>
      </c>
      <c r="E275" s="2">
        <v>15</v>
      </c>
      <c r="F275" s="3">
        <v>44368</v>
      </c>
      <c r="G275" s="3">
        <v>44375</v>
      </c>
      <c r="H275" s="3">
        <v>44375</v>
      </c>
      <c r="I275" s="2">
        <v>50</v>
      </c>
      <c r="J275" s="29" t="s">
        <v>197</v>
      </c>
      <c r="K275" s="51" t="str">
        <f>VLOOKUP(표6[[#This Row],[종목]],자격증정보!$A$2:$I$7,2,FALSE) &amp; " " &amp; VLOOKUP(표6[[#This Row],[종목]],자격증정보!$A$2:$I$7,3,FALSE)</f>
        <v>컴퓨터활용능력 1급</v>
      </c>
      <c r="L275" s="2" t="str">
        <f>TEXT(VLOOKUP(표6[[#This Row],[일정번호]],표2[],6,FALSE), "hh:mm")</f>
        <v>16:00</v>
      </c>
      <c r="M275" s="2" t="str">
        <f>VLOOKUP(표6[[#This Row],[종목]],자격증정보!$A$2:$I$7,9,FALSE)</f>
        <v>30분</v>
      </c>
    </row>
    <row r="276" spans="1:13">
      <c r="A276" s="29">
        <v>278</v>
      </c>
      <c r="B276" s="2">
        <v>27</v>
      </c>
      <c r="C276" s="2">
        <v>2</v>
      </c>
      <c r="D276" s="2">
        <v>108</v>
      </c>
      <c r="E276" s="2">
        <v>15</v>
      </c>
      <c r="F276" s="3">
        <v>44368</v>
      </c>
      <c r="G276" s="3">
        <v>44375</v>
      </c>
      <c r="H276" s="3">
        <v>44375</v>
      </c>
      <c r="I276" s="2">
        <v>40</v>
      </c>
      <c r="J276" s="29" t="s">
        <v>197</v>
      </c>
      <c r="K276" s="51" t="str">
        <f>VLOOKUP(표6[[#This Row],[종목]],자격증정보!$A$2:$I$7,2,FALSE) &amp; " " &amp; VLOOKUP(표6[[#This Row],[종목]],자격증정보!$A$2:$I$7,3,FALSE)</f>
        <v>컴퓨터활용능력 1급</v>
      </c>
      <c r="L276" s="2" t="str">
        <f>TEXT(VLOOKUP(표6[[#This Row],[일정번호]],표2[],6,FALSE), "hh:mm")</f>
        <v>16:00</v>
      </c>
      <c r="M276" s="2" t="str">
        <f>VLOOKUP(표6[[#This Row],[종목]],자격증정보!$A$2:$I$7,9,FALSE)</f>
        <v>30분</v>
      </c>
    </row>
    <row r="277" spans="1:13">
      <c r="A277" s="29">
        <v>279</v>
      </c>
      <c r="B277" s="2">
        <v>14</v>
      </c>
      <c r="C277" s="2">
        <v>6</v>
      </c>
      <c r="D277" s="2">
        <v>149</v>
      </c>
      <c r="E277" s="2">
        <v>14</v>
      </c>
      <c r="F277" s="3">
        <v>44368</v>
      </c>
      <c r="G277" s="3">
        <v>44375</v>
      </c>
      <c r="H277" s="3">
        <v>44376</v>
      </c>
      <c r="I277" s="2">
        <v>80</v>
      </c>
      <c r="J277" s="29" t="s">
        <v>198</v>
      </c>
      <c r="K277" s="51" t="str">
        <f>VLOOKUP(표6[[#This Row],[종목]],자격증정보!$A$2:$I$7,2,FALSE) &amp; " " &amp; VLOOKUP(표6[[#This Row],[종목]],자격증정보!$A$2:$I$7,3,FALSE)</f>
        <v>비서 3급</v>
      </c>
      <c r="L277" s="2" t="str">
        <f>TEXT(VLOOKUP(표6[[#This Row],[일정번호]],표2[],6,FALSE), "hh:mm")</f>
        <v>14:00</v>
      </c>
      <c r="M277" s="2" t="str">
        <f>VLOOKUP(표6[[#This Row],[종목]],자격증정보!$A$2:$I$7,9,FALSE)</f>
        <v>40분</v>
      </c>
    </row>
    <row r="278" spans="1:13">
      <c r="A278" s="29">
        <v>280</v>
      </c>
      <c r="B278" s="2">
        <v>19</v>
      </c>
      <c r="C278" s="2">
        <v>6</v>
      </c>
      <c r="D278" s="2">
        <v>149</v>
      </c>
      <c r="E278" s="2">
        <v>14</v>
      </c>
      <c r="F278" s="3">
        <v>44368</v>
      </c>
      <c r="G278" s="3">
        <v>44375</v>
      </c>
      <c r="H278" s="3">
        <v>44376</v>
      </c>
      <c r="I278" s="2">
        <v>90</v>
      </c>
      <c r="J278" s="29" t="s">
        <v>198</v>
      </c>
      <c r="K278" s="51" t="str">
        <f>VLOOKUP(표6[[#This Row],[종목]],자격증정보!$A$2:$I$7,2,FALSE) &amp; " " &amp; VLOOKUP(표6[[#This Row],[종목]],자격증정보!$A$2:$I$7,3,FALSE)</f>
        <v>비서 3급</v>
      </c>
      <c r="L278" s="2" t="str">
        <f>TEXT(VLOOKUP(표6[[#This Row],[일정번호]],표2[],6,FALSE), "hh:mm")</f>
        <v>14:00</v>
      </c>
      <c r="M278" s="2" t="str">
        <f>VLOOKUP(표6[[#This Row],[종목]],자격증정보!$A$2:$I$7,9,FALSE)</f>
        <v>40분</v>
      </c>
    </row>
    <row r="279" spans="1:13">
      <c r="A279" s="29">
        <v>281</v>
      </c>
      <c r="B279" s="2">
        <v>29</v>
      </c>
      <c r="C279" s="2">
        <v>6</v>
      </c>
      <c r="D279" s="2">
        <v>149</v>
      </c>
      <c r="E279" s="2">
        <v>14</v>
      </c>
      <c r="F279" s="3">
        <v>44368</v>
      </c>
      <c r="G279" s="3">
        <v>44375</v>
      </c>
      <c r="H279" s="3">
        <v>44376</v>
      </c>
      <c r="I279" s="2">
        <v>80</v>
      </c>
      <c r="J279" s="29" t="s">
        <v>198</v>
      </c>
      <c r="K279" s="51" t="str">
        <f>VLOOKUP(표6[[#This Row],[종목]],자격증정보!$A$2:$I$7,2,FALSE) &amp; " " &amp; VLOOKUP(표6[[#This Row],[종목]],자격증정보!$A$2:$I$7,3,FALSE)</f>
        <v>비서 3급</v>
      </c>
      <c r="L279" s="2" t="str">
        <f>TEXT(VLOOKUP(표6[[#This Row],[일정번호]],표2[],6,FALSE), "hh:mm")</f>
        <v>14:00</v>
      </c>
      <c r="M279" s="2" t="str">
        <f>VLOOKUP(표6[[#This Row],[종목]],자격증정보!$A$2:$I$7,9,FALSE)</f>
        <v>40분</v>
      </c>
    </row>
    <row r="280" spans="1:13">
      <c r="A280" s="29">
        <v>282</v>
      </c>
      <c r="B280" s="2">
        <v>27</v>
      </c>
      <c r="C280" s="2">
        <v>6</v>
      </c>
      <c r="D280" s="2">
        <v>149</v>
      </c>
      <c r="E280" s="2">
        <v>14</v>
      </c>
      <c r="F280" s="3">
        <v>44368</v>
      </c>
      <c r="G280" s="3">
        <v>44375</v>
      </c>
      <c r="H280" s="3">
        <v>44376</v>
      </c>
      <c r="I280" s="2">
        <v>80</v>
      </c>
      <c r="J280" s="29" t="s">
        <v>198</v>
      </c>
      <c r="K280" s="51" t="str">
        <f>VLOOKUP(표6[[#This Row],[종목]],자격증정보!$A$2:$I$7,2,FALSE) &amp; " " &amp; VLOOKUP(표6[[#This Row],[종목]],자격증정보!$A$2:$I$7,3,FALSE)</f>
        <v>비서 3급</v>
      </c>
      <c r="L280" s="2" t="str">
        <f>TEXT(VLOOKUP(표6[[#This Row],[일정번호]],표2[],6,FALSE), "hh:mm")</f>
        <v>14:00</v>
      </c>
      <c r="M280" s="2" t="str">
        <f>VLOOKUP(표6[[#This Row],[종목]],자격증정보!$A$2:$I$7,9,FALSE)</f>
        <v>40분</v>
      </c>
    </row>
    <row r="281" spans="1:13">
      <c r="A281" s="29">
        <v>283</v>
      </c>
      <c r="B281" s="2">
        <v>5</v>
      </c>
      <c r="C281" s="2">
        <v>3</v>
      </c>
      <c r="D281" s="2">
        <v>104</v>
      </c>
      <c r="E281" s="2">
        <v>18</v>
      </c>
      <c r="F281" s="3">
        <v>44371</v>
      </c>
      <c r="G281" s="3">
        <v>44378</v>
      </c>
      <c r="H281" s="3">
        <v>44378</v>
      </c>
      <c r="I281" s="2">
        <v>30</v>
      </c>
      <c r="J281" s="29" t="s">
        <v>197</v>
      </c>
      <c r="K281" s="51" t="str">
        <f>VLOOKUP(표6[[#This Row],[종목]],자격증정보!$A$2:$I$7,2,FALSE) &amp; " " &amp; VLOOKUP(표6[[#This Row],[종목]],자격증정보!$A$2:$I$7,3,FALSE)</f>
        <v>컴퓨터활용능력 2급</v>
      </c>
      <c r="L281" s="2" t="str">
        <f>TEXT(VLOOKUP(표6[[#This Row],[일정번호]],표2[],6,FALSE), "hh:mm")</f>
        <v>13:00</v>
      </c>
      <c r="M281" s="2" t="str">
        <f>VLOOKUP(표6[[#This Row],[종목]],자격증정보!$A$2:$I$7,9,FALSE)</f>
        <v>30분</v>
      </c>
    </row>
    <row r="282" spans="1:13">
      <c r="A282" s="29">
        <v>284</v>
      </c>
      <c r="B282" s="2">
        <v>15</v>
      </c>
      <c r="C282" s="2">
        <v>3</v>
      </c>
      <c r="D282" s="2">
        <v>104</v>
      </c>
      <c r="E282" s="2">
        <v>18</v>
      </c>
      <c r="F282" s="3">
        <v>44371</v>
      </c>
      <c r="G282" s="3">
        <v>44378</v>
      </c>
      <c r="H282" s="3">
        <v>44378</v>
      </c>
      <c r="I282" s="2">
        <v>80</v>
      </c>
      <c r="J282" s="29" t="s">
        <v>198</v>
      </c>
      <c r="K282" s="51" t="str">
        <f>VLOOKUP(표6[[#This Row],[종목]],자격증정보!$A$2:$I$7,2,FALSE) &amp; " " &amp; VLOOKUP(표6[[#This Row],[종목]],자격증정보!$A$2:$I$7,3,FALSE)</f>
        <v>컴퓨터활용능력 2급</v>
      </c>
      <c r="L282" s="2" t="str">
        <f>TEXT(VLOOKUP(표6[[#This Row],[일정번호]],표2[],6,FALSE), "hh:mm")</f>
        <v>13:00</v>
      </c>
      <c r="M282" s="2" t="str">
        <f>VLOOKUP(표6[[#This Row],[종목]],자격증정보!$A$2:$I$7,9,FALSE)</f>
        <v>30분</v>
      </c>
    </row>
    <row r="283" spans="1:13">
      <c r="A283" s="29">
        <v>285</v>
      </c>
      <c r="B283" s="2">
        <v>19</v>
      </c>
      <c r="C283" s="2">
        <v>3</v>
      </c>
      <c r="D283" s="2">
        <v>104</v>
      </c>
      <c r="E283" s="2">
        <v>18</v>
      </c>
      <c r="F283" s="3">
        <v>44371</v>
      </c>
      <c r="G283" s="3">
        <v>44378</v>
      </c>
      <c r="H283" s="3">
        <v>44378</v>
      </c>
      <c r="I283" s="2">
        <v>20</v>
      </c>
      <c r="J283" s="29" t="s">
        <v>197</v>
      </c>
      <c r="K283" s="51" t="str">
        <f>VLOOKUP(표6[[#This Row],[종목]],자격증정보!$A$2:$I$7,2,FALSE) &amp; " " &amp; VLOOKUP(표6[[#This Row],[종목]],자격증정보!$A$2:$I$7,3,FALSE)</f>
        <v>컴퓨터활용능력 2급</v>
      </c>
      <c r="L283" s="2" t="str">
        <f>TEXT(VLOOKUP(표6[[#This Row],[일정번호]],표2[],6,FALSE), "hh:mm")</f>
        <v>13:00</v>
      </c>
      <c r="M283" s="2" t="str">
        <f>VLOOKUP(표6[[#This Row],[종목]],자격증정보!$A$2:$I$7,9,FALSE)</f>
        <v>30분</v>
      </c>
    </row>
    <row r="284" spans="1:13">
      <c r="A284" s="29">
        <v>286</v>
      </c>
      <c r="B284" s="2">
        <v>28</v>
      </c>
      <c r="C284" s="2">
        <v>4</v>
      </c>
      <c r="D284" s="2">
        <v>96</v>
      </c>
      <c r="E284" s="2">
        <v>18</v>
      </c>
      <c r="F284" s="3">
        <v>44371</v>
      </c>
      <c r="G284" s="3">
        <v>44378</v>
      </c>
      <c r="H284" s="3">
        <v>44379</v>
      </c>
      <c r="I284" s="2">
        <v>0</v>
      </c>
      <c r="J284" s="29" t="s">
        <v>197</v>
      </c>
      <c r="K284" s="51" t="str">
        <f>VLOOKUP(표6[[#This Row],[종목]],자격증정보!$A$2:$I$7,2,FALSE) &amp; " " &amp; VLOOKUP(표6[[#This Row],[종목]],자격증정보!$A$2:$I$7,3,FALSE)</f>
        <v>비서 1급</v>
      </c>
      <c r="L284" s="2" t="str">
        <f>TEXT(VLOOKUP(표6[[#This Row],[일정번호]],표2[],6,FALSE), "hh:mm")</f>
        <v>09:00</v>
      </c>
      <c r="M284" s="2" t="str">
        <f>VLOOKUP(표6[[#This Row],[종목]],자격증정보!$A$2:$I$7,9,FALSE)</f>
        <v>40분</v>
      </c>
    </row>
    <row r="285" spans="1:13">
      <c r="A285" s="29">
        <v>287</v>
      </c>
      <c r="B285" s="2">
        <v>15</v>
      </c>
      <c r="C285" s="2">
        <v>4</v>
      </c>
      <c r="D285" s="2">
        <v>96</v>
      </c>
      <c r="E285" s="2">
        <v>18</v>
      </c>
      <c r="F285" s="3">
        <v>44371</v>
      </c>
      <c r="G285" s="3">
        <v>44378</v>
      </c>
      <c r="H285" s="3">
        <v>44379</v>
      </c>
      <c r="I285" s="2">
        <v>10</v>
      </c>
      <c r="J285" s="29" t="s">
        <v>197</v>
      </c>
      <c r="K285" s="51" t="str">
        <f>VLOOKUP(표6[[#This Row],[종목]],자격증정보!$A$2:$I$7,2,FALSE) &amp; " " &amp; VLOOKUP(표6[[#This Row],[종목]],자격증정보!$A$2:$I$7,3,FALSE)</f>
        <v>비서 1급</v>
      </c>
      <c r="L285" s="2" t="str">
        <f>TEXT(VLOOKUP(표6[[#This Row],[일정번호]],표2[],6,FALSE), "hh:mm")</f>
        <v>09:00</v>
      </c>
      <c r="M285" s="2" t="str">
        <f>VLOOKUP(표6[[#This Row],[종목]],자격증정보!$A$2:$I$7,9,FALSE)</f>
        <v>40분</v>
      </c>
    </row>
    <row r="286" spans="1:13">
      <c r="A286" s="29">
        <v>288</v>
      </c>
      <c r="B286" s="2">
        <v>27</v>
      </c>
      <c r="C286" s="2">
        <v>1</v>
      </c>
      <c r="D286" s="2">
        <v>65</v>
      </c>
      <c r="E286" s="2">
        <v>20</v>
      </c>
      <c r="F286" s="3">
        <v>44372</v>
      </c>
      <c r="G286" s="3">
        <v>44379</v>
      </c>
      <c r="H286" s="3">
        <v>44380</v>
      </c>
      <c r="I286" s="2">
        <v>20</v>
      </c>
      <c r="J286" s="29" t="s">
        <v>197</v>
      </c>
      <c r="K286" s="51" t="str">
        <f>VLOOKUP(표6[[#This Row],[종목]],자격증정보!$A$2:$I$7,2,FALSE) &amp; " " &amp; VLOOKUP(표6[[#This Row],[종목]],자격증정보!$A$2:$I$7,3,FALSE)</f>
        <v>워드프로세서 단일</v>
      </c>
      <c r="L286" s="2" t="str">
        <f>TEXT(VLOOKUP(표6[[#This Row],[일정번호]],표2[],6,FALSE), "hh:mm")</f>
        <v>13:00</v>
      </c>
      <c r="M286" s="2" t="str">
        <f>VLOOKUP(표6[[#This Row],[종목]],자격증정보!$A$2:$I$7,9,FALSE)</f>
        <v>30분</v>
      </c>
    </row>
    <row r="287" spans="1:13">
      <c r="A287" s="29">
        <v>289</v>
      </c>
      <c r="B287" s="2">
        <v>12</v>
      </c>
      <c r="C287" s="2">
        <v>1</v>
      </c>
      <c r="D287" s="2">
        <v>65</v>
      </c>
      <c r="E287" s="2">
        <v>20</v>
      </c>
      <c r="F287" s="3">
        <v>44372</v>
      </c>
      <c r="G287" s="3">
        <v>44379</v>
      </c>
      <c r="H287" s="3">
        <v>44380</v>
      </c>
      <c r="I287" s="2">
        <v>20</v>
      </c>
      <c r="J287" s="29" t="s">
        <v>197</v>
      </c>
      <c r="K287" s="51" t="str">
        <f>VLOOKUP(표6[[#This Row],[종목]],자격증정보!$A$2:$I$7,2,FALSE) &amp; " " &amp; VLOOKUP(표6[[#This Row],[종목]],자격증정보!$A$2:$I$7,3,FALSE)</f>
        <v>워드프로세서 단일</v>
      </c>
      <c r="L287" s="2" t="str">
        <f>TEXT(VLOOKUP(표6[[#This Row],[일정번호]],표2[],6,FALSE), "hh:mm")</f>
        <v>13:00</v>
      </c>
      <c r="M287" s="2" t="str">
        <f>VLOOKUP(표6[[#This Row],[종목]],자격증정보!$A$2:$I$7,9,FALSE)</f>
        <v>30분</v>
      </c>
    </row>
    <row r="288" spans="1:13">
      <c r="A288" s="29">
        <v>290</v>
      </c>
      <c r="B288" s="2">
        <v>9</v>
      </c>
      <c r="C288" s="2">
        <v>1</v>
      </c>
      <c r="D288" s="2">
        <v>65</v>
      </c>
      <c r="E288" s="2">
        <v>20</v>
      </c>
      <c r="F288" s="3">
        <v>44372</v>
      </c>
      <c r="G288" s="3">
        <v>44379</v>
      </c>
      <c r="H288" s="3">
        <v>44380</v>
      </c>
      <c r="I288" s="2">
        <v>10</v>
      </c>
      <c r="J288" s="29" t="s">
        <v>197</v>
      </c>
      <c r="K288" s="51" t="str">
        <f>VLOOKUP(표6[[#This Row],[종목]],자격증정보!$A$2:$I$7,2,FALSE) &amp; " " &amp; VLOOKUP(표6[[#This Row],[종목]],자격증정보!$A$2:$I$7,3,FALSE)</f>
        <v>워드프로세서 단일</v>
      </c>
      <c r="L288" s="2" t="str">
        <f>TEXT(VLOOKUP(표6[[#This Row],[일정번호]],표2[],6,FALSE), "hh:mm")</f>
        <v>13:00</v>
      </c>
      <c r="M288" s="2" t="str">
        <f>VLOOKUP(표6[[#This Row],[종목]],자격증정보!$A$2:$I$7,9,FALSE)</f>
        <v>30분</v>
      </c>
    </row>
    <row r="289" spans="1:13">
      <c r="A289" s="29">
        <v>291</v>
      </c>
      <c r="B289" s="2">
        <v>11</v>
      </c>
      <c r="C289" s="2">
        <v>1</v>
      </c>
      <c r="D289" s="2">
        <v>65</v>
      </c>
      <c r="E289" s="2">
        <v>20</v>
      </c>
      <c r="F289" s="3">
        <v>44372</v>
      </c>
      <c r="G289" s="3">
        <v>44379</v>
      </c>
      <c r="H289" s="3">
        <v>44380</v>
      </c>
      <c r="I289" s="2">
        <v>40</v>
      </c>
      <c r="J289" s="29" t="s">
        <v>197</v>
      </c>
      <c r="K289" s="51" t="str">
        <f>VLOOKUP(표6[[#This Row],[종목]],자격증정보!$A$2:$I$7,2,FALSE) &amp; " " &amp; VLOOKUP(표6[[#This Row],[종목]],자격증정보!$A$2:$I$7,3,FALSE)</f>
        <v>워드프로세서 단일</v>
      </c>
      <c r="L289" s="2" t="str">
        <f>TEXT(VLOOKUP(표6[[#This Row],[일정번호]],표2[],6,FALSE), "hh:mm")</f>
        <v>13:00</v>
      </c>
      <c r="M289" s="2" t="str">
        <f>VLOOKUP(표6[[#This Row],[종목]],자격증정보!$A$2:$I$7,9,FALSE)</f>
        <v>30분</v>
      </c>
    </row>
    <row r="290" spans="1:13">
      <c r="A290" s="29">
        <v>292</v>
      </c>
      <c r="B290" s="2">
        <v>16</v>
      </c>
      <c r="C290" s="2">
        <v>1</v>
      </c>
      <c r="D290" s="2">
        <v>65</v>
      </c>
      <c r="E290" s="2">
        <v>20</v>
      </c>
      <c r="F290" s="3">
        <v>44372</v>
      </c>
      <c r="G290" s="3">
        <v>44379</v>
      </c>
      <c r="H290" s="3">
        <v>44380</v>
      </c>
      <c r="I290" s="2">
        <v>40</v>
      </c>
      <c r="J290" s="29" t="s">
        <v>197</v>
      </c>
      <c r="K290" s="51" t="str">
        <f>VLOOKUP(표6[[#This Row],[종목]],자격증정보!$A$2:$I$7,2,FALSE) &amp; " " &amp; VLOOKUP(표6[[#This Row],[종목]],자격증정보!$A$2:$I$7,3,FALSE)</f>
        <v>워드프로세서 단일</v>
      </c>
      <c r="L290" s="2" t="str">
        <f>TEXT(VLOOKUP(표6[[#This Row],[일정번호]],표2[],6,FALSE), "hh:mm")</f>
        <v>13:00</v>
      </c>
      <c r="M290" s="2" t="str">
        <f>VLOOKUP(표6[[#This Row],[종목]],자격증정보!$A$2:$I$7,9,FALSE)</f>
        <v>30분</v>
      </c>
    </row>
    <row r="291" spans="1:13">
      <c r="A291" s="29">
        <v>293</v>
      </c>
      <c r="B291" s="2">
        <v>22</v>
      </c>
      <c r="C291" s="2">
        <v>3</v>
      </c>
      <c r="D291" s="2">
        <v>110</v>
      </c>
      <c r="E291" s="2">
        <v>19</v>
      </c>
      <c r="F291" s="3">
        <v>44372</v>
      </c>
      <c r="G291" s="3">
        <v>44379</v>
      </c>
      <c r="H291" s="3">
        <v>44379</v>
      </c>
      <c r="I291" s="2">
        <v>0</v>
      </c>
      <c r="J291" s="29" t="s">
        <v>197</v>
      </c>
      <c r="K291" s="51" t="str">
        <f>VLOOKUP(표6[[#This Row],[종목]],자격증정보!$A$2:$I$7,2,FALSE) &amp; " " &amp; VLOOKUP(표6[[#This Row],[종목]],자격증정보!$A$2:$I$7,3,FALSE)</f>
        <v>컴퓨터활용능력 2급</v>
      </c>
      <c r="L291" s="2" t="str">
        <f>TEXT(VLOOKUP(표6[[#This Row],[일정번호]],표2[],6,FALSE), "hh:mm")</f>
        <v>11:00</v>
      </c>
      <c r="M291" s="2" t="str">
        <f>VLOOKUP(표6[[#This Row],[종목]],자격증정보!$A$2:$I$7,9,FALSE)</f>
        <v>30분</v>
      </c>
    </row>
    <row r="292" spans="1:13">
      <c r="A292" s="29">
        <v>294</v>
      </c>
      <c r="B292" s="2">
        <v>23</v>
      </c>
      <c r="C292" s="2">
        <v>3</v>
      </c>
      <c r="D292" s="2">
        <v>110</v>
      </c>
      <c r="E292" s="2">
        <v>19</v>
      </c>
      <c r="F292" s="3">
        <v>44372</v>
      </c>
      <c r="G292" s="3">
        <v>44379</v>
      </c>
      <c r="H292" s="3">
        <v>44379</v>
      </c>
      <c r="I292" s="2">
        <v>40</v>
      </c>
      <c r="J292" s="29" t="s">
        <v>197</v>
      </c>
      <c r="K292" s="51" t="str">
        <f>VLOOKUP(표6[[#This Row],[종목]],자격증정보!$A$2:$I$7,2,FALSE) &amp; " " &amp; VLOOKUP(표6[[#This Row],[종목]],자격증정보!$A$2:$I$7,3,FALSE)</f>
        <v>컴퓨터활용능력 2급</v>
      </c>
      <c r="L292" s="2" t="str">
        <f>TEXT(VLOOKUP(표6[[#This Row],[일정번호]],표2[],6,FALSE), "hh:mm")</f>
        <v>11:00</v>
      </c>
      <c r="M292" s="2" t="str">
        <f>VLOOKUP(표6[[#This Row],[종목]],자격증정보!$A$2:$I$7,9,FALSE)</f>
        <v>30분</v>
      </c>
    </row>
    <row r="293" spans="1:13">
      <c r="A293" s="29">
        <v>295</v>
      </c>
      <c r="B293" s="2">
        <v>22</v>
      </c>
      <c r="C293" s="2">
        <v>3</v>
      </c>
      <c r="D293" s="2">
        <v>112</v>
      </c>
      <c r="E293" s="2">
        <v>20</v>
      </c>
      <c r="F293" s="3">
        <v>44372</v>
      </c>
      <c r="G293" s="3">
        <v>44379</v>
      </c>
      <c r="H293" s="3">
        <v>44379</v>
      </c>
      <c r="I293" s="2">
        <v>60</v>
      </c>
      <c r="J293" s="29" t="s">
        <v>197</v>
      </c>
      <c r="K293" s="51" t="str">
        <f>VLOOKUP(표6[[#This Row],[종목]],자격증정보!$A$2:$I$7,2,FALSE) &amp; " " &amp; VLOOKUP(표6[[#This Row],[종목]],자격증정보!$A$2:$I$7,3,FALSE)</f>
        <v>컴퓨터활용능력 2급</v>
      </c>
      <c r="L293" s="2" t="str">
        <f>TEXT(VLOOKUP(표6[[#This Row],[일정번호]],표2[],6,FALSE), "hh:mm")</f>
        <v>10:00</v>
      </c>
      <c r="M293" s="2" t="str">
        <f>VLOOKUP(표6[[#This Row],[종목]],자격증정보!$A$2:$I$7,9,FALSE)</f>
        <v>30분</v>
      </c>
    </row>
    <row r="294" spans="1:13">
      <c r="A294" s="29">
        <v>296</v>
      </c>
      <c r="B294" s="2">
        <v>23</v>
      </c>
      <c r="C294" s="2">
        <v>3</v>
      </c>
      <c r="D294" s="2">
        <v>112</v>
      </c>
      <c r="E294" s="2">
        <v>20</v>
      </c>
      <c r="F294" s="3">
        <v>44372</v>
      </c>
      <c r="G294" s="3">
        <v>44379</v>
      </c>
      <c r="H294" s="3">
        <v>44379</v>
      </c>
      <c r="I294" s="2">
        <v>50</v>
      </c>
      <c r="J294" s="29" t="s">
        <v>197</v>
      </c>
      <c r="K294" s="51" t="str">
        <f>VLOOKUP(표6[[#This Row],[종목]],자격증정보!$A$2:$I$7,2,FALSE) &amp; " " &amp; VLOOKUP(표6[[#This Row],[종목]],자격증정보!$A$2:$I$7,3,FALSE)</f>
        <v>컴퓨터활용능력 2급</v>
      </c>
      <c r="L294" s="2" t="str">
        <f>TEXT(VLOOKUP(표6[[#This Row],[일정번호]],표2[],6,FALSE), "hh:mm")</f>
        <v>10:00</v>
      </c>
      <c r="M294" s="2" t="str">
        <f>VLOOKUP(표6[[#This Row],[종목]],자격증정보!$A$2:$I$7,9,FALSE)</f>
        <v>30분</v>
      </c>
    </row>
    <row r="295" spans="1:13">
      <c r="A295" s="29">
        <v>297</v>
      </c>
      <c r="B295" s="2">
        <v>24</v>
      </c>
      <c r="C295" s="2">
        <v>3</v>
      </c>
      <c r="D295" s="2">
        <v>112</v>
      </c>
      <c r="E295" s="2">
        <v>20</v>
      </c>
      <c r="F295" s="3">
        <v>44372</v>
      </c>
      <c r="G295" s="3">
        <v>44379</v>
      </c>
      <c r="H295" s="3">
        <v>44379</v>
      </c>
      <c r="I295" s="2">
        <v>0</v>
      </c>
      <c r="J295" s="29" t="s">
        <v>197</v>
      </c>
      <c r="K295" s="51" t="str">
        <f>VLOOKUP(표6[[#This Row],[종목]],자격증정보!$A$2:$I$7,2,FALSE) &amp; " " &amp; VLOOKUP(표6[[#This Row],[종목]],자격증정보!$A$2:$I$7,3,FALSE)</f>
        <v>컴퓨터활용능력 2급</v>
      </c>
      <c r="L295" s="2" t="str">
        <f>TEXT(VLOOKUP(표6[[#This Row],[일정번호]],표2[],6,FALSE), "hh:mm")</f>
        <v>10:00</v>
      </c>
      <c r="M295" s="2" t="str">
        <f>VLOOKUP(표6[[#This Row],[종목]],자격증정보!$A$2:$I$7,9,FALSE)</f>
        <v>30분</v>
      </c>
    </row>
    <row r="296" spans="1:13">
      <c r="A296" s="29">
        <v>298</v>
      </c>
      <c r="B296" s="2">
        <v>9</v>
      </c>
      <c r="C296" s="2">
        <v>5</v>
      </c>
      <c r="D296" s="2">
        <v>105</v>
      </c>
      <c r="E296" s="2">
        <v>19</v>
      </c>
      <c r="F296" s="3">
        <v>44372</v>
      </c>
      <c r="G296" s="3">
        <v>44379</v>
      </c>
      <c r="H296" s="3">
        <v>44380</v>
      </c>
      <c r="I296" s="2">
        <v>40</v>
      </c>
      <c r="J296" s="29" t="s">
        <v>197</v>
      </c>
      <c r="K296" s="51" t="str">
        <f>VLOOKUP(표6[[#This Row],[종목]],자격증정보!$A$2:$I$7,2,FALSE) &amp; " " &amp; VLOOKUP(표6[[#This Row],[종목]],자격증정보!$A$2:$I$7,3,FALSE)</f>
        <v>비서 2급</v>
      </c>
      <c r="L296" s="2" t="str">
        <f>TEXT(VLOOKUP(표6[[#This Row],[일정번호]],표2[],6,FALSE), "hh:mm")</f>
        <v>15:00</v>
      </c>
      <c r="M296" s="2" t="str">
        <f>VLOOKUP(표6[[#This Row],[종목]],자격증정보!$A$2:$I$7,9,FALSE)</f>
        <v>40분</v>
      </c>
    </row>
    <row r="297" spans="1:13">
      <c r="A297" s="29">
        <v>299</v>
      </c>
      <c r="B297" s="2">
        <v>10</v>
      </c>
      <c r="C297" s="2">
        <v>5</v>
      </c>
      <c r="D297" s="2">
        <v>105</v>
      </c>
      <c r="E297" s="2">
        <v>19</v>
      </c>
      <c r="F297" s="3">
        <v>44372</v>
      </c>
      <c r="G297" s="3">
        <v>44379</v>
      </c>
      <c r="H297" s="3">
        <v>44380</v>
      </c>
      <c r="I297" s="2">
        <v>60</v>
      </c>
      <c r="J297" s="29" t="s">
        <v>197</v>
      </c>
      <c r="K297" s="51" t="str">
        <f>VLOOKUP(표6[[#This Row],[종목]],자격증정보!$A$2:$I$7,2,FALSE) &amp; " " &amp; VLOOKUP(표6[[#This Row],[종목]],자격증정보!$A$2:$I$7,3,FALSE)</f>
        <v>비서 2급</v>
      </c>
      <c r="L297" s="2" t="str">
        <f>TEXT(VLOOKUP(표6[[#This Row],[일정번호]],표2[],6,FALSE), "hh:mm")</f>
        <v>15:00</v>
      </c>
      <c r="M297" s="2" t="str">
        <f>VLOOKUP(표6[[#This Row],[종목]],자격증정보!$A$2:$I$7,9,FALSE)</f>
        <v>40분</v>
      </c>
    </row>
    <row r="298" spans="1:13">
      <c r="A298" s="29">
        <v>300</v>
      </c>
      <c r="B298" s="2">
        <v>28</v>
      </c>
      <c r="C298" s="2">
        <v>3</v>
      </c>
      <c r="D298" s="2">
        <v>110</v>
      </c>
      <c r="E298" s="2">
        <v>19</v>
      </c>
      <c r="F298" s="3">
        <v>44372</v>
      </c>
      <c r="G298" s="3">
        <v>44379</v>
      </c>
      <c r="H298" s="3">
        <v>44379</v>
      </c>
      <c r="I298" s="2">
        <v>20</v>
      </c>
      <c r="J298" s="29" t="s">
        <v>197</v>
      </c>
      <c r="K298" s="51" t="str">
        <f>VLOOKUP(표6[[#This Row],[종목]],자격증정보!$A$2:$I$7,2,FALSE) &amp; " " &amp; VLOOKUP(표6[[#This Row],[종목]],자격증정보!$A$2:$I$7,3,FALSE)</f>
        <v>컴퓨터활용능력 2급</v>
      </c>
      <c r="L298" s="2" t="str">
        <f>TEXT(VLOOKUP(표6[[#This Row],[일정번호]],표2[],6,FALSE), "hh:mm")</f>
        <v>11:00</v>
      </c>
      <c r="M298" s="2" t="str">
        <f>VLOOKUP(표6[[#This Row],[종목]],자격증정보!$A$2:$I$7,9,FALSE)</f>
        <v>30분</v>
      </c>
    </row>
    <row r="299" spans="1:13">
      <c r="A299" s="29">
        <v>301</v>
      </c>
      <c r="B299" s="2">
        <v>15</v>
      </c>
      <c r="C299" s="2">
        <v>3</v>
      </c>
      <c r="D299" s="2">
        <v>110</v>
      </c>
      <c r="E299" s="2">
        <v>19</v>
      </c>
      <c r="F299" s="3">
        <v>44372</v>
      </c>
      <c r="G299" s="3">
        <v>44379</v>
      </c>
      <c r="H299" s="3">
        <v>44379</v>
      </c>
      <c r="I299" s="2">
        <v>30</v>
      </c>
      <c r="J299" s="29" t="s">
        <v>197</v>
      </c>
      <c r="K299" s="51" t="str">
        <f>VLOOKUP(표6[[#This Row],[종목]],자격증정보!$A$2:$I$7,2,FALSE) &amp; " " &amp; VLOOKUP(표6[[#This Row],[종목]],자격증정보!$A$2:$I$7,3,FALSE)</f>
        <v>컴퓨터활용능력 2급</v>
      </c>
      <c r="L299" s="2" t="str">
        <f>TEXT(VLOOKUP(표6[[#This Row],[일정번호]],표2[],6,FALSE), "hh:mm")</f>
        <v>11:00</v>
      </c>
      <c r="M299" s="2" t="str">
        <f>VLOOKUP(표6[[#This Row],[종목]],자격증정보!$A$2:$I$7,9,FALSE)</f>
        <v>30분</v>
      </c>
    </row>
    <row r="300" spans="1:13">
      <c r="A300" s="29">
        <v>302</v>
      </c>
      <c r="B300" s="2">
        <v>2</v>
      </c>
      <c r="C300" s="2">
        <v>1</v>
      </c>
      <c r="D300" s="2">
        <v>66</v>
      </c>
      <c r="E300" s="2">
        <v>21</v>
      </c>
      <c r="F300" s="3">
        <v>44373</v>
      </c>
      <c r="G300" s="3">
        <v>44380</v>
      </c>
      <c r="H300" s="3">
        <v>44381</v>
      </c>
      <c r="I300" s="2">
        <v>0</v>
      </c>
      <c r="J300" s="29" t="s">
        <v>197</v>
      </c>
      <c r="K300" s="51" t="str">
        <f>VLOOKUP(표6[[#This Row],[종목]],자격증정보!$A$2:$I$7,2,FALSE) &amp; " " &amp; VLOOKUP(표6[[#This Row],[종목]],자격증정보!$A$2:$I$7,3,FALSE)</f>
        <v>워드프로세서 단일</v>
      </c>
      <c r="L300" s="2" t="str">
        <f>TEXT(VLOOKUP(표6[[#This Row],[일정번호]],표2[],6,FALSE), "hh:mm")</f>
        <v>15:00</v>
      </c>
      <c r="M300" s="2" t="str">
        <f>VLOOKUP(표6[[#This Row],[종목]],자격증정보!$A$2:$I$7,9,FALSE)</f>
        <v>30분</v>
      </c>
    </row>
    <row r="301" spans="1:13">
      <c r="A301" s="29">
        <v>303</v>
      </c>
      <c r="B301" s="2">
        <v>1</v>
      </c>
      <c r="C301" s="2">
        <v>1</v>
      </c>
      <c r="D301" s="2">
        <v>66</v>
      </c>
      <c r="E301" s="2">
        <v>21</v>
      </c>
      <c r="F301" s="3">
        <v>44373</v>
      </c>
      <c r="G301" s="3">
        <v>44380</v>
      </c>
      <c r="H301" s="3">
        <v>44381</v>
      </c>
      <c r="I301" s="2">
        <v>30</v>
      </c>
      <c r="J301" s="29" t="s">
        <v>197</v>
      </c>
      <c r="K301" s="51" t="str">
        <f>VLOOKUP(표6[[#This Row],[종목]],자격증정보!$A$2:$I$7,2,FALSE) &amp; " " &amp; VLOOKUP(표6[[#This Row],[종목]],자격증정보!$A$2:$I$7,3,FALSE)</f>
        <v>워드프로세서 단일</v>
      </c>
      <c r="L301" s="2" t="str">
        <f>TEXT(VLOOKUP(표6[[#This Row],[일정번호]],표2[],6,FALSE), "hh:mm")</f>
        <v>15:00</v>
      </c>
      <c r="M301" s="2" t="str">
        <f>VLOOKUP(표6[[#This Row],[종목]],자격증정보!$A$2:$I$7,9,FALSE)</f>
        <v>30분</v>
      </c>
    </row>
    <row r="302" spans="1:13">
      <c r="A302" s="29">
        <v>304</v>
      </c>
      <c r="B302" s="2">
        <v>3</v>
      </c>
      <c r="C302" s="2">
        <v>1</v>
      </c>
      <c r="D302" s="2">
        <v>66</v>
      </c>
      <c r="E302" s="2">
        <v>21</v>
      </c>
      <c r="F302" s="3">
        <v>44373</v>
      </c>
      <c r="G302" s="3">
        <v>44380</v>
      </c>
      <c r="H302" s="3">
        <v>44381</v>
      </c>
      <c r="I302" s="2">
        <v>50</v>
      </c>
      <c r="J302" s="29" t="s">
        <v>197</v>
      </c>
      <c r="K302" s="51" t="str">
        <f>VLOOKUP(표6[[#This Row],[종목]],자격증정보!$A$2:$I$7,2,FALSE) &amp; " " &amp; VLOOKUP(표6[[#This Row],[종목]],자격증정보!$A$2:$I$7,3,FALSE)</f>
        <v>워드프로세서 단일</v>
      </c>
      <c r="L302" s="2" t="str">
        <f>TEXT(VLOOKUP(표6[[#This Row],[일정번호]],표2[],6,FALSE), "hh:mm")</f>
        <v>15:00</v>
      </c>
      <c r="M302" s="2" t="str">
        <f>VLOOKUP(표6[[#This Row],[종목]],자격증정보!$A$2:$I$7,9,FALSE)</f>
        <v>30분</v>
      </c>
    </row>
    <row r="303" spans="1:13">
      <c r="A303" s="29">
        <v>305</v>
      </c>
      <c r="B303" s="2">
        <v>4</v>
      </c>
      <c r="C303" s="2">
        <v>1</v>
      </c>
      <c r="D303" s="2">
        <v>66</v>
      </c>
      <c r="E303" s="2">
        <v>21</v>
      </c>
      <c r="F303" s="3">
        <v>44373</v>
      </c>
      <c r="G303" s="3">
        <v>44380</v>
      </c>
      <c r="H303" s="3">
        <v>44381</v>
      </c>
      <c r="I303" s="2">
        <v>50</v>
      </c>
      <c r="J303" s="29" t="s">
        <v>197</v>
      </c>
      <c r="K303" s="51" t="str">
        <f>VLOOKUP(표6[[#This Row],[종목]],자격증정보!$A$2:$I$7,2,FALSE) &amp; " " &amp; VLOOKUP(표6[[#This Row],[종목]],자격증정보!$A$2:$I$7,3,FALSE)</f>
        <v>워드프로세서 단일</v>
      </c>
      <c r="L303" s="2" t="str">
        <f>TEXT(VLOOKUP(표6[[#This Row],[일정번호]],표2[],6,FALSE), "hh:mm")</f>
        <v>15:00</v>
      </c>
      <c r="M303" s="2" t="str">
        <f>VLOOKUP(표6[[#This Row],[종목]],자격증정보!$A$2:$I$7,9,FALSE)</f>
        <v>30분</v>
      </c>
    </row>
    <row r="304" spans="1:13">
      <c r="A304" s="29">
        <v>306</v>
      </c>
      <c r="B304" s="2">
        <v>6</v>
      </c>
      <c r="C304" s="2">
        <v>1</v>
      </c>
      <c r="D304" s="2">
        <v>66</v>
      </c>
      <c r="E304" s="2">
        <v>21</v>
      </c>
      <c r="F304" s="3">
        <v>44373</v>
      </c>
      <c r="G304" s="3">
        <v>44380</v>
      </c>
      <c r="H304" s="3">
        <v>44381</v>
      </c>
      <c r="I304" s="2">
        <v>20</v>
      </c>
      <c r="J304" s="29" t="s">
        <v>197</v>
      </c>
      <c r="K304" s="51" t="str">
        <f>VLOOKUP(표6[[#This Row],[종목]],자격증정보!$A$2:$I$7,2,FALSE) &amp; " " &amp; VLOOKUP(표6[[#This Row],[종목]],자격증정보!$A$2:$I$7,3,FALSE)</f>
        <v>워드프로세서 단일</v>
      </c>
      <c r="L304" s="2" t="str">
        <f>TEXT(VLOOKUP(표6[[#This Row],[일정번호]],표2[],6,FALSE), "hh:mm")</f>
        <v>15:00</v>
      </c>
      <c r="M304" s="2" t="str">
        <f>VLOOKUP(표6[[#This Row],[종목]],자격증정보!$A$2:$I$7,9,FALSE)</f>
        <v>30분</v>
      </c>
    </row>
    <row r="305" spans="1:13">
      <c r="A305" s="29">
        <v>307</v>
      </c>
      <c r="B305" s="2">
        <v>9</v>
      </c>
      <c r="C305" s="2">
        <v>1</v>
      </c>
      <c r="D305" s="2">
        <v>66</v>
      </c>
      <c r="E305" s="2">
        <v>21</v>
      </c>
      <c r="F305" s="3">
        <v>44373</v>
      </c>
      <c r="G305" s="3">
        <v>44380</v>
      </c>
      <c r="H305" s="3">
        <v>44381</v>
      </c>
      <c r="I305" s="2">
        <v>50</v>
      </c>
      <c r="J305" s="29" t="s">
        <v>197</v>
      </c>
      <c r="K305" s="51" t="str">
        <f>VLOOKUP(표6[[#This Row],[종목]],자격증정보!$A$2:$I$7,2,FALSE) &amp; " " &amp; VLOOKUP(표6[[#This Row],[종목]],자격증정보!$A$2:$I$7,3,FALSE)</f>
        <v>워드프로세서 단일</v>
      </c>
      <c r="L305" s="2" t="str">
        <f>TEXT(VLOOKUP(표6[[#This Row],[일정번호]],표2[],6,FALSE), "hh:mm")</f>
        <v>15:00</v>
      </c>
      <c r="M305" s="2" t="str">
        <f>VLOOKUP(표6[[#This Row],[종목]],자격증정보!$A$2:$I$7,9,FALSE)</f>
        <v>30분</v>
      </c>
    </row>
    <row r="306" spans="1:13">
      <c r="A306" s="29">
        <v>308</v>
      </c>
      <c r="B306" s="2">
        <v>16</v>
      </c>
      <c r="C306" s="2">
        <v>3</v>
      </c>
      <c r="D306" s="2">
        <v>115</v>
      </c>
      <c r="E306" s="2">
        <v>21</v>
      </c>
      <c r="F306" s="3">
        <v>44373</v>
      </c>
      <c r="G306" s="3">
        <v>44380</v>
      </c>
      <c r="H306" s="3">
        <v>44380</v>
      </c>
      <c r="I306" s="2">
        <v>90</v>
      </c>
      <c r="J306" s="29" t="s">
        <v>198</v>
      </c>
      <c r="K306" s="51" t="str">
        <f>VLOOKUP(표6[[#This Row],[종목]],자격증정보!$A$2:$I$7,2,FALSE) &amp; " " &amp; VLOOKUP(표6[[#This Row],[종목]],자격증정보!$A$2:$I$7,3,FALSE)</f>
        <v>컴퓨터활용능력 2급</v>
      </c>
      <c r="L306" s="2" t="str">
        <f>TEXT(VLOOKUP(표6[[#This Row],[일정번호]],표2[],6,FALSE), "hh:mm")</f>
        <v>09:00</v>
      </c>
      <c r="M306" s="2" t="str">
        <f>VLOOKUP(표6[[#This Row],[종목]],자격증정보!$A$2:$I$7,9,FALSE)</f>
        <v>30분</v>
      </c>
    </row>
    <row r="307" spans="1:13">
      <c r="A307" s="29">
        <v>309</v>
      </c>
      <c r="B307" s="2">
        <v>19</v>
      </c>
      <c r="C307" s="2">
        <v>3</v>
      </c>
      <c r="D307" s="2">
        <v>115</v>
      </c>
      <c r="E307" s="2">
        <v>21</v>
      </c>
      <c r="F307" s="3">
        <v>44373</v>
      </c>
      <c r="G307" s="3">
        <v>44380</v>
      </c>
      <c r="H307" s="3">
        <v>44380</v>
      </c>
      <c r="I307" s="2">
        <v>100</v>
      </c>
      <c r="J307" s="29" t="s">
        <v>198</v>
      </c>
      <c r="K307" s="51" t="str">
        <f>VLOOKUP(표6[[#This Row],[종목]],자격증정보!$A$2:$I$7,2,FALSE) &amp; " " &amp; VLOOKUP(표6[[#This Row],[종목]],자격증정보!$A$2:$I$7,3,FALSE)</f>
        <v>컴퓨터활용능력 2급</v>
      </c>
      <c r="L307" s="2" t="str">
        <f>TEXT(VLOOKUP(표6[[#This Row],[일정번호]],표2[],6,FALSE), "hh:mm")</f>
        <v>09:00</v>
      </c>
      <c r="M307" s="2" t="str">
        <f>VLOOKUP(표6[[#This Row],[종목]],자격증정보!$A$2:$I$7,9,FALSE)</f>
        <v>30분</v>
      </c>
    </row>
    <row r="308" spans="1:13">
      <c r="A308" s="29">
        <v>310</v>
      </c>
      <c r="B308" s="2">
        <v>16</v>
      </c>
      <c r="C308" s="2">
        <v>1</v>
      </c>
      <c r="D308" s="2">
        <v>70</v>
      </c>
      <c r="E308" s="2">
        <v>22</v>
      </c>
      <c r="F308" s="3">
        <v>44374</v>
      </c>
      <c r="G308" s="3">
        <v>44381</v>
      </c>
      <c r="H308" s="3">
        <v>44382</v>
      </c>
      <c r="I308" s="2">
        <v>10</v>
      </c>
      <c r="J308" s="29" t="s">
        <v>197</v>
      </c>
      <c r="K308" s="51" t="str">
        <f>VLOOKUP(표6[[#This Row],[종목]],자격증정보!$A$2:$I$7,2,FALSE) &amp; " " &amp; VLOOKUP(표6[[#This Row],[종목]],자격증정보!$A$2:$I$7,3,FALSE)</f>
        <v>워드프로세서 단일</v>
      </c>
      <c r="L308" s="2" t="str">
        <f>TEXT(VLOOKUP(표6[[#This Row],[일정번호]],표2[],6,FALSE), "hh:mm")</f>
        <v>17:00</v>
      </c>
      <c r="M308" s="2" t="str">
        <f>VLOOKUP(표6[[#This Row],[종목]],자격증정보!$A$2:$I$7,9,FALSE)</f>
        <v>30분</v>
      </c>
    </row>
    <row r="309" spans="1:13">
      <c r="A309" s="29">
        <v>311</v>
      </c>
      <c r="B309" s="2">
        <v>18</v>
      </c>
      <c r="C309" s="2">
        <v>1</v>
      </c>
      <c r="D309" s="2">
        <v>70</v>
      </c>
      <c r="E309" s="2">
        <v>22</v>
      </c>
      <c r="F309" s="3">
        <v>44374</v>
      </c>
      <c r="G309" s="3">
        <v>44381</v>
      </c>
      <c r="H309" s="3">
        <v>44382</v>
      </c>
      <c r="I309" s="2">
        <v>30</v>
      </c>
      <c r="J309" s="29" t="s">
        <v>197</v>
      </c>
      <c r="K309" s="51" t="str">
        <f>VLOOKUP(표6[[#This Row],[종목]],자격증정보!$A$2:$I$7,2,FALSE) &amp; " " &amp; VLOOKUP(표6[[#This Row],[종목]],자격증정보!$A$2:$I$7,3,FALSE)</f>
        <v>워드프로세서 단일</v>
      </c>
      <c r="L309" s="2" t="str">
        <f>TEXT(VLOOKUP(표6[[#This Row],[일정번호]],표2[],6,FALSE), "hh:mm")</f>
        <v>17:00</v>
      </c>
      <c r="M309" s="2" t="str">
        <f>VLOOKUP(표6[[#This Row],[종목]],자격증정보!$A$2:$I$7,9,FALSE)</f>
        <v>30분</v>
      </c>
    </row>
    <row r="310" spans="1:13">
      <c r="A310" s="29">
        <v>312</v>
      </c>
      <c r="B310" s="2">
        <v>23</v>
      </c>
      <c r="C310" s="2">
        <v>1</v>
      </c>
      <c r="D310" s="2">
        <v>70</v>
      </c>
      <c r="E310" s="2">
        <v>22</v>
      </c>
      <c r="F310" s="3">
        <v>44374</v>
      </c>
      <c r="G310" s="3">
        <v>44381</v>
      </c>
      <c r="H310" s="3">
        <v>44382</v>
      </c>
      <c r="I310" s="2">
        <v>50</v>
      </c>
      <c r="J310" s="29" t="s">
        <v>197</v>
      </c>
      <c r="K310" s="51" t="str">
        <f>VLOOKUP(표6[[#This Row],[종목]],자격증정보!$A$2:$I$7,2,FALSE) &amp; " " &amp; VLOOKUP(표6[[#This Row],[종목]],자격증정보!$A$2:$I$7,3,FALSE)</f>
        <v>워드프로세서 단일</v>
      </c>
      <c r="L310" s="2" t="str">
        <f>TEXT(VLOOKUP(표6[[#This Row],[일정번호]],표2[],6,FALSE), "hh:mm")</f>
        <v>17:00</v>
      </c>
      <c r="M310" s="2" t="str">
        <f>VLOOKUP(표6[[#This Row],[종목]],자격증정보!$A$2:$I$7,9,FALSE)</f>
        <v>30분</v>
      </c>
    </row>
    <row r="311" spans="1:13">
      <c r="A311" s="29">
        <v>313</v>
      </c>
      <c r="B311" s="2">
        <v>24</v>
      </c>
      <c r="C311" s="2">
        <v>1</v>
      </c>
      <c r="D311" s="2">
        <v>70</v>
      </c>
      <c r="E311" s="2">
        <v>22</v>
      </c>
      <c r="F311" s="3">
        <v>44374</v>
      </c>
      <c r="G311" s="3">
        <v>44381</v>
      </c>
      <c r="H311" s="3">
        <v>44382</v>
      </c>
      <c r="I311" s="2">
        <v>20</v>
      </c>
      <c r="J311" s="29" t="s">
        <v>197</v>
      </c>
      <c r="K311" s="51" t="str">
        <f>VLOOKUP(표6[[#This Row],[종목]],자격증정보!$A$2:$I$7,2,FALSE) &amp; " " &amp; VLOOKUP(표6[[#This Row],[종목]],자격증정보!$A$2:$I$7,3,FALSE)</f>
        <v>워드프로세서 단일</v>
      </c>
      <c r="L311" s="2" t="str">
        <f>TEXT(VLOOKUP(표6[[#This Row],[일정번호]],표2[],6,FALSE), "hh:mm")</f>
        <v>17:00</v>
      </c>
      <c r="M311" s="2" t="str">
        <f>VLOOKUP(표6[[#This Row],[종목]],자격증정보!$A$2:$I$7,9,FALSE)</f>
        <v>30분</v>
      </c>
    </row>
    <row r="312" spans="1:13">
      <c r="A312" s="29">
        <v>314</v>
      </c>
      <c r="B312" s="2">
        <v>28</v>
      </c>
      <c r="C312" s="2">
        <v>1</v>
      </c>
      <c r="D312" s="2">
        <v>70</v>
      </c>
      <c r="E312" s="2">
        <v>22</v>
      </c>
      <c r="F312" s="3">
        <v>44374</v>
      </c>
      <c r="G312" s="3">
        <v>44381</v>
      </c>
      <c r="H312" s="3">
        <v>44382</v>
      </c>
      <c r="I312" s="2">
        <v>10</v>
      </c>
      <c r="J312" s="29" t="s">
        <v>197</v>
      </c>
      <c r="K312" s="51" t="str">
        <f>VLOOKUP(표6[[#This Row],[종목]],자격증정보!$A$2:$I$7,2,FALSE) &amp; " " &amp; VLOOKUP(표6[[#This Row],[종목]],자격증정보!$A$2:$I$7,3,FALSE)</f>
        <v>워드프로세서 단일</v>
      </c>
      <c r="L312" s="2" t="str">
        <f>TEXT(VLOOKUP(표6[[#This Row],[일정번호]],표2[],6,FALSE), "hh:mm")</f>
        <v>17:00</v>
      </c>
      <c r="M312" s="2" t="str">
        <f>VLOOKUP(표6[[#This Row],[종목]],자격증정보!$A$2:$I$7,9,FALSE)</f>
        <v>30분</v>
      </c>
    </row>
    <row r="313" spans="1:13">
      <c r="A313" s="29">
        <v>315</v>
      </c>
      <c r="B313" s="2">
        <v>22</v>
      </c>
      <c r="C313" s="2">
        <v>1</v>
      </c>
      <c r="D313" s="2">
        <v>70</v>
      </c>
      <c r="E313" s="2">
        <v>22</v>
      </c>
      <c r="F313" s="3">
        <v>44374</v>
      </c>
      <c r="G313" s="3">
        <v>44381</v>
      </c>
      <c r="H313" s="3">
        <v>44382</v>
      </c>
      <c r="I313" s="2">
        <v>40</v>
      </c>
      <c r="J313" s="29" t="s">
        <v>197</v>
      </c>
      <c r="K313" s="51" t="str">
        <f>VLOOKUP(표6[[#This Row],[종목]],자격증정보!$A$2:$I$7,2,FALSE) &amp; " " &amp; VLOOKUP(표6[[#This Row],[종목]],자격증정보!$A$2:$I$7,3,FALSE)</f>
        <v>워드프로세서 단일</v>
      </c>
      <c r="L313" s="2" t="str">
        <f>TEXT(VLOOKUP(표6[[#This Row],[일정번호]],표2[],6,FALSE), "hh:mm")</f>
        <v>17:00</v>
      </c>
      <c r="M313" s="2" t="str">
        <f>VLOOKUP(표6[[#This Row],[종목]],자격증정보!$A$2:$I$7,9,FALSE)</f>
        <v>30분</v>
      </c>
    </row>
    <row r="314" spans="1:13">
      <c r="A314" s="29">
        <v>316</v>
      </c>
      <c r="B314" s="2">
        <v>8</v>
      </c>
      <c r="C314" s="2">
        <v>1</v>
      </c>
      <c r="D314" s="2">
        <v>70</v>
      </c>
      <c r="E314" s="2">
        <v>22</v>
      </c>
      <c r="F314" s="3">
        <v>44374</v>
      </c>
      <c r="G314" s="3">
        <v>44381</v>
      </c>
      <c r="H314" s="3">
        <v>44382</v>
      </c>
      <c r="I314" s="2">
        <v>30</v>
      </c>
      <c r="J314" s="29" t="s">
        <v>197</v>
      </c>
      <c r="K314" s="51" t="str">
        <f>VLOOKUP(표6[[#This Row],[종목]],자격증정보!$A$2:$I$7,2,FALSE) &amp; " " &amp; VLOOKUP(표6[[#This Row],[종목]],자격증정보!$A$2:$I$7,3,FALSE)</f>
        <v>워드프로세서 단일</v>
      </c>
      <c r="L314" s="2" t="str">
        <f>TEXT(VLOOKUP(표6[[#This Row],[일정번호]],표2[],6,FALSE), "hh:mm")</f>
        <v>17:00</v>
      </c>
      <c r="M314" s="2" t="str">
        <f>VLOOKUP(표6[[#This Row],[종목]],자격증정보!$A$2:$I$7,9,FALSE)</f>
        <v>30분</v>
      </c>
    </row>
    <row r="315" spans="1:13">
      <c r="A315" s="29">
        <v>317</v>
      </c>
      <c r="B315" s="2">
        <v>24</v>
      </c>
      <c r="C315" s="2">
        <v>3</v>
      </c>
      <c r="D315" s="2">
        <v>132</v>
      </c>
      <c r="E315" s="2">
        <v>22</v>
      </c>
      <c r="F315" s="3">
        <v>44374</v>
      </c>
      <c r="G315" s="3">
        <v>44381</v>
      </c>
      <c r="H315" s="3">
        <v>44381</v>
      </c>
      <c r="I315" s="2">
        <v>20</v>
      </c>
      <c r="J315" s="29" t="s">
        <v>197</v>
      </c>
      <c r="K315" s="51" t="str">
        <f>VLOOKUP(표6[[#This Row],[종목]],자격증정보!$A$2:$I$7,2,FALSE) &amp; " " &amp; VLOOKUP(표6[[#This Row],[종목]],자격증정보!$A$2:$I$7,3,FALSE)</f>
        <v>컴퓨터활용능력 2급</v>
      </c>
      <c r="L315" s="2" t="str">
        <f>TEXT(VLOOKUP(표6[[#This Row],[일정번호]],표2[],6,FALSE), "hh:mm")</f>
        <v>13:00</v>
      </c>
      <c r="M315" s="2" t="str">
        <f>VLOOKUP(표6[[#This Row],[종목]],자격증정보!$A$2:$I$7,9,FALSE)</f>
        <v>30분</v>
      </c>
    </row>
    <row r="316" spans="1:13">
      <c r="A316" s="29">
        <v>318</v>
      </c>
      <c r="B316" s="2">
        <v>25</v>
      </c>
      <c r="C316" s="2">
        <v>3</v>
      </c>
      <c r="D316" s="2">
        <v>132</v>
      </c>
      <c r="E316" s="2">
        <v>22</v>
      </c>
      <c r="F316" s="3">
        <v>44374</v>
      </c>
      <c r="G316" s="3">
        <v>44381</v>
      </c>
      <c r="H316" s="3">
        <v>44381</v>
      </c>
      <c r="I316" s="2">
        <v>0</v>
      </c>
      <c r="J316" s="29" t="s">
        <v>197</v>
      </c>
      <c r="K316" s="51" t="str">
        <f>VLOOKUP(표6[[#This Row],[종목]],자격증정보!$A$2:$I$7,2,FALSE) &amp; " " &amp; VLOOKUP(표6[[#This Row],[종목]],자격증정보!$A$2:$I$7,3,FALSE)</f>
        <v>컴퓨터활용능력 2급</v>
      </c>
      <c r="L316" s="2" t="str">
        <f>TEXT(VLOOKUP(표6[[#This Row],[일정번호]],표2[],6,FALSE), "hh:mm")</f>
        <v>13:00</v>
      </c>
      <c r="M316" s="2" t="str">
        <f>VLOOKUP(표6[[#This Row],[종목]],자격증정보!$A$2:$I$7,9,FALSE)</f>
        <v>30분</v>
      </c>
    </row>
    <row r="317" spans="1:13">
      <c r="A317" s="29">
        <v>319</v>
      </c>
      <c r="B317" s="2">
        <v>16</v>
      </c>
      <c r="C317" s="2">
        <v>5</v>
      </c>
      <c r="D317" s="2">
        <v>116</v>
      </c>
      <c r="E317" s="2">
        <v>22</v>
      </c>
      <c r="F317" s="3">
        <v>44374</v>
      </c>
      <c r="G317" s="3">
        <v>44381</v>
      </c>
      <c r="H317" s="3">
        <v>44382</v>
      </c>
      <c r="I317" s="2">
        <v>60</v>
      </c>
      <c r="J317" s="29" t="s">
        <v>197</v>
      </c>
      <c r="K317" s="51" t="str">
        <f>VLOOKUP(표6[[#This Row],[종목]],자격증정보!$A$2:$I$7,2,FALSE) &amp; " " &amp; VLOOKUP(표6[[#This Row],[종목]],자격증정보!$A$2:$I$7,3,FALSE)</f>
        <v>비서 2급</v>
      </c>
      <c r="L317" s="2" t="str">
        <f>TEXT(VLOOKUP(표6[[#This Row],[일정번호]],표2[],6,FALSE), "hh:mm")</f>
        <v>09:00</v>
      </c>
      <c r="M317" s="2" t="str">
        <f>VLOOKUP(표6[[#This Row],[종목]],자격증정보!$A$2:$I$7,9,FALSE)</f>
        <v>40분</v>
      </c>
    </row>
    <row r="318" spans="1:13">
      <c r="A318" s="29">
        <v>320</v>
      </c>
      <c r="B318" s="2">
        <v>19</v>
      </c>
      <c r="C318" s="2">
        <v>5</v>
      </c>
      <c r="D318" s="2">
        <v>116</v>
      </c>
      <c r="E318" s="2">
        <v>22</v>
      </c>
      <c r="F318" s="3">
        <v>44374</v>
      </c>
      <c r="G318" s="3">
        <v>44381</v>
      </c>
      <c r="H318" s="3">
        <v>44382</v>
      </c>
      <c r="I318" s="2">
        <v>0</v>
      </c>
      <c r="J318" s="29" t="s">
        <v>197</v>
      </c>
      <c r="K318" s="51" t="str">
        <f>VLOOKUP(표6[[#This Row],[종목]],자격증정보!$A$2:$I$7,2,FALSE) &amp; " " &amp; VLOOKUP(표6[[#This Row],[종목]],자격증정보!$A$2:$I$7,3,FALSE)</f>
        <v>비서 2급</v>
      </c>
      <c r="L318" s="2" t="str">
        <f>TEXT(VLOOKUP(표6[[#This Row],[일정번호]],표2[],6,FALSE), "hh:mm")</f>
        <v>09:00</v>
      </c>
      <c r="M318" s="2" t="str">
        <f>VLOOKUP(표6[[#This Row],[종목]],자격증정보!$A$2:$I$7,9,FALSE)</f>
        <v>40분</v>
      </c>
    </row>
    <row r="319" spans="1:13">
      <c r="A319" s="29">
        <v>321</v>
      </c>
      <c r="B319" s="2">
        <v>9</v>
      </c>
      <c r="C319" s="2">
        <v>3</v>
      </c>
      <c r="D319" s="2">
        <v>132</v>
      </c>
      <c r="E319" s="2">
        <v>22</v>
      </c>
      <c r="F319" s="3">
        <v>44374</v>
      </c>
      <c r="G319" s="3">
        <v>44381</v>
      </c>
      <c r="H319" s="3">
        <v>44381</v>
      </c>
      <c r="I319" s="2">
        <v>0</v>
      </c>
      <c r="J319" s="29" t="s">
        <v>197</v>
      </c>
      <c r="K319" s="51" t="str">
        <f>VLOOKUP(표6[[#This Row],[종목]],자격증정보!$A$2:$I$7,2,FALSE) &amp; " " &amp; VLOOKUP(표6[[#This Row],[종목]],자격증정보!$A$2:$I$7,3,FALSE)</f>
        <v>컴퓨터활용능력 2급</v>
      </c>
      <c r="L319" s="2" t="str">
        <f>TEXT(VLOOKUP(표6[[#This Row],[일정번호]],표2[],6,FALSE), "hh:mm")</f>
        <v>13:00</v>
      </c>
      <c r="M319" s="2" t="str">
        <f>VLOOKUP(표6[[#This Row],[종목]],자격증정보!$A$2:$I$7,9,FALSE)</f>
        <v>30분</v>
      </c>
    </row>
    <row r="320" spans="1:13">
      <c r="A320" s="29">
        <v>322</v>
      </c>
      <c r="B320" s="2">
        <v>10</v>
      </c>
      <c r="C320" s="2">
        <v>3</v>
      </c>
      <c r="D320" s="2">
        <v>132</v>
      </c>
      <c r="E320" s="2">
        <v>22</v>
      </c>
      <c r="F320" s="3">
        <v>44374</v>
      </c>
      <c r="G320" s="3">
        <v>44381</v>
      </c>
      <c r="H320" s="3">
        <v>44381</v>
      </c>
      <c r="I320" s="2">
        <v>10</v>
      </c>
      <c r="J320" s="29" t="s">
        <v>197</v>
      </c>
      <c r="K320" s="51" t="str">
        <f>VLOOKUP(표6[[#This Row],[종목]],자격증정보!$A$2:$I$7,2,FALSE) &amp; " " &amp; VLOOKUP(표6[[#This Row],[종목]],자격증정보!$A$2:$I$7,3,FALSE)</f>
        <v>컴퓨터활용능력 2급</v>
      </c>
      <c r="L320" s="2" t="str">
        <f>TEXT(VLOOKUP(표6[[#This Row],[일정번호]],표2[],6,FALSE), "hh:mm")</f>
        <v>13:00</v>
      </c>
      <c r="M320" s="2" t="str">
        <f>VLOOKUP(표6[[#This Row],[종목]],자격증정보!$A$2:$I$7,9,FALSE)</f>
        <v>30분</v>
      </c>
    </row>
    <row r="321" spans="1:13">
      <c r="A321" s="29">
        <v>323</v>
      </c>
      <c r="B321" s="2">
        <v>12</v>
      </c>
      <c r="C321" s="2">
        <v>4</v>
      </c>
      <c r="D321" s="2">
        <v>136</v>
      </c>
      <c r="E321" s="2">
        <v>22</v>
      </c>
      <c r="F321" s="3">
        <v>44374</v>
      </c>
      <c r="G321" s="3">
        <v>44381</v>
      </c>
      <c r="H321" s="3">
        <v>44382</v>
      </c>
      <c r="I321" s="2">
        <v>40</v>
      </c>
      <c r="J321" s="29" t="s">
        <v>197</v>
      </c>
      <c r="K321" s="51" t="str">
        <f>VLOOKUP(표6[[#This Row],[종목]],자격증정보!$A$2:$I$7,2,FALSE) &amp; " " &amp; VLOOKUP(표6[[#This Row],[종목]],자격증정보!$A$2:$I$7,3,FALSE)</f>
        <v>비서 1급</v>
      </c>
      <c r="L321" s="2" t="str">
        <f>TEXT(VLOOKUP(표6[[#This Row],[일정번호]],표2[],6,FALSE), "hh:mm")</f>
        <v>15:00</v>
      </c>
      <c r="M321" s="2" t="str">
        <f>VLOOKUP(표6[[#This Row],[종목]],자격증정보!$A$2:$I$7,9,FALSE)</f>
        <v>40분</v>
      </c>
    </row>
    <row r="322" spans="1:13">
      <c r="A322" s="29">
        <v>324</v>
      </c>
      <c r="B322" s="2">
        <v>27</v>
      </c>
      <c r="C322" s="2">
        <v>4</v>
      </c>
      <c r="D322" s="2">
        <v>136</v>
      </c>
      <c r="E322" s="2">
        <v>22</v>
      </c>
      <c r="F322" s="3">
        <v>44374</v>
      </c>
      <c r="G322" s="3">
        <v>44381</v>
      </c>
      <c r="H322" s="3">
        <v>44382</v>
      </c>
      <c r="I322" s="2">
        <v>50</v>
      </c>
      <c r="J322" s="29" t="s">
        <v>197</v>
      </c>
      <c r="K322" s="51" t="str">
        <f>VLOOKUP(표6[[#This Row],[종목]],자격증정보!$A$2:$I$7,2,FALSE) &amp; " " &amp; VLOOKUP(표6[[#This Row],[종목]],자격증정보!$A$2:$I$7,3,FALSE)</f>
        <v>비서 1급</v>
      </c>
      <c r="L322" s="2" t="str">
        <f>TEXT(VLOOKUP(표6[[#This Row],[일정번호]],표2[],6,FALSE), "hh:mm")</f>
        <v>15:00</v>
      </c>
      <c r="M322" s="2" t="str">
        <f>VLOOKUP(표6[[#This Row],[종목]],자격증정보!$A$2:$I$7,9,FALSE)</f>
        <v>40분</v>
      </c>
    </row>
    <row r="323" spans="1:13">
      <c r="A323" s="29">
        <v>325</v>
      </c>
      <c r="B323" s="2">
        <v>3</v>
      </c>
      <c r="C323" s="2">
        <v>1</v>
      </c>
      <c r="D323" s="2">
        <v>74</v>
      </c>
      <c r="E323" s="2">
        <v>23</v>
      </c>
      <c r="F323" s="3">
        <v>44376</v>
      </c>
      <c r="G323" s="3">
        <v>44383</v>
      </c>
      <c r="H323" s="3">
        <v>44384</v>
      </c>
      <c r="I323" s="2">
        <v>40</v>
      </c>
      <c r="J323" s="29" t="s">
        <v>197</v>
      </c>
      <c r="K323" s="51" t="str">
        <f>VLOOKUP(표6[[#This Row],[종목]],자격증정보!$A$2:$I$7,2,FALSE) &amp; " " &amp; VLOOKUP(표6[[#This Row],[종목]],자격증정보!$A$2:$I$7,3,FALSE)</f>
        <v>워드프로세서 단일</v>
      </c>
      <c r="L323" s="2" t="str">
        <f>TEXT(VLOOKUP(표6[[#This Row],[일정번호]],표2[],6,FALSE), "hh:mm")</f>
        <v>14:00</v>
      </c>
      <c r="M323" s="2" t="str">
        <f>VLOOKUP(표6[[#This Row],[종목]],자격증정보!$A$2:$I$7,9,FALSE)</f>
        <v>30분</v>
      </c>
    </row>
    <row r="324" spans="1:13">
      <c r="A324" s="29">
        <v>326</v>
      </c>
      <c r="B324" s="2">
        <v>4</v>
      </c>
      <c r="C324" s="2">
        <v>1</v>
      </c>
      <c r="D324" s="2">
        <v>74</v>
      </c>
      <c r="E324" s="2">
        <v>23</v>
      </c>
      <c r="F324" s="3">
        <v>44376</v>
      </c>
      <c r="G324" s="3">
        <v>44383</v>
      </c>
      <c r="H324" s="3">
        <v>44384</v>
      </c>
      <c r="I324" s="2">
        <v>10</v>
      </c>
      <c r="J324" s="29" t="s">
        <v>197</v>
      </c>
      <c r="K324" s="51" t="str">
        <f>VLOOKUP(표6[[#This Row],[종목]],자격증정보!$A$2:$I$7,2,FALSE) &amp; " " &amp; VLOOKUP(표6[[#This Row],[종목]],자격증정보!$A$2:$I$7,3,FALSE)</f>
        <v>워드프로세서 단일</v>
      </c>
      <c r="L324" s="2" t="str">
        <f>TEXT(VLOOKUP(표6[[#This Row],[일정번호]],표2[],6,FALSE), "hh:mm")</f>
        <v>14:00</v>
      </c>
      <c r="M324" s="2" t="str">
        <f>VLOOKUP(표6[[#This Row],[종목]],자격증정보!$A$2:$I$7,9,FALSE)</f>
        <v>30분</v>
      </c>
    </row>
    <row r="325" spans="1:13">
      <c r="A325" s="29">
        <v>342</v>
      </c>
      <c r="B325" s="2">
        <v>7</v>
      </c>
      <c r="C325" s="2">
        <v>1</v>
      </c>
      <c r="D325" s="2">
        <v>79</v>
      </c>
      <c r="E325" s="2">
        <v>25</v>
      </c>
      <c r="F325" s="3">
        <v>44380</v>
      </c>
      <c r="G325" s="3">
        <v>44387</v>
      </c>
      <c r="H325" s="3">
        <v>44388</v>
      </c>
      <c r="I325" s="2">
        <v>50</v>
      </c>
      <c r="J325" s="29" t="s">
        <v>197</v>
      </c>
      <c r="K325" s="51" t="str">
        <f>VLOOKUP(표6[[#This Row],[종목]],자격증정보!$A$2:$I$7,2,FALSE) &amp; " " &amp; VLOOKUP(표6[[#This Row],[종목]],자격증정보!$A$2:$I$7,3,FALSE)</f>
        <v>워드프로세서 단일</v>
      </c>
      <c r="L325" s="2" t="str">
        <f>TEXT(VLOOKUP(표6[[#This Row],[일정번호]],표2[],6,FALSE), "hh:mm")</f>
        <v>11:00</v>
      </c>
      <c r="M325" s="2" t="str">
        <f>VLOOKUP(표6[[#This Row],[종목]],자격증정보!$A$2:$I$7,9,FALSE)</f>
        <v>30분</v>
      </c>
    </row>
    <row r="326" spans="1:13">
      <c r="A326" s="29">
        <v>328</v>
      </c>
      <c r="B326" s="2">
        <v>11</v>
      </c>
      <c r="C326" s="2">
        <v>1</v>
      </c>
      <c r="D326" s="2">
        <v>74</v>
      </c>
      <c r="E326" s="2">
        <v>23</v>
      </c>
      <c r="F326" s="3">
        <v>44376</v>
      </c>
      <c r="G326" s="3">
        <v>44383</v>
      </c>
      <c r="H326" s="3">
        <v>44384</v>
      </c>
      <c r="I326" s="2">
        <v>0</v>
      </c>
      <c r="J326" s="29" t="s">
        <v>197</v>
      </c>
      <c r="K326" s="51" t="str">
        <f>VLOOKUP(표6[[#This Row],[종목]],자격증정보!$A$2:$I$7,2,FALSE) &amp; " " &amp; VLOOKUP(표6[[#This Row],[종목]],자격증정보!$A$2:$I$7,3,FALSE)</f>
        <v>워드프로세서 단일</v>
      </c>
      <c r="L326" s="2" t="str">
        <f>TEXT(VLOOKUP(표6[[#This Row],[일정번호]],표2[],6,FALSE), "hh:mm")</f>
        <v>14:00</v>
      </c>
      <c r="M326" s="2" t="str">
        <f>VLOOKUP(표6[[#This Row],[종목]],자격증정보!$A$2:$I$7,9,FALSE)</f>
        <v>30분</v>
      </c>
    </row>
    <row r="327" spans="1:13">
      <c r="A327" s="29">
        <v>329</v>
      </c>
      <c r="B327" s="2">
        <v>12</v>
      </c>
      <c r="C327" s="2">
        <v>1</v>
      </c>
      <c r="D327" s="2">
        <v>74</v>
      </c>
      <c r="E327" s="2">
        <v>23</v>
      </c>
      <c r="F327" s="3">
        <v>44376</v>
      </c>
      <c r="G327" s="3">
        <v>44383</v>
      </c>
      <c r="H327" s="3">
        <v>44384</v>
      </c>
      <c r="I327" s="2">
        <v>10</v>
      </c>
      <c r="J327" s="29" t="s">
        <v>197</v>
      </c>
      <c r="K327" s="51" t="str">
        <f>VLOOKUP(표6[[#This Row],[종목]],자격증정보!$A$2:$I$7,2,FALSE) &amp; " " &amp; VLOOKUP(표6[[#This Row],[종목]],자격증정보!$A$2:$I$7,3,FALSE)</f>
        <v>워드프로세서 단일</v>
      </c>
      <c r="L327" s="2" t="str">
        <f>TEXT(VLOOKUP(표6[[#This Row],[일정번호]],표2[],6,FALSE), "hh:mm")</f>
        <v>14:00</v>
      </c>
      <c r="M327" s="2" t="str">
        <f>VLOOKUP(표6[[#This Row],[종목]],자격증정보!$A$2:$I$7,9,FALSE)</f>
        <v>30분</v>
      </c>
    </row>
    <row r="328" spans="1:13">
      <c r="A328" s="29">
        <v>330</v>
      </c>
      <c r="B328" s="2">
        <v>3</v>
      </c>
      <c r="C328" s="2">
        <v>3</v>
      </c>
      <c r="D328" s="2">
        <v>133</v>
      </c>
      <c r="E328" s="2">
        <v>23</v>
      </c>
      <c r="F328" s="3">
        <v>44376</v>
      </c>
      <c r="G328" s="3">
        <v>44383</v>
      </c>
      <c r="H328" s="3">
        <v>44383</v>
      </c>
      <c r="I328" s="2">
        <v>20</v>
      </c>
      <c r="J328" s="29" t="s">
        <v>197</v>
      </c>
      <c r="K328" s="51" t="str">
        <f>VLOOKUP(표6[[#This Row],[종목]],자격증정보!$A$2:$I$7,2,FALSE) &amp; " " &amp; VLOOKUP(표6[[#This Row],[종목]],자격증정보!$A$2:$I$7,3,FALSE)</f>
        <v>컴퓨터활용능력 2급</v>
      </c>
      <c r="L328" s="2" t="str">
        <f>TEXT(VLOOKUP(표6[[#This Row],[일정번호]],표2[],6,FALSE), "hh:mm")</f>
        <v>14:20</v>
      </c>
      <c r="M328" s="2" t="str">
        <f>VLOOKUP(표6[[#This Row],[종목]],자격증정보!$A$2:$I$7,9,FALSE)</f>
        <v>30분</v>
      </c>
    </row>
    <row r="329" spans="1:13">
      <c r="A329" s="29">
        <v>331</v>
      </c>
      <c r="B329" s="2">
        <v>4</v>
      </c>
      <c r="C329" s="2">
        <v>3</v>
      </c>
      <c r="D329" s="2">
        <v>133</v>
      </c>
      <c r="E329" s="2">
        <v>23</v>
      </c>
      <c r="F329" s="3">
        <v>44376</v>
      </c>
      <c r="G329" s="3">
        <v>44383</v>
      </c>
      <c r="H329" s="3">
        <v>44383</v>
      </c>
      <c r="I329" s="2">
        <v>60</v>
      </c>
      <c r="J329" s="29" t="s">
        <v>197</v>
      </c>
      <c r="K329" s="51" t="str">
        <f>VLOOKUP(표6[[#This Row],[종목]],자격증정보!$A$2:$I$7,2,FALSE) &amp; " " &amp; VLOOKUP(표6[[#This Row],[종목]],자격증정보!$A$2:$I$7,3,FALSE)</f>
        <v>컴퓨터활용능력 2급</v>
      </c>
      <c r="L329" s="2" t="str">
        <f>TEXT(VLOOKUP(표6[[#This Row],[일정번호]],표2[],6,FALSE), "hh:mm")</f>
        <v>14:20</v>
      </c>
      <c r="M329" s="2" t="str">
        <f>VLOOKUP(표6[[#This Row],[종목]],자격증정보!$A$2:$I$7,9,FALSE)</f>
        <v>30분</v>
      </c>
    </row>
    <row r="330" spans="1:13">
      <c r="A330" s="29">
        <v>332</v>
      </c>
      <c r="B330" s="2">
        <v>4</v>
      </c>
      <c r="C330" s="2">
        <v>1</v>
      </c>
      <c r="D330" s="2">
        <v>78</v>
      </c>
      <c r="E330" s="2">
        <v>24</v>
      </c>
      <c r="F330" s="3">
        <v>44379</v>
      </c>
      <c r="G330" s="3">
        <v>44386</v>
      </c>
      <c r="H330" s="3">
        <v>44387</v>
      </c>
      <c r="I330" s="2">
        <v>10</v>
      </c>
      <c r="J330" s="29" t="s">
        <v>197</v>
      </c>
      <c r="K330" s="51" t="str">
        <f>VLOOKUP(표6[[#This Row],[종목]],자격증정보!$A$2:$I$7,2,FALSE) &amp; " " &amp; VLOOKUP(표6[[#This Row],[종목]],자격증정보!$A$2:$I$7,3,FALSE)</f>
        <v>워드프로세서 단일</v>
      </c>
      <c r="L330" s="2" t="str">
        <f>TEXT(VLOOKUP(표6[[#This Row],[일정번호]],표2[],6,FALSE), "hh:mm")</f>
        <v>10:00</v>
      </c>
      <c r="M330" s="2" t="str">
        <f>VLOOKUP(표6[[#This Row],[종목]],자격증정보!$A$2:$I$7,9,FALSE)</f>
        <v>30분</v>
      </c>
    </row>
    <row r="331" spans="1:13">
      <c r="A331" s="29">
        <v>341</v>
      </c>
      <c r="B331" s="2">
        <v>5</v>
      </c>
      <c r="C331" s="2">
        <v>1</v>
      </c>
      <c r="D331" s="2">
        <v>79</v>
      </c>
      <c r="E331" s="2">
        <v>25</v>
      </c>
      <c r="F331" s="3">
        <v>44380</v>
      </c>
      <c r="G331" s="3">
        <v>44387</v>
      </c>
      <c r="H331" s="3">
        <v>44388</v>
      </c>
      <c r="I331" s="2">
        <v>40</v>
      </c>
      <c r="J331" s="29" t="s">
        <v>197</v>
      </c>
      <c r="K331" s="51" t="str">
        <f>VLOOKUP(표6[[#This Row],[종목]],자격증정보!$A$2:$I$7,2,FALSE) &amp; " " &amp; VLOOKUP(표6[[#This Row],[종목]],자격증정보!$A$2:$I$7,3,FALSE)</f>
        <v>워드프로세서 단일</v>
      </c>
      <c r="L331" s="2" t="str">
        <f>TEXT(VLOOKUP(표6[[#This Row],[일정번호]],표2[],6,FALSE), "hh:mm")</f>
        <v>11:00</v>
      </c>
      <c r="M331" s="2" t="str">
        <f>VLOOKUP(표6[[#This Row],[종목]],자격증정보!$A$2:$I$7,9,FALSE)</f>
        <v>30분</v>
      </c>
    </row>
    <row r="332" spans="1:13">
      <c r="A332" s="29">
        <v>334</v>
      </c>
      <c r="B332" s="2">
        <v>6</v>
      </c>
      <c r="C332" s="2">
        <v>1</v>
      </c>
      <c r="D332" s="2">
        <v>78</v>
      </c>
      <c r="E332" s="2">
        <v>24</v>
      </c>
      <c r="F332" s="3">
        <v>44379</v>
      </c>
      <c r="G332" s="3">
        <v>44386</v>
      </c>
      <c r="H332" s="3">
        <v>44387</v>
      </c>
      <c r="I332" s="2">
        <v>50</v>
      </c>
      <c r="J332" s="29" t="s">
        <v>197</v>
      </c>
      <c r="K332" s="51" t="str">
        <f>VLOOKUP(표6[[#This Row],[종목]],자격증정보!$A$2:$I$7,2,FALSE) &amp; " " &amp; VLOOKUP(표6[[#This Row],[종목]],자격증정보!$A$2:$I$7,3,FALSE)</f>
        <v>워드프로세서 단일</v>
      </c>
      <c r="L332" s="2" t="str">
        <f>TEXT(VLOOKUP(표6[[#This Row],[일정번호]],표2[],6,FALSE), "hh:mm")</f>
        <v>10:00</v>
      </c>
      <c r="M332" s="2" t="str">
        <f>VLOOKUP(표6[[#This Row],[종목]],자격증정보!$A$2:$I$7,9,FALSE)</f>
        <v>30분</v>
      </c>
    </row>
    <row r="333" spans="1:13">
      <c r="A333" s="29">
        <v>335</v>
      </c>
      <c r="B333" s="2">
        <v>8</v>
      </c>
      <c r="C333" s="2">
        <v>1</v>
      </c>
      <c r="D333" s="2">
        <v>78</v>
      </c>
      <c r="E333" s="2">
        <v>24</v>
      </c>
      <c r="F333" s="3">
        <v>44379</v>
      </c>
      <c r="G333" s="3">
        <v>44386</v>
      </c>
      <c r="H333" s="3">
        <v>44387</v>
      </c>
      <c r="I333" s="2">
        <v>20</v>
      </c>
      <c r="J333" s="29" t="s">
        <v>197</v>
      </c>
      <c r="K333" s="51" t="str">
        <f>VLOOKUP(표6[[#This Row],[종목]],자격증정보!$A$2:$I$7,2,FALSE) &amp; " " &amp; VLOOKUP(표6[[#This Row],[종목]],자격증정보!$A$2:$I$7,3,FALSE)</f>
        <v>워드프로세서 단일</v>
      </c>
      <c r="L333" s="2" t="str">
        <f>TEXT(VLOOKUP(표6[[#This Row],[일정번호]],표2[],6,FALSE), "hh:mm")</f>
        <v>10:00</v>
      </c>
      <c r="M333" s="2" t="str">
        <f>VLOOKUP(표6[[#This Row],[종목]],자격증정보!$A$2:$I$7,9,FALSE)</f>
        <v>30분</v>
      </c>
    </row>
    <row r="334" spans="1:13">
      <c r="A334" s="29">
        <v>336</v>
      </c>
      <c r="B334" s="2">
        <v>5</v>
      </c>
      <c r="C334" s="2">
        <v>3</v>
      </c>
      <c r="D334" s="2">
        <v>134</v>
      </c>
      <c r="E334" s="2">
        <v>24</v>
      </c>
      <c r="F334" s="3">
        <v>44379</v>
      </c>
      <c r="G334" s="3">
        <v>44386</v>
      </c>
      <c r="H334" s="3">
        <v>44386</v>
      </c>
      <c r="I334" s="2">
        <v>20</v>
      </c>
      <c r="J334" s="29" t="s">
        <v>197</v>
      </c>
      <c r="K334" s="51" t="str">
        <f>VLOOKUP(표6[[#This Row],[종목]],자격증정보!$A$2:$I$7,2,FALSE) &amp; " " &amp; VLOOKUP(표6[[#This Row],[종목]],자격증정보!$A$2:$I$7,3,FALSE)</f>
        <v>컴퓨터활용능력 2급</v>
      </c>
      <c r="L334" s="2" t="str">
        <f>TEXT(VLOOKUP(표6[[#This Row],[일정번호]],표2[],6,FALSE), "hh:mm")</f>
        <v>16:00</v>
      </c>
      <c r="M334" s="2" t="str">
        <f>VLOOKUP(표6[[#This Row],[종목]],자격증정보!$A$2:$I$7,9,FALSE)</f>
        <v>30분</v>
      </c>
    </row>
    <row r="335" spans="1:13">
      <c r="A335" s="29">
        <v>337</v>
      </c>
      <c r="B335" s="2">
        <v>6</v>
      </c>
      <c r="C335" s="2">
        <v>3</v>
      </c>
      <c r="D335" s="2">
        <v>134</v>
      </c>
      <c r="E335" s="2">
        <v>24</v>
      </c>
      <c r="F335" s="3">
        <v>44379</v>
      </c>
      <c r="G335" s="3">
        <v>44386</v>
      </c>
      <c r="H335" s="3">
        <v>44386</v>
      </c>
      <c r="I335" s="2">
        <v>80</v>
      </c>
      <c r="J335" s="29" t="s">
        <v>198</v>
      </c>
      <c r="K335" s="51" t="str">
        <f>VLOOKUP(표6[[#This Row],[종목]],자격증정보!$A$2:$I$7,2,FALSE) &amp; " " &amp; VLOOKUP(표6[[#This Row],[종목]],자격증정보!$A$2:$I$7,3,FALSE)</f>
        <v>컴퓨터활용능력 2급</v>
      </c>
      <c r="L335" s="2" t="str">
        <f>TEXT(VLOOKUP(표6[[#This Row],[일정번호]],표2[],6,FALSE), "hh:mm")</f>
        <v>16:00</v>
      </c>
      <c r="M335" s="2" t="str">
        <f>VLOOKUP(표6[[#This Row],[종목]],자격증정보!$A$2:$I$7,9,FALSE)</f>
        <v>30분</v>
      </c>
    </row>
    <row r="336" spans="1:13">
      <c r="A336" s="29">
        <v>244</v>
      </c>
      <c r="B336" s="2">
        <v>7</v>
      </c>
      <c r="C336" s="2">
        <v>3</v>
      </c>
      <c r="D336" s="2">
        <v>81</v>
      </c>
      <c r="E336" s="2">
        <v>13</v>
      </c>
      <c r="F336" s="3">
        <v>44366</v>
      </c>
      <c r="G336" s="3">
        <v>44373</v>
      </c>
      <c r="H336" s="3">
        <v>44373</v>
      </c>
      <c r="I336" s="2">
        <v>60</v>
      </c>
      <c r="J336" s="29" t="s">
        <v>197</v>
      </c>
      <c r="K336" s="51" t="str">
        <f>VLOOKUP(표6[[#This Row],[종목]],자격증정보!$A$2:$I$7,2,FALSE) &amp; " " &amp; VLOOKUP(표6[[#This Row],[종목]],자격증정보!$A$2:$I$7,3,FALSE)</f>
        <v>컴퓨터활용능력 2급</v>
      </c>
      <c r="L336" s="2" t="str">
        <f>TEXT(VLOOKUP(표6[[#This Row],[일정번호]],표2[],6,FALSE), "hh:mm")</f>
        <v>11:00</v>
      </c>
      <c r="M336" s="2" t="str">
        <f>VLOOKUP(표6[[#This Row],[종목]],자격증정보!$A$2:$I$7,9,FALSE)</f>
        <v>30분</v>
      </c>
    </row>
    <row r="337" spans="1:13">
      <c r="A337" s="29">
        <v>339</v>
      </c>
      <c r="B337" s="2">
        <v>1</v>
      </c>
      <c r="C337" s="2">
        <v>1</v>
      </c>
      <c r="D337" s="2">
        <v>79</v>
      </c>
      <c r="E337" s="2">
        <v>25</v>
      </c>
      <c r="F337" s="3">
        <v>44380</v>
      </c>
      <c r="G337" s="3">
        <v>44387</v>
      </c>
      <c r="H337" s="3">
        <v>44388</v>
      </c>
      <c r="I337" s="2">
        <v>40</v>
      </c>
      <c r="J337" s="29" t="s">
        <v>197</v>
      </c>
      <c r="K337" s="51" t="str">
        <f>VLOOKUP(표6[[#This Row],[종목]],자격증정보!$A$2:$I$7,2,FALSE) &amp; " " &amp; VLOOKUP(표6[[#This Row],[종목]],자격증정보!$A$2:$I$7,3,FALSE)</f>
        <v>워드프로세서 단일</v>
      </c>
      <c r="L337" s="2" t="str">
        <f>TEXT(VLOOKUP(표6[[#This Row],[일정번호]],표2[],6,FALSE), "hh:mm")</f>
        <v>11:00</v>
      </c>
      <c r="M337" s="2" t="str">
        <f>VLOOKUP(표6[[#This Row],[종목]],자격증정보!$A$2:$I$7,9,FALSE)</f>
        <v>30분</v>
      </c>
    </row>
    <row r="338" spans="1:13">
      <c r="A338" s="29">
        <v>340</v>
      </c>
      <c r="B338" s="2">
        <v>3</v>
      </c>
      <c r="C338" s="2">
        <v>1</v>
      </c>
      <c r="D338" s="2">
        <v>79</v>
      </c>
      <c r="E338" s="2">
        <v>25</v>
      </c>
      <c r="F338" s="3">
        <v>44380</v>
      </c>
      <c r="G338" s="3">
        <v>44387</v>
      </c>
      <c r="H338" s="3">
        <v>44388</v>
      </c>
      <c r="I338" s="2">
        <v>30</v>
      </c>
      <c r="J338" s="29" t="s">
        <v>197</v>
      </c>
      <c r="K338" s="51" t="str">
        <f>VLOOKUP(표6[[#This Row],[종목]],자격증정보!$A$2:$I$7,2,FALSE) &amp; " " &amp; VLOOKUP(표6[[#This Row],[종목]],자격증정보!$A$2:$I$7,3,FALSE)</f>
        <v>워드프로세서 단일</v>
      </c>
      <c r="L338" s="2" t="str">
        <f>TEXT(VLOOKUP(표6[[#This Row],[일정번호]],표2[],6,FALSE), "hh:mm")</f>
        <v>11:00</v>
      </c>
      <c r="M338" s="2" t="str">
        <f>VLOOKUP(표6[[#This Row],[종목]],자격증정보!$A$2:$I$7,9,FALSE)</f>
        <v>30분</v>
      </c>
    </row>
    <row r="339" spans="1:13">
      <c r="A339" s="29">
        <v>400</v>
      </c>
      <c r="B339" s="2">
        <v>5</v>
      </c>
      <c r="C339" s="2">
        <v>1</v>
      </c>
      <c r="D339" s="2">
        <v>109</v>
      </c>
      <c r="E339" s="2">
        <v>30</v>
      </c>
      <c r="F339" s="3">
        <v>44383</v>
      </c>
      <c r="G339" s="3">
        <v>44390</v>
      </c>
      <c r="H339" s="3">
        <v>44391</v>
      </c>
      <c r="I339" s="2">
        <v>10</v>
      </c>
      <c r="J339" s="29" t="s">
        <v>197</v>
      </c>
      <c r="K339" s="51" t="str">
        <f>VLOOKUP(표6[[#This Row],[종목]],자격증정보!$A$2:$I$7,2,FALSE) &amp; " " &amp; VLOOKUP(표6[[#This Row],[종목]],자격증정보!$A$2:$I$7,3,FALSE)</f>
        <v>워드프로세서 단일</v>
      </c>
      <c r="L339" s="2" t="str">
        <f>TEXT(VLOOKUP(표6[[#This Row],[일정번호]],표2[],6,FALSE), "hh:mm")</f>
        <v>14:00</v>
      </c>
      <c r="M339" s="2" t="str">
        <f>VLOOKUP(표6[[#This Row],[종목]],자격증정보!$A$2:$I$7,9,FALSE)</f>
        <v>30분</v>
      </c>
    </row>
    <row r="340" spans="1:13">
      <c r="A340" s="29">
        <v>162</v>
      </c>
      <c r="B340" s="2">
        <v>7</v>
      </c>
      <c r="C340" s="2">
        <v>6</v>
      </c>
      <c r="D340" s="2">
        <v>92</v>
      </c>
      <c r="E340" s="2">
        <v>5</v>
      </c>
      <c r="F340" s="3">
        <v>44350</v>
      </c>
      <c r="G340" s="3">
        <v>44357</v>
      </c>
      <c r="H340" s="3">
        <v>44358</v>
      </c>
      <c r="I340" s="2">
        <v>60</v>
      </c>
      <c r="J340" s="29" t="s">
        <v>197</v>
      </c>
      <c r="K340" s="51" t="str">
        <f>VLOOKUP(표6[[#This Row],[종목]],자격증정보!$A$2:$I$7,2,FALSE) &amp; " " &amp; VLOOKUP(표6[[#This Row],[종목]],자격증정보!$A$2:$I$7,3,FALSE)</f>
        <v>비서 3급</v>
      </c>
      <c r="L340" s="2" t="str">
        <f>TEXT(VLOOKUP(표6[[#This Row],[일정번호]],표2[],6,FALSE), "hh:mm")</f>
        <v>13:00</v>
      </c>
      <c r="M340" s="2" t="str">
        <f>VLOOKUP(표6[[#This Row],[종목]],자격증정보!$A$2:$I$7,9,FALSE)</f>
        <v>40분</v>
      </c>
    </row>
    <row r="341" spans="1:13">
      <c r="A341" s="29">
        <v>343</v>
      </c>
      <c r="B341" s="2">
        <v>10</v>
      </c>
      <c r="C341" s="2">
        <v>1</v>
      </c>
      <c r="D341" s="2">
        <v>122</v>
      </c>
      <c r="E341" s="2">
        <v>36</v>
      </c>
      <c r="F341" s="3">
        <v>44388</v>
      </c>
      <c r="G341" s="3">
        <v>44395</v>
      </c>
      <c r="H341" s="3">
        <v>44396</v>
      </c>
      <c r="I341" s="2">
        <v>100</v>
      </c>
      <c r="J341" s="29" t="s">
        <v>198</v>
      </c>
      <c r="K341" s="51" t="str">
        <f>VLOOKUP(표6[[#This Row],[종목]],자격증정보!$A$2:$I$7,2,FALSE) &amp; " " &amp; VLOOKUP(표6[[#This Row],[종목]],자격증정보!$A$2:$I$7,3,FALSE)</f>
        <v>워드프로세서 단일</v>
      </c>
      <c r="L341" s="2" t="str">
        <f>TEXT(VLOOKUP(표6[[#This Row],[일정번호]],표2[],6,FALSE), "hh:mm")</f>
        <v>11:00</v>
      </c>
      <c r="M341" s="2" t="str">
        <f>VLOOKUP(표6[[#This Row],[종목]],자격증정보!$A$2:$I$7,9,FALSE)</f>
        <v>30분</v>
      </c>
    </row>
    <row r="342" spans="1:13">
      <c r="A342" s="29">
        <v>344</v>
      </c>
      <c r="B342" s="2">
        <v>2</v>
      </c>
      <c r="C342" s="2">
        <v>1</v>
      </c>
      <c r="D342" s="2">
        <v>80</v>
      </c>
      <c r="E342" s="2">
        <v>26</v>
      </c>
      <c r="F342" s="3">
        <v>44380</v>
      </c>
      <c r="G342" s="3">
        <v>44387</v>
      </c>
      <c r="H342" s="3">
        <v>44388</v>
      </c>
      <c r="I342" s="2">
        <v>0</v>
      </c>
      <c r="J342" s="29" t="s">
        <v>197</v>
      </c>
      <c r="K342" s="51" t="str">
        <f>VLOOKUP(표6[[#This Row],[종목]],자격증정보!$A$2:$I$7,2,FALSE) &amp; " " &amp; VLOOKUP(표6[[#This Row],[종목]],자격증정보!$A$2:$I$7,3,FALSE)</f>
        <v>워드프로세서 단일</v>
      </c>
      <c r="L342" s="2" t="str">
        <f>TEXT(VLOOKUP(표6[[#This Row],[일정번호]],표2[],6,FALSE), "hh:mm")</f>
        <v>10:00</v>
      </c>
      <c r="M342" s="2" t="str">
        <f>VLOOKUP(표6[[#This Row],[종목]],자격증정보!$A$2:$I$7,9,FALSE)</f>
        <v>30분</v>
      </c>
    </row>
    <row r="343" spans="1:13">
      <c r="A343" s="29">
        <v>345</v>
      </c>
      <c r="B343" s="2">
        <v>4</v>
      </c>
      <c r="C343" s="2">
        <v>1</v>
      </c>
      <c r="D343" s="2">
        <v>80</v>
      </c>
      <c r="E343" s="2">
        <v>26</v>
      </c>
      <c r="F343" s="3">
        <v>44380</v>
      </c>
      <c r="G343" s="3">
        <v>44387</v>
      </c>
      <c r="H343" s="3">
        <v>44388</v>
      </c>
      <c r="I343" s="2">
        <v>30</v>
      </c>
      <c r="J343" s="29" t="s">
        <v>197</v>
      </c>
      <c r="K343" s="51" t="str">
        <f>VLOOKUP(표6[[#This Row],[종목]],자격증정보!$A$2:$I$7,2,FALSE) &amp; " " &amp; VLOOKUP(표6[[#This Row],[종목]],자격증정보!$A$2:$I$7,3,FALSE)</f>
        <v>워드프로세서 단일</v>
      </c>
      <c r="L343" s="2" t="str">
        <f>TEXT(VLOOKUP(표6[[#This Row],[일정번호]],표2[],6,FALSE), "hh:mm")</f>
        <v>10:00</v>
      </c>
      <c r="M343" s="2" t="str">
        <f>VLOOKUP(표6[[#This Row],[종목]],자격증정보!$A$2:$I$7,9,FALSE)</f>
        <v>30분</v>
      </c>
    </row>
    <row r="344" spans="1:13">
      <c r="A344" s="29">
        <v>346</v>
      </c>
      <c r="B344" s="2">
        <v>6</v>
      </c>
      <c r="C344" s="2">
        <v>1</v>
      </c>
      <c r="D344" s="2">
        <v>80</v>
      </c>
      <c r="E344" s="2">
        <v>26</v>
      </c>
      <c r="F344" s="3">
        <v>44380</v>
      </c>
      <c r="G344" s="3">
        <v>44387</v>
      </c>
      <c r="H344" s="3">
        <v>44388</v>
      </c>
      <c r="I344" s="2">
        <v>50</v>
      </c>
      <c r="J344" s="29" t="s">
        <v>197</v>
      </c>
      <c r="K344" s="51" t="str">
        <f>VLOOKUP(표6[[#This Row],[종목]],자격증정보!$A$2:$I$7,2,FALSE) &amp; " " &amp; VLOOKUP(표6[[#This Row],[종목]],자격증정보!$A$2:$I$7,3,FALSE)</f>
        <v>워드프로세서 단일</v>
      </c>
      <c r="L344" s="2" t="str">
        <f>TEXT(VLOOKUP(표6[[#This Row],[일정번호]],표2[],6,FALSE), "hh:mm")</f>
        <v>10:00</v>
      </c>
      <c r="M344" s="2" t="str">
        <f>VLOOKUP(표6[[#This Row],[종목]],자격증정보!$A$2:$I$7,9,FALSE)</f>
        <v>30분</v>
      </c>
    </row>
    <row r="345" spans="1:13">
      <c r="A345" s="29">
        <v>347</v>
      </c>
      <c r="B345" s="2">
        <v>8</v>
      </c>
      <c r="C345" s="2">
        <v>1</v>
      </c>
      <c r="D345" s="2">
        <v>80</v>
      </c>
      <c r="E345" s="2">
        <v>26</v>
      </c>
      <c r="F345" s="3">
        <v>44380</v>
      </c>
      <c r="G345" s="3">
        <v>44387</v>
      </c>
      <c r="H345" s="3">
        <v>44388</v>
      </c>
      <c r="I345" s="2">
        <v>10</v>
      </c>
      <c r="J345" s="29" t="s">
        <v>197</v>
      </c>
      <c r="K345" s="51" t="str">
        <f>VLOOKUP(표6[[#This Row],[종목]],자격증정보!$A$2:$I$7,2,FALSE) &amp; " " &amp; VLOOKUP(표6[[#This Row],[종목]],자격증정보!$A$2:$I$7,3,FALSE)</f>
        <v>워드프로세서 단일</v>
      </c>
      <c r="L345" s="2" t="str">
        <f>TEXT(VLOOKUP(표6[[#This Row],[일정번호]],표2[],6,FALSE), "hh:mm")</f>
        <v>10:00</v>
      </c>
      <c r="M345" s="2" t="str">
        <f>VLOOKUP(표6[[#This Row],[종목]],자격증정보!$A$2:$I$7,9,FALSE)</f>
        <v>30분</v>
      </c>
    </row>
    <row r="346" spans="1:13">
      <c r="A346" s="29">
        <v>348</v>
      </c>
      <c r="B346" s="2">
        <v>11</v>
      </c>
      <c r="C346" s="2">
        <v>1</v>
      </c>
      <c r="D346" s="2">
        <v>137</v>
      </c>
      <c r="E346" s="2">
        <v>37</v>
      </c>
      <c r="F346" s="3">
        <v>44389</v>
      </c>
      <c r="G346" s="3">
        <v>44396</v>
      </c>
      <c r="H346" s="3">
        <v>44397</v>
      </c>
      <c r="I346" s="2">
        <v>60</v>
      </c>
      <c r="J346" s="29" t="s">
        <v>198</v>
      </c>
      <c r="K346" s="51" t="str">
        <f>VLOOKUP(표6[[#This Row],[종목]],자격증정보!$A$2:$I$7,2,FALSE) &amp; " " &amp; VLOOKUP(표6[[#This Row],[종목]],자격증정보!$A$2:$I$7,3,FALSE)</f>
        <v>워드프로세서 단일</v>
      </c>
      <c r="L346" s="2" t="str">
        <f>TEXT(VLOOKUP(표6[[#This Row],[일정번호]],표2[],6,FALSE), "hh:mm")</f>
        <v>12:00</v>
      </c>
      <c r="M346" s="2" t="str">
        <f>VLOOKUP(표6[[#This Row],[종목]],자격증정보!$A$2:$I$7,9,FALSE)</f>
        <v>30분</v>
      </c>
    </row>
    <row r="347" spans="1:13">
      <c r="A347" s="29">
        <v>349</v>
      </c>
      <c r="B347" s="2">
        <v>9</v>
      </c>
      <c r="C347" s="2">
        <v>1</v>
      </c>
      <c r="D347" s="2">
        <v>79</v>
      </c>
      <c r="E347" s="2">
        <v>25</v>
      </c>
      <c r="F347" s="3">
        <v>44380</v>
      </c>
      <c r="G347" s="3">
        <v>44387</v>
      </c>
      <c r="H347" s="3">
        <v>44388</v>
      </c>
      <c r="I347" s="2">
        <v>40</v>
      </c>
      <c r="J347" s="29" t="s">
        <v>197</v>
      </c>
      <c r="K347" s="51" t="str">
        <f>VLOOKUP(표6[[#This Row],[종목]],자격증정보!$A$2:$I$7,2,FALSE) &amp; " " &amp; VLOOKUP(표6[[#This Row],[종목]],자격증정보!$A$2:$I$7,3,FALSE)</f>
        <v>워드프로세서 단일</v>
      </c>
      <c r="L347" s="2" t="str">
        <f>TEXT(VLOOKUP(표6[[#This Row],[일정번호]],표2[],6,FALSE), "hh:mm")</f>
        <v>11:00</v>
      </c>
      <c r="M347" s="2" t="str">
        <f>VLOOKUP(표6[[#This Row],[종목]],자격증정보!$A$2:$I$7,9,FALSE)</f>
        <v>30분</v>
      </c>
    </row>
    <row r="348" spans="1:13">
      <c r="A348" s="29">
        <v>350</v>
      </c>
      <c r="B348" s="2">
        <v>17</v>
      </c>
      <c r="C348" s="2">
        <v>3</v>
      </c>
      <c r="D348" s="2">
        <v>138</v>
      </c>
      <c r="E348" s="2">
        <v>25</v>
      </c>
      <c r="F348" s="3">
        <v>44380</v>
      </c>
      <c r="G348" s="3">
        <v>44387</v>
      </c>
      <c r="H348" s="3">
        <v>44387</v>
      </c>
      <c r="I348" s="2">
        <v>0</v>
      </c>
      <c r="J348" s="29" t="s">
        <v>197</v>
      </c>
      <c r="K348" s="51" t="str">
        <f>VLOOKUP(표6[[#This Row],[종목]],자격증정보!$A$2:$I$7,2,FALSE) &amp; " " &amp; VLOOKUP(표6[[#This Row],[종목]],자격증정보!$A$2:$I$7,3,FALSE)</f>
        <v>컴퓨터활용능력 2급</v>
      </c>
      <c r="L348" s="2" t="str">
        <f>TEXT(VLOOKUP(표6[[#This Row],[일정번호]],표2[],6,FALSE), "hh:mm")</f>
        <v>09:00</v>
      </c>
      <c r="M348" s="2" t="str">
        <f>VLOOKUP(표6[[#This Row],[종목]],자격증정보!$A$2:$I$7,9,FALSE)</f>
        <v>30분</v>
      </c>
    </row>
    <row r="349" spans="1:13">
      <c r="A349" s="29">
        <v>351</v>
      </c>
      <c r="B349" s="2">
        <v>19</v>
      </c>
      <c r="C349" s="2">
        <v>3</v>
      </c>
      <c r="D349" s="2">
        <v>138</v>
      </c>
      <c r="E349" s="2">
        <v>25</v>
      </c>
      <c r="F349" s="3">
        <v>44380</v>
      </c>
      <c r="G349" s="3">
        <v>44387</v>
      </c>
      <c r="H349" s="3">
        <v>44387</v>
      </c>
      <c r="I349" s="2">
        <v>0</v>
      </c>
      <c r="J349" s="29" t="s">
        <v>197</v>
      </c>
      <c r="K349" s="51" t="str">
        <f>VLOOKUP(표6[[#This Row],[종목]],자격증정보!$A$2:$I$7,2,FALSE) &amp; " " &amp; VLOOKUP(표6[[#This Row],[종목]],자격증정보!$A$2:$I$7,3,FALSE)</f>
        <v>컴퓨터활용능력 2급</v>
      </c>
      <c r="L349" s="2" t="str">
        <f>TEXT(VLOOKUP(표6[[#This Row],[일정번호]],표2[],6,FALSE), "hh:mm")</f>
        <v>09:00</v>
      </c>
      <c r="M349" s="2" t="str">
        <f>VLOOKUP(표6[[#This Row],[종목]],자격증정보!$A$2:$I$7,9,FALSE)</f>
        <v>30분</v>
      </c>
    </row>
    <row r="350" spans="1:13">
      <c r="A350" s="29">
        <v>352</v>
      </c>
      <c r="B350" s="2">
        <v>20</v>
      </c>
      <c r="C350" s="2">
        <v>3</v>
      </c>
      <c r="D350" s="2">
        <v>138</v>
      </c>
      <c r="E350" s="2">
        <v>25</v>
      </c>
      <c r="F350" s="3">
        <v>44380</v>
      </c>
      <c r="G350" s="3">
        <v>44387</v>
      </c>
      <c r="H350" s="3">
        <v>44387</v>
      </c>
      <c r="I350" s="2">
        <v>0</v>
      </c>
      <c r="J350" s="29" t="s">
        <v>197</v>
      </c>
      <c r="K350" s="51" t="str">
        <f>VLOOKUP(표6[[#This Row],[종목]],자격증정보!$A$2:$I$7,2,FALSE) &amp; " " &amp; VLOOKUP(표6[[#This Row],[종목]],자격증정보!$A$2:$I$7,3,FALSE)</f>
        <v>컴퓨터활용능력 2급</v>
      </c>
      <c r="L350" s="2" t="str">
        <f>TEXT(VLOOKUP(표6[[#This Row],[일정번호]],표2[],6,FALSE), "hh:mm")</f>
        <v>09:00</v>
      </c>
      <c r="M350" s="2" t="str">
        <f>VLOOKUP(표6[[#This Row],[종목]],자격증정보!$A$2:$I$7,9,FALSE)</f>
        <v>30분</v>
      </c>
    </row>
    <row r="351" spans="1:13">
      <c r="A351" s="29">
        <v>353</v>
      </c>
      <c r="B351" s="2">
        <v>5</v>
      </c>
      <c r="C351" s="2">
        <v>3</v>
      </c>
      <c r="D351" s="2">
        <v>139</v>
      </c>
      <c r="E351" s="2">
        <v>26</v>
      </c>
      <c r="F351" s="3">
        <v>44380</v>
      </c>
      <c r="G351" s="3">
        <v>44387</v>
      </c>
      <c r="H351" s="3">
        <v>44387</v>
      </c>
      <c r="I351" s="2">
        <v>60</v>
      </c>
      <c r="J351" s="29" t="s">
        <v>197</v>
      </c>
      <c r="K351" s="51" t="str">
        <f>VLOOKUP(표6[[#This Row],[종목]],자격증정보!$A$2:$I$7,2,FALSE) &amp; " " &amp; VLOOKUP(표6[[#This Row],[종목]],자격증정보!$A$2:$I$7,3,FALSE)</f>
        <v>컴퓨터활용능력 2급</v>
      </c>
      <c r="L351" s="2" t="str">
        <f>TEXT(VLOOKUP(표6[[#This Row],[일정번호]],표2[],6,FALSE), "hh:mm")</f>
        <v>10:20</v>
      </c>
      <c r="M351" s="2" t="str">
        <f>VLOOKUP(표6[[#This Row],[종목]],자격증정보!$A$2:$I$7,9,FALSE)</f>
        <v>30분</v>
      </c>
    </row>
    <row r="352" spans="1:13">
      <c r="A352" s="29">
        <v>354</v>
      </c>
      <c r="B352" s="2">
        <v>6</v>
      </c>
      <c r="C352" s="2">
        <v>3</v>
      </c>
      <c r="D352" s="2">
        <v>139</v>
      </c>
      <c r="E352" s="2">
        <v>26</v>
      </c>
      <c r="F352" s="3">
        <v>44380</v>
      </c>
      <c r="G352" s="3">
        <v>44387</v>
      </c>
      <c r="H352" s="3">
        <v>44387</v>
      </c>
      <c r="I352" s="2">
        <v>50</v>
      </c>
      <c r="J352" s="29" t="s">
        <v>197</v>
      </c>
      <c r="K352" s="51" t="str">
        <f>VLOOKUP(표6[[#This Row],[종목]],자격증정보!$A$2:$I$7,2,FALSE) &amp; " " &amp; VLOOKUP(표6[[#This Row],[종목]],자격증정보!$A$2:$I$7,3,FALSE)</f>
        <v>컴퓨터활용능력 2급</v>
      </c>
      <c r="L352" s="2" t="str">
        <f>TEXT(VLOOKUP(표6[[#This Row],[일정번호]],표2[],6,FALSE), "hh:mm")</f>
        <v>10:20</v>
      </c>
      <c r="M352" s="2" t="str">
        <f>VLOOKUP(표6[[#This Row],[종목]],자격증정보!$A$2:$I$7,9,FALSE)</f>
        <v>30분</v>
      </c>
    </row>
    <row r="353" spans="1:13">
      <c r="A353" s="29">
        <v>355</v>
      </c>
      <c r="B353" s="2">
        <v>4</v>
      </c>
      <c r="C353" s="2">
        <v>3</v>
      </c>
      <c r="D353" s="2">
        <v>139</v>
      </c>
      <c r="E353" s="2">
        <v>26</v>
      </c>
      <c r="F353" s="3">
        <v>44380</v>
      </c>
      <c r="G353" s="3">
        <v>44387</v>
      </c>
      <c r="H353" s="3">
        <v>44387</v>
      </c>
      <c r="I353" s="2">
        <v>0</v>
      </c>
      <c r="J353" s="29" t="s">
        <v>197</v>
      </c>
      <c r="K353" s="51" t="str">
        <f>VLOOKUP(표6[[#This Row],[종목]],자격증정보!$A$2:$I$7,2,FALSE) &amp; " " &amp; VLOOKUP(표6[[#This Row],[종목]],자격증정보!$A$2:$I$7,3,FALSE)</f>
        <v>컴퓨터활용능력 2급</v>
      </c>
      <c r="L353" s="2" t="str">
        <f>TEXT(VLOOKUP(표6[[#This Row],[일정번호]],표2[],6,FALSE), "hh:mm")</f>
        <v>10:20</v>
      </c>
      <c r="M353" s="2" t="str">
        <f>VLOOKUP(표6[[#This Row],[종목]],자격증정보!$A$2:$I$7,9,FALSE)</f>
        <v>30분</v>
      </c>
    </row>
    <row r="354" spans="1:13">
      <c r="A354" s="29">
        <v>356</v>
      </c>
      <c r="B354" s="2">
        <v>8</v>
      </c>
      <c r="C354" s="2">
        <v>3</v>
      </c>
      <c r="D354" s="2">
        <v>139</v>
      </c>
      <c r="E354" s="2">
        <v>26</v>
      </c>
      <c r="F354" s="3">
        <v>44380</v>
      </c>
      <c r="G354" s="3">
        <v>44387</v>
      </c>
      <c r="H354" s="3">
        <v>44387</v>
      </c>
      <c r="I354" s="2">
        <v>40</v>
      </c>
      <c r="J354" s="29" t="s">
        <v>197</v>
      </c>
      <c r="K354" s="51" t="str">
        <f>VLOOKUP(표6[[#This Row],[종목]],자격증정보!$A$2:$I$7,2,FALSE) &amp; " " &amp; VLOOKUP(표6[[#This Row],[종목]],자격증정보!$A$2:$I$7,3,FALSE)</f>
        <v>컴퓨터활용능력 2급</v>
      </c>
      <c r="L354" s="2" t="str">
        <f>TEXT(VLOOKUP(표6[[#This Row],[일정번호]],표2[],6,FALSE), "hh:mm")</f>
        <v>10:20</v>
      </c>
      <c r="M354" s="2" t="str">
        <f>VLOOKUP(표6[[#This Row],[종목]],자격증정보!$A$2:$I$7,9,FALSE)</f>
        <v>30분</v>
      </c>
    </row>
    <row r="355" spans="1:13">
      <c r="A355" s="29">
        <v>357</v>
      </c>
      <c r="B355" s="2">
        <v>16</v>
      </c>
      <c r="C355" s="2">
        <v>3</v>
      </c>
      <c r="D355" s="2">
        <v>138</v>
      </c>
      <c r="E355" s="2">
        <v>25</v>
      </c>
      <c r="F355" s="3">
        <v>44380</v>
      </c>
      <c r="G355" s="3">
        <v>44387</v>
      </c>
      <c r="H355" s="3">
        <v>44387</v>
      </c>
      <c r="I355" s="2">
        <v>30</v>
      </c>
      <c r="J355" s="29" t="s">
        <v>197</v>
      </c>
      <c r="K355" s="51" t="str">
        <f>VLOOKUP(표6[[#This Row],[종목]],자격증정보!$A$2:$I$7,2,FALSE) &amp; " " &amp; VLOOKUP(표6[[#This Row],[종목]],자격증정보!$A$2:$I$7,3,FALSE)</f>
        <v>컴퓨터활용능력 2급</v>
      </c>
      <c r="L355" s="2" t="str">
        <f>TEXT(VLOOKUP(표6[[#This Row],[일정번호]],표2[],6,FALSE), "hh:mm")</f>
        <v>09:00</v>
      </c>
      <c r="M355" s="2" t="str">
        <f>VLOOKUP(표6[[#This Row],[종목]],자격증정보!$A$2:$I$7,9,FALSE)</f>
        <v>30분</v>
      </c>
    </row>
    <row r="356" spans="1:13">
      <c r="A356" s="29">
        <v>358</v>
      </c>
      <c r="B356" s="2">
        <v>19</v>
      </c>
      <c r="C356" s="2">
        <v>3</v>
      </c>
      <c r="D356" s="2">
        <v>138</v>
      </c>
      <c r="E356" s="2">
        <v>25</v>
      </c>
      <c r="F356" s="3">
        <v>44380</v>
      </c>
      <c r="G356" s="3">
        <v>44387</v>
      </c>
      <c r="H356" s="3">
        <v>44387</v>
      </c>
      <c r="I356" s="2">
        <v>50</v>
      </c>
      <c r="J356" s="29" t="s">
        <v>197</v>
      </c>
      <c r="K356" s="51" t="str">
        <f>VLOOKUP(표6[[#This Row],[종목]],자격증정보!$A$2:$I$7,2,FALSE) &amp; " " &amp; VLOOKUP(표6[[#This Row],[종목]],자격증정보!$A$2:$I$7,3,FALSE)</f>
        <v>컴퓨터활용능력 2급</v>
      </c>
      <c r="L356" s="2" t="str">
        <f>TEXT(VLOOKUP(표6[[#This Row],[일정번호]],표2[],6,FALSE), "hh:mm")</f>
        <v>09:00</v>
      </c>
      <c r="M356" s="2" t="str">
        <f>VLOOKUP(표6[[#This Row],[종목]],자격증정보!$A$2:$I$7,9,FALSE)</f>
        <v>30분</v>
      </c>
    </row>
    <row r="357" spans="1:13">
      <c r="A357" s="29">
        <v>359</v>
      </c>
      <c r="B357" s="2">
        <v>15</v>
      </c>
      <c r="C357" s="2">
        <v>3</v>
      </c>
      <c r="D357" s="2">
        <v>138</v>
      </c>
      <c r="E357" s="2">
        <v>25</v>
      </c>
      <c r="F357" s="3">
        <v>44380</v>
      </c>
      <c r="G357" s="3">
        <v>44387</v>
      </c>
      <c r="H357" s="3">
        <v>44387</v>
      </c>
      <c r="I357" s="2">
        <v>60</v>
      </c>
      <c r="J357" s="29" t="s">
        <v>197</v>
      </c>
      <c r="K357" s="51" t="str">
        <f>VLOOKUP(표6[[#This Row],[종목]],자격증정보!$A$2:$I$7,2,FALSE) &amp; " " &amp; VLOOKUP(표6[[#This Row],[종목]],자격증정보!$A$2:$I$7,3,FALSE)</f>
        <v>컴퓨터활용능력 2급</v>
      </c>
      <c r="L357" s="2" t="str">
        <f>TEXT(VLOOKUP(표6[[#This Row],[일정번호]],표2[],6,FALSE), "hh:mm")</f>
        <v>09:00</v>
      </c>
      <c r="M357" s="2" t="str">
        <f>VLOOKUP(표6[[#This Row],[종목]],자격증정보!$A$2:$I$7,9,FALSE)</f>
        <v>30분</v>
      </c>
    </row>
    <row r="358" spans="1:13">
      <c r="A358" s="29">
        <v>360</v>
      </c>
      <c r="B358" s="2">
        <v>16</v>
      </c>
      <c r="C358" s="2">
        <v>3</v>
      </c>
      <c r="D358" s="2">
        <v>139</v>
      </c>
      <c r="E358" s="2">
        <v>26</v>
      </c>
      <c r="F358" s="3">
        <v>44380</v>
      </c>
      <c r="G358" s="3">
        <v>44387</v>
      </c>
      <c r="H358" s="3">
        <v>44387</v>
      </c>
      <c r="I358" s="2">
        <v>50</v>
      </c>
      <c r="J358" s="29" t="s">
        <v>197</v>
      </c>
      <c r="K358" s="51" t="str">
        <f>VLOOKUP(표6[[#This Row],[종목]],자격증정보!$A$2:$I$7,2,FALSE) &amp; " " &amp; VLOOKUP(표6[[#This Row],[종목]],자격증정보!$A$2:$I$7,3,FALSE)</f>
        <v>컴퓨터활용능력 2급</v>
      </c>
      <c r="L358" s="2" t="str">
        <f>TEXT(VLOOKUP(표6[[#This Row],[일정번호]],표2[],6,FALSE), "hh:mm")</f>
        <v>10:20</v>
      </c>
      <c r="M358" s="2" t="str">
        <f>VLOOKUP(표6[[#This Row],[종목]],자격증정보!$A$2:$I$7,9,FALSE)</f>
        <v>30분</v>
      </c>
    </row>
    <row r="359" spans="1:13">
      <c r="A359" s="29">
        <v>361</v>
      </c>
      <c r="B359" s="2">
        <v>9</v>
      </c>
      <c r="C359" s="2">
        <v>3</v>
      </c>
      <c r="D359" s="2">
        <v>139</v>
      </c>
      <c r="E359" s="2">
        <v>26</v>
      </c>
      <c r="F359" s="3">
        <v>44380</v>
      </c>
      <c r="G359" s="3">
        <v>44387</v>
      </c>
      <c r="H359" s="3">
        <v>44387</v>
      </c>
      <c r="I359" s="2">
        <v>40</v>
      </c>
      <c r="J359" s="29" t="s">
        <v>197</v>
      </c>
      <c r="K359" s="51" t="str">
        <f>VLOOKUP(표6[[#This Row],[종목]],자격증정보!$A$2:$I$7,2,FALSE) &amp; " " &amp; VLOOKUP(표6[[#This Row],[종목]],자격증정보!$A$2:$I$7,3,FALSE)</f>
        <v>컴퓨터활용능력 2급</v>
      </c>
      <c r="L359" s="2" t="str">
        <f>TEXT(VLOOKUP(표6[[#This Row],[일정번호]],표2[],6,FALSE), "hh:mm")</f>
        <v>10:20</v>
      </c>
      <c r="M359" s="2" t="str">
        <f>VLOOKUP(표6[[#This Row],[종목]],자격증정보!$A$2:$I$7,9,FALSE)</f>
        <v>30분</v>
      </c>
    </row>
    <row r="360" spans="1:13">
      <c r="A360" s="29">
        <v>362</v>
      </c>
      <c r="B360" s="2">
        <v>12</v>
      </c>
      <c r="C360" s="2">
        <v>3</v>
      </c>
      <c r="D360" s="2">
        <v>139</v>
      </c>
      <c r="E360" s="2">
        <v>26</v>
      </c>
      <c r="F360" s="3">
        <v>44380</v>
      </c>
      <c r="G360" s="3">
        <v>44387</v>
      </c>
      <c r="H360" s="3">
        <v>44387</v>
      </c>
      <c r="I360" s="2">
        <v>20</v>
      </c>
      <c r="J360" s="29" t="s">
        <v>197</v>
      </c>
      <c r="K360" s="51" t="str">
        <f>VLOOKUP(표6[[#This Row],[종목]],자격증정보!$A$2:$I$7,2,FALSE) &amp; " " &amp; VLOOKUP(표6[[#This Row],[종목]],자격증정보!$A$2:$I$7,3,FALSE)</f>
        <v>컴퓨터활용능력 2급</v>
      </c>
      <c r="L360" s="2" t="str">
        <f>TEXT(VLOOKUP(표6[[#This Row],[일정번호]],표2[],6,FALSE), "hh:mm")</f>
        <v>10:20</v>
      </c>
      <c r="M360" s="2" t="str">
        <f>VLOOKUP(표6[[#This Row],[종목]],자격증정보!$A$2:$I$7,9,FALSE)</f>
        <v>30분</v>
      </c>
    </row>
    <row r="361" spans="1:13">
      <c r="A361" s="29">
        <v>363</v>
      </c>
      <c r="B361" s="2">
        <v>17</v>
      </c>
      <c r="C361" s="2">
        <v>1</v>
      </c>
      <c r="D361" s="2">
        <v>93</v>
      </c>
      <c r="E361" s="2">
        <v>27</v>
      </c>
      <c r="F361" s="3">
        <v>44381</v>
      </c>
      <c r="G361" s="3">
        <v>44388</v>
      </c>
      <c r="H361" s="3">
        <v>44389</v>
      </c>
      <c r="I361" s="2">
        <v>0</v>
      </c>
      <c r="J361" s="29" t="s">
        <v>197</v>
      </c>
      <c r="K361" s="51" t="str">
        <f>VLOOKUP(표6[[#This Row],[종목]],자격증정보!$A$2:$I$7,2,FALSE) &amp; " " &amp; VLOOKUP(표6[[#This Row],[종목]],자격증정보!$A$2:$I$7,3,FALSE)</f>
        <v>워드프로세서 단일</v>
      </c>
      <c r="L361" s="2" t="str">
        <f>TEXT(VLOOKUP(표6[[#This Row],[일정번호]],표2[],6,FALSE), "hh:mm")</f>
        <v>13:00</v>
      </c>
      <c r="M361" s="2" t="str">
        <f>VLOOKUP(표6[[#This Row],[종목]],자격증정보!$A$2:$I$7,9,FALSE)</f>
        <v>30분</v>
      </c>
    </row>
    <row r="362" spans="1:13">
      <c r="A362" s="29">
        <v>364</v>
      </c>
      <c r="B362" s="2">
        <v>19</v>
      </c>
      <c r="C362" s="2">
        <v>1</v>
      </c>
      <c r="D362" s="2">
        <v>93</v>
      </c>
      <c r="E362" s="2">
        <v>27</v>
      </c>
      <c r="F362" s="3">
        <v>44381</v>
      </c>
      <c r="G362" s="3">
        <v>44388</v>
      </c>
      <c r="H362" s="3">
        <v>44389</v>
      </c>
      <c r="I362" s="2">
        <v>0</v>
      </c>
      <c r="J362" s="29" t="s">
        <v>197</v>
      </c>
      <c r="K362" s="51" t="str">
        <f>VLOOKUP(표6[[#This Row],[종목]],자격증정보!$A$2:$I$7,2,FALSE) &amp; " " &amp; VLOOKUP(표6[[#This Row],[종목]],자격증정보!$A$2:$I$7,3,FALSE)</f>
        <v>워드프로세서 단일</v>
      </c>
      <c r="L362" s="2" t="str">
        <f>TEXT(VLOOKUP(표6[[#This Row],[일정번호]],표2[],6,FALSE), "hh:mm")</f>
        <v>13:00</v>
      </c>
      <c r="M362" s="2" t="str">
        <f>VLOOKUP(표6[[#This Row],[종목]],자격증정보!$A$2:$I$7,9,FALSE)</f>
        <v>30분</v>
      </c>
    </row>
    <row r="363" spans="1:13">
      <c r="A363" s="29">
        <v>365</v>
      </c>
      <c r="B363" s="2">
        <v>26</v>
      </c>
      <c r="C363" s="2">
        <v>1</v>
      </c>
      <c r="D363" s="2">
        <v>93</v>
      </c>
      <c r="E363" s="2">
        <v>27</v>
      </c>
      <c r="F363" s="3">
        <v>44381</v>
      </c>
      <c r="G363" s="3">
        <v>44388</v>
      </c>
      <c r="H363" s="3">
        <v>44389</v>
      </c>
      <c r="I363" s="2">
        <v>10</v>
      </c>
      <c r="J363" s="29" t="s">
        <v>197</v>
      </c>
      <c r="K363" s="51" t="str">
        <f>VLOOKUP(표6[[#This Row],[종목]],자격증정보!$A$2:$I$7,2,FALSE) &amp; " " &amp; VLOOKUP(표6[[#This Row],[종목]],자격증정보!$A$2:$I$7,3,FALSE)</f>
        <v>워드프로세서 단일</v>
      </c>
      <c r="L363" s="2" t="str">
        <f>TEXT(VLOOKUP(표6[[#This Row],[일정번호]],표2[],6,FALSE), "hh:mm")</f>
        <v>13:00</v>
      </c>
      <c r="M363" s="2" t="str">
        <f>VLOOKUP(표6[[#This Row],[종목]],자격증정보!$A$2:$I$7,9,FALSE)</f>
        <v>30분</v>
      </c>
    </row>
    <row r="364" spans="1:13">
      <c r="A364" s="29">
        <v>366</v>
      </c>
      <c r="B364" s="2">
        <v>28</v>
      </c>
      <c r="C364" s="2">
        <v>1</v>
      </c>
      <c r="D364" s="2">
        <v>93</v>
      </c>
      <c r="E364" s="2">
        <v>27</v>
      </c>
      <c r="F364" s="3">
        <v>44381</v>
      </c>
      <c r="G364" s="3">
        <v>44388</v>
      </c>
      <c r="H364" s="3">
        <v>44389</v>
      </c>
      <c r="I364" s="2">
        <v>50</v>
      </c>
      <c r="J364" s="29" t="s">
        <v>197</v>
      </c>
      <c r="K364" s="51" t="str">
        <f>VLOOKUP(표6[[#This Row],[종목]],자격증정보!$A$2:$I$7,2,FALSE) &amp; " " &amp; VLOOKUP(표6[[#This Row],[종목]],자격증정보!$A$2:$I$7,3,FALSE)</f>
        <v>워드프로세서 단일</v>
      </c>
      <c r="L364" s="2" t="str">
        <f>TEXT(VLOOKUP(표6[[#This Row],[일정번호]],표2[],6,FALSE), "hh:mm")</f>
        <v>13:00</v>
      </c>
      <c r="M364" s="2" t="str">
        <f>VLOOKUP(표6[[#This Row],[종목]],자격증정보!$A$2:$I$7,9,FALSE)</f>
        <v>30분</v>
      </c>
    </row>
    <row r="365" spans="1:13">
      <c r="A365" s="29">
        <v>367</v>
      </c>
      <c r="B365" s="2">
        <v>30</v>
      </c>
      <c r="C365" s="2">
        <v>1</v>
      </c>
      <c r="D365" s="2">
        <v>93</v>
      </c>
      <c r="E365" s="2">
        <v>27</v>
      </c>
      <c r="F365" s="3">
        <v>44381</v>
      </c>
      <c r="G365" s="3">
        <v>44388</v>
      </c>
      <c r="H365" s="3">
        <v>44389</v>
      </c>
      <c r="I365" s="2">
        <v>50</v>
      </c>
      <c r="J365" s="29" t="s">
        <v>197</v>
      </c>
      <c r="K365" s="51" t="str">
        <f>VLOOKUP(표6[[#This Row],[종목]],자격증정보!$A$2:$I$7,2,FALSE) &amp; " " &amp; VLOOKUP(표6[[#This Row],[종목]],자격증정보!$A$2:$I$7,3,FALSE)</f>
        <v>워드프로세서 단일</v>
      </c>
      <c r="L365" s="2" t="str">
        <f>TEXT(VLOOKUP(표6[[#This Row],[일정번호]],표2[],6,FALSE), "hh:mm")</f>
        <v>13:00</v>
      </c>
      <c r="M365" s="2" t="str">
        <f>VLOOKUP(표6[[#This Row],[종목]],자격증정보!$A$2:$I$7,9,FALSE)</f>
        <v>30분</v>
      </c>
    </row>
    <row r="366" spans="1:13">
      <c r="A366" s="29">
        <v>368</v>
      </c>
      <c r="B366" s="2">
        <v>2</v>
      </c>
      <c r="C366" s="2">
        <v>1</v>
      </c>
      <c r="D366" s="2">
        <v>94</v>
      </c>
      <c r="E366" s="2">
        <v>28</v>
      </c>
      <c r="F366" s="3">
        <v>44381</v>
      </c>
      <c r="G366" s="3">
        <v>44388</v>
      </c>
      <c r="H366" s="3">
        <v>44389</v>
      </c>
      <c r="I366" s="2">
        <v>0</v>
      </c>
      <c r="J366" s="29" t="s">
        <v>197</v>
      </c>
      <c r="K366" s="51" t="str">
        <f>VLOOKUP(표6[[#This Row],[종목]],자격증정보!$A$2:$I$7,2,FALSE) &amp; " " &amp; VLOOKUP(표6[[#This Row],[종목]],자격증정보!$A$2:$I$7,3,FALSE)</f>
        <v>워드프로세서 단일</v>
      </c>
      <c r="L366" s="2" t="str">
        <f>TEXT(VLOOKUP(표6[[#This Row],[일정번호]],표2[],6,FALSE), "hh:mm")</f>
        <v>14:20</v>
      </c>
      <c r="M366" s="2" t="str">
        <f>VLOOKUP(표6[[#This Row],[종목]],자격증정보!$A$2:$I$7,9,FALSE)</f>
        <v>30분</v>
      </c>
    </row>
    <row r="367" spans="1:13">
      <c r="A367" s="29">
        <v>369</v>
      </c>
      <c r="B367" s="2">
        <v>18</v>
      </c>
      <c r="C367" s="2">
        <v>1</v>
      </c>
      <c r="D367" s="2">
        <v>94</v>
      </c>
      <c r="E367" s="2">
        <v>28</v>
      </c>
      <c r="F367" s="3">
        <v>44381</v>
      </c>
      <c r="G367" s="3">
        <v>44388</v>
      </c>
      <c r="H367" s="3">
        <v>44389</v>
      </c>
      <c r="I367" s="2">
        <v>30</v>
      </c>
      <c r="J367" s="29" t="s">
        <v>197</v>
      </c>
      <c r="K367" s="51" t="str">
        <f>VLOOKUP(표6[[#This Row],[종목]],자격증정보!$A$2:$I$7,2,FALSE) &amp; " " &amp; VLOOKUP(표6[[#This Row],[종목]],자격증정보!$A$2:$I$7,3,FALSE)</f>
        <v>워드프로세서 단일</v>
      </c>
      <c r="L367" s="2" t="str">
        <f>TEXT(VLOOKUP(표6[[#This Row],[일정번호]],표2[],6,FALSE), "hh:mm")</f>
        <v>14:20</v>
      </c>
      <c r="M367" s="2" t="str">
        <f>VLOOKUP(표6[[#This Row],[종목]],자격증정보!$A$2:$I$7,9,FALSE)</f>
        <v>30분</v>
      </c>
    </row>
    <row r="368" spans="1:13">
      <c r="A368" s="29">
        <v>370</v>
      </c>
      <c r="B368" s="2">
        <v>20</v>
      </c>
      <c r="C368" s="2">
        <v>1</v>
      </c>
      <c r="D368" s="2">
        <v>94</v>
      </c>
      <c r="E368" s="2">
        <v>28</v>
      </c>
      <c r="F368" s="3">
        <v>44381</v>
      </c>
      <c r="G368" s="3">
        <v>44388</v>
      </c>
      <c r="H368" s="3">
        <v>44389</v>
      </c>
      <c r="I368" s="2">
        <v>50</v>
      </c>
      <c r="J368" s="29" t="s">
        <v>197</v>
      </c>
      <c r="K368" s="51" t="str">
        <f>VLOOKUP(표6[[#This Row],[종목]],자격증정보!$A$2:$I$7,2,FALSE) &amp; " " &amp; VLOOKUP(표6[[#This Row],[종목]],자격증정보!$A$2:$I$7,3,FALSE)</f>
        <v>워드프로세서 단일</v>
      </c>
      <c r="L368" s="2" t="str">
        <f>TEXT(VLOOKUP(표6[[#This Row],[일정번호]],표2[],6,FALSE), "hh:mm")</f>
        <v>14:20</v>
      </c>
      <c r="M368" s="2" t="str">
        <f>VLOOKUP(표6[[#This Row],[종목]],자격증정보!$A$2:$I$7,9,FALSE)</f>
        <v>30분</v>
      </c>
    </row>
    <row r="369" spans="1:13">
      <c r="A369" s="29">
        <v>371</v>
      </c>
      <c r="B369" s="2">
        <v>22</v>
      </c>
      <c r="C369" s="2">
        <v>1</v>
      </c>
      <c r="D369" s="2">
        <v>94</v>
      </c>
      <c r="E369" s="2">
        <v>28</v>
      </c>
      <c r="F369" s="3">
        <v>44381</v>
      </c>
      <c r="G369" s="3">
        <v>44388</v>
      </c>
      <c r="H369" s="3">
        <v>44389</v>
      </c>
      <c r="I369" s="2">
        <v>20</v>
      </c>
      <c r="J369" s="29" t="s">
        <v>197</v>
      </c>
      <c r="K369" s="51" t="str">
        <f>VLOOKUP(표6[[#This Row],[종목]],자격증정보!$A$2:$I$7,2,FALSE) &amp; " " &amp; VLOOKUP(표6[[#This Row],[종목]],자격증정보!$A$2:$I$7,3,FALSE)</f>
        <v>워드프로세서 단일</v>
      </c>
      <c r="L369" s="2" t="str">
        <f>TEXT(VLOOKUP(표6[[#This Row],[일정번호]],표2[],6,FALSE), "hh:mm")</f>
        <v>14:20</v>
      </c>
      <c r="M369" s="2" t="str">
        <f>VLOOKUP(표6[[#This Row],[종목]],자격증정보!$A$2:$I$7,9,FALSE)</f>
        <v>30분</v>
      </c>
    </row>
    <row r="370" spans="1:13">
      <c r="A370" s="29">
        <v>372</v>
      </c>
      <c r="B370" s="2">
        <v>24</v>
      </c>
      <c r="C370" s="2">
        <v>1</v>
      </c>
      <c r="D370" s="2">
        <v>94</v>
      </c>
      <c r="E370" s="2">
        <v>28</v>
      </c>
      <c r="F370" s="3">
        <v>44381</v>
      </c>
      <c r="G370" s="3">
        <v>44388</v>
      </c>
      <c r="H370" s="3">
        <v>44389</v>
      </c>
      <c r="I370" s="2">
        <v>50</v>
      </c>
      <c r="J370" s="29" t="s">
        <v>197</v>
      </c>
      <c r="K370" s="51" t="str">
        <f>VLOOKUP(표6[[#This Row],[종목]],자격증정보!$A$2:$I$7,2,FALSE) &amp; " " &amp; VLOOKUP(표6[[#This Row],[종목]],자격증정보!$A$2:$I$7,3,FALSE)</f>
        <v>워드프로세서 단일</v>
      </c>
      <c r="L370" s="2" t="str">
        <f>TEXT(VLOOKUP(표6[[#This Row],[일정번호]],표2[],6,FALSE), "hh:mm")</f>
        <v>14:20</v>
      </c>
      <c r="M370" s="2" t="str">
        <f>VLOOKUP(표6[[#This Row],[종목]],자격증정보!$A$2:$I$7,9,FALSE)</f>
        <v>30분</v>
      </c>
    </row>
    <row r="371" spans="1:13">
      <c r="A371" s="29">
        <v>373</v>
      </c>
      <c r="B371" s="2">
        <v>27</v>
      </c>
      <c r="C371" s="2">
        <v>1</v>
      </c>
      <c r="D371" s="2">
        <v>94</v>
      </c>
      <c r="E371" s="2">
        <v>28</v>
      </c>
      <c r="F371" s="3">
        <v>44381</v>
      </c>
      <c r="G371" s="3">
        <v>44388</v>
      </c>
      <c r="H371" s="3">
        <v>44389</v>
      </c>
      <c r="I371" s="2">
        <v>40</v>
      </c>
      <c r="J371" s="29" t="s">
        <v>197</v>
      </c>
      <c r="K371" s="51" t="str">
        <f>VLOOKUP(표6[[#This Row],[종목]],자격증정보!$A$2:$I$7,2,FALSE) &amp; " " &amp; VLOOKUP(표6[[#This Row],[종목]],자격증정보!$A$2:$I$7,3,FALSE)</f>
        <v>워드프로세서 단일</v>
      </c>
      <c r="L371" s="2" t="str">
        <f>TEXT(VLOOKUP(표6[[#This Row],[일정번호]],표2[],6,FALSE), "hh:mm")</f>
        <v>14:20</v>
      </c>
      <c r="M371" s="2" t="str">
        <f>VLOOKUP(표6[[#This Row],[종목]],자격증정보!$A$2:$I$7,9,FALSE)</f>
        <v>30분</v>
      </c>
    </row>
    <row r="372" spans="1:13">
      <c r="A372" s="29">
        <v>374</v>
      </c>
      <c r="B372" s="2">
        <v>29</v>
      </c>
      <c r="C372" s="2">
        <v>1</v>
      </c>
      <c r="D372" s="2">
        <v>94</v>
      </c>
      <c r="E372" s="2">
        <v>28</v>
      </c>
      <c r="F372" s="3">
        <v>44381</v>
      </c>
      <c r="G372" s="3">
        <v>44388</v>
      </c>
      <c r="H372" s="3">
        <v>44389</v>
      </c>
      <c r="I372" s="2">
        <v>20</v>
      </c>
      <c r="J372" s="29" t="s">
        <v>197</v>
      </c>
      <c r="K372" s="51" t="str">
        <f>VLOOKUP(표6[[#This Row],[종목]],자격증정보!$A$2:$I$7,2,FALSE) &amp; " " &amp; VLOOKUP(표6[[#This Row],[종목]],자격증정보!$A$2:$I$7,3,FALSE)</f>
        <v>워드프로세서 단일</v>
      </c>
      <c r="L372" s="2" t="str">
        <f>TEXT(VLOOKUP(표6[[#This Row],[일정번호]],표2[],6,FALSE), "hh:mm")</f>
        <v>14:20</v>
      </c>
      <c r="M372" s="2" t="str">
        <f>VLOOKUP(표6[[#This Row],[종목]],자격증정보!$A$2:$I$7,9,FALSE)</f>
        <v>30분</v>
      </c>
    </row>
    <row r="373" spans="1:13">
      <c r="A373" s="29">
        <v>375</v>
      </c>
      <c r="B373" s="2">
        <v>6</v>
      </c>
      <c r="C373" s="2">
        <v>1</v>
      </c>
      <c r="D373" s="2">
        <v>94</v>
      </c>
      <c r="E373" s="2">
        <v>28</v>
      </c>
      <c r="F373" s="3">
        <v>44381</v>
      </c>
      <c r="G373" s="3">
        <v>44388</v>
      </c>
      <c r="H373" s="3">
        <v>44389</v>
      </c>
      <c r="I373" s="2">
        <v>40</v>
      </c>
      <c r="J373" s="29" t="s">
        <v>197</v>
      </c>
      <c r="K373" s="51" t="str">
        <f>VLOOKUP(표6[[#This Row],[종목]],자격증정보!$A$2:$I$7,2,FALSE) &amp; " " &amp; VLOOKUP(표6[[#This Row],[종목]],자격증정보!$A$2:$I$7,3,FALSE)</f>
        <v>워드프로세서 단일</v>
      </c>
      <c r="L373" s="2" t="str">
        <f>TEXT(VLOOKUP(표6[[#This Row],[일정번호]],표2[],6,FALSE), "hh:mm")</f>
        <v>14:20</v>
      </c>
      <c r="M373" s="2" t="str">
        <f>VLOOKUP(표6[[#This Row],[종목]],자격증정보!$A$2:$I$7,9,FALSE)</f>
        <v>30분</v>
      </c>
    </row>
    <row r="374" spans="1:13">
      <c r="A374" s="29">
        <v>376</v>
      </c>
      <c r="B374" s="2">
        <v>1</v>
      </c>
      <c r="C374" s="2">
        <v>1</v>
      </c>
      <c r="D374" s="2">
        <v>94</v>
      </c>
      <c r="E374" s="2">
        <v>28</v>
      </c>
      <c r="F374" s="3">
        <v>44381</v>
      </c>
      <c r="G374" s="3">
        <v>44388</v>
      </c>
      <c r="H374" s="3">
        <v>44389</v>
      </c>
      <c r="I374" s="2">
        <v>10</v>
      </c>
      <c r="J374" s="29" t="s">
        <v>197</v>
      </c>
      <c r="K374" s="51" t="str">
        <f>VLOOKUP(표6[[#This Row],[종목]],자격증정보!$A$2:$I$7,2,FALSE) &amp; " " &amp; VLOOKUP(표6[[#This Row],[종목]],자격증정보!$A$2:$I$7,3,FALSE)</f>
        <v>워드프로세서 단일</v>
      </c>
      <c r="L374" s="2" t="str">
        <f>TEXT(VLOOKUP(표6[[#This Row],[일정번호]],표2[],6,FALSE), "hh:mm")</f>
        <v>14:20</v>
      </c>
      <c r="M374" s="2" t="str">
        <f>VLOOKUP(표6[[#This Row],[종목]],자격증정보!$A$2:$I$7,9,FALSE)</f>
        <v>30분</v>
      </c>
    </row>
    <row r="375" spans="1:13">
      <c r="A375" s="29">
        <v>377</v>
      </c>
      <c r="B375" s="2">
        <v>2</v>
      </c>
      <c r="C375" s="2">
        <v>1</v>
      </c>
      <c r="D375" s="2">
        <v>101</v>
      </c>
      <c r="E375" s="2">
        <v>29</v>
      </c>
      <c r="F375" s="3">
        <v>44381</v>
      </c>
      <c r="G375" s="3">
        <v>44388</v>
      </c>
      <c r="H375" s="3">
        <v>44389</v>
      </c>
      <c r="I375" s="2">
        <v>20</v>
      </c>
      <c r="J375" s="29" t="s">
        <v>197</v>
      </c>
      <c r="K375" s="51" t="str">
        <f>VLOOKUP(표6[[#This Row],[종목]],자격증정보!$A$2:$I$7,2,FALSE) &amp; " " &amp; VLOOKUP(표6[[#This Row],[종목]],자격증정보!$A$2:$I$7,3,FALSE)</f>
        <v>워드프로세서 단일</v>
      </c>
      <c r="L375" s="2" t="str">
        <f>TEXT(VLOOKUP(표6[[#This Row],[일정번호]],표2[],6,FALSE), "hh:mm")</f>
        <v>11:00</v>
      </c>
      <c r="M375" s="2" t="str">
        <f>VLOOKUP(표6[[#This Row],[종목]],자격증정보!$A$2:$I$7,9,FALSE)</f>
        <v>30분</v>
      </c>
    </row>
    <row r="376" spans="1:13">
      <c r="A376" s="29">
        <v>378</v>
      </c>
      <c r="B376" s="2">
        <v>23</v>
      </c>
      <c r="C376" s="2">
        <v>1</v>
      </c>
      <c r="D376" s="2">
        <v>101</v>
      </c>
      <c r="E376" s="2">
        <v>29</v>
      </c>
      <c r="F376" s="3">
        <v>44381</v>
      </c>
      <c r="G376" s="3">
        <v>44388</v>
      </c>
      <c r="H376" s="3">
        <v>44389</v>
      </c>
      <c r="I376" s="2">
        <v>40</v>
      </c>
      <c r="J376" s="29" t="s">
        <v>197</v>
      </c>
      <c r="K376" s="51" t="str">
        <f>VLOOKUP(표6[[#This Row],[종목]],자격증정보!$A$2:$I$7,2,FALSE) &amp; " " &amp; VLOOKUP(표6[[#This Row],[종목]],자격증정보!$A$2:$I$7,3,FALSE)</f>
        <v>워드프로세서 단일</v>
      </c>
      <c r="L376" s="2" t="str">
        <f>TEXT(VLOOKUP(표6[[#This Row],[일정번호]],표2[],6,FALSE), "hh:mm")</f>
        <v>11:00</v>
      </c>
      <c r="M376" s="2" t="str">
        <f>VLOOKUP(표6[[#This Row],[종목]],자격증정보!$A$2:$I$7,9,FALSE)</f>
        <v>30분</v>
      </c>
    </row>
    <row r="377" spans="1:13">
      <c r="A377" s="29">
        <v>379</v>
      </c>
      <c r="B377" s="2">
        <v>20</v>
      </c>
      <c r="C377" s="2">
        <v>1</v>
      </c>
      <c r="D377" s="2">
        <v>101</v>
      </c>
      <c r="E377" s="2">
        <v>29</v>
      </c>
      <c r="F377" s="3">
        <v>44381</v>
      </c>
      <c r="G377" s="3">
        <v>44388</v>
      </c>
      <c r="H377" s="3">
        <v>44389</v>
      </c>
      <c r="I377" s="2">
        <v>30</v>
      </c>
      <c r="J377" s="29" t="s">
        <v>197</v>
      </c>
      <c r="K377" s="51" t="str">
        <f>VLOOKUP(표6[[#This Row],[종목]],자격증정보!$A$2:$I$7,2,FALSE) &amp; " " &amp; VLOOKUP(표6[[#This Row],[종목]],자격증정보!$A$2:$I$7,3,FALSE)</f>
        <v>워드프로세서 단일</v>
      </c>
      <c r="L377" s="2" t="str">
        <f>TEXT(VLOOKUP(표6[[#This Row],[일정번호]],표2[],6,FALSE), "hh:mm")</f>
        <v>11:00</v>
      </c>
      <c r="M377" s="2" t="str">
        <f>VLOOKUP(표6[[#This Row],[종목]],자격증정보!$A$2:$I$7,9,FALSE)</f>
        <v>30분</v>
      </c>
    </row>
    <row r="378" spans="1:13">
      <c r="A378" s="29">
        <v>380</v>
      </c>
      <c r="B378" s="2">
        <v>30</v>
      </c>
      <c r="C378" s="2">
        <v>1</v>
      </c>
      <c r="D378" s="2">
        <v>101</v>
      </c>
      <c r="E378" s="2">
        <v>29</v>
      </c>
      <c r="F378" s="3">
        <v>44381</v>
      </c>
      <c r="G378" s="3">
        <v>44388</v>
      </c>
      <c r="H378" s="3">
        <v>44389</v>
      </c>
      <c r="I378" s="2">
        <v>0</v>
      </c>
      <c r="J378" s="29" t="s">
        <v>197</v>
      </c>
      <c r="K378" s="51" t="str">
        <f>VLOOKUP(표6[[#This Row],[종목]],자격증정보!$A$2:$I$7,2,FALSE) &amp; " " &amp; VLOOKUP(표6[[#This Row],[종목]],자격증정보!$A$2:$I$7,3,FALSE)</f>
        <v>워드프로세서 단일</v>
      </c>
      <c r="L378" s="2" t="str">
        <f>TEXT(VLOOKUP(표6[[#This Row],[일정번호]],표2[],6,FALSE), "hh:mm")</f>
        <v>11:00</v>
      </c>
      <c r="M378" s="2" t="str">
        <f>VLOOKUP(표6[[#This Row],[종목]],자격증정보!$A$2:$I$7,9,FALSE)</f>
        <v>30분</v>
      </c>
    </row>
    <row r="379" spans="1:13">
      <c r="A379" s="29">
        <v>381</v>
      </c>
      <c r="B379" s="2">
        <v>27</v>
      </c>
      <c r="C379" s="2">
        <v>1</v>
      </c>
      <c r="D379" s="2">
        <v>101</v>
      </c>
      <c r="E379" s="2">
        <v>29</v>
      </c>
      <c r="F379" s="3">
        <v>44381</v>
      </c>
      <c r="G379" s="3">
        <v>44388</v>
      </c>
      <c r="H379" s="3">
        <v>44389</v>
      </c>
      <c r="I379" s="2">
        <v>0</v>
      </c>
      <c r="J379" s="29" t="s">
        <v>197</v>
      </c>
      <c r="K379" s="51" t="str">
        <f>VLOOKUP(표6[[#This Row],[종목]],자격증정보!$A$2:$I$7,2,FALSE) &amp; " " &amp; VLOOKUP(표6[[#This Row],[종목]],자격증정보!$A$2:$I$7,3,FALSE)</f>
        <v>워드프로세서 단일</v>
      </c>
      <c r="L379" s="2" t="str">
        <f>TEXT(VLOOKUP(표6[[#This Row],[일정번호]],표2[],6,FALSE), "hh:mm")</f>
        <v>11:00</v>
      </c>
      <c r="M379" s="2" t="str">
        <f>VLOOKUP(표6[[#This Row],[종목]],자격증정보!$A$2:$I$7,9,FALSE)</f>
        <v>30분</v>
      </c>
    </row>
    <row r="380" spans="1:13">
      <c r="A380" s="29">
        <v>382</v>
      </c>
      <c r="B380" s="2">
        <v>17</v>
      </c>
      <c r="C380" s="2">
        <v>1</v>
      </c>
      <c r="D380" s="2">
        <v>101</v>
      </c>
      <c r="E380" s="2">
        <v>29</v>
      </c>
      <c r="F380" s="3">
        <v>44381</v>
      </c>
      <c r="G380" s="3">
        <v>44388</v>
      </c>
      <c r="H380" s="3">
        <v>44389</v>
      </c>
      <c r="I380" s="2">
        <v>20</v>
      </c>
      <c r="J380" s="29" t="s">
        <v>197</v>
      </c>
      <c r="K380" s="51" t="str">
        <f>VLOOKUP(표6[[#This Row],[종목]],자격증정보!$A$2:$I$7,2,FALSE) &amp; " " &amp; VLOOKUP(표6[[#This Row],[종목]],자격증정보!$A$2:$I$7,3,FALSE)</f>
        <v>워드프로세서 단일</v>
      </c>
      <c r="L380" s="2" t="str">
        <f>TEXT(VLOOKUP(표6[[#This Row],[일정번호]],표2[],6,FALSE), "hh:mm")</f>
        <v>11:00</v>
      </c>
      <c r="M380" s="2" t="str">
        <f>VLOOKUP(표6[[#This Row],[종목]],자격증정보!$A$2:$I$7,9,FALSE)</f>
        <v>30분</v>
      </c>
    </row>
    <row r="381" spans="1:13">
      <c r="A381" s="29">
        <v>383</v>
      </c>
      <c r="B381" s="2">
        <v>14</v>
      </c>
      <c r="C381" s="2">
        <v>1</v>
      </c>
      <c r="D381" s="2">
        <v>101</v>
      </c>
      <c r="E381" s="2">
        <v>29</v>
      </c>
      <c r="F381" s="3">
        <v>44381</v>
      </c>
      <c r="G381" s="3">
        <v>44388</v>
      </c>
      <c r="H381" s="3">
        <v>44389</v>
      </c>
      <c r="I381" s="2">
        <v>10</v>
      </c>
      <c r="J381" s="29" t="s">
        <v>197</v>
      </c>
      <c r="K381" s="51" t="str">
        <f>VLOOKUP(표6[[#This Row],[종목]],자격증정보!$A$2:$I$7,2,FALSE) &amp; " " &amp; VLOOKUP(표6[[#This Row],[종목]],자격증정보!$A$2:$I$7,3,FALSE)</f>
        <v>워드프로세서 단일</v>
      </c>
      <c r="L381" s="2" t="str">
        <f>TEXT(VLOOKUP(표6[[#This Row],[일정번호]],표2[],6,FALSE), "hh:mm")</f>
        <v>11:00</v>
      </c>
      <c r="M381" s="2" t="str">
        <f>VLOOKUP(표6[[#This Row],[종목]],자격증정보!$A$2:$I$7,9,FALSE)</f>
        <v>30분</v>
      </c>
    </row>
    <row r="382" spans="1:13">
      <c r="A382" s="29">
        <v>384</v>
      </c>
      <c r="B382" s="2">
        <v>10</v>
      </c>
      <c r="C382" s="2">
        <v>1</v>
      </c>
      <c r="D382" s="2">
        <v>101</v>
      </c>
      <c r="E382" s="2">
        <v>29</v>
      </c>
      <c r="F382" s="3">
        <v>44381</v>
      </c>
      <c r="G382" s="3">
        <v>44388</v>
      </c>
      <c r="H382" s="3">
        <v>44389</v>
      </c>
      <c r="I382" s="2">
        <v>30</v>
      </c>
      <c r="J382" s="29" t="s">
        <v>197</v>
      </c>
      <c r="K382" s="51" t="str">
        <f>VLOOKUP(표6[[#This Row],[종목]],자격증정보!$A$2:$I$7,2,FALSE) &amp; " " &amp; VLOOKUP(표6[[#This Row],[종목]],자격증정보!$A$2:$I$7,3,FALSE)</f>
        <v>워드프로세서 단일</v>
      </c>
      <c r="L382" s="2" t="str">
        <f>TEXT(VLOOKUP(표6[[#This Row],[일정번호]],표2[],6,FALSE), "hh:mm")</f>
        <v>11:00</v>
      </c>
      <c r="M382" s="2" t="str">
        <f>VLOOKUP(표6[[#This Row],[종목]],자격증정보!$A$2:$I$7,9,FALSE)</f>
        <v>30분</v>
      </c>
    </row>
    <row r="383" spans="1:13">
      <c r="A383" s="29">
        <v>385</v>
      </c>
      <c r="B383" s="2">
        <v>9</v>
      </c>
      <c r="C383" s="2">
        <v>3</v>
      </c>
      <c r="D383" s="2">
        <v>142</v>
      </c>
      <c r="E383" s="2">
        <v>27</v>
      </c>
      <c r="F383" s="3">
        <v>44381</v>
      </c>
      <c r="G383" s="3">
        <v>44388</v>
      </c>
      <c r="H383" s="3">
        <v>44388</v>
      </c>
      <c r="I383" s="2">
        <v>90</v>
      </c>
      <c r="J383" s="29" t="s">
        <v>198</v>
      </c>
      <c r="K383" s="51" t="str">
        <f>VLOOKUP(표6[[#This Row],[종목]],자격증정보!$A$2:$I$7,2,FALSE) &amp; " " &amp; VLOOKUP(표6[[#This Row],[종목]],자격증정보!$A$2:$I$7,3,FALSE)</f>
        <v>컴퓨터활용능력 2급</v>
      </c>
      <c r="L383" s="2" t="str">
        <f>TEXT(VLOOKUP(표6[[#This Row],[일정번호]],표2[],6,FALSE), "hh:mm")</f>
        <v>13:00</v>
      </c>
      <c r="M383" s="2" t="str">
        <f>VLOOKUP(표6[[#This Row],[종목]],자격증정보!$A$2:$I$7,9,FALSE)</f>
        <v>30분</v>
      </c>
    </row>
    <row r="384" spans="1:13">
      <c r="A384" s="29">
        <v>386</v>
      </c>
      <c r="B384" s="2">
        <v>10</v>
      </c>
      <c r="C384" s="2">
        <v>3</v>
      </c>
      <c r="D384" s="2">
        <v>142</v>
      </c>
      <c r="E384" s="2">
        <v>27</v>
      </c>
      <c r="F384" s="3">
        <v>44381</v>
      </c>
      <c r="G384" s="3">
        <v>44388</v>
      </c>
      <c r="H384" s="3">
        <v>44388</v>
      </c>
      <c r="I384" s="2">
        <v>70</v>
      </c>
      <c r="J384" s="29" t="s">
        <v>198</v>
      </c>
      <c r="K384" s="51" t="str">
        <f>VLOOKUP(표6[[#This Row],[종목]],자격증정보!$A$2:$I$7,2,FALSE) &amp; " " &amp; VLOOKUP(표6[[#This Row],[종목]],자격증정보!$A$2:$I$7,3,FALSE)</f>
        <v>컴퓨터활용능력 2급</v>
      </c>
      <c r="L384" s="2" t="str">
        <f>TEXT(VLOOKUP(표6[[#This Row],[일정번호]],표2[],6,FALSE), "hh:mm")</f>
        <v>13:00</v>
      </c>
      <c r="M384" s="2" t="str">
        <f>VLOOKUP(표6[[#This Row],[종목]],자격증정보!$A$2:$I$7,9,FALSE)</f>
        <v>30분</v>
      </c>
    </row>
    <row r="385" spans="1:13">
      <c r="A385" s="29">
        <v>387</v>
      </c>
      <c r="B385" s="2">
        <v>17</v>
      </c>
      <c r="C385" s="2">
        <v>3</v>
      </c>
      <c r="D385" s="2">
        <v>142</v>
      </c>
      <c r="E385" s="2">
        <v>27</v>
      </c>
      <c r="F385" s="3">
        <v>44381</v>
      </c>
      <c r="G385" s="3">
        <v>44388</v>
      </c>
      <c r="H385" s="3">
        <v>44388</v>
      </c>
      <c r="I385" s="2">
        <v>50</v>
      </c>
      <c r="J385" s="29" t="s">
        <v>197</v>
      </c>
      <c r="K385" s="51" t="str">
        <f>VLOOKUP(표6[[#This Row],[종목]],자격증정보!$A$2:$I$7,2,FALSE) &amp; " " &amp; VLOOKUP(표6[[#This Row],[종목]],자격증정보!$A$2:$I$7,3,FALSE)</f>
        <v>컴퓨터활용능력 2급</v>
      </c>
      <c r="L385" s="2" t="str">
        <f>TEXT(VLOOKUP(표6[[#This Row],[일정번호]],표2[],6,FALSE), "hh:mm")</f>
        <v>13:00</v>
      </c>
      <c r="M385" s="2" t="str">
        <f>VLOOKUP(표6[[#This Row],[종목]],자격증정보!$A$2:$I$7,9,FALSE)</f>
        <v>30분</v>
      </c>
    </row>
    <row r="386" spans="1:13">
      <c r="A386" s="29">
        <v>388</v>
      </c>
      <c r="B386" s="2">
        <v>18</v>
      </c>
      <c r="C386" s="2">
        <v>3</v>
      </c>
      <c r="D386" s="2">
        <v>142</v>
      </c>
      <c r="E386" s="2">
        <v>27</v>
      </c>
      <c r="F386" s="3">
        <v>44381</v>
      </c>
      <c r="G386" s="3">
        <v>44388</v>
      </c>
      <c r="H386" s="3">
        <v>44388</v>
      </c>
      <c r="I386" s="2">
        <v>30</v>
      </c>
      <c r="J386" s="29" t="s">
        <v>197</v>
      </c>
      <c r="K386" s="51" t="str">
        <f>VLOOKUP(표6[[#This Row],[종목]],자격증정보!$A$2:$I$7,2,FALSE) &amp; " " &amp; VLOOKUP(표6[[#This Row],[종목]],자격증정보!$A$2:$I$7,3,FALSE)</f>
        <v>컴퓨터활용능력 2급</v>
      </c>
      <c r="L386" s="2" t="str">
        <f>TEXT(VLOOKUP(표6[[#This Row],[일정번호]],표2[],6,FALSE), "hh:mm")</f>
        <v>13:00</v>
      </c>
      <c r="M386" s="2" t="str">
        <f>VLOOKUP(표6[[#This Row],[종목]],자격증정보!$A$2:$I$7,9,FALSE)</f>
        <v>30분</v>
      </c>
    </row>
    <row r="387" spans="1:13">
      <c r="A387" s="29">
        <v>389</v>
      </c>
      <c r="B387" s="2">
        <v>8</v>
      </c>
      <c r="C387" s="2">
        <v>3</v>
      </c>
      <c r="D387" s="2">
        <v>154</v>
      </c>
      <c r="E387" s="2">
        <v>28</v>
      </c>
      <c r="F387" s="3">
        <v>44381</v>
      </c>
      <c r="G387" s="3">
        <v>44388</v>
      </c>
      <c r="H387" s="3">
        <v>44388</v>
      </c>
      <c r="I387" s="2">
        <v>0</v>
      </c>
      <c r="J387" s="29" t="s">
        <v>197</v>
      </c>
      <c r="K387" s="51" t="str">
        <f>VLOOKUP(표6[[#This Row],[종목]],자격증정보!$A$2:$I$7,2,FALSE) &amp; " " &amp; VLOOKUP(표6[[#This Row],[종목]],자격증정보!$A$2:$I$7,3,FALSE)</f>
        <v>컴퓨터활용능력 2급</v>
      </c>
      <c r="L387" s="2" t="str">
        <f>TEXT(VLOOKUP(표6[[#This Row],[일정번호]],표2[],6,FALSE), "hh:mm")</f>
        <v>10:00</v>
      </c>
      <c r="M387" s="2" t="str">
        <f>VLOOKUP(표6[[#This Row],[종목]],자격증정보!$A$2:$I$7,9,FALSE)</f>
        <v>30분</v>
      </c>
    </row>
    <row r="388" spans="1:13">
      <c r="A388" s="29">
        <v>390</v>
      </c>
      <c r="B388" s="2">
        <v>9</v>
      </c>
      <c r="C388" s="2">
        <v>3</v>
      </c>
      <c r="D388" s="2">
        <v>154</v>
      </c>
      <c r="E388" s="2">
        <v>28</v>
      </c>
      <c r="F388" s="3">
        <v>44381</v>
      </c>
      <c r="G388" s="3">
        <v>44388</v>
      </c>
      <c r="H388" s="3">
        <v>44388</v>
      </c>
      <c r="I388" s="2">
        <v>10</v>
      </c>
      <c r="J388" s="29" t="s">
        <v>197</v>
      </c>
      <c r="K388" s="51" t="str">
        <f>VLOOKUP(표6[[#This Row],[종목]],자격증정보!$A$2:$I$7,2,FALSE) &amp; " " &amp; VLOOKUP(표6[[#This Row],[종목]],자격증정보!$A$2:$I$7,3,FALSE)</f>
        <v>컴퓨터활용능력 2급</v>
      </c>
      <c r="L388" s="2" t="str">
        <f>TEXT(VLOOKUP(표6[[#This Row],[일정번호]],표2[],6,FALSE), "hh:mm")</f>
        <v>10:00</v>
      </c>
      <c r="M388" s="2" t="str">
        <f>VLOOKUP(표6[[#This Row],[종목]],자격증정보!$A$2:$I$7,9,FALSE)</f>
        <v>30분</v>
      </c>
    </row>
    <row r="389" spans="1:13">
      <c r="A389" s="29">
        <v>391</v>
      </c>
      <c r="B389" s="2">
        <v>15</v>
      </c>
      <c r="C389" s="2">
        <v>3</v>
      </c>
      <c r="D389" s="2">
        <v>154</v>
      </c>
      <c r="E389" s="2">
        <v>28</v>
      </c>
      <c r="F389" s="3">
        <v>44381</v>
      </c>
      <c r="G389" s="3">
        <v>44388</v>
      </c>
      <c r="H389" s="3">
        <v>44388</v>
      </c>
      <c r="I389" s="2">
        <v>50</v>
      </c>
      <c r="J389" s="29" t="s">
        <v>197</v>
      </c>
      <c r="K389" s="51" t="str">
        <f>VLOOKUP(표6[[#This Row],[종목]],자격증정보!$A$2:$I$7,2,FALSE) &amp; " " &amp; VLOOKUP(표6[[#This Row],[종목]],자격증정보!$A$2:$I$7,3,FALSE)</f>
        <v>컴퓨터활용능력 2급</v>
      </c>
      <c r="L389" s="2" t="str">
        <f>TEXT(VLOOKUP(표6[[#This Row],[일정번호]],표2[],6,FALSE), "hh:mm")</f>
        <v>10:00</v>
      </c>
      <c r="M389" s="2" t="str">
        <f>VLOOKUP(표6[[#This Row],[종목]],자격증정보!$A$2:$I$7,9,FALSE)</f>
        <v>30분</v>
      </c>
    </row>
    <row r="390" spans="1:13">
      <c r="A390" s="29">
        <v>392</v>
      </c>
      <c r="B390" s="2">
        <v>16</v>
      </c>
      <c r="C390" s="2">
        <v>3</v>
      </c>
      <c r="D390" s="2">
        <v>154</v>
      </c>
      <c r="E390" s="2">
        <v>28</v>
      </c>
      <c r="F390" s="3">
        <v>44381</v>
      </c>
      <c r="G390" s="3">
        <v>44388</v>
      </c>
      <c r="H390" s="3">
        <v>44388</v>
      </c>
      <c r="I390" s="2">
        <v>40</v>
      </c>
      <c r="J390" s="29" t="s">
        <v>197</v>
      </c>
      <c r="K390" s="51" t="str">
        <f>VLOOKUP(표6[[#This Row],[종목]],자격증정보!$A$2:$I$7,2,FALSE) &amp; " " &amp; VLOOKUP(표6[[#This Row],[종목]],자격증정보!$A$2:$I$7,3,FALSE)</f>
        <v>컴퓨터활용능력 2급</v>
      </c>
      <c r="L390" s="2" t="str">
        <f>TEXT(VLOOKUP(표6[[#This Row],[일정번호]],표2[],6,FALSE), "hh:mm")</f>
        <v>10:00</v>
      </c>
      <c r="M390" s="2" t="str">
        <f>VLOOKUP(표6[[#This Row],[종목]],자격증정보!$A$2:$I$7,9,FALSE)</f>
        <v>30분</v>
      </c>
    </row>
    <row r="391" spans="1:13">
      <c r="A391" s="29">
        <v>393</v>
      </c>
      <c r="B391" s="2">
        <v>13</v>
      </c>
      <c r="C391" s="2">
        <v>3</v>
      </c>
      <c r="D391" s="2">
        <v>155</v>
      </c>
      <c r="E391" s="2">
        <v>29</v>
      </c>
      <c r="F391" s="3">
        <v>44381</v>
      </c>
      <c r="G391" s="3">
        <v>44388</v>
      </c>
      <c r="H391" s="3">
        <v>44388</v>
      </c>
      <c r="I391" s="2">
        <v>20</v>
      </c>
      <c r="J391" s="29" t="s">
        <v>197</v>
      </c>
      <c r="K391" s="51" t="str">
        <f>VLOOKUP(표6[[#This Row],[종목]],자격증정보!$A$2:$I$7,2,FALSE) &amp; " " &amp; VLOOKUP(표6[[#This Row],[종목]],자격증정보!$A$2:$I$7,3,FALSE)</f>
        <v>컴퓨터활용능력 2급</v>
      </c>
      <c r="L391" s="2" t="str">
        <f>TEXT(VLOOKUP(표6[[#This Row],[일정번호]],표2[],6,FALSE), "hh:mm")</f>
        <v>14:00</v>
      </c>
      <c r="M391" s="2" t="str">
        <f>VLOOKUP(표6[[#This Row],[종목]],자격증정보!$A$2:$I$7,9,FALSE)</f>
        <v>30분</v>
      </c>
    </row>
    <row r="392" spans="1:13">
      <c r="A392" s="29">
        <v>394</v>
      </c>
      <c r="B392" s="2">
        <v>14</v>
      </c>
      <c r="C392" s="2">
        <v>3</v>
      </c>
      <c r="D392" s="2">
        <v>155</v>
      </c>
      <c r="E392" s="2">
        <v>29</v>
      </c>
      <c r="F392" s="3">
        <v>44381</v>
      </c>
      <c r="G392" s="3">
        <v>44388</v>
      </c>
      <c r="H392" s="3">
        <v>44388</v>
      </c>
      <c r="I392" s="2">
        <v>50</v>
      </c>
      <c r="J392" s="29" t="s">
        <v>197</v>
      </c>
      <c r="K392" s="51" t="str">
        <f>VLOOKUP(표6[[#This Row],[종목]],자격증정보!$A$2:$I$7,2,FALSE) &amp; " " &amp; VLOOKUP(표6[[#This Row],[종목]],자격증정보!$A$2:$I$7,3,FALSE)</f>
        <v>컴퓨터활용능력 2급</v>
      </c>
      <c r="L392" s="2" t="str">
        <f>TEXT(VLOOKUP(표6[[#This Row],[일정번호]],표2[],6,FALSE), "hh:mm")</f>
        <v>14:00</v>
      </c>
      <c r="M392" s="2" t="str">
        <f>VLOOKUP(표6[[#This Row],[종목]],자격증정보!$A$2:$I$7,9,FALSE)</f>
        <v>30분</v>
      </c>
    </row>
    <row r="393" spans="1:13">
      <c r="A393" s="29">
        <v>395</v>
      </c>
      <c r="B393" s="2">
        <v>15</v>
      </c>
      <c r="C393" s="2">
        <v>3</v>
      </c>
      <c r="D393" s="2">
        <v>155</v>
      </c>
      <c r="E393" s="2">
        <v>29</v>
      </c>
      <c r="F393" s="3">
        <v>44381</v>
      </c>
      <c r="G393" s="3">
        <v>44388</v>
      </c>
      <c r="H393" s="3">
        <v>44388</v>
      </c>
      <c r="I393" s="2">
        <v>60</v>
      </c>
      <c r="J393" s="29" t="s">
        <v>197</v>
      </c>
      <c r="K393" s="51" t="str">
        <f>VLOOKUP(표6[[#This Row],[종목]],자격증정보!$A$2:$I$7,2,FALSE) &amp; " " &amp; VLOOKUP(표6[[#This Row],[종목]],자격증정보!$A$2:$I$7,3,FALSE)</f>
        <v>컴퓨터활용능력 2급</v>
      </c>
      <c r="L393" s="2" t="str">
        <f>TEXT(VLOOKUP(표6[[#This Row],[일정번호]],표2[],6,FALSE), "hh:mm")</f>
        <v>14:00</v>
      </c>
      <c r="M393" s="2" t="str">
        <f>VLOOKUP(표6[[#This Row],[종목]],자격증정보!$A$2:$I$7,9,FALSE)</f>
        <v>30분</v>
      </c>
    </row>
    <row r="394" spans="1:13">
      <c r="A394" s="29">
        <v>396</v>
      </c>
      <c r="B394" s="2">
        <v>12</v>
      </c>
      <c r="C394" s="2">
        <v>1</v>
      </c>
      <c r="D394" s="2">
        <v>94</v>
      </c>
      <c r="E394" s="2">
        <v>28</v>
      </c>
      <c r="F394" s="3">
        <v>44381</v>
      </c>
      <c r="G394" s="3">
        <v>44388</v>
      </c>
      <c r="H394" s="3">
        <v>44389</v>
      </c>
      <c r="I394" s="2">
        <v>30</v>
      </c>
      <c r="J394" s="29" t="s">
        <v>197</v>
      </c>
      <c r="K394" s="51" t="str">
        <f>VLOOKUP(표6[[#This Row],[종목]],자격증정보!$A$2:$I$7,2,FALSE) &amp; " " &amp; VLOOKUP(표6[[#This Row],[종목]],자격증정보!$A$2:$I$7,3,FALSE)</f>
        <v>워드프로세서 단일</v>
      </c>
      <c r="L394" s="2" t="str">
        <f>TEXT(VLOOKUP(표6[[#This Row],[일정번호]],표2[],6,FALSE), "hh:mm")</f>
        <v>14:20</v>
      </c>
      <c r="M394" s="2" t="str">
        <f>VLOOKUP(표6[[#This Row],[종목]],자격증정보!$A$2:$I$7,9,FALSE)</f>
        <v>30분</v>
      </c>
    </row>
    <row r="395" spans="1:13">
      <c r="A395" s="29">
        <v>397</v>
      </c>
      <c r="B395" s="2">
        <v>4</v>
      </c>
      <c r="C395" s="2">
        <v>1</v>
      </c>
      <c r="D395" s="2">
        <v>109</v>
      </c>
      <c r="E395" s="2">
        <v>30</v>
      </c>
      <c r="F395" s="3">
        <v>44383</v>
      </c>
      <c r="G395" s="3">
        <v>44390</v>
      </c>
      <c r="H395" s="3">
        <v>44391</v>
      </c>
      <c r="I395" s="2">
        <v>20</v>
      </c>
      <c r="J395" s="29" t="s">
        <v>197</v>
      </c>
      <c r="K395" s="51" t="str">
        <f>VLOOKUP(표6[[#This Row],[종목]],자격증정보!$A$2:$I$7,2,FALSE) &amp; " " &amp; VLOOKUP(표6[[#This Row],[종목]],자격증정보!$A$2:$I$7,3,FALSE)</f>
        <v>워드프로세서 단일</v>
      </c>
      <c r="L395" s="2" t="str">
        <f>TEXT(VLOOKUP(표6[[#This Row],[일정번호]],표2[],6,FALSE), "hh:mm")</f>
        <v>14:00</v>
      </c>
      <c r="M395" s="2" t="str">
        <f>VLOOKUP(표6[[#This Row],[종목]],자격증정보!$A$2:$I$7,9,FALSE)</f>
        <v>30분</v>
      </c>
    </row>
    <row r="396" spans="1:13">
      <c r="A396" s="29">
        <v>398</v>
      </c>
      <c r="B396" s="2">
        <v>29</v>
      </c>
      <c r="C396" s="2">
        <v>1</v>
      </c>
      <c r="D396" s="2">
        <v>109</v>
      </c>
      <c r="E396" s="2">
        <v>30</v>
      </c>
      <c r="F396" s="3">
        <v>44383</v>
      </c>
      <c r="G396" s="3">
        <v>44390</v>
      </c>
      <c r="H396" s="3">
        <v>44391</v>
      </c>
      <c r="I396" s="2">
        <v>0</v>
      </c>
      <c r="J396" s="29" t="s">
        <v>197</v>
      </c>
      <c r="K396" s="51" t="str">
        <f>VLOOKUP(표6[[#This Row],[종목]],자격증정보!$A$2:$I$7,2,FALSE) &amp; " " &amp; VLOOKUP(표6[[#This Row],[종목]],자격증정보!$A$2:$I$7,3,FALSE)</f>
        <v>워드프로세서 단일</v>
      </c>
      <c r="L396" s="2" t="str">
        <f>TEXT(VLOOKUP(표6[[#This Row],[일정번호]],표2[],6,FALSE), "hh:mm")</f>
        <v>14:00</v>
      </c>
      <c r="M396" s="2" t="str">
        <f>VLOOKUP(표6[[#This Row],[종목]],자격증정보!$A$2:$I$7,9,FALSE)</f>
        <v>30분</v>
      </c>
    </row>
    <row r="397" spans="1:13">
      <c r="A397" s="29">
        <v>399</v>
      </c>
      <c r="B397" s="2">
        <v>26</v>
      </c>
      <c r="C397" s="2">
        <v>1</v>
      </c>
      <c r="D397" s="2">
        <v>109</v>
      </c>
      <c r="E397" s="2">
        <v>30</v>
      </c>
      <c r="F397" s="3">
        <v>44383</v>
      </c>
      <c r="G397" s="3">
        <v>44390</v>
      </c>
      <c r="H397" s="3">
        <v>44391</v>
      </c>
      <c r="I397" s="2">
        <v>0</v>
      </c>
      <c r="J397" s="29" t="s">
        <v>197</v>
      </c>
      <c r="K397" s="51" t="str">
        <f>VLOOKUP(표6[[#This Row],[종목]],자격증정보!$A$2:$I$7,2,FALSE) &amp; " " &amp; VLOOKUP(표6[[#This Row],[종목]],자격증정보!$A$2:$I$7,3,FALSE)</f>
        <v>워드프로세서 단일</v>
      </c>
      <c r="L397" s="2" t="str">
        <f>TEXT(VLOOKUP(표6[[#This Row],[일정번호]],표2[],6,FALSE), "hh:mm")</f>
        <v>14:00</v>
      </c>
      <c r="M397" s="2" t="str">
        <f>VLOOKUP(표6[[#This Row],[종목]],자격증정보!$A$2:$I$7,9,FALSE)</f>
        <v>30분</v>
      </c>
    </row>
    <row r="398" spans="1:13">
      <c r="A398" s="29">
        <v>420</v>
      </c>
      <c r="B398" s="2">
        <v>5</v>
      </c>
      <c r="C398" s="2">
        <v>1</v>
      </c>
      <c r="D398" s="2">
        <v>114</v>
      </c>
      <c r="E398" s="2">
        <v>32</v>
      </c>
      <c r="F398" s="3">
        <v>44383</v>
      </c>
      <c r="G398" s="3">
        <v>44390</v>
      </c>
      <c r="H398" s="3">
        <v>44391</v>
      </c>
      <c r="I398" s="2">
        <v>0</v>
      </c>
      <c r="J398" s="29" t="s">
        <v>197</v>
      </c>
      <c r="K398" s="51" t="str">
        <f>VLOOKUP(표6[[#This Row],[종목]],자격증정보!$A$2:$I$7,2,FALSE) &amp; " " &amp; VLOOKUP(표6[[#This Row],[종목]],자격증정보!$A$2:$I$7,3,FALSE)</f>
        <v>워드프로세서 단일</v>
      </c>
      <c r="L398" s="2" t="str">
        <f>TEXT(VLOOKUP(표6[[#This Row],[일정번호]],표2[],6,FALSE), "hh:mm")</f>
        <v>10:00</v>
      </c>
      <c r="M398" s="2" t="str">
        <f>VLOOKUP(표6[[#This Row],[종목]],자격증정보!$A$2:$I$7,9,FALSE)</f>
        <v>30분</v>
      </c>
    </row>
    <row r="399" spans="1:13">
      <c r="A399" s="29">
        <v>401</v>
      </c>
      <c r="B399" s="2">
        <v>21</v>
      </c>
      <c r="C399" s="2">
        <v>1</v>
      </c>
      <c r="D399" s="2">
        <v>109</v>
      </c>
      <c r="E399" s="2">
        <v>30</v>
      </c>
      <c r="F399" s="3">
        <v>44383</v>
      </c>
      <c r="G399" s="3">
        <v>44390</v>
      </c>
      <c r="H399" s="3">
        <v>44391</v>
      </c>
      <c r="I399" s="2">
        <v>10</v>
      </c>
      <c r="J399" s="29" t="s">
        <v>197</v>
      </c>
      <c r="K399" s="51" t="str">
        <f>VLOOKUP(표6[[#This Row],[종목]],자격증정보!$A$2:$I$7,2,FALSE) &amp; " " &amp; VLOOKUP(표6[[#This Row],[종목]],자격증정보!$A$2:$I$7,3,FALSE)</f>
        <v>워드프로세서 단일</v>
      </c>
      <c r="L399" s="2" t="str">
        <f>TEXT(VLOOKUP(표6[[#This Row],[일정번호]],표2[],6,FALSE), "hh:mm")</f>
        <v>14:00</v>
      </c>
      <c r="M399" s="2" t="str">
        <f>VLOOKUP(표6[[#This Row],[종목]],자격증정보!$A$2:$I$7,9,FALSE)</f>
        <v>30분</v>
      </c>
    </row>
    <row r="400" spans="1:13">
      <c r="A400" s="29">
        <v>402</v>
      </c>
      <c r="B400" s="2">
        <v>19</v>
      </c>
      <c r="C400" s="2">
        <v>1</v>
      </c>
      <c r="D400" s="2">
        <v>109</v>
      </c>
      <c r="E400" s="2">
        <v>30</v>
      </c>
      <c r="F400" s="3">
        <v>44383</v>
      </c>
      <c r="G400" s="3">
        <v>44390</v>
      </c>
      <c r="H400" s="3">
        <v>44391</v>
      </c>
      <c r="I400" s="2">
        <v>30</v>
      </c>
      <c r="J400" s="29" t="s">
        <v>197</v>
      </c>
      <c r="K400" s="51" t="str">
        <f>VLOOKUP(표6[[#This Row],[종목]],자격증정보!$A$2:$I$7,2,FALSE) &amp; " " &amp; VLOOKUP(표6[[#This Row],[종목]],자격증정보!$A$2:$I$7,3,FALSE)</f>
        <v>워드프로세서 단일</v>
      </c>
      <c r="L400" s="2" t="str">
        <f>TEXT(VLOOKUP(표6[[#This Row],[일정번호]],표2[],6,FALSE), "hh:mm")</f>
        <v>14:00</v>
      </c>
      <c r="M400" s="2" t="str">
        <f>VLOOKUP(표6[[#This Row],[종목]],자격증정보!$A$2:$I$7,9,FALSE)</f>
        <v>30분</v>
      </c>
    </row>
    <row r="401" spans="1:13">
      <c r="A401" s="29">
        <v>403</v>
      </c>
      <c r="B401" s="2">
        <v>12</v>
      </c>
      <c r="C401" s="2">
        <v>1</v>
      </c>
      <c r="D401" s="2">
        <v>109</v>
      </c>
      <c r="E401" s="2">
        <v>30</v>
      </c>
      <c r="F401" s="3">
        <v>44383</v>
      </c>
      <c r="G401" s="3">
        <v>44390</v>
      </c>
      <c r="H401" s="3">
        <v>44391</v>
      </c>
      <c r="I401" s="2">
        <v>20</v>
      </c>
      <c r="J401" s="29" t="s">
        <v>197</v>
      </c>
      <c r="K401" s="51" t="str">
        <f>VLOOKUP(표6[[#This Row],[종목]],자격증정보!$A$2:$I$7,2,FALSE) &amp; " " &amp; VLOOKUP(표6[[#This Row],[종목]],자격증정보!$A$2:$I$7,3,FALSE)</f>
        <v>워드프로세서 단일</v>
      </c>
      <c r="L401" s="2" t="str">
        <f>TEXT(VLOOKUP(표6[[#This Row],[일정번호]],표2[],6,FALSE), "hh:mm")</f>
        <v>14:00</v>
      </c>
      <c r="M401" s="2" t="str">
        <f>VLOOKUP(표6[[#This Row],[종목]],자격증정보!$A$2:$I$7,9,FALSE)</f>
        <v>30분</v>
      </c>
    </row>
    <row r="402" spans="1:13">
      <c r="A402" s="29">
        <v>404</v>
      </c>
      <c r="B402" s="2">
        <v>9</v>
      </c>
      <c r="C402" s="2">
        <v>1</v>
      </c>
      <c r="D402" s="2">
        <v>109</v>
      </c>
      <c r="E402" s="2">
        <v>30</v>
      </c>
      <c r="F402" s="3">
        <v>44383</v>
      </c>
      <c r="G402" s="3">
        <v>44390</v>
      </c>
      <c r="H402" s="3">
        <v>44391</v>
      </c>
      <c r="I402" s="2">
        <v>0</v>
      </c>
      <c r="J402" s="29" t="s">
        <v>197</v>
      </c>
      <c r="K402" s="51" t="str">
        <f>VLOOKUP(표6[[#This Row],[종목]],자격증정보!$A$2:$I$7,2,FALSE) &amp; " " &amp; VLOOKUP(표6[[#This Row],[종목]],자격증정보!$A$2:$I$7,3,FALSE)</f>
        <v>워드프로세서 단일</v>
      </c>
      <c r="L402" s="2" t="str">
        <f>TEXT(VLOOKUP(표6[[#This Row],[일정번호]],표2[],6,FALSE), "hh:mm")</f>
        <v>14:00</v>
      </c>
      <c r="M402" s="2" t="str">
        <f>VLOOKUP(표6[[#This Row],[종목]],자격증정보!$A$2:$I$7,9,FALSE)</f>
        <v>30분</v>
      </c>
    </row>
    <row r="403" spans="1:13">
      <c r="A403" s="29">
        <v>405</v>
      </c>
      <c r="B403" s="2">
        <v>15</v>
      </c>
      <c r="C403" s="2">
        <v>1</v>
      </c>
      <c r="D403" s="2">
        <v>113</v>
      </c>
      <c r="E403" s="2">
        <v>31</v>
      </c>
      <c r="F403" s="3">
        <v>44383</v>
      </c>
      <c r="G403" s="3">
        <v>44390</v>
      </c>
      <c r="H403" s="3">
        <v>44391</v>
      </c>
      <c r="I403" s="2">
        <v>0</v>
      </c>
      <c r="J403" s="29" t="s">
        <v>197</v>
      </c>
      <c r="K403" s="51" t="str">
        <f>VLOOKUP(표6[[#This Row],[종목]],자격증정보!$A$2:$I$7,2,FALSE) &amp; " " &amp; VLOOKUP(표6[[#This Row],[종목]],자격증정보!$A$2:$I$7,3,FALSE)</f>
        <v>워드프로세서 단일</v>
      </c>
      <c r="L403" s="2" t="str">
        <f>TEXT(VLOOKUP(표6[[#This Row],[일정번호]],표2[],6,FALSE), "hh:mm")</f>
        <v>15:00</v>
      </c>
      <c r="M403" s="2" t="str">
        <f>VLOOKUP(표6[[#This Row],[종목]],자격증정보!$A$2:$I$7,9,FALSE)</f>
        <v>30분</v>
      </c>
    </row>
    <row r="404" spans="1:13">
      <c r="A404" s="29">
        <v>406</v>
      </c>
      <c r="B404" s="2">
        <v>28</v>
      </c>
      <c r="C404" s="2">
        <v>1</v>
      </c>
      <c r="D404" s="2">
        <v>113</v>
      </c>
      <c r="E404" s="2">
        <v>31</v>
      </c>
      <c r="F404" s="3">
        <v>44383</v>
      </c>
      <c r="G404" s="3">
        <v>44390</v>
      </c>
      <c r="H404" s="3">
        <v>44391</v>
      </c>
      <c r="I404" s="2">
        <v>30</v>
      </c>
      <c r="J404" s="29" t="s">
        <v>197</v>
      </c>
      <c r="K404" s="51" t="str">
        <f>VLOOKUP(표6[[#This Row],[종목]],자격증정보!$A$2:$I$7,2,FALSE) &amp; " " &amp; VLOOKUP(표6[[#This Row],[종목]],자격증정보!$A$2:$I$7,3,FALSE)</f>
        <v>워드프로세서 단일</v>
      </c>
      <c r="L404" s="2" t="str">
        <f>TEXT(VLOOKUP(표6[[#This Row],[일정번호]],표2[],6,FALSE), "hh:mm")</f>
        <v>15:00</v>
      </c>
      <c r="M404" s="2" t="str">
        <f>VLOOKUP(표6[[#This Row],[종목]],자격증정보!$A$2:$I$7,9,FALSE)</f>
        <v>30분</v>
      </c>
    </row>
    <row r="405" spans="1:13">
      <c r="A405" s="29">
        <v>407</v>
      </c>
      <c r="B405" s="2">
        <v>25</v>
      </c>
      <c r="C405" s="2">
        <v>1</v>
      </c>
      <c r="D405" s="2">
        <v>113</v>
      </c>
      <c r="E405" s="2">
        <v>31</v>
      </c>
      <c r="F405" s="3">
        <v>44383</v>
      </c>
      <c r="G405" s="3">
        <v>44390</v>
      </c>
      <c r="H405" s="3">
        <v>44391</v>
      </c>
      <c r="I405" s="2">
        <v>20</v>
      </c>
      <c r="J405" s="29" t="s">
        <v>197</v>
      </c>
      <c r="K405" s="51" t="str">
        <f>VLOOKUP(표6[[#This Row],[종목]],자격증정보!$A$2:$I$7,2,FALSE) &amp; " " &amp; VLOOKUP(표6[[#This Row],[종목]],자격증정보!$A$2:$I$7,3,FALSE)</f>
        <v>워드프로세서 단일</v>
      </c>
      <c r="L405" s="2" t="str">
        <f>TEXT(VLOOKUP(표6[[#This Row],[일정번호]],표2[],6,FALSE), "hh:mm")</f>
        <v>15:00</v>
      </c>
      <c r="M405" s="2" t="str">
        <f>VLOOKUP(표6[[#This Row],[종목]],자격증정보!$A$2:$I$7,9,FALSE)</f>
        <v>30분</v>
      </c>
    </row>
    <row r="406" spans="1:13">
      <c r="A406" s="29">
        <v>408</v>
      </c>
      <c r="B406" s="2">
        <v>24</v>
      </c>
      <c r="C406" s="2">
        <v>1</v>
      </c>
      <c r="D406" s="2">
        <v>113</v>
      </c>
      <c r="E406" s="2">
        <v>31</v>
      </c>
      <c r="F406" s="3">
        <v>44383</v>
      </c>
      <c r="G406" s="3">
        <v>44390</v>
      </c>
      <c r="H406" s="3">
        <v>44391</v>
      </c>
      <c r="I406" s="2">
        <v>40</v>
      </c>
      <c r="J406" s="29" t="s">
        <v>197</v>
      </c>
      <c r="K406" s="51" t="str">
        <f>VLOOKUP(표6[[#This Row],[종목]],자격증정보!$A$2:$I$7,2,FALSE) &amp; " " &amp; VLOOKUP(표6[[#This Row],[종목]],자격증정보!$A$2:$I$7,3,FALSE)</f>
        <v>워드프로세서 단일</v>
      </c>
      <c r="L406" s="2" t="str">
        <f>TEXT(VLOOKUP(표6[[#This Row],[일정번호]],표2[],6,FALSE), "hh:mm")</f>
        <v>15:00</v>
      </c>
      <c r="M406" s="2" t="str">
        <f>VLOOKUP(표6[[#This Row],[종목]],자격증정보!$A$2:$I$7,9,FALSE)</f>
        <v>30분</v>
      </c>
    </row>
    <row r="407" spans="1:13">
      <c r="A407" s="29">
        <v>409</v>
      </c>
      <c r="B407" s="2">
        <v>22</v>
      </c>
      <c r="C407" s="2">
        <v>1</v>
      </c>
      <c r="D407" s="2">
        <v>113</v>
      </c>
      <c r="E407" s="2">
        <v>31</v>
      </c>
      <c r="F407" s="3">
        <v>44383</v>
      </c>
      <c r="G407" s="3">
        <v>44390</v>
      </c>
      <c r="H407" s="3">
        <v>44391</v>
      </c>
      <c r="I407" s="2">
        <v>20</v>
      </c>
      <c r="J407" s="29" t="s">
        <v>197</v>
      </c>
      <c r="K407" s="51" t="str">
        <f>VLOOKUP(표6[[#This Row],[종목]],자격증정보!$A$2:$I$7,2,FALSE) &amp; " " &amp; VLOOKUP(표6[[#This Row],[종목]],자격증정보!$A$2:$I$7,3,FALSE)</f>
        <v>워드프로세서 단일</v>
      </c>
      <c r="L407" s="2" t="str">
        <f>TEXT(VLOOKUP(표6[[#This Row],[일정번호]],표2[],6,FALSE), "hh:mm")</f>
        <v>15:00</v>
      </c>
      <c r="M407" s="2" t="str">
        <f>VLOOKUP(표6[[#This Row],[종목]],자격증정보!$A$2:$I$7,9,FALSE)</f>
        <v>30분</v>
      </c>
    </row>
    <row r="408" spans="1:13">
      <c r="A408" s="29">
        <v>410</v>
      </c>
      <c r="B408" s="2">
        <v>13</v>
      </c>
      <c r="C408" s="2">
        <v>1</v>
      </c>
      <c r="D408" s="2">
        <v>113</v>
      </c>
      <c r="E408" s="2">
        <v>31</v>
      </c>
      <c r="F408" s="3">
        <v>44383</v>
      </c>
      <c r="G408" s="3">
        <v>44390</v>
      </c>
      <c r="H408" s="3">
        <v>44391</v>
      </c>
      <c r="I408" s="2">
        <v>30</v>
      </c>
      <c r="J408" s="29" t="s">
        <v>197</v>
      </c>
      <c r="K408" s="51" t="str">
        <f>VLOOKUP(표6[[#This Row],[종목]],자격증정보!$A$2:$I$7,2,FALSE) &amp; " " &amp; VLOOKUP(표6[[#This Row],[종목]],자격증정보!$A$2:$I$7,3,FALSE)</f>
        <v>워드프로세서 단일</v>
      </c>
      <c r="L408" s="2" t="str">
        <f>TEXT(VLOOKUP(표6[[#This Row],[일정번호]],표2[],6,FALSE), "hh:mm")</f>
        <v>15:00</v>
      </c>
      <c r="M408" s="2" t="str">
        <f>VLOOKUP(표6[[#This Row],[종목]],자격증정보!$A$2:$I$7,9,FALSE)</f>
        <v>30분</v>
      </c>
    </row>
    <row r="409" spans="1:13">
      <c r="A409" s="29">
        <v>411</v>
      </c>
      <c r="B409" s="2">
        <v>18</v>
      </c>
      <c r="C409" s="2">
        <v>1</v>
      </c>
      <c r="D409" s="2">
        <v>113</v>
      </c>
      <c r="E409" s="2">
        <v>31</v>
      </c>
      <c r="F409" s="3">
        <v>44383</v>
      </c>
      <c r="G409" s="3">
        <v>44390</v>
      </c>
      <c r="H409" s="3">
        <v>44391</v>
      </c>
      <c r="I409" s="2">
        <v>50</v>
      </c>
      <c r="J409" s="29" t="s">
        <v>197</v>
      </c>
      <c r="K409" s="51" t="str">
        <f>VLOOKUP(표6[[#This Row],[종목]],자격증정보!$A$2:$I$7,2,FALSE) &amp; " " &amp; VLOOKUP(표6[[#This Row],[종목]],자격증정보!$A$2:$I$7,3,FALSE)</f>
        <v>워드프로세서 단일</v>
      </c>
      <c r="L409" s="2" t="str">
        <f>TEXT(VLOOKUP(표6[[#This Row],[일정번호]],표2[],6,FALSE), "hh:mm")</f>
        <v>15:00</v>
      </c>
      <c r="M409" s="2" t="str">
        <f>VLOOKUP(표6[[#This Row],[종목]],자격증정보!$A$2:$I$7,9,FALSE)</f>
        <v>30분</v>
      </c>
    </row>
    <row r="410" spans="1:13">
      <c r="A410" s="29">
        <v>412</v>
      </c>
      <c r="B410" s="2">
        <v>6</v>
      </c>
      <c r="C410" s="2">
        <v>1</v>
      </c>
      <c r="D410" s="2">
        <v>113</v>
      </c>
      <c r="E410" s="2">
        <v>31</v>
      </c>
      <c r="F410" s="3">
        <v>44383</v>
      </c>
      <c r="G410" s="3">
        <v>44390</v>
      </c>
      <c r="H410" s="3">
        <v>44391</v>
      </c>
      <c r="I410" s="2">
        <v>30</v>
      </c>
      <c r="J410" s="29" t="s">
        <v>197</v>
      </c>
      <c r="K410" s="51" t="str">
        <f>VLOOKUP(표6[[#This Row],[종목]],자격증정보!$A$2:$I$7,2,FALSE) &amp; " " &amp; VLOOKUP(표6[[#This Row],[종목]],자격증정보!$A$2:$I$7,3,FALSE)</f>
        <v>워드프로세서 단일</v>
      </c>
      <c r="L410" s="2" t="str">
        <f>TEXT(VLOOKUP(표6[[#This Row],[일정번호]],표2[],6,FALSE), "hh:mm")</f>
        <v>15:00</v>
      </c>
      <c r="M410" s="2" t="str">
        <f>VLOOKUP(표6[[#This Row],[종목]],자격증정보!$A$2:$I$7,9,FALSE)</f>
        <v>30분</v>
      </c>
    </row>
    <row r="411" spans="1:13">
      <c r="A411" s="29">
        <v>413</v>
      </c>
      <c r="B411" s="2">
        <v>8</v>
      </c>
      <c r="C411" s="2">
        <v>1</v>
      </c>
      <c r="D411" s="2">
        <v>113</v>
      </c>
      <c r="E411" s="2">
        <v>31</v>
      </c>
      <c r="F411" s="3">
        <v>44383</v>
      </c>
      <c r="G411" s="3">
        <v>44390</v>
      </c>
      <c r="H411" s="3">
        <v>44391</v>
      </c>
      <c r="I411" s="2">
        <v>20</v>
      </c>
      <c r="J411" s="29" t="s">
        <v>197</v>
      </c>
      <c r="K411" s="51" t="str">
        <f>VLOOKUP(표6[[#This Row],[종목]],자격증정보!$A$2:$I$7,2,FALSE) &amp; " " &amp; VLOOKUP(표6[[#This Row],[종목]],자격증정보!$A$2:$I$7,3,FALSE)</f>
        <v>워드프로세서 단일</v>
      </c>
      <c r="L411" s="2" t="str">
        <f>TEXT(VLOOKUP(표6[[#This Row],[일정번호]],표2[],6,FALSE), "hh:mm")</f>
        <v>15:00</v>
      </c>
      <c r="M411" s="2" t="str">
        <f>VLOOKUP(표6[[#This Row],[종목]],자격증정보!$A$2:$I$7,9,FALSE)</f>
        <v>30분</v>
      </c>
    </row>
    <row r="412" spans="1:13">
      <c r="A412" s="29">
        <v>414</v>
      </c>
      <c r="B412" s="2">
        <v>13</v>
      </c>
      <c r="C412" s="2">
        <v>1</v>
      </c>
      <c r="D412" s="2">
        <v>114</v>
      </c>
      <c r="E412" s="2">
        <v>32</v>
      </c>
      <c r="F412" s="3">
        <v>44383</v>
      </c>
      <c r="G412" s="3">
        <v>44390</v>
      </c>
      <c r="H412" s="3">
        <v>44391</v>
      </c>
      <c r="I412" s="2">
        <v>30</v>
      </c>
      <c r="J412" s="29" t="s">
        <v>197</v>
      </c>
      <c r="K412" s="51" t="str">
        <f>VLOOKUP(표6[[#This Row],[종목]],자격증정보!$A$2:$I$7,2,FALSE) &amp; " " &amp; VLOOKUP(표6[[#This Row],[종목]],자격증정보!$A$2:$I$7,3,FALSE)</f>
        <v>워드프로세서 단일</v>
      </c>
      <c r="L412" s="2" t="str">
        <f>TEXT(VLOOKUP(표6[[#This Row],[일정번호]],표2[],6,FALSE), "hh:mm")</f>
        <v>10:00</v>
      </c>
      <c r="M412" s="2" t="str">
        <f>VLOOKUP(표6[[#This Row],[종목]],자격증정보!$A$2:$I$7,9,FALSE)</f>
        <v>30분</v>
      </c>
    </row>
    <row r="413" spans="1:13">
      <c r="A413" s="29">
        <v>415</v>
      </c>
      <c r="B413" s="2">
        <v>2</v>
      </c>
      <c r="C413" s="2">
        <v>1</v>
      </c>
      <c r="D413" s="2">
        <v>114</v>
      </c>
      <c r="E413" s="2">
        <v>32</v>
      </c>
      <c r="F413" s="3">
        <v>44383</v>
      </c>
      <c r="G413" s="3">
        <v>44390</v>
      </c>
      <c r="H413" s="3">
        <v>44391</v>
      </c>
      <c r="I413" s="2">
        <v>50</v>
      </c>
      <c r="J413" s="29" t="s">
        <v>197</v>
      </c>
      <c r="K413" s="51" t="str">
        <f>VLOOKUP(표6[[#This Row],[종목]],자격증정보!$A$2:$I$7,2,FALSE) &amp; " " &amp; VLOOKUP(표6[[#This Row],[종목]],자격증정보!$A$2:$I$7,3,FALSE)</f>
        <v>워드프로세서 단일</v>
      </c>
      <c r="L413" s="2" t="str">
        <f>TEXT(VLOOKUP(표6[[#This Row],[일정번호]],표2[],6,FALSE), "hh:mm")</f>
        <v>10:00</v>
      </c>
      <c r="M413" s="2" t="str">
        <f>VLOOKUP(표6[[#This Row],[종목]],자격증정보!$A$2:$I$7,9,FALSE)</f>
        <v>30분</v>
      </c>
    </row>
    <row r="414" spans="1:13">
      <c r="A414" s="29">
        <v>416</v>
      </c>
      <c r="B414" s="2">
        <v>30</v>
      </c>
      <c r="C414" s="2">
        <v>1</v>
      </c>
      <c r="D414" s="2">
        <v>114</v>
      </c>
      <c r="E414" s="2">
        <v>32</v>
      </c>
      <c r="F414" s="3">
        <v>44383</v>
      </c>
      <c r="G414" s="3">
        <v>44390</v>
      </c>
      <c r="H414" s="3">
        <v>44391</v>
      </c>
      <c r="I414" s="2">
        <v>20</v>
      </c>
      <c r="J414" s="29" t="s">
        <v>197</v>
      </c>
      <c r="K414" s="51" t="str">
        <f>VLOOKUP(표6[[#This Row],[종목]],자격증정보!$A$2:$I$7,2,FALSE) &amp; " " &amp; VLOOKUP(표6[[#This Row],[종목]],자격증정보!$A$2:$I$7,3,FALSE)</f>
        <v>워드프로세서 단일</v>
      </c>
      <c r="L414" s="2" t="str">
        <f>TEXT(VLOOKUP(표6[[#This Row],[일정번호]],표2[],6,FALSE), "hh:mm")</f>
        <v>10:00</v>
      </c>
      <c r="M414" s="2" t="str">
        <f>VLOOKUP(표6[[#This Row],[종목]],자격증정보!$A$2:$I$7,9,FALSE)</f>
        <v>30분</v>
      </c>
    </row>
    <row r="415" spans="1:13">
      <c r="A415" s="29">
        <v>417</v>
      </c>
      <c r="B415" s="2">
        <v>26</v>
      </c>
      <c r="C415" s="2">
        <v>1</v>
      </c>
      <c r="D415" s="2">
        <v>114</v>
      </c>
      <c r="E415" s="2">
        <v>32</v>
      </c>
      <c r="F415" s="3">
        <v>44383</v>
      </c>
      <c r="G415" s="3">
        <v>44390</v>
      </c>
      <c r="H415" s="3">
        <v>44391</v>
      </c>
      <c r="I415" s="2">
        <v>50</v>
      </c>
      <c r="J415" s="29" t="s">
        <v>197</v>
      </c>
      <c r="K415" s="51" t="str">
        <f>VLOOKUP(표6[[#This Row],[종목]],자격증정보!$A$2:$I$7,2,FALSE) &amp; " " &amp; VLOOKUP(표6[[#This Row],[종목]],자격증정보!$A$2:$I$7,3,FALSE)</f>
        <v>워드프로세서 단일</v>
      </c>
      <c r="L415" s="2" t="str">
        <f>TEXT(VLOOKUP(표6[[#This Row],[일정번호]],표2[],6,FALSE), "hh:mm")</f>
        <v>10:00</v>
      </c>
      <c r="M415" s="2" t="str">
        <f>VLOOKUP(표6[[#This Row],[종목]],자격증정보!$A$2:$I$7,9,FALSE)</f>
        <v>30분</v>
      </c>
    </row>
    <row r="416" spans="1:13">
      <c r="A416" s="29">
        <v>418</v>
      </c>
      <c r="B416" s="2">
        <v>17</v>
      </c>
      <c r="C416" s="2">
        <v>1</v>
      </c>
      <c r="D416" s="2">
        <v>114</v>
      </c>
      <c r="E416" s="2">
        <v>32</v>
      </c>
      <c r="F416" s="3">
        <v>44383</v>
      </c>
      <c r="G416" s="3">
        <v>44390</v>
      </c>
      <c r="H416" s="3">
        <v>44391</v>
      </c>
      <c r="I416" s="2">
        <v>40</v>
      </c>
      <c r="J416" s="29" t="s">
        <v>197</v>
      </c>
      <c r="K416" s="51" t="str">
        <f>VLOOKUP(표6[[#This Row],[종목]],자격증정보!$A$2:$I$7,2,FALSE) &amp; " " &amp; VLOOKUP(표6[[#This Row],[종목]],자격증정보!$A$2:$I$7,3,FALSE)</f>
        <v>워드프로세서 단일</v>
      </c>
      <c r="L416" s="2" t="str">
        <f>TEXT(VLOOKUP(표6[[#This Row],[일정번호]],표2[],6,FALSE), "hh:mm")</f>
        <v>10:00</v>
      </c>
      <c r="M416" s="2" t="str">
        <f>VLOOKUP(표6[[#This Row],[종목]],자격증정보!$A$2:$I$7,9,FALSE)</f>
        <v>30분</v>
      </c>
    </row>
    <row r="417" spans="1:13">
      <c r="A417" s="29">
        <v>419</v>
      </c>
      <c r="B417" s="2">
        <v>23</v>
      </c>
      <c r="C417" s="2">
        <v>1</v>
      </c>
      <c r="D417" s="2">
        <v>114</v>
      </c>
      <c r="E417" s="2">
        <v>32</v>
      </c>
      <c r="F417" s="3">
        <v>44383</v>
      </c>
      <c r="G417" s="3">
        <v>44390</v>
      </c>
      <c r="H417" s="3">
        <v>44391</v>
      </c>
      <c r="I417" s="2">
        <v>10</v>
      </c>
      <c r="J417" s="29" t="s">
        <v>197</v>
      </c>
      <c r="K417" s="51" t="str">
        <f>VLOOKUP(표6[[#This Row],[종목]],자격증정보!$A$2:$I$7,2,FALSE) &amp; " " &amp; VLOOKUP(표6[[#This Row],[종목]],자격증정보!$A$2:$I$7,3,FALSE)</f>
        <v>워드프로세서 단일</v>
      </c>
      <c r="L417" s="2" t="str">
        <f>TEXT(VLOOKUP(표6[[#This Row],[일정번호]],표2[],6,FALSE), "hh:mm")</f>
        <v>10:00</v>
      </c>
      <c r="M417" s="2" t="str">
        <f>VLOOKUP(표6[[#This Row],[종목]],자격증정보!$A$2:$I$7,9,FALSE)</f>
        <v>30분</v>
      </c>
    </row>
    <row r="418" spans="1:13">
      <c r="A418" s="29">
        <v>459</v>
      </c>
      <c r="B418" s="2">
        <v>5</v>
      </c>
      <c r="C418" s="2">
        <v>1</v>
      </c>
      <c r="D418" s="2">
        <v>137</v>
      </c>
      <c r="E418" s="2">
        <v>37</v>
      </c>
      <c r="F418" s="3">
        <v>44389</v>
      </c>
      <c r="G418" s="3">
        <v>44396</v>
      </c>
      <c r="H418" s="3">
        <v>44397</v>
      </c>
      <c r="I418" s="2">
        <v>10</v>
      </c>
      <c r="J418" s="29" t="s">
        <v>197</v>
      </c>
      <c r="K418" s="51" t="str">
        <f>VLOOKUP(표6[[#This Row],[종목]],자격증정보!$A$2:$I$7,2,FALSE) &amp; " " &amp; VLOOKUP(표6[[#This Row],[종목]],자격증정보!$A$2:$I$7,3,FALSE)</f>
        <v>워드프로세서 단일</v>
      </c>
      <c r="L418" s="2" t="str">
        <f>TEXT(VLOOKUP(표6[[#This Row],[일정번호]],표2[],6,FALSE), "hh:mm")</f>
        <v>12:00</v>
      </c>
      <c r="M418" s="2" t="str">
        <f>VLOOKUP(표6[[#This Row],[종목]],자격증정보!$A$2:$I$7,9,FALSE)</f>
        <v>30분</v>
      </c>
    </row>
    <row r="419" spans="1:13">
      <c r="A419" s="29">
        <v>421</v>
      </c>
      <c r="B419" s="2">
        <v>9</v>
      </c>
      <c r="C419" s="2">
        <v>1</v>
      </c>
      <c r="D419" s="2">
        <v>114</v>
      </c>
      <c r="E419" s="2">
        <v>32</v>
      </c>
      <c r="F419" s="3">
        <v>44383</v>
      </c>
      <c r="G419" s="3">
        <v>44390</v>
      </c>
      <c r="H419" s="3">
        <v>44391</v>
      </c>
      <c r="I419" s="2">
        <v>10</v>
      </c>
      <c r="J419" s="29" t="s">
        <v>197</v>
      </c>
      <c r="K419" s="51" t="str">
        <f>VLOOKUP(표6[[#This Row],[종목]],자격증정보!$A$2:$I$7,2,FALSE) &amp; " " &amp; VLOOKUP(표6[[#This Row],[종목]],자격증정보!$A$2:$I$7,3,FALSE)</f>
        <v>워드프로세서 단일</v>
      </c>
      <c r="L419" s="2" t="str">
        <f>TEXT(VLOOKUP(표6[[#This Row],[일정번호]],표2[],6,FALSE), "hh:mm")</f>
        <v>10:00</v>
      </c>
      <c r="M419" s="2" t="str">
        <f>VLOOKUP(표6[[#This Row],[종목]],자격증정보!$A$2:$I$7,9,FALSE)</f>
        <v>30분</v>
      </c>
    </row>
    <row r="420" spans="1:13">
      <c r="A420" s="29">
        <v>422</v>
      </c>
      <c r="B420" s="2">
        <v>1</v>
      </c>
      <c r="C420" s="2">
        <v>1</v>
      </c>
      <c r="D420" s="2">
        <v>114</v>
      </c>
      <c r="E420" s="2">
        <v>32</v>
      </c>
      <c r="F420" s="3">
        <v>44383</v>
      </c>
      <c r="G420" s="3">
        <v>44390</v>
      </c>
      <c r="H420" s="3">
        <v>44391</v>
      </c>
      <c r="I420" s="2">
        <v>20</v>
      </c>
      <c r="J420" s="29" t="s">
        <v>197</v>
      </c>
      <c r="K420" s="51" t="str">
        <f>VLOOKUP(표6[[#This Row],[종목]],자격증정보!$A$2:$I$7,2,FALSE) &amp; " " &amp; VLOOKUP(표6[[#This Row],[종목]],자격증정보!$A$2:$I$7,3,FALSE)</f>
        <v>워드프로세서 단일</v>
      </c>
      <c r="L420" s="2" t="str">
        <f>TEXT(VLOOKUP(표6[[#This Row],[일정번호]],표2[],6,FALSE), "hh:mm")</f>
        <v>10:00</v>
      </c>
      <c r="M420" s="2" t="str">
        <f>VLOOKUP(표6[[#This Row],[종목]],자격증정보!$A$2:$I$7,9,FALSE)</f>
        <v>30분</v>
      </c>
    </row>
    <row r="421" spans="1:13">
      <c r="A421" s="29">
        <v>423</v>
      </c>
      <c r="B421" s="2">
        <v>17</v>
      </c>
      <c r="C421" s="2">
        <v>3</v>
      </c>
      <c r="D421" s="2">
        <v>156</v>
      </c>
      <c r="E421" s="2">
        <v>30</v>
      </c>
      <c r="F421" s="3">
        <v>44383</v>
      </c>
      <c r="G421" s="3">
        <v>44390</v>
      </c>
      <c r="H421" s="3">
        <v>44390</v>
      </c>
      <c r="I421" s="2">
        <v>20</v>
      </c>
      <c r="J421" s="29" t="s">
        <v>197</v>
      </c>
      <c r="K421" s="51" t="str">
        <f>VLOOKUP(표6[[#This Row],[종목]],자격증정보!$A$2:$I$7,2,FALSE) &amp; " " &amp; VLOOKUP(표6[[#This Row],[종목]],자격증정보!$A$2:$I$7,3,FALSE)</f>
        <v>컴퓨터활용능력 2급</v>
      </c>
      <c r="L421" s="2" t="str">
        <f>TEXT(VLOOKUP(표6[[#This Row],[일정번호]],표2[],6,FALSE), "hh:mm")</f>
        <v>15:20</v>
      </c>
      <c r="M421" s="2" t="str">
        <f>VLOOKUP(표6[[#This Row],[종목]],자격증정보!$A$2:$I$7,9,FALSE)</f>
        <v>30분</v>
      </c>
    </row>
    <row r="422" spans="1:13">
      <c r="A422" s="29">
        <v>424</v>
      </c>
      <c r="B422" s="2">
        <v>18</v>
      </c>
      <c r="C422" s="2">
        <v>3</v>
      </c>
      <c r="D422" s="2">
        <v>156</v>
      </c>
      <c r="E422" s="2">
        <v>30</v>
      </c>
      <c r="F422" s="3">
        <v>44383</v>
      </c>
      <c r="G422" s="3">
        <v>44390</v>
      </c>
      <c r="H422" s="3">
        <v>44390</v>
      </c>
      <c r="I422" s="2">
        <v>50</v>
      </c>
      <c r="J422" s="29" t="s">
        <v>197</v>
      </c>
      <c r="K422" s="51" t="str">
        <f>VLOOKUP(표6[[#This Row],[종목]],자격증정보!$A$2:$I$7,2,FALSE) &amp; " " &amp; VLOOKUP(표6[[#This Row],[종목]],자격증정보!$A$2:$I$7,3,FALSE)</f>
        <v>컴퓨터활용능력 2급</v>
      </c>
      <c r="L422" s="2" t="str">
        <f>TEXT(VLOOKUP(표6[[#This Row],[일정번호]],표2[],6,FALSE), "hh:mm")</f>
        <v>15:20</v>
      </c>
      <c r="M422" s="2" t="str">
        <f>VLOOKUP(표6[[#This Row],[종목]],자격증정보!$A$2:$I$7,9,FALSE)</f>
        <v>30분</v>
      </c>
    </row>
    <row r="423" spans="1:13">
      <c r="A423" s="29">
        <v>425</v>
      </c>
      <c r="B423" s="2">
        <v>19</v>
      </c>
      <c r="C423" s="2">
        <v>3</v>
      </c>
      <c r="D423" s="2">
        <v>156</v>
      </c>
      <c r="E423" s="2">
        <v>30</v>
      </c>
      <c r="F423" s="3">
        <v>44383</v>
      </c>
      <c r="G423" s="3">
        <v>44390</v>
      </c>
      <c r="H423" s="3">
        <v>44390</v>
      </c>
      <c r="I423" s="2">
        <v>10</v>
      </c>
      <c r="J423" s="29" t="s">
        <v>197</v>
      </c>
      <c r="K423" s="51" t="str">
        <f>VLOOKUP(표6[[#This Row],[종목]],자격증정보!$A$2:$I$7,2,FALSE) &amp; " " &amp; VLOOKUP(표6[[#This Row],[종목]],자격증정보!$A$2:$I$7,3,FALSE)</f>
        <v>컴퓨터활용능력 2급</v>
      </c>
      <c r="L423" s="2" t="str">
        <f>TEXT(VLOOKUP(표6[[#This Row],[일정번호]],표2[],6,FALSE), "hh:mm")</f>
        <v>15:20</v>
      </c>
      <c r="M423" s="2" t="str">
        <f>VLOOKUP(표6[[#This Row],[종목]],자격증정보!$A$2:$I$7,9,FALSE)</f>
        <v>30분</v>
      </c>
    </row>
    <row r="424" spans="1:13">
      <c r="A424" s="29">
        <v>426</v>
      </c>
      <c r="B424" s="2">
        <v>20</v>
      </c>
      <c r="C424" s="2">
        <v>3</v>
      </c>
      <c r="D424" s="2">
        <v>156</v>
      </c>
      <c r="E424" s="2">
        <v>30</v>
      </c>
      <c r="F424" s="3">
        <v>44383</v>
      </c>
      <c r="G424" s="3">
        <v>44390</v>
      </c>
      <c r="H424" s="3">
        <v>44390</v>
      </c>
      <c r="I424" s="2">
        <v>30</v>
      </c>
      <c r="J424" s="29" t="s">
        <v>197</v>
      </c>
      <c r="K424" s="51" t="str">
        <f>VLOOKUP(표6[[#This Row],[종목]],자격증정보!$A$2:$I$7,2,FALSE) &amp; " " &amp; VLOOKUP(표6[[#This Row],[종목]],자격증정보!$A$2:$I$7,3,FALSE)</f>
        <v>컴퓨터활용능력 2급</v>
      </c>
      <c r="L424" s="2" t="str">
        <f>TEXT(VLOOKUP(표6[[#This Row],[일정번호]],표2[],6,FALSE), "hh:mm")</f>
        <v>15:20</v>
      </c>
      <c r="M424" s="2" t="str">
        <f>VLOOKUP(표6[[#This Row],[종목]],자격증정보!$A$2:$I$7,9,FALSE)</f>
        <v>30분</v>
      </c>
    </row>
    <row r="425" spans="1:13">
      <c r="A425" s="29">
        <v>427</v>
      </c>
      <c r="B425" s="2">
        <v>1</v>
      </c>
      <c r="C425" s="2">
        <v>1</v>
      </c>
      <c r="D425" s="2">
        <v>117</v>
      </c>
      <c r="E425" s="2">
        <v>33</v>
      </c>
      <c r="F425" s="3">
        <v>44384</v>
      </c>
      <c r="G425" s="3">
        <v>44391</v>
      </c>
      <c r="H425" s="3">
        <v>44392</v>
      </c>
      <c r="I425" s="2">
        <v>30</v>
      </c>
      <c r="J425" s="29" t="s">
        <v>197</v>
      </c>
      <c r="K425" s="51" t="str">
        <f>VLOOKUP(표6[[#This Row],[종목]],자격증정보!$A$2:$I$7,2,FALSE) &amp; " " &amp; VLOOKUP(표6[[#This Row],[종목]],자격증정보!$A$2:$I$7,3,FALSE)</f>
        <v>워드프로세서 단일</v>
      </c>
      <c r="L425" s="2" t="str">
        <f>TEXT(VLOOKUP(표6[[#This Row],[일정번호]],표2[],6,FALSE), "hh:mm")</f>
        <v>16:00</v>
      </c>
      <c r="M425" s="2" t="str">
        <f>VLOOKUP(표6[[#This Row],[종목]],자격증정보!$A$2:$I$7,9,FALSE)</f>
        <v>30분</v>
      </c>
    </row>
    <row r="426" spans="1:13">
      <c r="A426" s="29">
        <v>428</v>
      </c>
      <c r="B426" s="2">
        <v>2</v>
      </c>
      <c r="C426" s="2">
        <v>1</v>
      </c>
      <c r="D426" s="2">
        <v>117</v>
      </c>
      <c r="E426" s="2">
        <v>33</v>
      </c>
      <c r="F426" s="3">
        <v>44384</v>
      </c>
      <c r="G426" s="3">
        <v>44391</v>
      </c>
      <c r="H426" s="3">
        <v>44392</v>
      </c>
      <c r="I426" s="2">
        <v>40</v>
      </c>
      <c r="J426" s="29" t="s">
        <v>197</v>
      </c>
      <c r="K426" s="51" t="str">
        <f>VLOOKUP(표6[[#This Row],[종목]],자격증정보!$A$2:$I$7,2,FALSE) &amp; " " &amp; VLOOKUP(표6[[#This Row],[종목]],자격증정보!$A$2:$I$7,3,FALSE)</f>
        <v>워드프로세서 단일</v>
      </c>
      <c r="L426" s="2" t="str">
        <f>TEXT(VLOOKUP(표6[[#This Row],[일정번호]],표2[],6,FALSE), "hh:mm")</f>
        <v>16:00</v>
      </c>
      <c r="M426" s="2" t="str">
        <f>VLOOKUP(표6[[#This Row],[종목]],자격증정보!$A$2:$I$7,9,FALSE)</f>
        <v>30분</v>
      </c>
    </row>
    <row r="427" spans="1:13">
      <c r="A427" s="29">
        <v>429</v>
      </c>
      <c r="B427" s="2">
        <v>4</v>
      </c>
      <c r="C427" s="2">
        <v>1</v>
      </c>
      <c r="D427" s="2">
        <v>117</v>
      </c>
      <c r="E427" s="2">
        <v>33</v>
      </c>
      <c r="F427" s="3">
        <v>44384</v>
      </c>
      <c r="G427" s="3">
        <v>44391</v>
      </c>
      <c r="H427" s="3">
        <v>44392</v>
      </c>
      <c r="I427" s="2">
        <v>0</v>
      </c>
      <c r="J427" s="29" t="s">
        <v>197</v>
      </c>
      <c r="K427" s="51" t="str">
        <f>VLOOKUP(표6[[#This Row],[종목]],자격증정보!$A$2:$I$7,2,FALSE) &amp; " " &amp; VLOOKUP(표6[[#This Row],[종목]],자격증정보!$A$2:$I$7,3,FALSE)</f>
        <v>워드프로세서 단일</v>
      </c>
      <c r="L427" s="2" t="str">
        <f>TEXT(VLOOKUP(표6[[#This Row],[일정번호]],표2[],6,FALSE), "hh:mm")</f>
        <v>16:00</v>
      </c>
      <c r="M427" s="2" t="str">
        <f>VLOOKUP(표6[[#This Row],[종목]],자격증정보!$A$2:$I$7,9,FALSE)</f>
        <v>30분</v>
      </c>
    </row>
    <row r="428" spans="1:13">
      <c r="A428" s="29">
        <v>430</v>
      </c>
      <c r="B428" s="2">
        <v>6</v>
      </c>
      <c r="C428" s="2">
        <v>1</v>
      </c>
      <c r="D428" s="2">
        <v>117</v>
      </c>
      <c r="E428" s="2">
        <v>33</v>
      </c>
      <c r="F428" s="3">
        <v>44384</v>
      </c>
      <c r="G428" s="3">
        <v>44391</v>
      </c>
      <c r="H428" s="3">
        <v>44392</v>
      </c>
      <c r="I428" s="2">
        <v>20</v>
      </c>
      <c r="J428" s="29" t="s">
        <v>197</v>
      </c>
      <c r="K428" s="51" t="str">
        <f>VLOOKUP(표6[[#This Row],[종목]],자격증정보!$A$2:$I$7,2,FALSE) &amp; " " &amp; VLOOKUP(표6[[#This Row],[종목]],자격증정보!$A$2:$I$7,3,FALSE)</f>
        <v>워드프로세서 단일</v>
      </c>
      <c r="L428" s="2" t="str">
        <f>TEXT(VLOOKUP(표6[[#This Row],[일정번호]],표2[],6,FALSE), "hh:mm")</f>
        <v>16:00</v>
      </c>
      <c r="M428" s="2" t="str">
        <f>VLOOKUP(표6[[#This Row],[종목]],자격증정보!$A$2:$I$7,9,FALSE)</f>
        <v>30분</v>
      </c>
    </row>
    <row r="429" spans="1:13">
      <c r="A429" s="29">
        <v>509</v>
      </c>
      <c r="B429" s="2">
        <v>7</v>
      </c>
      <c r="C429" s="2">
        <v>1</v>
      </c>
      <c r="D429" s="2">
        <v>113</v>
      </c>
      <c r="E429" s="2">
        <v>31</v>
      </c>
      <c r="F429" s="3">
        <v>44383</v>
      </c>
      <c r="G429" s="3">
        <v>44390</v>
      </c>
      <c r="H429" s="3">
        <v>44391</v>
      </c>
      <c r="I429" s="2">
        <v>0</v>
      </c>
      <c r="J429" s="29" t="s">
        <v>197</v>
      </c>
      <c r="K429" s="51" t="str">
        <f>VLOOKUP(표6[[#This Row],[종목]],자격증정보!$A$2:$I$7,2,FALSE) &amp; " " &amp; VLOOKUP(표6[[#This Row],[종목]],자격증정보!$A$2:$I$7,3,FALSE)</f>
        <v>워드프로세서 단일</v>
      </c>
      <c r="L429" s="2" t="str">
        <f>TEXT(VLOOKUP(표6[[#This Row],[일정번호]],표2[],6,FALSE), "hh:mm")</f>
        <v>15:00</v>
      </c>
      <c r="M429" s="2" t="str">
        <f>VLOOKUP(표6[[#This Row],[종목]],자격증정보!$A$2:$I$7,9,FALSE)</f>
        <v>30분</v>
      </c>
    </row>
    <row r="430" spans="1:13">
      <c r="A430" s="29">
        <v>432</v>
      </c>
      <c r="B430" s="2">
        <v>10</v>
      </c>
      <c r="C430" s="2">
        <v>1</v>
      </c>
      <c r="D430" s="2">
        <v>117</v>
      </c>
      <c r="E430" s="2">
        <v>33</v>
      </c>
      <c r="F430" s="3">
        <v>44384</v>
      </c>
      <c r="G430" s="3">
        <v>44391</v>
      </c>
      <c r="H430" s="3">
        <v>44392</v>
      </c>
      <c r="I430" s="2">
        <v>50</v>
      </c>
      <c r="J430" s="29" t="s">
        <v>197</v>
      </c>
      <c r="K430" s="51" t="str">
        <f>VLOOKUP(표6[[#This Row],[종목]],자격증정보!$A$2:$I$7,2,FALSE) &amp; " " &amp; VLOOKUP(표6[[#This Row],[종목]],자격증정보!$A$2:$I$7,3,FALSE)</f>
        <v>워드프로세서 단일</v>
      </c>
      <c r="L430" s="2" t="str">
        <f>TEXT(VLOOKUP(표6[[#This Row],[일정번호]],표2[],6,FALSE), "hh:mm")</f>
        <v>16:00</v>
      </c>
      <c r="M430" s="2" t="str">
        <f>VLOOKUP(표6[[#This Row],[종목]],자격증정보!$A$2:$I$7,9,FALSE)</f>
        <v>30분</v>
      </c>
    </row>
    <row r="431" spans="1:13">
      <c r="A431" s="29">
        <v>433</v>
      </c>
      <c r="B431" s="2">
        <v>14</v>
      </c>
      <c r="C431" s="2">
        <v>1</v>
      </c>
      <c r="D431" s="2">
        <v>117</v>
      </c>
      <c r="E431" s="2">
        <v>33</v>
      </c>
      <c r="F431" s="3">
        <v>44384</v>
      </c>
      <c r="G431" s="3">
        <v>44391</v>
      </c>
      <c r="H431" s="3">
        <v>44392</v>
      </c>
      <c r="I431" s="2">
        <v>20</v>
      </c>
      <c r="J431" s="29" t="s">
        <v>197</v>
      </c>
      <c r="K431" s="51" t="str">
        <f>VLOOKUP(표6[[#This Row],[종목]],자격증정보!$A$2:$I$7,2,FALSE) &amp; " " &amp; VLOOKUP(표6[[#This Row],[종목]],자격증정보!$A$2:$I$7,3,FALSE)</f>
        <v>워드프로세서 단일</v>
      </c>
      <c r="L431" s="2" t="str">
        <f>TEXT(VLOOKUP(표6[[#This Row],[일정번호]],표2[],6,FALSE), "hh:mm")</f>
        <v>16:00</v>
      </c>
      <c r="M431" s="2" t="str">
        <f>VLOOKUP(표6[[#This Row],[종목]],자격증정보!$A$2:$I$7,9,FALSE)</f>
        <v>30분</v>
      </c>
    </row>
    <row r="432" spans="1:13">
      <c r="A432" s="29">
        <v>434</v>
      </c>
      <c r="B432" s="2">
        <v>15</v>
      </c>
      <c r="C432" s="2">
        <v>1</v>
      </c>
      <c r="D432" s="2">
        <v>120</v>
      </c>
      <c r="E432" s="2">
        <v>34</v>
      </c>
      <c r="F432" s="3">
        <v>44386</v>
      </c>
      <c r="G432" s="3">
        <v>44393</v>
      </c>
      <c r="H432" s="3">
        <v>44394</v>
      </c>
      <c r="I432" s="2">
        <v>0</v>
      </c>
      <c r="J432" s="29" t="s">
        <v>197</v>
      </c>
      <c r="K432" s="51" t="str">
        <f>VLOOKUP(표6[[#This Row],[종목]],자격증정보!$A$2:$I$7,2,FALSE) &amp; " " &amp; VLOOKUP(표6[[#This Row],[종목]],자격증정보!$A$2:$I$7,3,FALSE)</f>
        <v>워드프로세서 단일</v>
      </c>
      <c r="L432" s="2" t="str">
        <f>TEXT(VLOOKUP(표6[[#This Row],[일정번호]],표2[],6,FALSE), "hh:mm")</f>
        <v>09:00</v>
      </c>
      <c r="M432" s="2" t="str">
        <f>VLOOKUP(표6[[#This Row],[종목]],자격증정보!$A$2:$I$7,9,FALSE)</f>
        <v>30분</v>
      </c>
    </row>
    <row r="433" spans="1:13">
      <c r="A433" s="29">
        <v>435</v>
      </c>
      <c r="B433" s="2">
        <v>3</v>
      </c>
      <c r="C433" s="2">
        <v>1</v>
      </c>
      <c r="D433" s="2">
        <v>120</v>
      </c>
      <c r="E433" s="2">
        <v>34</v>
      </c>
      <c r="F433" s="3">
        <v>44386</v>
      </c>
      <c r="G433" s="3">
        <v>44393</v>
      </c>
      <c r="H433" s="3">
        <v>44394</v>
      </c>
      <c r="I433" s="2">
        <v>40</v>
      </c>
      <c r="J433" s="29" t="s">
        <v>197</v>
      </c>
      <c r="K433" s="51" t="str">
        <f>VLOOKUP(표6[[#This Row],[종목]],자격증정보!$A$2:$I$7,2,FALSE) &amp; " " &amp; VLOOKUP(표6[[#This Row],[종목]],자격증정보!$A$2:$I$7,3,FALSE)</f>
        <v>워드프로세서 단일</v>
      </c>
      <c r="L433" s="2" t="str">
        <f>TEXT(VLOOKUP(표6[[#This Row],[일정번호]],표2[],6,FALSE), "hh:mm")</f>
        <v>09:00</v>
      </c>
      <c r="M433" s="2" t="str">
        <f>VLOOKUP(표6[[#This Row],[종목]],자격증정보!$A$2:$I$7,9,FALSE)</f>
        <v>30분</v>
      </c>
    </row>
    <row r="434" spans="1:13">
      <c r="A434" s="29">
        <v>436</v>
      </c>
      <c r="B434" s="2">
        <v>28</v>
      </c>
      <c r="C434" s="2">
        <v>1</v>
      </c>
      <c r="D434" s="2">
        <v>120</v>
      </c>
      <c r="E434" s="2">
        <v>34</v>
      </c>
      <c r="F434" s="3">
        <v>44386</v>
      </c>
      <c r="G434" s="3">
        <v>44393</v>
      </c>
      <c r="H434" s="3">
        <v>44394</v>
      </c>
      <c r="I434" s="2">
        <v>20</v>
      </c>
      <c r="J434" s="29" t="s">
        <v>197</v>
      </c>
      <c r="K434" s="51" t="str">
        <f>VLOOKUP(표6[[#This Row],[종목]],자격증정보!$A$2:$I$7,2,FALSE) &amp; " " &amp; VLOOKUP(표6[[#This Row],[종목]],자격증정보!$A$2:$I$7,3,FALSE)</f>
        <v>워드프로세서 단일</v>
      </c>
      <c r="L434" s="2" t="str">
        <f>TEXT(VLOOKUP(표6[[#This Row],[일정번호]],표2[],6,FALSE), "hh:mm")</f>
        <v>09:00</v>
      </c>
      <c r="M434" s="2" t="str">
        <f>VLOOKUP(표6[[#This Row],[종목]],자격증정보!$A$2:$I$7,9,FALSE)</f>
        <v>30분</v>
      </c>
    </row>
    <row r="435" spans="1:13">
      <c r="A435" s="29">
        <v>437</v>
      </c>
      <c r="B435" s="2">
        <v>14</v>
      </c>
      <c r="C435" s="2">
        <v>1</v>
      </c>
      <c r="D435" s="2">
        <v>46</v>
      </c>
      <c r="E435" s="2">
        <v>17</v>
      </c>
      <c r="F435" s="3">
        <v>44368</v>
      </c>
      <c r="G435" s="3">
        <v>44375</v>
      </c>
      <c r="H435" s="3">
        <v>44376</v>
      </c>
      <c r="I435" s="2">
        <v>30</v>
      </c>
      <c r="J435" s="29" t="s">
        <v>197</v>
      </c>
      <c r="K435" s="51" t="str">
        <f>VLOOKUP(표6[[#This Row],[종목]],자격증정보!$A$2:$I$7,2,FALSE) &amp; " " &amp; VLOOKUP(표6[[#This Row],[종목]],자격증정보!$A$2:$I$7,3,FALSE)</f>
        <v>워드프로세서 단일</v>
      </c>
      <c r="L435" s="2" t="str">
        <f>TEXT(VLOOKUP(표6[[#This Row],[일정번호]],표2[],6,FALSE), "hh:mm")</f>
        <v>14:00</v>
      </c>
      <c r="M435" s="2" t="str">
        <f>VLOOKUP(표6[[#This Row],[종목]],자격증정보!$A$2:$I$7,9,FALSE)</f>
        <v>30분</v>
      </c>
    </row>
    <row r="436" spans="1:13">
      <c r="A436" s="29">
        <v>438</v>
      </c>
      <c r="B436" s="2">
        <v>19</v>
      </c>
      <c r="C436" s="2">
        <v>1</v>
      </c>
      <c r="D436" s="2">
        <v>120</v>
      </c>
      <c r="E436" s="2">
        <v>34</v>
      </c>
      <c r="F436" s="3">
        <v>44386</v>
      </c>
      <c r="G436" s="3">
        <v>44393</v>
      </c>
      <c r="H436" s="3">
        <v>44394</v>
      </c>
      <c r="I436" s="2">
        <v>30</v>
      </c>
      <c r="J436" s="29" t="s">
        <v>197</v>
      </c>
      <c r="K436" s="51" t="str">
        <f>VLOOKUP(표6[[#This Row],[종목]],자격증정보!$A$2:$I$7,2,FALSE) &amp; " " &amp; VLOOKUP(표6[[#This Row],[종목]],자격증정보!$A$2:$I$7,3,FALSE)</f>
        <v>워드프로세서 단일</v>
      </c>
      <c r="L436" s="2" t="str">
        <f>TEXT(VLOOKUP(표6[[#This Row],[일정번호]],표2[],6,FALSE), "hh:mm")</f>
        <v>09:00</v>
      </c>
      <c r="M436" s="2" t="str">
        <f>VLOOKUP(표6[[#This Row],[종목]],자격증정보!$A$2:$I$7,9,FALSE)</f>
        <v>30분</v>
      </c>
    </row>
    <row r="437" spans="1:13">
      <c r="A437" s="29">
        <v>439</v>
      </c>
      <c r="B437" s="2">
        <v>11</v>
      </c>
      <c r="C437" s="2">
        <v>1</v>
      </c>
      <c r="D437" s="2">
        <v>120</v>
      </c>
      <c r="E437" s="2">
        <v>34</v>
      </c>
      <c r="F437" s="3">
        <v>44386</v>
      </c>
      <c r="G437" s="3">
        <v>44393</v>
      </c>
      <c r="H437" s="3">
        <v>44394</v>
      </c>
      <c r="I437" s="2">
        <v>30</v>
      </c>
      <c r="J437" s="29" t="s">
        <v>197</v>
      </c>
      <c r="K437" s="51" t="str">
        <f>VLOOKUP(표6[[#This Row],[종목]],자격증정보!$A$2:$I$7,2,FALSE) &amp; " " &amp; VLOOKUP(표6[[#This Row],[종목]],자격증정보!$A$2:$I$7,3,FALSE)</f>
        <v>워드프로세서 단일</v>
      </c>
      <c r="L437" s="2" t="str">
        <f>TEXT(VLOOKUP(표6[[#This Row],[일정번호]],표2[],6,FALSE), "hh:mm")</f>
        <v>09:00</v>
      </c>
      <c r="M437" s="2" t="str">
        <f>VLOOKUP(표6[[#This Row],[종목]],자격증정보!$A$2:$I$7,9,FALSE)</f>
        <v>30분</v>
      </c>
    </row>
    <row r="438" spans="1:13">
      <c r="A438" s="29">
        <v>440</v>
      </c>
      <c r="B438" s="2">
        <v>8</v>
      </c>
      <c r="C438" s="2">
        <v>1</v>
      </c>
      <c r="D438" s="2">
        <v>120</v>
      </c>
      <c r="E438" s="2">
        <v>34</v>
      </c>
      <c r="F438" s="3">
        <v>44386</v>
      </c>
      <c r="G438" s="3">
        <v>44393</v>
      </c>
      <c r="H438" s="3">
        <v>44394</v>
      </c>
      <c r="I438" s="2">
        <v>20</v>
      </c>
      <c r="J438" s="29" t="s">
        <v>197</v>
      </c>
      <c r="K438" s="51" t="str">
        <f>VLOOKUP(표6[[#This Row],[종목]],자격증정보!$A$2:$I$7,2,FALSE) &amp; " " &amp; VLOOKUP(표6[[#This Row],[종목]],자격증정보!$A$2:$I$7,3,FALSE)</f>
        <v>워드프로세서 단일</v>
      </c>
      <c r="L438" s="2" t="str">
        <f>TEXT(VLOOKUP(표6[[#This Row],[일정번호]],표2[],6,FALSE), "hh:mm")</f>
        <v>09:00</v>
      </c>
      <c r="M438" s="2" t="str">
        <f>VLOOKUP(표6[[#This Row],[종목]],자격증정보!$A$2:$I$7,9,FALSE)</f>
        <v>30분</v>
      </c>
    </row>
    <row r="439" spans="1:13">
      <c r="A439" s="29">
        <v>441</v>
      </c>
      <c r="B439" s="2">
        <v>21</v>
      </c>
      <c r="C439" s="2">
        <v>1</v>
      </c>
      <c r="D439" s="2">
        <v>120</v>
      </c>
      <c r="E439" s="2">
        <v>34</v>
      </c>
      <c r="F439" s="3">
        <v>44386</v>
      </c>
      <c r="G439" s="3">
        <v>44393</v>
      </c>
      <c r="H439" s="3">
        <v>44394</v>
      </c>
      <c r="I439" s="2">
        <v>40</v>
      </c>
      <c r="J439" s="29" t="s">
        <v>197</v>
      </c>
      <c r="K439" s="51" t="str">
        <f>VLOOKUP(표6[[#This Row],[종목]],자격증정보!$A$2:$I$7,2,FALSE) &amp; " " &amp; VLOOKUP(표6[[#This Row],[종목]],자격증정보!$A$2:$I$7,3,FALSE)</f>
        <v>워드프로세서 단일</v>
      </c>
      <c r="L439" s="2" t="str">
        <f>TEXT(VLOOKUP(표6[[#This Row],[일정번호]],표2[],6,FALSE), "hh:mm")</f>
        <v>09:00</v>
      </c>
      <c r="M439" s="2" t="str">
        <f>VLOOKUP(표6[[#This Row],[종목]],자격증정보!$A$2:$I$7,9,FALSE)</f>
        <v>30분</v>
      </c>
    </row>
    <row r="440" spans="1:13">
      <c r="A440" s="29">
        <v>442</v>
      </c>
      <c r="B440" s="2">
        <v>12</v>
      </c>
      <c r="C440" s="2">
        <v>1</v>
      </c>
      <c r="D440" s="2">
        <v>121</v>
      </c>
      <c r="E440" s="2">
        <v>35</v>
      </c>
      <c r="F440" s="3">
        <v>44387</v>
      </c>
      <c r="G440" s="3">
        <v>44394</v>
      </c>
      <c r="H440" s="3">
        <v>44395</v>
      </c>
      <c r="I440" s="2">
        <v>30</v>
      </c>
      <c r="J440" s="29" t="s">
        <v>197</v>
      </c>
      <c r="K440" s="51" t="str">
        <f>VLOOKUP(표6[[#This Row],[종목]],자격증정보!$A$2:$I$7,2,FALSE) &amp; " " &amp; VLOOKUP(표6[[#This Row],[종목]],자격증정보!$A$2:$I$7,3,FALSE)</f>
        <v>워드프로세서 단일</v>
      </c>
      <c r="L440" s="2" t="str">
        <f>TEXT(VLOOKUP(표6[[#This Row],[일정번호]],표2[],6,FALSE), "hh:mm")</f>
        <v>09:00</v>
      </c>
      <c r="M440" s="2" t="str">
        <f>VLOOKUP(표6[[#This Row],[종목]],자격증정보!$A$2:$I$7,9,FALSE)</f>
        <v>30분</v>
      </c>
    </row>
    <row r="441" spans="1:13">
      <c r="A441" s="29">
        <v>443</v>
      </c>
      <c r="B441" s="2">
        <v>16</v>
      </c>
      <c r="C441" s="2">
        <v>1</v>
      </c>
      <c r="D441" s="2">
        <v>121</v>
      </c>
      <c r="E441" s="2">
        <v>35</v>
      </c>
      <c r="F441" s="3">
        <v>44387</v>
      </c>
      <c r="G441" s="3">
        <v>44394</v>
      </c>
      <c r="H441" s="3">
        <v>44395</v>
      </c>
      <c r="I441" s="2">
        <v>10</v>
      </c>
      <c r="J441" s="29" t="s">
        <v>197</v>
      </c>
      <c r="K441" s="51" t="str">
        <f>VLOOKUP(표6[[#This Row],[종목]],자격증정보!$A$2:$I$7,2,FALSE) &amp; " " &amp; VLOOKUP(표6[[#This Row],[종목]],자격증정보!$A$2:$I$7,3,FALSE)</f>
        <v>워드프로세서 단일</v>
      </c>
      <c r="L441" s="2" t="str">
        <f>TEXT(VLOOKUP(표6[[#This Row],[일정번호]],표2[],6,FALSE), "hh:mm")</f>
        <v>09:00</v>
      </c>
      <c r="M441" s="2" t="str">
        <f>VLOOKUP(표6[[#This Row],[종목]],자격증정보!$A$2:$I$7,9,FALSE)</f>
        <v>30분</v>
      </c>
    </row>
    <row r="442" spans="1:13">
      <c r="A442" s="29">
        <v>444</v>
      </c>
      <c r="B442" s="2">
        <v>27</v>
      </c>
      <c r="C442" s="2">
        <v>1</v>
      </c>
      <c r="D442" s="2">
        <v>121</v>
      </c>
      <c r="E442" s="2">
        <v>35</v>
      </c>
      <c r="F442" s="3">
        <v>44387</v>
      </c>
      <c r="G442" s="3">
        <v>44394</v>
      </c>
      <c r="H442" s="3">
        <v>44395</v>
      </c>
      <c r="I442" s="2">
        <v>20</v>
      </c>
      <c r="J442" s="29" t="s">
        <v>197</v>
      </c>
      <c r="K442" s="51" t="str">
        <f>VLOOKUP(표6[[#This Row],[종목]],자격증정보!$A$2:$I$7,2,FALSE) &amp; " " &amp; VLOOKUP(표6[[#This Row],[종목]],자격증정보!$A$2:$I$7,3,FALSE)</f>
        <v>워드프로세서 단일</v>
      </c>
      <c r="L442" s="2" t="str">
        <f>TEXT(VLOOKUP(표6[[#This Row],[일정번호]],표2[],6,FALSE), "hh:mm")</f>
        <v>09:00</v>
      </c>
      <c r="M442" s="2" t="str">
        <f>VLOOKUP(표6[[#This Row],[종목]],자격증정보!$A$2:$I$7,9,FALSE)</f>
        <v>30분</v>
      </c>
    </row>
    <row r="443" spans="1:13">
      <c r="A443" s="29">
        <v>445</v>
      </c>
      <c r="B443" s="2">
        <v>4</v>
      </c>
      <c r="C443" s="2">
        <v>1</v>
      </c>
      <c r="D443" s="2">
        <v>121</v>
      </c>
      <c r="E443" s="2">
        <v>35</v>
      </c>
      <c r="F443" s="3">
        <v>44387</v>
      </c>
      <c r="G443" s="3">
        <v>44394</v>
      </c>
      <c r="H443" s="3">
        <v>44395</v>
      </c>
      <c r="I443" s="2">
        <v>40</v>
      </c>
      <c r="J443" s="29" t="s">
        <v>197</v>
      </c>
      <c r="K443" s="51" t="str">
        <f>VLOOKUP(표6[[#This Row],[종목]],자격증정보!$A$2:$I$7,2,FALSE) &amp; " " &amp; VLOOKUP(표6[[#This Row],[종목]],자격증정보!$A$2:$I$7,3,FALSE)</f>
        <v>워드프로세서 단일</v>
      </c>
      <c r="L443" s="2" t="str">
        <f>TEXT(VLOOKUP(표6[[#This Row],[일정번호]],표2[],6,FALSE), "hh:mm")</f>
        <v>09:00</v>
      </c>
      <c r="M443" s="2" t="str">
        <f>VLOOKUP(표6[[#This Row],[종목]],자격증정보!$A$2:$I$7,9,FALSE)</f>
        <v>30분</v>
      </c>
    </row>
    <row r="444" spans="1:13">
      <c r="A444" s="29">
        <v>446</v>
      </c>
      <c r="B444" s="2">
        <v>20</v>
      </c>
      <c r="C444" s="2">
        <v>1</v>
      </c>
      <c r="D444" s="2">
        <v>121</v>
      </c>
      <c r="E444" s="2">
        <v>35</v>
      </c>
      <c r="F444" s="3">
        <v>44387</v>
      </c>
      <c r="G444" s="3">
        <v>44394</v>
      </c>
      <c r="H444" s="3">
        <v>44395</v>
      </c>
      <c r="I444" s="2">
        <v>50</v>
      </c>
      <c r="J444" s="29" t="s">
        <v>197</v>
      </c>
      <c r="K444" s="51" t="str">
        <f>VLOOKUP(표6[[#This Row],[종목]],자격증정보!$A$2:$I$7,2,FALSE) &amp; " " &amp; VLOOKUP(표6[[#This Row],[종목]],자격증정보!$A$2:$I$7,3,FALSE)</f>
        <v>워드프로세서 단일</v>
      </c>
      <c r="L444" s="2" t="str">
        <f>TEXT(VLOOKUP(표6[[#This Row],[일정번호]],표2[],6,FALSE), "hh:mm")</f>
        <v>09:00</v>
      </c>
      <c r="M444" s="2" t="str">
        <f>VLOOKUP(표6[[#This Row],[종목]],자격증정보!$A$2:$I$7,9,FALSE)</f>
        <v>30분</v>
      </c>
    </row>
    <row r="445" spans="1:13">
      <c r="A445" s="29">
        <v>447</v>
      </c>
      <c r="B445" s="2">
        <v>6</v>
      </c>
      <c r="C445" s="2">
        <v>1</v>
      </c>
      <c r="D445" s="2">
        <v>121</v>
      </c>
      <c r="E445" s="2">
        <v>35</v>
      </c>
      <c r="F445" s="3">
        <v>44387</v>
      </c>
      <c r="G445" s="3">
        <v>44394</v>
      </c>
      <c r="H445" s="3">
        <v>44395</v>
      </c>
      <c r="I445" s="2">
        <v>20</v>
      </c>
      <c r="J445" s="29" t="s">
        <v>197</v>
      </c>
      <c r="K445" s="51" t="str">
        <f>VLOOKUP(표6[[#This Row],[종목]],자격증정보!$A$2:$I$7,2,FALSE) &amp; " " &amp; VLOOKUP(표6[[#This Row],[종목]],자격증정보!$A$2:$I$7,3,FALSE)</f>
        <v>워드프로세서 단일</v>
      </c>
      <c r="L445" s="2" t="str">
        <f>TEXT(VLOOKUP(표6[[#This Row],[일정번호]],표2[],6,FALSE), "hh:mm")</f>
        <v>09:00</v>
      </c>
      <c r="M445" s="2" t="str">
        <f>VLOOKUP(표6[[#This Row],[종목]],자격증정보!$A$2:$I$7,9,FALSE)</f>
        <v>30분</v>
      </c>
    </row>
    <row r="446" spans="1:13">
      <c r="A446" s="29">
        <v>448</v>
      </c>
      <c r="B446" s="2">
        <v>8</v>
      </c>
      <c r="C446" s="2">
        <v>1</v>
      </c>
      <c r="D446" s="2">
        <v>121</v>
      </c>
      <c r="E446" s="2">
        <v>35</v>
      </c>
      <c r="F446" s="3">
        <v>44387</v>
      </c>
      <c r="G446" s="3">
        <v>44394</v>
      </c>
      <c r="H446" s="3">
        <v>44395</v>
      </c>
      <c r="I446" s="2">
        <v>40</v>
      </c>
      <c r="J446" s="29" t="s">
        <v>197</v>
      </c>
      <c r="K446" s="51" t="str">
        <f>VLOOKUP(표6[[#This Row],[종목]],자격증정보!$A$2:$I$7,2,FALSE) &amp; " " &amp; VLOOKUP(표6[[#This Row],[종목]],자격증정보!$A$2:$I$7,3,FALSE)</f>
        <v>워드프로세서 단일</v>
      </c>
      <c r="L446" s="2" t="str">
        <f>TEXT(VLOOKUP(표6[[#This Row],[일정번호]],표2[],6,FALSE), "hh:mm")</f>
        <v>09:00</v>
      </c>
      <c r="M446" s="2" t="str">
        <f>VLOOKUP(표6[[#This Row],[종목]],자격증정보!$A$2:$I$7,9,FALSE)</f>
        <v>30분</v>
      </c>
    </row>
    <row r="447" spans="1:13">
      <c r="A447" s="29">
        <v>449</v>
      </c>
      <c r="B447" s="2">
        <v>1</v>
      </c>
      <c r="C447" s="2">
        <v>1</v>
      </c>
      <c r="D447" s="2">
        <v>121</v>
      </c>
      <c r="E447" s="2">
        <v>35</v>
      </c>
      <c r="F447" s="3">
        <v>44387</v>
      </c>
      <c r="G447" s="3">
        <v>44394</v>
      </c>
      <c r="H447" s="3">
        <v>44395</v>
      </c>
      <c r="I447" s="2">
        <v>40</v>
      </c>
      <c r="J447" s="29" t="s">
        <v>197</v>
      </c>
      <c r="K447" s="51" t="str">
        <f>VLOOKUP(표6[[#This Row],[종목]],자격증정보!$A$2:$I$7,2,FALSE) &amp; " " &amp; VLOOKUP(표6[[#This Row],[종목]],자격증정보!$A$2:$I$7,3,FALSE)</f>
        <v>워드프로세서 단일</v>
      </c>
      <c r="L447" s="2" t="str">
        <f>TEXT(VLOOKUP(표6[[#This Row],[일정번호]],표2[],6,FALSE), "hh:mm")</f>
        <v>09:00</v>
      </c>
      <c r="M447" s="2" t="str">
        <f>VLOOKUP(표6[[#This Row],[종목]],자격증정보!$A$2:$I$7,9,FALSE)</f>
        <v>30분</v>
      </c>
    </row>
    <row r="448" spans="1:13">
      <c r="A448" s="29">
        <v>450</v>
      </c>
      <c r="B448" s="2">
        <v>13</v>
      </c>
      <c r="C448" s="2">
        <v>1</v>
      </c>
      <c r="D448" s="2">
        <v>122</v>
      </c>
      <c r="E448" s="2">
        <v>36</v>
      </c>
      <c r="F448" s="3">
        <v>44388</v>
      </c>
      <c r="G448" s="3">
        <v>44395</v>
      </c>
      <c r="H448" s="3">
        <v>44396</v>
      </c>
      <c r="I448" s="2">
        <v>30</v>
      </c>
      <c r="J448" s="29" t="s">
        <v>197</v>
      </c>
      <c r="K448" s="51" t="str">
        <f>VLOOKUP(표6[[#This Row],[종목]],자격증정보!$A$2:$I$7,2,FALSE) &amp; " " &amp; VLOOKUP(표6[[#This Row],[종목]],자격증정보!$A$2:$I$7,3,FALSE)</f>
        <v>워드프로세서 단일</v>
      </c>
      <c r="L448" s="2" t="str">
        <f>TEXT(VLOOKUP(표6[[#This Row],[일정번호]],표2[],6,FALSE), "hh:mm")</f>
        <v>11:00</v>
      </c>
      <c r="M448" s="2" t="str">
        <f>VLOOKUP(표6[[#This Row],[종목]],자격증정보!$A$2:$I$7,9,FALSE)</f>
        <v>30분</v>
      </c>
    </row>
    <row r="449" spans="1:13">
      <c r="A449" s="29">
        <v>451</v>
      </c>
      <c r="B449" s="2">
        <v>30</v>
      </c>
      <c r="C449" s="2">
        <v>1</v>
      </c>
      <c r="D449" s="2">
        <v>122</v>
      </c>
      <c r="E449" s="2">
        <v>36</v>
      </c>
      <c r="F449" s="3">
        <v>44388</v>
      </c>
      <c r="G449" s="3">
        <v>44395</v>
      </c>
      <c r="H449" s="3">
        <v>44396</v>
      </c>
      <c r="I449" s="2">
        <v>30</v>
      </c>
      <c r="J449" s="29" t="s">
        <v>197</v>
      </c>
      <c r="K449" s="51" t="str">
        <f>VLOOKUP(표6[[#This Row],[종목]],자격증정보!$A$2:$I$7,2,FALSE) &amp; " " &amp; VLOOKUP(표6[[#This Row],[종목]],자격증정보!$A$2:$I$7,3,FALSE)</f>
        <v>워드프로세서 단일</v>
      </c>
      <c r="L449" s="2" t="str">
        <f>TEXT(VLOOKUP(표6[[#This Row],[일정번호]],표2[],6,FALSE), "hh:mm")</f>
        <v>11:00</v>
      </c>
      <c r="M449" s="2" t="str">
        <f>VLOOKUP(표6[[#This Row],[종목]],자격증정보!$A$2:$I$7,9,FALSE)</f>
        <v>30분</v>
      </c>
    </row>
    <row r="450" spans="1:13">
      <c r="A450" s="29">
        <v>452</v>
      </c>
      <c r="B450" s="2">
        <v>10</v>
      </c>
      <c r="C450" s="2">
        <v>1</v>
      </c>
      <c r="D450" s="2">
        <v>80</v>
      </c>
      <c r="E450" s="2">
        <v>26</v>
      </c>
      <c r="F450" s="3">
        <v>44380</v>
      </c>
      <c r="G450" s="3">
        <v>44387</v>
      </c>
      <c r="H450" s="3">
        <v>44388</v>
      </c>
      <c r="I450" s="2">
        <v>50</v>
      </c>
      <c r="J450" s="29" t="s">
        <v>197</v>
      </c>
      <c r="K450" s="51" t="str">
        <f>VLOOKUP(표6[[#This Row],[종목]],자격증정보!$A$2:$I$7,2,FALSE) &amp; " " &amp; VLOOKUP(표6[[#This Row],[종목]],자격증정보!$A$2:$I$7,3,FALSE)</f>
        <v>워드프로세서 단일</v>
      </c>
      <c r="L450" s="2" t="str">
        <f>TEXT(VLOOKUP(표6[[#This Row],[일정번호]],표2[],6,FALSE), "hh:mm")</f>
        <v>10:00</v>
      </c>
      <c r="M450" s="2" t="str">
        <f>VLOOKUP(표6[[#This Row],[종목]],자격증정보!$A$2:$I$7,9,FALSE)</f>
        <v>30분</v>
      </c>
    </row>
    <row r="451" spans="1:13">
      <c r="A451" s="29">
        <v>453</v>
      </c>
      <c r="B451" s="2">
        <v>11</v>
      </c>
      <c r="C451" s="2">
        <v>1</v>
      </c>
      <c r="D451" s="2">
        <v>79</v>
      </c>
      <c r="E451" s="2">
        <v>25</v>
      </c>
      <c r="F451" s="3">
        <v>44380</v>
      </c>
      <c r="G451" s="3">
        <v>44387</v>
      </c>
      <c r="H451" s="3">
        <v>44388</v>
      </c>
      <c r="I451" s="2">
        <v>0</v>
      </c>
      <c r="J451" s="29" t="s">
        <v>197</v>
      </c>
      <c r="K451" s="51" t="str">
        <f>VLOOKUP(표6[[#This Row],[종목]],자격증정보!$A$2:$I$7,2,FALSE) &amp; " " &amp; VLOOKUP(표6[[#This Row],[종목]],자격증정보!$A$2:$I$7,3,FALSE)</f>
        <v>워드프로세서 단일</v>
      </c>
      <c r="L451" s="2" t="str">
        <f>TEXT(VLOOKUP(표6[[#This Row],[일정번호]],표2[],6,FALSE), "hh:mm")</f>
        <v>11:00</v>
      </c>
      <c r="M451" s="2" t="str">
        <f>VLOOKUP(표6[[#This Row],[종목]],자격증정보!$A$2:$I$7,9,FALSE)</f>
        <v>30분</v>
      </c>
    </row>
    <row r="452" spans="1:13">
      <c r="A452" s="29">
        <v>454</v>
      </c>
      <c r="B452" s="2">
        <v>4</v>
      </c>
      <c r="C452" s="2">
        <v>1</v>
      </c>
      <c r="D452" s="2">
        <v>122</v>
      </c>
      <c r="E452" s="2">
        <v>36</v>
      </c>
      <c r="F452" s="3">
        <v>44388</v>
      </c>
      <c r="G452" s="3">
        <v>44395</v>
      </c>
      <c r="H452" s="3">
        <v>44396</v>
      </c>
      <c r="I452" s="2">
        <v>50</v>
      </c>
      <c r="J452" s="29" t="s">
        <v>197</v>
      </c>
      <c r="K452" s="51" t="str">
        <f>VLOOKUP(표6[[#This Row],[종목]],자격증정보!$A$2:$I$7,2,FALSE) &amp; " " &amp; VLOOKUP(표6[[#This Row],[종목]],자격증정보!$A$2:$I$7,3,FALSE)</f>
        <v>워드프로세서 단일</v>
      </c>
      <c r="L452" s="2" t="str">
        <f>TEXT(VLOOKUP(표6[[#This Row],[일정번호]],표2[],6,FALSE), "hh:mm")</f>
        <v>11:00</v>
      </c>
      <c r="M452" s="2" t="str">
        <f>VLOOKUP(표6[[#This Row],[종목]],자격증정보!$A$2:$I$7,9,FALSE)</f>
        <v>30분</v>
      </c>
    </row>
    <row r="453" spans="1:13">
      <c r="A453" s="29">
        <v>455</v>
      </c>
      <c r="B453" s="2">
        <v>16</v>
      </c>
      <c r="C453" s="2">
        <v>1</v>
      </c>
      <c r="D453" s="2">
        <v>49</v>
      </c>
      <c r="E453" s="2">
        <v>18</v>
      </c>
      <c r="F453" s="3">
        <v>44371</v>
      </c>
      <c r="G453" s="3">
        <v>44378</v>
      </c>
      <c r="H453" s="3">
        <v>44379</v>
      </c>
      <c r="I453" s="2">
        <v>0</v>
      </c>
      <c r="J453" s="29" t="s">
        <v>197</v>
      </c>
      <c r="K453" s="51" t="str">
        <f>VLOOKUP(표6[[#This Row],[종목]],자격증정보!$A$2:$I$7,2,FALSE) &amp; " " &amp; VLOOKUP(표6[[#This Row],[종목]],자격증정보!$A$2:$I$7,3,FALSE)</f>
        <v>워드프로세서 단일</v>
      </c>
      <c r="L453" s="2" t="str">
        <f>TEXT(VLOOKUP(표6[[#This Row],[일정번호]],표2[],6,FALSE), "hh:mm")</f>
        <v>09:00</v>
      </c>
      <c r="M453" s="2" t="str">
        <f>VLOOKUP(표6[[#This Row],[종목]],자격증정보!$A$2:$I$7,9,FALSE)</f>
        <v>30분</v>
      </c>
    </row>
    <row r="454" spans="1:13">
      <c r="A454" s="29">
        <v>456</v>
      </c>
      <c r="B454" s="2">
        <v>14</v>
      </c>
      <c r="C454" s="2">
        <v>1</v>
      </c>
      <c r="D454" s="2">
        <v>137</v>
      </c>
      <c r="E454" s="2">
        <v>37</v>
      </c>
      <c r="F454" s="3">
        <v>44389</v>
      </c>
      <c r="G454" s="3">
        <v>44396</v>
      </c>
      <c r="H454" s="3">
        <v>44397</v>
      </c>
      <c r="I454" s="2">
        <v>20</v>
      </c>
      <c r="J454" s="29" t="s">
        <v>197</v>
      </c>
      <c r="K454" s="51" t="str">
        <f>VLOOKUP(표6[[#This Row],[종목]],자격증정보!$A$2:$I$7,2,FALSE) &amp; " " &amp; VLOOKUP(표6[[#This Row],[종목]],자격증정보!$A$2:$I$7,3,FALSE)</f>
        <v>워드프로세서 단일</v>
      </c>
      <c r="L454" s="2" t="str">
        <f>TEXT(VLOOKUP(표6[[#This Row],[일정번호]],표2[],6,FALSE), "hh:mm")</f>
        <v>12:00</v>
      </c>
      <c r="M454" s="2" t="str">
        <f>VLOOKUP(표6[[#This Row],[종목]],자격증정보!$A$2:$I$7,9,FALSE)</f>
        <v>30분</v>
      </c>
    </row>
    <row r="455" spans="1:13">
      <c r="A455" s="29">
        <v>457</v>
      </c>
      <c r="B455" s="2">
        <v>3</v>
      </c>
      <c r="C455" s="2">
        <v>1</v>
      </c>
      <c r="D455" s="2">
        <v>137</v>
      </c>
      <c r="E455" s="2">
        <v>37</v>
      </c>
      <c r="F455" s="3">
        <v>44389</v>
      </c>
      <c r="G455" s="3">
        <v>44396</v>
      </c>
      <c r="H455" s="3">
        <v>44397</v>
      </c>
      <c r="I455" s="2">
        <v>50</v>
      </c>
      <c r="J455" s="29" t="s">
        <v>197</v>
      </c>
      <c r="K455" s="51" t="str">
        <f>VLOOKUP(표6[[#This Row],[종목]],자격증정보!$A$2:$I$7,2,FALSE) &amp; " " &amp; VLOOKUP(표6[[#This Row],[종목]],자격증정보!$A$2:$I$7,3,FALSE)</f>
        <v>워드프로세서 단일</v>
      </c>
      <c r="L455" s="2" t="str">
        <f>TEXT(VLOOKUP(표6[[#This Row],[일정번호]],표2[],6,FALSE), "hh:mm")</f>
        <v>12:00</v>
      </c>
      <c r="M455" s="2" t="str">
        <f>VLOOKUP(표6[[#This Row],[종목]],자격증정보!$A$2:$I$7,9,FALSE)</f>
        <v>30분</v>
      </c>
    </row>
    <row r="456" spans="1:13">
      <c r="A456" s="29">
        <v>458</v>
      </c>
      <c r="B456" s="2">
        <v>29</v>
      </c>
      <c r="C456" s="2">
        <v>1</v>
      </c>
      <c r="D456" s="2">
        <v>137</v>
      </c>
      <c r="E456" s="2">
        <v>37</v>
      </c>
      <c r="F456" s="3">
        <v>44389</v>
      </c>
      <c r="G456" s="3">
        <v>44396</v>
      </c>
      <c r="H456" s="3">
        <v>44397</v>
      </c>
      <c r="I456" s="2">
        <v>0</v>
      </c>
      <c r="J456" s="29" t="s">
        <v>197</v>
      </c>
      <c r="K456" s="51" t="str">
        <f>VLOOKUP(표6[[#This Row],[종목]],자격증정보!$A$2:$I$7,2,FALSE) &amp; " " &amp; VLOOKUP(표6[[#This Row],[종목]],자격증정보!$A$2:$I$7,3,FALSE)</f>
        <v>워드프로세서 단일</v>
      </c>
      <c r="L456" s="2" t="str">
        <f>TEXT(VLOOKUP(표6[[#This Row],[일정번호]],표2[],6,FALSE), "hh:mm")</f>
        <v>12:00</v>
      </c>
      <c r="M456" s="2" t="str">
        <f>VLOOKUP(표6[[#This Row],[종목]],자격증정보!$A$2:$I$7,9,FALSE)</f>
        <v>30분</v>
      </c>
    </row>
    <row r="457" spans="1:13">
      <c r="A457" s="29">
        <v>153</v>
      </c>
      <c r="B457" s="2">
        <v>5</v>
      </c>
      <c r="C457" s="2">
        <v>1</v>
      </c>
      <c r="D457" s="2">
        <v>151</v>
      </c>
      <c r="E457" s="2">
        <v>39</v>
      </c>
      <c r="F457" s="3">
        <v>44389</v>
      </c>
      <c r="G457" s="3">
        <v>44396</v>
      </c>
      <c r="H457" s="3">
        <v>44397</v>
      </c>
      <c r="I457" s="2">
        <v>70</v>
      </c>
      <c r="J457" s="29" t="s">
        <v>198</v>
      </c>
      <c r="K457" s="51" t="str">
        <f>VLOOKUP(표6[[#This Row],[종목]],자격증정보!$A$2:$I$7,2,FALSE) &amp; " " &amp; VLOOKUP(표6[[#This Row],[종목]],자격증정보!$A$2:$I$7,3,FALSE)</f>
        <v>워드프로세서 단일</v>
      </c>
      <c r="L457" s="2" t="str">
        <f>TEXT(VLOOKUP(표6[[#This Row],[일정번호]],표2[],6,FALSE), "hh:mm")</f>
        <v>13:00</v>
      </c>
      <c r="M457" s="2" t="str">
        <f>VLOOKUP(표6[[#This Row],[종목]],자격증정보!$A$2:$I$7,9,FALSE)</f>
        <v>30분</v>
      </c>
    </row>
    <row r="458" spans="1:13">
      <c r="A458" s="29">
        <v>460</v>
      </c>
      <c r="B458" s="2">
        <v>12</v>
      </c>
      <c r="C458" s="2">
        <v>1</v>
      </c>
      <c r="D458" s="2">
        <v>80</v>
      </c>
      <c r="E458" s="2">
        <v>26</v>
      </c>
      <c r="F458" s="3">
        <v>44380</v>
      </c>
      <c r="G458" s="3">
        <v>44387</v>
      </c>
      <c r="H458" s="3">
        <v>44388</v>
      </c>
      <c r="I458" s="2">
        <v>0</v>
      </c>
      <c r="J458" s="29" t="s">
        <v>197</v>
      </c>
      <c r="K458" s="51" t="str">
        <f>VLOOKUP(표6[[#This Row],[종목]],자격증정보!$A$2:$I$7,2,FALSE) &amp; " " &amp; VLOOKUP(표6[[#This Row],[종목]],자격증정보!$A$2:$I$7,3,FALSE)</f>
        <v>워드프로세서 단일</v>
      </c>
      <c r="L458" s="2" t="str">
        <f>TEXT(VLOOKUP(표6[[#This Row],[일정번호]],표2[],6,FALSE), "hh:mm")</f>
        <v>10:00</v>
      </c>
      <c r="M458" s="2" t="str">
        <f>VLOOKUP(표6[[#This Row],[종목]],자격증정보!$A$2:$I$7,9,FALSE)</f>
        <v>30분</v>
      </c>
    </row>
    <row r="459" spans="1:13">
      <c r="A459" s="29">
        <v>461</v>
      </c>
      <c r="B459" s="2">
        <v>8</v>
      </c>
      <c r="C459" s="2">
        <v>1</v>
      </c>
      <c r="D459" s="2">
        <v>137</v>
      </c>
      <c r="E459" s="2">
        <v>37</v>
      </c>
      <c r="F459" s="3">
        <v>44389</v>
      </c>
      <c r="G459" s="3">
        <v>44396</v>
      </c>
      <c r="H459" s="3">
        <v>44397</v>
      </c>
      <c r="I459" s="2">
        <v>50</v>
      </c>
      <c r="J459" s="29" t="s">
        <v>197</v>
      </c>
      <c r="K459" s="51" t="str">
        <f>VLOOKUP(표6[[#This Row],[종목]],자격증정보!$A$2:$I$7,2,FALSE) &amp; " " &amp; VLOOKUP(표6[[#This Row],[종목]],자격증정보!$A$2:$I$7,3,FALSE)</f>
        <v>워드프로세서 단일</v>
      </c>
      <c r="L459" s="2" t="str">
        <f>TEXT(VLOOKUP(표6[[#This Row],[일정번호]],표2[],6,FALSE), "hh:mm")</f>
        <v>12:00</v>
      </c>
      <c r="M459" s="2" t="str">
        <f>VLOOKUP(표6[[#This Row],[종목]],자격증정보!$A$2:$I$7,9,FALSE)</f>
        <v>30분</v>
      </c>
    </row>
    <row r="460" spans="1:13">
      <c r="A460" s="29">
        <v>462</v>
      </c>
      <c r="B460" s="2">
        <v>17</v>
      </c>
      <c r="C460" s="2">
        <v>1</v>
      </c>
      <c r="D460" s="2">
        <v>137</v>
      </c>
      <c r="E460" s="2">
        <v>37</v>
      </c>
      <c r="F460" s="3">
        <v>44389</v>
      </c>
      <c r="G460" s="3">
        <v>44396</v>
      </c>
      <c r="H460" s="3">
        <v>44397</v>
      </c>
      <c r="I460" s="2">
        <v>80</v>
      </c>
      <c r="J460" s="29" t="s">
        <v>198</v>
      </c>
      <c r="K460" s="51" t="str">
        <f>VLOOKUP(표6[[#This Row],[종목]],자격증정보!$A$2:$I$7,2,FALSE) &amp; " " &amp; VLOOKUP(표6[[#This Row],[종목]],자격증정보!$A$2:$I$7,3,FALSE)</f>
        <v>워드프로세서 단일</v>
      </c>
      <c r="L460" s="2" t="str">
        <f>TEXT(VLOOKUP(표6[[#This Row],[일정번호]],표2[],6,FALSE), "hh:mm")</f>
        <v>12:00</v>
      </c>
      <c r="M460" s="2" t="str">
        <f>VLOOKUP(표6[[#This Row],[종목]],자격증정보!$A$2:$I$7,9,FALSE)</f>
        <v>30분</v>
      </c>
    </row>
    <row r="461" spans="1:13">
      <c r="A461" s="29">
        <v>463</v>
      </c>
      <c r="B461" s="2">
        <v>18</v>
      </c>
      <c r="C461" s="2">
        <v>1</v>
      </c>
      <c r="D461" s="2">
        <v>65</v>
      </c>
      <c r="E461" s="2">
        <v>20</v>
      </c>
      <c r="F461" s="3">
        <v>44372</v>
      </c>
      <c r="G461" s="3">
        <v>44379</v>
      </c>
      <c r="H461" s="3">
        <v>44380</v>
      </c>
      <c r="I461" s="2">
        <v>20</v>
      </c>
      <c r="J461" s="29" t="s">
        <v>197</v>
      </c>
      <c r="K461" s="51" t="str">
        <f>VLOOKUP(표6[[#This Row],[종목]],자격증정보!$A$2:$I$7,2,FALSE) &amp; " " &amp; VLOOKUP(표6[[#This Row],[종목]],자격증정보!$A$2:$I$7,3,FALSE)</f>
        <v>워드프로세서 단일</v>
      </c>
      <c r="L461" s="2" t="str">
        <f>TEXT(VLOOKUP(표6[[#This Row],[일정번호]],표2[],6,FALSE), "hh:mm")</f>
        <v>13:00</v>
      </c>
      <c r="M461" s="2" t="str">
        <f>VLOOKUP(표6[[#This Row],[종목]],자격증정보!$A$2:$I$7,9,FALSE)</f>
        <v>30분</v>
      </c>
    </row>
    <row r="462" spans="1:13">
      <c r="A462" s="29">
        <v>464</v>
      </c>
      <c r="B462" s="2">
        <v>12</v>
      </c>
      <c r="C462" s="2">
        <v>1</v>
      </c>
      <c r="D462" s="2">
        <v>150</v>
      </c>
      <c r="E462" s="2">
        <v>38</v>
      </c>
      <c r="F462" s="3">
        <v>44389</v>
      </c>
      <c r="G462" s="3">
        <v>44396</v>
      </c>
      <c r="H462" s="3">
        <v>44397</v>
      </c>
      <c r="I462" s="2">
        <v>50</v>
      </c>
      <c r="J462" s="29" t="s">
        <v>197</v>
      </c>
      <c r="K462" s="51" t="str">
        <f>VLOOKUP(표6[[#This Row],[종목]],자격증정보!$A$2:$I$7,2,FALSE) &amp; " " &amp; VLOOKUP(표6[[#This Row],[종목]],자격증정보!$A$2:$I$7,3,FALSE)</f>
        <v>워드프로세서 단일</v>
      </c>
      <c r="L462" s="2" t="str">
        <f>TEXT(VLOOKUP(표6[[#This Row],[일정번호]],표2[],6,FALSE), "hh:mm")</f>
        <v>10:00</v>
      </c>
      <c r="M462" s="2" t="str">
        <f>VLOOKUP(표6[[#This Row],[종목]],자격증정보!$A$2:$I$7,9,FALSE)</f>
        <v>30분</v>
      </c>
    </row>
    <row r="463" spans="1:13">
      <c r="A463" s="29">
        <v>465</v>
      </c>
      <c r="B463" s="2">
        <v>15</v>
      </c>
      <c r="C463" s="2">
        <v>1</v>
      </c>
      <c r="D463" s="2">
        <v>150</v>
      </c>
      <c r="E463" s="2">
        <v>38</v>
      </c>
      <c r="F463" s="3">
        <v>44389</v>
      </c>
      <c r="G463" s="3">
        <v>44396</v>
      </c>
      <c r="H463" s="3">
        <v>44397</v>
      </c>
      <c r="I463" s="2">
        <v>0</v>
      </c>
      <c r="J463" s="29" t="s">
        <v>197</v>
      </c>
      <c r="K463" s="51" t="str">
        <f>VLOOKUP(표6[[#This Row],[종목]],자격증정보!$A$2:$I$7,2,FALSE) &amp; " " &amp; VLOOKUP(표6[[#This Row],[종목]],자격증정보!$A$2:$I$7,3,FALSE)</f>
        <v>워드프로세서 단일</v>
      </c>
      <c r="L463" s="2" t="str">
        <f>TEXT(VLOOKUP(표6[[#This Row],[일정번호]],표2[],6,FALSE), "hh:mm")</f>
        <v>10:00</v>
      </c>
      <c r="M463" s="2" t="str">
        <f>VLOOKUP(표6[[#This Row],[종목]],자격증정보!$A$2:$I$7,9,FALSE)</f>
        <v>30분</v>
      </c>
    </row>
    <row r="464" spans="1:13">
      <c r="A464" s="29">
        <v>466</v>
      </c>
      <c r="B464" s="2">
        <v>28</v>
      </c>
      <c r="C464" s="2">
        <v>1</v>
      </c>
      <c r="D464" s="2">
        <v>150</v>
      </c>
      <c r="E464" s="2">
        <v>38</v>
      </c>
      <c r="F464" s="3">
        <v>44389</v>
      </c>
      <c r="G464" s="3">
        <v>44396</v>
      </c>
      <c r="H464" s="3">
        <v>44397</v>
      </c>
      <c r="I464" s="2">
        <v>10</v>
      </c>
      <c r="J464" s="29" t="s">
        <v>197</v>
      </c>
      <c r="K464" s="51" t="str">
        <f>VLOOKUP(표6[[#This Row],[종목]],자격증정보!$A$2:$I$7,2,FALSE) &amp; " " &amp; VLOOKUP(표6[[#This Row],[종목]],자격증정보!$A$2:$I$7,3,FALSE)</f>
        <v>워드프로세서 단일</v>
      </c>
      <c r="L464" s="2" t="str">
        <f>TEXT(VLOOKUP(표6[[#This Row],[일정번호]],표2[],6,FALSE), "hh:mm")</f>
        <v>10:00</v>
      </c>
      <c r="M464" s="2" t="str">
        <f>VLOOKUP(표6[[#This Row],[종목]],자격증정보!$A$2:$I$7,9,FALSE)</f>
        <v>30분</v>
      </c>
    </row>
    <row r="465" spans="1:13">
      <c r="A465" s="29">
        <v>467</v>
      </c>
      <c r="B465" s="2">
        <v>18</v>
      </c>
      <c r="C465" s="2">
        <v>1</v>
      </c>
      <c r="D465" s="2">
        <v>150</v>
      </c>
      <c r="E465" s="2">
        <v>38</v>
      </c>
      <c r="F465" s="3">
        <v>44389</v>
      </c>
      <c r="G465" s="3">
        <v>44396</v>
      </c>
      <c r="H465" s="3">
        <v>44397</v>
      </c>
      <c r="I465" s="2">
        <v>100</v>
      </c>
      <c r="J465" s="29" t="s">
        <v>198</v>
      </c>
      <c r="K465" s="51" t="str">
        <f>VLOOKUP(표6[[#This Row],[종목]],자격증정보!$A$2:$I$7,2,FALSE) &amp; " " &amp; VLOOKUP(표6[[#This Row],[종목]],자격증정보!$A$2:$I$7,3,FALSE)</f>
        <v>워드프로세서 단일</v>
      </c>
      <c r="L465" s="2" t="str">
        <f>TEXT(VLOOKUP(표6[[#This Row],[일정번호]],표2[],6,FALSE), "hh:mm")</f>
        <v>10:00</v>
      </c>
      <c r="M465" s="2" t="str">
        <f>VLOOKUP(표6[[#This Row],[종목]],자격증정보!$A$2:$I$7,9,FALSE)</f>
        <v>30분</v>
      </c>
    </row>
    <row r="466" spans="1:13">
      <c r="A466" s="29">
        <v>468</v>
      </c>
      <c r="B466" s="2">
        <v>6</v>
      </c>
      <c r="C466" s="2">
        <v>1</v>
      </c>
      <c r="D466" s="2">
        <v>150</v>
      </c>
      <c r="E466" s="2">
        <v>38</v>
      </c>
      <c r="F466" s="3">
        <v>44389</v>
      </c>
      <c r="G466" s="3">
        <v>44396</v>
      </c>
      <c r="H466" s="3">
        <v>44397</v>
      </c>
      <c r="I466" s="2">
        <v>30</v>
      </c>
      <c r="J466" s="29" t="s">
        <v>197</v>
      </c>
      <c r="K466" s="51" t="str">
        <f>VLOOKUP(표6[[#This Row],[종목]],자격증정보!$A$2:$I$7,2,FALSE) &amp; " " &amp; VLOOKUP(표6[[#This Row],[종목]],자격증정보!$A$2:$I$7,3,FALSE)</f>
        <v>워드프로세서 단일</v>
      </c>
      <c r="L466" s="2" t="str">
        <f>TEXT(VLOOKUP(표6[[#This Row],[일정번호]],표2[],6,FALSE), "hh:mm")</f>
        <v>10:00</v>
      </c>
      <c r="M466" s="2" t="str">
        <f>VLOOKUP(표6[[#This Row],[종목]],자격증정보!$A$2:$I$7,9,FALSE)</f>
        <v>30분</v>
      </c>
    </row>
    <row r="467" spans="1:13">
      <c r="A467" s="29">
        <v>469</v>
      </c>
      <c r="B467" s="2">
        <v>19</v>
      </c>
      <c r="C467" s="2">
        <v>1</v>
      </c>
      <c r="D467" s="2">
        <v>122</v>
      </c>
      <c r="E467" s="2">
        <v>36</v>
      </c>
      <c r="F467" s="3">
        <v>44388</v>
      </c>
      <c r="G467" s="3">
        <v>44395</v>
      </c>
      <c r="H467" s="3">
        <v>44396</v>
      </c>
      <c r="I467" s="2">
        <v>90</v>
      </c>
      <c r="J467" s="29" t="s">
        <v>198</v>
      </c>
      <c r="K467" s="51" t="str">
        <f>VLOOKUP(표6[[#This Row],[종목]],자격증정보!$A$2:$I$7,2,FALSE) &amp; " " &amp; VLOOKUP(표6[[#This Row],[종목]],자격증정보!$A$2:$I$7,3,FALSE)</f>
        <v>워드프로세서 단일</v>
      </c>
      <c r="L467" s="2" t="str">
        <f>TEXT(VLOOKUP(표6[[#This Row],[일정번호]],표2[],6,FALSE), "hh:mm")</f>
        <v>11:00</v>
      </c>
      <c r="M467" s="2" t="str">
        <f>VLOOKUP(표6[[#This Row],[종목]],자격증정보!$A$2:$I$7,9,FALSE)</f>
        <v>30분</v>
      </c>
    </row>
    <row r="468" spans="1:13">
      <c r="A468" s="29">
        <v>470</v>
      </c>
      <c r="B468" s="2">
        <v>20</v>
      </c>
      <c r="C468" s="2">
        <v>1</v>
      </c>
      <c r="D468" s="2">
        <v>49</v>
      </c>
      <c r="E468" s="2">
        <v>18</v>
      </c>
      <c r="F468" s="3">
        <v>44371</v>
      </c>
      <c r="G468" s="3">
        <v>44378</v>
      </c>
      <c r="H468" s="3">
        <v>44379</v>
      </c>
      <c r="I468" s="2">
        <v>0</v>
      </c>
      <c r="J468" s="29" t="s">
        <v>197</v>
      </c>
      <c r="K468" s="51" t="str">
        <f>VLOOKUP(표6[[#This Row],[종목]],자격증정보!$A$2:$I$7,2,FALSE) &amp; " " &amp; VLOOKUP(표6[[#This Row],[종목]],자격증정보!$A$2:$I$7,3,FALSE)</f>
        <v>워드프로세서 단일</v>
      </c>
      <c r="L468" s="2" t="str">
        <f>TEXT(VLOOKUP(표6[[#This Row],[일정번호]],표2[],6,FALSE), "hh:mm")</f>
        <v>09:00</v>
      </c>
      <c r="M468" s="2" t="str">
        <f>VLOOKUP(표6[[#This Row],[종목]],자격증정보!$A$2:$I$7,9,FALSE)</f>
        <v>30분</v>
      </c>
    </row>
    <row r="469" spans="1:13">
      <c r="A469" s="29">
        <v>471</v>
      </c>
      <c r="B469" s="2">
        <v>20</v>
      </c>
      <c r="C469" s="2">
        <v>1</v>
      </c>
      <c r="D469" s="2">
        <v>137</v>
      </c>
      <c r="E469" s="2">
        <v>37</v>
      </c>
      <c r="F469" s="3">
        <v>44389</v>
      </c>
      <c r="G469" s="3">
        <v>44396</v>
      </c>
      <c r="H469" s="3">
        <v>44397</v>
      </c>
      <c r="I469" s="2">
        <v>50</v>
      </c>
      <c r="J469" s="29" t="s">
        <v>197</v>
      </c>
      <c r="K469" s="51" t="str">
        <f>VLOOKUP(표6[[#This Row],[종목]],자격증정보!$A$2:$I$7,2,FALSE) &amp; " " &amp; VLOOKUP(표6[[#This Row],[종목]],자격증정보!$A$2:$I$7,3,FALSE)</f>
        <v>워드프로세서 단일</v>
      </c>
      <c r="L469" s="2" t="str">
        <f>TEXT(VLOOKUP(표6[[#This Row],[일정번호]],표2[],6,FALSE), "hh:mm")</f>
        <v>12:00</v>
      </c>
      <c r="M469" s="2" t="str">
        <f>VLOOKUP(표6[[#This Row],[종목]],자격증정보!$A$2:$I$7,9,FALSE)</f>
        <v>30분</v>
      </c>
    </row>
    <row r="470" spans="1:13">
      <c r="A470" s="29">
        <v>472</v>
      </c>
      <c r="B470" s="2">
        <v>21</v>
      </c>
      <c r="C470" s="2">
        <v>1</v>
      </c>
      <c r="D470" s="2">
        <v>43</v>
      </c>
      <c r="E470" s="2">
        <v>16</v>
      </c>
      <c r="F470" s="3">
        <v>44368</v>
      </c>
      <c r="G470" s="3">
        <v>44375</v>
      </c>
      <c r="H470" s="3">
        <v>44376</v>
      </c>
      <c r="I470" s="2">
        <v>50</v>
      </c>
      <c r="J470" s="29" t="s">
        <v>197</v>
      </c>
      <c r="K470" s="51" t="str">
        <f>VLOOKUP(표6[[#This Row],[종목]],자격증정보!$A$2:$I$7,2,FALSE) &amp; " " &amp; VLOOKUP(표6[[#This Row],[종목]],자격증정보!$A$2:$I$7,3,FALSE)</f>
        <v>워드프로세서 단일</v>
      </c>
      <c r="L470" s="2" t="str">
        <f>TEXT(VLOOKUP(표6[[#This Row],[일정번호]],표2[],6,FALSE), "hh:mm")</f>
        <v>14:00</v>
      </c>
      <c r="M470" s="2" t="str">
        <f>VLOOKUP(표6[[#This Row],[종목]],자격증정보!$A$2:$I$7,9,FALSE)</f>
        <v>30분</v>
      </c>
    </row>
    <row r="471" spans="1:13">
      <c r="A471" s="29">
        <v>473</v>
      </c>
      <c r="B471" s="2">
        <v>21</v>
      </c>
      <c r="C471" s="2">
        <v>1</v>
      </c>
      <c r="D471" s="2">
        <v>151</v>
      </c>
      <c r="E471" s="2">
        <v>39</v>
      </c>
      <c r="F471" s="3">
        <v>44389</v>
      </c>
      <c r="G471" s="3">
        <v>44396</v>
      </c>
      <c r="H471" s="3">
        <v>44397</v>
      </c>
      <c r="I471" s="2">
        <v>40</v>
      </c>
      <c r="J471" s="29" t="s">
        <v>197</v>
      </c>
      <c r="K471" s="51" t="str">
        <f>VLOOKUP(표6[[#This Row],[종목]],자격증정보!$A$2:$I$7,2,FALSE) &amp; " " &amp; VLOOKUP(표6[[#This Row],[종목]],자격증정보!$A$2:$I$7,3,FALSE)</f>
        <v>워드프로세서 단일</v>
      </c>
      <c r="L471" s="2" t="str">
        <f>TEXT(VLOOKUP(표6[[#This Row],[일정번호]],표2[],6,FALSE), "hh:mm")</f>
        <v>13:00</v>
      </c>
      <c r="M471" s="2" t="str">
        <f>VLOOKUP(표6[[#This Row],[종목]],자격증정보!$A$2:$I$7,9,FALSE)</f>
        <v>30분</v>
      </c>
    </row>
    <row r="472" spans="1:13">
      <c r="A472" s="29">
        <v>474</v>
      </c>
      <c r="B472" s="2">
        <v>22</v>
      </c>
      <c r="C472" s="2">
        <v>1</v>
      </c>
      <c r="D472" s="2">
        <v>49</v>
      </c>
      <c r="E472" s="2">
        <v>18</v>
      </c>
      <c r="F472" s="3">
        <v>44371</v>
      </c>
      <c r="G472" s="3">
        <v>44378</v>
      </c>
      <c r="H472" s="3">
        <v>44379</v>
      </c>
      <c r="I472" s="2">
        <v>0</v>
      </c>
      <c r="J472" s="29" t="s">
        <v>197</v>
      </c>
      <c r="K472" s="51" t="str">
        <f>VLOOKUP(표6[[#This Row],[종목]],자격증정보!$A$2:$I$7,2,FALSE) &amp; " " &amp; VLOOKUP(표6[[#This Row],[종목]],자격증정보!$A$2:$I$7,3,FALSE)</f>
        <v>워드프로세서 단일</v>
      </c>
      <c r="L472" s="2" t="str">
        <f>TEXT(VLOOKUP(표6[[#This Row],[일정번호]],표2[],6,FALSE), "hh:mm")</f>
        <v>09:00</v>
      </c>
      <c r="M472" s="2" t="str">
        <f>VLOOKUP(표6[[#This Row],[종목]],자격증정보!$A$2:$I$7,9,FALSE)</f>
        <v>30분</v>
      </c>
    </row>
    <row r="473" spans="1:13">
      <c r="A473" s="29">
        <v>475</v>
      </c>
      <c r="B473" s="2">
        <v>22</v>
      </c>
      <c r="C473" s="2">
        <v>1</v>
      </c>
      <c r="D473" s="2">
        <v>151</v>
      </c>
      <c r="E473" s="2">
        <v>39</v>
      </c>
      <c r="F473" s="3">
        <v>44389</v>
      </c>
      <c r="G473" s="3">
        <v>44396</v>
      </c>
      <c r="H473" s="3">
        <v>44397</v>
      </c>
      <c r="I473" s="2">
        <v>80</v>
      </c>
      <c r="J473" s="29" t="s">
        <v>198</v>
      </c>
      <c r="K473" s="51" t="str">
        <f>VLOOKUP(표6[[#This Row],[종목]],자격증정보!$A$2:$I$7,2,FALSE) &amp; " " &amp; VLOOKUP(표6[[#This Row],[종목]],자격증정보!$A$2:$I$7,3,FALSE)</f>
        <v>워드프로세서 단일</v>
      </c>
      <c r="L473" s="2" t="str">
        <f>TEXT(VLOOKUP(표6[[#This Row],[일정번호]],표2[],6,FALSE), "hh:mm")</f>
        <v>13:00</v>
      </c>
      <c r="M473" s="2" t="str">
        <f>VLOOKUP(표6[[#This Row],[종목]],자격증정보!$A$2:$I$7,9,FALSE)</f>
        <v>30분</v>
      </c>
    </row>
    <row r="474" spans="1:13">
      <c r="A474" s="29">
        <v>476</v>
      </c>
      <c r="B474" s="2">
        <v>23</v>
      </c>
      <c r="C474" s="2">
        <v>1</v>
      </c>
      <c r="D474" s="2">
        <v>151</v>
      </c>
      <c r="E474" s="2">
        <v>39</v>
      </c>
      <c r="F474" s="3">
        <v>44389</v>
      </c>
      <c r="G474" s="3">
        <v>44396</v>
      </c>
      <c r="H474" s="3">
        <v>44397</v>
      </c>
      <c r="I474" s="2">
        <v>70</v>
      </c>
      <c r="J474" s="29" t="s">
        <v>198</v>
      </c>
      <c r="K474" s="51" t="str">
        <f>VLOOKUP(표6[[#This Row],[종목]],자격증정보!$A$2:$I$7,2,FALSE) &amp; " " &amp; VLOOKUP(표6[[#This Row],[종목]],자격증정보!$A$2:$I$7,3,FALSE)</f>
        <v>워드프로세서 단일</v>
      </c>
      <c r="L474" s="2" t="str">
        <f>TEXT(VLOOKUP(표6[[#This Row],[일정번호]],표2[],6,FALSE), "hh:mm")</f>
        <v>13:00</v>
      </c>
      <c r="M474" s="2" t="str">
        <f>VLOOKUP(표6[[#This Row],[종목]],자격증정보!$A$2:$I$7,9,FALSE)</f>
        <v>30분</v>
      </c>
    </row>
    <row r="475" spans="1:13">
      <c r="A475" s="29">
        <v>477</v>
      </c>
      <c r="B475" s="2">
        <v>24</v>
      </c>
      <c r="C475" s="2">
        <v>1</v>
      </c>
      <c r="D475" s="2">
        <v>120</v>
      </c>
      <c r="E475" s="2">
        <v>34</v>
      </c>
      <c r="F475" s="3">
        <v>44386</v>
      </c>
      <c r="G475" s="3">
        <v>44393</v>
      </c>
      <c r="H475" s="3">
        <v>44394</v>
      </c>
      <c r="I475" s="2">
        <v>10</v>
      </c>
      <c r="J475" s="29" t="s">
        <v>197</v>
      </c>
      <c r="K475" s="51" t="str">
        <f>VLOOKUP(표6[[#This Row],[종목]],자격증정보!$A$2:$I$7,2,FALSE) &amp; " " &amp; VLOOKUP(표6[[#This Row],[종목]],자격증정보!$A$2:$I$7,3,FALSE)</f>
        <v>워드프로세서 단일</v>
      </c>
      <c r="L475" s="2" t="str">
        <f>TEXT(VLOOKUP(표6[[#This Row],[일정번호]],표2[],6,FALSE), "hh:mm")</f>
        <v>09:00</v>
      </c>
      <c r="M475" s="2" t="str">
        <f>VLOOKUP(표6[[#This Row],[종목]],자격증정보!$A$2:$I$7,9,FALSE)</f>
        <v>30분</v>
      </c>
    </row>
    <row r="476" spans="1:13">
      <c r="A476" s="29">
        <v>478</v>
      </c>
      <c r="B476" s="2">
        <v>24</v>
      </c>
      <c r="C476" s="2">
        <v>1</v>
      </c>
      <c r="D476" s="2">
        <v>151</v>
      </c>
      <c r="E476" s="2">
        <v>39</v>
      </c>
      <c r="F476" s="3">
        <v>44389</v>
      </c>
      <c r="G476" s="3">
        <v>44396</v>
      </c>
      <c r="H476" s="3">
        <v>44397</v>
      </c>
      <c r="I476" s="2">
        <v>20</v>
      </c>
      <c r="J476" s="29" t="s">
        <v>197</v>
      </c>
      <c r="K476" s="51" t="str">
        <f>VLOOKUP(표6[[#This Row],[종목]],자격증정보!$A$2:$I$7,2,FALSE) &amp; " " &amp; VLOOKUP(표6[[#This Row],[종목]],자격증정보!$A$2:$I$7,3,FALSE)</f>
        <v>워드프로세서 단일</v>
      </c>
      <c r="L476" s="2" t="str">
        <f>TEXT(VLOOKUP(표6[[#This Row],[일정번호]],표2[],6,FALSE), "hh:mm")</f>
        <v>13:00</v>
      </c>
      <c r="M476" s="2" t="str">
        <f>VLOOKUP(표6[[#This Row],[종목]],자격증정보!$A$2:$I$7,9,FALSE)</f>
        <v>30분</v>
      </c>
    </row>
    <row r="477" spans="1:13">
      <c r="A477" s="29">
        <v>479</v>
      </c>
      <c r="B477" s="2">
        <v>25</v>
      </c>
      <c r="C477" s="2">
        <v>1</v>
      </c>
      <c r="D477" s="2">
        <v>151</v>
      </c>
      <c r="E477" s="2">
        <v>39</v>
      </c>
      <c r="F477" s="3">
        <v>44389</v>
      </c>
      <c r="G477" s="3">
        <v>44396</v>
      </c>
      <c r="H477" s="3">
        <v>44397</v>
      </c>
      <c r="I477" s="2">
        <v>70</v>
      </c>
      <c r="J477" s="29" t="s">
        <v>198</v>
      </c>
      <c r="K477" s="51" t="str">
        <f>VLOOKUP(표6[[#This Row],[종목]],자격증정보!$A$2:$I$7,2,FALSE) &amp; " " &amp; VLOOKUP(표6[[#This Row],[종목]],자격증정보!$A$2:$I$7,3,FALSE)</f>
        <v>워드프로세서 단일</v>
      </c>
      <c r="L477" s="2" t="str">
        <f>TEXT(VLOOKUP(표6[[#This Row],[일정번호]],표2[],6,FALSE), "hh:mm")</f>
        <v>13:00</v>
      </c>
      <c r="M477" s="2" t="str">
        <f>VLOOKUP(표6[[#This Row],[종목]],자격증정보!$A$2:$I$7,9,FALSE)</f>
        <v>30분</v>
      </c>
    </row>
    <row r="478" spans="1:13">
      <c r="A478" s="29">
        <v>480</v>
      </c>
      <c r="B478" s="2">
        <v>28</v>
      </c>
      <c r="C478" s="2">
        <v>1</v>
      </c>
      <c r="D478" s="2">
        <v>137</v>
      </c>
      <c r="E478" s="2">
        <v>37</v>
      </c>
      <c r="F478" s="3">
        <v>44389</v>
      </c>
      <c r="G478" s="3">
        <v>44396</v>
      </c>
      <c r="H478" s="3">
        <v>44397</v>
      </c>
      <c r="I478" s="2">
        <v>60</v>
      </c>
      <c r="J478" s="29" t="s">
        <v>198</v>
      </c>
      <c r="K478" s="51" t="str">
        <f>VLOOKUP(표6[[#This Row],[종목]],자격증정보!$A$2:$I$7,2,FALSE) &amp; " " &amp; VLOOKUP(표6[[#This Row],[종목]],자격증정보!$A$2:$I$7,3,FALSE)</f>
        <v>워드프로세서 단일</v>
      </c>
      <c r="L478" s="2" t="str">
        <f>TEXT(VLOOKUP(표6[[#This Row],[일정번호]],표2[],6,FALSE), "hh:mm")</f>
        <v>12:00</v>
      </c>
      <c r="M478" s="2" t="str">
        <f>VLOOKUP(표6[[#This Row],[종목]],자격증정보!$A$2:$I$7,9,FALSE)</f>
        <v>30분</v>
      </c>
    </row>
    <row r="479" spans="1:13">
      <c r="A479" s="29">
        <v>481</v>
      </c>
      <c r="B479" s="2">
        <v>30</v>
      </c>
      <c r="C479" s="2">
        <v>1</v>
      </c>
      <c r="D479" s="2">
        <v>17</v>
      </c>
      <c r="E479" s="2">
        <v>11</v>
      </c>
      <c r="F479" s="3">
        <v>44365</v>
      </c>
      <c r="G479" s="3">
        <v>44372</v>
      </c>
      <c r="H479" s="3">
        <v>44373</v>
      </c>
      <c r="I479" s="2">
        <v>0</v>
      </c>
      <c r="J479" s="29" t="s">
        <v>197</v>
      </c>
      <c r="K479" s="51" t="str">
        <f>VLOOKUP(표6[[#This Row],[종목]],자격증정보!$A$2:$I$7,2,FALSE) &amp; " " &amp; VLOOKUP(표6[[#This Row],[종목]],자격증정보!$A$2:$I$7,3,FALSE)</f>
        <v>워드프로세서 단일</v>
      </c>
      <c r="L479" s="2" t="str">
        <f>TEXT(VLOOKUP(표6[[#This Row],[일정번호]],표2[],6,FALSE), "hh:mm")</f>
        <v>16:20</v>
      </c>
      <c r="M479" s="2" t="str">
        <f>VLOOKUP(표6[[#This Row],[종목]],자격증정보!$A$2:$I$7,9,FALSE)</f>
        <v>30분</v>
      </c>
    </row>
    <row r="480" spans="1:13">
      <c r="A480" s="29">
        <v>482</v>
      </c>
      <c r="B480" s="2">
        <v>15</v>
      </c>
      <c r="C480" s="2">
        <v>1</v>
      </c>
      <c r="D480" s="2">
        <v>137</v>
      </c>
      <c r="E480" s="2">
        <v>37</v>
      </c>
      <c r="F480" s="3">
        <v>44389</v>
      </c>
      <c r="G480" s="3">
        <v>44396</v>
      </c>
      <c r="H480" s="3">
        <v>44397</v>
      </c>
      <c r="I480" s="2">
        <v>40</v>
      </c>
      <c r="J480" s="29" t="s">
        <v>197</v>
      </c>
      <c r="K480" s="51" t="str">
        <f>VLOOKUP(표6[[#This Row],[종목]],자격증정보!$A$2:$I$7,2,FALSE) &amp; " " &amp; VLOOKUP(표6[[#This Row],[종목]],자격증정보!$A$2:$I$7,3,FALSE)</f>
        <v>워드프로세서 단일</v>
      </c>
      <c r="L480" s="2" t="str">
        <f>TEXT(VLOOKUP(표6[[#This Row],[일정번호]],표2[],6,FALSE), "hh:mm")</f>
        <v>12:00</v>
      </c>
      <c r="M480" s="2" t="str">
        <f>VLOOKUP(표6[[#This Row],[종목]],자격증정보!$A$2:$I$7,9,FALSE)</f>
        <v>30분</v>
      </c>
    </row>
    <row r="481" spans="1:13">
      <c r="A481" s="29">
        <v>431</v>
      </c>
      <c r="B481" s="2">
        <v>7</v>
      </c>
      <c r="C481" s="2">
        <v>1</v>
      </c>
      <c r="D481" s="2">
        <v>117</v>
      </c>
      <c r="E481" s="2">
        <v>33</v>
      </c>
      <c r="F481" s="3">
        <v>44384</v>
      </c>
      <c r="G481" s="3">
        <v>44391</v>
      </c>
      <c r="H481" s="3">
        <v>44392</v>
      </c>
      <c r="I481" s="2">
        <v>30</v>
      </c>
      <c r="J481" s="29" t="s">
        <v>197</v>
      </c>
      <c r="K481" s="51" t="str">
        <f>VLOOKUP(표6[[#This Row],[종목]],자격증정보!$A$2:$I$7,2,FALSE) &amp; " " &amp; VLOOKUP(표6[[#This Row],[종목]],자격증정보!$A$2:$I$7,3,FALSE)</f>
        <v>워드프로세서 단일</v>
      </c>
      <c r="L481" s="2" t="str">
        <f>TEXT(VLOOKUP(표6[[#This Row],[일정번호]],표2[],6,FALSE), "hh:mm")</f>
        <v>16:00</v>
      </c>
      <c r="M481" s="2" t="str">
        <f>VLOOKUP(표6[[#This Row],[종목]],자격증정보!$A$2:$I$7,9,FALSE)</f>
        <v>30분</v>
      </c>
    </row>
    <row r="482" spans="1:13">
      <c r="A482" s="29">
        <v>484</v>
      </c>
      <c r="B482" s="2">
        <v>20</v>
      </c>
      <c r="C482" s="2">
        <v>1</v>
      </c>
      <c r="D482" s="2">
        <v>65</v>
      </c>
      <c r="E482" s="2">
        <v>20</v>
      </c>
      <c r="F482" s="3">
        <v>44372</v>
      </c>
      <c r="G482" s="3">
        <v>44379</v>
      </c>
      <c r="H482" s="3">
        <v>44380</v>
      </c>
      <c r="I482" s="2">
        <v>40</v>
      </c>
      <c r="J482" s="29" t="s">
        <v>197</v>
      </c>
      <c r="K482" s="51" t="str">
        <f>VLOOKUP(표6[[#This Row],[종목]],자격증정보!$A$2:$I$7,2,FALSE) &amp; " " &amp; VLOOKUP(표6[[#This Row],[종목]],자격증정보!$A$2:$I$7,3,FALSE)</f>
        <v>워드프로세서 단일</v>
      </c>
      <c r="L482" s="2" t="str">
        <f>TEXT(VLOOKUP(표6[[#This Row],[일정번호]],표2[],6,FALSE), "hh:mm")</f>
        <v>13:00</v>
      </c>
      <c r="M482" s="2" t="str">
        <f>VLOOKUP(표6[[#This Row],[종목]],자격증정보!$A$2:$I$7,9,FALSE)</f>
        <v>30분</v>
      </c>
    </row>
    <row r="483" spans="1:13">
      <c r="A483" s="29">
        <v>485</v>
      </c>
      <c r="B483" s="2">
        <v>24</v>
      </c>
      <c r="C483" s="2">
        <v>1</v>
      </c>
      <c r="D483" s="2">
        <v>65</v>
      </c>
      <c r="E483" s="2">
        <v>20</v>
      </c>
      <c r="F483" s="3">
        <v>44372</v>
      </c>
      <c r="G483" s="3">
        <v>44379</v>
      </c>
      <c r="H483" s="3">
        <v>44380</v>
      </c>
      <c r="I483" s="2">
        <v>30</v>
      </c>
      <c r="J483" s="29" t="s">
        <v>197</v>
      </c>
      <c r="K483" s="51" t="str">
        <f>VLOOKUP(표6[[#This Row],[종목]],자격증정보!$A$2:$I$7,2,FALSE) &amp; " " &amp; VLOOKUP(표6[[#This Row],[종목]],자격증정보!$A$2:$I$7,3,FALSE)</f>
        <v>워드프로세서 단일</v>
      </c>
      <c r="L483" s="2" t="str">
        <f>TEXT(VLOOKUP(표6[[#This Row],[일정번호]],표2[],6,FALSE), "hh:mm")</f>
        <v>13:00</v>
      </c>
      <c r="M483" s="2" t="str">
        <f>VLOOKUP(표6[[#This Row],[종목]],자격증정보!$A$2:$I$7,9,FALSE)</f>
        <v>30분</v>
      </c>
    </row>
    <row r="484" spans="1:13">
      <c r="A484" s="29">
        <v>486</v>
      </c>
      <c r="B484" s="2">
        <v>27</v>
      </c>
      <c r="C484" s="2">
        <v>1</v>
      </c>
      <c r="D484" s="2">
        <v>66</v>
      </c>
      <c r="E484" s="2">
        <v>21</v>
      </c>
      <c r="F484" s="3">
        <v>44373</v>
      </c>
      <c r="G484" s="3">
        <v>44380</v>
      </c>
      <c r="H484" s="3">
        <v>44381</v>
      </c>
      <c r="I484" s="2">
        <v>10</v>
      </c>
      <c r="J484" s="29" t="s">
        <v>197</v>
      </c>
      <c r="K484" s="51" t="str">
        <f>VLOOKUP(표6[[#This Row],[종목]],자격증정보!$A$2:$I$7,2,FALSE) &amp; " " &amp; VLOOKUP(표6[[#This Row],[종목]],자격증정보!$A$2:$I$7,3,FALSE)</f>
        <v>워드프로세서 단일</v>
      </c>
      <c r="L484" s="2" t="str">
        <f>TEXT(VLOOKUP(표6[[#This Row],[일정번호]],표2[],6,FALSE), "hh:mm")</f>
        <v>15:00</v>
      </c>
      <c r="M484" s="2" t="str">
        <f>VLOOKUP(표6[[#This Row],[종목]],자격증정보!$A$2:$I$7,9,FALSE)</f>
        <v>30분</v>
      </c>
    </row>
    <row r="485" spans="1:13">
      <c r="A485" s="29">
        <v>487</v>
      </c>
      <c r="B485" s="2">
        <v>29</v>
      </c>
      <c r="C485" s="2">
        <v>1</v>
      </c>
      <c r="D485" s="2">
        <v>66</v>
      </c>
      <c r="E485" s="2">
        <v>21</v>
      </c>
      <c r="F485" s="3">
        <v>44373</v>
      </c>
      <c r="G485" s="3">
        <v>44380</v>
      </c>
      <c r="H485" s="3">
        <v>44381</v>
      </c>
      <c r="I485" s="2">
        <v>40</v>
      </c>
      <c r="J485" s="29" t="s">
        <v>197</v>
      </c>
      <c r="K485" s="51" t="str">
        <f>VLOOKUP(표6[[#This Row],[종목]],자격증정보!$A$2:$I$7,2,FALSE) &amp; " " &amp; VLOOKUP(표6[[#This Row],[종목]],자격증정보!$A$2:$I$7,3,FALSE)</f>
        <v>워드프로세서 단일</v>
      </c>
      <c r="L485" s="2" t="str">
        <f>TEXT(VLOOKUP(표6[[#This Row],[일정번호]],표2[],6,FALSE), "hh:mm")</f>
        <v>15:00</v>
      </c>
      <c r="M485" s="2" t="str">
        <f>VLOOKUP(표6[[#This Row],[종목]],자격증정보!$A$2:$I$7,9,FALSE)</f>
        <v>30분</v>
      </c>
    </row>
    <row r="486" spans="1:13">
      <c r="A486" s="29">
        <v>488</v>
      </c>
      <c r="B486" s="2">
        <v>21</v>
      </c>
      <c r="C486" s="2">
        <v>1</v>
      </c>
      <c r="D486" s="2">
        <v>66</v>
      </c>
      <c r="E486" s="2">
        <v>21</v>
      </c>
      <c r="F486" s="3">
        <v>44373</v>
      </c>
      <c r="G486" s="3">
        <v>44380</v>
      </c>
      <c r="H486" s="3">
        <v>44381</v>
      </c>
      <c r="I486" s="2">
        <v>30</v>
      </c>
      <c r="J486" s="29" t="s">
        <v>197</v>
      </c>
      <c r="K486" s="51" t="str">
        <f>VLOOKUP(표6[[#This Row],[종목]],자격증정보!$A$2:$I$7,2,FALSE) &amp; " " &amp; VLOOKUP(표6[[#This Row],[종목]],자격증정보!$A$2:$I$7,3,FALSE)</f>
        <v>워드프로세서 단일</v>
      </c>
      <c r="L486" s="2" t="str">
        <f>TEXT(VLOOKUP(표6[[#This Row],[일정번호]],표2[],6,FALSE), "hh:mm")</f>
        <v>15:00</v>
      </c>
      <c r="M486" s="2" t="str">
        <f>VLOOKUP(표6[[#This Row],[종목]],자격증정보!$A$2:$I$7,9,FALSE)</f>
        <v>30분</v>
      </c>
    </row>
    <row r="487" spans="1:13">
      <c r="A487" s="29">
        <v>489</v>
      </c>
      <c r="B487" s="2">
        <v>20</v>
      </c>
      <c r="C487" s="2">
        <v>1</v>
      </c>
      <c r="D487" s="2">
        <v>66</v>
      </c>
      <c r="E487" s="2">
        <v>21</v>
      </c>
      <c r="F487" s="3">
        <v>44373</v>
      </c>
      <c r="G487" s="3">
        <v>44380</v>
      </c>
      <c r="H487" s="3">
        <v>44381</v>
      </c>
      <c r="I487" s="2">
        <v>50</v>
      </c>
      <c r="J487" s="29" t="s">
        <v>197</v>
      </c>
      <c r="K487" s="51" t="str">
        <f>VLOOKUP(표6[[#This Row],[종목]],자격증정보!$A$2:$I$7,2,FALSE) &amp; " " &amp; VLOOKUP(표6[[#This Row],[종목]],자격증정보!$A$2:$I$7,3,FALSE)</f>
        <v>워드프로세서 단일</v>
      </c>
      <c r="L487" s="2" t="str">
        <f>TEXT(VLOOKUP(표6[[#This Row],[일정번호]],표2[],6,FALSE), "hh:mm")</f>
        <v>15:00</v>
      </c>
      <c r="M487" s="2" t="str">
        <f>VLOOKUP(표6[[#This Row],[종목]],자격증정보!$A$2:$I$7,9,FALSE)</f>
        <v>30분</v>
      </c>
    </row>
    <row r="488" spans="1:13">
      <c r="A488" s="29">
        <v>490</v>
      </c>
      <c r="B488" s="2">
        <v>14</v>
      </c>
      <c r="C488" s="2">
        <v>1</v>
      </c>
      <c r="D488" s="2">
        <v>74</v>
      </c>
      <c r="E488" s="2">
        <v>23</v>
      </c>
      <c r="F488" s="3">
        <v>44376</v>
      </c>
      <c r="G488" s="3">
        <v>44383</v>
      </c>
      <c r="H488" s="3">
        <v>44384</v>
      </c>
      <c r="I488" s="2">
        <v>40</v>
      </c>
      <c r="J488" s="29" t="s">
        <v>197</v>
      </c>
      <c r="K488" s="51" t="str">
        <f>VLOOKUP(표6[[#This Row],[종목]],자격증정보!$A$2:$I$7,2,FALSE) &amp; " " &amp; VLOOKUP(표6[[#This Row],[종목]],자격증정보!$A$2:$I$7,3,FALSE)</f>
        <v>워드프로세서 단일</v>
      </c>
      <c r="L488" s="2" t="str">
        <f>TEXT(VLOOKUP(표6[[#This Row],[일정번호]],표2[],6,FALSE), "hh:mm")</f>
        <v>14:00</v>
      </c>
      <c r="M488" s="2" t="str">
        <f>VLOOKUP(표6[[#This Row],[종목]],자격증정보!$A$2:$I$7,9,FALSE)</f>
        <v>30분</v>
      </c>
    </row>
    <row r="489" spans="1:13">
      <c r="A489" s="29">
        <v>491</v>
      </c>
      <c r="B489" s="2">
        <v>15</v>
      </c>
      <c r="C489" s="2">
        <v>1</v>
      </c>
      <c r="D489" s="2">
        <v>74</v>
      </c>
      <c r="E489" s="2">
        <v>23</v>
      </c>
      <c r="F489" s="3">
        <v>44376</v>
      </c>
      <c r="G489" s="3">
        <v>44383</v>
      </c>
      <c r="H489" s="3">
        <v>44384</v>
      </c>
      <c r="I489" s="2">
        <v>10</v>
      </c>
      <c r="J489" s="29" t="s">
        <v>197</v>
      </c>
      <c r="K489" s="51" t="str">
        <f>VLOOKUP(표6[[#This Row],[종목]],자격증정보!$A$2:$I$7,2,FALSE) &amp; " " &amp; VLOOKUP(표6[[#This Row],[종목]],자격증정보!$A$2:$I$7,3,FALSE)</f>
        <v>워드프로세서 단일</v>
      </c>
      <c r="L489" s="2" t="str">
        <f>TEXT(VLOOKUP(표6[[#This Row],[일정번호]],표2[],6,FALSE), "hh:mm")</f>
        <v>14:00</v>
      </c>
      <c r="M489" s="2" t="str">
        <f>VLOOKUP(표6[[#This Row],[종목]],자격증정보!$A$2:$I$7,9,FALSE)</f>
        <v>30분</v>
      </c>
    </row>
    <row r="490" spans="1:13">
      <c r="A490" s="29">
        <v>492</v>
      </c>
      <c r="B490" s="2">
        <v>20</v>
      </c>
      <c r="C490" s="2">
        <v>1</v>
      </c>
      <c r="D490" s="2">
        <v>74</v>
      </c>
      <c r="E490" s="2">
        <v>23</v>
      </c>
      <c r="F490" s="3">
        <v>44376</v>
      </c>
      <c r="G490" s="3">
        <v>44383</v>
      </c>
      <c r="H490" s="3">
        <v>44384</v>
      </c>
      <c r="I490" s="2">
        <v>40</v>
      </c>
      <c r="J490" s="29" t="s">
        <v>197</v>
      </c>
      <c r="K490" s="51" t="str">
        <f>VLOOKUP(표6[[#This Row],[종목]],자격증정보!$A$2:$I$7,2,FALSE) &amp; " " &amp; VLOOKUP(표6[[#This Row],[종목]],자격증정보!$A$2:$I$7,3,FALSE)</f>
        <v>워드프로세서 단일</v>
      </c>
      <c r="L490" s="2" t="str">
        <f>TEXT(VLOOKUP(표6[[#This Row],[일정번호]],표2[],6,FALSE), "hh:mm")</f>
        <v>14:00</v>
      </c>
      <c r="M490" s="2" t="str">
        <f>VLOOKUP(표6[[#This Row],[종목]],자격증정보!$A$2:$I$7,9,FALSE)</f>
        <v>30분</v>
      </c>
    </row>
    <row r="491" spans="1:13">
      <c r="A491" s="29">
        <v>493</v>
      </c>
      <c r="B491" s="2">
        <v>21</v>
      </c>
      <c r="C491" s="2">
        <v>1</v>
      </c>
      <c r="D491" s="2">
        <v>74</v>
      </c>
      <c r="E491" s="2">
        <v>23</v>
      </c>
      <c r="F491" s="3">
        <v>44376</v>
      </c>
      <c r="G491" s="3">
        <v>44383</v>
      </c>
      <c r="H491" s="3">
        <v>44384</v>
      </c>
      <c r="I491" s="2">
        <v>30</v>
      </c>
      <c r="J491" s="29" t="s">
        <v>197</v>
      </c>
      <c r="K491" s="51" t="str">
        <f>VLOOKUP(표6[[#This Row],[종목]],자격증정보!$A$2:$I$7,2,FALSE) &amp; " " &amp; VLOOKUP(표6[[#This Row],[종목]],자격증정보!$A$2:$I$7,3,FALSE)</f>
        <v>워드프로세서 단일</v>
      </c>
      <c r="L491" s="2" t="str">
        <f>TEXT(VLOOKUP(표6[[#This Row],[일정번호]],표2[],6,FALSE), "hh:mm")</f>
        <v>14:00</v>
      </c>
      <c r="M491" s="2" t="str">
        <f>VLOOKUP(표6[[#This Row],[종목]],자격증정보!$A$2:$I$7,9,FALSE)</f>
        <v>30분</v>
      </c>
    </row>
    <row r="492" spans="1:13">
      <c r="A492" s="29">
        <v>494</v>
      </c>
      <c r="B492" s="2">
        <v>24</v>
      </c>
      <c r="C492" s="2">
        <v>1</v>
      </c>
      <c r="D492" s="2">
        <v>74</v>
      </c>
      <c r="E492" s="2">
        <v>23</v>
      </c>
      <c r="F492" s="3">
        <v>44376</v>
      </c>
      <c r="G492" s="3">
        <v>44383</v>
      </c>
      <c r="H492" s="3">
        <v>44384</v>
      </c>
      <c r="I492" s="2">
        <v>50</v>
      </c>
      <c r="J492" s="29" t="s">
        <v>197</v>
      </c>
      <c r="K492" s="51" t="str">
        <f>VLOOKUP(표6[[#This Row],[종목]],자격증정보!$A$2:$I$7,2,FALSE) &amp; " " &amp; VLOOKUP(표6[[#This Row],[종목]],자격증정보!$A$2:$I$7,3,FALSE)</f>
        <v>워드프로세서 단일</v>
      </c>
      <c r="L492" s="2" t="str">
        <f>TEXT(VLOOKUP(표6[[#This Row],[일정번호]],표2[],6,FALSE), "hh:mm")</f>
        <v>14:00</v>
      </c>
      <c r="M492" s="2" t="str">
        <f>VLOOKUP(표6[[#This Row],[종목]],자격증정보!$A$2:$I$7,9,FALSE)</f>
        <v>30분</v>
      </c>
    </row>
    <row r="493" spans="1:13">
      <c r="A493" s="29">
        <v>495</v>
      </c>
      <c r="B493" s="2">
        <v>15</v>
      </c>
      <c r="C493" s="2">
        <v>1</v>
      </c>
      <c r="D493" s="2">
        <v>78</v>
      </c>
      <c r="E493" s="2">
        <v>24</v>
      </c>
      <c r="F493" s="3">
        <v>44379</v>
      </c>
      <c r="G493" s="3">
        <v>44386</v>
      </c>
      <c r="H493" s="3">
        <v>44387</v>
      </c>
      <c r="I493" s="2">
        <v>20</v>
      </c>
      <c r="J493" s="29" t="s">
        <v>197</v>
      </c>
      <c r="K493" s="51" t="str">
        <f>VLOOKUP(표6[[#This Row],[종목]],자격증정보!$A$2:$I$7,2,FALSE) &amp; " " &amp; VLOOKUP(표6[[#This Row],[종목]],자격증정보!$A$2:$I$7,3,FALSE)</f>
        <v>워드프로세서 단일</v>
      </c>
      <c r="L493" s="2" t="str">
        <f>TEXT(VLOOKUP(표6[[#This Row],[일정번호]],표2[],6,FALSE), "hh:mm")</f>
        <v>10:00</v>
      </c>
      <c r="M493" s="2" t="str">
        <f>VLOOKUP(표6[[#This Row],[종목]],자격증정보!$A$2:$I$7,9,FALSE)</f>
        <v>30분</v>
      </c>
    </row>
    <row r="494" spans="1:13">
      <c r="A494" s="29">
        <v>496</v>
      </c>
      <c r="B494" s="2">
        <v>18</v>
      </c>
      <c r="C494" s="2">
        <v>1</v>
      </c>
      <c r="D494" s="2">
        <v>78</v>
      </c>
      <c r="E494" s="2">
        <v>24</v>
      </c>
      <c r="F494" s="3">
        <v>44379</v>
      </c>
      <c r="G494" s="3">
        <v>44386</v>
      </c>
      <c r="H494" s="3">
        <v>44387</v>
      </c>
      <c r="I494" s="2">
        <v>10</v>
      </c>
      <c r="J494" s="29" t="s">
        <v>197</v>
      </c>
      <c r="K494" s="51" t="str">
        <f>VLOOKUP(표6[[#This Row],[종목]],자격증정보!$A$2:$I$7,2,FALSE) &amp; " " &amp; VLOOKUP(표6[[#This Row],[종목]],자격증정보!$A$2:$I$7,3,FALSE)</f>
        <v>워드프로세서 단일</v>
      </c>
      <c r="L494" s="2" t="str">
        <f>TEXT(VLOOKUP(표6[[#This Row],[일정번호]],표2[],6,FALSE), "hh:mm")</f>
        <v>10:00</v>
      </c>
      <c r="M494" s="2" t="str">
        <f>VLOOKUP(표6[[#This Row],[종목]],자격증정보!$A$2:$I$7,9,FALSE)</f>
        <v>30분</v>
      </c>
    </row>
    <row r="495" spans="1:13">
      <c r="A495" s="29">
        <v>497</v>
      </c>
      <c r="B495" s="2">
        <v>19</v>
      </c>
      <c r="C495" s="2">
        <v>1</v>
      </c>
      <c r="D495" s="2">
        <v>78</v>
      </c>
      <c r="E495" s="2">
        <v>24</v>
      </c>
      <c r="F495" s="3">
        <v>44379</v>
      </c>
      <c r="G495" s="3">
        <v>44386</v>
      </c>
      <c r="H495" s="3">
        <v>44387</v>
      </c>
      <c r="I495" s="2">
        <v>20</v>
      </c>
      <c r="J495" s="29" t="s">
        <v>197</v>
      </c>
      <c r="K495" s="51" t="str">
        <f>VLOOKUP(표6[[#This Row],[종목]],자격증정보!$A$2:$I$7,2,FALSE) &amp; " " &amp; VLOOKUP(표6[[#This Row],[종목]],자격증정보!$A$2:$I$7,3,FALSE)</f>
        <v>워드프로세서 단일</v>
      </c>
      <c r="L495" s="2" t="str">
        <f>TEXT(VLOOKUP(표6[[#This Row],[일정번호]],표2[],6,FALSE), "hh:mm")</f>
        <v>10:00</v>
      </c>
      <c r="M495" s="2" t="str">
        <f>VLOOKUP(표6[[#This Row],[종목]],자격증정보!$A$2:$I$7,9,FALSE)</f>
        <v>30분</v>
      </c>
    </row>
    <row r="496" spans="1:13">
      <c r="A496" s="29">
        <v>498</v>
      </c>
      <c r="B496" s="2">
        <v>20</v>
      </c>
      <c r="C496" s="2">
        <v>1</v>
      </c>
      <c r="D496" s="2">
        <v>78</v>
      </c>
      <c r="E496" s="2">
        <v>24</v>
      </c>
      <c r="F496" s="3">
        <v>44379</v>
      </c>
      <c r="G496" s="3">
        <v>44386</v>
      </c>
      <c r="H496" s="3">
        <v>44387</v>
      </c>
      <c r="I496" s="2">
        <v>10</v>
      </c>
      <c r="J496" s="29" t="s">
        <v>197</v>
      </c>
      <c r="K496" s="51" t="str">
        <f>VLOOKUP(표6[[#This Row],[종목]],자격증정보!$A$2:$I$7,2,FALSE) &amp; " " &amp; VLOOKUP(표6[[#This Row],[종목]],자격증정보!$A$2:$I$7,3,FALSE)</f>
        <v>워드프로세서 단일</v>
      </c>
      <c r="L496" s="2" t="str">
        <f>TEXT(VLOOKUP(표6[[#This Row],[일정번호]],표2[],6,FALSE), "hh:mm")</f>
        <v>10:00</v>
      </c>
      <c r="M496" s="2" t="str">
        <f>VLOOKUP(표6[[#This Row],[종목]],자격증정보!$A$2:$I$7,9,FALSE)</f>
        <v>30분</v>
      </c>
    </row>
    <row r="497" spans="1:13">
      <c r="A497" s="29">
        <v>499</v>
      </c>
      <c r="B497" s="2">
        <v>27</v>
      </c>
      <c r="C497" s="2">
        <v>1</v>
      </c>
      <c r="D497" s="2">
        <v>78</v>
      </c>
      <c r="E497" s="2">
        <v>24</v>
      </c>
      <c r="F497" s="3">
        <v>44379</v>
      </c>
      <c r="G497" s="3">
        <v>44386</v>
      </c>
      <c r="H497" s="3">
        <v>44387</v>
      </c>
      <c r="I497" s="2">
        <v>50</v>
      </c>
      <c r="J497" s="29" t="s">
        <v>197</v>
      </c>
      <c r="K497" s="51" t="str">
        <f>VLOOKUP(표6[[#This Row],[종목]],자격증정보!$A$2:$I$7,2,FALSE) &amp; " " &amp; VLOOKUP(표6[[#This Row],[종목]],자격증정보!$A$2:$I$7,3,FALSE)</f>
        <v>워드프로세서 단일</v>
      </c>
      <c r="L497" s="2" t="str">
        <f>TEXT(VLOOKUP(표6[[#This Row],[일정번호]],표2[],6,FALSE), "hh:mm")</f>
        <v>10:00</v>
      </c>
      <c r="M497" s="2" t="str">
        <f>VLOOKUP(표6[[#This Row],[종목]],자격증정보!$A$2:$I$7,9,FALSE)</f>
        <v>30분</v>
      </c>
    </row>
    <row r="498" spans="1:13">
      <c r="A498" s="29">
        <v>500</v>
      </c>
      <c r="B498" s="2">
        <v>29</v>
      </c>
      <c r="C498" s="2">
        <v>1</v>
      </c>
      <c r="D498" s="2">
        <v>78</v>
      </c>
      <c r="E498" s="2">
        <v>24</v>
      </c>
      <c r="F498" s="3">
        <v>44379</v>
      </c>
      <c r="G498" s="3">
        <v>44386</v>
      </c>
      <c r="H498" s="3">
        <v>44387</v>
      </c>
      <c r="I498" s="2">
        <v>30</v>
      </c>
      <c r="J498" s="29" t="s">
        <v>197</v>
      </c>
      <c r="K498" s="51" t="str">
        <f>VLOOKUP(표6[[#This Row],[종목]],자격증정보!$A$2:$I$7,2,FALSE) &amp; " " &amp; VLOOKUP(표6[[#This Row],[종목]],자격증정보!$A$2:$I$7,3,FALSE)</f>
        <v>워드프로세서 단일</v>
      </c>
      <c r="L498" s="2" t="str">
        <f>TEXT(VLOOKUP(표6[[#This Row],[일정번호]],표2[],6,FALSE), "hh:mm")</f>
        <v>10:00</v>
      </c>
      <c r="M498" s="2" t="str">
        <f>VLOOKUP(표6[[#This Row],[종목]],자격증정보!$A$2:$I$7,9,FALSE)</f>
        <v>30분</v>
      </c>
    </row>
    <row r="499" spans="1:13">
      <c r="A499" s="29">
        <v>501</v>
      </c>
      <c r="B499" s="2">
        <v>12</v>
      </c>
      <c r="C499" s="2">
        <v>1</v>
      </c>
      <c r="D499" s="2">
        <v>79</v>
      </c>
      <c r="E499" s="2">
        <v>25</v>
      </c>
      <c r="F499" s="3">
        <v>44380</v>
      </c>
      <c r="G499" s="3">
        <v>44387</v>
      </c>
      <c r="H499" s="3">
        <v>44388</v>
      </c>
      <c r="I499" s="2">
        <v>50</v>
      </c>
      <c r="J499" s="29" t="s">
        <v>197</v>
      </c>
      <c r="K499" s="51" t="str">
        <f>VLOOKUP(표6[[#This Row],[종목]],자격증정보!$A$2:$I$7,2,FALSE) &amp; " " &amp; VLOOKUP(표6[[#This Row],[종목]],자격증정보!$A$2:$I$7,3,FALSE)</f>
        <v>워드프로세서 단일</v>
      </c>
      <c r="L499" s="2" t="str">
        <f>TEXT(VLOOKUP(표6[[#This Row],[일정번호]],표2[],6,FALSE), "hh:mm")</f>
        <v>11:00</v>
      </c>
      <c r="M499" s="2" t="str">
        <f>VLOOKUP(표6[[#This Row],[종목]],자격증정보!$A$2:$I$7,9,FALSE)</f>
        <v>30분</v>
      </c>
    </row>
    <row r="500" spans="1:13">
      <c r="A500" s="29">
        <v>502</v>
      </c>
      <c r="B500" s="2">
        <v>13</v>
      </c>
      <c r="C500" s="2">
        <v>1</v>
      </c>
      <c r="D500" s="2">
        <v>79</v>
      </c>
      <c r="E500" s="2">
        <v>25</v>
      </c>
      <c r="F500" s="3">
        <v>44380</v>
      </c>
      <c r="G500" s="3">
        <v>44387</v>
      </c>
      <c r="H500" s="3">
        <v>44388</v>
      </c>
      <c r="I500" s="2">
        <v>90</v>
      </c>
      <c r="J500" s="29" t="s">
        <v>198</v>
      </c>
      <c r="K500" s="51" t="str">
        <f>VLOOKUP(표6[[#This Row],[종목]],자격증정보!$A$2:$I$7,2,FALSE) &amp; " " &amp; VLOOKUP(표6[[#This Row],[종목]],자격증정보!$A$2:$I$7,3,FALSE)</f>
        <v>워드프로세서 단일</v>
      </c>
      <c r="L500" s="2" t="str">
        <f>TEXT(VLOOKUP(표6[[#This Row],[일정번호]],표2[],6,FALSE), "hh:mm")</f>
        <v>11:00</v>
      </c>
      <c r="M500" s="2" t="str">
        <f>VLOOKUP(표6[[#This Row],[종목]],자격증정보!$A$2:$I$7,9,FALSE)</f>
        <v>30분</v>
      </c>
    </row>
    <row r="501" spans="1:13">
      <c r="A501" s="29">
        <v>503</v>
      </c>
      <c r="B501" s="2">
        <v>15</v>
      </c>
      <c r="C501" s="2">
        <v>1</v>
      </c>
      <c r="D501" s="2">
        <v>79</v>
      </c>
      <c r="E501" s="2">
        <v>25</v>
      </c>
      <c r="F501" s="3">
        <v>44380</v>
      </c>
      <c r="G501" s="3">
        <v>44387</v>
      </c>
      <c r="H501" s="3">
        <v>44388</v>
      </c>
      <c r="I501" s="2">
        <v>70</v>
      </c>
      <c r="J501" s="29" t="s">
        <v>198</v>
      </c>
      <c r="K501" s="51" t="str">
        <f>VLOOKUP(표6[[#This Row],[종목]],자격증정보!$A$2:$I$7,2,FALSE) &amp; " " &amp; VLOOKUP(표6[[#This Row],[종목]],자격증정보!$A$2:$I$7,3,FALSE)</f>
        <v>워드프로세서 단일</v>
      </c>
      <c r="L501" s="2" t="str">
        <f>TEXT(VLOOKUP(표6[[#This Row],[일정번호]],표2[],6,FALSE), "hh:mm")</f>
        <v>11:00</v>
      </c>
      <c r="M501" s="2" t="str">
        <f>VLOOKUP(표6[[#This Row],[종목]],자격증정보!$A$2:$I$7,9,FALSE)</f>
        <v>30분</v>
      </c>
    </row>
    <row r="502" spans="1:13">
      <c r="A502" s="29">
        <v>504</v>
      </c>
      <c r="B502" s="2">
        <v>20</v>
      </c>
      <c r="C502" s="2">
        <v>1</v>
      </c>
      <c r="D502" s="2">
        <v>79</v>
      </c>
      <c r="E502" s="2">
        <v>25</v>
      </c>
      <c r="F502" s="3">
        <v>44380</v>
      </c>
      <c r="G502" s="3">
        <v>44387</v>
      </c>
      <c r="H502" s="3">
        <v>44388</v>
      </c>
      <c r="I502" s="2">
        <v>20</v>
      </c>
      <c r="J502" s="29" t="s">
        <v>197</v>
      </c>
      <c r="K502" s="51" t="str">
        <f>VLOOKUP(표6[[#This Row],[종목]],자격증정보!$A$2:$I$7,2,FALSE) &amp; " " &amp; VLOOKUP(표6[[#This Row],[종목]],자격증정보!$A$2:$I$7,3,FALSE)</f>
        <v>워드프로세서 단일</v>
      </c>
      <c r="L502" s="2" t="str">
        <f>TEXT(VLOOKUP(표6[[#This Row],[일정번호]],표2[],6,FALSE), "hh:mm")</f>
        <v>11:00</v>
      </c>
      <c r="M502" s="2" t="str">
        <f>VLOOKUP(표6[[#This Row],[종목]],자격증정보!$A$2:$I$7,9,FALSE)</f>
        <v>30분</v>
      </c>
    </row>
    <row r="503" spans="1:13">
      <c r="A503" s="29">
        <v>505</v>
      </c>
      <c r="B503" s="2">
        <v>14</v>
      </c>
      <c r="C503" s="2">
        <v>1</v>
      </c>
      <c r="D503" s="2">
        <v>80</v>
      </c>
      <c r="E503" s="2">
        <v>26</v>
      </c>
      <c r="F503" s="3">
        <v>44380</v>
      </c>
      <c r="G503" s="3">
        <v>44387</v>
      </c>
      <c r="H503" s="3">
        <v>44388</v>
      </c>
      <c r="I503" s="2">
        <v>20</v>
      </c>
      <c r="J503" s="29" t="s">
        <v>197</v>
      </c>
      <c r="K503" s="51" t="str">
        <f>VLOOKUP(표6[[#This Row],[종목]],자격증정보!$A$2:$I$7,2,FALSE) &amp; " " &amp; VLOOKUP(표6[[#This Row],[종목]],자격증정보!$A$2:$I$7,3,FALSE)</f>
        <v>워드프로세서 단일</v>
      </c>
      <c r="L503" s="2" t="str">
        <f>TEXT(VLOOKUP(표6[[#This Row],[일정번호]],표2[],6,FALSE), "hh:mm")</f>
        <v>10:00</v>
      </c>
      <c r="M503" s="2" t="str">
        <f>VLOOKUP(표6[[#This Row],[종목]],자격증정보!$A$2:$I$7,9,FALSE)</f>
        <v>30분</v>
      </c>
    </row>
    <row r="504" spans="1:13">
      <c r="A504" s="29">
        <v>506</v>
      </c>
      <c r="B504" s="29">
        <v>16</v>
      </c>
      <c r="C504" s="29">
        <v>1</v>
      </c>
      <c r="D504" s="29">
        <v>80</v>
      </c>
      <c r="E504" s="29">
        <v>26</v>
      </c>
      <c r="F504" s="30">
        <v>44380</v>
      </c>
      <c r="G504" s="30">
        <v>44387</v>
      </c>
      <c r="H504" s="30">
        <v>44388</v>
      </c>
      <c r="I504" s="29">
        <v>60</v>
      </c>
      <c r="J504" s="29" t="s">
        <v>198</v>
      </c>
      <c r="K504" s="51" t="str">
        <f>VLOOKUP(표6[[#This Row],[종목]],자격증정보!$A$2:$I$7,2,FALSE) &amp; " " &amp; VLOOKUP(표6[[#This Row],[종목]],자격증정보!$A$2:$I$7,3,FALSE)</f>
        <v>워드프로세서 단일</v>
      </c>
      <c r="L504" s="2" t="str">
        <f>TEXT(VLOOKUP(표6[[#This Row],[일정번호]],표2[],6,FALSE), "hh:mm")</f>
        <v>10:00</v>
      </c>
      <c r="M504" s="2" t="str">
        <f>VLOOKUP(표6[[#This Row],[종목]],자격증정보!$A$2:$I$7,9,FALSE)</f>
        <v>30분</v>
      </c>
    </row>
  </sheetData>
  <phoneticPr fontId="1" type="noConversion"/>
  <conditionalFormatting sqref="A2:J1048576">
    <cfRule type="expression" dxfId="61" priority="1">
      <formula>$A2 &lt;&gt; ""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258"/>
  <sheetViews>
    <sheetView topLeftCell="A16" workbookViewId="0">
      <selection activeCell="I28" sqref="I28"/>
    </sheetView>
  </sheetViews>
  <sheetFormatPr defaultRowHeight="16.5"/>
  <cols>
    <col min="1" max="2" width="9" style="2"/>
    <col min="3" max="3" width="133.375" style="7" customWidth="1"/>
    <col min="4" max="16384" width="9" style="2"/>
  </cols>
  <sheetData>
    <row r="1" spans="1:4">
      <c r="A1" s="4" t="s">
        <v>0</v>
      </c>
      <c r="B1" s="4" t="s">
        <v>159</v>
      </c>
      <c r="C1" s="8" t="s">
        <v>455</v>
      </c>
      <c r="D1" s="4" t="s">
        <v>1567</v>
      </c>
    </row>
    <row r="2" spans="1:4">
      <c r="A2" s="2">
        <v>1</v>
      </c>
      <c r="B2" s="2">
        <v>1</v>
      </c>
      <c r="C2" s="7" t="s">
        <v>199</v>
      </c>
      <c r="D2" s="2">
        <v>1</v>
      </c>
    </row>
    <row r="3" spans="1:4">
      <c r="A3" s="2">
        <v>2</v>
      </c>
      <c r="B3" s="2">
        <v>1</v>
      </c>
      <c r="C3" s="7" t="s">
        <v>200</v>
      </c>
      <c r="D3" s="2">
        <v>4</v>
      </c>
    </row>
    <row r="4" spans="1:4">
      <c r="A4" s="2">
        <v>3</v>
      </c>
      <c r="B4" s="2">
        <v>1</v>
      </c>
      <c r="C4" s="7" t="s">
        <v>201</v>
      </c>
      <c r="D4" s="2">
        <v>2</v>
      </c>
    </row>
    <row r="5" spans="1:4">
      <c r="A5" s="2">
        <v>4</v>
      </c>
      <c r="B5" s="2">
        <v>1</v>
      </c>
      <c r="C5" s="7" t="s">
        <v>202</v>
      </c>
      <c r="D5" s="2">
        <v>1</v>
      </c>
    </row>
    <row r="6" spans="1:4">
      <c r="A6" s="2">
        <v>5</v>
      </c>
      <c r="B6" s="2">
        <v>1</v>
      </c>
      <c r="C6" s="7" t="s">
        <v>203</v>
      </c>
      <c r="D6" s="2">
        <v>3</v>
      </c>
    </row>
    <row r="7" spans="1:4">
      <c r="A7" s="2">
        <v>6</v>
      </c>
      <c r="B7" s="2">
        <v>1</v>
      </c>
      <c r="C7" s="7" t="s">
        <v>204</v>
      </c>
      <c r="D7" s="2">
        <v>4</v>
      </c>
    </row>
    <row r="8" spans="1:4">
      <c r="A8" s="2">
        <v>7</v>
      </c>
      <c r="B8" s="2">
        <v>1</v>
      </c>
      <c r="C8" s="7" t="s">
        <v>205</v>
      </c>
      <c r="D8" s="2">
        <v>3</v>
      </c>
    </row>
    <row r="9" spans="1:4">
      <c r="A9" s="2">
        <v>8</v>
      </c>
      <c r="B9" s="2">
        <v>1</v>
      </c>
      <c r="C9" s="7" t="s">
        <v>206</v>
      </c>
      <c r="D9" s="2">
        <v>1</v>
      </c>
    </row>
    <row r="10" spans="1:4">
      <c r="A10" s="2">
        <v>9</v>
      </c>
      <c r="B10" s="2">
        <v>1</v>
      </c>
      <c r="C10" s="7" t="s">
        <v>207</v>
      </c>
      <c r="D10" s="2">
        <v>1</v>
      </c>
    </row>
    <row r="11" spans="1:4">
      <c r="A11" s="2">
        <v>10</v>
      </c>
      <c r="B11" s="2">
        <v>1</v>
      </c>
      <c r="C11" s="7" t="s">
        <v>208</v>
      </c>
      <c r="D11" s="2">
        <v>4</v>
      </c>
    </row>
    <row r="12" spans="1:4">
      <c r="A12" s="2">
        <v>11</v>
      </c>
      <c r="B12" s="2">
        <v>1</v>
      </c>
      <c r="C12" s="7" t="s">
        <v>209</v>
      </c>
      <c r="D12" s="2">
        <v>2</v>
      </c>
    </row>
    <row r="13" spans="1:4">
      <c r="A13" s="2">
        <v>12</v>
      </c>
      <c r="B13" s="2">
        <v>1</v>
      </c>
      <c r="C13" s="7" t="s">
        <v>210</v>
      </c>
      <c r="D13" s="2">
        <v>1</v>
      </c>
    </row>
    <row r="14" spans="1:4">
      <c r="A14" s="2">
        <v>13</v>
      </c>
      <c r="B14" s="2">
        <v>1</v>
      </c>
      <c r="C14" s="7" t="s">
        <v>211</v>
      </c>
      <c r="D14" s="2">
        <v>1</v>
      </c>
    </row>
    <row r="15" spans="1:4">
      <c r="A15" s="2">
        <v>14</v>
      </c>
      <c r="B15" s="2">
        <v>1</v>
      </c>
      <c r="C15" s="7" t="s">
        <v>212</v>
      </c>
      <c r="D15" s="2">
        <v>4</v>
      </c>
    </row>
    <row r="16" spans="1:4">
      <c r="A16" s="2">
        <v>15</v>
      </c>
      <c r="B16" s="2">
        <v>1</v>
      </c>
      <c r="C16" s="7" t="s">
        <v>213</v>
      </c>
      <c r="D16" s="2">
        <v>3</v>
      </c>
    </row>
    <row r="17" spans="1:4">
      <c r="A17" s="2">
        <v>16</v>
      </c>
      <c r="B17" s="2">
        <v>1</v>
      </c>
      <c r="C17" s="7" t="s">
        <v>214</v>
      </c>
      <c r="D17" s="2">
        <v>4</v>
      </c>
    </row>
    <row r="18" spans="1:4">
      <c r="A18" s="2">
        <v>17</v>
      </c>
      <c r="B18" s="2">
        <v>1</v>
      </c>
      <c r="C18" s="7" t="s">
        <v>215</v>
      </c>
      <c r="D18" s="2">
        <v>3</v>
      </c>
    </row>
    <row r="19" spans="1:4">
      <c r="A19" s="2">
        <v>18</v>
      </c>
      <c r="B19" s="2">
        <v>1</v>
      </c>
      <c r="C19" s="7" t="s">
        <v>216</v>
      </c>
      <c r="D19" s="2">
        <v>4</v>
      </c>
    </row>
    <row r="20" spans="1:4">
      <c r="A20" s="2">
        <v>19</v>
      </c>
      <c r="B20" s="2">
        <v>1</v>
      </c>
      <c r="C20" s="7" t="s">
        <v>217</v>
      </c>
      <c r="D20" s="2">
        <v>4</v>
      </c>
    </row>
    <row r="21" spans="1:4">
      <c r="A21" s="2">
        <v>20</v>
      </c>
      <c r="B21" s="2">
        <v>1</v>
      </c>
      <c r="C21" s="7" t="s">
        <v>218</v>
      </c>
      <c r="D21" s="2">
        <v>1</v>
      </c>
    </row>
    <row r="22" spans="1:4">
      <c r="A22" s="2">
        <v>21</v>
      </c>
      <c r="B22" s="2">
        <v>1</v>
      </c>
      <c r="C22" s="7" t="s">
        <v>219</v>
      </c>
      <c r="D22" s="2">
        <v>2</v>
      </c>
    </row>
    <row r="23" spans="1:4">
      <c r="A23" s="2">
        <v>22</v>
      </c>
      <c r="B23" s="2">
        <v>1</v>
      </c>
      <c r="C23" s="7" t="s">
        <v>220</v>
      </c>
      <c r="D23" s="2">
        <v>4</v>
      </c>
    </row>
    <row r="24" spans="1:4">
      <c r="A24" s="2">
        <v>23</v>
      </c>
      <c r="B24" s="2">
        <v>1</v>
      </c>
      <c r="C24" s="7" t="s">
        <v>221</v>
      </c>
      <c r="D24" s="2">
        <v>4</v>
      </c>
    </row>
    <row r="25" spans="1:4">
      <c r="A25" s="2">
        <v>24</v>
      </c>
      <c r="B25" s="2">
        <v>1</v>
      </c>
      <c r="C25" s="7" t="s">
        <v>222</v>
      </c>
      <c r="D25" s="2">
        <v>3</v>
      </c>
    </row>
    <row r="26" spans="1:4">
      <c r="A26" s="2">
        <v>25</v>
      </c>
      <c r="B26" s="2">
        <v>1</v>
      </c>
      <c r="C26" s="7" t="s">
        <v>223</v>
      </c>
      <c r="D26" s="2">
        <v>4</v>
      </c>
    </row>
    <row r="27" spans="1:4">
      <c r="A27" s="2">
        <v>26</v>
      </c>
      <c r="B27" s="2">
        <v>1</v>
      </c>
      <c r="C27" s="7" t="s">
        <v>224</v>
      </c>
      <c r="D27" s="2">
        <v>2</v>
      </c>
    </row>
    <row r="28" spans="1:4">
      <c r="A28" s="2">
        <v>27</v>
      </c>
      <c r="B28" s="2">
        <v>1</v>
      </c>
      <c r="C28" s="7" t="s">
        <v>225</v>
      </c>
      <c r="D28" s="2">
        <v>3</v>
      </c>
    </row>
    <row r="29" spans="1:4">
      <c r="A29" s="2">
        <v>28</v>
      </c>
      <c r="B29" s="2">
        <v>1</v>
      </c>
      <c r="C29" s="7" t="s">
        <v>226</v>
      </c>
      <c r="D29" s="2">
        <v>4</v>
      </c>
    </row>
    <row r="30" spans="1:4">
      <c r="A30" s="2">
        <v>29</v>
      </c>
      <c r="B30" s="2">
        <v>1</v>
      </c>
      <c r="C30" s="7" t="s">
        <v>227</v>
      </c>
      <c r="D30" s="2">
        <v>4</v>
      </c>
    </row>
    <row r="31" spans="1:4">
      <c r="A31" s="2">
        <v>30</v>
      </c>
      <c r="B31" s="2">
        <v>1</v>
      </c>
      <c r="C31" s="7" t="s">
        <v>228</v>
      </c>
      <c r="D31" s="2">
        <v>2</v>
      </c>
    </row>
    <row r="32" spans="1:4">
      <c r="A32" s="2">
        <v>31</v>
      </c>
      <c r="B32" s="2">
        <v>1</v>
      </c>
      <c r="C32" s="7" t="s">
        <v>229</v>
      </c>
      <c r="D32" s="2">
        <v>1</v>
      </c>
    </row>
    <row r="33" spans="1:4">
      <c r="A33" s="2">
        <v>32</v>
      </c>
      <c r="B33" s="2">
        <v>1</v>
      </c>
      <c r="C33" s="7" t="s">
        <v>230</v>
      </c>
      <c r="D33" s="2">
        <v>1</v>
      </c>
    </row>
    <row r="34" spans="1:4">
      <c r="A34" s="2">
        <v>33</v>
      </c>
      <c r="B34" s="2">
        <v>1</v>
      </c>
      <c r="C34" s="7" t="s">
        <v>231</v>
      </c>
      <c r="D34" s="2">
        <v>4</v>
      </c>
    </row>
    <row r="35" spans="1:4">
      <c r="A35" s="2">
        <v>34</v>
      </c>
      <c r="B35" s="2">
        <v>1</v>
      </c>
      <c r="C35" s="7" t="s">
        <v>232</v>
      </c>
      <c r="D35" s="2">
        <v>4</v>
      </c>
    </row>
    <row r="36" spans="1:4">
      <c r="A36" s="2">
        <v>35</v>
      </c>
      <c r="B36" s="2">
        <v>1</v>
      </c>
      <c r="C36" s="7" t="s">
        <v>233</v>
      </c>
      <c r="D36" s="2">
        <v>1</v>
      </c>
    </row>
    <row r="37" spans="1:4">
      <c r="A37" s="2">
        <v>36</v>
      </c>
      <c r="B37" s="2">
        <v>1</v>
      </c>
      <c r="C37" s="7" t="s">
        <v>234</v>
      </c>
      <c r="D37" s="2">
        <v>4</v>
      </c>
    </row>
    <row r="38" spans="1:4">
      <c r="A38" s="2">
        <v>37</v>
      </c>
      <c r="B38" s="2">
        <v>1</v>
      </c>
      <c r="C38" s="7" t="s">
        <v>235</v>
      </c>
      <c r="D38" s="2">
        <v>2</v>
      </c>
    </row>
    <row r="39" spans="1:4">
      <c r="A39" s="2">
        <v>38</v>
      </c>
      <c r="B39" s="2">
        <v>1</v>
      </c>
      <c r="C39" s="7" t="s">
        <v>236</v>
      </c>
      <c r="D39" s="2">
        <v>1</v>
      </c>
    </row>
    <row r="40" spans="1:4">
      <c r="A40" s="2">
        <v>39</v>
      </c>
      <c r="B40" s="2">
        <v>1</v>
      </c>
      <c r="C40" s="7" t="s">
        <v>237</v>
      </c>
      <c r="D40" s="2">
        <v>2</v>
      </c>
    </row>
    <row r="41" spans="1:4">
      <c r="A41" s="2">
        <v>40</v>
      </c>
      <c r="B41" s="2">
        <v>1</v>
      </c>
      <c r="C41" s="7" t="s">
        <v>238</v>
      </c>
      <c r="D41" s="2">
        <v>4</v>
      </c>
    </row>
    <row r="42" spans="1:4">
      <c r="A42" s="2">
        <v>41</v>
      </c>
      <c r="B42" s="2">
        <v>1</v>
      </c>
      <c r="C42" s="7" t="s">
        <v>239</v>
      </c>
      <c r="D42" s="2">
        <v>1</v>
      </c>
    </row>
    <row r="43" spans="1:4">
      <c r="A43" s="2">
        <v>42</v>
      </c>
      <c r="B43" s="2">
        <v>1</v>
      </c>
      <c r="C43" s="7" t="s">
        <v>240</v>
      </c>
      <c r="D43" s="2">
        <v>2</v>
      </c>
    </row>
    <row r="44" spans="1:4">
      <c r="A44" s="2">
        <v>43</v>
      </c>
      <c r="B44" s="2">
        <v>1</v>
      </c>
      <c r="C44" s="7" t="s">
        <v>241</v>
      </c>
      <c r="D44" s="2">
        <v>4</v>
      </c>
    </row>
    <row r="45" spans="1:4">
      <c r="A45" s="2">
        <v>44</v>
      </c>
      <c r="B45" s="2">
        <v>1</v>
      </c>
      <c r="C45" s="7" t="s">
        <v>242</v>
      </c>
      <c r="D45" s="2">
        <v>3</v>
      </c>
    </row>
    <row r="46" spans="1:4">
      <c r="A46" s="2">
        <v>45</v>
      </c>
      <c r="B46" s="2">
        <v>1</v>
      </c>
      <c r="C46" s="7" t="s">
        <v>243</v>
      </c>
      <c r="D46" s="2">
        <v>1</v>
      </c>
    </row>
    <row r="47" spans="1:4">
      <c r="A47" s="2">
        <v>46</v>
      </c>
      <c r="B47" s="2">
        <v>1</v>
      </c>
      <c r="C47" s="7" t="s">
        <v>244</v>
      </c>
      <c r="D47" s="2">
        <v>2</v>
      </c>
    </row>
    <row r="48" spans="1:4">
      <c r="A48" s="2">
        <v>47</v>
      </c>
      <c r="B48" s="2">
        <v>1</v>
      </c>
      <c r="C48" s="7" t="s">
        <v>245</v>
      </c>
      <c r="D48" s="2">
        <v>2</v>
      </c>
    </row>
    <row r="49" spans="1:4">
      <c r="A49" s="2">
        <v>48</v>
      </c>
      <c r="B49" s="2">
        <v>1</v>
      </c>
      <c r="C49" s="7" t="s">
        <v>246</v>
      </c>
      <c r="D49" s="2">
        <v>3</v>
      </c>
    </row>
    <row r="50" spans="1:4">
      <c r="A50" s="2">
        <v>49</v>
      </c>
      <c r="B50" s="2">
        <v>1</v>
      </c>
      <c r="C50" s="7" t="s">
        <v>247</v>
      </c>
      <c r="D50" s="2">
        <v>1</v>
      </c>
    </row>
    <row r="51" spans="1:4">
      <c r="A51" s="2">
        <v>50</v>
      </c>
      <c r="B51" s="2">
        <v>1</v>
      </c>
      <c r="C51" s="7" t="s">
        <v>248</v>
      </c>
      <c r="D51" s="2">
        <v>4</v>
      </c>
    </row>
    <row r="52" spans="1:4">
      <c r="A52" s="2">
        <v>51</v>
      </c>
      <c r="B52" s="2">
        <v>1</v>
      </c>
      <c r="C52" s="7" t="s">
        <v>249</v>
      </c>
      <c r="D52" s="2">
        <v>3</v>
      </c>
    </row>
    <row r="53" spans="1:4">
      <c r="A53" s="2">
        <v>52</v>
      </c>
      <c r="B53" s="2">
        <v>1</v>
      </c>
      <c r="C53" s="7" t="s">
        <v>250</v>
      </c>
      <c r="D53" s="2">
        <v>1</v>
      </c>
    </row>
    <row r="54" spans="1:4">
      <c r="A54" s="2">
        <v>53</v>
      </c>
      <c r="B54" s="2">
        <v>1</v>
      </c>
      <c r="C54" s="7" t="s">
        <v>251</v>
      </c>
      <c r="D54" s="2">
        <v>3</v>
      </c>
    </row>
    <row r="55" spans="1:4">
      <c r="A55" s="2">
        <v>54</v>
      </c>
      <c r="B55" s="2">
        <v>2</v>
      </c>
      <c r="C55" s="7" t="s">
        <v>252</v>
      </c>
      <c r="D55" s="2">
        <v>4</v>
      </c>
    </row>
    <row r="56" spans="1:4">
      <c r="A56" s="2">
        <v>55</v>
      </c>
      <c r="B56" s="2">
        <v>2</v>
      </c>
      <c r="C56" s="7" t="s">
        <v>253</v>
      </c>
      <c r="D56" s="2">
        <v>4</v>
      </c>
    </row>
    <row r="57" spans="1:4">
      <c r="A57" s="2">
        <v>56</v>
      </c>
      <c r="B57" s="2">
        <v>2</v>
      </c>
      <c r="C57" s="7" t="s">
        <v>254</v>
      </c>
      <c r="D57" s="2">
        <v>1</v>
      </c>
    </row>
    <row r="58" spans="1:4">
      <c r="A58" s="2">
        <v>57</v>
      </c>
      <c r="B58" s="2">
        <v>2</v>
      </c>
      <c r="C58" s="7" t="s">
        <v>255</v>
      </c>
      <c r="D58" s="2">
        <v>3</v>
      </c>
    </row>
    <row r="59" spans="1:4">
      <c r="A59" s="2">
        <v>58</v>
      </c>
      <c r="B59" s="2">
        <v>2</v>
      </c>
      <c r="C59" s="7" t="s">
        <v>256</v>
      </c>
      <c r="D59" s="2">
        <v>4</v>
      </c>
    </row>
    <row r="60" spans="1:4">
      <c r="A60" s="2">
        <v>59</v>
      </c>
      <c r="B60" s="2">
        <v>2</v>
      </c>
      <c r="C60" s="7" t="s">
        <v>257</v>
      </c>
      <c r="D60" s="2">
        <v>3</v>
      </c>
    </row>
    <row r="61" spans="1:4">
      <c r="A61" s="2">
        <v>60</v>
      </c>
      <c r="B61" s="2">
        <v>2</v>
      </c>
      <c r="C61" s="7" t="s">
        <v>258</v>
      </c>
      <c r="D61" s="2">
        <v>3</v>
      </c>
    </row>
    <row r="62" spans="1:4">
      <c r="A62" s="2">
        <v>61</v>
      </c>
      <c r="B62" s="2">
        <v>2</v>
      </c>
      <c r="C62" s="7" t="s">
        <v>259</v>
      </c>
      <c r="D62" s="2">
        <v>3</v>
      </c>
    </row>
    <row r="63" spans="1:4">
      <c r="A63" s="2">
        <v>62</v>
      </c>
      <c r="B63" s="2">
        <v>2</v>
      </c>
      <c r="C63" s="7" t="s">
        <v>260</v>
      </c>
      <c r="D63" s="2">
        <v>2</v>
      </c>
    </row>
    <row r="64" spans="1:4">
      <c r="A64" s="2">
        <v>63</v>
      </c>
      <c r="B64" s="2">
        <v>2</v>
      </c>
      <c r="C64" s="7" t="s">
        <v>261</v>
      </c>
      <c r="D64" s="2">
        <v>4</v>
      </c>
    </row>
    <row r="65" spans="1:4">
      <c r="A65" s="2">
        <v>64</v>
      </c>
      <c r="B65" s="2">
        <v>2</v>
      </c>
      <c r="C65" s="7" t="s">
        <v>262</v>
      </c>
      <c r="D65" s="2">
        <v>4</v>
      </c>
    </row>
    <row r="66" spans="1:4">
      <c r="A66" s="2">
        <v>65</v>
      </c>
      <c r="B66" s="2">
        <v>2</v>
      </c>
      <c r="C66" s="7" t="s">
        <v>263</v>
      </c>
      <c r="D66" s="2">
        <v>2</v>
      </c>
    </row>
    <row r="67" spans="1:4">
      <c r="A67" s="2">
        <v>66</v>
      </c>
      <c r="B67" s="2">
        <v>2</v>
      </c>
      <c r="C67" s="7" t="s">
        <v>264</v>
      </c>
      <c r="D67" s="2">
        <v>2</v>
      </c>
    </row>
    <row r="68" spans="1:4">
      <c r="A68" s="2">
        <v>67</v>
      </c>
      <c r="B68" s="2">
        <v>2</v>
      </c>
      <c r="C68" s="7" t="s">
        <v>265</v>
      </c>
      <c r="D68" s="2">
        <v>4</v>
      </c>
    </row>
    <row r="69" spans="1:4">
      <c r="A69" s="2">
        <v>68</v>
      </c>
      <c r="B69" s="2">
        <v>2</v>
      </c>
      <c r="C69" s="7" t="s">
        <v>266</v>
      </c>
      <c r="D69" s="2" t="s">
        <v>1567</v>
      </c>
    </row>
    <row r="70" spans="1:4">
      <c r="A70" s="2">
        <v>69</v>
      </c>
      <c r="B70" s="2">
        <v>2</v>
      </c>
      <c r="C70" s="7" t="s">
        <v>267</v>
      </c>
      <c r="D70" s="2">
        <v>2</v>
      </c>
    </row>
    <row r="71" spans="1:4">
      <c r="A71" s="2">
        <v>70</v>
      </c>
      <c r="B71" s="2">
        <v>2</v>
      </c>
      <c r="C71" s="7" t="s">
        <v>268</v>
      </c>
      <c r="D71" s="2">
        <v>3</v>
      </c>
    </row>
    <row r="72" spans="1:4">
      <c r="A72" s="2">
        <v>71</v>
      </c>
      <c r="B72" s="2">
        <v>2</v>
      </c>
      <c r="C72" s="7" t="s">
        <v>269</v>
      </c>
      <c r="D72" s="2">
        <v>4</v>
      </c>
    </row>
    <row r="73" spans="1:4">
      <c r="A73" s="2">
        <v>72</v>
      </c>
      <c r="B73" s="2">
        <v>2</v>
      </c>
      <c r="C73" s="7" t="s">
        <v>270</v>
      </c>
      <c r="D73" s="2">
        <v>1</v>
      </c>
    </row>
    <row r="74" spans="1:4">
      <c r="A74" s="2">
        <v>73</v>
      </c>
      <c r="B74" s="2">
        <v>2</v>
      </c>
      <c r="C74" s="7" t="s">
        <v>271</v>
      </c>
      <c r="D74" s="2">
        <v>3</v>
      </c>
    </row>
    <row r="75" spans="1:4">
      <c r="A75" s="2">
        <v>74</v>
      </c>
      <c r="B75" s="2">
        <v>2</v>
      </c>
      <c r="C75" s="7" t="s">
        <v>272</v>
      </c>
      <c r="D75" s="2">
        <v>1</v>
      </c>
    </row>
    <row r="76" spans="1:4">
      <c r="A76" s="2">
        <v>75</v>
      </c>
      <c r="B76" s="2">
        <v>2</v>
      </c>
      <c r="C76" s="7" t="s">
        <v>273</v>
      </c>
      <c r="D76" s="2">
        <v>4</v>
      </c>
    </row>
    <row r="77" spans="1:4">
      <c r="A77" s="2">
        <v>76</v>
      </c>
      <c r="B77" s="2">
        <v>2</v>
      </c>
      <c r="C77" s="7" t="s">
        <v>274</v>
      </c>
      <c r="D77" s="2">
        <v>1</v>
      </c>
    </row>
    <row r="78" spans="1:4">
      <c r="A78" s="2">
        <v>77</v>
      </c>
      <c r="B78" s="2">
        <v>2</v>
      </c>
      <c r="C78" s="7" t="s">
        <v>275</v>
      </c>
      <c r="D78" s="2">
        <v>1</v>
      </c>
    </row>
    <row r="79" spans="1:4">
      <c r="A79" s="2">
        <v>78</v>
      </c>
      <c r="B79" s="2">
        <v>2</v>
      </c>
      <c r="C79" s="7" t="s">
        <v>276</v>
      </c>
      <c r="D79" s="2">
        <v>4</v>
      </c>
    </row>
    <row r="80" spans="1:4">
      <c r="A80" s="2">
        <v>79</v>
      </c>
      <c r="B80" s="2">
        <v>2</v>
      </c>
      <c r="C80" s="7" t="s">
        <v>277</v>
      </c>
      <c r="D80" s="2">
        <v>2</v>
      </c>
    </row>
    <row r="81" spans="1:4">
      <c r="A81" s="2">
        <v>80</v>
      </c>
      <c r="B81" s="2">
        <v>2</v>
      </c>
      <c r="C81" s="7" t="s">
        <v>278</v>
      </c>
      <c r="D81" s="2">
        <v>4</v>
      </c>
    </row>
    <row r="82" spans="1:4">
      <c r="A82" s="2">
        <v>81</v>
      </c>
      <c r="B82" s="2">
        <v>2</v>
      </c>
      <c r="C82" s="7" t="s">
        <v>279</v>
      </c>
      <c r="D82" s="2">
        <v>4</v>
      </c>
    </row>
    <row r="83" spans="1:4">
      <c r="A83" s="2">
        <v>82</v>
      </c>
      <c r="B83" s="2">
        <v>2</v>
      </c>
      <c r="C83" s="7" t="s">
        <v>280</v>
      </c>
      <c r="D83" s="2">
        <v>4</v>
      </c>
    </row>
    <row r="84" spans="1:4">
      <c r="A84" s="2">
        <v>83</v>
      </c>
      <c r="B84" s="2">
        <v>2</v>
      </c>
      <c r="C84" s="7" t="s">
        <v>281</v>
      </c>
      <c r="D84" s="2">
        <v>4</v>
      </c>
    </row>
    <row r="85" spans="1:4">
      <c r="A85" s="2">
        <v>84</v>
      </c>
      <c r="B85" s="2">
        <v>2</v>
      </c>
      <c r="C85" s="7" t="s">
        <v>282</v>
      </c>
      <c r="D85" s="2">
        <v>4</v>
      </c>
    </row>
    <row r="86" spans="1:4">
      <c r="A86" s="2">
        <v>85</v>
      </c>
      <c r="B86" s="2">
        <v>2</v>
      </c>
      <c r="C86" s="7" t="s">
        <v>283</v>
      </c>
      <c r="D86" s="2">
        <v>2</v>
      </c>
    </row>
    <row r="87" spans="1:4">
      <c r="A87" s="2">
        <v>86</v>
      </c>
      <c r="B87" s="2">
        <v>2</v>
      </c>
      <c r="C87" s="7" t="s">
        <v>284</v>
      </c>
      <c r="D87" s="2">
        <v>4</v>
      </c>
    </row>
    <row r="88" spans="1:4">
      <c r="A88" s="2">
        <v>87</v>
      </c>
      <c r="B88" s="2">
        <v>2</v>
      </c>
      <c r="C88" s="7" t="s">
        <v>285</v>
      </c>
      <c r="D88" s="2">
        <v>2</v>
      </c>
    </row>
    <row r="89" spans="1:4">
      <c r="A89" s="2">
        <v>88</v>
      </c>
      <c r="B89" s="2">
        <v>2</v>
      </c>
      <c r="C89" s="7" t="s">
        <v>286</v>
      </c>
      <c r="D89" s="2">
        <v>4</v>
      </c>
    </row>
    <row r="90" spans="1:4">
      <c r="A90" s="2">
        <v>89</v>
      </c>
      <c r="B90" s="2">
        <v>2</v>
      </c>
      <c r="C90" s="7" t="s">
        <v>287</v>
      </c>
      <c r="D90" s="2">
        <v>4</v>
      </c>
    </row>
    <row r="91" spans="1:4">
      <c r="A91" s="2">
        <v>90</v>
      </c>
      <c r="B91" s="2">
        <v>2</v>
      </c>
      <c r="C91" s="7" t="s">
        <v>288</v>
      </c>
      <c r="D91" s="2">
        <v>1</v>
      </c>
    </row>
    <row r="92" spans="1:4">
      <c r="A92" s="2">
        <v>91</v>
      </c>
      <c r="B92" s="2">
        <v>2</v>
      </c>
      <c r="C92" s="7" t="s">
        <v>289</v>
      </c>
      <c r="D92" s="2">
        <v>2</v>
      </c>
    </row>
    <row r="93" spans="1:4">
      <c r="A93" s="2">
        <v>92</v>
      </c>
      <c r="B93" s="2">
        <v>2</v>
      </c>
      <c r="C93" s="7" t="s">
        <v>290</v>
      </c>
      <c r="D93" s="2">
        <v>2</v>
      </c>
    </row>
    <row r="94" spans="1:4">
      <c r="A94" s="2">
        <v>93</v>
      </c>
      <c r="B94" s="2">
        <v>2</v>
      </c>
      <c r="C94" s="7" t="s">
        <v>291</v>
      </c>
      <c r="D94" s="2">
        <v>3</v>
      </c>
    </row>
    <row r="95" spans="1:4">
      <c r="A95" s="2">
        <v>94</v>
      </c>
      <c r="B95" s="2">
        <v>2</v>
      </c>
      <c r="C95" s="7" t="s">
        <v>292</v>
      </c>
      <c r="D95" s="2">
        <v>3</v>
      </c>
    </row>
    <row r="96" spans="1:4">
      <c r="A96" s="2">
        <v>95</v>
      </c>
      <c r="B96" s="2">
        <v>2</v>
      </c>
      <c r="C96" s="7" t="s">
        <v>293</v>
      </c>
      <c r="D96" s="2">
        <v>1</v>
      </c>
    </row>
    <row r="97" spans="1:4">
      <c r="A97" s="2">
        <v>96</v>
      </c>
      <c r="B97" s="2">
        <v>2</v>
      </c>
      <c r="C97" s="7" t="s">
        <v>294</v>
      </c>
      <c r="D97" s="2">
        <v>4</v>
      </c>
    </row>
    <row r="98" spans="1:4">
      <c r="A98" s="2">
        <v>97</v>
      </c>
      <c r="B98" s="2">
        <v>2</v>
      </c>
      <c r="C98" s="7" t="s">
        <v>295</v>
      </c>
      <c r="D98" s="2">
        <v>3</v>
      </c>
    </row>
    <row r="99" spans="1:4">
      <c r="A99" s="2">
        <v>98</v>
      </c>
      <c r="B99" s="2">
        <v>2</v>
      </c>
      <c r="C99" s="7" t="s">
        <v>296</v>
      </c>
      <c r="D99" s="2">
        <v>1</v>
      </c>
    </row>
    <row r="100" spans="1:4">
      <c r="A100" s="2">
        <v>99</v>
      </c>
      <c r="B100" s="2">
        <v>2</v>
      </c>
      <c r="C100" s="7" t="s">
        <v>297</v>
      </c>
      <c r="D100" s="2">
        <v>4</v>
      </c>
    </row>
    <row r="101" spans="1:4">
      <c r="A101" s="2">
        <v>100</v>
      </c>
      <c r="B101" s="2">
        <v>3</v>
      </c>
      <c r="C101" s="7" t="s">
        <v>298</v>
      </c>
      <c r="D101" s="2">
        <v>4</v>
      </c>
    </row>
    <row r="102" spans="1:4">
      <c r="A102" s="2">
        <v>101</v>
      </c>
      <c r="B102" s="2">
        <v>3</v>
      </c>
      <c r="C102" s="7" t="s">
        <v>299</v>
      </c>
      <c r="D102" s="2">
        <v>3</v>
      </c>
    </row>
    <row r="103" spans="1:4">
      <c r="A103" s="2">
        <v>102</v>
      </c>
      <c r="B103" s="2">
        <v>3</v>
      </c>
      <c r="C103" s="7" t="s">
        <v>300</v>
      </c>
      <c r="D103" s="2">
        <v>2</v>
      </c>
    </row>
    <row r="104" spans="1:4">
      <c r="A104" s="2">
        <v>103</v>
      </c>
      <c r="B104" s="2">
        <v>3</v>
      </c>
      <c r="C104" s="7" t="s">
        <v>301</v>
      </c>
      <c r="D104" s="2">
        <v>3</v>
      </c>
    </row>
    <row r="105" spans="1:4">
      <c r="A105" s="2">
        <v>104</v>
      </c>
      <c r="B105" s="2">
        <v>3</v>
      </c>
      <c r="C105" s="7" t="s">
        <v>302</v>
      </c>
      <c r="D105" s="2">
        <v>3</v>
      </c>
    </row>
    <row r="106" spans="1:4">
      <c r="A106" s="2">
        <v>105</v>
      </c>
      <c r="B106" s="2">
        <v>3</v>
      </c>
      <c r="C106" s="7" t="s">
        <v>303</v>
      </c>
      <c r="D106" s="2">
        <v>1</v>
      </c>
    </row>
    <row r="107" spans="1:4">
      <c r="A107" s="2">
        <v>106</v>
      </c>
      <c r="B107" s="2">
        <v>3</v>
      </c>
      <c r="C107" s="7" t="s">
        <v>304</v>
      </c>
      <c r="D107" s="2">
        <v>1</v>
      </c>
    </row>
    <row r="108" spans="1:4">
      <c r="A108" s="2">
        <v>107</v>
      </c>
      <c r="B108" s="2">
        <v>3</v>
      </c>
      <c r="C108" s="7" t="s">
        <v>305</v>
      </c>
      <c r="D108" s="2">
        <v>3</v>
      </c>
    </row>
    <row r="109" spans="1:4">
      <c r="A109" s="2">
        <v>108</v>
      </c>
      <c r="B109" s="2">
        <v>3</v>
      </c>
      <c r="C109" s="7" t="s">
        <v>306</v>
      </c>
      <c r="D109" s="2">
        <v>4</v>
      </c>
    </row>
    <row r="110" spans="1:4">
      <c r="A110" s="2">
        <v>109</v>
      </c>
      <c r="B110" s="2">
        <v>3</v>
      </c>
      <c r="C110" s="7" t="s">
        <v>307</v>
      </c>
      <c r="D110" s="2">
        <v>2</v>
      </c>
    </row>
    <row r="111" spans="1:4">
      <c r="A111" s="2">
        <v>110</v>
      </c>
      <c r="B111" s="2">
        <v>3</v>
      </c>
      <c r="C111" s="7" t="s">
        <v>308</v>
      </c>
      <c r="D111" s="2">
        <v>2</v>
      </c>
    </row>
    <row r="112" spans="1:4">
      <c r="A112" s="2">
        <v>111</v>
      </c>
      <c r="B112" s="2">
        <v>3</v>
      </c>
      <c r="C112" s="7" t="s">
        <v>309</v>
      </c>
      <c r="D112" s="2">
        <v>1</v>
      </c>
    </row>
    <row r="113" spans="1:4">
      <c r="A113" s="2">
        <v>112</v>
      </c>
      <c r="B113" s="2">
        <v>3</v>
      </c>
      <c r="C113" s="7" t="s">
        <v>310</v>
      </c>
      <c r="D113" s="2">
        <v>1</v>
      </c>
    </row>
    <row r="114" spans="1:4">
      <c r="A114" s="2">
        <v>113</v>
      </c>
      <c r="B114" s="2">
        <v>3</v>
      </c>
      <c r="C114" s="7" t="s">
        <v>311</v>
      </c>
      <c r="D114" s="2">
        <v>2</v>
      </c>
    </row>
    <row r="115" spans="1:4">
      <c r="A115" s="2">
        <v>114</v>
      </c>
      <c r="B115" s="2">
        <v>3</v>
      </c>
      <c r="C115" s="7" t="s">
        <v>239</v>
      </c>
      <c r="D115" s="2">
        <v>4</v>
      </c>
    </row>
    <row r="116" spans="1:4">
      <c r="A116" s="2">
        <v>115</v>
      </c>
      <c r="B116" s="2">
        <v>3</v>
      </c>
      <c r="C116" s="7" t="s">
        <v>312</v>
      </c>
      <c r="D116" s="2">
        <v>3</v>
      </c>
    </row>
    <row r="117" spans="1:4">
      <c r="A117" s="2">
        <v>116</v>
      </c>
      <c r="B117" s="2">
        <v>3</v>
      </c>
      <c r="C117" s="7" t="s">
        <v>313</v>
      </c>
      <c r="D117" s="2">
        <v>1</v>
      </c>
    </row>
    <row r="118" spans="1:4">
      <c r="A118" s="2">
        <v>117</v>
      </c>
      <c r="B118" s="2">
        <v>3</v>
      </c>
      <c r="C118" s="7" t="s">
        <v>314</v>
      </c>
      <c r="D118" s="2">
        <v>2</v>
      </c>
    </row>
    <row r="119" spans="1:4">
      <c r="A119" s="2">
        <v>118</v>
      </c>
      <c r="B119" s="2">
        <v>3</v>
      </c>
      <c r="C119" s="7" t="s">
        <v>315</v>
      </c>
      <c r="D119" s="2">
        <v>2</v>
      </c>
    </row>
    <row r="120" spans="1:4">
      <c r="A120" s="2">
        <v>119</v>
      </c>
      <c r="B120" s="2">
        <v>3</v>
      </c>
      <c r="C120" s="7" t="s">
        <v>316</v>
      </c>
      <c r="D120" s="2">
        <v>2</v>
      </c>
    </row>
    <row r="121" spans="1:4">
      <c r="A121" s="2">
        <v>120</v>
      </c>
      <c r="B121" s="2">
        <v>3</v>
      </c>
      <c r="C121" s="7" t="s">
        <v>317</v>
      </c>
      <c r="D121" s="2">
        <v>2</v>
      </c>
    </row>
    <row r="122" spans="1:4">
      <c r="A122" s="2">
        <v>121</v>
      </c>
      <c r="B122" s="2">
        <v>3</v>
      </c>
      <c r="C122" s="7" t="s">
        <v>318</v>
      </c>
      <c r="D122" s="2">
        <v>2</v>
      </c>
    </row>
    <row r="123" spans="1:4">
      <c r="A123" s="2">
        <v>122</v>
      </c>
      <c r="B123" s="2">
        <v>3</v>
      </c>
      <c r="C123" s="7" t="s">
        <v>319</v>
      </c>
      <c r="D123" s="2">
        <v>4</v>
      </c>
    </row>
    <row r="124" spans="1:4">
      <c r="A124" s="2">
        <v>123</v>
      </c>
      <c r="B124" s="2">
        <v>3</v>
      </c>
      <c r="C124" s="7" t="s">
        <v>320</v>
      </c>
      <c r="D124" s="2">
        <v>2</v>
      </c>
    </row>
    <row r="125" spans="1:4">
      <c r="A125" s="2">
        <v>124</v>
      </c>
      <c r="B125" s="2">
        <v>4</v>
      </c>
      <c r="C125" s="7" t="s">
        <v>321</v>
      </c>
      <c r="D125" s="2">
        <v>2</v>
      </c>
    </row>
    <row r="126" spans="1:4">
      <c r="A126" s="2">
        <v>125</v>
      </c>
      <c r="B126" s="2">
        <v>4</v>
      </c>
      <c r="C126" s="7" t="s">
        <v>322</v>
      </c>
      <c r="D126" s="2">
        <v>4</v>
      </c>
    </row>
    <row r="127" spans="1:4">
      <c r="A127" s="2">
        <v>126</v>
      </c>
      <c r="B127" s="2">
        <v>4</v>
      </c>
      <c r="C127" s="7" t="s">
        <v>323</v>
      </c>
      <c r="D127" s="2">
        <v>3</v>
      </c>
    </row>
    <row r="128" spans="1:4">
      <c r="A128" s="2">
        <v>127</v>
      </c>
      <c r="B128" s="2">
        <v>4</v>
      </c>
      <c r="C128" s="7" t="s">
        <v>324</v>
      </c>
      <c r="D128" s="2">
        <v>2</v>
      </c>
    </row>
    <row r="129" spans="1:4">
      <c r="A129" s="2">
        <v>128</v>
      </c>
      <c r="B129" s="2">
        <v>4</v>
      </c>
      <c r="C129" s="7" t="s">
        <v>325</v>
      </c>
      <c r="D129" s="2">
        <v>4</v>
      </c>
    </row>
    <row r="130" spans="1:4">
      <c r="A130" s="2">
        <v>129</v>
      </c>
      <c r="B130" s="2">
        <v>4</v>
      </c>
      <c r="C130" s="7" t="s">
        <v>326</v>
      </c>
      <c r="D130" s="2">
        <v>1</v>
      </c>
    </row>
    <row r="131" spans="1:4">
      <c r="A131" s="2">
        <v>130</v>
      </c>
      <c r="B131" s="2">
        <v>4</v>
      </c>
      <c r="C131" s="7" t="s">
        <v>327</v>
      </c>
      <c r="D131" s="2">
        <v>4</v>
      </c>
    </row>
    <row r="132" spans="1:4">
      <c r="A132" s="2">
        <v>131</v>
      </c>
      <c r="B132" s="2">
        <v>4</v>
      </c>
      <c r="C132" s="7" t="s">
        <v>328</v>
      </c>
      <c r="D132" s="2">
        <v>4</v>
      </c>
    </row>
    <row r="133" spans="1:4">
      <c r="A133" s="2">
        <v>132</v>
      </c>
      <c r="B133" s="2">
        <v>4</v>
      </c>
      <c r="C133" s="7" t="s">
        <v>329</v>
      </c>
      <c r="D133" s="2">
        <v>3</v>
      </c>
    </row>
    <row r="134" spans="1:4">
      <c r="A134" s="2">
        <v>133</v>
      </c>
      <c r="B134" s="2">
        <v>4</v>
      </c>
      <c r="C134" s="7" t="s">
        <v>330</v>
      </c>
      <c r="D134" s="2">
        <v>4</v>
      </c>
    </row>
    <row r="135" spans="1:4">
      <c r="A135" s="2">
        <v>134</v>
      </c>
      <c r="B135" s="2">
        <v>4</v>
      </c>
      <c r="C135" s="7" t="s">
        <v>331</v>
      </c>
      <c r="D135" s="2">
        <v>4</v>
      </c>
    </row>
    <row r="136" spans="1:4">
      <c r="A136" s="2">
        <v>135</v>
      </c>
      <c r="B136" s="2">
        <v>4</v>
      </c>
      <c r="C136" s="7" t="s">
        <v>332</v>
      </c>
      <c r="D136" s="2">
        <v>3</v>
      </c>
    </row>
    <row r="137" spans="1:4">
      <c r="A137" s="2">
        <v>136</v>
      </c>
      <c r="B137" s="2">
        <v>4</v>
      </c>
      <c r="C137" s="7" t="s">
        <v>333</v>
      </c>
      <c r="D137" s="2">
        <v>1</v>
      </c>
    </row>
    <row r="138" spans="1:4">
      <c r="A138" s="2">
        <v>137</v>
      </c>
      <c r="B138" s="2">
        <v>4</v>
      </c>
      <c r="C138" s="7" t="s">
        <v>334</v>
      </c>
      <c r="D138" s="2">
        <v>4</v>
      </c>
    </row>
    <row r="139" spans="1:4">
      <c r="A139" s="2">
        <v>138</v>
      </c>
      <c r="B139" s="2">
        <v>4</v>
      </c>
      <c r="C139" s="7" t="s">
        <v>335</v>
      </c>
      <c r="D139" s="2">
        <v>1</v>
      </c>
    </row>
    <row r="140" spans="1:4">
      <c r="A140" s="2">
        <v>139</v>
      </c>
      <c r="B140" s="2">
        <v>4</v>
      </c>
      <c r="C140" s="7" t="s">
        <v>336</v>
      </c>
      <c r="D140" s="2">
        <v>2</v>
      </c>
    </row>
    <row r="141" spans="1:4">
      <c r="A141" s="2">
        <v>140</v>
      </c>
      <c r="B141" s="2">
        <v>4</v>
      </c>
      <c r="C141" s="7" t="s">
        <v>337</v>
      </c>
      <c r="D141" s="2">
        <v>4</v>
      </c>
    </row>
    <row r="142" spans="1:4">
      <c r="A142" s="2">
        <v>141</v>
      </c>
      <c r="B142" s="2">
        <v>4</v>
      </c>
      <c r="C142" s="7" t="s">
        <v>338</v>
      </c>
      <c r="D142" s="2">
        <v>1</v>
      </c>
    </row>
    <row r="143" spans="1:4">
      <c r="A143" s="2">
        <v>142</v>
      </c>
      <c r="B143" s="2">
        <v>4</v>
      </c>
      <c r="C143" s="7" t="s">
        <v>339</v>
      </c>
      <c r="D143" s="2">
        <v>1</v>
      </c>
    </row>
    <row r="144" spans="1:4">
      <c r="A144" s="2">
        <v>143</v>
      </c>
      <c r="B144" s="2">
        <v>4</v>
      </c>
      <c r="C144" s="7" t="s">
        <v>340</v>
      </c>
      <c r="D144" s="2">
        <v>4</v>
      </c>
    </row>
    <row r="145" spans="1:4">
      <c r="A145" s="2">
        <v>144</v>
      </c>
      <c r="B145" s="2">
        <v>4</v>
      </c>
      <c r="C145" s="7" t="s">
        <v>341</v>
      </c>
      <c r="D145" s="2">
        <v>3</v>
      </c>
    </row>
    <row r="146" spans="1:4">
      <c r="A146" s="2">
        <v>145</v>
      </c>
      <c r="B146" s="2">
        <v>4</v>
      </c>
      <c r="C146" s="7" t="s">
        <v>342</v>
      </c>
      <c r="D146" s="2">
        <v>1</v>
      </c>
    </row>
    <row r="147" spans="1:4">
      <c r="A147" s="2">
        <v>146</v>
      </c>
      <c r="B147" s="2">
        <v>4</v>
      </c>
      <c r="C147" s="7" t="s">
        <v>343</v>
      </c>
      <c r="D147" s="2">
        <v>3</v>
      </c>
    </row>
    <row r="148" spans="1:4">
      <c r="A148" s="2">
        <v>147</v>
      </c>
      <c r="B148" s="2">
        <v>4</v>
      </c>
      <c r="C148" s="7" t="s">
        <v>344</v>
      </c>
      <c r="D148" s="2">
        <v>2</v>
      </c>
    </row>
    <row r="149" spans="1:4">
      <c r="A149" s="2">
        <v>148</v>
      </c>
      <c r="B149" s="2">
        <v>4</v>
      </c>
      <c r="C149" s="7" t="s">
        <v>345</v>
      </c>
      <c r="D149" s="2">
        <v>1</v>
      </c>
    </row>
    <row r="150" spans="1:4">
      <c r="A150" s="2">
        <v>149</v>
      </c>
      <c r="B150" s="2">
        <v>4</v>
      </c>
      <c r="C150" s="7" t="s">
        <v>346</v>
      </c>
      <c r="D150" s="2">
        <v>2</v>
      </c>
    </row>
    <row r="151" spans="1:4">
      <c r="A151" s="2">
        <v>150</v>
      </c>
      <c r="B151" s="2">
        <v>4</v>
      </c>
      <c r="C151" s="7" t="s">
        <v>347</v>
      </c>
      <c r="D151" s="2">
        <v>3</v>
      </c>
    </row>
    <row r="152" spans="1:4">
      <c r="A152" s="2">
        <v>151</v>
      </c>
      <c r="B152" s="2">
        <v>4</v>
      </c>
      <c r="C152" s="7" t="s">
        <v>348</v>
      </c>
      <c r="D152" s="2">
        <v>3</v>
      </c>
    </row>
    <row r="153" spans="1:4">
      <c r="A153" s="2">
        <v>152</v>
      </c>
      <c r="B153" s="2">
        <v>4</v>
      </c>
      <c r="C153" s="7" t="s">
        <v>349</v>
      </c>
      <c r="D153" s="2">
        <v>2</v>
      </c>
    </row>
    <row r="154" spans="1:4">
      <c r="A154" s="2">
        <v>153</v>
      </c>
      <c r="B154" s="2">
        <v>4</v>
      </c>
      <c r="C154" s="7" t="s">
        <v>350</v>
      </c>
      <c r="D154" s="2">
        <v>3</v>
      </c>
    </row>
    <row r="155" spans="1:4">
      <c r="A155" s="2">
        <v>154</v>
      </c>
      <c r="B155" s="2">
        <v>4</v>
      </c>
      <c r="C155" s="7" t="s">
        <v>351</v>
      </c>
      <c r="D155" s="2">
        <v>3</v>
      </c>
    </row>
    <row r="156" spans="1:4">
      <c r="A156" s="2">
        <v>155</v>
      </c>
      <c r="B156" s="2">
        <v>4</v>
      </c>
      <c r="C156" s="7" t="s">
        <v>352</v>
      </c>
      <c r="D156" s="2">
        <v>1</v>
      </c>
    </row>
    <row r="157" spans="1:4">
      <c r="A157" s="2">
        <v>156</v>
      </c>
      <c r="B157" s="2">
        <v>4</v>
      </c>
      <c r="C157" s="7" t="s">
        <v>353</v>
      </c>
      <c r="D157" s="2">
        <v>4</v>
      </c>
    </row>
    <row r="158" spans="1:4">
      <c r="A158" s="2">
        <v>157</v>
      </c>
      <c r="B158" s="2">
        <v>4</v>
      </c>
      <c r="C158" s="7" t="s">
        <v>354</v>
      </c>
      <c r="D158" s="2">
        <v>2</v>
      </c>
    </row>
    <row r="159" spans="1:4">
      <c r="A159" s="2">
        <v>158</v>
      </c>
      <c r="B159" s="2">
        <v>4</v>
      </c>
      <c r="C159" s="7" t="s">
        <v>355</v>
      </c>
      <c r="D159" s="2">
        <v>3</v>
      </c>
    </row>
    <row r="160" spans="1:4">
      <c r="A160" s="2">
        <v>159</v>
      </c>
      <c r="B160" s="2">
        <v>4</v>
      </c>
      <c r="C160" s="7" t="s">
        <v>356</v>
      </c>
      <c r="D160" s="2">
        <v>1</v>
      </c>
    </row>
    <row r="161" spans="1:4">
      <c r="A161" s="2">
        <v>160</v>
      </c>
      <c r="B161" s="2">
        <v>4</v>
      </c>
      <c r="C161" s="7" t="s">
        <v>357</v>
      </c>
      <c r="D161" s="2">
        <v>1</v>
      </c>
    </row>
    <row r="162" spans="1:4">
      <c r="A162" s="2">
        <v>161</v>
      </c>
      <c r="B162" s="2">
        <v>4</v>
      </c>
      <c r="C162" s="7" t="s">
        <v>358</v>
      </c>
      <c r="D162" s="2">
        <v>1</v>
      </c>
    </row>
    <row r="163" spans="1:4">
      <c r="A163" s="2">
        <v>162</v>
      </c>
      <c r="B163" s="2">
        <v>4</v>
      </c>
      <c r="C163" s="7" t="s">
        <v>359</v>
      </c>
      <c r="D163" s="2">
        <v>3</v>
      </c>
    </row>
    <row r="164" spans="1:4">
      <c r="A164" s="2">
        <v>163</v>
      </c>
      <c r="B164" s="2">
        <v>4</v>
      </c>
      <c r="C164" s="7" t="s">
        <v>360</v>
      </c>
      <c r="D164" s="2">
        <v>2</v>
      </c>
    </row>
    <row r="165" spans="1:4">
      <c r="A165" s="2">
        <v>164</v>
      </c>
      <c r="B165" s="2">
        <v>4</v>
      </c>
      <c r="C165" s="7" t="s">
        <v>361</v>
      </c>
      <c r="D165" s="2">
        <v>3</v>
      </c>
    </row>
    <row r="166" spans="1:4">
      <c r="A166" s="2">
        <v>165</v>
      </c>
      <c r="B166" s="2">
        <v>4</v>
      </c>
      <c r="C166" s="7" t="s">
        <v>362</v>
      </c>
      <c r="D166" s="2">
        <v>4</v>
      </c>
    </row>
    <row r="167" spans="1:4">
      <c r="A167" s="2">
        <v>166</v>
      </c>
      <c r="B167" s="2">
        <v>4</v>
      </c>
      <c r="C167" s="7" t="s">
        <v>363</v>
      </c>
      <c r="D167" s="2">
        <v>3</v>
      </c>
    </row>
    <row r="168" spans="1:4">
      <c r="A168" s="2">
        <v>167</v>
      </c>
      <c r="B168" s="2">
        <v>4</v>
      </c>
      <c r="C168" s="7" t="s">
        <v>364</v>
      </c>
      <c r="D168" s="2">
        <v>3</v>
      </c>
    </row>
    <row r="169" spans="1:4">
      <c r="A169" s="2">
        <v>168</v>
      </c>
      <c r="B169" s="2">
        <v>5</v>
      </c>
      <c r="C169" s="7" t="s">
        <v>365</v>
      </c>
      <c r="D169" s="2">
        <v>3</v>
      </c>
    </row>
    <row r="170" spans="1:4">
      <c r="A170" s="2">
        <v>169</v>
      </c>
      <c r="B170" s="2">
        <v>5</v>
      </c>
      <c r="C170" s="7" t="s">
        <v>366</v>
      </c>
      <c r="D170" s="2">
        <v>3</v>
      </c>
    </row>
    <row r="171" spans="1:4">
      <c r="A171" s="2">
        <v>170</v>
      </c>
      <c r="B171" s="2">
        <v>5</v>
      </c>
      <c r="C171" s="7" t="s">
        <v>367</v>
      </c>
      <c r="D171" s="2">
        <v>3</v>
      </c>
    </row>
    <row r="172" spans="1:4">
      <c r="A172" s="2">
        <v>171</v>
      </c>
      <c r="B172" s="2">
        <v>5</v>
      </c>
      <c r="C172" s="7" t="s">
        <v>368</v>
      </c>
      <c r="D172" s="2">
        <v>1</v>
      </c>
    </row>
    <row r="173" spans="1:4">
      <c r="A173" s="2">
        <v>172</v>
      </c>
      <c r="B173" s="2">
        <v>5</v>
      </c>
      <c r="C173" s="7" t="s">
        <v>369</v>
      </c>
      <c r="D173" s="2">
        <v>4</v>
      </c>
    </row>
    <row r="174" spans="1:4">
      <c r="A174" s="2">
        <v>173</v>
      </c>
      <c r="B174" s="2">
        <v>5</v>
      </c>
      <c r="C174" s="7" t="s">
        <v>370</v>
      </c>
      <c r="D174" s="2">
        <v>4</v>
      </c>
    </row>
    <row r="175" spans="1:4">
      <c r="A175" s="2">
        <v>174</v>
      </c>
      <c r="B175" s="2">
        <v>5</v>
      </c>
      <c r="C175" s="7" t="s">
        <v>371</v>
      </c>
      <c r="D175" s="2">
        <v>3</v>
      </c>
    </row>
    <row r="176" spans="1:4">
      <c r="A176" s="2">
        <v>175</v>
      </c>
      <c r="B176" s="2">
        <v>5</v>
      </c>
      <c r="C176" s="7" t="s">
        <v>372</v>
      </c>
      <c r="D176" s="2">
        <v>3</v>
      </c>
    </row>
    <row r="177" spans="1:4">
      <c r="A177" s="2">
        <v>176</v>
      </c>
      <c r="B177" s="2">
        <v>5</v>
      </c>
      <c r="C177" s="7" t="s">
        <v>373</v>
      </c>
      <c r="D177" s="2">
        <v>3</v>
      </c>
    </row>
    <row r="178" spans="1:4">
      <c r="A178" s="2">
        <v>177</v>
      </c>
      <c r="B178" s="2">
        <v>5</v>
      </c>
      <c r="C178" s="7" t="s">
        <v>374</v>
      </c>
      <c r="D178" s="2">
        <v>3</v>
      </c>
    </row>
    <row r="179" spans="1:4">
      <c r="A179" s="2">
        <v>178</v>
      </c>
      <c r="B179" s="2">
        <v>5</v>
      </c>
      <c r="C179" s="7" t="s">
        <v>375</v>
      </c>
      <c r="D179" s="2">
        <v>4</v>
      </c>
    </row>
    <row r="180" spans="1:4">
      <c r="A180" s="2">
        <v>179</v>
      </c>
      <c r="B180" s="2">
        <v>5</v>
      </c>
      <c r="C180" s="7" t="s">
        <v>376</v>
      </c>
      <c r="D180" s="2">
        <v>2</v>
      </c>
    </row>
    <row r="181" spans="1:4">
      <c r="A181" s="2">
        <v>180</v>
      </c>
      <c r="B181" s="2">
        <v>5</v>
      </c>
      <c r="C181" s="7" t="s">
        <v>377</v>
      </c>
      <c r="D181" s="2">
        <v>3</v>
      </c>
    </row>
    <row r="182" spans="1:4">
      <c r="A182" s="2">
        <v>181</v>
      </c>
      <c r="B182" s="2">
        <v>5</v>
      </c>
      <c r="C182" s="7" t="s">
        <v>378</v>
      </c>
      <c r="D182" s="2">
        <v>3</v>
      </c>
    </row>
    <row r="183" spans="1:4">
      <c r="A183" s="2">
        <v>182</v>
      </c>
      <c r="B183" s="2">
        <v>5</v>
      </c>
      <c r="C183" s="7" t="s">
        <v>379</v>
      </c>
      <c r="D183" s="2">
        <v>3</v>
      </c>
    </row>
    <row r="184" spans="1:4">
      <c r="A184" s="2">
        <v>183</v>
      </c>
      <c r="B184" s="2">
        <v>5</v>
      </c>
      <c r="C184" s="7" t="s">
        <v>380</v>
      </c>
      <c r="D184" s="2">
        <v>3</v>
      </c>
    </row>
    <row r="185" spans="1:4">
      <c r="A185" s="2">
        <v>184</v>
      </c>
      <c r="B185" s="2">
        <v>5</v>
      </c>
      <c r="C185" s="7" t="s">
        <v>381</v>
      </c>
      <c r="D185" s="2">
        <v>2</v>
      </c>
    </row>
    <row r="186" spans="1:4">
      <c r="A186" s="2">
        <v>185</v>
      </c>
      <c r="B186" s="2">
        <v>5</v>
      </c>
      <c r="C186" s="7" t="s">
        <v>382</v>
      </c>
      <c r="D186" s="2">
        <v>1</v>
      </c>
    </row>
    <row r="187" spans="1:4">
      <c r="A187" s="2">
        <v>186</v>
      </c>
      <c r="B187" s="2">
        <v>5</v>
      </c>
      <c r="C187" s="7" t="s">
        <v>383</v>
      </c>
      <c r="D187" s="2">
        <v>4</v>
      </c>
    </row>
    <row r="188" spans="1:4">
      <c r="A188" s="2">
        <v>187</v>
      </c>
      <c r="B188" s="2">
        <v>5</v>
      </c>
      <c r="C188" s="7" t="s">
        <v>384</v>
      </c>
      <c r="D188" s="2">
        <v>2</v>
      </c>
    </row>
    <row r="189" spans="1:4">
      <c r="A189" s="2">
        <v>188</v>
      </c>
      <c r="B189" s="2">
        <v>5</v>
      </c>
      <c r="C189" s="7" t="s">
        <v>385</v>
      </c>
      <c r="D189" s="2">
        <v>2</v>
      </c>
    </row>
    <row r="190" spans="1:4">
      <c r="A190" s="2">
        <v>189</v>
      </c>
      <c r="B190" s="2">
        <v>5</v>
      </c>
      <c r="C190" s="7" t="s">
        <v>386</v>
      </c>
      <c r="D190" s="2">
        <v>4</v>
      </c>
    </row>
    <row r="191" spans="1:4">
      <c r="A191" s="2">
        <v>190</v>
      </c>
      <c r="B191" s="2">
        <v>5</v>
      </c>
      <c r="C191" s="7" t="s">
        <v>387</v>
      </c>
      <c r="D191" s="2">
        <v>4</v>
      </c>
    </row>
    <row r="192" spans="1:4">
      <c r="A192" s="2">
        <v>191</v>
      </c>
      <c r="B192" s="2">
        <v>5</v>
      </c>
      <c r="C192" s="7" t="s">
        <v>388</v>
      </c>
      <c r="D192" s="2">
        <v>4</v>
      </c>
    </row>
    <row r="193" spans="1:4">
      <c r="A193" s="2">
        <v>192</v>
      </c>
      <c r="B193" s="2">
        <v>5</v>
      </c>
      <c r="C193" s="7" t="s">
        <v>389</v>
      </c>
      <c r="D193" s="2">
        <v>1</v>
      </c>
    </row>
    <row r="194" spans="1:4">
      <c r="A194" s="2">
        <v>193</v>
      </c>
      <c r="B194" s="2">
        <v>5</v>
      </c>
      <c r="C194" s="7" t="s">
        <v>390</v>
      </c>
      <c r="D194" s="2">
        <v>4</v>
      </c>
    </row>
    <row r="195" spans="1:4">
      <c r="A195" s="2">
        <v>194</v>
      </c>
      <c r="B195" s="2">
        <v>5</v>
      </c>
      <c r="C195" s="7" t="s">
        <v>391</v>
      </c>
      <c r="D195" s="2">
        <v>2</v>
      </c>
    </row>
    <row r="196" spans="1:4">
      <c r="A196" s="2">
        <v>195</v>
      </c>
      <c r="B196" s="2">
        <v>5</v>
      </c>
      <c r="C196" s="7" t="s">
        <v>392</v>
      </c>
      <c r="D196" s="2">
        <v>3</v>
      </c>
    </row>
    <row r="197" spans="1:4">
      <c r="A197" s="2">
        <v>196</v>
      </c>
      <c r="B197" s="2">
        <v>5</v>
      </c>
      <c r="C197" s="7" t="s">
        <v>393</v>
      </c>
      <c r="D197" s="2">
        <v>3</v>
      </c>
    </row>
    <row r="198" spans="1:4">
      <c r="A198" s="2">
        <v>197</v>
      </c>
      <c r="B198" s="2">
        <v>5</v>
      </c>
      <c r="C198" s="7" t="s">
        <v>394</v>
      </c>
      <c r="D198" s="2">
        <v>3</v>
      </c>
    </row>
    <row r="199" spans="1:4">
      <c r="A199" s="2">
        <v>198</v>
      </c>
      <c r="B199" s="2">
        <v>5</v>
      </c>
      <c r="C199" s="7" t="s">
        <v>395</v>
      </c>
      <c r="D199" s="2">
        <v>4</v>
      </c>
    </row>
    <row r="200" spans="1:4">
      <c r="A200" s="2">
        <v>199</v>
      </c>
      <c r="B200" s="2">
        <v>5</v>
      </c>
      <c r="C200" s="7" t="s">
        <v>396</v>
      </c>
      <c r="D200" s="2">
        <v>2</v>
      </c>
    </row>
    <row r="201" spans="1:4">
      <c r="A201" s="2">
        <v>200</v>
      </c>
      <c r="B201" s="2">
        <v>5</v>
      </c>
      <c r="C201" s="7" t="s">
        <v>397</v>
      </c>
      <c r="D201" s="2">
        <v>3</v>
      </c>
    </row>
    <row r="202" spans="1:4">
      <c r="A202" s="2">
        <v>201</v>
      </c>
      <c r="B202" s="2">
        <v>5</v>
      </c>
      <c r="C202" s="7" t="s">
        <v>398</v>
      </c>
      <c r="D202" s="2">
        <v>3</v>
      </c>
    </row>
    <row r="203" spans="1:4">
      <c r="A203" s="2">
        <v>202</v>
      </c>
      <c r="B203" s="2">
        <v>5</v>
      </c>
      <c r="C203" s="7" t="s">
        <v>399</v>
      </c>
      <c r="D203" s="2">
        <v>2</v>
      </c>
    </row>
    <row r="204" spans="1:4">
      <c r="A204" s="2">
        <v>203</v>
      </c>
      <c r="B204" s="2">
        <v>5</v>
      </c>
      <c r="C204" s="7" t="s">
        <v>400</v>
      </c>
      <c r="D204" s="2">
        <v>4</v>
      </c>
    </row>
    <row r="205" spans="1:4">
      <c r="A205" s="2">
        <v>204</v>
      </c>
      <c r="B205" s="2">
        <v>5</v>
      </c>
      <c r="C205" s="7" t="s">
        <v>401</v>
      </c>
      <c r="D205" s="2">
        <v>1</v>
      </c>
    </row>
    <row r="206" spans="1:4">
      <c r="A206" s="2">
        <v>205</v>
      </c>
      <c r="B206" s="2">
        <v>5</v>
      </c>
      <c r="C206" s="7" t="s">
        <v>402</v>
      </c>
      <c r="D206" s="2">
        <v>3</v>
      </c>
    </row>
    <row r="207" spans="1:4">
      <c r="A207" s="2">
        <v>206</v>
      </c>
      <c r="B207" s="2">
        <v>5</v>
      </c>
      <c r="C207" s="7" t="s">
        <v>403</v>
      </c>
      <c r="D207" s="2">
        <v>2</v>
      </c>
    </row>
    <row r="208" spans="1:4">
      <c r="A208" s="2">
        <v>207</v>
      </c>
      <c r="B208" s="2">
        <v>5</v>
      </c>
      <c r="C208" s="7" t="s">
        <v>404</v>
      </c>
      <c r="D208" s="2">
        <v>2</v>
      </c>
    </row>
    <row r="209" spans="1:4">
      <c r="A209" s="2">
        <v>208</v>
      </c>
      <c r="B209" s="2">
        <v>5</v>
      </c>
      <c r="C209" s="7" t="s">
        <v>405</v>
      </c>
      <c r="D209" s="2">
        <v>4</v>
      </c>
    </row>
    <row r="210" spans="1:4">
      <c r="A210" s="2">
        <v>209</v>
      </c>
      <c r="B210" s="2">
        <v>5</v>
      </c>
      <c r="C210" s="7" t="s">
        <v>406</v>
      </c>
      <c r="D210" s="2">
        <v>1</v>
      </c>
    </row>
    <row r="211" spans="1:4">
      <c r="A211" s="2">
        <v>210</v>
      </c>
      <c r="B211" s="2">
        <v>5</v>
      </c>
      <c r="C211" s="7" t="s">
        <v>407</v>
      </c>
      <c r="D211" s="2">
        <v>4</v>
      </c>
    </row>
    <row r="212" spans="1:4">
      <c r="A212" s="2">
        <v>211</v>
      </c>
      <c r="B212" s="2">
        <v>5</v>
      </c>
      <c r="C212" s="7" t="s">
        <v>408</v>
      </c>
      <c r="D212" s="2">
        <v>2</v>
      </c>
    </row>
    <row r="213" spans="1:4">
      <c r="A213" s="2">
        <v>212</v>
      </c>
      <c r="B213" s="2">
        <v>5</v>
      </c>
      <c r="C213" s="7" t="s">
        <v>409</v>
      </c>
      <c r="D213" s="2">
        <v>2</v>
      </c>
    </row>
    <row r="214" spans="1:4">
      <c r="A214" s="2">
        <v>213</v>
      </c>
      <c r="B214" s="2">
        <v>5</v>
      </c>
      <c r="C214" s="7" t="s">
        <v>410</v>
      </c>
      <c r="D214" s="2">
        <v>2</v>
      </c>
    </row>
    <row r="215" spans="1:4">
      <c r="A215" s="2">
        <v>214</v>
      </c>
      <c r="B215" s="2">
        <v>5</v>
      </c>
      <c r="C215" s="7" t="s">
        <v>411</v>
      </c>
      <c r="D215" s="2">
        <v>4</v>
      </c>
    </row>
    <row r="216" spans="1:4">
      <c r="A216" s="2">
        <v>215</v>
      </c>
      <c r="B216" s="2">
        <v>6</v>
      </c>
      <c r="C216" s="7" t="s">
        <v>412</v>
      </c>
      <c r="D216" s="2">
        <v>2</v>
      </c>
    </row>
    <row r="217" spans="1:4">
      <c r="A217" s="2">
        <v>216</v>
      </c>
      <c r="B217" s="2">
        <v>6</v>
      </c>
      <c r="C217" s="7" t="s">
        <v>413</v>
      </c>
      <c r="D217" s="2">
        <v>3</v>
      </c>
    </row>
    <row r="218" spans="1:4">
      <c r="A218" s="2">
        <v>217</v>
      </c>
      <c r="B218" s="2">
        <v>6</v>
      </c>
      <c r="C218" s="7" t="s">
        <v>414</v>
      </c>
      <c r="D218" s="2">
        <v>4</v>
      </c>
    </row>
    <row r="219" spans="1:4">
      <c r="A219" s="2">
        <v>218</v>
      </c>
      <c r="B219" s="2">
        <v>6</v>
      </c>
      <c r="C219" s="7" t="s">
        <v>415</v>
      </c>
      <c r="D219" s="2">
        <v>4</v>
      </c>
    </row>
    <row r="220" spans="1:4">
      <c r="A220" s="2">
        <v>219</v>
      </c>
      <c r="B220" s="2">
        <v>6</v>
      </c>
      <c r="C220" s="7" t="s">
        <v>416</v>
      </c>
      <c r="D220" s="2">
        <v>2</v>
      </c>
    </row>
    <row r="221" spans="1:4">
      <c r="A221" s="2">
        <v>220</v>
      </c>
      <c r="B221" s="2">
        <v>6</v>
      </c>
      <c r="C221" s="7" t="s">
        <v>417</v>
      </c>
      <c r="D221" s="2">
        <v>4</v>
      </c>
    </row>
    <row r="222" spans="1:4">
      <c r="A222" s="2">
        <v>221</v>
      </c>
      <c r="B222" s="2">
        <v>6</v>
      </c>
      <c r="C222" s="7" t="s">
        <v>418</v>
      </c>
      <c r="D222" s="2">
        <v>4</v>
      </c>
    </row>
    <row r="223" spans="1:4">
      <c r="A223" s="2">
        <v>222</v>
      </c>
      <c r="B223" s="2">
        <v>6</v>
      </c>
      <c r="C223" s="7" t="s">
        <v>419</v>
      </c>
      <c r="D223" s="2">
        <v>2</v>
      </c>
    </row>
    <row r="224" spans="1:4">
      <c r="A224" s="2">
        <v>223</v>
      </c>
      <c r="B224" s="2">
        <v>6</v>
      </c>
      <c r="C224" s="7" t="s">
        <v>420</v>
      </c>
      <c r="D224" s="2">
        <v>4</v>
      </c>
    </row>
    <row r="225" spans="1:4">
      <c r="A225" s="2">
        <v>224</v>
      </c>
      <c r="B225" s="2">
        <v>6</v>
      </c>
      <c r="C225" s="7" t="s">
        <v>421</v>
      </c>
      <c r="D225" s="2">
        <v>3</v>
      </c>
    </row>
    <row r="226" spans="1:4">
      <c r="A226" s="2">
        <v>225</v>
      </c>
      <c r="B226" s="2">
        <v>6</v>
      </c>
      <c r="C226" s="7" t="s">
        <v>422</v>
      </c>
      <c r="D226" s="2">
        <v>1</v>
      </c>
    </row>
    <row r="227" spans="1:4">
      <c r="A227" s="2">
        <v>226</v>
      </c>
      <c r="B227" s="2">
        <v>6</v>
      </c>
      <c r="C227" s="7" t="s">
        <v>423</v>
      </c>
      <c r="D227" s="2">
        <v>4</v>
      </c>
    </row>
    <row r="228" spans="1:4">
      <c r="A228" s="2">
        <v>227</v>
      </c>
      <c r="B228" s="2">
        <v>6</v>
      </c>
      <c r="C228" s="7" t="s">
        <v>424</v>
      </c>
      <c r="D228" s="2">
        <v>2</v>
      </c>
    </row>
    <row r="229" spans="1:4">
      <c r="A229" s="2">
        <v>228</v>
      </c>
      <c r="B229" s="2">
        <v>6</v>
      </c>
      <c r="C229" s="7" t="s">
        <v>425</v>
      </c>
      <c r="D229" s="2">
        <v>4</v>
      </c>
    </row>
    <row r="230" spans="1:4">
      <c r="A230" s="2">
        <v>229</v>
      </c>
      <c r="B230" s="2">
        <v>6</v>
      </c>
      <c r="C230" s="7" t="s">
        <v>426</v>
      </c>
      <c r="D230" s="2">
        <v>2</v>
      </c>
    </row>
    <row r="231" spans="1:4">
      <c r="A231" s="2">
        <v>230</v>
      </c>
      <c r="B231" s="2">
        <v>6</v>
      </c>
      <c r="C231" s="7" t="s">
        <v>427</v>
      </c>
      <c r="D231" s="2">
        <v>2</v>
      </c>
    </row>
    <row r="232" spans="1:4">
      <c r="A232" s="2">
        <v>231</v>
      </c>
      <c r="B232" s="2">
        <v>6</v>
      </c>
      <c r="C232" s="7" t="s">
        <v>428</v>
      </c>
      <c r="D232" s="2">
        <v>4</v>
      </c>
    </row>
    <row r="233" spans="1:4">
      <c r="A233" s="2">
        <v>232</v>
      </c>
      <c r="B233" s="2">
        <v>6</v>
      </c>
      <c r="C233" s="7" t="s">
        <v>429</v>
      </c>
      <c r="D233" s="2">
        <v>3</v>
      </c>
    </row>
    <row r="234" spans="1:4">
      <c r="A234" s="2">
        <v>233</v>
      </c>
      <c r="B234" s="2">
        <v>6</v>
      </c>
      <c r="C234" s="7" t="s">
        <v>430</v>
      </c>
      <c r="D234" s="2">
        <v>4</v>
      </c>
    </row>
    <row r="235" spans="1:4">
      <c r="A235" s="2">
        <v>234</v>
      </c>
      <c r="B235" s="2">
        <v>6</v>
      </c>
      <c r="C235" s="7" t="s">
        <v>431</v>
      </c>
      <c r="D235" s="2">
        <v>4</v>
      </c>
    </row>
    <row r="236" spans="1:4">
      <c r="A236" s="2">
        <v>235</v>
      </c>
      <c r="B236" s="2">
        <v>6</v>
      </c>
      <c r="C236" s="7" t="s">
        <v>432</v>
      </c>
      <c r="D236" s="2">
        <v>3</v>
      </c>
    </row>
    <row r="237" spans="1:4">
      <c r="A237" s="2">
        <v>236</v>
      </c>
      <c r="B237" s="2">
        <v>6</v>
      </c>
      <c r="C237" s="7" t="s">
        <v>433</v>
      </c>
      <c r="D237" s="2">
        <v>2</v>
      </c>
    </row>
    <row r="238" spans="1:4">
      <c r="A238" s="2">
        <v>237</v>
      </c>
      <c r="B238" s="2">
        <v>6</v>
      </c>
      <c r="C238" s="7" t="s">
        <v>434</v>
      </c>
      <c r="D238" s="2">
        <v>4</v>
      </c>
    </row>
    <row r="239" spans="1:4">
      <c r="A239" s="2">
        <v>238</v>
      </c>
      <c r="B239" s="2">
        <v>6</v>
      </c>
      <c r="C239" s="7" t="s">
        <v>435</v>
      </c>
      <c r="D239" s="2">
        <v>4</v>
      </c>
    </row>
    <row r="240" spans="1:4">
      <c r="A240" s="2">
        <v>239</v>
      </c>
      <c r="B240" s="2">
        <v>6</v>
      </c>
      <c r="C240" s="7" t="s">
        <v>436</v>
      </c>
      <c r="D240" s="2">
        <v>3</v>
      </c>
    </row>
    <row r="241" spans="1:4">
      <c r="A241" s="2">
        <v>240</v>
      </c>
      <c r="B241" s="2">
        <v>6</v>
      </c>
      <c r="C241" s="7" t="s">
        <v>437</v>
      </c>
      <c r="D241" s="2">
        <v>2</v>
      </c>
    </row>
    <row r="242" spans="1:4">
      <c r="A242" s="2">
        <v>241</v>
      </c>
      <c r="B242" s="2">
        <v>6</v>
      </c>
      <c r="C242" s="7" t="s">
        <v>438</v>
      </c>
      <c r="D242" s="2">
        <v>2</v>
      </c>
    </row>
    <row r="243" spans="1:4">
      <c r="A243" s="2">
        <v>242</v>
      </c>
      <c r="B243" s="2">
        <v>6</v>
      </c>
      <c r="C243" s="7" t="s">
        <v>439</v>
      </c>
      <c r="D243" s="2">
        <v>3</v>
      </c>
    </row>
    <row r="244" spans="1:4">
      <c r="A244" s="2">
        <v>243</v>
      </c>
      <c r="B244" s="2">
        <v>6</v>
      </c>
      <c r="C244" s="7" t="s">
        <v>440</v>
      </c>
      <c r="D244" s="2">
        <v>4</v>
      </c>
    </row>
    <row r="245" spans="1:4">
      <c r="A245" s="2">
        <v>244</v>
      </c>
      <c r="B245" s="2">
        <v>6</v>
      </c>
      <c r="C245" s="7" t="s">
        <v>441</v>
      </c>
      <c r="D245" s="2">
        <v>3</v>
      </c>
    </row>
    <row r="246" spans="1:4">
      <c r="A246" s="2">
        <v>245</v>
      </c>
      <c r="B246" s="2">
        <v>6</v>
      </c>
      <c r="C246" s="7" t="s">
        <v>442</v>
      </c>
      <c r="D246" s="2">
        <v>3</v>
      </c>
    </row>
    <row r="247" spans="1:4">
      <c r="A247" s="2">
        <v>246</v>
      </c>
      <c r="B247" s="2">
        <v>6</v>
      </c>
      <c r="C247" s="7" t="s">
        <v>443</v>
      </c>
      <c r="D247" s="2">
        <v>3</v>
      </c>
    </row>
    <row r="248" spans="1:4">
      <c r="A248" s="2">
        <v>247</v>
      </c>
      <c r="B248" s="2">
        <v>6</v>
      </c>
      <c r="C248" s="7" t="s">
        <v>444</v>
      </c>
      <c r="D248" s="2">
        <v>1</v>
      </c>
    </row>
    <row r="249" spans="1:4">
      <c r="A249" s="2">
        <v>248</v>
      </c>
      <c r="B249" s="2">
        <v>6</v>
      </c>
      <c r="C249" s="7" t="s">
        <v>445</v>
      </c>
      <c r="D249" s="2">
        <v>2</v>
      </c>
    </row>
    <row r="250" spans="1:4">
      <c r="A250" s="2">
        <v>249</v>
      </c>
      <c r="B250" s="2">
        <v>6</v>
      </c>
      <c r="C250" s="7" t="s">
        <v>446</v>
      </c>
      <c r="D250" s="2">
        <v>2</v>
      </c>
    </row>
    <row r="251" spans="1:4">
      <c r="A251" s="2">
        <v>250</v>
      </c>
      <c r="B251" s="2">
        <v>6</v>
      </c>
      <c r="C251" s="7" t="s">
        <v>447</v>
      </c>
      <c r="D251" s="2">
        <v>1</v>
      </c>
    </row>
    <row r="252" spans="1:4">
      <c r="A252" s="2">
        <v>251</v>
      </c>
      <c r="B252" s="2">
        <v>6</v>
      </c>
      <c r="C252" s="7" t="s">
        <v>448</v>
      </c>
      <c r="D252" s="2">
        <v>4</v>
      </c>
    </row>
    <row r="253" spans="1:4">
      <c r="A253" s="2">
        <v>252</v>
      </c>
      <c r="B253" s="2">
        <v>6</v>
      </c>
      <c r="C253" s="7" t="s">
        <v>449</v>
      </c>
      <c r="D253" s="2">
        <v>4</v>
      </c>
    </row>
    <row r="254" spans="1:4">
      <c r="A254" s="2">
        <v>253</v>
      </c>
      <c r="B254" s="2">
        <v>6</v>
      </c>
      <c r="C254" s="7" t="s">
        <v>450</v>
      </c>
      <c r="D254" s="2">
        <v>4</v>
      </c>
    </row>
    <row r="255" spans="1:4">
      <c r="A255" s="2">
        <v>254</v>
      </c>
      <c r="B255" s="2">
        <v>6</v>
      </c>
      <c r="C255" s="7" t="s">
        <v>451</v>
      </c>
      <c r="D255" s="2">
        <v>3</v>
      </c>
    </row>
    <row r="256" spans="1:4">
      <c r="A256" s="2">
        <v>255</v>
      </c>
      <c r="B256" s="2">
        <v>6</v>
      </c>
      <c r="C256" s="7" t="s">
        <v>452</v>
      </c>
      <c r="D256" s="2">
        <v>4</v>
      </c>
    </row>
    <row r="257" spans="1:4">
      <c r="A257" s="2">
        <v>256</v>
      </c>
      <c r="B257" s="2">
        <v>6</v>
      </c>
      <c r="C257" s="7" t="s">
        <v>453</v>
      </c>
      <c r="D257" s="2">
        <v>4</v>
      </c>
    </row>
    <row r="258" spans="1:4">
      <c r="A258" s="2">
        <v>257</v>
      </c>
      <c r="B258" s="2">
        <v>6</v>
      </c>
      <c r="C258" s="7" t="s">
        <v>454</v>
      </c>
      <c r="D258" s="2">
        <v>4</v>
      </c>
    </row>
  </sheetData>
  <phoneticPr fontId="1" type="noConversion"/>
  <conditionalFormatting sqref="A2:D1048576">
    <cfRule type="expression" dxfId="44" priority="1">
      <formula>$A2 &lt;&gt; 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1:CC51"/>
  <sheetViews>
    <sheetView showWhiteSpace="0" zoomScale="85" zoomScaleNormal="85" zoomScalePageLayoutView="85" workbookViewId="0">
      <selection activeCell="J28" sqref="J28"/>
    </sheetView>
  </sheetViews>
  <sheetFormatPr defaultRowHeight="16.5"/>
  <cols>
    <col min="1" max="10" width="9" style="1"/>
    <col min="11" max="11" width="15.25" style="1" bestFit="1" customWidth="1"/>
    <col min="12" max="12" width="11.875" style="1" bestFit="1" customWidth="1"/>
    <col min="13" max="13" width="5.5" style="1" customWidth="1"/>
    <col min="14" max="14" width="7.375" style="1" customWidth="1"/>
    <col min="15" max="21" width="9" style="1"/>
    <col min="22" max="22" width="11.875" style="1" bestFit="1" customWidth="1"/>
    <col min="23" max="23" width="15.25" style="1" bestFit="1" customWidth="1"/>
    <col min="24" max="24" width="7.25" style="1" bestFit="1" customWidth="1"/>
    <col min="25" max="25" width="9.5" style="1" bestFit="1" customWidth="1"/>
    <col min="26" max="26" width="7.375" style="1" customWidth="1"/>
    <col min="27" max="27" width="15.25" style="1" bestFit="1" customWidth="1"/>
    <col min="28" max="28" width="11.875" style="1" customWidth="1"/>
    <col min="29" max="29" width="5.5" style="1" bestFit="1" customWidth="1"/>
    <col min="30" max="30" width="7.375" style="1" bestFit="1" customWidth="1"/>
    <col min="31" max="31" width="7.375" style="1" customWidth="1"/>
    <col min="32" max="32" width="15.25" style="1" bestFit="1" customWidth="1"/>
    <col min="33" max="33" width="11.875" style="1" customWidth="1"/>
    <col min="34" max="35" width="7.375" style="1" customWidth="1"/>
    <col min="36" max="36" width="4.75" style="1" customWidth="1"/>
    <col min="37" max="37" width="11.875" style="1" customWidth="1"/>
    <col min="38" max="38" width="7.375" style="1" customWidth="1"/>
    <col min="39" max="39" width="7.75" style="1" customWidth="1"/>
    <col min="40" max="40" width="11.875" style="1" bestFit="1" customWidth="1"/>
    <col min="41" max="41" width="7.375" style="1" bestFit="1" customWidth="1"/>
    <col min="42" max="42" width="8.375" style="1" bestFit="1" customWidth="1"/>
    <col min="43" max="43" width="7.375" style="1" bestFit="1" customWidth="1"/>
    <col min="44" max="44" width="5.5" style="1" bestFit="1" customWidth="1"/>
    <col min="45" max="45" width="8.375" style="1" bestFit="1" customWidth="1"/>
    <col min="46" max="46" width="7.375" style="1" bestFit="1" customWidth="1"/>
    <col min="47" max="67" width="4" style="1" customWidth="1"/>
    <col min="68" max="68" width="11.875" style="1" customWidth="1"/>
    <col min="69" max="69" width="7.625" style="1" customWidth="1"/>
    <col min="70" max="71" width="2.875" style="1" customWidth="1"/>
    <col min="72" max="77" width="4" style="1" customWidth="1"/>
    <col min="78" max="78" width="15.25" style="1" customWidth="1"/>
    <col min="79" max="79" width="11.875" style="1" customWidth="1"/>
    <col min="80" max="80" width="5.5" style="1" customWidth="1"/>
    <col min="81" max="81" width="7.375" style="1" customWidth="1"/>
    <col min="82" max="86" width="4" style="1" customWidth="1"/>
    <col min="87" max="87" width="9.875" style="1" customWidth="1"/>
    <col min="88" max="88" width="7.375" style="1" customWidth="1"/>
    <col min="89" max="89" width="5.5" style="1" customWidth="1"/>
    <col min="90" max="90" width="8.375" style="1" customWidth="1"/>
    <col min="91" max="91" width="7.375" style="1" customWidth="1"/>
    <col min="92" max="92" width="5.5" style="1" customWidth="1"/>
    <col min="93" max="93" width="8.375" style="1" customWidth="1"/>
    <col min="94" max="94" width="7.375" style="1" customWidth="1"/>
    <col min="95" max="95" width="5.5" style="1" customWidth="1"/>
    <col min="96" max="96" width="8.375" style="1" customWidth="1"/>
    <col min="97" max="97" width="7.375" style="1" customWidth="1"/>
    <col min="98" max="98" width="8.375" style="1" customWidth="1"/>
    <col min="99" max="99" width="7.375" style="1" customWidth="1"/>
    <col min="100" max="100" width="8.375" style="1" customWidth="1"/>
    <col min="101" max="101" width="7.375" style="1" customWidth="1"/>
    <col min="102" max="102" width="8.375" style="1" customWidth="1"/>
    <col min="103" max="103" width="7.375" style="1" customWidth="1"/>
    <col min="104" max="104" width="8.375" style="1" customWidth="1"/>
    <col min="105" max="105" width="7.375" style="1" customWidth="1"/>
    <col min="106" max="106" width="8.375" style="1" customWidth="1"/>
    <col min="107" max="107" width="7.375" style="1" customWidth="1"/>
    <col min="108" max="108" width="8.375" style="1" customWidth="1"/>
    <col min="109" max="109" width="7.375" style="1" customWidth="1"/>
    <col min="110" max="110" width="8.375" style="1" customWidth="1"/>
    <col min="111" max="111" width="7.375" style="1" customWidth="1"/>
    <col min="112" max="112" width="8.375" style="1" customWidth="1"/>
    <col min="113" max="113" width="7.375" style="1" customWidth="1"/>
    <col min="114" max="114" width="5.5" style="1" customWidth="1"/>
    <col min="115" max="115" width="8.375" style="1" customWidth="1"/>
    <col min="116" max="116" width="7.375" style="1" customWidth="1"/>
    <col min="117" max="117" width="5.5" style="1" customWidth="1"/>
    <col min="118" max="118" width="8.375" style="1" customWidth="1"/>
    <col min="119" max="119" width="7.375" style="1" customWidth="1"/>
    <col min="120" max="120" width="5.5" style="1" customWidth="1"/>
    <col min="121" max="121" width="8.375" style="1" customWidth="1"/>
    <col min="122" max="122" width="7.375" style="1" customWidth="1"/>
    <col min="123" max="123" width="5.5" style="1" customWidth="1"/>
    <col min="124" max="124" width="8.375" style="1" customWidth="1"/>
    <col min="125" max="125" width="7.375" style="1" customWidth="1"/>
    <col min="126" max="16384" width="9" style="1"/>
  </cols>
  <sheetData>
    <row r="1" spans="4:81">
      <c r="K1" s="1" t="s">
        <v>187</v>
      </c>
      <c r="L1" s="1" t="s">
        <v>187</v>
      </c>
      <c r="Q1" s="1" t="s">
        <v>1497</v>
      </c>
      <c r="S1" s="1" t="s">
        <v>1490</v>
      </c>
      <c r="V1"/>
      <c r="W1"/>
      <c r="X1"/>
      <c r="Y1"/>
      <c r="Z1"/>
      <c r="AA1"/>
      <c r="AB1"/>
      <c r="AC1"/>
      <c r="AD1"/>
      <c r="AE1"/>
      <c r="BZ1" s="26" t="s">
        <v>1498</v>
      </c>
      <c r="CA1" s="26" t="s">
        <v>1505</v>
      </c>
      <c r="CB1"/>
      <c r="CC1"/>
    </row>
    <row r="2" spans="4:81">
      <c r="D2" s="1" t="s">
        <v>1532</v>
      </c>
      <c r="K2" s="1" t="str">
        <f xml:space="preserve"> "&gt;=" &amp;M2</f>
        <v>&gt;=6</v>
      </c>
      <c r="L2" s="1" t="str">
        <f>"&lt;"&amp;M2+5</f>
        <v>&lt;11</v>
      </c>
      <c r="M2" s="1">
        <v>6</v>
      </c>
      <c r="Q2" s="1" t="str">
        <f>IF($R2 - 1 = 0, "&gt;0", $R2 - 1)</f>
        <v>&gt;0</v>
      </c>
      <c r="R2" s="1">
        <v>1</v>
      </c>
      <c r="S2" s="1" t="s">
        <v>1491</v>
      </c>
      <c r="V2"/>
      <c r="W2"/>
      <c r="X2"/>
      <c r="Y2"/>
      <c r="Z2"/>
      <c r="AA2"/>
      <c r="AB2"/>
      <c r="AC2"/>
      <c r="AD2"/>
      <c r="AE2"/>
      <c r="AF2"/>
      <c r="AG2"/>
      <c r="BZ2" s="26" t="s">
        <v>1499</v>
      </c>
      <c r="CA2" t="s">
        <v>197</v>
      </c>
      <c r="CB2" t="s">
        <v>198</v>
      </c>
      <c r="CC2" t="s">
        <v>1500</v>
      </c>
    </row>
    <row r="3" spans="4:81">
      <c r="S3" s="1" t="s">
        <v>1492</v>
      </c>
      <c r="V3" s="26" t="s">
        <v>1499</v>
      </c>
      <c r="W3" t="s">
        <v>1498</v>
      </c>
      <c r="X3"/>
      <c r="Y3"/>
      <c r="Z3"/>
      <c r="AA3" s="7"/>
      <c r="AB3" s="25"/>
      <c r="AC3" s="25"/>
      <c r="AD3" s="25"/>
      <c r="AE3"/>
      <c r="BZ3" s="7">
        <v>6</v>
      </c>
      <c r="CA3" s="25">
        <v>14</v>
      </c>
      <c r="CB3" s="25"/>
      <c r="CC3" s="25">
        <v>14</v>
      </c>
    </row>
    <row r="4" spans="4:81">
      <c r="S4" s="1" t="s">
        <v>1493</v>
      </c>
      <c r="V4" s="7" t="s">
        <v>197</v>
      </c>
      <c r="W4" s="27">
        <v>0.91848906560636179</v>
      </c>
      <c r="X4"/>
      <c r="Y4"/>
      <c r="AA4" s="7"/>
      <c r="AB4" s="25"/>
      <c r="AC4" s="25"/>
      <c r="AD4" s="25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BZ4" s="7">
        <v>7</v>
      </c>
      <c r="CA4" s="25">
        <v>8</v>
      </c>
      <c r="CB4" s="25"/>
      <c r="CC4" s="25">
        <v>8</v>
      </c>
    </row>
    <row r="5" spans="4:81">
      <c r="S5" s="1" t="s">
        <v>1494</v>
      </c>
      <c r="V5" s="7" t="s">
        <v>198</v>
      </c>
      <c r="W5" s="27">
        <v>8.1510934393638171E-2</v>
      </c>
      <c r="X5"/>
      <c r="Y5"/>
      <c r="Z5" s="16"/>
      <c r="AA5" s="7"/>
      <c r="AB5" s="25"/>
      <c r="AC5" s="25"/>
      <c r="AD5" s="2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BZ5" s="7">
        <v>8</v>
      </c>
      <c r="CA5" s="25">
        <v>9</v>
      </c>
      <c r="CB5" s="25">
        <v>1</v>
      </c>
      <c r="CC5" s="25">
        <v>10</v>
      </c>
    </row>
    <row r="6" spans="4:81">
      <c r="S6" s="1" t="s">
        <v>1495</v>
      </c>
      <c r="V6" s="7" t="s">
        <v>1500</v>
      </c>
      <c r="W6" s="27">
        <v>1</v>
      </c>
      <c r="X6"/>
      <c r="Y6" s="16"/>
      <c r="Z6" s="16"/>
      <c r="AA6" s="7"/>
      <c r="AB6" s="25"/>
      <c r="AC6" s="25"/>
      <c r="AD6" s="25"/>
      <c r="AE6"/>
      <c r="AF6" s="7"/>
      <c r="AG6" s="25"/>
      <c r="AH6" s="25"/>
      <c r="AI6"/>
      <c r="AJ6"/>
      <c r="AK6"/>
      <c r="AL6"/>
      <c r="AM6"/>
      <c r="AN6"/>
      <c r="AO6"/>
      <c r="AP6"/>
      <c r="AQ6"/>
      <c r="AR6"/>
      <c r="AS6"/>
      <c r="AT6"/>
      <c r="BZ6" s="7">
        <v>9</v>
      </c>
      <c r="CA6" s="25">
        <v>11</v>
      </c>
      <c r="CB6" s="25">
        <v>1</v>
      </c>
      <c r="CC6" s="25">
        <v>12</v>
      </c>
    </row>
    <row r="7" spans="4:81">
      <c r="S7" s="1" t="s">
        <v>1496</v>
      </c>
      <c r="V7"/>
      <c r="W7"/>
      <c r="X7"/>
      <c r="Y7" s="16"/>
      <c r="Z7" s="16"/>
      <c r="AA7" s="7"/>
      <c r="AB7" s="25"/>
      <c r="AC7" s="25"/>
      <c r="AD7" s="25"/>
      <c r="AE7"/>
      <c r="AF7" s="7"/>
      <c r="AG7" s="25"/>
      <c r="AH7" s="25"/>
      <c r="AI7"/>
      <c r="AJ7"/>
      <c r="AK7"/>
      <c r="AL7"/>
      <c r="AM7"/>
      <c r="AN7"/>
      <c r="AO7"/>
      <c r="AP7"/>
      <c r="AQ7"/>
      <c r="AR7"/>
      <c r="AS7"/>
      <c r="AT7"/>
      <c r="BZ7" s="7">
        <v>10</v>
      </c>
      <c r="CA7" s="25">
        <v>10</v>
      </c>
      <c r="CB7" s="25">
        <v>1</v>
      </c>
      <c r="CC7" s="25">
        <v>11</v>
      </c>
    </row>
    <row r="8" spans="4:81">
      <c r="V8"/>
      <c r="W8"/>
      <c r="X8"/>
      <c r="Y8" s="16"/>
      <c r="Z8" s="16"/>
      <c r="AA8" s="7"/>
      <c r="AB8" s="25"/>
      <c r="AC8" s="25"/>
      <c r="AD8" s="25"/>
      <c r="AE8"/>
      <c r="AF8"/>
      <c r="AG8"/>
      <c r="AH8"/>
      <c r="AI8"/>
      <c r="AJ8"/>
      <c r="AK8"/>
      <c r="AL8"/>
      <c r="AM8"/>
      <c r="AN8"/>
      <c r="AO8"/>
      <c r="BZ8" s="7" t="s">
        <v>1500</v>
      </c>
      <c r="CA8" s="25">
        <v>52</v>
      </c>
      <c r="CB8" s="25">
        <v>3</v>
      </c>
      <c r="CC8" s="25">
        <v>55</v>
      </c>
    </row>
    <row r="9" spans="4:81">
      <c r="V9"/>
      <c r="W9"/>
      <c r="X9"/>
      <c r="Y9" s="16"/>
      <c r="Z9" s="16"/>
      <c r="AA9" s="7"/>
      <c r="AB9" s="25"/>
      <c r="AC9" s="25"/>
      <c r="AD9" s="25"/>
      <c r="AE9"/>
      <c r="AF9"/>
      <c r="AG9"/>
      <c r="AH9"/>
      <c r="AI9"/>
      <c r="AJ9"/>
      <c r="AK9"/>
      <c r="AL9"/>
      <c r="AM9"/>
      <c r="AN9"/>
      <c r="AO9"/>
      <c r="BZ9"/>
      <c r="CA9"/>
      <c r="CB9"/>
      <c r="CC9"/>
    </row>
    <row r="10" spans="4:81">
      <c r="V10"/>
      <c r="W10"/>
      <c r="X10"/>
      <c r="Y10" s="16"/>
      <c r="Z10" s="16"/>
      <c r="AA10" s="7"/>
      <c r="AB10" s="25"/>
      <c r="AC10" s="25"/>
      <c r="AD10" s="25"/>
      <c r="AE10"/>
      <c r="AF10"/>
      <c r="AG10"/>
      <c r="AH10"/>
      <c r="AI10"/>
      <c r="AJ10"/>
      <c r="AK10"/>
      <c r="AL10"/>
      <c r="AM10"/>
      <c r="AN10"/>
      <c r="AO10"/>
      <c r="BZ10"/>
      <c r="CA10"/>
      <c r="CB10"/>
      <c r="CC10"/>
    </row>
    <row r="11" spans="4:81">
      <c r="V11"/>
      <c r="W11"/>
      <c r="X11"/>
      <c r="Y11" s="16"/>
      <c r="Z11" s="16"/>
      <c r="AA11" s="7"/>
      <c r="AB11" s="25"/>
      <c r="AC11" s="25"/>
      <c r="AD11" s="25"/>
      <c r="AE11"/>
      <c r="AF11"/>
      <c r="AG11"/>
      <c r="AH11"/>
      <c r="AI11"/>
      <c r="AJ11"/>
      <c r="AK11"/>
      <c r="AL11"/>
      <c r="AM11"/>
      <c r="AN11"/>
      <c r="AO11"/>
      <c r="BZ11"/>
      <c r="CA11"/>
      <c r="CB11"/>
      <c r="CC11"/>
    </row>
    <row r="12" spans="4:81">
      <c r="V12"/>
      <c r="W12"/>
      <c r="X12"/>
      <c r="AA12" s="7"/>
      <c r="AB12" s="25"/>
      <c r="AC12" s="25"/>
      <c r="AD12" s="25"/>
      <c r="AE12"/>
      <c r="AF12"/>
      <c r="AG12"/>
      <c r="AH12"/>
      <c r="AI12"/>
      <c r="AJ12"/>
      <c r="AK12"/>
      <c r="AL12"/>
      <c r="AM12"/>
      <c r="AN12"/>
      <c r="AO12"/>
      <c r="BZ12"/>
      <c r="CA12"/>
      <c r="CB12"/>
      <c r="CC12"/>
    </row>
    <row r="13" spans="4:81">
      <c r="V13"/>
      <c r="W13"/>
      <c r="X13"/>
      <c r="AA13" s="7"/>
      <c r="AB13" s="25"/>
      <c r="AC13" s="25"/>
      <c r="AD13" s="25"/>
      <c r="AE13"/>
      <c r="AF13"/>
      <c r="AG13"/>
      <c r="AH13"/>
      <c r="AI13"/>
      <c r="AJ13"/>
      <c r="AK13"/>
      <c r="AL13"/>
      <c r="BZ13"/>
      <c r="CA13"/>
      <c r="CB13"/>
      <c r="CC13"/>
    </row>
    <row r="14" spans="4:81">
      <c r="V14"/>
      <c r="W14"/>
      <c r="X14"/>
      <c r="AA14" s="7"/>
      <c r="AB14" s="25"/>
      <c r="AC14" s="25"/>
      <c r="AD14" s="25"/>
      <c r="AE14"/>
      <c r="AF14"/>
      <c r="AG14"/>
      <c r="AH14"/>
      <c r="BZ14"/>
      <c r="CA14"/>
      <c r="CB14"/>
      <c r="CC14"/>
    </row>
    <row r="15" spans="4:81">
      <c r="V15"/>
      <c r="W15"/>
      <c r="X15"/>
      <c r="AA15" s="7"/>
      <c r="AB15" s="25"/>
      <c r="AC15" s="25"/>
      <c r="AD15" s="25"/>
      <c r="AE15"/>
      <c r="AF15"/>
      <c r="AG15"/>
      <c r="AH15"/>
      <c r="BZ15"/>
      <c r="CA15"/>
      <c r="CB15"/>
      <c r="CC15"/>
    </row>
    <row r="16" spans="4:81">
      <c r="V16"/>
      <c r="W16"/>
      <c r="X16"/>
      <c r="AA16" s="7"/>
      <c r="AB16" s="25"/>
      <c r="AC16" s="25"/>
      <c r="AD16" s="25"/>
      <c r="AE16"/>
      <c r="AF16"/>
      <c r="AG16"/>
      <c r="AH16"/>
      <c r="BZ16"/>
      <c r="CA16"/>
      <c r="CB16"/>
      <c r="CC16"/>
    </row>
    <row r="17" spans="11:81">
      <c r="V17"/>
      <c r="W17"/>
      <c r="X17"/>
      <c r="AA17" s="7"/>
      <c r="AB17" s="25"/>
      <c r="AC17" s="25"/>
      <c r="AD17" s="25"/>
      <c r="AE17"/>
      <c r="AF17"/>
      <c r="AG17"/>
      <c r="AH17"/>
      <c r="BZ17"/>
      <c r="CA17"/>
      <c r="CB17"/>
      <c r="CC17"/>
    </row>
    <row r="18" spans="11:81">
      <c r="V18"/>
      <c r="W18"/>
      <c r="X18"/>
      <c r="AA18" s="7"/>
      <c r="AB18" s="25"/>
      <c r="AC18" s="25"/>
      <c r="AD18" s="25"/>
      <c r="AE18"/>
      <c r="AF18"/>
      <c r="AG18"/>
      <c r="AH18"/>
      <c r="BZ18"/>
      <c r="CA18"/>
      <c r="CB18"/>
      <c r="CC18"/>
    </row>
    <row r="19" spans="11:81">
      <c r="K19" s="42"/>
      <c r="L19" s="16"/>
      <c r="M19" s="16"/>
      <c r="N19" s="16"/>
      <c r="AA19" s="7"/>
      <c r="AB19" s="25"/>
      <c r="AC19" s="25"/>
      <c r="AD19" s="25"/>
      <c r="AE19"/>
      <c r="AF19"/>
      <c r="AG19"/>
      <c r="AH19"/>
      <c r="BZ19"/>
      <c r="CA19"/>
      <c r="CB19"/>
      <c r="CC19"/>
    </row>
    <row r="20" spans="11:81">
      <c r="K20" s="42"/>
      <c r="L20" s="16"/>
      <c r="M20" s="16"/>
      <c r="N20" s="16"/>
      <c r="AA20" s="7"/>
      <c r="AB20" s="25"/>
      <c r="AC20" s="25"/>
      <c r="AD20" s="25"/>
      <c r="AE20"/>
      <c r="AF20"/>
      <c r="AG20"/>
      <c r="AH20"/>
      <c r="BZ20"/>
      <c r="CA20"/>
      <c r="CB20"/>
      <c r="CC20"/>
    </row>
    <row r="21" spans="11:81">
      <c r="K21" s="42"/>
      <c r="L21" s="16"/>
      <c r="M21" s="16"/>
      <c r="N21" s="16"/>
      <c r="AA21" s="7"/>
      <c r="AB21" s="25"/>
      <c r="AC21" s="25"/>
      <c r="AD21" s="25"/>
      <c r="AE21"/>
      <c r="AF21"/>
      <c r="AG21"/>
      <c r="AH21"/>
      <c r="BZ21"/>
      <c r="CA21"/>
      <c r="CB21"/>
      <c r="CC21"/>
    </row>
    <row r="22" spans="11:81">
      <c r="K22" s="42"/>
      <c r="L22" s="16"/>
      <c r="M22" s="16"/>
      <c r="N22" s="16"/>
      <c r="AA22" s="7"/>
      <c r="AB22" s="25"/>
      <c r="AC22" s="25"/>
      <c r="AD22" s="25"/>
      <c r="AE22"/>
      <c r="BZ22"/>
      <c r="CA22"/>
      <c r="CB22"/>
      <c r="CC22"/>
    </row>
    <row r="23" spans="11:81">
      <c r="K23" s="42"/>
      <c r="L23" s="16"/>
      <c r="M23" s="16"/>
      <c r="N23" s="16"/>
      <c r="AA23" s="7"/>
      <c r="AB23" s="25"/>
      <c r="AC23" s="25"/>
      <c r="AD23" s="25"/>
      <c r="AE23"/>
      <c r="BZ23"/>
      <c r="CA23"/>
      <c r="CB23"/>
      <c r="CC23"/>
    </row>
    <row r="24" spans="11:81">
      <c r="K24" s="42"/>
      <c r="L24" s="16"/>
      <c r="M24" s="16"/>
      <c r="N24" s="16"/>
      <c r="AA24" s="7"/>
      <c r="AB24" s="25"/>
      <c r="AC24" s="25"/>
      <c r="AD24" s="25"/>
      <c r="AE24"/>
      <c r="BZ24"/>
      <c r="CA24"/>
      <c r="CB24"/>
      <c r="CC24"/>
    </row>
    <row r="25" spans="11:81">
      <c r="K25" s="42"/>
      <c r="L25" s="16"/>
      <c r="M25" s="16"/>
      <c r="N25" s="16"/>
      <c r="AA25" s="7"/>
      <c r="AB25" s="25"/>
      <c r="AC25" s="25"/>
      <c r="AD25" s="25"/>
      <c r="AE25"/>
      <c r="BZ25"/>
      <c r="CA25"/>
      <c r="CB25"/>
      <c r="CC25"/>
    </row>
    <row r="26" spans="11:81">
      <c r="K26" s="42"/>
      <c r="L26" s="16"/>
      <c r="M26" s="16"/>
      <c r="N26" s="16"/>
      <c r="AA26" s="7"/>
      <c r="AB26" s="25"/>
      <c r="AC26" s="25"/>
      <c r="AD26" s="25"/>
      <c r="AE26"/>
      <c r="BZ26"/>
      <c r="CA26"/>
      <c r="CB26"/>
      <c r="CC26"/>
    </row>
    <row r="27" spans="11:81">
      <c r="K27" s="42"/>
      <c r="L27" s="16"/>
      <c r="M27" s="16"/>
      <c r="N27" s="16"/>
      <c r="AA27" s="7"/>
      <c r="AB27" s="25"/>
      <c r="AC27" s="25"/>
      <c r="AD27" s="25"/>
      <c r="AE27"/>
      <c r="BZ27"/>
      <c r="CA27"/>
      <c r="CB27"/>
      <c r="CC27"/>
    </row>
    <row r="28" spans="11:81">
      <c r="K28" s="42"/>
      <c r="L28" s="16"/>
      <c r="M28" s="16"/>
      <c r="N28" s="16"/>
      <c r="AA28" s="7"/>
      <c r="AB28" s="25"/>
      <c r="AC28" s="25"/>
      <c r="AD28" s="25"/>
      <c r="AE28"/>
      <c r="BZ28"/>
      <c r="CA28"/>
      <c r="CB28"/>
      <c r="CC28"/>
    </row>
    <row r="29" spans="11:81">
      <c r="K29" s="42"/>
      <c r="L29" s="16"/>
      <c r="M29" s="16"/>
      <c r="N29" s="16"/>
      <c r="AA29" s="7"/>
      <c r="AB29" s="25"/>
      <c r="AC29" s="25"/>
      <c r="AD29" s="25"/>
      <c r="AE29"/>
      <c r="BZ29"/>
      <c r="CA29"/>
      <c r="CB29"/>
      <c r="CC29"/>
    </row>
    <row r="30" spans="11:81">
      <c r="K30" s="42"/>
      <c r="L30" s="16"/>
      <c r="M30" s="16"/>
      <c r="N30" s="16"/>
      <c r="AA30" s="7"/>
      <c r="AB30" s="25"/>
      <c r="AC30" s="25"/>
      <c r="AD30" s="25"/>
      <c r="AE30"/>
      <c r="BZ30"/>
      <c r="CA30"/>
      <c r="CB30"/>
      <c r="CC30"/>
    </row>
    <row r="31" spans="11:81">
      <c r="K31" s="42"/>
      <c r="L31" s="16"/>
      <c r="M31" s="16"/>
      <c r="N31" s="16"/>
      <c r="AA31" s="7"/>
      <c r="AB31" s="25"/>
      <c r="AC31" s="25"/>
      <c r="AD31" s="25"/>
      <c r="AE31"/>
      <c r="BZ31"/>
      <c r="CA31"/>
      <c r="CB31"/>
      <c r="CC31"/>
    </row>
    <row r="32" spans="11:81">
      <c r="K32" s="42"/>
      <c r="L32" s="16"/>
      <c r="M32" s="16"/>
      <c r="N32" s="16"/>
      <c r="AA32" s="7"/>
      <c r="AB32" s="25"/>
      <c r="AC32" s="25"/>
      <c r="AD32" s="25"/>
      <c r="AE32"/>
      <c r="BZ32"/>
      <c r="CA32"/>
      <c r="CB32"/>
      <c r="CC32"/>
    </row>
    <row r="33" spans="11:81">
      <c r="K33" s="42"/>
      <c r="L33" s="16"/>
      <c r="M33" s="16"/>
      <c r="N33" s="16"/>
      <c r="AA33" s="7"/>
      <c r="AB33" s="25"/>
      <c r="AC33" s="25"/>
      <c r="AD33" s="25"/>
      <c r="AE33"/>
      <c r="BZ33"/>
      <c r="CA33"/>
      <c r="CB33"/>
      <c r="CC33"/>
    </row>
    <row r="34" spans="11:81">
      <c r="K34" s="42"/>
      <c r="L34" s="16"/>
      <c r="M34" s="16"/>
      <c r="N34" s="16"/>
      <c r="AA34" s="7"/>
      <c r="AB34" s="25"/>
      <c r="AC34" s="25"/>
      <c r="AD34" s="25"/>
      <c r="AE34"/>
      <c r="BZ34"/>
      <c r="CA34"/>
      <c r="CB34"/>
      <c r="CC34"/>
    </row>
    <row r="35" spans="11:81">
      <c r="K35" s="42"/>
      <c r="L35" s="16"/>
      <c r="M35" s="16"/>
      <c r="N35" s="16"/>
      <c r="AA35" s="7"/>
      <c r="AB35" s="25"/>
      <c r="AC35" s="25"/>
      <c r="AD35" s="25"/>
      <c r="AE35"/>
      <c r="BZ35"/>
      <c r="CA35"/>
      <c r="CB35"/>
      <c r="CC35"/>
    </row>
    <row r="36" spans="11:81">
      <c r="K36" s="42"/>
      <c r="L36" s="16"/>
      <c r="M36" s="16"/>
      <c r="N36" s="16"/>
      <c r="AA36" s="7"/>
      <c r="AB36" s="25"/>
      <c r="AC36" s="25"/>
      <c r="AD36" s="25"/>
      <c r="AE36"/>
      <c r="BZ36"/>
      <c r="CA36"/>
      <c r="CB36"/>
      <c r="CC36"/>
    </row>
    <row r="37" spans="11:81">
      <c r="K37" s="42"/>
      <c r="L37" s="16"/>
      <c r="M37" s="16"/>
      <c r="N37" s="16"/>
      <c r="AA37" s="7"/>
      <c r="AB37" s="25"/>
      <c r="AC37" s="25"/>
      <c r="AD37" s="25"/>
      <c r="BZ37"/>
      <c r="CA37"/>
      <c r="CB37"/>
      <c r="CC37"/>
    </row>
    <row r="38" spans="11:81">
      <c r="K38" s="42"/>
      <c r="L38" s="16"/>
      <c r="M38" s="16"/>
      <c r="N38" s="16"/>
      <c r="AA38" s="7"/>
      <c r="AB38" s="25"/>
      <c r="AC38" s="25"/>
      <c r="AD38" s="25"/>
      <c r="BZ38"/>
      <c r="CA38"/>
      <c r="CB38"/>
      <c r="CC38"/>
    </row>
    <row r="39" spans="11:81">
      <c r="K39" s="42"/>
      <c r="L39" s="16"/>
      <c r="M39" s="16"/>
      <c r="N39" s="16"/>
      <c r="AA39" s="7"/>
      <c r="AB39" s="25"/>
      <c r="AC39" s="25"/>
      <c r="AD39" s="25"/>
      <c r="BZ39"/>
      <c r="CA39"/>
      <c r="CB39"/>
      <c r="CC39"/>
    </row>
    <row r="40" spans="11:81">
      <c r="K40" s="42"/>
      <c r="L40" s="16"/>
      <c r="M40" s="16"/>
      <c r="N40" s="16"/>
      <c r="AA40" s="7"/>
      <c r="AB40" s="25"/>
      <c r="AC40" s="25"/>
      <c r="AD40" s="25"/>
      <c r="BZ40"/>
      <c r="CA40"/>
      <c r="CB40"/>
      <c r="CC40"/>
    </row>
    <row r="41" spans="11:81">
      <c r="K41" s="42"/>
      <c r="L41" s="16"/>
      <c r="M41" s="16"/>
      <c r="N41" s="16"/>
      <c r="AA41" s="7"/>
      <c r="AB41" s="25"/>
      <c r="AC41" s="25"/>
      <c r="AD41" s="25"/>
      <c r="BZ41"/>
      <c r="CA41"/>
      <c r="CB41"/>
      <c r="CC41"/>
    </row>
    <row r="42" spans="11:81">
      <c r="K42" s="42"/>
      <c r="L42" s="16"/>
      <c r="M42" s="16"/>
      <c r="N42" s="16"/>
      <c r="AA42" s="7"/>
      <c r="AB42" s="25"/>
      <c r="AC42" s="25"/>
      <c r="AD42" s="25"/>
      <c r="BZ42"/>
      <c r="CA42"/>
      <c r="CB42"/>
      <c r="CC42"/>
    </row>
    <row r="43" spans="11:81">
      <c r="K43" s="42"/>
      <c r="L43" s="16"/>
      <c r="M43" s="16"/>
      <c r="N43" s="16"/>
    </row>
    <row r="44" spans="11:81">
      <c r="K44" s="42"/>
      <c r="L44" s="16"/>
      <c r="M44" s="16"/>
      <c r="N44" s="16"/>
    </row>
    <row r="45" spans="11:81">
      <c r="K45" s="42"/>
      <c r="L45" s="16"/>
      <c r="M45" s="16"/>
      <c r="N45" s="16"/>
    </row>
    <row r="46" spans="11:81">
      <c r="K46" s="42"/>
      <c r="L46" s="16"/>
      <c r="M46" s="16"/>
      <c r="N46" s="16"/>
    </row>
    <row r="47" spans="11:81">
      <c r="K47" s="42"/>
      <c r="L47" s="16"/>
      <c r="M47" s="16"/>
      <c r="N47" s="16"/>
    </row>
    <row r="48" spans="11:81">
      <c r="K48" s="42"/>
      <c r="L48" s="16"/>
      <c r="M48" s="16"/>
      <c r="N48" s="16"/>
    </row>
    <row r="49" spans="11:14">
      <c r="K49" s="42"/>
      <c r="L49" s="16"/>
      <c r="M49" s="16"/>
      <c r="N49" s="16"/>
    </row>
    <row r="50" spans="11:14">
      <c r="K50" s="42"/>
      <c r="L50" s="16"/>
      <c r="M50" s="16"/>
      <c r="N50" s="16"/>
    </row>
    <row r="51" spans="11:14">
      <c r="K51" s="42"/>
      <c r="L51" s="16"/>
      <c r="M51" s="16"/>
      <c r="N51" s="16"/>
    </row>
  </sheetData>
  <dataConsolidate/>
  <phoneticPr fontId="1" type="noConversion"/>
  <pageMargins left="0.7" right="0.7" top="0.75" bottom="0.75" header="0.3" footer="0.3"/>
  <pageSetup paperSize="9" scale="95" orientation="portrait" r:id="rId3"/>
  <rowBreaks count="1" manualBreakCount="1">
    <brk id="35" max="16383" man="1"/>
  </rowBreaks>
  <colBreaks count="1" manualBreakCount="1">
    <brk id="8" max="1048575" man="1"/>
  </col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Drop Down 1">
              <controlPr defaultSize="0" autoLine="0" autoPict="0" macro="[0]!콤보액션">
                <anchor moveWithCells="1">
                  <from>
                    <xdr:col>0</xdr:col>
                    <xdr:colOff>628650</xdr:colOff>
                    <xdr:row>0</xdr:row>
                    <xdr:rowOff>180975</xdr:rowOff>
                  </from>
                  <to>
                    <xdr:col>5</xdr:col>
                    <xdr:colOff>66675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Scroll Bar 5">
              <controlPr defaultSize="0" autoPict="0" macro="[0]!스핀액션">
                <anchor moveWithCells="1">
                  <from>
                    <xdr:col>0</xdr:col>
                    <xdr:colOff>666750</xdr:colOff>
                    <xdr:row>31</xdr:row>
                    <xdr:rowOff>66675</xdr:rowOff>
                  </from>
                  <to>
                    <xdr:col>7</xdr:col>
                    <xdr:colOff>409575</xdr:colOff>
                    <xdr:row>33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3:K106"/>
  <sheetViews>
    <sheetView zoomScale="85" zoomScaleNormal="85" workbookViewId="0">
      <selection activeCell="E3" sqref="E3"/>
    </sheetView>
  </sheetViews>
  <sheetFormatPr defaultRowHeight="16.5"/>
  <cols>
    <col min="1" max="2" width="9" style="1"/>
    <col min="3" max="3" width="11.375" style="1" customWidth="1"/>
    <col min="4" max="4" width="10" style="1" customWidth="1"/>
    <col min="5" max="5" width="18.375" style="34" bestFit="1" customWidth="1"/>
    <col min="6" max="6" width="16.5" style="34" customWidth="1"/>
    <col min="7" max="7" width="0.25" style="57" customWidth="1"/>
    <col min="8" max="8" width="15.25" style="34" bestFit="1" customWidth="1"/>
    <col min="9" max="9" width="11.25" style="38" bestFit="1" customWidth="1"/>
    <col min="10" max="10" width="11.125" style="16" bestFit="1" customWidth="1"/>
    <col min="11" max="14" width="9" style="1"/>
    <col min="15" max="15" width="11.875" style="1" bestFit="1" customWidth="1"/>
    <col min="16" max="16" width="17.375" style="1" bestFit="1" customWidth="1"/>
    <col min="17" max="20" width="12.5" style="1" bestFit="1" customWidth="1"/>
    <col min="21" max="22" width="7.375" style="1" bestFit="1" customWidth="1"/>
    <col min="23" max="26" width="17.375" style="1" bestFit="1" customWidth="1"/>
    <col min="27" max="27" width="22.125" style="1" bestFit="1" customWidth="1"/>
    <col min="28" max="28" width="15.875" style="1" bestFit="1" customWidth="1"/>
    <col min="29" max="29" width="14.875" style="1" bestFit="1" customWidth="1"/>
    <col min="30" max="30" width="12.125" style="1" bestFit="1" customWidth="1"/>
    <col min="31" max="31" width="14.875" style="1" bestFit="1" customWidth="1"/>
    <col min="32" max="32" width="12.125" style="1" bestFit="1" customWidth="1"/>
    <col min="33" max="33" width="14.875" style="1" bestFit="1" customWidth="1"/>
    <col min="34" max="34" width="12.125" style="1" bestFit="1" customWidth="1"/>
    <col min="35" max="35" width="14.875" style="1" bestFit="1" customWidth="1"/>
    <col min="36" max="36" width="7.375" style="1" bestFit="1" customWidth="1"/>
    <col min="37" max="37" width="14.875" style="1" bestFit="1" customWidth="1"/>
    <col min="38" max="38" width="12.125" style="1" bestFit="1" customWidth="1"/>
    <col min="39" max="39" width="8.375" style="1" bestFit="1" customWidth="1"/>
    <col min="40" max="40" width="14.875" style="1" bestFit="1" customWidth="1"/>
    <col min="41" max="41" width="12.125" style="1" bestFit="1" customWidth="1"/>
    <col min="42" max="42" width="8.375" style="1" bestFit="1" customWidth="1"/>
    <col min="43" max="43" width="14.875" style="1" bestFit="1" customWidth="1"/>
    <col min="44" max="44" width="7.375" style="1" bestFit="1" customWidth="1"/>
    <col min="45" max="16384" width="9" style="1"/>
  </cols>
  <sheetData>
    <row r="3" spans="5:7">
      <c r="E3" s="34" t="s">
        <v>1530</v>
      </c>
      <c r="G3" s="55"/>
    </row>
    <row r="18" spans="2:11" ht="1.5" customHeight="1">
      <c r="G18" s="55"/>
    </row>
    <row r="19" spans="2:11" ht="25.5" customHeight="1">
      <c r="E19" s="39" t="s">
        <v>1506</v>
      </c>
      <c r="F19" s="39" t="s">
        <v>1507</v>
      </c>
      <c r="G19" s="56" t="s">
        <v>1510</v>
      </c>
      <c r="H19" s="45" t="s">
        <v>1508</v>
      </c>
      <c r="I19" s="39" t="s">
        <v>1509</v>
      </c>
      <c r="J19" s="38"/>
      <c r="K19" s="1" t="s">
        <v>1511</v>
      </c>
    </row>
    <row r="20" spans="2:11">
      <c r="E20" s="43" t="s">
        <v>1527</v>
      </c>
      <c r="F20" s="43">
        <v>44485</v>
      </c>
      <c r="G20" s="54">
        <v>14</v>
      </c>
      <c r="H20" s="44">
        <v>31</v>
      </c>
      <c r="I20" s="43">
        <v>44499</v>
      </c>
      <c r="J20" s="38"/>
    </row>
    <row r="21" spans="2:11">
      <c r="B21" s="37"/>
      <c r="E21" s="43" t="s">
        <v>1528</v>
      </c>
      <c r="F21" s="43">
        <v>44484</v>
      </c>
      <c r="G21" s="54">
        <v>14</v>
      </c>
      <c r="H21" s="44">
        <v>30</v>
      </c>
      <c r="I21" s="43">
        <v>44498</v>
      </c>
      <c r="J21" s="38"/>
    </row>
    <row r="22" spans="2:11">
      <c r="B22" s="37"/>
      <c r="E22" s="43" t="s">
        <v>1528</v>
      </c>
      <c r="F22" s="43">
        <v>44485</v>
      </c>
      <c r="G22" s="54">
        <v>14</v>
      </c>
      <c r="H22" s="44">
        <v>31</v>
      </c>
      <c r="I22" s="43">
        <v>44499</v>
      </c>
      <c r="J22" s="38"/>
    </row>
    <row r="23" spans="2:11">
      <c r="B23" s="37"/>
      <c r="E23" s="43" t="s">
        <v>1528</v>
      </c>
      <c r="F23" s="43">
        <v>44486</v>
      </c>
      <c r="G23" s="54">
        <v>14</v>
      </c>
      <c r="H23" s="44">
        <v>1</v>
      </c>
      <c r="I23" s="43">
        <v>44500</v>
      </c>
      <c r="J23" s="38"/>
    </row>
    <row r="24" spans="2:11">
      <c r="B24" s="37"/>
      <c r="E24" s="43" t="s">
        <v>1529</v>
      </c>
      <c r="F24" s="43">
        <v>44484</v>
      </c>
      <c r="G24" s="54">
        <v>14</v>
      </c>
      <c r="H24" s="44">
        <v>30</v>
      </c>
      <c r="I24" s="43">
        <v>44498</v>
      </c>
      <c r="J24" s="38"/>
    </row>
    <row r="25" spans="2:11">
      <c r="B25" s="37"/>
      <c r="E25" s="43" t="s">
        <v>1529</v>
      </c>
      <c r="F25" s="43">
        <v>44484</v>
      </c>
      <c r="G25" s="54">
        <v>14</v>
      </c>
      <c r="H25" s="44">
        <v>30</v>
      </c>
      <c r="I25" s="43">
        <v>44498</v>
      </c>
      <c r="J25" s="38"/>
    </row>
    <row r="26" spans="2:11">
      <c r="B26" s="37"/>
      <c r="E26" s="43" t="s">
        <v>1572</v>
      </c>
      <c r="F26" s="43">
        <v>44485</v>
      </c>
      <c r="G26" s="54">
        <v>14</v>
      </c>
      <c r="H26" s="44">
        <v>31</v>
      </c>
      <c r="I26" s="43">
        <v>44499</v>
      </c>
      <c r="J26" s="38"/>
    </row>
    <row r="27" spans="2:11">
      <c r="B27" s="37"/>
      <c r="E27" s="43" t="s">
        <v>1572</v>
      </c>
      <c r="F27" s="43">
        <v>44485</v>
      </c>
      <c r="G27" s="54">
        <v>14</v>
      </c>
      <c r="H27" s="44">
        <v>31</v>
      </c>
      <c r="I27" s="43">
        <v>44499</v>
      </c>
      <c r="J27" s="38"/>
    </row>
    <row r="28" spans="2:11">
      <c r="B28" s="37"/>
      <c r="E28" s="43" t="s">
        <v>1573</v>
      </c>
      <c r="F28" s="43">
        <v>44485</v>
      </c>
      <c r="G28" s="54">
        <v>14</v>
      </c>
      <c r="H28" s="44">
        <v>31</v>
      </c>
      <c r="I28" s="43">
        <v>44499</v>
      </c>
      <c r="J28" s="38"/>
    </row>
    <row r="29" spans="2:11">
      <c r="B29" s="37"/>
      <c r="E29" s="43" t="s">
        <v>1573</v>
      </c>
      <c r="F29" s="43">
        <v>44485</v>
      </c>
      <c r="G29" s="54">
        <v>14</v>
      </c>
      <c r="H29" s="44">
        <v>31</v>
      </c>
      <c r="I29" s="43">
        <v>44499</v>
      </c>
      <c r="J29" s="38"/>
    </row>
    <row r="31" spans="2:11">
      <c r="F31" s="46">
        <v>44498</v>
      </c>
    </row>
    <row r="32" spans="2:11">
      <c r="F32" s="46">
        <v>44528</v>
      </c>
    </row>
    <row r="97" spans="2:4">
      <c r="B97" s="37"/>
      <c r="D97" s="37"/>
    </row>
    <row r="98" spans="2:4">
      <c r="B98" s="37"/>
      <c r="D98" s="37"/>
    </row>
    <row r="99" spans="2:4">
      <c r="B99" s="37"/>
      <c r="D99" s="37"/>
    </row>
    <row r="100" spans="2:4">
      <c r="B100" s="37"/>
      <c r="D100" s="37"/>
    </row>
    <row r="102" spans="2:4">
      <c r="B102" s="37"/>
      <c r="D102" s="37"/>
    </row>
    <row r="103" spans="2:4">
      <c r="B103" s="37"/>
      <c r="D103" s="37"/>
    </row>
    <row r="104" spans="2:4">
      <c r="B104" s="37"/>
      <c r="D104" s="37"/>
    </row>
    <row r="105" spans="2:4">
      <c r="B105" s="37"/>
      <c r="D105" s="37"/>
    </row>
    <row r="106" spans="2:4">
      <c r="B106" s="37"/>
      <c r="D106" s="3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Label1">
          <controlPr defaultSize="0" autoLine="0" r:id="rId4">
            <anchor moveWithCells="1">
              <from>
                <xdr:col>3</xdr:col>
                <xdr:colOff>742950</xdr:colOff>
                <xdr:row>15</xdr:row>
                <xdr:rowOff>57150</xdr:rowOff>
              </from>
              <to>
                <xdr:col>4</xdr:col>
                <xdr:colOff>885825</xdr:colOff>
                <xdr:row>17</xdr:row>
                <xdr:rowOff>9525</xdr:rowOff>
              </to>
            </anchor>
          </controlPr>
        </control>
      </mc:Choice>
      <mc:Fallback>
        <control shapeId="13313" r:id="rId3" name="Label1"/>
      </mc:Fallback>
    </mc:AlternateContent>
    <mc:AlternateContent xmlns:mc="http://schemas.openxmlformats.org/markup-compatibility/2006">
      <mc:Choice Requires="x14">
        <control shapeId="13314" r:id="rId5" name="Label2">
          <controlPr defaultSize="0" autoLine="0" r:id="rId6">
            <anchor moveWithCells="1">
              <from>
                <xdr:col>4</xdr:col>
                <xdr:colOff>962025</xdr:colOff>
                <xdr:row>15</xdr:row>
                <xdr:rowOff>66675</xdr:rowOff>
              </from>
              <to>
                <xdr:col>5</xdr:col>
                <xdr:colOff>685800</xdr:colOff>
                <xdr:row>17</xdr:row>
                <xdr:rowOff>0</xdr:rowOff>
              </to>
            </anchor>
          </controlPr>
        </control>
      </mc:Choice>
      <mc:Fallback>
        <control shapeId="13314" r:id="rId5" name="Label2"/>
      </mc:Fallback>
    </mc:AlternateContent>
  </controls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F258"/>
  <sheetViews>
    <sheetView zoomScale="85" zoomScaleNormal="85" workbookViewId="0">
      <selection activeCell="C39" sqref="C39"/>
    </sheetView>
  </sheetViews>
  <sheetFormatPr defaultRowHeight="16.5"/>
  <cols>
    <col min="1" max="1" width="9" style="2"/>
    <col min="2" max="5" width="35.875" style="7" customWidth="1"/>
  </cols>
  <sheetData>
    <row r="1" spans="1:6">
      <c r="A1" s="4" t="s">
        <v>456</v>
      </c>
      <c r="B1" s="4" t="s">
        <v>457</v>
      </c>
      <c r="C1" s="4" t="s">
        <v>458</v>
      </c>
      <c r="D1" s="4" t="s">
        <v>459</v>
      </c>
      <c r="E1" s="4" t="s">
        <v>460</v>
      </c>
      <c r="F1" s="53"/>
    </row>
    <row r="2" spans="1:6">
      <c r="A2" s="2">
        <v>1</v>
      </c>
      <c r="B2" s="7" t="s">
        <v>461</v>
      </c>
      <c r="C2" s="7" t="s">
        <v>462</v>
      </c>
      <c r="D2" s="7" t="s">
        <v>463</v>
      </c>
      <c r="E2" s="7" t="s">
        <v>464</v>
      </c>
    </row>
    <row r="3" spans="1:6">
      <c r="A3" s="2">
        <v>2</v>
      </c>
      <c r="B3" s="7" t="s">
        <v>465</v>
      </c>
      <c r="C3" s="7" t="s">
        <v>466</v>
      </c>
      <c r="D3" s="7" t="s">
        <v>467</v>
      </c>
      <c r="E3" s="7" t="s">
        <v>468</v>
      </c>
    </row>
    <row r="4" spans="1:6">
      <c r="A4" s="2">
        <v>3</v>
      </c>
      <c r="B4" s="7" t="s">
        <v>469</v>
      </c>
      <c r="C4" s="7" t="s">
        <v>470</v>
      </c>
      <c r="D4" s="7" t="s">
        <v>471</v>
      </c>
      <c r="E4" s="7" t="s">
        <v>472</v>
      </c>
    </row>
    <row r="5" spans="1:6">
      <c r="A5" s="2">
        <v>4</v>
      </c>
      <c r="B5" s="7" t="s">
        <v>473</v>
      </c>
      <c r="C5" s="7" t="s">
        <v>474</v>
      </c>
      <c r="D5" s="7" t="s">
        <v>475</v>
      </c>
      <c r="E5" s="7" t="s">
        <v>476</v>
      </c>
    </row>
    <row r="6" spans="1:6">
      <c r="A6" s="2">
        <v>5</v>
      </c>
      <c r="B6" s="7" t="s">
        <v>477</v>
      </c>
      <c r="C6" s="7" t="s">
        <v>478</v>
      </c>
      <c r="D6" s="7" t="s">
        <v>479</v>
      </c>
      <c r="E6" s="7" t="s">
        <v>480</v>
      </c>
    </row>
    <row r="7" spans="1:6">
      <c r="A7" s="2">
        <v>6</v>
      </c>
      <c r="B7" s="7" t="s">
        <v>481</v>
      </c>
      <c r="C7" s="7" t="s">
        <v>482</v>
      </c>
      <c r="D7" s="7" t="s">
        <v>483</v>
      </c>
      <c r="E7" s="7" t="s">
        <v>484</v>
      </c>
    </row>
    <row r="8" spans="1:6">
      <c r="A8" s="2">
        <v>7</v>
      </c>
      <c r="B8" s="7" t="s">
        <v>485</v>
      </c>
      <c r="C8" s="7" t="s">
        <v>486</v>
      </c>
      <c r="D8" s="7" t="s">
        <v>487</v>
      </c>
      <c r="E8" s="7" t="s">
        <v>488</v>
      </c>
    </row>
    <row r="9" spans="1:6">
      <c r="A9" s="2">
        <v>8</v>
      </c>
      <c r="B9" s="7" t="s">
        <v>489</v>
      </c>
      <c r="C9" s="7" t="s">
        <v>490</v>
      </c>
      <c r="D9" s="7" t="s">
        <v>491</v>
      </c>
      <c r="E9" s="7" t="s">
        <v>492</v>
      </c>
    </row>
    <row r="10" spans="1:6">
      <c r="A10" s="2">
        <v>9</v>
      </c>
      <c r="B10" s="7" t="s">
        <v>493</v>
      </c>
      <c r="C10" s="7" t="s">
        <v>494</v>
      </c>
      <c r="D10" s="7" t="s">
        <v>495</v>
      </c>
      <c r="E10" s="7" t="s">
        <v>496</v>
      </c>
    </row>
    <row r="11" spans="1:6">
      <c r="A11" s="2">
        <v>10</v>
      </c>
      <c r="B11" s="7" t="s">
        <v>497</v>
      </c>
      <c r="C11" s="7" t="s">
        <v>498</v>
      </c>
      <c r="D11" s="7" t="s">
        <v>499</v>
      </c>
      <c r="E11" s="7" t="s">
        <v>500</v>
      </c>
    </row>
    <row r="12" spans="1:6">
      <c r="A12" s="2">
        <v>11</v>
      </c>
      <c r="B12" s="7" t="s">
        <v>501</v>
      </c>
      <c r="C12" s="7" t="s">
        <v>502</v>
      </c>
      <c r="D12" s="7" t="s">
        <v>503</v>
      </c>
      <c r="E12" s="7" t="s">
        <v>504</v>
      </c>
    </row>
    <row r="13" spans="1:6">
      <c r="A13" s="2">
        <v>12</v>
      </c>
      <c r="B13" s="7" t="s">
        <v>505</v>
      </c>
      <c r="C13" s="7" t="s">
        <v>506</v>
      </c>
      <c r="D13" s="7" t="s">
        <v>507</v>
      </c>
      <c r="E13" s="7" t="s">
        <v>508</v>
      </c>
    </row>
    <row r="14" spans="1:6">
      <c r="A14" s="2">
        <v>13</v>
      </c>
      <c r="B14" s="7" t="s">
        <v>509</v>
      </c>
      <c r="C14" s="7" t="s">
        <v>510</v>
      </c>
      <c r="D14" s="7" t="s">
        <v>511</v>
      </c>
      <c r="E14" s="7" t="s">
        <v>512</v>
      </c>
    </row>
    <row r="15" spans="1:6">
      <c r="A15" s="2">
        <v>14</v>
      </c>
      <c r="B15" s="7" t="s">
        <v>513</v>
      </c>
      <c r="C15" s="7" t="s">
        <v>514</v>
      </c>
      <c r="D15" s="7" t="s">
        <v>515</v>
      </c>
      <c r="E15" s="7" t="s">
        <v>516</v>
      </c>
    </row>
    <row r="16" spans="1:6">
      <c r="A16" s="2">
        <v>15</v>
      </c>
      <c r="B16" s="7" t="s">
        <v>517</v>
      </c>
      <c r="C16" s="7" t="s">
        <v>518</v>
      </c>
      <c r="D16" s="7" t="s">
        <v>519</v>
      </c>
      <c r="E16" s="7" t="s">
        <v>520</v>
      </c>
    </row>
    <row r="17" spans="1:5">
      <c r="A17" s="2">
        <v>16</v>
      </c>
      <c r="B17" s="7" t="s">
        <v>521</v>
      </c>
      <c r="C17" s="7" t="s">
        <v>522</v>
      </c>
      <c r="D17" s="7" t="s">
        <v>523</v>
      </c>
      <c r="E17" s="7" t="s">
        <v>524</v>
      </c>
    </row>
    <row r="18" spans="1:5">
      <c r="A18" s="2">
        <v>17</v>
      </c>
      <c r="B18" s="7" t="s">
        <v>525</v>
      </c>
      <c r="C18" s="7" t="s">
        <v>526</v>
      </c>
      <c r="D18" s="7" t="s">
        <v>527</v>
      </c>
      <c r="E18" s="7" t="s">
        <v>528</v>
      </c>
    </row>
    <row r="19" spans="1:5">
      <c r="A19" s="2">
        <v>18</v>
      </c>
      <c r="B19" s="7" t="s">
        <v>529</v>
      </c>
      <c r="C19" s="7" t="s">
        <v>530</v>
      </c>
      <c r="D19" s="7" t="s">
        <v>531</v>
      </c>
      <c r="E19" s="7" t="s">
        <v>532</v>
      </c>
    </row>
    <row r="20" spans="1:5">
      <c r="A20" s="2">
        <v>19</v>
      </c>
      <c r="B20" s="7" t="s">
        <v>533</v>
      </c>
      <c r="C20" s="7" t="s">
        <v>534</v>
      </c>
      <c r="D20" s="7" t="s">
        <v>535</v>
      </c>
      <c r="E20" s="7" t="s">
        <v>536</v>
      </c>
    </row>
    <row r="21" spans="1:5">
      <c r="A21" s="2">
        <v>20</v>
      </c>
      <c r="B21" s="7" t="s">
        <v>537</v>
      </c>
      <c r="C21" s="7" t="s">
        <v>538</v>
      </c>
      <c r="D21" s="7" t="s">
        <v>539</v>
      </c>
      <c r="E21" s="7" t="s">
        <v>540</v>
      </c>
    </row>
    <row r="22" spans="1:5">
      <c r="A22" s="2">
        <v>21</v>
      </c>
      <c r="B22" s="7" t="s">
        <v>541</v>
      </c>
      <c r="C22" s="7" t="s">
        <v>542</v>
      </c>
      <c r="D22" s="7" t="s">
        <v>543</v>
      </c>
      <c r="E22" s="7" t="s">
        <v>544</v>
      </c>
    </row>
    <row r="23" spans="1:5">
      <c r="A23" s="2">
        <v>22</v>
      </c>
      <c r="B23" s="7" t="s">
        <v>545</v>
      </c>
      <c r="C23" s="7" t="s">
        <v>546</v>
      </c>
      <c r="D23" s="7" t="s">
        <v>547</v>
      </c>
      <c r="E23" s="7" t="s">
        <v>548</v>
      </c>
    </row>
    <row r="24" spans="1:5">
      <c r="A24" s="2">
        <v>23</v>
      </c>
      <c r="B24" s="7" t="s">
        <v>549</v>
      </c>
      <c r="C24" s="7" t="s">
        <v>550</v>
      </c>
      <c r="D24" s="7" t="s">
        <v>551</v>
      </c>
      <c r="E24" s="7" t="s">
        <v>552</v>
      </c>
    </row>
    <row r="25" spans="1:5">
      <c r="A25" s="2">
        <v>24</v>
      </c>
      <c r="B25" s="7" t="s">
        <v>553</v>
      </c>
      <c r="C25" s="7" t="s">
        <v>554</v>
      </c>
      <c r="D25" s="7" t="s">
        <v>555</v>
      </c>
      <c r="E25" s="7" t="s">
        <v>556</v>
      </c>
    </row>
    <row r="26" spans="1:5">
      <c r="A26" s="2">
        <v>25</v>
      </c>
      <c r="B26" s="7" t="s">
        <v>557</v>
      </c>
      <c r="C26" s="7" t="s">
        <v>558</v>
      </c>
      <c r="D26" s="7" t="s">
        <v>559</v>
      </c>
      <c r="E26" s="7" t="s">
        <v>560</v>
      </c>
    </row>
    <row r="27" spans="1:5">
      <c r="A27" s="2">
        <v>26</v>
      </c>
      <c r="B27" s="7" t="s">
        <v>561</v>
      </c>
      <c r="C27" s="7" t="s">
        <v>562</v>
      </c>
      <c r="D27" s="7" t="s">
        <v>563</v>
      </c>
      <c r="E27" s="7" t="s">
        <v>564</v>
      </c>
    </row>
    <row r="28" spans="1:5">
      <c r="A28" s="2">
        <v>27</v>
      </c>
      <c r="B28" s="7" t="s">
        <v>565</v>
      </c>
      <c r="C28" s="7" t="s">
        <v>566</v>
      </c>
      <c r="D28" s="7" t="s">
        <v>567</v>
      </c>
      <c r="E28" s="7" t="s">
        <v>568</v>
      </c>
    </row>
    <row r="29" spans="1:5">
      <c r="A29" s="2">
        <v>28</v>
      </c>
      <c r="B29" s="7" t="s">
        <v>569</v>
      </c>
      <c r="C29" s="7" t="s">
        <v>570</v>
      </c>
      <c r="D29" s="7" t="s">
        <v>571</v>
      </c>
      <c r="E29" s="7" t="s">
        <v>572</v>
      </c>
    </row>
    <row r="30" spans="1:5">
      <c r="A30" s="2">
        <v>29</v>
      </c>
      <c r="B30" s="7" t="s">
        <v>573</v>
      </c>
      <c r="C30" s="7" t="s">
        <v>574</v>
      </c>
      <c r="D30" s="7" t="s">
        <v>575</v>
      </c>
      <c r="E30" s="7" t="s">
        <v>576</v>
      </c>
    </row>
    <row r="31" spans="1:5">
      <c r="A31" s="2">
        <v>30</v>
      </c>
      <c r="B31" s="7" t="s">
        <v>577</v>
      </c>
      <c r="C31" s="7" t="s">
        <v>578</v>
      </c>
      <c r="D31" s="7" t="s">
        <v>579</v>
      </c>
      <c r="E31" s="7" t="s">
        <v>580</v>
      </c>
    </row>
    <row r="32" spans="1:5">
      <c r="A32" s="2">
        <v>31</v>
      </c>
      <c r="B32" s="7" t="s">
        <v>581</v>
      </c>
      <c r="C32" s="7" t="s">
        <v>582</v>
      </c>
      <c r="D32" s="7" t="s">
        <v>583</v>
      </c>
      <c r="E32" s="7" t="s">
        <v>584</v>
      </c>
    </row>
    <row r="33" spans="1:5">
      <c r="A33" s="2">
        <v>32</v>
      </c>
      <c r="B33" s="7" t="s">
        <v>585</v>
      </c>
      <c r="C33" s="7" t="s">
        <v>586</v>
      </c>
      <c r="D33" s="7" t="s">
        <v>587</v>
      </c>
      <c r="E33" s="7" t="s">
        <v>588</v>
      </c>
    </row>
    <row r="34" spans="1:5">
      <c r="A34" s="2">
        <v>33</v>
      </c>
      <c r="B34" s="7" t="s">
        <v>589</v>
      </c>
      <c r="C34" s="7" t="s">
        <v>590</v>
      </c>
      <c r="D34" s="7" t="s">
        <v>591</v>
      </c>
      <c r="E34" s="7" t="s">
        <v>592</v>
      </c>
    </row>
    <row r="35" spans="1:5">
      <c r="A35" s="2">
        <v>34</v>
      </c>
      <c r="B35" s="7" t="s">
        <v>593</v>
      </c>
      <c r="C35" s="7" t="s">
        <v>594</v>
      </c>
      <c r="D35" s="7" t="s">
        <v>595</v>
      </c>
      <c r="E35" s="7" t="s">
        <v>596</v>
      </c>
    </row>
    <row r="36" spans="1:5">
      <c r="A36" s="2">
        <v>35</v>
      </c>
      <c r="B36" s="7" t="s">
        <v>597</v>
      </c>
      <c r="C36" s="7" t="s">
        <v>598</v>
      </c>
      <c r="D36" s="7" t="s">
        <v>599</v>
      </c>
      <c r="E36" s="7" t="s">
        <v>600</v>
      </c>
    </row>
    <row r="37" spans="1:5">
      <c r="A37" s="2">
        <v>36</v>
      </c>
      <c r="B37" s="7" t="s">
        <v>601</v>
      </c>
      <c r="C37" s="7" t="s">
        <v>602</v>
      </c>
      <c r="D37" s="7" t="s">
        <v>603</v>
      </c>
      <c r="E37" s="7" t="s">
        <v>604</v>
      </c>
    </row>
    <row r="38" spans="1:5">
      <c r="A38" s="2">
        <v>37</v>
      </c>
      <c r="B38" s="7" t="s">
        <v>605</v>
      </c>
      <c r="C38" s="7" t="s">
        <v>606</v>
      </c>
      <c r="D38" s="7" t="s">
        <v>607</v>
      </c>
      <c r="E38" s="7" t="s">
        <v>608</v>
      </c>
    </row>
    <row r="39" spans="1:5">
      <c r="A39" s="2">
        <v>38</v>
      </c>
      <c r="B39" s="7" t="s">
        <v>609</v>
      </c>
      <c r="C39" s="7" t="s">
        <v>610</v>
      </c>
      <c r="D39" s="7" t="s">
        <v>611</v>
      </c>
      <c r="E39" s="7" t="s">
        <v>612</v>
      </c>
    </row>
    <row r="40" spans="1:5">
      <c r="A40" s="2">
        <v>39</v>
      </c>
      <c r="B40" s="7" t="s">
        <v>613</v>
      </c>
      <c r="C40" s="7" t="s">
        <v>614</v>
      </c>
      <c r="D40" s="7" t="s">
        <v>615</v>
      </c>
      <c r="E40" s="7" t="s">
        <v>616</v>
      </c>
    </row>
    <row r="41" spans="1:5">
      <c r="A41" s="2">
        <v>40</v>
      </c>
      <c r="B41" s="7" t="s">
        <v>617</v>
      </c>
      <c r="C41" s="7" t="s">
        <v>618</v>
      </c>
      <c r="D41" s="7" t="s">
        <v>619</v>
      </c>
      <c r="E41" s="7" t="s">
        <v>620</v>
      </c>
    </row>
    <row r="42" spans="1:5">
      <c r="A42" s="2">
        <v>41</v>
      </c>
      <c r="B42" s="7" t="s">
        <v>621</v>
      </c>
      <c r="C42" s="7" t="s">
        <v>622</v>
      </c>
      <c r="D42" s="7" t="s">
        <v>623</v>
      </c>
      <c r="E42" s="7" t="s">
        <v>624</v>
      </c>
    </row>
    <row r="43" spans="1:5">
      <c r="A43" s="2">
        <v>42</v>
      </c>
      <c r="B43" s="7" t="s">
        <v>625</v>
      </c>
      <c r="C43" s="7" t="s">
        <v>626</v>
      </c>
      <c r="D43" s="7" t="s">
        <v>627</v>
      </c>
      <c r="E43" s="7" t="s">
        <v>628</v>
      </c>
    </row>
    <row r="44" spans="1:5">
      <c r="A44" s="2">
        <v>43</v>
      </c>
      <c r="B44" s="7" t="s">
        <v>629</v>
      </c>
      <c r="C44" s="7" t="s">
        <v>630</v>
      </c>
      <c r="D44" s="7" t="s">
        <v>631</v>
      </c>
      <c r="E44" s="7" t="s">
        <v>632</v>
      </c>
    </row>
    <row r="45" spans="1:5">
      <c r="A45" s="2">
        <v>44</v>
      </c>
      <c r="B45" s="7" t="s">
        <v>633</v>
      </c>
      <c r="C45" s="7" t="s">
        <v>634</v>
      </c>
      <c r="D45" s="7" t="s">
        <v>635</v>
      </c>
      <c r="E45" s="7" t="s">
        <v>636</v>
      </c>
    </row>
    <row r="46" spans="1:5">
      <c r="A46" s="2">
        <v>45</v>
      </c>
      <c r="B46" s="7" t="s">
        <v>637</v>
      </c>
      <c r="C46" s="7" t="s">
        <v>638</v>
      </c>
      <c r="D46" s="7" t="s">
        <v>639</v>
      </c>
      <c r="E46" s="7" t="s">
        <v>640</v>
      </c>
    </row>
    <row r="47" spans="1:5">
      <c r="A47" s="2">
        <v>46</v>
      </c>
      <c r="B47" s="7" t="s">
        <v>641</v>
      </c>
      <c r="C47" s="7" t="s">
        <v>642</v>
      </c>
      <c r="D47" s="7" t="s">
        <v>643</v>
      </c>
      <c r="E47" s="7" t="s">
        <v>644</v>
      </c>
    </row>
    <row r="48" spans="1:5">
      <c r="A48" s="2">
        <v>47</v>
      </c>
      <c r="B48" s="7" t="s">
        <v>645</v>
      </c>
      <c r="C48" s="7" t="s">
        <v>646</v>
      </c>
      <c r="D48" s="7" t="s">
        <v>647</v>
      </c>
      <c r="E48" s="7" t="s">
        <v>648</v>
      </c>
    </row>
    <row r="49" spans="1:5">
      <c r="A49" s="2">
        <v>48</v>
      </c>
      <c r="B49" s="7" t="s">
        <v>649</v>
      </c>
      <c r="C49" s="7" t="s">
        <v>650</v>
      </c>
      <c r="D49" s="7" t="s">
        <v>651</v>
      </c>
      <c r="E49" s="7" t="s">
        <v>652</v>
      </c>
    </row>
    <row r="50" spans="1:5">
      <c r="A50" s="2">
        <v>49</v>
      </c>
      <c r="B50" s="7" t="s">
        <v>653</v>
      </c>
      <c r="C50" s="7" t="s">
        <v>654</v>
      </c>
      <c r="D50" s="7" t="s">
        <v>655</v>
      </c>
      <c r="E50" s="7" t="s">
        <v>656</v>
      </c>
    </row>
    <row r="51" spans="1:5">
      <c r="A51" s="2">
        <v>50</v>
      </c>
      <c r="B51" s="7" t="s">
        <v>657</v>
      </c>
      <c r="C51" s="7" t="s">
        <v>658</v>
      </c>
      <c r="D51" s="7" t="s">
        <v>659</v>
      </c>
      <c r="E51" s="7" t="s">
        <v>660</v>
      </c>
    </row>
    <row r="52" spans="1:5">
      <c r="A52" s="2">
        <v>51</v>
      </c>
      <c r="B52" s="7" t="s">
        <v>661</v>
      </c>
      <c r="C52" s="7" t="s">
        <v>662</v>
      </c>
      <c r="D52" s="7" t="s">
        <v>663</v>
      </c>
      <c r="E52" s="7" t="s">
        <v>664</v>
      </c>
    </row>
    <row r="53" spans="1:5">
      <c r="A53" s="2">
        <v>52</v>
      </c>
      <c r="B53" s="7" t="s">
        <v>665</v>
      </c>
      <c r="C53" s="7" t="s">
        <v>666</v>
      </c>
      <c r="D53" s="7" t="s">
        <v>667</v>
      </c>
      <c r="E53" s="7" t="s">
        <v>668</v>
      </c>
    </row>
    <row r="54" spans="1:5">
      <c r="A54" s="2">
        <v>53</v>
      </c>
      <c r="B54" s="7" t="s">
        <v>669</v>
      </c>
      <c r="C54" s="7" t="s">
        <v>670</v>
      </c>
      <c r="D54" s="7" t="s">
        <v>671</v>
      </c>
      <c r="E54" s="7" t="s">
        <v>672</v>
      </c>
    </row>
    <row r="55" spans="1:5">
      <c r="A55" s="2">
        <v>54</v>
      </c>
      <c r="B55" s="7" t="s">
        <v>673</v>
      </c>
      <c r="C55" s="7" t="s">
        <v>674</v>
      </c>
      <c r="D55" s="7" t="s">
        <v>675</v>
      </c>
      <c r="E55" s="7" t="s">
        <v>676</v>
      </c>
    </row>
    <row r="56" spans="1:5">
      <c r="A56" s="2">
        <v>55</v>
      </c>
      <c r="B56" s="7" t="s">
        <v>677</v>
      </c>
      <c r="C56" s="7" t="s">
        <v>678</v>
      </c>
      <c r="D56" s="7" t="s">
        <v>679</v>
      </c>
      <c r="E56" s="7" t="s">
        <v>680</v>
      </c>
    </row>
    <row r="57" spans="1:5">
      <c r="A57" s="2">
        <v>56</v>
      </c>
      <c r="B57" s="7" t="s">
        <v>681</v>
      </c>
      <c r="C57" s="7" t="s">
        <v>682</v>
      </c>
      <c r="D57" s="7" t="s">
        <v>683</v>
      </c>
      <c r="E57" s="7" t="s">
        <v>684</v>
      </c>
    </row>
    <row r="58" spans="1:5">
      <c r="A58" s="2">
        <v>57</v>
      </c>
      <c r="B58" s="7" t="s">
        <v>685</v>
      </c>
      <c r="C58" s="7" t="s">
        <v>686</v>
      </c>
      <c r="D58" s="7" t="s">
        <v>687</v>
      </c>
      <c r="E58" s="7" t="s">
        <v>688</v>
      </c>
    </row>
    <row r="59" spans="1:5">
      <c r="A59" s="2">
        <v>58</v>
      </c>
      <c r="B59" s="7" t="s">
        <v>689</v>
      </c>
      <c r="C59" s="7" t="s">
        <v>690</v>
      </c>
      <c r="D59" s="7" t="s">
        <v>691</v>
      </c>
      <c r="E59" s="7" t="s">
        <v>692</v>
      </c>
    </row>
    <row r="60" spans="1:5">
      <c r="A60" s="2">
        <v>59</v>
      </c>
      <c r="B60" s="7" t="s">
        <v>693</v>
      </c>
      <c r="C60" s="7" t="s">
        <v>694</v>
      </c>
      <c r="D60" s="7" t="s">
        <v>695</v>
      </c>
      <c r="E60" s="7" t="s">
        <v>696</v>
      </c>
    </row>
    <row r="61" spans="1:5">
      <c r="A61" s="2">
        <v>60</v>
      </c>
      <c r="B61" s="7" t="s">
        <v>697</v>
      </c>
      <c r="C61" s="7" t="s">
        <v>698</v>
      </c>
      <c r="D61" s="7" t="s">
        <v>699</v>
      </c>
      <c r="E61" s="7" t="s">
        <v>700</v>
      </c>
    </row>
    <row r="62" spans="1:5">
      <c r="A62" s="2">
        <v>61</v>
      </c>
      <c r="B62" s="7" t="s">
        <v>701</v>
      </c>
      <c r="C62" s="7" t="s">
        <v>702</v>
      </c>
      <c r="D62" s="7" t="s">
        <v>703</v>
      </c>
      <c r="E62" s="7" t="s">
        <v>704</v>
      </c>
    </row>
    <row r="63" spans="1:5">
      <c r="A63" s="2">
        <v>62</v>
      </c>
      <c r="B63" s="7" t="s">
        <v>705</v>
      </c>
      <c r="C63" s="7" t="s">
        <v>706</v>
      </c>
      <c r="D63" s="7" t="s">
        <v>707</v>
      </c>
      <c r="E63" s="7" t="s">
        <v>708</v>
      </c>
    </row>
    <row r="64" spans="1:5">
      <c r="A64" s="2">
        <v>63</v>
      </c>
      <c r="B64" s="7" t="s">
        <v>709</v>
      </c>
      <c r="C64" s="7" t="s">
        <v>710</v>
      </c>
      <c r="D64" s="7" t="s">
        <v>711</v>
      </c>
      <c r="E64" s="7" t="s">
        <v>712</v>
      </c>
    </row>
    <row r="65" spans="1:5">
      <c r="A65" s="2">
        <v>64</v>
      </c>
      <c r="B65" s="7" t="s">
        <v>713</v>
      </c>
      <c r="C65" s="7" t="s">
        <v>714</v>
      </c>
      <c r="D65" s="7" t="s">
        <v>715</v>
      </c>
      <c r="E65" s="7" t="s">
        <v>716</v>
      </c>
    </row>
    <row r="66" spans="1:5">
      <c r="A66" s="2">
        <v>65</v>
      </c>
      <c r="B66" s="7" t="s">
        <v>717</v>
      </c>
      <c r="C66" s="7" t="s">
        <v>718</v>
      </c>
      <c r="D66" s="7" t="s">
        <v>719</v>
      </c>
      <c r="E66" s="7" t="s">
        <v>720</v>
      </c>
    </row>
    <row r="67" spans="1:5">
      <c r="A67" s="2">
        <v>66</v>
      </c>
      <c r="B67" s="7" t="s">
        <v>721</v>
      </c>
      <c r="C67" s="7" t="s">
        <v>722</v>
      </c>
      <c r="D67" s="7" t="s">
        <v>723</v>
      </c>
      <c r="E67" s="7" t="s">
        <v>724</v>
      </c>
    </row>
    <row r="68" spans="1:5">
      <c r="A68" s="2">
        <v>67</v>
      </c>
      <c r="B68" s="7" t="s">
        <v>725</v>
      </c>
      <c r="C68" s="7" t="s">
        <v>726</v>
      </c>
      <c r="D68" s="7" t="s">
        <v>727</v>
      </c>
      <c r="E68" s="7" t="s">
        <v>728</v>
      </c>
    </row>
    <row r="69" spans="1:5">
      <c r="A69" s="2">
        <v>68</v>
      </c>
      <c r="B69" s="7" t="s">
        <v>729</v>
      </c>
      <c r="C69" s="7" t="s">
        <v>730</v>
      </c>
      <c r="D69" s="7" t="s">
        <v>731</v>
      </c>
      <c r="E69" s="7" t="s">
        <v>732</v>
      </c>
    </row>
    <row r="70" spans="1:5">
      <c r="A70" s="2">
        <v>69</v>
      </c>
      <c r="B70" s="7" t="s">
        <v>733</v>
      </c>
      <c r="C70" s="7" t="s">
        <v>734</v>
      </c>
      <c r="D70" s="7" t="s">
        <v>735</v>
      </c>
      <c r="E70" s="7" t="s">
        <v>736</v>
      </c>
    </row>
    <row r="71" spans="1:5">
      <c r="A71" s="2">
        <v>70</v>
      </c>
      <c r="B71" s="7" t="s">
        <v>737</v>
      </c>
      <c r="C71" s="7" t="s">
        <v>738</v>
      </c>
      <c r="D71" s="7" t="s">
        <v>739</v>
      </c>
      <c r="E71" s="7" t="s">
        <v>740</v>
      </c>
    </row>
    <row r="72" spans="1:5">
      <c r="A72" s="2">
        <v>71</v>
      </c>
      <c r="B72" s="7" t="s">
        <v>741</v>
      </c>
      <c r="C72" s="7" t="s">
        <v>742</v>
      </c>
      <c r="D72" s="7" t="s">
        <v>743</v>
      </c>
      <c r="E72" s="7" t="s">
        <v>744</v>
      </c>
    </row>
    <row r="73" spans="1:5">
      <c r="A73" s="2">
        <v>72</v>
      </c>
      <c r="B73" s="7" t="s">
        <v>745</v>
      </c>
      <c r="C73" s="7" t="s">
        <v>746</v>
      </c>
      <c r="D73" s="7" t="s">
        <v>747</v>
      </c>
      <c r="E73" s="7" t="s">
        <v>748</v>
      </c>
    </row>
    <row r="74" spans="1:5">
      <c r="A74" s="2">
        <v>73</v>
      </c>
      <c r="B74" s="7" t="s">
        <v>749</v>
      </c>
      <c r="C74" s="7" t="s">
        <v>750</v>
      </c>
      <c r="D74" s="7" t="s">
        <v>751</v>
      </c>
      <c r="E74" s="7" t="s">
        <v>752</v>
      </c>
    </row>
    <row r="75" spans="1:5">
      <c r="A75" s="2">
        <v>74</v>
      </c>
      <c r="B75" s="7" t="s">
        <v>753</v>
      </c>
      <c r="C75" s="7" t="s">
        <v>754</v>
      </c>
      <c r="D75" s="7" t="s">
        <v>755</v>
      </c>
      <c r="E75" s="7" t="s">
        <v>756</v>
      </c>
    </row>
    <row r="76" spans="1:5">
      <c r="A76" s="2">
        <v>75</v>
      </c>
      <c r="B76" s="7" t="s">
        <v>757</v>
      </c>
      <c r="C76" s="7" t="s">
        <v>758</v>
      </c>
      <c r="D76" s="7" t="s">
        <v>759</v>
      </c>
      <c r="E76" s="7" t="s">
        <v>760</v>
      </c>
    </row>
    <row r="77" spans="1:5">
      <c r="A77" s="2">
        <v>76</v>
      </c>
      <c r="B77" s="7" t="s">
        <v>761</v>
      </c>
      <c r="C77" s="7" t="s">
        <v>762</v>
      </c>
      <c r="D77" s="7" t="s">
        <v>763</v>
      </c>
      <c r="E77" s="7" t="s">
        <v>764</v>
      </c>
    </row>
    <row r="78" spans="1:5">
      <c r="A78" s="2">
        <v>77</v>
      </c>
      <c r="B78" s="7" t="s">
        <v>765</v>
      </c>
      <c r="C78" s="7" t="s">
        <v>766</v>
      </c>
      <c r="D78" s="7" t="s">
        <v>767</v>
      </c>
      <c r="E78" s="7" t="s">
        <v>768</v>
      </c>
    </row>
    <row r="79" spans="1:5">
      <c r="A79" s="2">
        <v>78</v>
      </c>
      <c r="B79" s="7" t="s">
        <v>769</v>
      </c>
      <c r="C79" s="7" t="s">
        <v>770</v>
      </c>
      <c r="D79" s="7" t="s">
        <v>771</v>
      </c>
      <c r="E79" s="7" t="s">
        <v>772</v>
      </c>
    </row>
    <row r="80" spans="1:5">
      <c r="A80" s="2">
        <v>79</v>
      </c>
      <c r="B80" s="7" t="s">
        <v>773</v>
      </c>
      <c r="C80" s="7" t="s">
        <v>774</v>
      </c>
      <c r="D80" s="7" t="s">
        <v>775</v>
      </c>
      <c r="E80" s="7" t="s">
        <v>776</v>
      </c>
    </row>
    <row r="81" spans="1:5">
      <c r="A81" s="2">
        <v>80</v>
      </c>
      <c r="B81" s="7" t="s">
        <v>777</v>
      </c>
      <c r="C81" s="7" t="s">
        <v>778</v>
      </c>
      <c r="D81" s="7" t="s">
        <v>779</v>
      </c>
      <c r="E81" s="7" t="s">
        <v>780</v>
      </c>
    </row>
    <row r="82" spans="1:5">
      <c r="A82" s="2">
        <v>81</v>
      </c>
      <c r="B82" s="7" t="s">
        <v>781</v>
      </c>
      <c r="C82" s="7" t="s">
        <v>782</v>
      </c>
      <c r="D82" s="7" t="s">
        <v>783</v>
      </c>
      <c r="E82" s="7" t="s">
        <v>784</v>
      </c>
    </row>
    <row r="83" spans="1:5">
      <c r="A83" s="2">
        <v>82</v>
      </c>
      <c r="B83" s="7" t="s">
        <v>785</v>
      </c>
      <c r="C83" s="7" t="s">
        <v>786</v>
      </c>
      <c r="D83" s="7" t="s">
        <v>787</v>
      </c>
      <c r="E83" s="7" t="s">
        <v>788</v>
      </c>
    </row>
    <row r="84" spans="1:5">
      <c r="A84" s="2">
        <v>83</v>
      </c>
      <c r="B84" s="7" t="s">
        <v>789</v>
      </c>
      <c r="C84" s="7" t="s">
        <v>790</v>
      </c>
      <c r="D84" s="7" t="s">
        <v>791</v>
      </c>
      <c r="E84" s="7" t="s">
        <v>792</v>
      </c>
    </row>
    <row r="85" spans="1:5">
      <c r="A85" s="2">
        <v>84</v>
      </c>
      <c r="B85" s="7" t="s">
        <v>793</v>
      </c>
      <c r="C85" s="7" t="s">
        <v>794</v>
      </c>
      <c r="D85" s="7" t="s">
        <v>795</v>
      </c>
      <c r="E85" s="7" t="s">
        <v>796</v>
      </c>
    </row>
    <row r="86" spans="1:5">
      <c r="A86" s="2">
        <v>85</v>
      </c>
      <c r="B86" s="7" t="s">
        <v>797</v>
      </c>
      <c r="C86" s="7" t="s">
        <v>798</v>
      </c>
      <c r="D86" s="7" t="s">
        <v>799</v>
      </c>
      <c r="E86" s="7" t="s">
        <v>800</v>
      </c>
    </row>
    <row r="87" spans="1:5">
      <c r="A87" s="2">
        <v>86</v>
      </c>
      <c r="B87" s="7" t="s">
        <v>801</v>
      </c>
      <c r="C87" s="7" t="s">
        <v>802</v>
      </c>
      <c r="D87" s="7" t="s">
        <v>803</v>
      </c>
      <c r="E87" s="7" t="s">
        <v>804</v>
      </c>
    </row>
    <row r="88" spans="1:5">
      <c r="A88" s="2">
        <v>87</v>
      </c>
      <c r="B88" s="7" t="s">
        <v>805</v>
      </c>
      <c r="C88" s="7" t="s">
        <v>806</v>
      </c>
      <c r="D88" s="7" t="s">
        <v>807</v>
      </c>
      <c r="E88" s="7" t="s">
        <v>808</v>
      </c>
    </row>
    <row r="89" spans="1:5">
      <c r="A89" s="2">
        <v>88</v>
      </c>
      <c r="B89" s="7" t="s">
        <v>809</v>
      </c>
      <c r="C89" s="7" t="s">
        <v>810</v>
      </c>
      <c r="D89" s="7" t="s">
        <v>811</v>
      </c>
      <c r="E89" s="7" t="s">
        <v>812</v>
      </c>
    </row>
    <row r="90" spans="1:5">
      <c r="A90" s="2">
        <v>89</v>
      </c>
      <c r="B90" s="7" t="s">
        <v>813</v>
      </c>
      <c r="C90" s="7" t="s">
        <v>814</v>
      </c>
      <c r="D90" s="7" t="s">
        <v>815</v>
      </c>
      <c r="E90" s="7" t="s">
        <v>816</v>
      </c>
    </row>
    <row r="91" spans="1:5">
      <c r="A91" s="2">
        <v>90</v>
      </c>
      <c r="B91" s="7" t="s">
        <v>817</v>
      </c>
      <c r="C91" s="7" t="s">
        <v>818</v>
      </c>
      <c r="D91" s="7" t="s">
        <v>819</v>
      </c>
      <c r="E91" s="7" t="s">
        <v>820</v>
      </c>
    </row>
    <row r="92" spans="1:5">
      <c r="A92" s="2">
        <v>91</v>
      </c>
      <c r="B92" s="7" t="s">
        <v>821</v>
      </c>
      <c r="C92" s="7" t="s">
        <v>822</v>
      </c>
      <c r="D92" s="7" t="s">
        <v>823</v>
      </c>
      <c r="E92" s="7" t="s">
        <v>824</v>
      </c>
    </row>
    <row r="93" spans="1:5">
      <c r="A93" s="2">
        <v>92</v>
      </c>
      <c r="B93" s="7" t="s">
        <v>825</v>
      </c>
      <c r="C93" s="7" t="s">
        <v>826</v>
      </c>
      <c r="D93" s="7" t="s">
        <v>827</v>
      </c>
      <c r="E93" s="7" t="s">
        <v>828</v>
      </c>
    </row>
    <row r="94" spans="1:5">
      <c r="A94" s="2">
        <v>93</v>
      </c>
      <c r="B94" s="7" t="s">
        <v>829</v>
      </c>
      <c r="C94" s="7" t="s">
        <v>830</v>
      </c>
      <c r="D94" s="7" t="s">
        <v>831</v>
      </c>
      <c r="E94" s="7" t="s">
        <v>832</v>
      </c>
    </row>
    <row r="95" spans="1:5">
      <c r="A95" s="2">
        <v>94</v>
      </c>
      <c r="B95" s="7" t="s">
        <v>833</v>
      </c>
      <c r="C95" s="7" t="s">
        <v>834</v>
      </c>
      <c r="D95" s="7" t="s">
        <v>835</v>
      </c>
      <c r="E95" s="7" t="s">
        <v>836</v>
      </c>
    </row>
    <row r="96" spans="1:5">
      <c r="A96" s="2">
        <v>95</v>
      </c>
      <c r="B96" s="7" t="s">
        <v>837</v>
      </c>
      <c r="C96" s="7" t="s">
        <v>838</v>
      </c>
      <c r="D96" s="7" t="s">
        <v>839</v>
      </c>
      <c r="E96" s="7" t="s">
        <v>840</v>
      </c>
    </row>
    <row r="97" spans="1:5">
      <c r="A97" s="2">
        <v>96</v>
      </c>
      <c r="B97" s="7" t="s">
        <v>841</v>
      </c>
      <c r="C97" s="7" t="s">
        <v>842</v>
      </c>
      <c r="D97" s="7" t="s">
        <v>843</v>
      </c>
      <c r="E97" s="7" t="s">
        <v>844</v>
      </c>
    </row>
    <row r="98" spans="1:5">
      <c r="A98" s="2">
        <v>97</v>
      </c>
      <c r="B98" s="7" t="s">
        <v>845</v>
      </c>
      <c r="C98" s="7" t="s">
        <v>846</v>
      </c>
      <c r="D98" s="7" t="s">
        <v>847</v>
      </c>
      <c r="E98" s="7" t="s">
        <v>848</v>
      </c>
    </row>
    <row r="99" spans="1:5">
      <c r="A99" s="2">
        <v>98</v>
      </c>
      <c r="B99" s="7" t="s">
        <v>849</v>
      </c>
      <c r="C99" s="7" t="s">
        <v>850</v>
      </c>
      <c r="D99" s="7" t="s">
        <v>851</v>
      </c>
      <c r="E99" s="7" t="s">
        <v>852</v>
      </c>
    </row>
    <row r="100" spans="1:5">
      <c r="A100" s="2">
        <v>99</v>
      </c>
      <c r="B100" s="7" t="s">
        <v>853</v>
      </c>
      <c r="C100" s="7" t="s">
        <v>854</v>
      </c>
      <c r="D100" s="7" t="s">
        <v>855</v>
      </c>
      <c r="E100" s="7" t="s">
        <v>856</v>
      </c>
    </row>
    <row r="101" spans="1:5">
      <c r="A101" s="2">
        <v>100</v>
      </c>
      <c r="B101" s="7" t="s">
        <v>857</v>
      </c>
      <c r="C101" s="7" t="s">
        <v>858</v>
      </c>
      <c r="D101" s="7" t="s">
        <v>859</v>
      </c>
      <c r="E101" s="7" t="s">
        <v>860</v>
      </c>
    </row>
    <row r="102" spans="1:5">
      <c r="A102" s="2">
        <v>101</v>
      </c>
      <c r="B102" s="7" t="s">
        <v>861</v>
      </c>
      <c r="C102" s="7" t="s">
        <v>862</v>
      </c>
      <c r="D102" s="7" t="s">
        <v>863</v>
      </c>
      <c r="E102" s="7" t="s">
        <v>864</v>
      </c>
    </row>
    <row r="103" spans="1:5">
      <c r="A103" s="2">
        <v>102</v>
      </c>
      <c r="B103" s="7" t="s">
        <v>865</v>
      </c>
      <c r="C103" s="7" t="s">
        <v>866</v>
      </c>
      <c r="D103" s="7" t="s">
        <v>867</v>
      </c>
      <c r="E103" s="7" t="s">
        <v>868</v>
      </c>
    </row>
    <row r="104" spans="1:5">
      <c r="A104" s="2">
        <v>103</v>
      </c>
      <c r="B104" s="7" t="s">
        <v>869</v>
      </c>
      <c r="C104" s="7" t="s">
        <v>870</v>
      </c>
      <c r="D104" s="7" t="s">
        <v>871</v>
      </c>
      <c r="E104" s="7" t="s">
        <v>872</v>
      </c>
    </row>
    <row r="105" spans="1:5">
      <c r="A105" s="2">
        <v>104</v>
      </c>
      <c r="B105" s="7" t="s">
        <v>873</v>
      </c>
      <c r="C105" s="7" t="s">
        <v>874</v>
      </c>
      <c r="D105" s="7" t="s">
        <v>875</v>
      </c>
      <c r="E105" s="7" t="s">
        <v>876</v>
      </c>
    </row>
    <row r="106" spans="1:5">
      <c r="A106" s="2">
        <v>105</v>
      </c>
      <c r="B106" s="7" t="s">
        <v>877</v>
      </c>
      <c r="C106" s="7" t="s">
        <v>878</v>
      </c>
      <c r="D106" s="7" t="s">
        <v>879</v>
      </c>
      <c r="E106" s="7" t="s">
        <v>880</v>
      </c>
    </row>
    <row r="107" spans="1:5">
      <c r="A107" s="2">
        <v>106</v>
      </c>
      <c r="B107" s="7" t="s">
        <v>881</v>
      </c>
      <c r="C107" s="7" t="s">
        <v>882</v>
      </c>
      <c r="D107" s="7" t="s">
        <v>883</v>
      </c>
      <c r="E107" s="7" t="s">
        <v>884</v>
      </c>
    </row>
    <row r="108" spans="1:5">
      <c r="A108" s="2">
        <v>107</v>
      </c>
      <c r="B108" s="7" t="s">
        <v>885</v>
      </c>
      <c r="C108" s="7" t="s">
        <v>886</v>
      </c>
      <c r="D108" s="7" t="s">
        <v>887</v>
      </c>
      <c r="E108" s="7" t="s">
        <v>888</v>
      </c>
    </row>
    <row r="109" spans="1:5">
      <c r="A109" s="2">
        <v>108</v>
      </c>
      <c r="B109" s="7" t="s">
        <v>889</v>
      </c>
      <c r="C109" s="7" t="s">
        <v>890</v>
      </c>
      <c r="D109" s="7" t="s">
        <v>891</v>
      </c>
      <c r="E109" s="7" t="s">
        <v>892</v>
      </c>
    </row>
    <row r="110" spans="1:5">
      <c r="A110" s="2">
        <v>109</v>
      </c>
      <c r="B110" s="7" t="s">
        <v>893</v>
      </c>
      <c r="C110" s="7" t="s">
        <v>894</v>
      </c>
      <c r="D110" s="7" t="s">
        <v>895</v>
      </c>
      <c r="E110" s="7" t="s">
        <v>896</v>
      </c>
    </row>
    <row r="111" spans="1:5">
      <c r="A111" s="2">
        <v>110</v>
      </c>
      <c r="B111" s="7" t="s">
        <v>897</v>
      </c>
      <c r="C111" s="7" t="s">
        <v>898</v>
      </c>
      <c r="D111" s="7" t="s">
        <v>899</v>
      </c>
      <c r="E111" s="7" t="s">
        <v>900</v>
      </c>
    </row>
    <row r="112" spans="1:5">
      <c r="A112" s="2">
        <v>111</v>
      </c>
      <c r="B112" s="7" t="s">
        <v>901</v>
      </c>
      <c r="C112" s="7" t="s">
        <v>902</v>
      </c>
      <c r="D112" s="7" t="s">
        <v>903</v>
      </c>
      <c r="E112" s="7" t="s">
        <v>904</v>
      </c>
    </row>
    <row r="113" spans="1:5">
      <c r="A113" s="2">
        <v>112</v>
      </c>
      <c r="B113" s="7" t="s">
        <v>905</v>
      </c>
      <c r="C113" s="7" t="s">
        <v>906</v>
      </c>
      <c r="D113" s="7" t="s">
        <v>907</v>
      </c>
      <c r="E113" s="7" t="s">
        <v>908</v>
      </c>
    </row>
    <row r="114" spans="1:5">
      <c r="A114" s="2">
        <v>113</v>
      </c>
      <c r="B114" s="7" t="s">
        <v>909</v>
      </c>
      <c r="C114" s="7" t="s">
        <v>910</v>
      </c>
      <c r="D114" s="7" t="s">
        <v>911</v>
      </c>
      <c r="E114" s="7" t="s">
        <v>912</v>
      </c>
    </row>
    <row r="115" spans="1:5">
      <c r="A115" s="2">
        <v>114</v>
      </c>
      <c r="B115" s="7" t="s">
        <v>913</v>
      </c>
      <c r="C115" s="7" t="s">
        <v>914</v>
      </c>
      <c r="D115" s="7" t="s">
        <v>915</v>
      </c>
      <c r="E115" s="7" t="s">
        <v>916</v>
      </c>
    </row>
    <row r="116" spans="1:5">
      <c r="A116" s="2">
        <v>115</v>
      </c>
      <c r="B116" s="7" t="s">
        <v>917</v>
      </c>
      <c r="C116" s="7" t="s">
        <v>918</v>
      </c>
      <c r="D116" s="7" t="s">
        <v>919</v>
      </c>
      <c r="E116" s="7" t="s">
        <v>920</v>
      </c>
    </row>
    <row r="117" spans="1:5">
      <c r="A117" s="2">
        <v>116</v>
      </c>
      <c r="B117" s="7" t="s">
        <v>921</v>
      </c>
      <c r="C117" s="7" t="s">
        <v>922</v>
      </c>
      <c r="D117" s="7" t="s">
        <v>923</v>
      </c>
      <c r="E117" s="7" t="s">
        <v>924</v>
      </c>
    </row>
    <row r="118" spans="1:5">
      <c r="A118" s="2">
        <v>117</v>
      </c>
      <c r="B118" s="7" t="s">
        <v>925</v>
      </c>
      <c r="C118" s="7" t="s">
        <v>926</v>
      </c>
      <c r="D118" s="7" t="s">
        <v>927</v>
      </c>
      <c r="E118" s="7" t="s">
        <v>928</v>
      </c>
    </row>
    <row r="119" spans="1:5">
      <c r="A119" s="2">
        <v>118</v>
      </c>
      <c r="B119" s="7" t="s">
        <v>929</v>
      </c>
      <c r="C119" s="7" t="s">
        <v>930</v>
      </c>
      <c r="D119" s="7" t="s">
        <v>931</v>
      </c>
      <c r="E119" s="7" t="s">
        <v>932</v>
      </c>
    </row>
    <row r="120" spans="1:5">
      <c r="A120" s="2">
        <v>119</v>
      </c>
      <c r="B120" s="7" t="s">
        <v>933</v>
      </c>
      <c r="C120" s="7" t="s">
        <v>934</v>
      </c>
      <c r="D120" s="7" t="s">
        <v>935</v>
      </c>
      <c r="E120" s="7" t="s">
        <v>936</v>
      </c>
    </row>
    <row r="121" spans="1:5">
      <c r="A121" s="2">
        <v>120</v>
      </c>
      <c r="B121" s="7" t="s">
        <v>937</v>
      </c>
      <c r="C121" s="7" t="s">
        <v>938</v>
      </c>
      <c r="D121" s="7" t="s">
        <v>939</v>
      </c>
      <c r="E121" s="7" t="s">
        <v>940</v>
      </c>
    </row>
    <row r="122" spans="1:5">
      <c r="A122" s="2">
        <v>121</v>
      </c>
      <c r="B122" s="7" t="s">
        <v>941</v>
      </c>
      <c r="C122" s="7" t="s">
        <v>942</v>
      </c>
      <c r="D122" s="7" t="s">
        <v>943</v>
      </c>
      <c r="E122" s="7" t="s">
        <v>944</v>
      </c>
    </row>
    <row r="123" spans="1:5">
      <c r="A123" s="2">
        <v>122</v>
      </c>
      <c r="B123" s="7" t="s">
        <v>945</v>
      </c>
      <c r="C123" s="7" t="s">
        <v>946</v>
      </c>
      <c r="D123" s="7" t="s">
        <v>947</v>
      </c>
      <c r="E123" s="7" t="s">
        <v>948</v>
      </c>
    </row>
    <row r="124" spans="1:5">
      <c r="A124" s="2">
        <v>123</v>
      </c>
      <c r="B124" s="7" t="s">
        <v>949</v>
      </c>
      <c r="C124" s="7" t="s">
        <v>950</v>
      </c>
      <c r="D124" s="7" t="s">
        <v>951</v>
      </c>
      <c r="E124" s="7" t="s">
        <v>952</v>
      </c>
    </row>
    <row r="125" spans="1:5">
      <c r="A125" s="2">
        <v>124</v>
      </c>
      <c r="B125" s="7" t="s">
        <v>953</v>
      </c>
      <c r="C125" s="7" t="s">
        <v>954</v>
      </c>
      <c r="D125" s="7" t="s">
        <v>955</v>
      </c>
      <c r="E125" s="7" t="s">
        <v>956</v>
      </c>
    </row>
    <row r="126" spans="1:5">
      <c r="A126" s="2">
        <v>125</v>
      </c>
      <c r="B126" s="7" t="s">
        <v>957</v>
      </c>
      <c r="C126" s="7" t="s">
        <v>958</v>
      </c>
      <c r="D126" s="7" t="s">
        <v>959</v>
      </c>
      <c r="E126" s="7" t="s">
        <v>960</v>
      </c>
    </row>
    <row r="127" spans="1:5">
      <c r="A127" s="2">
        <v>126</v>
      </c>
      <c r="B127" s="7" t="s">
        <v>961</v>
      </c>
      <c r="C127" s="7" t="s">
        <v>962</v>
      </c>
      <c r="D127" s="7" t="s">
        <v>963</v>
      </c>
      <c r="E127" s="7" t="s">
        <v>964</v>
      </c>
    </row>
    <row r="128" spans="1:5">
      <c r="A128" s="2">
        <v>127</v>
      </c>
      <c r="B128" s="7" t="s">
        <v>965</v>
      </c>
      <c r="C128" s="7" t="s">
        <v>966</v>
      </c>
      <c r="D128" s="7" t="s">
        <v>967</v>
      </c>
      <c r="E128" s="7" t="s">
        <v>968</v>
      </c>
    </row>
    <row r="129" spans="1:5">
      <c r="A129" s="2">
        <v>128</v>
      </c>
      <c r="B129" s="7" t="s">
        <v>969</v>
      </c>
      <c r="C129" s="7" t="s">
        <v>970</v>
      </c>
      <c r="D129" s="7" t="s">
        <v>971</v>
      </c>
      <c r="E129" s="7" t="s">
        <v>972</v>
      </c>
    </row>
    <row r="130" spans="1:5">
      <c r="A130" s="2">
        <v>129</v>
      </c>
      <c r="B130" s="7" t="s">
        <v>973</v>
      </c>
      <c r="C130" s="7" t="s">
        <v>974</v>
      </c>
      <c r="D130" s="7" t="s">
        <v>975</v>
      </c>
      <c r="E130" s="7" t="s">
        <v>976</v>
      </c>
    </row>
    <row r="131" spans="1:5">
      <c r="A131" s="2">
        <v>130</v>
      </c>
      <c r="B131" s="7" t="s">
        <v>977</v>
      </c>
      <c r="C131" s="7" t="s">
        <v>978</v>
      </c>
      <c r="D131" s="7" t="s">
        <v>979</v>
      </c>
      <c r="E131" s="7" t="s">
        <v>980</v>
      </c>
    </row>
    <row r="132" spans="1:5">
      <c r="A132" s="2">
        <v>131</v>
      </c>
      <c r="B132" s="7" t="s">
        <v>981</v>
      </c>
      <c r="C132" s="7" t="s">
        <v>982</v>
      </c>
      <c r="D132" s="7" t="s">
        <v>983</v>
      </c>
      <c r="E132" s="7" t="s">
        <v>984</v>
      </c>
    </row>
    <row r="133" spans="1:5">
      <c r="A133" s="2">
        <v>132</v>
      </c>
      <c r="B133" s="7" t="s">
        <v>985</v>
      </c>
      <c r="C133" s="7" t="s">
        <v>986</v>
      </c>
      <c r="D133" s="7" t="s">
        <v>987</v>
      </c>
      <c r="E133" s="7" t="s">
        <v>988</v>
      </c>
    </row>
    <row r="134" spans="1:5">
      <c r="A134" s="2">
        <v>133</v>
      </c>
      <c r="B134" s="7" t="s">
        <v>989</v>
      </c>
      <c r="C134" s="7" t="s">
        <v>990</v>
      </c>
      <c r="D134" s="7" t="s">
        <v>991</v>
      </c>
      <c r="E134" s="7" t="s">
        <v>992</v>
      </c>
    </row>
    <row r="135" spans="1:5">
      <c r="A135" s="2">
        <v>134</v>
      </c>
      <c r="B135" s="7" t="s">
        <v>993</v>
      </c>
      <c r="C135" s="7" t="s">
        <v>994</v>
      </c>
      <c r="D135" s="7" t="s">
        <v>995</v>
      </c>
      <c r="E135" s="7" t="s">
        <v>996</v>
      </c>
    </row>
    <row r="136" spans="1:5">
      <c r="A136" s="2">
        <v>135</v>
      </c>
      <c r="B136" s="7" t="s">
        <v>997</v>
      </c>
      <c r="C136" s="7" t="s">
        <v>998</v>
      </c>
      <c r="D136" s="7" t="s">
        <v>999</v>
      </c>
      <c r="E136" s="7" t="s">
        <v>1000</v>
      </c>
    </row>
    <row r="137" spans="1:5">
      <c r="A137" s="2">
        <v>136</v>
      </c>
      <c r="B137" s="7" t="s">
        <v>1001</v>
      </c>
      <c r="C137" s="7" t="s">
        <v>1002</v>
      </c>
      <c r="D137" s="7" t="s">
        <v>1003</v>
      </c>
      <c r="E137" s="7" t="s">
        <v>1004</v>
      </c>
    </row>
    <row r="138" spans="1:5">
      <c r="A138" s="2">
        <v>137</v>
      </c>
      <c r="B138" s="7" t="s">
        <v>1005</v>
      </c>
      <c r="C138" s="7" t="s">
        <v>1006</v>
      </c>
      <c r="D138" s="7" t="s">
        <v>1007</v>
      </c>
      <c r="E138" s="7" t="s">
        <v>1008</v>
      </c>
    </row>
    <row r="139" spans="1:5">
      <c r="A139" s="2">
        <v>138</v>
      </c>
      <c r="B139" s="7" t="s">
        <v>1009</v>
      </c>
      <c r="C139" s="7" t="s">
        <v>1010</v>
      </c>
      <c r="D139" s="7" t="s">
        <v>1011</v>
      </c>
      <c r="E139" s="7" t="s">
        <v>1012</v>
      </c>
    </row>
    <row r="140" spans="1:5">
      <c r="A140" s="2">
        <v>139</v>
      </c>
      <c r="B140" s="7" t="s">
        <v>1013</v>
      </c>
      <c r="C140" s="7" t="s">
        <v>1014</v>
      </c>
      <c r="D140" s="7" t="s">
        <v>1015</v>
      </c>
      <c r="E140" s="7" t="s">
        <v>1016</v>
      </c>
    </row>
    <row r="141" spans="1:5">
      <c r="A141" s="2">
        <v>140</v>
      </c>
      <c r="B141" s="7" t="s">
        <v>1017</v>
      </c>
      <c r="C141" s="7" t="s">
        <v>1018</v>
      </c>
      <c r="D141" s="7" t="s">
        <v>1019</v>
      </c>
      <c r="E141" s="7" t="s">
        <v>1020</v>
      </c>
    </row>
    <row r="142" spans="1:5">
      <c r="A142" s="2">
        <v>141</v>
      </c>
      <c r="B142" s="7" t="s">
        <v>1021</v>
      </c>
      <c r="C142" s="7" t="s">
        <v>1022</v>
      </c>
      <c r="D142" s="7" t="s">
        <v>1023</v>
      </c>
      <c r="E142" s="7" t="s">
        <v>1024</v>
      </c>
    </row>
    <row r="143" spans="1:5">
      <c r="A143" s="2">
        <v>142</v>
      </c>
      <c r="B143" s="7" t="s">
        <v>1025</v>
      </c>
      <c r="C143" s="7" t="s">
        <v>1026</v>
      </c>
      <c r="D143" s="7" t="s">
        <v>1027</v>
      </c>
      <c r="E143" s="7" t="s">
        <v>1028</v>
      </c>
    </row>
    <row r="144" spans="1:5">
      <c r="A144" s="2">
        <v>143</v>
      </c>
      <c r="B144" s="7" t="s">
        <v>1029</v>
      </c>
      <c r="C144" s="7" t="s">
        <v>1030</v>
      </c>
      <c r="D144" s="7" t="s">
        <v>1031</v>
      </c>
      <c r="E144" s="7" t="s">
        <v>1032</v>
      </c>
    </row>
    <row r="145" spans="1:5">
      <c r="A145" s="2">
        <v>144</v>
      </c>
      <c r="B145" s="7" t="s">
        <v>1033</v>
      </c>
      <c r="C145" s="7" t="s">
        <v>1034</v>
      </c>
      <c r="D145" s="7" t="s">
        <v>1035</v>
      </c>
      <c r="E145" s="7" t="s">
        <v>1036</v>
      </c>
    </row>
    <row r="146" spans="1:5">
      <c r="A146" s="2">
        <v>145</v>
      </c>
      <c r="B146" s="7" t="s">
        <v>1037</v>
      </c>
      <c r="C146" s="7" t="s">
        <v>1038</v>
      </c>
      <c r="D146" s="7" t="s">
        <v>1039</v>
      </c>
      <c r="E146" s="7" t="s">
        <v>1040</v>
      </c>
    </row>
    <row r="147" spans="1:5">
      <c r="A147" s="2">
        <v>146</v>
      </c>
      <c r="B147" s="7" t="s">
        <v>1041</v>
      </c>
      <c r="C147" s="7" t="s">
        <v>1042</v>
      </c>
      <c r="D147" s="7" t="s">
        <v>1043</v>
      </c>
      <c r="E147" s="7" t="s">
        <v>1044</v>
      </c>
    </row>
    <row r="148" spans="1:5">
      <c r="A148" s="2">
        <v>147</v>
      </c>
      <c r="B148" s="7" t="s">
        <v>1045</v>
      </c>
      <c r="C148" s="7" t="s">
        <v>1046</v>
      </c>
      <c r="D148" s="7" t="s">
        <v>1047</v>
      </c>
      <c r="E148" s="7" t="s">
        <v>1048</v>
      </c>
    </row>
    <row r="149" spans="1:5">
      <c r="A149" s="2">
        <v>148</v>
      </c>
      <c r="B149" s="7" t="s">
        <v>1049</v>
      </c>
      <c r="C149" s="7" t="s">
        <v>1050</v>
      </c>
      <c r="D149" s="7" t="s">
        <v>1051</v>
      </c>
      <c r="E149" s="7" t="s">
        <v>1052</v>
      </c>
    </row>
    <row r="150" spans="1:5">
      <c r="A150" s="2">
        <v>149</v>
      </c>
      <c r="B150" s="7" t="s">
        <v>1053</v>
      </c>
      <c r="C150" s="7" t="s">
        <v>1054</v>
      </c>
      <c r="D150" s="7" t="s">
        <v>1055</v>
      </c>
      <c r="E150" s="7" t="s">
        <v>1056</v>
      </c>
    </row>
    <row r="151" spans="1:5">
      <c r="A151" s="2">
        <v>150</v>
      </c>
      <c r="B151" s="7" t="s">
        <v>1057</v>
      </c>
      <c r="C151" s="7" t="s">
        <v>1058</v>
      </c>
      <c r="D151" s="7" t="s">
        <v>1059</v>
      </c>
      <c r="E151" s="7" t="s">
        <v>1060</v>
      </c>
    </row>
    <row r="152" spans="1:5">
      <c r="A152" s="2">
        <v>151</v>
      </c>
      <c r="B152" s="7" t="s">
        <v>1061</v>
      </c>
      <c r="C152" s="7" t="s">
        <v>1062</v>
      </c>
      <c r="D152" s="7" t="s">
        <v>1063</v>
      </c>
      <c r="E152" s="7" t="s">
        <v>1064</v>
      </c>
    </row>
    <row r="153" spans="1:5">
      <c r="A153" s="2">
        <v>152</v>
      </c>
      <c r="B153" s="7" t="s">
        <v>1065</v>
      </c>
      <c r="C153" s="7" t="s">
        <v>1066</v>
      </c>
      <c r="D153" s="7" t="s">
        <v>1067</v>
      </c>
      <c r="E153" s="7" t="s">
        <v>1068</v>
      </c>
    </row>
    <row r="154" spans="1:5">
      <c r="A154" s="2">
        <v>153</v>
      </c>
      <c r="B154" s="7" t="s">
        <v>1069</v>
      </c>
      <c r="C154" s="7" t="s">
        <v>1070</v>
      </c>
      <c r="D154" s="7" t="s">
        <v>1071</v>
      </c>
      <c r="E154" s="7" t="s">
        <v>1072</v>
      </c>
    </row>
    <row r="155" spans="1:5">
      <c r="A155" s="2">
        <v>154</v>
      </c>
      <c r="B155" s="7" t="s">
        <v>1073</v>
      </c>
      <c r="C155" s="7" t="s">
        <v>1074</v>
      </c>
      <c r="D155" s="7" t="s">
        <v>1075</v>
      </c>
      <c r="E155" s="7" t="s">
        <v>1076</v>
      </c>
    </row>
    <row r="156" spans="1:5">
      <c r="A156" s="2">
        <v>155</v>
      </c>
      <c r="B156" s="7" t="s">
        <v>1077</v>
      </c>
      <c r="C156" s="7" t="s">
        <v>1078</v>
      </c>
      <c r="D156" s="7" t="s">
        <v>1079</v>
      </c>
      <c r="E156" s="7" t="s">
        <v>1080</v>
      </c>
    </row>
    <row r="157" spans="1:5">
      <c r="A157" s="2">
        <v>156</v>
      </c>
      <c r="B157" s="7" t="s">
        <v>1081</v>
      </c>
      <c r="C157" s="7" t="s">
        <v>1082</v>
      </c>
      <c r="D157" s="7" t="s">
        <v>1083</v>
      </c>
      <c r="E157" s="7" t="s">
        <v>1084</v>
      </c>
    </row>
    <row r="158" spans="1:5">
      <c r="A158" s="2">
        <v>157</v>
      </c>
      <c r="B158" s="7" t="s">
        <v>1085</v>
      </c>
      <c r="C158" s="7" t="s">
        <v>1086</v>
      </c>
      <c r="D158" s="7" t="s">
        <v>1087</v>
      </c>
      <c r="E158" s="7" t="s">
        <v>1088</v>
      </c>
    </row>
    <row r="159" spans="1:5">
      <c r="A159" s="2">
        <v>158</v>
      </c>
      <c r="B159" s="7" t="s">
        <v>1089</v>
      </c>
      <c r="C159" s="7" t="s">
        <v>1090</v>
      </c>
      <c r="D159" s="7" t="s">
        <v>1091</v>
      </c>
      <c r="E159" s="7" t="s">
        <v>1092</v>
      </c>
    </row>
    <row r="160" spans="1:5">
      <c r="A160" s="2">
        <v>159</v>
      </c>
      <c r="B160" s="7" t="s">
        <v>1093</v>
      </c>
      <c r="C160" s="7" t="s">
        <v>1094</v>
      </c>
      <c r="D160" s="7" t="s">
        <v>1095</v>
      </c>
      <c r="E160" s="7" t="s">
        <v>1096</v>
      </c>
    </row>
    <row r="161" spans="1:5">
      <c r="A161" s="2">
        <v>160</v>
      </c>
      <c r="B161" s="7" t="s">
        <v>1097</v>
      </c>
      <c r="C161" s="7" t="s">
        <v>1098</v>
      </c>
      <c r="D161" s="7" t="s">
        <v>1099</v>
      </c>
      <c r="E161" s="7" t="s">
        <v>1100</v>
      </c>
    </row>
    <row r="162" spans="1:5">
      <c r="A162" s="2">
        <v>161</v>
      </c>
      <c r="B162" s="7" t="s">
        <v>1101</v>
      </c>
      <c r="C162" s="7" t="s">
        <v>1102</v>
      </c>
      <c r="D162" s="7" t="s">
        <v>1103</v>
      </c>
      <c r="E162" s="7" t="s">
        <v>1104</v>
      </c>
    </row>
    <row r="163" spans="1:5">
      <c r="A163" s="2">
        <v>162</v>
      </c>
      <c r="B163" s="7" t="s">
        <v>1105</v>
      </c>
      <c r="C163" s="7" t="s">
        <v>1106</v>
      </c>
      <c r="D163" s="7" t="s">
        <v>1107</v>
      </c>
      <c r="E163" s="7" t="s">
        <v>1108</v>
      </c>
    </row>
    <row r="164" spans="1:5">
      <c r="A164" s="2">
        <v>163</v>
      </c>
      <c r="B164" s="7" t="s">
        <v>1109</v>
      </c>
      <c r="C164" s="7" t="s">
        <v>1110</v>
      </c>
      <c r="D164" s="7" t="s">
        <v>1111</v>
      </c>
      <c r="E164" s="7" t="s">
        <v>1112</v>
      </c>
    </row>
    <row r="165" spans="1:5">
      <c r="A165" s="2">
        <v>164</v>
      </c>
      <c r="B165" s="7" t="s">
        <v>1113</v>
      </c>
      <c r="C165" s="7" t="s">
        <v>1114</v>
      </c>
      <c r="D165" s="7" t="s">
        <v>1115</v>
      </c>
      <c r="E165" s="7" t="s">
        <v>1116</v>
      </c>
    </row>
    <row r="166" spans="1:5">
      <c r="A166" s="2">
        <v>165</v>
      </c>
      <c r="B166" s="7" t="s">
        <v>1117</v>
      </c>
      <c r="C166" s="7" t="s">
        <v>1118</v>
      </c>
      <c r="D166" s="7" t="s">
        <v>1119</v>
      </c>
      <c r="E166" s="7" t="s">
        <v>1120</v>
      </c>
    </row>
    <row r="167" spans="1:5">
      <c r="A167" s="2">
        <v>166</v>
      </c>
      <c r="B167" s="7" t="s">
        <v>1121</v>
      </c>
      <c r="C167" s="7" t="s">
        <v>1122</v>
      </c>
      <c r="D167" s="7" t="s">
        <v>1123</v>
      </c>
      <c r="E167" s="7" t="s">
        <v>1124</v>
      </c>
    </row>
    <row r="168" spans="1:5">
      <c r="A168" s="2">
        <v>167</v>
      </c>
      <c r="B168" s="7" t="s">
        <v>1125</v>
      </c>
      <c r="C168" s="7" t="s">
        <v>1126</v>
      </c>
      <c r="D168" s="7" t="s">
        <v>1127</v>
      </c>
      <c r="E168" s="7" t="s">
        <v>1128</v>
      </c>
    </row>
    <row r="169" spans="1:5">
      <c r="A169" s="2">
        <v>168</v>
      </c>
      <c r="B169" s="7" t="s">
        <v>1129</v>
      </c>
      <c r="C169" s="7" t="s">
        <v>1130</v>
      </c>
      <c r="D169" s="7" t="s">
        <v>1131</v>
      </c>
      <c r="E169" s="7" t="s">
        <v>1132</v>
      </c>
    </row>
    <row r="170" spans="1:5">
      <c r="A170" s="2">
        <v>169</v>
      </c>
      <c r="B170" s="7" t="s">
        <v>1133</v>
      </c>
      <c r="C170" s="7" t="s">
        <v>1134</v>
      </c>
      <c r="D170" s="7" t="s">
        <v>1135</v>
      </c>
      <c r="E170" s="7" t="s">
        <v>1136</v>
      </c>
    </row>
    <row r="171" spans="1:5">
      <c r="A171" s="2">
        <v>170</v>
      </c>
      <c r="B171" s="7" t="s">
        <v>1137</v>
      </c>
      <c r="C171" s="7" t="s">
        <v>1138</v>
      </c>
      <c r="D171" s="7" t="s">
        <v>1139</v>
      </c>
      <c r="E171" s="7" t="s">
        <v>1140</v>
      </c>
    </row>
    <row r="172" spans="1:5">
      <c r="A172" s="2">
        <v>171</v>
      </c>
      <c r="B172" s="7" t="s">
        <v>1141</v>
      </c>
      <c r="C172" s="7" t="s">
        <v>1142</v>
      </c>
      <c r="D172" s="7" t="s">
        <v>1143</v>
      </c>
      <c r="E172" s="7" t="s">
        <v>1144</v>
      </c>
    </row>
    <row r="173" spans="1:5">
      <c r="A173" s="2">
        <v>172</v>
      </c>
      <c r="B173" s="7" t="s">
        <v>1145</v>
      </c>
      <c r="C173" s="7" t="s">
        <v>1146</v>
      </c>
      <c r="D173" s="7" t="s">
        <v>1147</v>
      </c>
      <c r="E173" s="7" t="s">
        <v>1148</v>
      </c>
    </row>
    <row r="174" spans="1:5">
      <c r="A174" s="2">
        <v>173</v>
      </c>
      <c r="B174" s="7" t="s">
        <v>1149</v>
      </c>
      <c r="C174" s="7" t="s">
        <v>1150</v>
      </c>
      <c r="D174" s="7" t="s">
        <v>1151</v>
      </c>
      <c r="E174" s="7" t="s">
        <v>1152</v>
      </c>
    </row>
    <row r="175" spans="1:5">
      <c r="A175" s="2">
        <v>174</v>
      </c>
      <c r="B175" s="7" t="s">
        <v>1153</v>
      </c>
      <c r="C175" s="7" t="s">
        <v>1154</v>
      </c>
      <c r="D175" s="7" t="s">
        <v>1155</v>
      </c>
      <c r="E175" s="7" t="s">
        <v>1156</v>
      </c>
    </row>
    <row r="176" spans="1:5">
      <c r="A176" s="2">
        <v>175</v>
      </c>
      <c r="B176" s="7" t="s">
        <v>1157</v>
      </c>
      <c r="C176" s="7" t="s">
        <v>1158</v>
      </c>
      <c r="D176" s="7" t="s">
        <v>1159</v>
      </c>
      <c r="E176" s="7" t="s">
        <v>1160</v>
      </c>
    </row>
    <row r="177" spans="1:5">
      <c r="A177" s="2">
        <v>176</v>
      </c>
      <c r="B177" s="7" t="s">
        <v>1161</v>
      </c>
      <c r="C177" s="7" t="s">
        <v>1162</v>
      </c>
      <c r="D177" s="7" t="s">
        <v>1163</v>
      </c>
      <c r="E177" s="7" t="s">
        <v>1164</v>
      </c>
    </row>
    <row r="178" spans="1:5">
      <c r="A178" s="2">
        <v>177</v>
      </c>
      <c r="B178" s="7" t="s">
        <v>1165</v>
      </c>
      <c r="C178" s="7" t="s">
        <v>1166</v>
      </c>
      <c r="D178" s="7" t="s">
        <v>1167</v>
      </c>
      <c r="E178" s="7" t="s">
        <v>1168</v>
      </c>
    </row>
    <row r="179" spans="1:5">
      <c r="A179" s="2">
        <v>178</v>
      </c>
      <c r="B179" s="7" t="s">
        <v>1169</v>
      </c>
      <c r="C179" s="7" t="s">
        <v>1170</v>
      </c>
      <c r="D179" s="7" t="s">
        <v>1171</v>
      </c>
      <c r="E179" s="7" t="s">
        <v>1172</v>
      </c>
    </row>
    <row r="180" spans="1:5">
      <c r="A180" s="2">
        <v>179</v>
      </c>
      <c r="B180" s="7" t="s">
        <v>1173</v>
      </c>
      <c r="C180" s="7" t="s">
        <v>1174</v>
      </c>
      <c r="D180" s="7" t="s">
        <v>1175</v>
      </c>
      <c r="E180" s="7" t="s">
        <v>1176</v>
      </c>
    </row>
    <row r="181" spans="1:5">
      <c r="A181" s="2">
        <v>180</v>
      </c>
      <c r="B181" s="7" t="s">
        <v>1177</v>
      </c>
      <c r="C181" s="7" t="s">
        <v>1178</v>
      </c>
      <c r="D181" s="7" t="s">
        <v>1179</v>
      </c>
      <c r="E181" s="7" t="s">
        <v>1180</v>
      </c>
    </row>
    <row r="182" spans="1:5">
      <c r="A182" s="2">
        <v>181</v>
      </c>
      <c r="B182" s="7" t="s">
        <v>1181</v>
      </c>
      <c r="C182" s="7" t="s">
        <v>1182</v>
      </c>
      <c r="D182" s="7" t="s">
        <v>1183</v>
      </c>
      <c r="E182" s="7" t="s">
        <v>1184</v>
      </c>
    </row>
    <row r="183" spans="1:5">
      <c r="A183" s="2">
        <v>182</v>
      </c>
      <c r="B183" s="7" t="s">
        <v>1185</v>
      </c>
      <c r="C183" s="7" t="s">
        <v>1186</v>
      </c>
      <c r="D183" s="7" t="s">
        <v>1187</v>
      </c>
      <c r="E183" s="7" t="s">
        <v>1188</v>
      </c>
    </row>
    <row r="184" spans="1:5">
      <c r="A184" s="2">
        <v>183</v>
      </c>
      <c r="B184" s="7" t="s">
        <v>1189</v>
      </c>
      <c r="C184" s="7" t="s">
        <v>1190</v>
      </c>
      <c r="D184" s="7" t="s">
        <v>1191</v>
      </c>
      <c r="E184" s="7" t="s">
        <v>1192</v>
      </c>
    </row>
    <row r="185" spans="1:5">
      <c r="A185" s="2">
        <v>184</v>
      </c>
      <c r="B185" s="7" t="s">
        <v>1193</v>
      </c>
      <c r="C185" s="7" t="s">
        <v>1194</v>
      </c>
      <c r="D185" s="7" t="s">
        <v>1195</v>
      </c>
      <c r="E185" s="7" t="s">
        <v>1196</v>
      </c>
    </row>
    <row r="186" spans="1:5">
      <c r="A186" s="2">
        <v>185</v>
      </c>
      <c r="B186" s="7" t="s">
        <v>1197</v>
      </c>
      <c r="C186" s="7" t="s">
        <v>1198</v>
      </c>
      <c r="D186" s="7" t="s">
        <v>1199</v>
      </c>
      <c r="E186" s="7" t="s">
        <v>1200</v>
      </c>
    </row>
    <row r="187" spans="1:5">
      <c r="A187" s="2">
        <v>186</v>
      </c>
      <c r="B187" s="7" t="s">
        <v>1201</v>
      </c>
      <c r="C187" s="7" t="s">
        <v>1202</v>
      </c>
      <c r="D187" s="7" t="s">
        <v>1203</v>
      </c>
      <c r="E187" s="7" t="s">
        <v>1204</v>
      </c>
    </row>
    <row r="188" spans="1:5">
      <c r="A188" s="2">
        <v>187</v>
      </c>
      <c r="B188" s="7" t="s">
        <v>1205</v>
      </c>
      <c r="C188" s="7" t="s">
        <v>1206</v>
      </c>
      <c r="D188" s="7" t="s">
        <v>1207</v>
      </c>
      <c r="E188" s="7" t="s">
        <v>1208</v>
      </c>
    </row>
    <row r="189" spans="1:5">
      <c r="A189" s="2">
        <v>188</v>
      </c>
      <c r="B189" s="7" t="s">
        <v>1209</v>
      </c>
      <c r="C189" s="7" t="s">
        <v>1210</v>
      </c>
      <c r="D189" s="7" t="s">
        <v>1211</v>
      </c>
      <c r="E189" s="7" t="s">
        <v>1212</v>
      </c>
    </row>
    <row r="190" spans="1:5">
      <c r="A190" s="2">
        <v>189</v>
      </c>
      <c r="B190" s="7" t="s">
        <v>1213</v>
      </c>
      <c r="C190" s="7" t="s">
        <v>1214</v>
      </c>
      <c r="D190" s="7" t="s">
        <v>1215</v>
      </c>
      <c r="E190" s="7" t="s">
        <v>1216</v>
      </c>
    </row>
    <row r="191" spans="1:5">
      <c r="A191" s="2">
        <v>190</v>
      </c>
      <c r="B191" s="7" t="s">
        <v>1217</v>
      </c>
      <c r="C191" s="7" t="s">
        <v>1218</v>
      </c>
      <c r="D191" s="7" t="s">
        <v>1219</v>
      </c>
      <c r="E191" s="7" t="s">
        <v>1220</v>
      </c>
    </row>
    <row r="192" spans="1:5">
      <c r="A192" s="2">
        <v>191</v>
      </c>
      <c r="B192" s="7" t="s">
        <v>1221</v>
      </c>
      <c r="C192" s="7" t="s">
        <v>1222</v>
      </c>
      <c r="D192" s="7" t="s">
        <v>1223</v>
      </c>
      <c r="E192" s="7" t="s">
        <v>1224</v>
      </c>
    </row>
    <row r="193" spans="1:5">
      <c r="A193" s="2">
        <v>192</v>
      </c>
      <c r="B193" s="7" t="s">
        <v>1225</v>
      </c>
      <c r="C193" s="7" t="s">
        <v>1226</v>
      </c>
      <c r="D193" s="7" t="s">
        <v>1227</v>
      </c>
      <c r="E193" s="7" t="s">
        <v>1228</v>
      </c>
    </row>
    <row r="194" spans="1:5">
      <c r="A194" s="2">
        <v>193</v>
      </c>
      <c r="B194" s="7" t="s">
        <v>1229</v>
      </c>
      <c r="C194" s="7" t="s">
        <v>1230</v>
      </c>
      <c r="D194" s="7" t="s">
        <v>1231</v>
      </c>
      <c r="E194" s="7" t="s">
        <v>1232</v>
      </c>
    </row>
    <row r="195" spans="1:5">
      <c r="A195" s="2">
        <v>194</v>
      </c>
      <c r="B195" s="7" t="s">
        <v>1233</v>
      </c>
      <c r="C195" s="7" t="s">
        <v>1234</v>
      </c>
      <c r="D195" s="7" t="s">
        <v>1235</v>
      </c>
      <c r="E195" s="7" t="s">
        <v>1236</v>
      </c>
    </row>
    <row r="196" spans="1:5">
      <c r="A196" s="2">
        <v>195</v>
      </c>
      <c r="B196" s="7" t="s">
        <v>1237</v>
      </c>
      <c r="C196" s="7" t="s">
        <v>1238</v>
      </c>
      <c r="D196" s="7" t="s">
        <v>1239</v>
      </c>
      <c r="E196" s="7" t="s">
        <v>1240</v>
      </c>
    </row>
    <row r="197" spans="1:5">
      <c r="A197" s="2">
        <v>196</v>
      </c>
      <c r="B197" s="7" t="s">
        <v>1241</v>
      </c>
      <c r="C197" s="7" t="s">
        <v>1242</v>
      </c>
      <c r="D197" s="7" t="s">
        <v>1243</v>
      </c>
      <c r="E197" s="7" t="s">
        <v>1244</v>
      </c>
    </row>
    <row r="198" spans="1:5">
      <c r="A198" s="2">
        <v>197</v>
      </c>
      <c r="B198" s="7" t="s">
        <v>1245</v>
      </c>
      <c r="C198" s="7" t="s">
        <v>1246</v>
      </c>
      <c r="D198" s="7" t="s">
        <v>1247</v>
      </c>
      <c r="E198" s="7" t="s">
        <v>1248</v>
      </c>
    </row>
    <row r="199" spans="1:5">
      <c r="A199" s="2">
        <v>198</v>
      </c>
      <c r="B199" s="7" t="s">
        <v>1249</v>
      </c>
      <c r="C199" s="7" t="s">
        <v>1250</v>
      </c>
      <c r="D199" s="7" t="s">
        <v>1251</v>
      </c>
      <c r="E199" s="7" t="s">
        <v>1252</v>
      </c>
    </row>
    <row r="200" spans="1:5">
      <c r="A200" s="2">
        <v>199</v>
      </c>
      <c r="B200" s="7" t="s">
        <v>1253</v>
      </c>
      <c r="C200" s="7" t="s">
        <v>1254</v>
      </c>
      <c r="D200" s="7" t="s">
        <v>1255</v>
      </c>
      <c r="E200" s="7" t="s">
        <v>1256</v>
      </c>
    </row>
    <row r="201" spans="1:5">
      <c r="A201" s="2">
        <v>200</v>
      </c>
      <c r="B201" s="7" t="s">
        <v>1257</v>
      </c>
      <c r="C201" s="7" t="s">
        <v>1258</v>
      </c>
      <c r="D201" s="7" t="s">
        <v>1259</v>
      </c>
      <c r="E201" s="7" t="s">
        <v>1260</v>
      </c>
    </row>
    <row r="202" spans="1:5">
      <c r="A202" s="2">
        <v>201</v>
      </c>
      <c r="B202" s="7" t="s">
        <v>1261</v>
      </c>
      <c r="C202" s="7" t="s">
        <v>1262</v>
      </c>
      <c r="D202" s="7" t="s">
        <v>1263</v>
      </c>
      <c r="E202" s="7" t="s">
        <v>1264</v>
      </c>
    </row>
    <row r="203" spans="1:5">
      <c r="A203" s="2">
        <v>202</v>
      </c>
      <c r="B203" s="7" t="s">
        <v>1265</v>
      </c>
      <c r="C203" s="7" t="s">
        <v>1266</v>
      </c>
      <c r="D203" s="7" t="s">
        <v>1267</v>
      </c>
      <c r="E203" s="7" t="s">
        <v>1268</v>
      </c>
    </row>
    <row r="204" spans="1:5">
      <c r="A204" s="2">
        <v>203</v>
      </c>
      <c r="B204" s="7" t="s">
        <v>1269</v>
      </c>
      <c r="C204" s="7" t="s">
        <v>1270</v>
      </c>
      <c r="D204" s="7" t="s">
        <v>1271</v>
      </c>
      <c r="E204" s="7" t="s">
        <v>1272</v>
      </c>
    </row>
    <row r="205" spans="1:5">
      <c r="A205" s="2">
        <v>204</v>
      </c>
      <c r="B205" s="7" t="s">
        <v>1273</v>
      </c>
      <c r="C205" s="7" t="s">
        <v>1274</v>
      </c>
      <c r="D205" s="7" t="s">
        <v>1275</v>
      </c>
      <c r="E205" s="7" t="s">
        <v>1276</v>
      </c>
    </row>
    <row r="206" spans="1:5">
      <c r="A206" s="2">
        <v>205</v>
      </c>
      <c r="B206" s="7" t="s">
        <v>1277</v>
      </c>
      <c r="C206" s="7" t="s">
        <v>1278</v>
      </c>
      <c r="D206" s="7" t="s">
        <v>1279</v>
      </c>
      <c r="E206" s="7" t="s">
        <v>1280</v>
      </c>
    </row>
    <row r="207" spans="1:5">
      <c r="A207" s="2">
        <v>206</v>
      </c>
      <c r="B207" s="7" t="s">
        <v>1281</v>
      </c>
      <c r="C207" s="7" t="s">
        <v>1282</v>
      </c>
      <c r="D207" s="7" t="s">
        <v>1283</v>
      </c>
      <c r="E207" s="7" t="s">
        <v>1284</v>
      </c>
    </row>
    <row r="208" spans="1:5">
      <c r="A208" s="2">
        <v>207</v>
      </c>
      <c r="B208" s="7" t="s">
        <v>1285</v>
      </c>
      <c r="C208" s="7" t="s">
        <v>1286</v>
      </c>
      <c r="D208" s="7" t="s">
        <v>1287</v>
      </c>
      <c r="E208" s="7" t="s">
        <v>1288</v>
      </c>
    </row>
    <row r="209" spans="1:5">
      <c r="A209" s="2">
        <v>208</v>
      </c>
      <c r="B209" s="7" t="s">
        <v>1289</v>
      </c>
      <c r="C209" s="7" t="s">
        <v>1290</v>
      </c>
      <c r="D209" s="7" t="s">
        <v>1291</v>
      </c>
      <c r="E209" s="7" t="s">
        <v>1292</v>
      </c>
    </row>
    <row r="210" spans="1:5">
      <c r="A210" s="2">
        <v>209</v>
      </c>
      <c r="B210" s="7" t="s">
        <v>1293</v>
      </c>
      <c r="C210" s="7" t="s">
        <v>1294</v>
      </c>
      <c r="D210" s="7" t="s">
        <v>1295</v>
      </c>
      <c r="E210" s="7" t="s">
        <v>1296</v>
      </c>
    </row>
    <row r="211" spans="1:5">
      <c r="A211" s="2">
        <v>210</v>
      </c>
      <c r="B211" s="7" t="s">
        <v>1297</v>
      </c>
      <c r="C211" s="7" t="s">
        <v>1298</v>
      </c>
      <c r="D211" s="7" t="s">
        <v>1299</v>
      </c>
      <c r="E211" s="7" t="s">
        <v>1300</v>
      </c>
    </row>
    <row r="212" spans="1:5">
      <c r="A212" s="2">
        <v>211</v>
      </c>
      <c r="B212" s="7" t="s">
        <v>1301</v>
      </c>
      <c r="C212" s="7" t="s">
        <v>1302</v>
      </c>
      <c r="D212" s="7" t="s">
        <v>1303</v>
      </c>
      <c r="E212" s="7" t="s">
        <v>1304</v>
      </c>
    </row>
    <row r="213" spans="1:5">
      <c r="A213" s="2">
        <v>212</v>
      </c>
      <c r="B213" s="7" t="s">
        <v>1305</v>
      </c>
      <c r="C213" s="7" t="s">
        <v>1306</v>
      </c>
      <c r="D213" s="7" t="s">
        <v>1307</v>
      </c>
      <c r="E213" s="7" t="s">
        <v>1308</v>
      </c>
    </row>
    <row r="214" spans="1:5">
      <c r="A214" s="2">
        <v>213</v>
      </c>
      <c r="B214" s="7" t="s">
        <v>1309</v>
      </c>
      <c r="C214" s="7" t="s">
        <v>1310</v>
      </c>
      <c r="D214" s="7" t="s">
        <v>1311</v>
      </c>
      <c r="E214" s="7" t="s">
        <v>1312</v>
      </c>
    </row>
    <row r="215" spans="1:5">
      <c r="A215" s="2">
        <v>214</v>
      </c>
      <c r="B215" s="7" t="s">
        <v>1313</v>
      </c>
      <c r="C215" s="7" t="s">
        <v>1314</v>
      </c>
      <c r="D215" s="7" t="s">
        <v>1315</v>
      </c>
      <c r="E215" s="7" t="s">
        <v>1316</v>
      </c>
    </row>
    <row r="216" spans="1:5">
      <c r="A216" s="2">
        <v>215</v>
      </c>
      <c r="B216" s="7" t="s">
        <v>1317</v>
      </c>
      <c r="C216" s="7" t="s">
        <v>1318</v>
      </c>
      <c r="D216" s="7" t="s">
        <v>1319</v>
      </c>
      <c r="E216" s="7" t="s">
        <v>1320</v>
      </c>
    </row>
    <row r="217" spans="1:5">
      <c r="A217" s="2">
        <v>216</v>
      </c>
      <c r="B217" s="7" t="s">
        <v>1321</v>
      </c>
      <c r="C217" s="7" t="s">
        <v>1322</v>
      </c>
      <c r="D217" s="7" t="s">
        <v>1323</v>
      </c>
      <c r="E217" s="7" t="s">
        <v>1324</v>
      </c>
    </row>
    <row r="218" spans="1:5">
      <c r="A218" s="2">
        <v>217</v>
      </c>
      <c r="B218" s="7" t="s">
        <v>1325</v>
      </c>
      <c r="C218" s="7" t="s">
        <v>1326</v>
      </c>
      <c r="D218" s="7" t="s">
        <v>1327</v>
      </c>
      <c r="E218" s="7" t="s">
        <v>1328</v>
      </c>
    </row>
    <row r="219" spans="1:5">
      <c r="A219" s="2">
        <v>218</v>
      </c>
      <c r="B219" s="7" t="s">
        <v>1329</v>
      </c>
      <c r="C219" s="7" t="s">
        <v>1330</v>
      </c>
      <c r="D219" s="7" t="s">
        <v>1331</v>
      </c>
      <c r="E219" s="7" t="s">
        <v>1332</v>
      </c>
    </row>
    <row r="220" spans="1:5">
      <c r="A220" s="2">
        <v>219</v>
      </c>
      <c r="B220" s="7" t="s">
        <v>1333</v>
      </c>
      <c r="C220" s="7" t="s">
        <v>1334</v>
      </c>
      <c r="D220" s="7" t="s">
        <v>1335</v>
      </c>
      <c r="E220" s="7" t="s">
        <v>1336</v>
      </c>
    </row>
    <row r="221" spans="1:5">
      <c r="A221" s="2">
        <v>220</v>
      </c>
      <c r="B221" s="7" t="s">
        <v>1337</v>
      </c>
      <c r="C221" s="7" t="s">
        <v>1338</v>
      </c>
      <c r="D221" s="7" t="s">
        <v>1339</v>
      </c>
      <c r="E221" s="7" t="s">
        <v>1340</v>
      </c>
    </row>
    <row r="222" spans="1:5">
      <c r="A222" s="2">
        <v>221</v>
      </c>
      <c r="B222" s="7" t="s">
        <v>1341</v>
      </c>
      <c r="C222" s="7" t="s">
        <v>1342</v>
      </c>
      <c r="D222" s="7" t="s">
        <v>1343</v>
      </c>
      <c r="E222" s="7" t="s">
        <v>1344</v>
      </c>
    </row>
    <row r="223" spans="1:5">
      <c r="A223" s="2">
        <v>222</v>
      </c>
      <c r="B223" s="7" t="s">
        <v>1345</v>
      </c>
      <c r="C223" s="7" t="s">
        <v>1346</v>
      </c>
      <c r="D223" s="7" t="s">
        <v>1347</v>
      </c>
      <c r="E223" s="7" t="s">
        <v>1348</v>
      </c>
    </row>
    <row r="224" spans="1:5">
      <c r="A224" s="2">
        <v>223</v>
      </c>
      <c r="B224" s="7" t="s">
        <v>1349</v>
      </c>
      <c r="C224" s="7" t="s">
        <v>1350</v>
      </c>
      <c r="D224" s="7" t="s">
        <v>1351</v>
      </c>
      <c r="E224" s="7" t="s">
        <v>1352</v>
      </c>
    </row>
    <row r="225" spans="1:5">
      <c r="A225" s="2">
        <v>224</v>
      </c>
      <c r="B225" s="7" t="s">
        <v>1353</v>
      </c>
      <c r="C225" s="7" t="s">
        <v>1354</v>
      </c>
      <c r="D225" s="7" t="s">
        <v>1355</v>
      </c>
      <c r="E225" s="7" t="s">
        <v>1356</v>
      </c>
    </row>
    <row r="226" spans="1:5">
      <c r="A226" s="2">
        <v>225</v>
      </c>
      <c r="B226" s="7" t="s">
        <v>1357</v>
      </c>
      <c r="C226" s="7" t="s">
        <v>1358</v>
      </c>
      <c r="D226" s="7" t="s">
        <v>1359</v>
      </c>
      <c r="E226" s="7" t="s">
        <v>1360</v>
      </c>
    </row>
    <row r="227" spans="1:5">
      <c r="A227" s="2">
        <v>226</v>
      </c>
      <c r="B227" s="7" t="s">
        <v>1361</v>
      </c>
      <c r="C227" s="7" t="s">
        <v>1362</v>
      </c>
      <c r="D227" s="7" t="s">
        <v>1363</v>
      </c>
      <c r="E227" s="7" t="s">
        <v>1364</v>
      </c>
    </row>
    <row r="228" spans="1:5">
      <c r="A228" s="2">
        <v>227</v>
      </c>
      <c r="B228" s="7" t="s">
        <v>1365</v>
      </c>
      <c r="C228" s="7" t="s">
        <v>1366</v>
      </c>
      <c r="D228" s="7" t="s">
        <v>1367</v>
      </c>
      <c r="E228" s="7" t="s">
        <v>1368</v>
      </c>
    </row>
    <row r="229" spans="1:5">
      <c r="A229" s="2">
        <v>228</v>
      </c>
      <c r="B229" s="7" t="s">
        <v>1369</v>
      </c>
      <c r="C229" s="7" t="s">
        <v>1370</v>
      </c>
      <c r="D229" s="7" t="s">
        <v>1371</v>
      </c>
      <c r="E229" s="7" t="s">
        <v>1372</v>
      </c>
    </row>
    <row r="230" spans="1:5">
      <c r="A230" s="2">
        <v>229</v>
      </c>
      <c r="B230" s="7" t="s">
        <v>1373</v>
      </c>
      <c r="C230" s="7" t="s">
        <v>1374</v>
      </c>
      <c r="D230" s="7" t="s">
        <v>1375</v>
      </c>
      <c r="E230" s="7" t="s">
        <v>1376</v>
      </c>
    </row>
    <row r="231" spans="1:5">
      <c r="A231" s="2">
        <v>230</v>
      </c>
      <c r="B231" s="7" t="s">
        <v>1377</v>
      </c>
      <c r="C231" s="7" t="s">
        <v>1378</v>
      </c>
      <c r="D231" s="7" t="s">
        <v>1379</v>
      </c>
      <c r="E231" s="7" t="s">
        <v>1380</v>
      </c>
    </row>
    <row r="232" spans="1:5">
      <c r="A232" s="2">
        <v>231</v>
      </c>
      <c r="B232" s="7" t="s">
        <v>1381</v>
      </c>
      <c r="C232" s="7" t="s">
        <v>1382</v>
      </c>
      <c r="D232" s="7" t="s">
        <v>1383</v>
      </c>
      <c r="E232" s="7" t="s">
        <v>1384</v>
      </c>
    </row>
    <row r="233" spans="1:5">
      <c r="A233" s="2">
        <v>232</v>
      </c>
      <c r="B233" s="7" t="s">
        <v>1385</v>
      </c>
      <c r="C233" s="7" t="s">
        <v>1386</v>
      </c>
      <c r="D233" s="7" t="s">
        <v>1387</v>
      </c>
      <c r="E233" s="7" t="s">
        <v>1388</v>
      </c>
    </row>
    <row r="234" spans="1:5">
      <c r="A234" s="2">
        <v>233</v>
      </c>
      <c r="B234" s="7" t="s">
        <v>1389</v>
      </c>
      <c r="C234" s="7" t="s">
        <v>1390</v>
      </c>
      <c r="D234" s="7" t="s">
        <v>1391</v>
      </c>
      <c r="E234" s="7" t="s">
        <v>1392</v>
      </c>
    </row>
    <row r="235" spans="1:5">
      <c r="A235" s="2">
        <v>234</v>
      </c>
      <c r="B235" s="7" t="s">
        <v>1393</v>
      </c>
      <c r="C235" s="7" t="s">
        <v>1394</v>
      </c>
      <c r="D235" s="7" t="s">
        <v>1395</v>
      </c>
      <c r="E235" s="7" t="s">
        <v>1396</v>
      </c>
    </row>
    <row r="236" spans="1:5">
      <c r="A236" s="2">
        <v>235</v>
      </c>
      <c r="B236" s="7" t="s">
        <v>1397</v>
      </c>
      <c r="C236" s="7" t="s">
        <v>1398</v>
      </c>
      <c r="D236" s="7" t="s">
        <v>1399</v>
      </c>
      <c r="E236" s="7" t="s">
        <v>1400</v>
      </c>
    </row>
    <row r="237" spans="1:5">
      <c r="A237" s="2">
        <v>236</v>
      </c>
      <c r="B237" s="7" t="s">
        <v>1401</v>
      </c>
      <c r="C237" s="7" t="s">
        <v>1402</v>
      </c>
      <c r="D237" s="7" t="s">
        <v>1403</v>
      </c>
      <c r="E237" s="7" t="s">
        <v>1404</v>
      </c>
    </row>
    <row r="238" spans="1:5">
      <c r="A238" s="2">
        <v>237</v>
      </c>
      <c r="B238" s="7" t="s">
        <v>1405</v>
      </c>
      <c r="C238" s="7" t="s">
        <v>1406</v>
      </c>
      <c r="D238" s="7" t="s">
        <v>1407</v>
      </c>
      <c r="E238" s="7" t="s">
        <v>1408</v>
      </c>
    </row>
    <row r="239" spans="1:5">
      <c r="A239" s="2">
        <v>238</v>
      </c>
      <c r="B239" s="7" t="s">
        <v>1409</v>
      </c>
      <c r="C239" s="7" t="s">
        <v>1410</v>
      </c>
      <c r="D239" s="7" t="s">
        <v>1411</v>
      </c>
      <c r="E239" s="7" t="s">
        <v>1412</v>
      </c>
    </row>
    <row r="240" spans="1:5">
      <c r="A240" s="2">
        <v>239</v>
      </c>
      <c r="B240" s="7" t="s">
        <v>1413</v>
      </c>
      <c r="C240" s="7" t="s">
        <v>1414</v>
      </c>
      <c r="D240" s="7" t="s">
        <v>1415</v>
      </c>
      <c r="E240" s="7" t="s">
        <v>1416</v>
      </c>
    </row>
    <row r="241" spans="1:5">
      <c r="A241" s="2">
        <v>240</v>
      </c>
      <c r="B241" s="7" t="s">
        <v>1417</v>
      </c>
      <c r="C241" s="7" t="s">
        <v>1418</v>
      </c>
      <c r="D241" s="9">
        <v>43909</v>
      </c>
      <c r="E241" s="7" t="s">
        <v>1419</v>
      </c>
    </row>
    <row r="242" spans="1:5">
      <c r="A242" s="2">
        <v>241</v>
      </c>
      <c r="B242" s="7" t="s">
        <v>1420</v>
      </c>
      <c r="C242" s="7" t="s">
        <v>1421</v>
      </c>
      <c r="D242" s="7" t="s">
        <v>1422</v>
      </c>
      <c r="E242" s="7" t="s">
        <v>1423</v>
      </c>
    </row>
    <row r="243" spans="1:5">
      <c r="A243" s="2">
        <v>242</v>
      </c>
      <c r="B243" s="7" t="s">
        <v>1424</v>
      </c>
      <c r="C243" s="7" t="s">
        <v>1425</v>
      </c>
      <c r="D243" s="7" t="s">
        <v>1426</v>
      </c>
      <c r="E243" s="7" t="s">
        <v>1427</v>
      </c>
    </row>
    <row r="244" spans="1:5">
      <c r="A244" s="2">
        <v>243</v>
      </c>
      <c r="B244" s="7" t="s">
        <v>1428</v>
      </c>
      <c r="C244" s="7" t="s">
        <v>1429</v>
      </c>
      <c r="D244" s="7" t="s">
        <v>1430</v>
      </c>
      <c r="E244" s="7" t="s">
        <v>1431</v>
      </c>
    </row>
    <row r="245" spans="1:5">
      <c r="A245" s="2">
        <v>244</v>
      </c>
      <c r="B245" s="7" t="s">
        <v>1432</v>
      </c>
      <c r="C245" s="7" t="s">
        <v>1433</v>
      </c>
      <c r="D245" s="7" t="s">
        <v>1434</v>
      </c>
      <c r="E245" s="7" t="s">
        <v>1435</v>
      </c>
    </row>
    <row r="246" spans="1:5">
      <c r="A246" s="2">
        <v>245</v>
      </c>
      <c r="B246" s="7" t="s">
        <v>1436</v>
      </c>
      <c r="C246" s="7" t="s">
        <v>1437</v>
      </c>
      <c r="D246" s="7" t="s">
        <v>1438</v>
      </c>
      <c r="E246" s="7" t="s">
        <v>1439</v>
      </c>
    </row>
    <row r="247" spans="1:5">
      <c r="A247" s="2">
        <v>246</v>
      </c>
      <c r="B247" s="7" t="s">
        <v>1440</v>
      </c>
      <c r="C247" s="7" t="s">
        <v>1441</v>
      </c>
      <c r="D247" s="7" t="s">
        <v>1442</v>
      </c>
      <c r="E247" s="7" t="s">
        <v>1443</v>
      </c>
    </row>
    <row r="248" spans="1:5">
      <c r="A248" s="2">
        <v>247</v>
      </c>
      <c r="B248" s="7" t="s">
        <v>1444</v>
      </c>
      <c r="C248" s="7" t="s">
        <v>1445</v>
      </c>
      <c r="D248" s="7" t="s">
        <v>1446</v>
      </c>
      <c r="E248" s="7" t="s">
        <v>1447</v>
      </c>
    </row>
    <row r="249" spans="1:5">
      <c r="A249" s="2">
        <v>248</v>
      </c>
      <c r="B249" s="7" t="s">
        <v>1448</v>
      </c>
      <c r="C249" s="7" t="s">
        <v>1449</v>
      </c>
      <c r="D249" s="7" t="s">
        <v>1450</v>
      </c>
      <c r="E249" s="7" t="s">
        <v>1451</v>
      </c>
    </row>
    <row r="250" spans="1:5">
      <c r="A250" s="2">
        <v>249</v>
      </c>
      <c r="B250" s="7" t="s">
        <v>1452</v>
      </c>
      <c r="C250" s="7" t="s">
        <v>1453</v>
      </c>
      <c r="D250" s="7" t="s">
        <v>1454</v>
      </c>
      <c r="E250" s="7" t="s">
        <v>1455</v>
      </c>
    </row>
    <row r="251" spans="1:5">
      <c r="A251" s="2">
        <v>250</v>
      </c>
      <c r="B251" s="7" t="s">
        <v>1456</v>
      </c>
      <c r="C251" s="7" t="s">
        <v>1457</v>
      </c>
      <c r="D251" s="7" t="s">
        <v>1458</v>
      </c>
      <c r="E251" s="7" t="s">
        <v>1459</v>
      </c>
    </row>
    <row r="252" spans="1:5">
      <c r="A252" s="2">
        <v>251</v>
      </c>
      <c r="B252" s="7" t="s">
        <v>1460</v>
      </c>
      <c r="C252" s="7" t="s">
        <v>1461</v>
      </c>
      <c r="D252" s="7" t="s">
        <v>1462</v>
      </c>
      <c r="E252" s="7" t="s">
        <v>1463</v>
      </c>
    </row>
    <row r="253" spans="1:5">
      <c r="A253" s="2">
        <v>252</v>
      </c>
      <c r="B253" s="7" t="s">
        <v>1464</v>
      </c>
      <c r="C253" s="7" t="s">
        <v>1465</v>
      </c>
      <c r="D253" s="7" t="s">
        <v>1466</v>
      </c>
      <c r="E253" s="7" t="s">
        <v>1467</v>
      </c>
    </row>
    <row r="254" spans="1:5">
      <c r="A254" s="2">
        <v>253</v>
      </c>
      <c r="B254" s="7" t="s">
        <v>1468</v>
      </c>
      <c r="C254" s="7" t="s">
        <v>1469</v>
      </c>
      <c r="D254" s="7" t="s">
        <v>1470</v>
      </c>
      <c r="E254" s="7" t="s">
        <v>1471</v>
      </c>
    </row>
    <row r="255" spans="1:5">
      <c r="A255" s="2">
        <v>254</v>
      </c>
      <c r="B255" s="7" t="s">
        <v>1472</v>
      </c>
      <c r="C255" s="7" t="s">
        <v>1473</v>
      </c>
      <c r="D255" s="7" t="s">
        <v>1474</v>
      </c>
      <c r="E255" s="7" t="s">
        <v>1475</v>
      </c>
    </row>
    <row r="256" spans="1:5">
      <c r="A256" s="2">
        <v>255</v>
      </c>
      <c r="B256" s="7" t="s">
        <v>1476</v>
      </c>
      <c r="C256" s="7" t="s">
        <v>1477</v>
      </c>
      <c r="D256" s="7" t="s">
        <v>1478</v>
      </c>
      <c r="E256" s="7" t="s">
        <v>1479</v>
      </c>
    </row>
    <row r="257" spans="1:5">
      <c r="A257" s="2">
        <v>256</v>
      </c>
      <c r="B257" s="7" t="s">
        <v>1480</v>
      </c>
      <c r="C257" s="7" t="s">
        <v>1481</v>
      </c>
      <c r="D257" s="7" t="s">
        <v>1482</v>
      </c>
      <c r="E257" s="7" t="s">
        <v>1483</v>
      </c>
    </row>
    <row r="258" spans="1:5">
      <c r="A258" s="2">
        <v>257</v>
      </c>
      <c r="B258" s="7" t="s">
        <v>1484</v>
      </c>
      <c r="C258" s="7" t="s">
        <v>1485</v>
      </c>
      <c r="D258" s="7" t="s">
        <v>1486</v>
      </c>
      <c r="E258" s="7" t="s">
        <v>1487</v>
      </c>
    </row>
  </sheetData>
  <phoneticPr fontId="1" type="noConversion"/>
  <conditionalFormatting sqref="A2:E1048576">
    <cfRule type="expression" dxfId="36" priority="1">
      <formula>$A2 &lt;&gt; ""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B521"/>
  <sheetViews>
    <sheetView topLeftCell="G1" zoomScale="70" zoomScaleNormal="70" workbookViewId="0">
      <selection activeCell="Q50" sqref="Q50"/>
    </sheetView>
  </sheetViews>
  <sheetFormatPr defaultRowHeight="16.5"/>
  <cols>
    <col min="1" max="1" width="9.5" bestFit="1" customWidth="1"/>
    <col min="2" max="2" width="13.25" bestFit="1" customWidth="1"/>
    <col min="3" max="3" width="9.5" bestFit="1" customWidth="1"/>
    <col min="4" max="4" width="13.25" bestFit="1" customWidth="1"/>
    <col min="5" max="5" width="9.5" bestFit="1" customWidth="1"/>
    <col min="6" max="8" width="13.25" bestFit="1" customWidth="1"/>
    <col min="9" max="9" width="9.5" bestFit="1" customWidth="1"/>
    <col min="10" max="10" width="13.25" bestFit="1" customWidth="1"/>
    <col min="11" max="11" width="9" customWidth="1"/>
    <col min="12" max="12" width="11.125" customWidth="1"/>
    <col min="13" max="14" width="11.625" bestFit="1" customWidth="1"/>
    <col min="20" max="22" width="11.125" bestFit="1" customWidth="1"/>
    <col min="30" max="30" width="8.875" customWidth="1"/>
    <col min="53" max="53" width="10.25" customWidth="1"/>
    <col min="55" max="55" width="10.25" customWidth="1"/>
    <col min="57" max="59" width="15" bestFit="1" customWidth="1"/>
    <col min="61" max="61" width="10.25" customWidth="1"/>
    <col min="67" max="67" width="23.75" bestFit="1" customWidth="1"/>
    <col min="68" max="68" width="11.625" bestFit="1" customWidth="1"/>
    <col min="70" max="70" width="11.625" bestFit="1" customWidth="1"/>
    <col min="73" max="73" width="5.25" bestFit="1" customWidth="1"/>
    <col min="75" max="75" width="5.25" bestFit="1" customWidth="1"/>
    <col min="76" max="76" width="23.75" bestFit="1" customWidth="1"/>
    <col min="77" max="77" width="11.625" bestFit="1" customWidth="1"/>
    <col min="79" max="79" width="11.625" bestFit="1" customWidth="1"/>
    <col min="80" max="80" width="7.125" bestFit="1" customWidth="1"/>
  </cols>
  <sheetData>
    <row r="1" spans="1:80">
      <c r="A1" s="23" t="s">
        <v>185</v>
      </c>
      <c r="B1" s="24" t="s">
        <v>192</v>
      </c>
      <c r="C1" s="24" t="s">
        <v>159</v>
      </c>
      <c r="D1" s="24" t="s">
        <v>193</v>
      </c>
      <c r="E1" s="24" t="s">
        <v>1501</v>
      </c>
      <c r="F1" s="24" t="s">
        <v>194</v>
      </c>
      <c r="G1" s="24" t="s">
        <v>189</v>
      </c>
      <c r="H1" s="24" t="s">
        <v>162</v>
      </c>
      <c r="I1" s="24" t="s">
        <v>195</v>
      </c>
      <c r="J1" s="24" t="s">
        <v>196</v>
      </c>
      <c r="K1" s="32"/>
      <c r="L1" s="32">
        <f>MAX(E:E)</f>
        <v>39</v>
      </c>
      <c r="M1" s="32"/>
      <c r="N1" s="35" t="s">
        <v>1502</v>
      </c>
      <c r="O1" s="19" t="s">
        <v>185</v>
      </c>
      <c r="P1" s="19" t="s">
        <v>192</v>
      </c>
      <c r="Q1" s="19" t="s">
        <v>159</v>
      </c>
      <c r="R1" s="19" t="s">
        <v>193</v>
      </c>
      <c r="S1" s="19" t="s">
        <v>1526</v>
      </c>
      <c r="T1" s="19" t="s">
        <v>194</v>
      </c>
      <c r="U1" s="19" t="s">
        <v>189</v>
      </c>
      <c r="V1" s="19" t="s">
        <v>162</v>
      </c>
      <c r="W1" s="19" t="s">
        <v>195</v>
      </c>
      <c r="X1" s="20" t="s">
        <v>196</v>
      </c>
      <c r="Z1" s="24" t="s">
        <v>1497</v>
      </c>
      <c r="AB1" s="19" t="s">
        <v>185</v>
      </c>
      <c r="AC1" s="19" t="s">
        <v>192</v>
      </c>
      <c r="AD1" s="19" t="s">
        <v>159</v>
      </c>
      <c r="AE1" s="19" t="s">
        <v>193</v>
      </c>
      <c r="AF1" s="19" t="s">
        <v>187</v>
      </c>
      <c r="AG1" s="19" t="s">
        <v>194</v>
      </c>
      <c r="AH1" s="19" t="s">
        <v>189</v>
      </c>
      <c r="AI1" s="19" t="s">
        <v>162</v>
      </c>
      <c r="AJ1" s="19" t="s">
        <v>195</v>
      </c>
      <c r="AK1" s="20" t="s">
        <v>196</v>
      </c>
      <c r="AM1" s="24" t="s">
        <v>1503</v>
      </c>
      <c r="AO1" s="19" t="s">
        <v>185</v>
      </c>
      <c r="AP1" s="19" t="s">
        <v>192</v>
      </c>
      <c r="AQ1" s="19" t="s">
        <v>159</v>
      </c>
      <c r="AR1" s="19" t="s">
        <v>193</v>
      </c>
      <c r="AS1" s="19" t="s">
        <v>187</v>
      </c>
      <c r="AT1" s="19" t="s">
        <v>194</v>
      </c>
      <c r="AU1" s="19" t="s">
        <v>189</v>
      </c>
      <c r="AV1" s="19" t="s">
        <v>162</v>
      </c>
      <c r="AW1" s="19" t="s">
        <v>195</v>
      </c>
      <c r="AX1" s="20" t="s">
        <v>196</v>
      </c>
      <c r="AZ1" s="23" t="s">
        <v>185</v>
      </c>
      <c r="BA1" s="24" t="s">
        <v>192</v>
      </c>
      <c r="BB1" s="24" t="s">
        <v>159</v>
      </c>
      <c r="BC1" s="24" t="s">
        <v>193</v>
      </c>
      <c r="BD1" s="24" t="s">
        <v>1501</v>
      </c>
      <c r="BE1" s="24" t="s">
        <v>194</v>
      </c>
      <c r="BF1" s="24" t="s">
        <v>189</v>
      </c>
      <c r="BG1" s="24" t="s">
        <v>162</v>
      </c>
      <c r="BH1" s="24" t="s">
        <v>195</v>
      </c>
      <c r="BI1" s="24" t="s">
        <v>196</v>
      </c>
      <c r="BK1">
        <f>MAX(BN:BN) + 1</f>
        <v>41</v>
      </c>
      <c r="BL1" s="28" t="s">
        <v>0</v>
      </c>
      <c r="BM1" s="28" t="s">
        <v>186</v>
      </c>
      <c r="BN1" s="28" t="s">
        <v>187</v>
      </c>
      <c r="BO1" s="28" t="s">
        <v>188</v>
      </c>
      <c r="BP1" s="28" t="s">
        <v>189</v>
      </c>
      <c r="BQ1" s="28" t="s">
        <v>190</v>
      </c>
      <c r="BR1" s="28" t="s">
        <v>162</v>
      </c>
      <c r="BS1" s="28" t="s">
        <v>191</v>
      </c>
      <c r="BU1" s="28" t="s">
        <v>0</v>
      </c>
      <c r="BV1" s="28" t="s">
        <v>186</v>
      </c>
      <c r="BW1" s="28" t="s">
        <v>187</v>
      </c>
      <c r="BX1" s="28" t="s">
        <v>188</v>
      </c>
      <c r="BY1" s="28" t="s">
        <v>189</v>
      </c>
      <c r="BZ1" s="28" t="s">
        <v>190</v>
      </c>
      <c r="CA1" s="28" t="s">
        <v>162</v>
      </c>
      <c r="CB1" s="28" t="s">
        <v>191</v>
      </c>
    </row>
    <row r="2" spans="1:80">
      <c r="A2" s="21">
        <v>1</v>
      </c>
      <c r="B2" s="21">
        <v>1</v>
      </c>
      <c r="C2" s="2">
        <v>2</v>
      </c>
      <c r="D2" s="21">
        <v>6</v>
      </c>
      <c r="E2" s="21">
        <v>1</v>
      </c>
      <c r="F2" s="22">
        <v>44326</v>
      </c>
      <c r="G2" s="22">
        <v>44333</v>
      </c>
      <c r="H2" s="22">
        <v>44333</v>
      </c>
      <c r="I2" s="21">
        <v>20</v>
      </c>
      <c r="J2" s="21" t="s">
        <v>197</v>
      </c>
      <c r="K2" s="35"/>
      <c r="L2" s="35"/>
      <c r="M2" s="35"/>
      <c r="N2" s="38"/>
      <c r="O2" s="21">
        <v>1</v>
      </c>
      <c r="P2" s="21">
        <v>1</v>
      </c>
      <c r="Q2" s="21">
        <v>2</v>
      </c>
      <c r="R2" s="21">
        <v>6</v>
      </c>
      <c r="S2" s="21">
        <v>1</v>
      </c>
      <c r="T2" s="22">
        <v>44326</v>
      </c>
      <c r="U2" s="22">
        <v>44333</v>
      </c>
      <c r="V2" s="22">
        <v>44333</v>
      </c>
      <c r="W2" s="21">
        <v>20</v>
      </c>
      <c r="X2" s="21" t="s">
        <v>197</v>
      </c>
      <c r="Z2">
        <v>6</v>
      </c>
      <c r="AB2" s="29">
        <v>60</v>
      </c>
      <c r="AD2" s="2">
        <v>6</v>
      </c>
      <c r="AE2" s="2">
        <v>58</v>
      </c>
      <c r="AF2" s="2">
        <v>1</v>
      </c>
      <c r="AG2" s="3">
        <v>44326</v>
      </c>
      <c r="AH2" s="3">
        <v>44333</v>
      </c>
      <c r="AI2" s="3">
        <v>44334</v>
      </c>
      <c r="AJ2" s="2">
        <v>50</v>
      </c>
      <c r="AK2" s="29" t="s">
        <v>197</v>
      </c>
      <c r="AM2" t="s">
        <v>1504</v>
      </c>
      <c r="AO2" s="29">
        <v>200</v>
      </c>
      <c r="AP2" t="s">
        <v>1511</v>
      </c>
      <c r="AQ2" s="2">
        <v>6</v>
      </c>
      <c r="AR2" s="2">
        <v>106</v>
      </c>
      <c r="AS2" s="2">
        <v>8</v>
      </c>
      <c r="AT2" s="3">
        <v>44363</v>
      </c>
      <c r="AU2" s="3">
        <v>44370</v>
      </c>
      <c r="AV2" s="3">
        <v>44371</v>
      </c>
      <c r="AW2" s="2">
        <v>90</v>
      </c>
      <c r="AX2" s="29" t="s">
        <v>198</v>
      </c>
      <c r="AZ2" s="29">
        <v>66</v>
      </c>
      <c r="BA2" s="2">
        <v>30</v>
      </c>
      <c r="BB2" s="2">
        <v>1</v>
      </c>
      <c r="BC2" s="2">
        <v>14</v>
      </c>
      <c r="BD2" s="2">
        <v>8</v>
      </c>
      <c r="BE2" s="3">
        <v>44363</v>
      </c>
      <c r="BF2" s="3">
        <v>44370</v>
      </c>
      <c r="BG2" s="3">
        <v>44371</v>
      </c>
      <c r="BH2" s="2">
        <v>0</v>
      </c>
      <c r="BI2" s="29" t="s">
        <v>197</v>
      </c>
      <c r="BL2" s="2">
        <v>6</v>
      </c>
      <c r="BM2" s="2">
        <v>1</v>
      </c>
      <c r="BN2" s="2">
        <v>1</v>
      </c>
      <c r="BO2" s="3" t="s">
        <v>1543</v>
      </c>
      <c r="BP2" s="3">
        <v>44370</v>
      </c>
      <c r="BQ2" s="6">
        <v>0.375</v>
      </c>
      <c r="BR2" s="3">
        <v>44371</v>
      </c>
      <c r="BS2" s="14">
        <v>0</v>
      </c>
      <c r="BU2" s="2"/>
      <c r="BV2" s="2"/>
      <c r="BW2" s="2"/>
      <c r="BX2" s="3"/>
      <c r="BY2" s="3"/>
      <c r="BZ2" s="6"/>
      <c r="CA2" s="3"/>
      <c r="CB2" s="14"/>
    </row>
    <row r="3" spans="1:80">
      <c r="A3" s="29">
        <v>2</v>
      </c>
      <c r="B3" s="2">
        <v>2</v>
      </c>
      <c r="C3" s="2">
        <v>2</v>
      </c>
      <c r="D3" s="2">
        <v>6</v>
      </c>
      <c r="E3" s="2">
        <v>1</v>
      </c>
      <c r="F3" s="3">
        <v>44326</v>
      </c>
      <c r="G3" s="3">
        <v>44333</v>
      </c>
      <c r="H3" s="3">
        <v>44333</v>
      </c>
      <c r="I3" s="2">
        <v>50</v>
      </c>
      <c r="J3" s="29" t="s">
        <v>197</v>
      </c>
      <c r="K3" s="35"/>
      <c r="L3" s="35" t="s">
        <v>1524</v>
      </c>
      <c r="M3" s="35" t="s">
        <v>1512</v>
      </c>
      <c r="O3" s="29">
        <v>18</v>
      </c>
      <c r="P3" s="2">
        <v>1</v>
      </c>
      <c r="Q3" s="2">
        <v>3</v>
      </c>
      <c r="R3" s="2">
        <v>11</v>
      </c>
      <c r="S3" s="2">
        <v>1</v>
      </c>
      <c r="T3" s="3">
        <v>44326</v>
      </c>
      <c r="U3" s="3">
        <v>44333</v>
      </c>
      <c r="V3" s="3">
        <v>44333</v>
      </c>
      <c r="W3" s="2">
        <v>50</v>
      </c>
      <c r="X3" s="29" t="s">
        <v>197</v>
      </c>
      <c r="AB3" s="29">
        <v>118</v>
      </c>
      <c r="AD3" s="2">
        <v>6</v>
      </c>
      <c r="AE3" s="2">
        <v>72</v>
      </c>
      <c r="AF3" s="2">
        <v>2</v>
      </c>
      <c r="AG3" s="3">
        <v>44333</v>
      </c>
      <c r="AH3" s="3">
        <v>44340</v>
      </c>
      <c r="AI3" s="3">
        <v>44341</v>
      </c>
      <c r="AJ3" s="2">
        <v>30</v>
      </c>
      <c r="AK3" s="29" t="s">
        <v>197</v>
      </c>
      <c r="AO3" s="29"/>
      <c r="AQ3" s="2"/>
      <c r="AR3" s="2"/>
      <c r="AS3" s="2"/>
      <c r="AT3" s="3"/>
      <c r="AU3" s="3"/>
      <c r="AV3" s="3"/>
      <c r="AW3" s="2"/>
      <c r="AX3" s="29"/>
      <c r="AZ3" s="29">
        <v>67</v>
      </c>
      <c r="BA3" s="2">
        <v>27</v>
      </c>
      <c r="BB3" s="2">
        <v>1</v>
      </c>
      <c r="BC3" s="2">
        <v>14</v>
      </c>
      <c r="BD3" s="2">
        <v>8</v>
      </c>
      <c r="BE3" s="3">
        <v>44363</v>
      </c>
      <c r="BF3" s="3">
        <v>44370</v>
      </c>
      <c r="BG3" s="3">
        <v>44371</v>
      </c>
      <c r="BH3" s="2">
        <v>30</v>
      </c>
      <c r="BI3" s="29" t="s">
        <v>197</v>
      </c>
      <c r="BL3" s="2">
        <v>7</v>
      </c>
      <c r="BM3" s="2">
        <v>1</v>
      </c>
      <c r="BN3" s="2">
        <v>2</v>
      </c>
      <c r="BO3" s="3" t="s">
        <v>1543</v>
      </c>
      <c r="BP3" s="3">
        <v>44370</v>
      </c>
      <c r="BQ3" s="6">
        <v>0.43055555555555558</v>
      </c>
      <c r="BR3" s="3">
        <v>44371</v>
      </c>
      <c r="BS3" s="14">
        <v>0</v>
      </c>
      <c r="BU3" s="2"/>
      <c r="BV3" s="2"/>
      <c r="BW3" s="2"/>
      <c r="BX3" s="3"/>
      <c r="BY3" s="3"/>
      <c r="BZ3" s="6"/>
      <c r="CA3" s="3"/>
      <c r="CB3" s="14"/>
    </row>
    <row r="4" spans="1:80">
      <c r="A4" s="29">
        <v>3</v>
      </c>
      <c r="B4" s="2">
        <v>4</v>
      </c>
      <c r="C4" s="2">
        <v>2</v>
      </c>
      <c r="D4" s="2">
        <v>6</v>
      </c>
      <c r="E4" s="2">
        <v>1</v>
      </c>
      <c r="F4" s="3">
        <v>44326</v>
      </c>
      <c r="G4" s="3">
        <v>44333</v>
      </c>
      <c r="H4" s="3">
        <v>44333</v>
      </c>
      <c r="I4" s="2">
        <v>50</v>
      </c>
      <c r="J4" s="29" t="s">
        <v>197</v>
      </c>
      <c r="L4" s="21">
        <v>1</v>
      </c>
      <c r="M4" s="22">
        <v>44463</v>
      </c>
      <c r="N4" s="35"/>
      <c r="O4" s="29">
        <v>51</v>
      </c>
      <c r="P4" s="2">
        <v>1</v>
      </c>
      <c r="Q4" s="2">
        <v>1</v>
      </c>
      <c r="R4" s="2">
        <v>150</v>
      </c>
      <c r="S4" s="2">
        <v>38</v>
      </c>
      <c r="T4" s="3">
        <v>44389</v>
      </c>
      <c r="U4" s="3">
        <v>44396</v>
      </c>
      <c r="V4" s="3">
        <v>44397</v>
      </c>
      <c r="W4" s="2">
        <v>100</v>
      </c>
      <c r="X4" s="29" t="s">
        <v>198</v>
      </c>
      <c r="AB4" s="29">
        <v>200</v>
      </c>
      <c r="AC4" t="s">
        <v>1511</v>
      </c>
      <c r="AD4" s="2">
        <v>6</v>
      </c>
      <c r="AE4" s="2">
        <v>106</v>
      </c>
      <c r="AF4" s="2">
        <v>8</v>
      </c>
      <c r="AG4" s="3">
        <v>44363</v>
      </c>
      <c r="AH4" s="3">
        <v>44370</v>
      </c>
      <c r="AI4" s="3">
        <v>44371</v>
      </c>
      <c r="AJ4" s="2">
        <v>90</v>
      </c>
      <c r="AK4" s="29" t="s">
        <v>198</v>
      </c>
      <c r="AZ4" s="29">
        <v>68</v>
      </c>
      <c r="BA4" s="2">
        <v>18</v>
      </c>
      <c r="BB4" s="2">
        <v>1</v>
      </c>
      <c r="BC4" s="2">
        <v>15</v>
      </c>
      <c r="BD4" s="2">
        <v>9</v>
      </c>
      <c r="BE4" s="3">
        <v>44365</v>
      </c>
      <c r="BF4" s="3">
        <v>44372</v>
      </c>
      <c r="BG4" s="3">
        <v>44373</v>
      </c>
      <c r="BH4" s="2">
        <v>10</v>
      </c>
      <c r="BI4" s="29" t="s">
        <v>197</v>
      </c>
      <c r="BL4" s="2">
        <v>8</v>
      </c>
      <c r="BM4" s="2">
        <v>1</v>
      </c>
      <c r="BN4" s="2">
        <v>3</v>
      </c>
      <c r="BO4" s="3" t="s">
        <v>1543</v>
      </c>
      <c r="BP4" s="3">
        <v>44370</v>
      </c>
      <c r="BQ4" s="6">
        <v>0.625</v>
      </c>
      <c r="BR4" s="3">
        <v>44371</v>
      </c>
      <c r="BS4" s="14">
        <v>0</v>
      </c>
    </row>
    <row r="5" spans="1:80">
      <c r="A5" s="29">
        <v>4</v>
      </c>
      <c r="B5" s="2">
        <v>6</v>
      </c>
      <c r="C5" s="2">
        <v>2</v>
      </c>
      <c r="D5" s="2">
        <v>7</v>
      </c>
      <c r="E5" s="2">
        <v>1</v>
      </c>
      <c r="F5" s="3">
        <v>44326</v>
      </c>
      <c r="G5" s="3">
        <v>44333</v>
      </c>
      <c r="H5" s="3">
        <v>44333</v>
      </c>
      <c r="I5" s="2">
        <v>20</v>
      </c>
      <c r="J5" s="29" t="s">
        <v>197</v>
      </c>
      <c r="O5" s="29">
        <v>54</v>
      </c>
      <c r="P5" s="2">
        <v>1</v>
      </c>
      <c r="Q5" s="2">
        <v>3</v>
      </c>
      <c r="R5" s="2">
        <v>1</v>
      </c>
      <c r="S5" s="2">
        <v>1</v>
      </c>
      <c r="T5" s="3">
        <v>44326</v>
      </c>
      <c r="U5" s="3">
        <v>44333</v>
      </c>
      <c r="V5" s="3">
        <v>44333</v>
      </c>
      <c r="W5" s="2">
        <v>30</v>
      </c>
      <c r="X5" s="29" t="s">
        <v>197</v>
      </c>
      <c r="AB5" s="29"/>
      <c r="AD5" s="2"/>
      <c r="AE5" s="2"/>
      <c r="AF5" s="2"/>
      <c r="AG5" s="3"/>
      <c r="AH5" s="3"/>
      <c r="AI5" s="3"/>
      <c r="AJ5" s="2"/>
      <c r="AK5" s="29"/>
      <c r="AZ5" s="29">
        <v>69</v>
      </c>
      <c r="BA5" s="2">
        <v>11</v>
      </c>
      <c r="BB5" s="2">
        <v>1</v>
      </c>
      <c r="BC5" s="2">
        <v>15</v>
      </c>
      <c r="BD5" s="2">
        <v>9</v>
      </c>
      <c r="BE5" s="3">
        <v>44365</v>
      </c>
      <c r="BF5" s="3">
        <v>44372</v>
      </c>
      <c r="BG5" s="3">
        <v>44373</v>
      </c>
      <c r="BH5" s="2">
        <v>0</v>
      </c>
      <c r="BI5" s="29" t="s">
        <v>197</v>
      </c>
      <c r="BL5" s="2">
        <v>9</v>
      </c>
      <c r="BM5" s="2">
        <v>1</v>
      </c>
      <c r="BN5" s="2">
        <v>4</v>
      </c>
      <c r="BO5" s="3" t="s">
        <v>1544</v>
      </c>
      <c r="BP5" s="3">
        <v>44372</v>
      </c>
      <c r="BQ5" s="6">
        <v>0.45833333333333331</v>
      </c>
      <c r="BR5" s="3">
        <v>44373</v>
      </c>
      <c r="BS5" s="14">
        <v>0</v>
      </c>
    </row>
    <row r="6" spans="1:80">
      <c r="A6" s="29">
        <v>5</v>
      </c>
      <c r="B6" s="2">
        <v>2</v>
      </c>
      <c r="C6" s="2">
        <v>2</v>
      </c>
      <c r="D6" s="2">
        <v>7</v>
      </c>
      <c r="E6" s="2">
        <v>1</v>
      </c>
      <c r="F6" s="3">
        <v>44326</v>
      </c>
      <c r="G6" s="3">
        <v>44333</v>
      </c>
      <c r="H6" s="3">
        <v>44333</v>
      </c>
      <c r="I6" s="2">
        <v>40</v>
      </c>
      <c r="J6" s="29" t="s">
        <v>197</v>
      </c>
      <c r="O6" s="29">
        <v>60</v>
      </c>
      <c r="P6" s="2">
        <v>1</v>
      </c>
      <c r="Q6" s="2">
        <v>6</v>
      </c>
      <c r="R6" s="2">
        <v>58</v>
      </c>
      <c r="S6" s="2">
        <v>1</v>
      </c>
      <c r="T6" s="3">
        <v>44326</v>
      </c>
      <c r="U6" s="3">
        <v>44333</v>
      </c>
      <c r="V6" s="3">
        <v>44334</v>
      </c>
      <c r="W6" s="2">
        <v>50</v>
      </c>
      <c r="X6" s="29" t="s">
        <v>197</v>
      </c>
      <c r="AB6" s="29"/>
      <c r="AD6" s="2"/>
      <c r="AE6" s="2"/>
      <c r="AF6" s="2"/>
      <c r="AG6" s="3"/>
      <c r="AH6" s="3"/>
      <c r="AI6" s="3"/>
      <c r="AJ6" s="2"/>
      <c r="AK6" s="29"/>
      <c r="AZ6" s="29">
        <v>70</v>
      </c>
      <c r="BA6" s="2">
        <v>25</v>
      </c>
      <c r="BB6" s="2">
        <v>1</v>
      </c>
      <c r="BC6" s="2">
        <v>15</v>
      </c>
      <c r="BD6" s="2">
        <v>9</v>
      </c>
      <c r="BE6" s="3">
        <v>44365</v>
      </c>
      <c r="BF6" s="3">
        <v>44372</v>
      </c>
      <c r="BG6" s="3">
        <v>44373</v>
      </c>
      <c r="BH6" s="2">
        <v>20</v>
      </c>
      <c r="BI6" s="29" t="s">
        <v>197</v>
      </c>
      <c r="BL6" s="2">
        <v>10</v>
      </c>
      <c r="BM6" s="2">
        <v>1</v>
      </c>
      <c r="BN6" s="2">
        <v>5</v>
      </c>
      <c r="BO6" s="3" t="s">
        <v>1544</v>
      </c>
      <c r="BP6" s="3">
        <v>44372</v>
      </c>
      <c r="BQ6" s="6">
        <v>0.58333333333333337</v>
      </c>
      <c r="BR6" s="3">
        <v>44373</v>
      </c>
      <c r="BS6" s="14">
        <v>0</v>
      </c>
    </row>
    <row r="7" spans="1:80">
      <c r="A7" s="29">
        <v>6</v>
      </c>
      <c r="B7" s="2">
        <v>8</v>
      </c>
      <c r="C7" s="2">
        <v>2</v>
      </c>
      <c r="D7" s="2">
        <v>7</v>
      </c>
      <c r="E7" s="2">
        <v>1</v>
      </c>
      <c r="F7" s="3">
        <v>44326</v>
      </c>
      <c r="G7" s="3">
        <v>44333</v>
      </c>
      <c r="H7" s="3">
        <v>44333</v>
      </c>
      <c r="I7" s="2">
        <v>20</v>
      </c>
      <c r="J7" s="29" t="s">
        <v>197</v>
      </c>
      <c r="K7" s="35"/>
      <c r="L7" s="35" t="s">
        <v>1568</v>
      </c>
      <c r="M7" s="35"/>
      <c r="O7" s="29">
        <v>101</v>
      </c>
      <c r="P7" s="2">
        <v>1</v>
      </c>
      <c r="Q7" s="2">
        <v>1</v>
      </c>
      <c r="R7" s="2">
        <v>30</v>
      </c>
      <c r="S7" s="2">
        <v>15</v>
      </c>
      <c r="T7" s="3">
        <v>44368</v>
      </c>
      <c r="U7" s="3">
        <v>44375</v>
      </c>
      <c r="V7" s="3">
        <v>44376</v>
      </c>
      <c r="W7" s="2">
        <v>20</v>
      </c>
      <c r="X7" s="29" t="s">
        <v>197</v>
      </c>
      <c r="AB7" s="29"/>
      <c r="AD7" s="2"/>
      <c r="AE7" s="2"/>
      <c r="AF7" s="2"/>
      <c r="AG7" s="3"/>
      <c r="AH7" s="3"/>
      <c r="AI7" s="3"/>
      <c r="AJ7" s="2"/>
      <c r="AK7" s="29"/>
      <c r="AZ7" s="29">
        <v>71</v>
      </c>
      <c r="BA7" s="2">
        <v>6</v>
      </c>
      <c r="BB7" s="2">
        <v>1</v>
      </c>
      <c r="BC7" s="2">
        <v>15</v>
      </c>
      <c r="BD7" s="2">
        <v>9</v>
      </c>
      <c r="BE7" s="3">
        <v>44365</v>
      </c>
      <c r="BF7" s="3">
        <v>44372</v>
      </c>
      <c r="BG7" s="3">
        <v>44373</v>
      </c>
      <c r="BH7" s="2">
        <v>50</v>
      </c>
      <c r="BI7" s="29" t="s">
        <v>197</v>
      </c>
      <c r="BL7" s="2">
        <v>11</v>
      </c>
      <c r="BM7" s="2">
        <v>1</v>
      </c>
      <c r="BN7" s="2">
        <v>6</v>
      </c>
      <c r="BO7" s="3" t="s">
        <v>1544</v>
      </c>
      <c r="BP7" s="3">
        <v>44372</v>
      </c>
      <c r="BQ7" s="6">
        <v>0.63888888888888895</v>
      </c>
      <c r="BR7" s="3">
        <v>44373</v>
      </c>
      <c r="BS7" s="14">
        <v>0</v>
      </c>
    </row>
    <row r="8" spans="1:80">
      <c r="A8" s="29">
        <v>7</v>
      </c>
      <c r="B8" s="2">
        <v>9</v>
      </c>
      <c r="C8" s="2">
        <v>2</v>
      </c>
      <c r="D8" s="2">
        <v>9</v>
      </c>
      <c r="E8" s="2">
        <v>1</v>
      </c>
      <c r="F8" s="3">
        <v>44326</v>
      </c>
      <c r="G8" s="3">
        <v>44333</v>
      </c>
      <c r="H8" s="3">
        <v>44333</v>
      </c>
      <c r="I8" s="2">
        <v>50</v>
      </c>
      <c r="J8" s="29" t="s">
        <v>197</v>
      </c>
      <c r="K8" s="35"/>
      <c r="L8" s="35"/>
      <c r="M8" s="35"/>
      <c r="O8" s="29">
        <v>118</v>
      </c>
      <c r="P8" s="2">
        <v>1</v>
      </c>
      <c r="Q8" s="2">
        <v>6</v>
      </c>
      <c r="R8" s="2">
        <v>72</v>
      </c>
      <c r="S8" s="2">
        <v>2</v>
      </c>
      <c r="T8" s="3">
        <v>44333</v>
      </c>
      <c r="U8" s="3">
        <v>44340</v>
      </c>
      <c r="V8" s="3">
        <v>44341</v>
      </c>
      <c r="W8" s="2">
        <v>30</v>
      </c>
      <c r="X8" s="29" t="s">
        <v>197</v>
      </c>
      <c r="AB8" s="29"/>
      <c r="AD8" s="2"/>
      <c r="AE8" s="2"/>
      <c r="AF8" s="2"/>
      <c r="AG8" s="3"/>
      <c r="AH8" s="3"/>
      <c r="AI8" s="3"/>
      <c r="AJ8" s="2"/>
      <c r="AK8" s="29"/>
      <c r="AZ8" s="29">
        <v>72</v>
      </c>
      <c r="BA8" s="2">
        <v>8</v>
      </c>
      <c r="BB8" s="2">
        <v>1</v>
      </c>
      <c r="BC8" s="2">
        <v>15</v>
      </c>
      <c r="BD8" s="2">
        <v>9</v>
      </c>
      <c r="BE8" s="3">
        <v>44365</v>
      </c>
      <c r="BF8" s="3">
        <v>44372</v>
      </c>
      <c r="BG8" s="3">
        <v>44373</v>
      </c>
      <c r="BH8" s="2">
        <v>0</v>
      </c>
      <c r="BI8" s="29" t="s">
        <v>197</v>
      </c>
      <c r="BL8" s="2">
        <v>12</v>
      </c>
      <c r="BM8" s="2">
        <v>1</v>
      </c>
      <c r="BN8" s="2">
        <v>7</v>
      </c>
      <c r="BO8" s="3" t="s">
        <v>1544</v>
      </c>
      <c r="BP8" s="3">
        <v>44372</v>
      </c>
      <c r="BQ8" s="6">
        <v>0.70833333333333337</v>
      </c>
      <c r="BR8" s="3">
        <v>44373</v>
      </c>
      <c r="BS8" s="14">
        <v>0</v>
      </c>
    </row>
    <row r="9" spans="1:80">
      <c r="A9" s="29">
        <v>8</v>
      </c>
      <c r="B9" s="2">
        <v>4</v>
      </c>
      <c r="C9" s="2">
        <v>2</v>
      </c>
      <c r="D9" s="2">
        <v>9</v>
      </c>
      <c r="E9" s="2">
        <v>1</v>
      </c>
      <c r="F9" s="3">
        <v>44326</v>
      </c>
      <c r="G9" s="3">
        <v>44333</v>
      </c>
      <c r="H9" s="3">
        <v>44333</v>
      </c>
      <c r="I9" s="2">
        <v>10</v>
      </c>
      <c r="J9" s="29" t="s">
        <v>197</v>
      </c>
      <c r="K9" s="35"/>
      <c r="L9" s="35"/>
      <c r="M9" s="35"/>
      <c r="O9" s="29">
        <v>121</v>
      </c>
      <c r="P9" s="2">
        <v>1</v>
      </c>
      <c r="Q9" s="2">
        <v>1</v>
      </c>
      <c r="R9" s="2">
        <v>46</v>
      </c>
      <c r="S9" s="2">
        <v>17</v>
      </c>
      <c r="T9" s="3">
        <v>44368</v>
      </c>
      <c r="U9" s="3">
        <v>44375</v>
      </c>
      <c r="V9" s="3">
        <v>44376</v>
      </c>
      <c r="W9" s="2">
        <v>10</v>
      </c>
      <c r="X9" s="29" t="s">
        <v>197</v>
      </c>
      <c r="AB9" s="29"/>
      <c r="AD9" s="2"/>
      <c r="AE9" s="2"/>
      <c r="AF9" s="2"/>
      <c r="AG9" s="3"/>
      <c r="AH9" s="3"/>
      <c r="AI9" s="3"/>
      <c r="AJ9" s="2"/>
      <c r="AK9" s="29"/>
      <c r="AZ9" s="29">
        <v>172</v>
      </c>
      <c r="BA9" s="2">
        <v>29</v>
      </c>
      <c r="BB9" s="2">
        <v>3</v>
      </c>
      <c r="BC9" s="2">
        <v>28</v>
      </c>
      <c r="BD9" s="2">
        <v>6</v>
      </c>
      <c r="BE9" s="3">
        <v>44363</v>
      </c>
      <c r="BF9" s="3">
        <v>44370</v>
      </c>
      <c r="BG9" s="3">
        <v>44370</v>
      </c>
      <c r="BH9" s="2">
        <v>60</v>
      </c>
      <c r="BI9" s="29" t="s">
        <v>197</v>
      </c>
      <c r="BL9" s="2">
        <v>14</v>
      </c>
      <c r="BM9" s="2">
        <v>1</v>
      </c>
      <c r="BN9" s="2">
        <v>8</v>
      </c>
      <c r="BO9" s="3" t="s">
        <v>1545</v>
      </c>
      <c r="BP9" s="3">
        <v>44375</v>
      </c>
      <c r="BQ9" s="6">
        <v>0.45833333333333331</v>
      </c>
      <c r="BR9" s="3">
        <v>44376</v>
      </c>
      <c r="BS9" s="14">
        <v>0</v>
      </c>
    </row>
    <row r="10" spans="1:80">
      <c r="A10" s="29">
        <v>9</v>
      </c>
      <c r="B10" s="2">
        <v>6</v>
      </c>
      <c r="C10" s="2">
        <v>2</v>
      </c>
      <c r="D10" s="2">
        <v>9</v>
      </c>
      <c r="E10" s="2">
        <v>1</v>
      </c>
      <c r="F10" s="3">
        <v>44326</v>
      </c>
      <c r="G10" s="3">
        <v>44333</v>
      </c>
      <c r="H10" s="3">
        <v>44333</v>
      </c>
      <c r="I10" s="2">
        <v>30</v>
      </c>
      <c r="J10" s="29" t="s">
        <v>197</v>
      </c>
      <c r="K10" s="35"/>
      <c r="L10" s="35"/>
      <c r="M10" s="35"/>
      <c r="O10" s="29">
        <v>139</v>
      </c>
      <c r="P10" s="2">
        <v>1</v>
      </c>
      <c r="Q10" s="2">
        <v>3</v>
      </c>
      <c r="R10" s="2">
        <v>23</v>
      </c>
      <c r="S10" s="2">
        <v>4</v>
      </c>
      <c r="T10" s="3">
        <v>44342</v>
      </c>
      <c r="U10" s="3">
        <v>44349</v>
      </c>
      <c r="V10" s="3">
        <v>44349</v>
      </c>
      <c r="W10" s="2">
        <v>50</v>
      </c>
      <c r="X10" s="29" t="s">
        <v>197</v>
      </c>
      <c r="AB10" s="29"/>
      <c r="AD10" s="2"/>
      <c r="AE10" s="2"/>
      <c r="AF10" s="2"/>
      <c r="AG10" s="3"/>
      <c r="AH10" s="3"/>
      <c r="AI10" s="3"/>
      <c r="AJ10" s="2"/>
      <c r="AK10" s="29"/>
      <c r="AZ10" s="29">
        <v>173</v>
      </c>
      <c r="BA10" s="2">
        <v>30</v>
      </c>
      <c r="BB10" s="2">
        <v>3</v>
      </c>
      <c r="BC10" s="2">
        <v>28</v>
      </c>
      <c r="BD10" s="2">
        <v>6</v>
      </c>
      <c r="BE10" s="3">
        <v>44363</v>
      </c>
      <c r="BF10" s="3">
        <v>44370</v>
      </c>
      <c r="BG10" s="3">
        <v>44370</v>
      </c>
      <c r="BH10" s="2">
        <v>30</v>
      </c>
      <c r="BI10" s="29" t="s">
        <v>197</v>
      </c>
      <c r="BL10" s="2">
        <v>15</v>
      </c>
      <c r="BM10" s="2">
        <v>1</v>
      </c>
      <c r="BN10" s="2">
        <v>9</v>
      </c>
      <c r="BO10" s="3" t="s">
        <v>1545</v>
      </c>
      <c r="BP10" s="3">
        <v>44375</v>
      </c>
      <c r="BQ10" s="6">
        <v>0.54166666666666663</v>
      </c>
      <c r="BR10" s="3">
        <v>44376</v>
      </c>
      <c r="BS10" s="14">
        <v>0</v>
      </c>
    </row>
    <row r="11" spans="1:80">
      <c r="A11" s="29">
        <v>10</v>
      </c>
      <c r="B11" s="2">
        <v>15</v>
      </c>
      <c r="C11" s="2">
        <v>2</v>
      </c>
      <c r="D11" s="2">
        <v>9</v>
      </c>
      <c r="E11" s="2">
        <v>1</v>
      </c>
      <c r="F11" s="3">
        <v>44326</v>
      </c>
      <c r="G11" s="3">
        <v>44333</v>
      </c>
      <c r="H11" s="3">
        <v>44333</v>
      </c>
      <c r="I11" s="2">
        <v>10</v>
      </c>
      <c r="J11" s="29" t="s">
        <v>197</v>
      </c>
      <c r="K11" s="35"/>
      <c r="L11" s="35"/>
      <c r="M11" s="35"/>
      <c r="O11" s="29">
        <v>174</v>
      </c>
      <c r="P11" s="2">
        <v>1</v>
      </c>
      <c r="Q11" s="2">
        <v>3</v>
      </c>
      <c r="R11" s="2">
        <v>28</v>
      </c>
      <c r="S11" s="2">
        <v>6</v>
      </c>
      <c r="T11" s="3">
        <v>44363</v>
      </c>
      <c r="U11" s="3">
        <v>44370</v>
      </c>
      <c r="V11" s="3">
        <v>44370</v>
      </c>
      <c r="W11" s="2">
        <v>40</v>
      </c>
      <c r="X11" s="29" t="s">
        <v>197</v>
      </c>
      <c r="AB11" s="29"/>
      <c r="AD11" s="2"/>
      <c r="AE11" s="2"/>
      <c r="AF11" s="2"/>
      <c r="AG11" s="3"/>
      <c r="AH11" s="3"/>
      <c r="AI11" s="3"/>
      <c r="AJ11" s="2"/>
      <c r="AK11" s="29"/>
      <c r="AZ11" s="29">
        <v>174</v>
      </c>
      <c r="BA11" s="2">
        <v>1</v>
      </c>
      <c r="BB11" s="2">
        <v>3</v>
      </c>
      <c r="BC11" s="2">
        <v>28</v>
      </c>
      <c r="BD11" s="2">
        <v>6</v>
      </c>
      <c r="BE11" s="3">
        <v>44363</v>
      </c>
      <c r="BF11" s="3">
        <v>44370</v>
      </c>
      <c r="BG11" s="3">
        <v>44370</v>
      </c>
      <c r="BH11" s="2">
        <v>40</v>
      </c>
      <c r="BI11" s="29" t="s">
        <v>197</v>
      </c>
      <c r="BL11" s="2">
        <v>16</v>
      </c>
      <c r="BM11" s="2">
        <v>1</v>
      </c>
      <c r="BN11" s="2">
        <v>10</v>
      </c>
      <c r="BO11" s="3" t="s">
        <v>1545</v>
      </c>
      <c r="BP11" s="3">
        <v>44375</v>
      </c>
      <c r="BQ11" s="6">
        <v>0.625</v>
      </c>
      <c r="BR11" s="3">
        <v>44376</v>
      </c>
      <c r="BS11" s="14">
        <v>0</v>
      </c>
    </row>
    <row r="12" spans="1:80">
      <c r="A12" s="29">
        <v>11</v>
      </c>
      <c r="B12" s="2">
        <v>15</v>
      </c>
      <c r="C12" s="2">
        <v>3</v>
      </c>
      <c r="D12" s="2">
        <v>10</v>
      </c>
      <c r="E12" s="2">
        <v>1</v>
      </c>
      <c r="F12" s="3">
        <v>44326</v>
      </c>
      <c r="G12" s="3">
        <v>44333</v>
      </c>
      <c r="H12" s="3">
        <v>44333</v>
      </c>
      <c r="I12" s="2">
        <v>0</v>
      </c>
      <c r="J12" s="29" t="s">
        <v>197</v>
      </c>
      <c r="K12" s="35"/>
      <c r="L12" s="35"/>
      <c r="M12" s="35"/>
      <c r="N12" t="s">
        <v>1511</v>
      </c>
      <c r="O12" s="29">
        <v>200</v>
      </c>
      <c r="P12" s="2">
        <v>1</v>
      </c>
      <c r="Q12" s="2">
        <v>6</v>
      </c>
      <c r="R12" s="2">
        <v>106</v>
      </c>
      <c r="S12" s="2">
        <v>8</v>
      </c>
      <c r="T12" s="3">
        <v>44363</v>
      </c>
      <c r="U12" s="3">
        <v>44370</v>
      </c>
      <c r="V12" s="3">
        <v>44371</v>
      </c>
      <c r="W12" s="2">
        <v>90</v>
      </c>
      <c r="X12" s="29" t="s">
        <v>198</v>
      </c>
      <c r="AB12" s="29"/>
      <c r="AD12" s="2"/>
      <c r="AE12" s="2"/>
      <c r="AF12" s="2"/>
      <c r="AG12" s="3"/>
      <c r="AH12" s="3"/>
      <c r="AI12" s="3"/>
      <c r="AJ12" s="2"/>
      <c r="AK12" s="29"/>
      <c r="AZ12" s="29">
        <v>175</v>
      </c>
      <c r="BA12" s="2">
        <v>2</v>
      </c>
      <c r="BB12" s="2">
        <v>3</v>
      </c>
      <c r="BC12" s="2">
        <v>28</v>
      </c>
      <c r="BD12" s="2">
        <v>6</v>
      </c>
      <c r="BE12" s="3">
        <v>44363</v>
      </c>
      <c r="BF12" s="3">
        <v>44370</v>
      </c>
      <c r="BG12" s="3">
        <v>44370</v>
      </c>
      <c r="BH12" s="2">
        <v>40</v>
      </c>
      <c r="BI12" s="29" t="s">
        <v>197</v>
      </c>
      <c r="BL12" s="2">
        <v>17</v>
      </c>
      <c r="BM12" s="2">
        <v>1</v>
      </c>
      <c r="BN12" s="2">
        <v>11</v>
      </c>
      <c r="BO12" s="3" t="s">
        <v>1545</v>
      </c>
      <c r="BP12" s="3">
        <v>44375</v>
      </c>
      <c r="BQ12" s="6">
        <v>0.68055555555555547</v>
      </c>
      <c r="BR12" s="3">
        <v>44376</v>
      </c>
      <c r="BS12" s="14">
        <v>0</v>
      </c>
    </row>
    <row r="13" spans="1:80">
      <c r="A13" s="29">
        <v>12</v>
      </c>
      <c r="B13" s="2">
        <v>2</v>
      </c>
      <c r="C13" s="2">
        <v>3</v>
      </c>
      <c r="D13" s="2">
        <v>10</v>
      </c>
      <c r="E13" s="2">
        <v>1</v>
      </c>
      <c r="F13" s="3">
        <v>44326</v>
      </c>
      <c r="G13" s="3">
        <v>44333</v>
      </c>
      <c r="H13" s="3">
        <v>44333</v>
      </c>
      <c r="I13" s="2">
        <v>0</v>
      </c>
      <c r="J13" s="29" t="s">
        <v>197</v>
      </c>
      <c r="K13" s="35"/>
      <c r="L13" s="35"/>
      <c r="M13" s="35"/>
      <c r="O13" s="29">
        <v>303</v>
      </c>
      <c r="P13" s="2">
        <v>1</v>
      </c>
      <c r="Q13" s="2">
        <v>1</v>
      </c>
      <c r="R13" s="2">
        <v>66</v>
      </c>
      <c r="S13" s="2">
        <v>21</v>
      </c>
      <c r="T13" s="3">
        <v>44373</v>
      </c>
      <c r="U13" s="3">
        <v>44380</v>
      </c>
      <c r="V13" s="3">
        <v>44381</v>
      </c>
      <c r="W13" s="2">
        <v>30</v>
      </c>
      <c r="X13" s="29" t="s">
        <v>197</v>
      </c>
      <c r="AB13" s="29"/>
      <c r="AD13" s="2"/>
      <c r="AE13" s="2"/>
      <c r="AF13" s="2"/>
      <c r="AG13" s="3"/>
      <c r="AH13" s="3"/>
      <c r="AI13" s="3"/>
      <c r="AJ13" s="2"/>
      <c r="AK13" s="29"/>
      <c r="AZ13" s="29">
        <v>176</v>
      </c>
      <c r="BA13" s="2">
        <v>21</v>
      </c>
      <c r="BB13" s="2">
        <v>3</v>
      </c>
      <c r="BC13" s="2">
        <v>36</v>
      </c>
      <c r="BD13" s="2">
        <v>7</v>
      </c>
      <c r="BE13" s="3">
        <v>44363</v>
      </c>
      <c r="BF13" s="3">
        <v>44370</v>
      </c>
      <c r="BG13" s="3">
        <v>44370</v>
      </c>
      <c r="BH13" s="2">
        <v>0</v>
      </c>
      <c r="BI13" s="29" t="s">
        <v>197</v>
      </c>
      <c r="BL13" s="2">
        <v>19</v>
      </c>
      <c r="BM13" s="2">
        <v>1</v>
      </c>
      <c r="BN13" s="2">
        <v>12</v>
      </c>
      <c r="BO13" s="3" t="s">
        <v>1546</v>
      </c>
      <c r="BP13" s="3">
        <v>44379</v>
      </c>
      <c r="BQ13" s="6">
        <v>0.625</v>
      </c>
      <c r="BR13" s="3">
        <v>44380</v>
      </c>
      <c r="BS13" s="14">
        <v>0</v>
      </c>
    </row>
    <row r="14" spans="1:80">
      <c r="A14" s="29">
        <v>13</v>
      </c>
      <c r="B14" s="2">
        <v>8</v>
      </c>
      <c r="C14" s="2">
        <v>3</v>
      </c>
      <c r="D14" s="2">
        <v>10</v>
      </c>
      <c r="E14" s="2">
        <v>1</v>
      </c>
      <c r="F14" s="3">
        <v>44326</v>
      </c>
      <c r="G14" s="3">
        <v>44333</v>
      </c>
      <c r="H14" s="3">
        <v>44333</v>
      </c>
      <c r="I14" s="2">
        <v>10</v>
      </c>
      <c r="J14" s="29" t="s">
        <v>197</v>
      </c>
      <c r="K14" s="35"/>
      <c r="L14" s="35"/>
      <c r="M14" s="35"/>
      <c r="O14" s="29">
        <v>339</v>
      </c>
      <c r="P14" s="2">
        <v>1</v>
      </c>
      <c r="Q14" s="2">
        <v>1</v>
      </c>
      <c r="R14" s="2">
        <v>79</v>
      </c>
      <c r="S14" s="2">
        <v>25</v>
      </c>
      <c r="T14" s="3">
        <v>44380</v>
      </c>
      <c r="U14" s="3">
        <v>44387</v>
      </c>
      <c r="V14" s="3">
        <v>44388</v>
      </c>
      <c r="W14" s="2">
        <v>40</v>
      </c>
      <c r="X14" s="29" t="s">
        <v>197</v>
      </c>
      <c r="AB14" s="29"/>
      <c r="AD14" s="2"/>
      <c r="AE14" s="2"/>
      <c r="AF14" s="2"/>
      <c r="AG14" s="3"/>
      <c r="AH14" s="3"/>
      <c r="AI14" s="3"/>
      <c r="AJ14" s="2"/>
      <c r="AK14" s="29"/>
      <c r="AZ14" s="29">
        <v>177</v>
      </c>
      <c r="BA14" s="2">
        <v>12</v>
      </c>
      <c r="BB14" s="2">
        <v>3</v>
      </c>
      <c r="BC14" s="2">
        <v>36</v>
      </c>
      <c r="BD14" s="2">
        <v>7</v>
      </c>
      <c r="BE14" s="3">
        <v>44363</v>
      </c>
      <c r="BF14" s="3">
        <v>44370</v>
      </c>
      <c r="BG14" s="3">
        <v>44370</v>
      </c>
      <c r="BH14" s="2">
        <v>50</v>
      </c>
      <c r="BI14" s="29" t="s">
        <v>197</v>
      </c>
      <c r="BL14" s="2">
        <v>20</v>
      </c>
      <c r="BM14" s="2">
        <v>1</v>
      </c>
      <c r="BN14" s="2">
        <v>13</v>
      </c>
      <c r="BO14" s="3" t="s">
        <v>1546</v>
      </c>
      <c r="BP14" s="3">
        <v>44379</v>
      </c>
      <c r="BQ14" s="6">
        <v>0.68055555555555547</v>
      </c>
      <c r="BR14" s="3">
        <v>44380</v>
      </c>
      <c r="BS14" s="14">
        <v>0</v>
      </c>
    </row>
    <row r="15" spans="1:80">
      <c r="A15" s="29">
        <v>14</v>
      </c>
      <c r="B15" s="2">
        <v>16</v>
      </c>
      <c r="C15" s="2">
        <v>3</v>
      </c>
      <c r="D15" s="2">
        <v>10</v>
      </c>
      <c r="E15" s="2">
        <v>1</v>
      </c>
      <c r="F15" s="3">
        <v>44326</v>
      </c>
      <c r="G15" s="3">
        <v>44333</v>
      </c>
      <c r="H15" s="3">
        <v>44333</v>
      </c>
      <c r="I15" s="2">
        <v>0</v>
      </c>
      <c r="J15" s="29" t="s">
        <v>197</v>
      </c>
      <c r="K15" s="35"/>
      <c r="L15" s="35"/>
      <c r="M15" s="35"/>
      <c r="O15" s="29">
        <v>376</v>
      </c>
      <c r="P15" s="2">
        <v>1</v>
      </c>
      <c r="Q15" s="2">
        <v>1</v>
      </c>
      <c r="R15" s="2">
        <v>94</v>
      </c>
      <c r="S15" s="2">
        <v>28</v>
      </c>
      <c r="T15" s="3">
        <v>44381</v>
      </c>
      <c r="U15" s="3">
        <v>44388</v>
      </c>
      <c r="V15" s="3">
        <v>44389</v>
      </c>
      <c r="W15" s="2">
        <v>10</v>
      </c>
      <c r="X15" s="29" t="s">
        <v>197</v>
      </c>
      <c r="AB15" s="29"/>
      <c r="AD15" s="2"/>
      <c r="AE15" s="2"/>
      <c r="AF15" s="2"/>
      <c r="AG15" s="3"/>
      <c r="AH15" s="3"/>
      <c r="AI15" s="3"/>
      <c r="AJ15" s="2"/>
      <c r="AK15" s="29"/>
      <c r="AZ15" s="29">
        <v>178</v>
      </c>
      <c r="BA15" s="2">
        <v>22</v>
      </c>
      <c r="BB15" s="2">
        <v>3</v>
      </c>
      <c r="BC15" s="2">
        <v>37</v>
      </c>
      <c r="BD15" s="2">
        <v>8</v>
      </c>
      <c r="BE15" s="3">
        <v>44363</v>
      </c>
      <c r="BF15" s="3">
        <v>44370</v>
      </c>
      <c r="BG15" s="3">
        <v>44370</v>
      </c>
      <c r="BH15" s="2">
        <v>40</v>
      </c>
      <c r="BI15" s="29" t="s">
        <v>197</v>
      </c>
      <c r="BL15" s="2">
        <v>27</v>
      </c>
      <c r="BM15" s="2">
        <v>1</v>
      </c>
      <c r="BN15" s="2">
        <v>14</v>
      </c>
      <c r="BO15" s="3" t="s">
        <v>1547</v>
      </c>
      <c r="BP15" s="3">
        <v>44388</v>
      </c>
      <c r="BQ15" s="6">
        <v>0.375</v>
      </c>
      <c r="BR15" s="3">
        <v>44389</v>
      </c>
      <c r="BS15" s="14">
        <v>0</v>
      </c>
    </row>
    <row r="16" spans="1:80">
      <c r="A16" s="29">
        <v>15</v>
      </c>
      <c r="B16" s="2">
        <v>4</v>
      </c>
      <c r="C16" s="2">
        <v>3</v>
      </c>
      <c r="D16" s="2">
        <v>10</v>
      </c>
      <c r="E16" s="2">
        <v>1</v>
      </c>
      <c r="F16" s="3">
        <v>44326</v>
      </c>
      <c r="G16" s="3">
        <v>44333</v>
      </c>
      <c r="H16" s="3">
        <v>44333</v>
      </c>
      <c r="I16" s="2">
        <v>0</v>
      </c>
      <c r="J16" s="29" t="s">
        <v>197</v>
      </c>
      <c r="K16" s="35"/>
      <c r="L16" s="35"/>
      <c r="M16" s="35"/>
      <c r="O16" s="29">
        <v>422</v>
      </c>
      <c r="P16" s="2">
        <v>1</v>
      </c>
      <c r="Q16" s="2">
        <v>1</v>
      </c>
      <c r="R16" s="2">
        <v>114</v>
      </c>
      <c r="S16" s="2">
        <v>32</v>
      </c>
      <c r="T16" s="3">
        <v>44383</v>
      </c>
      <c r="U16" s="3">
        <v>44390</v>
      </c>
      <c r="V16" s="3">
        <v>44391</v>
      </c>
      <c r="W16" s="2">
        <v>20</v>
      </c>
      <c r="X16" s="29" t="s">
        <v>197</v>
      </c>
      <c r="AB16" s="29"/>
      <c r="AD16" s="2"/>
      <c r="AE16" s="2"/>
      <c r="AF16" s="2"/>
      <c r="AG16" s="3"/>
      <c r="AH16" s="3"/>
      <c r="AI16" s="3"/>
      <c r="AJ16" s="2"/>
      <c r="AK16" s="29"/>
      <c r="AZ16" s="29">
        <v>179</v>
      </c>
      <c r="BA16" s="2">
        <v>26</v>
      </c>
      <c r="BB16" s="2">
        <v>3</v>
      </c>
      <c r="BC16" s="2">
        <v>37</v>
      </c>
      <c r="BD16" s="2">
        <v>8</v>
      </c>
      <c r="BE16" s="3">
        <v>44363</v>
      </c>
      <c r="BF16" s="3">
        <v>44370</v>
      </c>
      <c r="BG16" s="3">
        <v>44370</v>
      </c>
      <c r="BH16" s="2">
        <v>10</v>
      </c>
      <c r="BI16" s="29" t="s">
        <v>197</v>
      </c>
      <c r="BL16" s="2">
        <v>30</v>
      </c>
      <c r="BM16" s="2">
        <v>1</v>
      </c>
      <c r="BN16" s="2">
        <v>15</v>
      </c>
      <c r="BO16" s="3" t="s">
        <v>1548</v>
      </c>
      <c r="BP16" s="3">
        <v>44390</v>
      </c>
      <c r="BQ16" s="6">
        <v>0.41666666666666669</v>
      </c>
      <c r="BR16" s="3">
        <v>44391</v>
      </c>
      <c r="BS16" s="14">
        <v>0</v>
      </c>
    </row>
    <row r="17" spans="1:71">
      <c r="A17" s="29">
        <v>16</v>
      </c>
      <c r="B17" s="2">
        <v>18</v>
      </c>
      <c r="C17" s="2">
        <v>3</v>
      </c>
      <c r="D17" s="2">
        <v>11</v>
      </c>
      <c r="E17" s="2">
        <v>1</v>
      </c>
      <c r="F17" s="3">
        <v>44326</v>
      </c>
      <c r="G17" s="3">
        <v>44333</v>
      </c>
      <c r="H17" s="3">
        <v>44333</v>
      </c>
      <c r="I17" s="2">
        <v>20</v>
      </c>
      <c r="J17" s="29" t="s">
        <v>197</v>
      </c>
      <c r="K17" s="35"/>
      <c r="L17" s="35"/>
      <c r="M17" s="35"/>
      <c r="O17" s="29">
        <v>427</v>
      </c>
      <c r="P17" s="2">
        <v>1</v>
      </c>
      <c r="Q17" s="2">
        <v>1</v>
      </c>
      <c r="R17" s="2">
        <v>117</v>
      </c>
      <c r="S17" s="2">
        <v>33</v>
      </c>
      <c r="T17" s="3">
        <v>44384</v>
      </c>
      <c r="U17" s="3">
        <v>44391</v>
      </c>
      <c r="V17" s="3">
        <v>44392</v>
      </c>
      <c r="W17" s="2">
        <v>30</v>
      </c>
      <c r="X17" s="29" t="s">
        <v>197</v>
      </c>
      <c r="AB17" s="29"/>
      <c r="AD17" s="2"/>
      <c r="AE17" s="2"/>
      <c r="AF17" s="2"/>
      <c r="AG17" s="3"/>
      <c r="AH17" s="3"/>
      <c r="AI17" s="3"/>
      <c r="AJ17" s="2"/>
      <c r="AK17" s="29"/>
      <c r="AZ17" s="29">
        <v>180</v>
      </c>
      <c r="BA17" s="2">
        <v>27</v>
      </c>
      <c r="BB17" s="2">
        <v>2</v>
      </c>
      <c r="BC17" s="2">
        <v>63</v>
      </c>
      <c r="BD17" s="2">
        <v>6</v>
      </c>
      <c r="BE17" s="3">
        <v>44363</v>
      </c>
      <c r="BF17" s="3">
        <v>44370</v>
      </c>
      <c r="BG17" s="3">
        <v>44370</v>
      </c>
      <c r="BH17" s="2">
        <v>10</v>
      </c>
      <c r="BI17" s="29" t="s">
        <v>197</v>
      </c>
      <c r="BL17" s="2">
        <v>43</v>
      </c>
      <c r="BM17" s="2">
        <v>1</v>
      </c>
      <c r="BN17" s="2">
        <v>16</v>
      </c>
      <c r="BO17" s="3" t="s">
        <v>1513</v>
      </c>
      <c r="BP17" s="3">
        <v>44399</v>
      </c>
      <c r="BQ17" s="6">
        <v>0.58333333333333337</v>
      </c>
      <c r="BR17" s="3">
        <v>44400</v>
      </c>
      <c r="BS17" s="14">
        <v>0</v>
      </c>
    </row>
    <row r="18" spans="1:71">
      <c r="A18" s="29">
        <v>17</v>
      </c>
      <c r="B18" s="2">
        <v>20</v>
      </c>
      <c r="C18" s="2">
        <v>3</v>
      </c>
      <c r="D18" s="2">
        <v>11</v>
      </c>
      <c r="E18" s="2">
        <v>1</v>
      </c>
      <c r="F18" s="3">
        <v>44326</v>
      </c>
      <c r="G18" s="3">
        <v>44333</v>
      </c>
      <c r="H18" s="3">
        <v>44333</v>
      </c>
      <c r="I18" s="2">
        <v>40</v>
      </c>
      <c r="J18" s="29" t="s">
        <v>197</v>
      </c>
      <c r="K18" s="35"/>
      <c r="L18" s="35"/>
      <c r="M18" s="35"/>
      <c r="O18" s="29">
        <v>449</v>
      </c>
      <c r="P18" s="2">
        <v>1</v>
      </c>
      <c r="Q18" s="2">
        <v>1</v>
      </c>
      <c r="R18" s="2">
        <v>121</v>
      </c>
      <c r="S18" s="2">
        <v>35</v>
      </c>
      <c r="T18" s="3">
        <v>44387</v>
      </c>
      <c r="U18" s="3">
        <v>44394</v>
      </c>
      <c r="V18" s="3">
        <v>44395</v>
      </c>
      <c r="W18" s="2">
        <v>40</v>
      </c>
      <c r="X18" s="29" t="s">
        <v>197</v>
      </c>
      <c r="AB18" s="29"/>
      <c r="AD18" s="2"/>
      <c r="AE18" s="2"/>
      <c r="AF18" s="2"/>
      <c r="AG18" s="3"/>
      <c r="AH18" s="3"/>
      <c r="AI18" s="3"/>
      <c r="AJ18" s="2"/>
      <c r="AK18" s="29"/>
      <c r="AZ18" s="29">
        <v>181</v>
      </c>
      <c r="BA18" s="2">
        <v>28</v>
      </c>
      <c r="BB18" s="2">
        <v>2</v>
      </c>
      <c r="BC18" s="2">
        <v>63</v>
      </c>
      <c r="BD18" s="2">
        <v>6</v>
      </c>
      <c r="BE18" s="3">
        <v>44363</v>
      </c>
      <c r="BF18" s="3">
        <v>44370</v>
      </c>
      <c r="BG18" s="3">
        <v>44370</v>
      </c>
      <c r="BH18" s="2">
        <v>50</v>
      </c>
      <c r="BI18" s="29" t="s">
        <v>197</v>
      </c>
      <c r="BL18" s="2">
        <v>46</v>
      </c>
      <c r="BM18" s="2">
        <v>1</v>
      </c>
      <c r="BN18" s="2">
        <v>17</v>
      </c>
      <c r="BO18" s="3" t="s">
        <v>1549</v>
      </c>
      <c r="BP18" s="3">
        <v>44401</v>
      </c>
      <c r="BQ18" s="6">
        <v>0.58333333333333337</v>
      </c>
      <c r="BR18" s="3">
        <v>44402</v>
      </c>
      <c r="BS18" s="14">
        <v>0</v>
      </c>
    </row>
    <row r="19" spans="1:71">
      <c r="A19" s="29">
        <v>18</v>
      </c>
      <c r="B19" s="2">
        <v>1</v>
      </c>
      <c r="C19" s="2">
        <v>3</v>
      </c>
      <c r="D19" s="2">
        <v>11</v>
      </c>
      <c r="E19" s="2">
        <v>1</v>
      </c>
      <c r="F19" s="3">
        <v>44326</v>
      </c>
      <c r="G19" s="3">
        <v>44333</v>
      </c>
      <c r="H19" s="3">
        <v>44333</v>
      </c>
      <c r="I19" s="2">
        <v>50</v>
      </c>
      <c r="J19" s="29" t="s">
        <v>197</v>
      </c>
      <c r="K19" s="35"/>
      <c r="L19" s="35"/>
      <c r="M19" s="35"/>
      <c r="O19" s="17"/>
      <c r="P19" s="2"/>
      <c r="Q19" s="2"/>
      <c r="R19" s="2"/>
      <c r="S19" s="2"/>
      <c r="T19" s="3"/>
      <c r="U19" s="3"/>
      <c r="V19" s="3"/>
      <c r="W19" s="2"/>
      <c r="X19" s="18"/>
      <c r="AB19" s="17"/>
      <c r="AD19" s="2"/>
      <c r="AE19" s="2"/>
      <c r="AF19" s="2"/>
      <c r="AG19" s="3"/>
      <c r="AH19" s="3"/>
      <c r="AI19" s="3"/>
      <c r="AJ19" s="2"/>
      <c r="AK19" s="18"/>
      <c r="AZ19" s="29">
        <v>182</v>
      </c>
      <c r="BA19" s="2">
        <v>15</v>
      </c>
      <c r="BB19" s="2">
        <v>2</v>
      </c>
      <c r="BC19" s="2">
        <v>63</v>
      </c>
      <c r="BD19" s="2">
        <v>6</v>
      </c>
      <c r="BE19" s="3">
        <v>44363</v>
      </c>
      <c r="BF19" s="3">
        <v>44370</v>
      </c>
      <c r="BG19" s="3">
        <v>44370</v>
      </c>
      <c r="BH19" s="2">
        <v>60</v>
      </c>
      <c r="BI19" s="29" t="s">
        <v>197</v>
      </c>
      <c r="BL19" s="2">
        <v>49</v>
      </c>
      <c r="BM19" s="2">
        <v>1</v>
      </c>
      <c r="BN19" s="2">
        <v>18</v>
      </c>
      <c r="BO19" s="3" t="s">
        <v>1550</v>
      </c>
      <c r="BP19" s="3">
        <v>44403</v>
      </c>
      <c r="BQ19" s="6">
        <v>0.375</v>
      </c>
      <c r="BR19" s="3">
        <v>44404</v>
      </c>
      <c r="BS19" s="14">
        <v>0</v>
      </c>
    </row>
    <row r="20" spans="1:71">
      <c r="A20" s="29">
        <v>19</v>
      </c>
      <c r="B20" s="2">
        <v>29</v>
      </c>
      <c r="C20" s="2">
        <v>3</v>
      </c>
      <c r="D20" s="2">
        <v>11</v>
      </c>
      <c r="E20" s="2">
        <v>1</v>
      </c>
      <c r="F20" s="3">
        <v>44326</v>
      </c>
      <c r="G20" s="3">
        <v>44333</v>
      </c>
      <c r="H20" s="3">
        <v>44333</v>
      </c>
      <c r="I20" s="2">
        <v>10</v>
      </c>
      <c r="J20" s="29" t="s">
        <v>197</v>
      </c>
      <c r="K20" s="35"/>
      <c r="L20" s="35"/>
      <c r="M20" s="35"/>
      <c r="O20" s="17"/>
      <c r="P20" s="2"/>
      <c r="Q20" s="2"/>
      <c r="R20" s="2"/>
      <c r="S20" s="2"/>
      <c r="T20" s="3"/>
      <c r="U20" s="3"/>
      <c r="V20" s="3"/>
      <c r="W20" s="2"/>
      <c r="X20" s="18"/>
      <c r="AB20" s="17"/>
      <c r="AD20" s="2"/>
      <c r="AE20" s="2"/>
      <c r="AF20" s="2"/>
      <c r="AG20" s="3"/>
      <c r="AH20" s="3"/>
      <c r="AI20" s="3"/>
      <c r="AJ20" s="2"/>
      <c r="AK20" s="18"/>
      <c r="AZ20" s="29">
        <v>183</v>
      </c>
      <c r="BA20" s="2">
        <v>19</v>
      </c>
      <c r="BB20" s="2">
        <v>6</v>
      </c>
      <c r="BC20" s="2">
        <v>99</v>
      </c>
      <c r="BD20" s="2">
        <v>6</v>
      </c>
      <c r="BE20" s="3">
        <v>44363</v>
      </c>
      <c r="BF20" s="3">
        <v>44370</v>
      </c>
      <c r="BG20" s="3">
        <v>44371</v>
      </c>
      <c r="BH20" s="2">
        <v>0</v>
      </c>
      <c r="BI20" s="29" t="s">
        <v>197</v>
      </c>
      <c r="BL20" s="2">
        <v>51</v>
      </c>
      <c r="BM20" s="2">
        <v>1</v>
      </c>
      <c r="BN20" s="2">
        <v>19</v>
      </c>
      <c r="BO20" s="3" t="s">
        <v>1551</v>
      </c>
      <c r="BP20" s="3">
        <v>44404</v>
      </c>
      <c r="BQ20" s="6">
        <v>0.45833333333333331</v>
      </c>
      <c r="BR20" s="3">
        <v>44405</v>
      </c>
      <c r="BS20" s="14">
        <v>0</v>
      </c>
    </row>
    <row r="21" spans="1:71">
      <c r="A21" s="29">
        <v>20</v>
      </c>
      <c r="B21" s="2">
        <v>10</v>
      </c>
      <c r="C21" s="2">
        <v>3</v>
      </c>
      <c r="D21" s="2">
        <v>11</v>
      </c>
      <c r="E21" s="2">
        <v>1</v>
      </c>
      <c r="F21" s="3">
        <v>44326</v>
      </c>
      <c r="G21" s="3">
        <v>44333</v>
      </c>
      <c r="H21" s="3">
        <v>44333</v>
      </c>
      <c r="I21" s="2">
        <v>0</v>
      </c>
      <c r="J21" s="29" t="s">
        <v>197</v>
      </c>
      <c r="K21" s="35"/>
      <c r="L21" s="35"/>
      <c r="M21" s="35"/>
      <c r="O21" s="17"/>
      <c r="P21" s="2"/>
      <c r="Q21" s="2"/>
      <c r="R21" s="2"/>
      <c r="S21" s="2"/>
      <c r="T21" s="3"/>
      <c r="U21" s="3"/>
      <c r="V21" s="3"/>
      <c r="W21" s="2"/>
      <c r="X21" s="18"/>
      <c r="AB21" s="17"/>
      <c r="AD21" s="2"/>
      <c r="AE21" s="2"/>
      <c r="AF21" s="2"/>
      <c r="AG21" s="3"/>
      <c r="AH21" s="3"/>
      <c r="AI21" s="3"/>
      <c r="AJ21" s="2"/>
      <c r="AK21" s="18"/>
      <c r="AZ21" s="29">
        <v>184</v>
      </c>
      <c r="BA21" s="2">
        <v>20</v>
      </c>
      <c r="BB21" s="2">
        <v>6</v>
      </c>
      <c r="BC21" s="2">
        <v>99</v>
      </c>
      <c r="BD21" s="2">
        <v>6</v>
      </c>
      <c r="BE21" s="3">
        <v>44363</v>
      </c>
      <c r="BF21" s="3">
        <v>44370</v>
      </c>
      <c r="BG21" s="3">
        <v>44371</v>
      </c>
      <c r="BH21" s="2">
        <v>40</v>
      </c>
      <c r="BI21" s="29" t="s">
        <v>197</v>
      </c>
      <c r="BL21" s="2">
        <v>65</v>
      </c>
      <c r="BM21" s="2">
        <v>1</v>
      </c>
      <c r="BN21" s="2">
        <v>20</v>
      </c>
      <c r="BO21" s="3" t="s">
        <v>1552</v>
      </c>
      <c r="BP21" s="3">
        <v>44422</v>
      </c>
      <c r="BQ21" s="6">
        <v>0.54166666666666663</v>
      </c>
      <c r="BR21" s="3">
        <v>44423</v>
      </c>
      <c r="BS21" s="14">
        <v>0</v>
      </c>
    </row>
    <row r="22" spans="1:71">
      <c r="A22" s="29">
        <v>21</v>
      </c>
      <c r="B22" s="2">
        <v>4</v>
      </c>
      <c r="C22" s="2">
        <v>4</v>
      </c>
      <c r="D22" s="2">
        <v>11</v>
      </c>
      <c r="E22" s="2">
        <v>1</v>
      </c>
      <c r="F22" s="3">
        <v>44326</v>
      </c>
      <c r="G22" s="3">
        <v>44333</v>
      </c>
      <c r="H22" s="3">
        <v>44334</v>
      </c>
      <c r="I22" s="2">
        <v>0</v>
      </c>
      <c r="J22" s="29" t="s">
        <v>197</v>
      </c>
      <c r="K22" s="35"/>
      <c r="L22" s="35"/>
      <c r="M22" s="35"/>
      <c r="O22" s="17"/>
      <c r="P22" s="2"/>
      <c r="Q22" s="2"/>
      <c r="R22" s="2"/>
      <c r="S22" s="2"/>
      <c r="T22" s="3"/>
      <c r="U22" s="3"/>
      <c r="V22" s="3"/>
      <c r="W22" s="2"/>
      <c r="X22" s="18"/>
      <c r="AB22" s="17"/>
      <c r="AD22" s="2"/>
      <c r="AE22" s="2"/>
      <c r="AF22" s="2"/>
      <c r="AG22" s="3"/>
      <c r="AH22" s="3"/>
      <c r="AI22" s="3"/>
      <c r="AJ22" s="2"/>
      <c r="AK22" s="18"/>
      <c r="AZ22" s="29">
        <v>185</v>
      </c>
      <c r="BA22" s="2">
        <v>21</v>
      </c>
      <c r="BB22" s="2">
        <v>6</v>
      </c>
      <c r="BC22" s="2">
        <v>99</v>
      </c>
      <c r="BD22" s="2">
        <v>6</v>
      </c>
      <c r="BE22" s="3">
        <v>44363</v>
      </c>
      <c r="BF22" s="3">
        <v>44370</v>
      </c>
      <c r="BG22" s="3">
        <v>44371</v>
      </c>
      <c r="BH22" s="2">
        <v>50</v>
      </c>
      <c r="BI22" s="29" t="s">
        <v>197</v>
      </c>
      <c r="BL22" s="2">
        <v>66</v>
      </c>
      <c r="BM22" s="2">
        <v>1</v>
      </c>
      <c r="BN22" s="2">
        <v>21</v>
      </c>
      <c r="BO22" s="3" t="s">
        <v>1553</v>
      </c>
      <c r="BP22" s="3">
        <v>44424</v>
      </c>
      <c r="BQ22" s="6">
        <v>0.625</v>
      </c>
      <c r="BR22" s="3">
        <v>44425</v>
      </c>
      <c r="BS22" s="14">
        <v>0</v>
      </c>
    </row>
    <row r="23" spans="1:71">
      <c r="A23" s="29">
        <v>22</v>
      </c>
      <c r="B23" s="2">
        <v>15</v>
      </c>
      <c r="C23" s="2">
        <v>4</v>
      </c>
      <c r="D23" s="2">
        <v>11</v>
      </c>
      <c r="E23" s="2">
        <v>1</v>
      </c>
      <c r="F23" s="3">
        <v>44326</v>
      </c>
      <c r="G23" s="3">
        <v>44333</v>
      </c>
      <c r="H23" s="3">
        <v>44334</v>
      </c>
      <c r="I23" s="2">
        <v>40</v>
      </c>
      <c r="J23" s="29" t="s">
        <v>197</v>
      </c>
      <c r="K23" s="35"/>
      <c r="L23" s="35"/>
      <c r="M23" s="35"/>
      <c r="O23" s="17"/>
      <c r="P23" s="2"/>
      <c r="Q23" s="2"/>
      <c r="R23" s="2"/>
      <c r="S23" s="2"/>
      <c r="T23" s="3"/>
      <c r="U23" s="3"/>
      <c r="V23" s="3"/>
      <c r="W23" s="2"/>
      <c r="X23" s="18"/>
      <c r="AB23" s="17"/>
      <c r="AD23" s="2"/>
      <c r="AE23" s="2"/>
      <c r="AF23" s="2"/>
      <c r="AG23" s="3"/>
      <c r="AH23" s="3"/>
      <c r="AI23" s="3"/>
      <c r="AJ23" s="2"/>
      <c r="AK23" s="18"/>
      <c r="AZ23" s="29">
        <v>186</v>
      </c>
      <c r="BA23" s="2">
        <v>25</v>
      </c>
      <c r="BB23" s="2">
        <v>6</v>
      </c>
      <c r="BC23" s="2">
        <v>99</v>
      </c>
      <c r="BD23" s="2">
        <v>6</v>
      </c>
      <c r="BE23" s="3">
        <v>44363</v>
      </c>
      <c r="BF23" s="3">
        <v>44370</v>
      </c>
      <c r="BG23" s="3">
        <v>44371</v>
      </c>
      <c r="BH23" s="2">
        <v>60</v>
      </c>
      <c r="BI23" s="29" t="s">
        <v>197</v>
      </c>
      <c r="BL23" s="2">
        <v>70</v>
      </c>
      <c r="BM23" s="2">
        <v>1</v>
      </c>
      <c r="BN23" s="2">
        <v>22</v>
      </c>
      <c r="BO23" s="3" t="s">
        <v>1554</v>
      </c>
      <c r="BP23" s="3">
        <v>44427</v>
      </c>
      <c r="BQ23" s="6">
        <v>0.70833333333333337</v>
      </c>
      <c r="BR23" s="3">
        <v>44428</v>
      </c>
      <c r="BS23" s="14">
        <v>0</v>
      </c>
    </row>
    <row r="24" spans="1:71">
      <c r="A24" s="29">
        <v>23</v>
      </c>
      <c r="B24" s="2">
        <v>16</v>
      </c>
      <c r="C24" s="2">
        <v>4</v>
      </c>
      <c r="D24" s="2">
        <v>11</v>
      </c>
      <c r="E24" s="2">
        <v>1</v>
      </c>
      <c r="F24" s="3">
        <v>44326</v>
      </c>
      <c r="G24" s="3">
        <v>44333</v>
      </c>
      <c r="H24" s="3">
        <v>44334</v>
      </c>
      <c r="I24" s="2">
        <v>10</v>
      </c>
      <c r="J24" s="29" t="s">
        <v>197</v>
      </c>
      <c r="K24" s="35"/>
      <c r="L24" s="35"/>
      <c r="M24" s="35"/>
      <c r="O24" s="17"/>
      <c r="P24" s="2"/>
      <c r="Q24" s="2"/>
      <c r="R24" s="2"/>
      <c r="S24" s="2"/>
      <c r="T24" s="3"/>
      <c r="U24" s="3"/>
      <c r="V24" s="3"/>
      <c r="W24" s="2"/>
      <c r="X24" s="18"/>
      <c r="AB24" s="17"/>
      <c r="AD24" s="2"/>
      <c r="AE24" s="2"/>
      <c r="AF24" s="2"/>
      <c r="AG24" s="3"/>
      <c r="AH24" s="3"/>
      <c r="AI24" s="3"/>
      <c r="AJ24" s="2"/>
      <c r="AK24" s="18"/>
      <c r="AZ24" s="29">
        <v>187</v>
      </c>
      <c r="BA24" s="2">
        <v>30</v>
      </c>
      <c r="BB24" s="2">
        <v>6</v>
      </c>
      <c r="BC24" s="2">
        <v>99</v>
      </c>
      <c r="BD24" s="2">
        <v>6</v>
      </c>
      <c r="BE24" s="3">
        <v>44363</v>
      </c>
      <c r="BF24" s="3">
        <v>44370</v>
      </c>
      <c r="BG24" s="3">
        <v>44371</v>
      </c>
      <c r="BH24" s="2">
        <v>70</v>
      </c>
      <c r="BI24" s="29" t="s">
        <v>197</v>
      </c>
      <c r="BL24" s="2">
        <v>74</v>
      </c>
      <c r="BM24" s="2">
        <v>1</v>
      </c>
      <c r="BN24" s="2">
        <v>23</v>
      </c>
      <c r="BO24" s="3" t="s">
        <v>1515</v>
      </c>
      <c r="BP24" s="3">
        <v>44429</v>
      </c>
      <c r="BQ24" s="6">
        <v>0.58333333333333337</v>
      </c>
      <c r="BR24" s="3">
        <v>44430</v>
      </c>
      <c r="BS24" s="14">
        <v>0</v>
      </c>
    </row>
    <row r="25" spans="1:71">
      <c r="A25" s="29">
        <v>24</v>
      </c>
      <c r="B25" s="2">
        <v>19</v>
      </c>
      <c r="C25" s="2">
        <v>4</v>
      </c>
      <c r="D25" s="2">
        <v>12</v>
      </c>
      <c r="E25" s="2">
        <v>1</v>
      </c>
      <c r="F25" s="3">
        <v>44326</v>
      </c>
      <c r="G25" s="3">
        <v>44333</v>
      </c>
      <c r="H25" s="3">
        <v>44334</v>
      </c>
      <c r="I25" s="2">
        <v>30</v>
      </c>
      <c r="J25" s="29" t="s">
        <v>197</v>
      </c>
      <c r="K25" s="35"/>
      <c r="L25" s="35"/>
      <c r="M25" s="35"/>
      <c r="AZ25" s="29">
        <v>188</v>
      </c>
      <c r="BA25" s="2">
        <v>29</v>
      </c>
      <c r="BB25" s="2">
        <v>6</v>
      </c>
      <c r="BC25" s="2">
        <v>99</v>
      </c>
      <c r="BD25" s="2">
        <v>6</v>
      </c>
      <c r="BE25" s="3">
        <v>44363</v>
      </c>
      <c r="BF25" s="3">
        <v>44370</v>
      </c>
      <c r="BG25" s="3">
        <v>44371</v>
      </c>
      <c r="BH25" s="2">
        <v>20</v>
      </c>
      <c r="BI25" s="29" t="s">
        <v>197</v>
      </c>
      <c r="BL25" s="2">
        <v>78</v>
      </c>
      <c r="BM25" s="2">
        <v>1</v>
      </c>
      <c r="BN25" s="2">
        <v>24</v>
      </c>
      <c r="BO25" s="3" t="s">
        <v>1555</v>
      </c>
      <c r="BP25" s="3">
        <v>44431</v>
      </c>
      <c r="BQ25" s="6">
        <v>0.41666666666666669</v>
      </c>
      <c r="BR25" s="3">
        <v>44432</v>
      </c>
      <c r="BS25" s="14">
        <v>0</v>
      </c>
    </row>
    <row r="26" spans="1:71">
      <c r="A26" s="29">
        <v>25</v>
      </c>
      <c r="B26" s="2">
        <v>2</v>
      </c>
      <c r="C26" s="2">
        <v>4</v>
      </c>
      <c r="D26" s="2">
        <v>12</v>
      </c>
      <c r="E26" s="2">
        <v>1</v>
      </c>
      <c r="F26" s="3">
        <v>44326</v>
      </c>
      <c r="G26" s="3">
        <v>44333</v>
      </c>
      <c r="H26" s="3">
        <v>44334</v>
      </c>
      <c r="I26" s="2">
        <v>0</v>
      </c>
      <c r="J26" s="29" t="s">
        <v>197</v>
      </c>
      <c r="K26" s="35"/>
      <c r="L26" s="35"/>
      <c r="M26" s="35"/>
      <c r="AZ26" s="29">
        <v>189</v>
      </c>
      <c r="BA26" s="2">
        <v>5</v>
      </c>
      <c r="BB26" s="2">
        <v>6</v>
      </c>
      <c r="BC26" s="2">
        <v>99</v>
      </c>
      <c r="BD26" s="2">
        <v>6</v>
      </c>
      <c r="BE26" s="3">
        <v>44363</v>
      </c>
      <c r="BF26" s="3">
        <v>44370</v>
      </c>
      <c r="BG26" s="3">
        <v>44371</v>
      </c>
      <c r="BH26" s="2">
        <v>20</v>
      </c>
      <c r="BI26" s="29" t="s">
        <v>197</v>
      </c>
      <c r="BL26" s="2">
        <v>79</v>
      </c>
      <c r="BM26" s="2">
        <v>1</v>
      </c>
      <c r="BN26" s="2">
        <v>25</v>
      </c>
      <c r="BO26" s="3" t="s">
        <v>1556</v>
      </c>
      <c r="BP26" s="3">
        <v>44432</v>
      </c>
      <c r="BQ26" s="6">
        <v>0.45833333333333331</v>
      </c>
      <c r="BR26" s="3">
        <v>44433</v>
      </c>
      <c r="BS26" s="14">
        <v>0.2</v>
      </c>
    </row>
    <row r="27" spans="1:71">
      <c r="A27" s="29">
        <v>26</v>
      </c>
      <c r="B27" s="2">
        <v>17</v>
      </c>
      <c r="C27" s="2">
        <v>4</v>
      </c>
      <c r="D27" s="2">
        <v>12</v>
      </c>
      <c r="E27" s="2">
        <v>1</v>
      </c>
      <c r="F27" s="3">
        <v>44326</v>
      </c>
      <c r="G27" s="3">
        <v>44333</v>
      </c>
      <c r="H27" s="3">
        <v>44334</v>
      </c>
      <c r="I27" s="2">
        <v>10</v>
      </c>
      <c r="J27" s="29" t="s">
        <v>197</v>
      </c>
      <c r="K27" s="35"/>
      <c r="L27" s="35"/>
      <c r="M27" s="35"/>
      <c r="AZ27" s="29">
        <v>190</v>
      </c>
      <c r="BA27" s="2">
        <v>6</v>
      </c>
      <c r="BB27" s="2">
        <v>6</v>
      </c>
      <c r="BC27" s="2">
        <v>103</v>
      </c>
      <c r="BD27" s="2">
        <v>7</v>
      </c>
      <c r="BE27" s="3">
        <v>44363</v>
      </c>
      <c r="BF27" s="3">
        <v>44370</v>
      </c>
      <c r="BG27" s="3">
        <v>44371</v>
      </c>
      <c r="BH27" s="2">
        <v>0</v>
      </c>
      <c r="BI27" s="29" t="s">
        <v>197</v>
      </c>
      <c r="BL27" s="2">
        <v>80</v>
      </c>
      <c r="BM27" s="2">
        <v>1</v>
      </c>
      <c r="BN27" s="2">
        <v>26</v>
      </c>
      <c r="BO27" s="3" t="s">
        <v>1557</v>
      </c>
      <c r="BP27" s="3">
        <v>44433</v>
      </c>
      <c r="BQ27" s="6">
        <v>0.41666666666666669</v>
      </c>
      <c r="BR27" s="3">
        <v>44434</v>
      </c>
      <c r="BS27" s="14">
        <v>0.125</v>
      </c>
    </row>
    <row r="28" spans="1:71">
      <c r="A28" s="29">
        <v>27</v>
      </c>
      <c r="B28" s="2">
        <v>23</v>
      </c>
      <c r="C28" s="2">
        <v>4</v>
      </c>
      <c r="D28" s="2">
        <v>12</v>
      </c>
      <c r="E28" s="2">
        <v>1</v>
      </c>
      <c r="F28" s="3">
        <v>44326</v>
      </c>
      <c r="G28" s="3">
        <v>44333</v>
      </c>
      <c r="H28" s="3">
        <v>44334</v>
      </c>
      <c r="I28" s="2">
        <v>50</v>
      </c>
      <c r="J28" s="29" t="s">
        <v>197</v>
      </c>
      <c r="K28" s="35"/>
      <c r="L28" s="35"/>
      <c r="M28" s="35"/>
      <c r="AZ28" s="29">
        <v>191</v>
      </c>
      <c r="BA28" s="2">
        <v>5</v>
      </c>
      <c r="BB28" s="2">
        <v>6</v>
      </c>
      <c r="BC28" s="2">
        <v>103</v>
      </c>
      <c r="BD28" s="2">
        <v>7</v>
      </c>
      <c r="BE28" s="3">
        <v>44363</v>
      </c>
      <c r="BF28" s="3">
        <v>44370</v>
      </c>
      <c r="BG28" s="3">
        <v>44371</v>
      </c>
      <c r="BH28" s="2">
        <v>0</v>
      </c>
      <c r="BI28" s="29" t="s">
        <v>197</v>
      </c>
      <c r="BL28" s="2">
        <v>93</v>
      </c>
      <c r="BM28" s="2">
        <v>1</v>
      </c>
      <c r="BN28" s="2">
        <v>27</v>
      </c>
      <c r="BO28" s="3" t="s">
        <v>1558</v>
      </c>
      <c r="BP28" s="3">
        <v>44443</v>
      </c>
      <c r="BQ28" s="6">
        <v>0.54166666666666663</v>
      </c>
      <c r="BR28" s="3">
        <v>44444</v>
      </c>
      <c r="BS28" s="14">
        <v>0</v>
      </c>
    </row>
    <row r="29" spans="1:71">
      <c r="A29" s="29">
        <v>28</v>
      </c>
      <c r="B29" s="2">
        <v>15</v>
      </c>
      <c r="C29" s="2">
        <v>4</v>
      </c>
      <c r="D29" s="2">
        <v>12</v>
      </c>
      <c r="E29" s="2">
        <v>1</v>
      </c>
      <c r="F29" s="3">
        <v>44326</v>
      </c>
      <c r="G29" s="3">
        <v>44333</v>
      </c>
      <c r="H29" s="3">
        <v>44334</v>
      </c>
      <c r="I29" s="2">
        <v>20</v>
      </c>
      <c r="J29" s="29" t="s">
        <v>197</v>
      </c>
      <c r="K29" s="35"/>
      <c r="L29" s="35"/>
      <c r="M29" s="35"/>
      <c r="AZ29" s="29">
        <v>192</v>
      </c>
      <c r="BA29" s="2">
        <v>4</v>
      </c>
      <c r="BB29" s="2">
        <v>6</v>
      </c>
      <c r="BC29" s="2">
        <v>103</v>
      </c>
      <c r="BD29" s="2">
        <v>7</v>
      </c>
      <c r="BE29" s="3">
        <v>44363</v>
      </c>
      <c r="BF29" s="3">
        <v>44370</v>
      </c>
      <c r="BG29" s="3">
        <v>44371</v>
      </c>
      <c r="BH29" s="2">
        <v>20</v>
      </c>
      <c r="BI29" s="29" t="s">
        <v>197</v>
      </c>
      <c r="BL29" s="2">
        <v>94</v>
      </c>
      <c r="BM29" s="2">
        <v>1</v>
      </c>
      <c r="BN29" s="2">
        <v>28</v>
      </c>
      <c r="BO29" s="3" t="s">
        <v>1558</v>
      </c>
      <c r="BP29" s="3">
        <v>44443</v>
      </c>
      <c r="BQ29" s="6">
        <v>0.59722222222222221</v>
      </c>
      <c r="BR29" s="3">
        <v>44444</v>
      </c>
      <c r="BS29" s="14">
        <v>0</v>
      </c>
    </row>
    <row r="30" spans="1:71">
      <c r="A30" s="29">
        <v>29</v>
      </c>
      <c r="B30" s="2">
        <v>6</v>
      </c>
      <c r="C30" s="2">
        <v>4</v>
      </c>
      <c r="D30" s="2">
        <v>12</v>
      </c>
      <c r="E30" s="2">
        <v>1</v>
      </c>
      <c r="F30" s="3">
        <v>44326</v>
      </c>
      <c r="G30" s="3">
        <v>44333</v>
      </c>
      <c r="H30" s="3">
        <v>44334</v>
      </c>
      <c r="I30" s="2">
        <v>0</v>
      </c>
      <c r="J30" s="29" t="s">
        <v>197</v>
      </c>
      <c r="K30" s="35"/>
      <c r="L30" s="35"/>
      <c r="M30" s="35"/>
      <c r="AZ30" s="29">
        <v>193</v>
      </c>
      <c r="BA30" s="2">
        <v>18</v>
      </c>
      <c r="BB30" s="2">
        <v>6</v>
      </c>
      <c r="BC30" s="2">
        <v>103</v>
      </c>
      <c r="BD30" s="2">
        <v>7</v>
      </c>
      <c r="BE30" s="3">
        <v>44363</v>
      </c>
      <c r="BF30" s="3">
        <v>44370</v>
      </c>
      <c r="BG30" s="3">
        <v>44371</v>
      </c>
      <c r="BH30" s="2">
        <v>40</v>
      </c>
      <c r="BI30" s="29" t="s">
        <v>197</v>
      </c>
      <c r="BL30" s="2">
        <v>101</v>
      </c>
      <c r="BM30" s="2">
        <v>1</v>
      </c>
      <c r="BN30" s="2">
        <v>29</v>
      </c>
      <c r="BO30" s="3" t="s">
        <v>1559</v>
      </c>
      <c r="BP30" s="3">
        <v>44451</v>
      </c>
      <c r="BQ30" s="6">
        <v>0.45833333333333331</v>
      </c>
      <c r="BR30" s="3">
        <v>44452</v>
      </c>
      <c r="BS30" s="14">
        <v>0</v>
      </c>
    </row>
    <row r="31" spans="1:71">
      <c r="A31" s="29">
        <v>30</v>
      </c>
      <c r="B31" s="2">
        <v>3</v>
      </c>
      <c r="C31" s="2">
        <v>4</v>
      </c>
      <c r="D31" s="2">
        <v>12</v>
      </c>
      <c r="E31" s="2">
        <v>1</v>
      </c>
      <c r="F31" s="3">
        <v>44326</v>
      </c>
      <c r="G31" s="3">
        <v>44333</v>
      </c>
      <c r="H31" s="3">
        <v>44334</v>
      </c>
      <c r="I31" s="2">
        <v>0</v>
      </c>
      <c r="J31" s="29" t="s">
        <v>197</v>
      </c>
      <c r="K31" s="35"/>
      <c r="L31" s="35"/>
      <c r="M31" s="35"/>
      <c r="AZ31" s="29">
        <v>194</v>
      </c>
      <c r="BA31" s="2">
        <v>17</v>
      </c>
      <c r="BB31" s="2">
        <v>6</v>
      </c>
      <c r="BC31" s="2">
        <v>103</v>
      </c>
      <c r="BD31" s="2">
        <v>7</v>
      </c>
      <c r="BE31" s="3">
        <v>44363</v>
      </c>
      <c r="BF31" s="3">
        <v>44370</v>
      </c>
      <c r="BG31" s="3">
        <v>44371</v>
      </c>
      <c r="BH31" s="2">
        <v>50</v>
      </c>
      <c r="BI31" s="29" t="s">
        <v>197</v>
      </c>
      <c r="BL31" s="2">
        <v>109</v>
      </c>
      <c r="BM31" s="2">
        <v>1</v>
      </c>
      <c r="BN31" s="2">
        <v>30</v>
      </c>
      <c r="BO31" s="3" t="s">
        <v>1560</v>
      </c>
      <c r="BP31" s="3">
        <v>44457</v>
      </c>
      <c r="BQ31" s="6">
        <v>0.58333333333333337</v>
      </c>
      <c r="BR31" s="3">
        <v>44458</v>
      </c>
      <c r="BS31" s="14">
        <v>0</v>
      </c>
    </row>
    <row r="32" spans="1:71">
      <c r="A32" s="29">
        <v>31</v>
      </c>
      <c r="B32" s="2">
        <v>16</v>
      </c>
      <c r="C32" s="2">
        <v>5</v>
      </c>
      <c r="D32" s="2">
        <v>12</v>
      </c>
      <c r="E32" s="2">
        <v>1</v>
      </c>
      <c r="F32" s="3">
        <v>44326</v>
      </c>
      <c r="G32" s="3">
        <v>44333</v>
      </c>
      <c r="H32" s="3">
        <v>44334</v>
      </c>
      <c r="I32" s="2">
        <v>50</v>
      </c>
      <c r="J32" s="29" t="s">
        <v>197</v>
      </c>
      <c r="K32" s="35"/>
      <c r="L32" s="35"/>
      <c r="M32" s="35"/>
      <c r="AZ32" s="29">
        <v>195</v>
      </c>
      <c r="BA32" s="2">
        <v>12</v>
      </c>
      <c r="BB32" s="2">
        <v>6</v>
      </c>
      <c r="BC32" s="2">
        <v>103</v>
      </c>
      <c r="BD32" s="2">
        <v>7</v>
      </c>
      <c r="BE32" s="3">
        <v>44363</v>
      </c>
      <c r="BF32" s="3">
        <v>44370</v>
      </c>
      <c r="BG32" s="3">
        <v>44371</v>
      </c>
      <c r="BH32" s="2">
        <v>60</v>
      </c>
      <c r="BI32" s="29" t="s">
        <v>197</v>
      </c>
      <c r="BL32" s="2">
        <v>113</v>
      </c>
      <c r="BM32" s="2">
        <v>1</v>
      </c>
      <c r="BN32" s="2">
        <v>31</v>
      </c>
      <c r="BO32" s="3" t="s">
        <v>1561</v>
      </c>
      <c r="BP32" s="3">
        <v>44459</v>
      </c>
      <c r="BQ32" s="6">
        <v>0.625</v>
      </c>
      <c r="BR32" s="3">
        <v>44460</v>
      </c>
      <c r="BS32" s="14">
        <v>0</v>
      </c>
    </row>
    <row r="33" spans="1:71">
      <c r="A33" s="29">
        <v>32</v>
      </c>
      <c r="B33" s="2">
        <v>12</v>
      </c>
      <c r="C33" s="2">
        <v>5</v>
      </c>
      <c r="D33" s="2">
        <v>14</v>
      </c>
      <c r="E33" s="2">
        <v>1</v>
      </c>
      <c r="F33" s="3">
        <v>44326</v>
      </c>
      <c r="G33" s="3">
        <v>44333</v>
      </c>
      <c r="H33" s="3">
        <v>44334</v>
      </c>
      <c r="I33" s="2">
        <v>20</v>
      </c>
      <c r="J33" s="29" t="s">
        <v>197</v>
      </c>
      <c r="K33" s="35"/>
      <c r="L33" s="35"/>
      <c r="M33" s="35"/>
      <c r="AZ33" s="29">
        <v>196</v>
      </c>
      <c r="BA33" s="2">
        <v>16</v>
      </c>
      <c r="BB33" s="2">
        <v>6</v>
      </c>
      <c r="BC33" s="2">
        <v>106</v>
      </c>
      <c r="BD33" s="2">
        <v>8</v>
      </c>
      <c r="BE33" s="3">
        <v>44363</v>
      </c>
      <c r="BF33" s="3">
        <v>44370</v>
      </c>
      <c r="BG33" s="3">
        <v>44371</v>
      </c>
      <c r="BH33" s="2">
        <v>70</v>
      </c>
      <c r="BI33" s="29" t="s">
        <v>197</v>
      </c>
      <c r="BL33" s="2">
        <v>114</v>
      </c>
      <c r="BM33" s="2">
        <v>1</v>
      </c>
      <c r="BN33" s="2">
        <v>32</v>
      </c>
      <c r="BO33" s="3" t="s">
        <v>1562</v>
      </c>
      <c r="BP33" s="3">
        <v>44462</v>
      </c>
      <c r="BQ33" s="6">
        <v>0.41666666666666669</v>
      </c>
      <c r="BR33" s="3">
        <v>44463</v>
      </c>
      <c r="BS33" s="14">
        <v>0</v>
      </c>
    </row>
    <row r="34" spans="1:71">
      <c r="A34" s="29">
        <v>33</v>
      </c>
      <c r="B34" s="2">
        <v>22</v>
      </c>
      <c r="C34" s="2">
        <v>5</v>
      </c>
      <c r="D34" s="2">
        <v>14</v>
      </c>
      <c r="E34" s="2">
        <v>1</v>
      </c>
      <c r="F34" s="3">
        <v>44326</v>
      </c>
      <c r="G34" s="3">
        <v>44333</v>
      </c>
      <c r="H34" s="3">
        <v>44334</v>
      </c>
      <c r="I34" s="2">
        <v>10</v>
      </c>
      <c r="J34" s="29" t="s">
        <v>197</v>
      </c>
      <c r="K34" s="35"/>
      <c r="L34" s="35"/>
      <c r="M34" s="35"/>
      <c r="AZ34" s="29">
        <v>197</v>
      </c>
      <c r="BA34" s="2">
        <v>15</v>
      </c>
      <c r="BB34" s="2">
        <v>6</v>
      </c>
      <c r="BC34" s="2">
        <v>106</v>
      </c>
      <c r="BD34" s="2">
        <v>8</v>
      </c>
      <c r="BE34" s="3">
        <v>44363</v>
      </c>
      <c r="BF34" s="3">
        <v>44370</v>
      </c>
      <c r="BG34" s="3">
        <v>44371</v>
      </c>
      <c r="BH34" s="2">
        <v>10</v>
      </c>
      <c r="BI34" s="29" t="s">
        <v>197</v>
      </c>
      <c r="BL34" s="2">
        <v>117</v>
      </c>
      <c r="BM34" s="2">
        <v>1</v>
      </c>
      <c r="BN34" s="2">
        <v>33</v>
      </c>
      <c r="BO34" s="3" t="s">
        <v>1563</v>
      </c>
      <c r="BP34" s="3">
        <v>44464</v>
      </c>
      <c r="BQ34" s="6">
        <v>0.66666666666666663</v>
      </c>
      <c r="BR34" s="3">
        <v>44465</v>
      </c>
      <c r="BS34" s="14">
        <v>0</v>
      </c>
    </row>
    <row r="35" spans="1:71">
      <c r="A35" s="29">
        <v>34</v>
      </c>
      <c r="B35" s="2">
        <v>19</v>
      </c>
      <c r="C35" s="2">
        <v>5</v>
      </c>
      <c r="D35" s="2">
        <v>14</v>
      </c>
      <c r="E35" s="2">
        <v>1</v>
      </c>
      <c r="F35" s="3">
        <v>44326</v>
      </c>
      <c r="G35" s="3">
        <v>44333</v>
      </c>
      <c r="H35" s="3">
        <v>44334</v>
      </c>
      <c r="I35" s="2">
        <v>0</v>
      </c>
      <c r="J35" s="29" t="s">
        <v>197</v>
      </c>
      <c r="K35" s="35"/>
      <c r="L35" s="35"/>
      <c r="M35" s="35"/>
      <c r="AZ35" s="29">
        <v>198</v>
      </c>
      <c r="BA35" s="2">
        <v>30</v>
      </c>
      <c r="BB35" s="2">
        <v>6</v>
      </c>
      <c r="BC35" s="2">
        <v>106</v>
      </c>
      <c r="BD35" s="2">
        <v>8</v>
      </c>
      <c r="BE35" s="3">
        <v>44363</v>
      </c>
      <c r="BF35" s="3">
        <v>44370</v>
      </c>
      <c r="BG35" s="3">
        <v>44371</v>
      </c>
      <c r="BH35" s="2">
        <v>10</v>
      </c>
      <c r="BI35" s="29" t="s">
        <v>197</v>
      </c>
      <c r="BL35" s="2">
        <v>120</v>
      </c>
      <c r="BM35" s="2">
        <v>1</v>
      </c>
      <c r="BN35" s="2">
        <v>34</v>
      </c>
      <c r="BO35" s="3" t="s">
        <v>1564</v>
      </c>
      <c r="BP35" s="3">
        <v>44465</v>
      </c>
      <c r="BQ35" s="6">
        <v>0.375</v>
      </c>
      <c r="BR35" s="3">
        <v>44466</v>
      </c>
      <c r="BS35" s="14">
        <v>0</v>
      </c>
    </row>
    <row r="36" spans="1:71">
      <c r="A36" s="29">
        <v>35</v>
      </c>
      <c r="B36" s="2">
        <v>11</v>
      </c>
      <c r="C36" s="2">
        <v>5</v>
      </c>
      <c r="D36" s="2">
        <v>14</v>
      </c>
      <c r="E36" s="2">
        <v>1</v>
      </c>
      <c r="F36" s="3">
        <v>44326</v>
      </c>
      <c r="G36" s="3">
        <v>44333</v>
      </c>
      <c r="H36" s="3">
        <v>44334</v>
      </c>
      <c r="I36" s="2">
        <v>10</v>
      </c>
      <c r="J36" s="29" t="s">
        <v>197</v>
      </c>
      <c r="K36" s="35"/>
      <c r="L36" s="35"/>
      <c r="M36" s="35"/>
      <c r="AZ36" s="29">
        <v>199</v>
      </c>
      <c r="BA36" s="2">
        <v>29</v>
      </c>
      <c r="BB36" s="2">
        <v>6</v>
      </c>
      <c r="BC36" s="2">
        <v>106</v>
      </c>
      <c r="BD36" s="2">
        <v>8</v>
      </c>
      <c r="BE36" s="3">
        <v>44363</v>
      </c>
      <c r="BF36" s="3">
        <v>44370</v>
      </c>
      <c r="BG36" s="3">
        <v>44371</v>
      </c>
      <c r="BH36" s="2">
        <v>0</v>
      </c>
      <c r="BI36" s="29" t="s">
        <v>197</v>
      </c>
      <c r="BL36" s="2">
        <v>121</v>
      </c>
      <c r="BM36" s="2">
        <v>1</v>
      </c>
      <c r="BN36" s="2">
        <v>35</v>
      </c>
      <c r="BO36" s="3" t="s">
        <v>1516</v>
      </c>
      <c r="BP36" s="3">
        <v>44466</v>
      </c>
      <c r="BQ36" s="6">
        <v>0.375</v>
      </c>
      <c r="BR36" s="3">
        <v>44467</v>
      </c>
      <c r="BS36" s="14">
        <v>0</v>
      </c>
    </row>
    <row r="37" spans="1:71">
      <c r="A37" s="29">
        <v>36</v>
      </c>
      <c r="B37" s="2">
        <v>25</v>
      </c>
      <c r="C37" s="2">
        <v>5</v>
      </c>
      <c r="D37" s="2">
        <v>14</v>
      </c>
      <c r="E37" s="2">
        <v>1</v>
      </c>
      <c r="F37" s="3">
        <v>44326</v>
      </c>
      <c r="G37" s="3">
        <v>44333</v>
      </c>
      <c r="H37" s="3">
        <v>44334</v>
      </c>
      <c r="I37" s="2">
        <v>0</v>
      </c>
      <c r="J37" s="29" t="s">
        <v>197</v>
      </c>
      <c r="K37" s="35"/>
      <c r="L37" s="35"/>
      <c r="M37" s="35"/>
      <c r="AZ37" s="29">
        <v>200</v>
      </c>
      <c r="BA37" s="2">
        <v>1</v>
      </c>
      <c r="BB37" s="2">
        <v>6</v>
      </c>
      <c r="BC37" s="2">
        <v>106</v>
      </c>
      <c r="BD37" s="2">
        <v>8</v>
      </c>
      <c r="BE37" s="3">
        <v>44363</v>
      </c>
      <c r="BF37" s="3">
        <v>44370</v>
      </c>
      <c r="BG37" s="3">
        <v>44371</v>
      </c>
      <c r="BH37" s="2">
        <v>90</v>
      </c>
      <c r="BI37" s="29" t="s">
        <v>198</v>
      </c>
      <c r="BL37" s="2">
        <v>122</v>
      </c>
      <c r="BM37" s="2">
        <v>1</v>
      </c>
      <c r="BN37" s="2">
        <v>36</v>
      </c>
      <c r="BO37" s="3" t="s">
        <v>1516</v>
      </c>
      <c r="BP37" s="3">
        <v>44466</v>
      </c>
      <c r="BQ37" s="6">
        <v>0.45833333333333331</v>
      </c>
      <c r="BR37" s="3">
        <v>44467</v>
      </c>
      <c r="BS37" s="14">
        <v>0.5</v>
      </c>
    </row>
    <row r="38" spans="1:71">
      <c r="A38" s="29">
        <v>37</v>
      </c>
      <c r="B38" s="2">
        <v>10</v>
      </c>
      <c r="C38" s="2">
        <v>5</v>
      </c>
      <c r="D38" s="2">
        <v>14</v>
      </c>
      <c r="E38" s="2">
        <v>1</v>
      </c>
      <c r="F38" s="3">
        <v>44326</v>
      </c>
      <c r="G38" s="3">
        <v>44333</v>
      </c>
      <c r="H38" s="3">
        <v>44334</v>
      </c>
      <c r="I38" s="2">
        <v>0</v>
      </c>
      <c r="J38" s="29" t="s">
        <v>197</v>
      </c>
      <c r="K38" s="35"/>
      <c r="L38" s="35"/>
      <c r="M38" s="35"/>
      <c r="AZ38" s="29">
        <v>201</v>
      </c>
      <c r="BA38" s="2">
        <v>2</v>
      </c>
      <c r="BB38" s="2">
        <v>6</v>
      </c>
      <c r="BC38" s="2">
        <v>106</v>
      </c>
      <c r="BD38" s="2">
        <v>8</v>
      </c>
      <c r="BE38" s="3">
        <v>44363</v>
      </c>
      <c r="BF38" s="3">
        <v>44370</v>
      </c>
      <c r="BG38" s="3">
        <v>44371</v>
      </c>
      <c r="BH38" s="2">
        <v>50</v>
      </c>
      <c r="BI38" s="29" t="s">
        <v>197</v>
      </c>
      <c r="BL38" s="2">
        <v>137</v>
      </c>
      <c r="BM38" s="2">
        <v>1</v>
      </c>
      <c r="BN38" s="2">
        <v>37</v>
      </c>
      <c r="BO38" s="3" t="s">
        <v>1565</v>
      </c>
      <c r="BP38" s="3">
        <v>44503</v>
      </c>
      <c r="BQ38" s="6">
        <v>0.5</v>
      </c>
      <c r="BR38" s="3">
        <v>44504</v>
      </c>
      <c r="BS38" s="14">
        <v>0.3</v>
      </c>
    </row>
    <row r="39" spans="1:71">
      <c r="A39" s="29">
        <v>38</v>
      </c>
      <c r="B39" s="2">
        <v>6</v>
      </c>
      <c r="C39" s="2">
        <v>5</v>
      </c>
      <c r="D39" s="2">
        <v>14</v>
      </c>
      <c r="E39" s="2">
        <v>1</v>
      </c>
      <c r="F39" s="3">
        <v>44326</v>
      </c>
      <c r="G39" s="3">
        <v>44333</v>
      </c>
      <c r="H39" s="3">
        <v>44334</v>
      </c>
      <c r="I39" s="2">
        <v>40</v>
      </c>
      <c r="J39" s="29" t="s">
        <v>197</v>
      </c>
      <c r="K39" s="35"/>
      <c r="L39" s="35"/>
      <c r="M39" s="35"/>
      <c r="AZ39" s="29">
        <v>203</v>
      </c>
      <c r="BA39" s="2">
        <v>21</v>
      </c>
      <c r="BB39" s="2">
        <v>3</v>
      </c>
      <c r="BC39" s="2">
        <v>40</v>
      </c>
      <c r="BD39" s="2">
        <v>9</v>
      </c>
      <c r="BE39" s="3">
        <v>44365</v>
      </c>
      <c r="BF39" s="3">
        <v>44372</v>
      </c>
      <c r="BG39" s="3">
        <v>44372</v>
      </c>
      <c r="BH39" s="2">
        <v>0</v>
      </c>
      <c r="BI39" s="29" t="s">
        <v>197</v>
      </c>
      <c r="BL39" s="2">
        <v>150</v>
      </c>
      <c r="BM39" s="2">
        <v>1</v>
      </c>
      <c r="BN39" s="2">
        <v>38</v>
      </c>
      <c r="BO39" s="3" t="s">
        <v>1566</v>
      </c>
      <c r="BP39" s="3">
        <v>44508</v>
      </c>
      <c r="BQ39" s="6">
        <v>0.41666666666666669</v>
      </c>
      <c r="BR39" s="3">
        <v>44509</v>
      </c>
      <c r="BS39" s="14">
        <v>0.33333333333333331</v>
      </c>
    </row>
    <row r="40" spans="1:71">
      <c r="A40" s="29">
        <v>39</v>
      </c>
      <c r="B40" s="2">
        <v>30</v>
      </c>
      <c r="C40" s="2">
        <v>6</v>
      </c>
      <c r="D40" s="2">
        <v>15</v>
      </c>
      <c r="E40" s="2">
        <v>1</v>
      </c>
      <c r="F40" s="3">
        <v>44326</v>
      </c>
      <c r="G40" s="3">
        <v>44333</v>
      </c>
      <c r="H40" s="3">
        <v>44334</v>
      </c>
      <c r="I40" s="2">
        <v>10</v>
      </c>
      <c r="J40" s="29" t="s">
        <v>197</v>
      </c>
      <c r="K40" s="35"/>
      <c r="L40" s="35"/>
      <c r="M40" s="35"/>
      <c r="AZ40" s="29">
        <v>204</v>
      </c>
      <c r="BA40" s="2">
        <v>12</v>
      </c>
      <c r="BB40" s="2">
        <v>3</v>
      </c>
      <c r="BC40" s="2">
        <v>53</v>
      </c>
      <c r="BD40" s="2">
        <v>10</v>
      </c>
      <c r="BE40" s="3">
        <v>44365</v>
      </c>
      <c r="BF40" s="3">
        <v>44372</v>
      </c>
      <c r="BG40" s="3">
        <v>44372</v>
      </c>
      <c r="BH40" s="2">
        <v>80</v>
      </c>
      <c r="BI40" s="29" t="s">
        <v>198</v>
      </c>
      <c r="BL40" s="2">
        <v>151</v>
      </c>
      <c r="BM40" s="2">
        <v>1</v>
      </c>
      <c r="BN40" s="2">
        <v>39</v>
      </c>
      <c r="BO40" s="3" t="s">
        <v>1517</v>
      </c>
      <c r="BP40" s="3">
        <v>44473</v>
      </c>
      <c r="BQ40" s="6">
        <v>0.54166666666666663</v>
      </c>
      <c r="BR40" s="3">
        <v>44474</v>
      </c>
      <c r="BS40" s="14">
        <v>0.7</v>
      </c>
    </row>
    <row r="41" spans="1:71">
      <c r="A41" s="29">
        <v>40</v>
      </c>
      <c r="B41" s="2">
        <v>27</v>
      </c>
      <c r="C41" s="2">
        <v>6</v>
      </c>
      <c r="D41" s="2">
        <v>15</v>
      </c>
      <c r="E41" s="2">
        <v>1</v>
      </c>
      <c r="F41" s="3">
        <v>44326</v>
      </c>
      <c r="G41" s="3">
        <v>44333</v>
      </c>
      <c r="H41" s="3">
        <v>44334</v>
      </c>
      <c r="I41" s="2">
        <v>0</v>
      </c>
      <c r="J41" s="29" t="s">
        <v>197</v>
      </c>
      <c r="K41" s="35"/>
      <c r="L41" s="35"/>
      <c r="M41" s="35"/>
      <c r="AZ41" s="29">
        <v>205</v>
      </c>
      <c r="BA41" s="2">
        <v>2</v>
      </c>
      <c r="BB41" s="2">
        <v>3</v>
      </c>
      <c r="BC41" s="2">
        <v>53</v>
      </c>
      <c r="BD41" s="2">
        <v>10</v>
      </c>
      <c r="BE41" s="3">
        <v>44365</v>
      </c>
      <c r="BF41" s="3">
        <v>44372</v>
      </c>
      <c r="BG41" s="3">
        <v>44372</v>
      </c>
      <c r="BH41" s="2">
        <v>40</v>
      </c>
      <c r="BI41" s="29" t="s">
        <v>197</v>
      </c>
      <c r="BL41" s="2">
        <v>159</v>
      </c>
      <c r="BM41" s="2">
        <v>1</v>
      </c>
      <c r="BN41" s="2">
        <v>40</v>
      </c>
      <c r="BO41" s="3" t="s">
        <v>1514</v>
      </c>
      <c r="BP41" s="3">
        <v>44420</v>
      </c>
      <c r="BQ41" s="6" t="s">
        <v>1525</v>
      </c>
      <c r="BR41" s="3">
        <v>44421</v>
      </c>
      <c r="BS41" s="14">
        <v>0</v>
      </c>
    </row>
    <row r="42" spans="1:71">
      <c r="A42" s="29">
        <v>41</v>
      </c>
      <c r="B42" s="2">
        <v>15</v>
      </c>
      <c r="C42" s="2">
        <v>6</v>
      </c>
      <c r="D42" s="2">
        <v>15</v>
      </c>
      <c r="E42" s="2">
        <v>1</v>
      </c>
      <c r="F42" s="3">
        <v>44326</v>
      </c>
      <c r="G42" s="3">
        <v>44333</v>
      </c>
      <c r="H42" s="3">
        <v>44334</v>
      </c>
      <c r="I42" s="2">
        <v>0</v>
      </c>
      <c r="J42" s="29" t="s">
        <v>197</v>
      </c>
      <c r="K42" s="35"/>
      <c r="L42" s="35"/>
      <c r="M42" s="35"/>
      <c r="AZ42" s="29">
        <v>212</v>
      </c>
      <c r="BA42" s="2">
        <v>27</v>
      </c>
      <c r="BB42" s="2">
        <v>4</v>
      </c>
      <c r="BC42" s="2">
        <v>50</v>
      </c>
      <c r="BD42" s="2">
        <v>10</v>
      </c>
      <c r="BE42" s="3">
        <v>44365</v>
      </c>
      <c r="BF42" s="3">
        <v>44372</v>
      </c>
      <c r="BG42" s="3">
        <v>44373</v>
      </c>
      <c r="BH42" s="2">
        <v>20</v>
      </c>
      <c r="BI42" s="29" t="s">
        <v>197</v>
      </c>
      <c r="BL42" s="2"/>
      <c r="BM42" s="2"/>
      <c r="BN42" s="2"/>
      <c r="BO42" s="3"/>
      <c r="BP42" s="3"/>
      <c r="BQ42" s="6"/>
      <c r="BR42" s="3"/>
      <c r="BS42" s="14"/>
    </row>
    <row r="43" spans="1:71">
      <c r="A43" s="29">
        <v>42</v>
      </c>
      <c r="B43" s="2">
        <v>16</v>
      </c>
      <c r="C43" s="2">
        <v>6</v>
      </c>
      <c r="D43" s="2">
        <v>16</v>
      </c>
      <c r="E43" s="2">
        <v>1</v>
      </c>
      <c r="F43" s="3">
        <v>44326</v>
      </c>
      <c r="G43" s="3">
        <v>44333</v>
      </c>
      <c r="H43" s="3">
        <v>44334</v>
      </c>
      <c r="I43" s="2">
        <v>10</v>
      </c>
      <c r="J43" s="29" t="s">
        <v>197</v>
      </c>
      <c r="K43" s="35"/>
      <c r="L43" s="35"/>
      <c r="M43" s="35"/>
      <c r="AZ43" s="29">
        <v>213</v>
      </c>
      <c r="BA43" s="2">
        <v>28</v>
      </c>
      <c r="BB43" s="2">
        <v>4</v>
      </c>
      <c r="BC43" s="2">
        <v>50</v>
      </c>
      <c r="BD43" s="2">
        <v>10</v>
      </c>
      <c r="BE43" s="3">
        <v>44365</v>
      </c>
      <c r="BF43" s="3">
        <v>44372</v>
      </c>
      <c r="BG43" s="3">
        <v>44373</v>
      </c>
      <c r="BH43" s="2">
        <v>20</v>
      </c>
      <c r="BI43" s="29" t="s">
        <v>197</v>
      </c>
      <c r="BL43" s="2"/>
      <c r="BM43" s="2"/>
      <c r="BN43" s="2"/>
      <c r="BO43" s="3"/>
      <c r="BP43" s="3"/>
      <c r="BQ43" s="6"/>
      <c r="BR43" s="3"/>
      <c r="BS43" s="14"/>
    </row>
    <row r="44" spans="1:71">
      <c r="A44" s="29">
        <v>43</v>
      </c>
      <c r="B44" s="2">
        <v>2</v>
      </c>
      <c r="C44" s="2">
        <v>6</v>
      </c>
      <c r="D44" s="2">
        <v>16</v>
      </c>
      <c r="E44" s="2">
        <v>1</v>
      </c>
      <c r="F44" s="3">
        <v>44326</v>
      </c>
      <c r="G44" s="3">
        <v>44333</v>
      </c>
      <c r="H44" s="3">
        <v>44334</v>
      </c>
      <c r="I44" s="2">
        <v>0</v>
      </c>
      <c r="J44" s="29" t="s">
        <v>197</v>
      </c>
      <c r="K44" s="35"/>
      <c r="L44" s="35"/>
      <c r="M44" s="35"/>
      <c r="AZ44" s="29">
        <v>214</v>
      </c>
      <c r="BA44" s="2">
        <v>15</v>
      </c>
      <c r="BB44" s="2">
        <v>4</v>
      </c>
      <c r="BC44" s="2">
        <v>50</v>
      </c>
      <c r="BD44" s="2">
        <v>10</v>
      </c>
      <c r="BE44" s="3">
        <v>44365</v>
      </c>
      <c r="BF44" s="3">
        <v>44372</v>
      </c>
      <c r="BG44" s="3">
        <v>44373</v>
      </c>
      <c r="BH44" s="2">
        <v>0</v>
      </c>
      <c r="BI44" s="29" t="s">
        <v>197</v>
      </c>
      <c r="BL44" s="2"/>
      <c r="BM44" s="2"/>
      <c r="BN44" s="2"/>
      <c r="BO44" s="3"/>
      <c r="BP44" s="3"/>
      <c r="BQ44" s="6"/>
      <c r="BR44" s="3"/>
      <c r="BS44" s="14"/>
    </row>
    <row r="45" spans="1:71">
      <c r="A45" s="29">
        <v>44</v>
      </c>
      <c r="B45" s="2">
        <v>4</v>
      </c>
      <c r="C45" s="2">
        <v>6</v>
      </c>
      <c r="D45" s="2">
        <v>16</v>
      </c>
      <c r="E45" s="2">
        <v>1</v>
      </c>
      <c r="F45" s="3">
        <v>44326</v>
      </c>
      <c r="G45" s="3">
        <v>44333</v>
      </c>
      <c r="H45" s="3">
        <v>44334</v>
      </c>
      <c r="I45" s="2">
        <v>20</v>
      </c>
      <c r="J45" s="29" t="s">
        <v>197</v>
      </c>
      <c r="K45" s="35"/>
      <c r="L45" s="35"/>
      <c r="M45" s="35"/>
      <c r="AZ45" s="29">
        <v>217</v>
      </c>
      <c r="BA45" s="2">
        <v>3</v>
      </c>
      <c r="BB45" s="2">
        <v>6</v>
      </c>
      <c r="BC45" s="2">
        <v>119</v>
      </c>
      <c r="BD45" s="2">
        <v>9</v>
      </c>
      <c r="BE45" s="3">
        <v>44365</v>
      </c>
      <c r="BF45" s="3">
        <v>44372</v>
      </c>
      <c r="BG45" s="3">
        <v>44373</v>
      </c>
      <c r="BH45" s="2">
        <v>80</v>
      </c>
      <c r="BI45" s="29" t="s">
        <v>198</v>
      </c>
      <c r="BL45" s="2"/>
      <c r="BM45" s="2"/>
      <c r="BN45" s="2"/>
      <c r="BO45" s="3"/>
      <c r="BP45" s="3"/>
      <c r="BQ45" s="6"/>
      <c r="BR45" s="3"/>
      <c r="BS45" s="14"/>
    </row>
    <row r="46" spans="1:71">
      <c r="A46" s="29">
        <v>45</v>
      </c>
      <c r="B46" s="2">
        <v>28</v>
      </c>
      <c r="C46" s="2">
        <v>6</v>
      </c>
      <c r="D46" s="2">
        <v>16</v>
      </c>
      <c r="E46" s="2">
        <v>1</v>
      </c>
      <c r="F46" s="3">
        <v>44326</v>
      </c>
      <c r="G46" s="3">
        <v>44333</v>
      </c>
      <c r="H46" s="3">
        <v>44334</v>
      </c>
      <c r="I46" s="2">
        <v>0</v>
      </c>
      <c r="J46" s="29" t="s">
        <v>197</v>
      </c>
      <c r="K46" s="35"/>
      <c r="L46" s="35"/>
      <c r="M46" s="35"/>
      <c r="AZ46" s="29">
        <v>218</v>
      </c>
      <c r="BA46" s="2">
        <v>15</v>
      </c>
      <c r="BB46" s="2">
        <v>6</v>
      </c>
      <c r="BC46" s="2">
        <v>119</v>
      </c>
      <c r="BD46" s="2">
        <v>9</v>
      </c>
      <c r="BE46" s="3">
        <v>44365</v>
      </c>
      <c r="BF46" s="3">
        <v>44372</v>
      </c>
      <c r="BG46" s="3">
        <v>44373</v>
      </c>
      <c r="BH46" s="2">
        <v>0</v>
      </c>
      <c r="BI46" s="29" t="s">
        <v>197</v>
      </c>
      <c r="BL46" s="2"/>
      <c r="BM46" s="2"/>
      <c r="BN46" s="2"/>
      <c r="BO46" s="3"/>
      <c r="BP46" s="3"/>
      <c r="BQ46" s="6"/>
      <c r="BR46" s="3"/>
      <c r="BS46" s="14"/>
    </row>
    <row r="47" spans="1:71">
      <c r="A47" s="29">
        <v>46</v>
      </c>
      <c r="B47" s="2">
        <v>30</v>
      </c>
      <c r="C47" s="2">
        <v>6</v>
      </c>
      <c r="D47" s="2">
        <v>16</v>
      </c>
      <c r="E47" s="2">
        <v>1</v>
      </c>
      <c r="F47" s="3">
        <v>44326</v>
      </c>
      <c r="G47" s="3">
        <v>44333</v>
      </c>
      <c r="H47" s="3">
        <v>44334</v>
      </c>
      <c r="I47" s="2">
        <v>50</v>
      </c>
      <c r="J47" s="29" t="s">
        <v>197</v>
      </c>
      <c r="K47" s="35"/>
      <c r="L47" s="35"/>
      <c r="M47" s="35"/>
      <c r="AZ47" s="29">
        <v>219</v>
      </c>
      <c r="BA47" s="2">
        <v>16</v>
      </c>
      <c r="BB47" s="2">
        <v>6</v>
      </c>
      <c r="BC47" s="2">
        <v>119</v>
      </c>
      <c r="BD47" s="2">
        <v>9</v>
      </c>
      <c r="BE47" s="3">
        <v>44365</v>
      </c>
      <c r="BF47" s="3">
        <v>44372</v>
      </c>
      <c r="BG47" s="3">
        <v>44373</v>
      </c>
      <c r="BH47" s="2">
        <v>50</v>
      </c>
      <c r="BI47" s="29" t="s">
        <v>197</v>
      </c>
      <c r="BL47" s="2"/>
      <c r="BM47" s="2"/>
      <c r="BN47" s="2"/>
      <c r="BO47" s="3"/>
      <c r="BP47" s="3"/>
      <c r="BQ47" s="6"/>
      <c r="BR47" s="3"/>
      <c r="BS47" s="14"/>
    </row>
    <row r="48" spans="1:71">
      <c r="A48" s="29">
        <v>47</v>
      </c>
      <c r="B48" s="2">
        <v>9</v>
      </c>
      <c r="C48" s="2">
        <v>6</v>
      </c>
      <c r="D48" s="2">
        <v>16</v>
      </c>
      <c r="E48" s="2">
        <v>1</v>
      </c>
      <c r="F48" s="3">
        <v>44326</v>
      </c>
      <c r="G48" s="3">
        <v>44333</v>
      </c>
      <c r="H48" s="3">
        <v>44334</v>
      </c>
      <c r="I48" s="2">
        <v>40</v>
      </c>
      <c r="J48" s="29" t="s">
        <v>197</v>
      </c>
      <c r="K48" s="35"/>
      <c r="L48" s="35"/>
      <c r="M48" s="35"/>
      <c r="AZ48" s="29">
        <v>220</v>
      </c>
      <c r="BA48" s="2">
        <v>17</v>
      </c>
      <c r="BB48" s="2">
        <v>6</v>
      </c>
      <c r="BC48" s="2">
        <v>119</v>
      </c>
      <c r="BD48" s="2">
        <v>9</v>
      </c>
      <c r="BE48" s="3">
        <v>44365</v>
      </c>
      <c r="BF48" s="3">
        <v>44372</v>
      </c>
      <c r="BG48" s="3">
        <v>44373</v>
      </c>
      <c r="BH48" s="2">
        <v>60</v>
      </c>
      <c r="BI48" s="29" t="s">
        <v>197</v>
      </c>
      <c r="BL48" s="2"/>
      <c r="BM48" s="2"/>
      <c r="BN48" s="2"/>
      <c r="BO48" s="3"/>
      <c r="BP48" s="3"/>
      <c r="BQ48" s="6"/>
      <c r="BR48" s="3"/>
      <c r="BS48" s="14"/>
    </row>
    <row r="49" spans="1:71">
      <c r="A49" s="29">
        <v>48</v>
      </c>
      <c r="B49" s="2">
        <v>4</v>
      </c>
      <c r="C49" s="2">
        <v>1</v>
      </c>
      <c r="D49" s="2">
        <v>43</v>
      </c>
      <c r="E49" s="2">
        <v>1</v>
      </c>
      <c r="F49" s="3">
        <v>44326</v>
      </c>
      <c r="G49" s="3">
        <v>44333</v>
      </c>
      <c r="H49" s="3">
        <v>44334</v>
      </c>
      <c r="I49" s="2">
        <v>20</v>
      </c>
      <c r="J49" s="29" t="s">
        <v>197</v>
      </c>
      <c r="K49" s="35"/>
      <c r="L49" s="35"/>
      <c r="M49" s="35"/>
      <c r="AZ49" s="29">
        <v>221</v>
      </c>
      <c r="BA49" s="2">
        <v>18</v>
      </c>
      <c r="BB49" s="2">
        <v>6</v>
      </c>
      <c r="BC49" s="2">
        <v>119</v>
      </c>
      <c r="BD49" s="2">
        <v>9</v>
      </c>
      <c r="BE49" s="3">
        <v>44365</v>
      </c>
      <c r="BF49" s="3">
        <v>44372</v>
      </c>
      <c r="BG49" s="3">
        <v>44373</v>
      </c>
      <c r="BH49" s="2">
        <v>50</v>
      </c>
      <c r="BI49" s="29" t="s">
        <v>197</v>
      </c>
      <c r="BL49" s="2"/>
      <c r="BM49" s="2"/>
      <c r="BN49" s="2"/>
      <c r="BO49" s="3"/>
      <c r="BP49" s="3"/>
      <c r="BQ49" s="6"/>
      <c r="BR49" s="3"/>
      <c r="BS49" s="14"/>
    </row>
    <row r="50" spans="1:71">
      <c r="A50" s="29">
        <v>49</v>
      </c>
      <c r="B50" s="2">
        <v>18</v>
      </c>
      <c r="C50" s="2">
        <v>1</v>
      </c>
      <c r="D50" s="2">
        <v>43</v>
      </c>
      <c r="E50" s="2">
        <v>1</v>
      </c>
      <c r="F50" s="3">
        <v>44326</v>
      </c>
      <c r="G50" s="3">
        <v>44333</v>
      </c>
      <c r="H50" s="3">
        <v>44334</v>
      </c>
      <c r="I50" s="2">
        <v>0</v>
      </c>
      <c r="J50" s="29" t="s">
        <v>197</v>
      </c>
      <c r="K50" s="35"/>
      <c r="L50" s="35"/>
      <c r="M50" s="35"/>
      <c r="AZ50" s="29">
        <v>222</v>
      </c>
      <c r="BA50" s="2">
        <v>19</v>
      </c>
      <c r="BB50" s="2">
        <v>6</v>
      </c>
      <c r="BC50" s="2">
        <v>119</v>
      </c>
      <c r="BD50" s="2">
        <v>9</v>
      </c>
      <c r="BE50" s="3">
        <v>44365</v>
      </c>
      <c r="BF50" s="3">
        <v>44372</v>
      </c>
      <c r="BG50" s="3">
        <v>44373</v>
      </c>
      <c r="BH50" s="2">
        <v>40</v>
      </c>
      <c r="BI50" s="29" t="s">
        <v>197</v>
      </c>
      <c r="BL50" s="2"/>
      <c r="BM50" s="2"/>
      <c r="BN50" s="2"/>
      <c r="BO50" s="3"/>
      <c r="BP50" s="3"/>
      <c r="BQ50" s="6"/>
      <c r="BR50" s="3"/>
      <c r="BS50" s="14"/>
    </row>
    <row r="51" spans="1:71">
      <c r="A51" s="29">
        <v>50</v>
      </c>
      <c r="B51" s="2">
        <v>23</v>
      </c>
      <c r="C51" s="2">
        <v>1</v>
      </c>
      <c r="D51" s="2">
        <v>43</v>
      </c>
      <c r="E51" s="2">
        <v>1</v>
      </c>
      <c r="F51" s="3">
        <v>44326</v>
      </c>
      <c r="G51" s="3">
        <v>44333</v>
      </c>
      <c r="H51" s="3">
        <v>44334</v>
      </c>
      <c r="I51" s="2">
        <v>40</v>
      </c>
      <c r="J51" s="29" t="s">
        <v>197</v>
      </c>
      <c r="K51" s="35"/>
      <c r="L51" s="35"/>
      <c r="M51" s="35"/>
      <c r="AZ51" s="29">
        <v>223</v>
      </c>
      <c r="BA51" s="2">
        <v>15</v>
      </c>
      <c r="BB51" s="2">
        <v>6</v>
      </c>
      <c r="BC51" s="2">
        <v>127</v>
      </c>
      <c r="BD51" s="2">
        <v>10</v>
      </c>
      <c r="BE51" s="3">
        <v>44365</v>
      </c>
      <c r="BF51" s="3">
        <v>44372</v>
      </c>
      <c r="BG51" s="3">
        <v>44373</v>
      </c>
      <c r="BH51" s="2">
        <v>20</v>
      </c>
      <c r="BI51" s="29" t="s">
        <v>197</v>
      </c>
      <c r="BL51" s="2"/>
      <c r="BM51" s="2"/>
      <c r="BN51" s="2"/>
      <c r="BO51" s="3"/>
      <c r="BP51" s="3"/>
      <c r="BQ51" s="6"/>
      <c r="BR51" s="3"/>
      <c r="BS51" s="14"/>
    </row>
    <row r="52" spans="1:71">
      <c r="A52" s="29">
        <v>51</v>
      </c>
      <c r="B52" s="2">
        <v>1</v>
      </c>
      <c r="C52" s="2">
        <v>1</v>
      </c>
      <c r="D52" s="2">
        <v>150</v>
      </c>
      <c r="E52" s="2">
        <v>38</v>
      </c>
      <c r="F52" s="3">
        <v>44389</v>
      </c>
      <c r="G52" s="3">
        <v>44396</v>
      </c>
      <c r="H52" s="3">
        <v>44397</v>
      </c>
      <c r="I52" s="2">
        <v>100</v>
      </c>
      <c r="J52" s="29" t="s">
        <v>198</v>
      </c>
      <c r="K52" s="35"/>
      <c r="L52" s="35"/>
      <c r="M52" s="35"/>
      <c r="AZ52" s="29">
        <v>224</v>
      </c>
      <c r="BA52" s="2">
        <v>16</v>
      </c>
      <c r="BB52" s="2">
        <v>6</v>
      </c>
      <c r="BC52" s="2">
        <v>127</v>
      </c>
      <c r="BD52" s="2">
        <v>10</v>
      </c>
      <c r="BE52" s="3">
        <v>44365</v>
      </c>
      <c r="BF52" s="3">
        <v>44372</v>
      </c>
      <c r="BG52" s="3">
        <v>44373</v>
      </c>
      <c r="BH52" s="2">
        <v>30</v>
      </c>
      <c r="BI52" s="29" t="s">
        <v>197</v>
      </c>
      <c r="BL52" s="2"/>
      <c r="BM52" s="2"/>
      <c r="BN52" s="2"/>
      <c r="BO52" s="3"/>
      <c r="BP52" s="3"/>
      <c r="BQ52" s="6"/>
      <c r="BR52" s="3"/>
      <c r="BS52" s="14"/>
    </row>
    <row r="53" spans="1:71">
      <c r="A53" s="29">
        <v>52</v>
      </c>
      <c r="B53" s="2">
        <v>22</v>
      </c>
      <c r="C53" s="2">
        <v>1</v>
      </c>
      <c r="D53" s="2">
        <v>43</v>
      </c>
      <c r="E53" s="2">
        <v>16</v>
      </c>
      <c r="F53" s="3">
        <v>44368</v>
      </c>
      <c r="G53" s="3">
        <v>44375</v>
      </c>
      <c r="H53" s="3">
        <v>44376</v>
      </c>
      <c r="I53" s="2">
        <v>30</v>
      </c>
      <c r="J53" s="29" t="s">
        <v>197</v>
      </c>
      <c r="K53" s="35"/>
      <c r="L53" s="35"/>
      <c r="M53" s="35"/>
      <c r="AZ53" s="29">
        <v>225</v>
      </c>
      <c r="BA53" s="2">
        <v>17</v>
      </c>
      <c r="BB53" s="2">
        <v>6</v>
      </c>
      <c r="BC53" s="2">
        <v>127</v>
      </c>
      <c r="BD53" s="2">
        <v>10</v>
      </c>
      <c r="BE53" s="3">
        <v>44365</v>
      </c>
      <c r="BF53" s="3">
        <v>44372</v>
      </c>
      <c r="BG53" s="3">
        <v>44373</v>
      </c>
      <c r="BH53" s="2">
        <v>30</v>
      </c>
      <c r="BI53" s="29" t="s">
        <v>197</v>
      </c>
      <c r="BL53" s="2"/>
      <c r="BM53" s="2"/>
      <c r="BN53" s="2"/>
      <c r="BO53" s="3"/>
      <c r="BP53" s="3"/>
      <c r="BQ53" s="6"/>
      <c r="BR53" s="3"/>
      <c r="BS53" s="14"/>
    </row>
    <row r="54" spans="1:71">
      <c r="A54" s="29">
        <v>53</v>
      </c>
      <c r="B54" s="2">
        <v>19</v>
      </c>
      <c r="C54" s="2">
        <v>1</v>
      </c>
      <c r="D54" s="2">
        <v>43</v>
      </c>
      <c r="E54" s="2">
        <v>16</v>
      </c>
      <c r="F54" s="3">
        <v>44368</v>
      </c>
      <c r="G54" s="3">
        <v>44375</v>
      </c>
      <c r="H54" s="3">
        <v>44376</v>
      </c>
      <c r="I54" s="2">
        <v>20</v>
      </c>
      <c r="J54" s="29" t="s">
        <v>197</v>
      </c>
      <c r="K54" s="35"/>
      <c r="L54" s="35"/>
      <c r="M54" s="35"/>
      <c r="AZ54" s="29">
        <v>226</v>
      </c>
      <c r="BA54" s="2">
        <v>18</v>
      </c>
      <c r="BB54" s="2">
        <v>6</v>
      </c>
      <c r="BC54" s="2">
        <v>127</v>
      </c>
      <c r="BD54" s="2">
        <v>10</v>
      </c>
      <c r="BE54" s="3">
        <v>44365</v>
      </c>
      <c r="BF54" s="3">
        <v>44372</v>
      </c>
      <c r="BG54" s="3">
        <v>44373</v>
      </c>
      <c r="BH54" s="2">
        <v>30</v>
      </c>
      <c r="BI54" s="29" t="s">
        <v>197</v>
      </c>
      <c r="BL54" s="2"/>
      <c r="BM54" s="2"/>
      <c r="BN54" s="2"/>
      <c r="BO54" s="3"/>
      <c r="BP54" s="3"/>
      <c r="BQ54" s="6"/>
      <c r="BR54" s="3"/>
      <c r="BS54" s="14"/>
    </row>
    <row r="55" spans="1:71">
      <c r="A55" s="29">
        <v>54</v>
      </c>
      <c r="B55" s="2">
        <v>1</v>
      </c>
      <c r="C55" s="2">
        <v>3</v>
      </c>
      <c r="D55" s="2">
        <v>1</v>
      </c>
      <c r="E55" s="2">
        <v>1</v>
      </c>
      <c r="F55" s="3">
        <v>44326</v>
      </c>
      <c r="G55" s="3">
        <v>44333</v>
      </c>
      <c r="H55" s="3">
        <v>44333</v>
      </c>
      <c r="I55" s="2">
        <v>30</v>
      </c>
      <c r="J55" s="29" t="s">
        <v>197</v>
      </c>
      <c r="K55" s="35"/>
      <c r="L55" s="35"/>
      <c r="M55" s="35"/>
      <c r="AZ55" s="29">
        <v>227</v>
      </c>
      <c r="BA55" s="2">
        <v>19</v>
      </c>
      <c r="BB55" s="2">
        <v>6</v>
      </c>
      <c r="BC55" s="2">
        <v>127</v>
      </c>
      <c r="BD55" s="2">
        <v>10</v>
      </c>
      <c r="BE55" s="3">
        <v>44365</v>
      </c>
      <c r="BF55" s="3">
        <v>44372</v>
      </c>
      <c r="BG55" s="3">
        <v>44373</v>
      </c>
      <c r="BH55" s="2">
        <v>60</v>
      </c>
      <c r="BI55" s="29" t="s">
        <v>197</v>
      </c>
      <c r="BL55" s="2"/>
      <c r="BM55" s="2"/>
      <c r="BN55" s="2"/>
      <c r="BO55" s="3"/>
      <c r="BP55" s="3"/>
      <c r="BQ55" s="6"/>
      <c r="BR55" s="3"/>
      <c r="BS55" s="14"/>
    </row>
    <row r="56" spans="1:71">
      <c r="A56" s="29">
        <v>55</v>
      </c>
      <c r="B56" s="2">
        <v>2</v>
      </c>
      <c r="C56" s="2">
        <v>3</v>
      </c>
      <c r="D56" s="2">
        <v>1</v>
      </c>
      <c r="E56" s="2">
        <v>1</v>
      </c>
      <c r="F56" s="3">
        <v>44326</v>
      </c>
      <c r="G56" s="3">
        <v>44333</v>
      </c>
      <c r="H56" s="3">
        <v>44333</v>
      </c>
      <c r="I56" s="2">
        <v>50</v>
      </c>
      <c r="J56" s="29" t="s">
        <v>197</v>
      </c>
      <c r="K56" s="35"/>
      <c r="L56" s="35"/>
      <c r="M56" s="35"/>
      <c r="AZ56" s="29">
        <v>228</v>
      </c>
      <c r="BA56" s="2">
        <v>11</v>
      </c>
      <c r="BB56" s="2">
        <v>6</v>
      </c>
      <c r="BC56" s="2">
        <v>127</v>
      </c>
      <c r="BD56" s="2">
        <v>10</v>
      </c>
      <c r="BE56" s="3">
        <v>44365</v>
      </c>
      <c r="BF56" s="3">
        <v>44372</v>
      </c>
      <c r="BG56" s="3">
        <v>44373</v>
      </c>
      <c r="BH56" s="2">
        <v>50</v>
      </c>
      <c r="BI56" s="29" t="s">
        <v>197</v>
      </c>
      <c r="BL56" s="2"/>
      <c r="BM56" s="2"/>
      <c r="BN56" s="2"/>
      <c r="BO56" s="3"/>
      <c r="BP56" s="3"/>
      <c r="BQ56" s="6"/>
      <c r="BR56" s="3"/>
      <c r="BS56" s="14"/>
    </row>
    <row r="57" spans="1:71">
      <c r="A57" s="29">
        <v>56</v>
      </c>
      <c r="B57" s="2">
        <v>3</v>
      </c>
      <c r="C57" s="2">
        <v>3</v>
      </c>
      <c r="D57" s="2">
        <v>1</v>
      </c>
      <c r="E57" s="2">
        <v>1</v>
      </c>
      <c r="F57" s="3">
        <v>44326</v>
      </c>
      <c r="G57" s="3">
        <v>44333</v>
      </c>
      <c r="H57" s="3">
        <v>44333</v>
      </c>
      <c r="I57" s="2">
        <v>60</v>
      </c>
      <c r="J57" s="29" t="s">
        <v>197</v>
      </c>
      <c r="K57" s="35"/>
      <c r="L57" s="35"/>
      <c r="M57" s="35"/>
      <c r="AZ57" s="29"/>
      <c r="BA57" s="2"/>
      <c r="BB57" s="2"/>
      <c r="BC57" s="2"/>
      <c r="BD57" s="2"/>
      <c r="BE57" s="3"/>
      <c r="BF57" s="3"/>
      <c r="BG57" s="3"/>
      <c r="BH57" s="2"/>
      <c r="BI57" s="29"/>
      <c r="BL57" s="2"/>
      <c r="BM57" s="2"/>
      <c r="BN57" s="2"/>
      <c r="BO57" s="3"/>
      <c r="BP57" s="3"/>
      <c r="BQ57" s="6"/>
      <c r="BR57" s="3"/>
      <c r="BS57" s="14"/>
    </row>
    <row r="58" spans="1:71">
      <c r="A58" s="29">
        <v>57</v>
      </c>
      <c r="B58" s="2">
        <v>4</v>
      </c>
      <c r="C58" s="2">
        <v>3</v>
      </c>
      <c r="D58" s="2">
        <v>1</v>
      </c>
      <c r="E58" s="2">
        <v>1</v>
      </c>
      <c r="F58" s="3">
        <v>44326</v>
      </c>
      <c r="G58" s="3">
        <v>44333</v>
      </c>
      <c r="H58" s="3">
        <v>44333</v>
      </c>
      <c r="I58" s="2">
        <v>50</v>
      </c>
      <c r="J58" s="29" t="s">
        <v>197</v>
      </c>
      <c r="K58" s="35"/>
      <c r="L58" s="35"/>
      <c r="M58" s="35"/>
      <c r="AZ58" s="29"/>
      <c r="BA58" s="2"/>
      <c r="BB58" s="2"/>
      <c r="BC58" s="2"/>
      <c r="BD58" s="2"/>
      <c r="BE58" s="3"/>
      <c r="BF58" s="3"/>
      <c r="BG58" s="3"/>
      <c r="BH58" s="2"/>
      <c r="BI58" s="29"/>
      <c r="BL58" s="2"/>
      <c r="BM58" s="2"/>
      <c r="BN58" s="2"/>
      <c r="BO58" s="3"/>
      <c r="BP58" s="3"/>
      <c r="BQ58" s="6"/>
      <c r="BR58" s="3"/>
      <c r="BS58" s="14"/>
    </row>
    <row r="59" spans="1:71">
      <c r="A59" s="29">
        <v>58</v>
      </c>
      <c r="B59" s="2">
        <v>10</v>
      </c>
      <c r="C59" s="2">
        <v>6</v>
      </c>
      <c r="D59" s="2">
        <v>58</v>
      </c>
      <c r="E59" s="2">
        <v>1</v>
      </c>
      <c r="F59" s="3">
        <v>44326</v>
      </c>
      <c r="G59" s="3">
        <v>44333</v>
      </c>
      <c r="H59" s="3">
        <v>44334</v>
      </c>
      <c r="I59" s="2">
        <v>60</v>
      </c>
      <c r="J59" s="29" t="s">
        <v>197</v>
      </c>
      <c r="K59" s="35"/>
      <c r="L59" s="35"/>
      <c r="M59" s="35"/>
      <c r="AZ59" s="29"/>
      <c r="BA59" s="2"/>
      <c r="BB59" s="2"/>
      <c r="BC59" s="2"/>
      <c r="BD59" s="2"/>
      <c r="BE59" s="3"/>
      <c r="BF59" s="3"/>
      <c r="BG59" s="3"/>
      <c r="BH59" s="2"/>
      <c r="BI59" s="29"/>
      <c r="BL59" s="2"/>
      <c r="BM59" s="2"/>
      <c r="BN59" s="2"/>
      <c r="BO59" s="3"/>
      <c r="BP59" s="3"/>
      <c r="BQ59" s="6"/>
      <c r="BR59" s="3"/>
      <c r="BS59" s="14"/>
    </row>
    <row r="60" spans="1:71">
      <c r="A60" s="29">
        <v>59</v>
      </c>
      <c r="B60" s="2">
        <v>12</v>
      </c>
      <c r="C60" s="2">
        <v>6</v>
      </c>
      <c r="D60" s="2">
        <v>58</v>
      </c>
      <c r="E60" s="2">
        <v>1</v>
      </c>
      <c r="F60" s="3">
        <v>44326</v>
      </c>
      <c r="G60" s="3">
        <v>44333</v>
      </c>
      <c r="H60" s="3">
        <v>44334</v>
      </c>
      <c r="I60" s="2">
        <v>40</v>
      </c>
      <c r="J60" s="29" t="s">
        <v>197</v>
      </c>
      <c r="K60" s="35"/>
      <c r="L60" s="35"/>
      <c r="M60" s="35"/>
      <c r="AZ60" s="29"/>
      <c r="BA60" s="2"/>
      <c r="BB60" s="2"/>
      <c r="BC60" s="2"/>
      <c r="BD60" s="2"/>
      <c r="BE60" s="3"/>
      <c r="BF60" s="3"/>
      <c r="BG60" s="3"/>
      <c r="BH60" s="2"/>
      <c r="BI60" s="29"/>
      <c r="BL60" s="2"/>
      <c r="BM60" s="2"/>
      <c r="BN60" s="2"/>
      <c r="BO60" s="3"/>
      <c r="BP60" s="3"/>
      <c r="BQ60" s="6"/>
      <c r="BR60" s="3"/>
      <c r="BS60" s="14"/>
    </row>
    <row r="61" spans="1:71">
      <c r="A61" s="29">
        <v>60</v>
      </c>
      <c r="B61" s="2">
        <v>1</v>
      </c>
      <c r="C61" s="2">
        <v>6</v>
      </c>
      <c r="D61" s="2">
        <v>58</v>
      </c>
      <c r="E61" s="2">
        <v>1</v>
      </c>
      <c r="F61" s="3">
        <v>44326</v>
      </c>
      <c r="G61" s="3">
        <v>44333</v>
      </c>
      <c r="H61" s="3">
        <v>44334</v>
      </c>
      <c r="I61" s="2">
        <v>50</v>
      </c>
      <c r="J61" s="29" t="s">
        <v>197</v>
      </c>
      <c r="K61" s="35"/>
      <c r="L61" s="35"/>
      <c r="M61" s="35"/>
      <c r="AZ61" s="29"/>
      <c r="BA61" s="2"/>
      <c r="BB61" s="2"/>
      <c r="BC61" s="2"/>
      <c r="BD61" s="2"/>
      <c r="BE61" s="3"/>
      <c r="BF61" s="3"/>
      <c r="BG61" s="3"/>
      <c r="BH61" s="2"/>
      <c r="BI61" s="29"/>
      <c r="BL61" s="2"/>
      <c r="BM61" s="2"/>
      <c r="BN61" s="2"/>
      <c r="BO61" s="3"/>
      <c r="BP61" s="3"/>
      <c r="BQ61" s="6"/>
      <c r="BR61" s="3"/>
      <c r="BS61" s="14"/>
    </row>
    <row r="62" spans="1:71">
      <c r="A62" s="29">
        <v>61</v>
      </c>
      <c r="B62" s="2">
        <v>2</v>
      </c>
      <c r="C62" s="2">
        <v>6</v>
      </c>
      <c r="D62" s="2">
        <v>58</v>
      </c>
      <c r="E62" s="2">
        <v>1</v>
      </c>
      <c r="F62" s="3">
        <v>44326</v>
      </c>
      <c r="G62" s="3">
        <v>44333</v>
      </c>
      <c r="H62" s="3">
        <v>44334</v>
      </c>
      <c r="I62" s="2">
        <v>60</v>
      </c>
      <c r="J62" s="29" t="s">
        <v>197</v>
      </c>
      <c r="K62" s="35"/>
      <c r="L62" s="35"/>
      <c r="M62" s="35"/>
      <c r="AZ62" s="29"/>
      <c r="BA62" s="2"/>
      <c r="BB62" s="2"/>
      <c r="BC62" s="2"/>
      <c r="BD62" s="2"/>
      <c r="BE62" s="3"/>
      <c r="BF62" s="3"/>
      <c r="BG62" s="3"/>
      <c r="BH62" s="2"/>
      <c r="BI62" s="29"/>
      <c r="BL62" s="2"/>
      <c r="BM62" s="2"/>
      <c r="BN62" s="2"/>
      <c r="BO62" s="3"/>
      <c r="BP62" s="3"/>
      <c r="BQ62" s="6"/>
      <c r="BR62" s="3"/>
      <c r="BS62" s="14"/>
    </row>
    <row r="63" spans="1:71">
      <c r="A63" s="29">
        <v>62</v>
      </c>
      <c r="B63" s="2">
        <v>3</v>
      </c>
      <c r="C63" s="2">
        <v>6</v>
      </c>
      <c r="D63" s="2">
        <v>58</v>
      </c>
      <c r="E63" s="2">
        <v>1</v>
      </c>
      <c r="F63" s="3">
        <v>44326</v>
      </c>
      <c r="G63" s="3">
        <v>44333</v>
      </c>
      <c r="H63" s="3">
        <v>44334</v>
      </c>
      <c r="I63" s="2">
        <v>40</v>
      </c>
      <c r="J63" s="29" t="s">
        <v>197</v>
      </c>
      <c r="K63" s="35"/>
      <c r="L63" s="35"/>
      <c r="M63" s="35"/>
      <c r="AZ63" s="29"/>
      <c r="BA63" s="2"/>
      <c r="BB63" s="2"/>
      <c r="BC63" s="2"/>
      <c r="BD63" s="2"/>
      <c r="BE63" s="3"/>
      <c r="BF63" s="3"/>
      <c r="BG63" s="3"/>
      <c r="BH63" s="2"/>
      <c r="BI63" s="29"/>
      <c r="BL63" s="2"/>
      <c r="BM63" s="2"/>
      <c r="BN63" s="2"/>
      <c r="BO63" s="3"/>
      <c r="BP63" s="3"/>
      <c r="BQ63" s="6"/>
      <c r="BR63" s="3"/>
      <c r="BS63" s="14"/>
    </row>
    <row r="64" spans="1:71">
      <c r="A64" s="29">
        <v>63</v>
      </c>
      <c r="B64" s="2">
        <v>4</v>
      </c>
      <c r="C64" s="2">
        <v>6</v>
      </c>
      <c r="D64" s="2">
        <v>58</v>
      </c>
      <c r="E64" s="2">
        <v>1</v>
      </c>
      <c r="F64" s="3">
        <v>44326</v>
      </c>
      <c r="G64" s="3">
        <v>44333</v>
      </c>
      <c r="H64" s="3">
        <v>44334</v>
      </c>
      <c r="I64" s="2">
        <v>10</v>
      </c>
      <c r="J64" s="29" t="s">
        <v>197</v>
      </c>
      <c r="K64" s="35"/>
      <c r="L64" s="35"/>
      <c r="M64" s="35"/>
      <c r="AZ64" s="29"/>
      <c r="BA64" s="2"/>
      <c r="BB64" s="2"/>
      <c r="BC64" s="2"/>
      <c r="BD64" s="2"/>
      <c r="BE64" s="3"/>
      <c r="BF64" s="3"/>
      <c r="BG64" s="3"/>
      <c r="BH64" s="2"/>
      <c r="BI64" s="29"/>
      <c r="BL64" s="2"/>
      <c r="BM64" s="2"/>
      <c r="BN64" s="2"/>
      <c r="BO64" s="3"/>
      <c r="BP64" s="3"/>
      <c r="BQ64" s="6"/>
      <c r="BR64" s="3"/>
      <c r="BS64" s="14"/>
    </row>
    <row r="65" spans="1:71">
      <c r="A65" s="29">
        <v>64</v>
      </c>
      <c r="B65" s="2">
        <v>5</v>
      </c>
      <c r="C65" s="2">
        <v>6</v>
      </c>
      <c r="D65" s="2">
        <v>58</v>
      </c>
      <c r="E65" s="2">
        <v>1</v>
      </c>
      <c r="F65" s="3">
        <v>44326</v>
      </c>
      <c r="G65" s="3">
        <v>44333</v>
      </c>
      <c r="H65" s="3">
        <v>44334</v>
      </c>
      <c r="I65" s="2">
        <v>20</v>
      </c>
      <c r="J65" s="29" t="s">
        <v>197</v>
      </c>
      <c r="K65" s="35"/>
      <c r="L65" s="35"/>
      <c r="M65" s="35"/>
      <c r="AZ65" s="29"/>
      <c r="BA65" s="2"/>
      <c r="BB65" s="2"/>
      <c r="BC65" s="2"/>
      <c r="BD65" s="2"/>
      <c r="BE65" s="3"/>
      <c r="BF65" s="3"/>
      <c r="BG65" s="3"/>
      <c r="BH65" s="2"/>
      <c r="BI65" s="29"/>
      <c r="BL65" s="2"/>
      <c r="BM65" s="2"/>
      <c r="BN65" s="2"/>
      <c r="BO65" s="3"/>
      <c r="BP65" s="3"/>
      <c r="BQ65" s="6"/>
      <c r="BR65" s="3"/>
      <c r="BS65" s="14"/>
    </row>
    <row r="66" spans="1:71">
      <c r="A66" s="29">
        <v>65</v>
      </c>
      <c r="B66" s="2">
        <v>6</v>
      </c>
      <c r="C66" s="2">
        <v>6</v>
      </c>
      <c r="D66" s="2">
        <v>58</v>
      </c>
      <c r="E66" s="2">
        <v>1</v>
      </c>
      <c r="F66" s="3">
        <v>44326</v>
      </c>
      <c r="G66" s="3">
        <v>44333</v>
      </c>
      <c r="H66" s="3">
        <v>44334</v>
      </c>
      <c r="I66" s="2">
        <v>80</v>
      </c>
      <c r="J66" s="29" t="s">
        <v>198</v>
      </c>
      <c r="K66" s="35"/>
      <c r="L66" s="35"/>
      <c r="M66" s="35"/>
      <c r="AZ66" s="29"/>
      <c r="BA66" s="2"/>
      <c r="BB66" s="2"/>
      <c r="BC66" s="2"/>
      <c r="BD66" s="2"/>
      <c r="BE66" s="3"/>
      <c r="BF66" s="3"/>
      <c r="BG66" s="3"/>
      <c r="BH66" s="2"/>
      <c r="BI66" s="29"/>
      <c r="BL66" s="2"/>
      <c r="BM66" s="2"/>
      <c r="BN66" s="2"/>
      <c r="BO66" s="3"/>
      <c r="BP66" s="3"/>
      <c r="BQ66" s="6"/>
      <c r="BR66" s="3"/>
      <c r="BS66" s="14"/>
    </row>
    <row r="67" spans="1:71">
      <c r="A67" s="29">
        <v>66</v>
      </c>
      <c r="B67" s="2">
        <v>30</v>
      </c>
      <c r="C67" s="2">
        <v>1</v>
      </c>
      <c r="D67" s="2">
        <v>14</v>
      </c>
      <c r="E67" s="2">
        <v>8</v>
      </c>
      <c r="F67" s="3">
        <v>44363</v>
      </c>
      <c r="G67" s="3">
        <v>44370</v>
      </c>
      <c r="H67" s="3">
        <v>44371</v>
      </c>
      <c r="I67" s="2">
        <v>0</v>
      </c>
      <c r="J67" s="29" t="s">
        <v>197</v>
      </c>
      <c r="K67" s="35"/>
      <c r="L67" s="35"/>
      <c r="M67" s="35"/>
      <c r="AZ67" s="29"/>
      <c r="BA67" s="2"/>
      <c r="BB67" s="2"/>
      <c r="BC67" s="2"/>
      <c r="BD67" s="2"/>
      <c r="BE67" s="3"/>
      <c r="BF67" s="3"/>
      <c r="BG67" s="3"/>
      <c r="BH67" s="2"/>
      <c r="BI67" s="29"/>
      <c r="BL67" s="2"/>
      <c r="BM67" s="2"/>
      <c r="BN67" s="2"/>
      <c r="BO67" s="3"/>
      <c r="BP67" s="3"/>
      <c r="BQ67" s="6"/>
      <c r="BR67" s="3"/>
      <c r="BS67" s="14"/>
    </row>
    <row r="68" spans="1:71">
      <c r="A68" s="29">
        <v>67</v>
      </c>
      <c r="B68" s="2">
        <v>27</v>
      </c>
      <c r="C68" s="2">
        <v>1</v>
      </c>
      <c r="D68" s="2">
        <v>14</v>
      </c>
      <c r="E68" s="2">
        <v>8</v>
      </c>
      <c r="F68" s="3">
        <v>44363</v>
      </c>
      <c r="G68" s="3">
        <v>44370</v>
      </c>
      <c r="H68" s="3">
        <v>44371</v>
      </c>
      <c r="I68" s="2">
        <v>30</v>
      </c>
      <c r="J68" s="29" t="s">
        <v>197</v>
      </c>
      <c r="K68" s="35"/>
      <c r="L68" s="35"/>
      <c r="M68" s="35"/>
      <c r="AZ68" s="29"/>
      <c r="BA68" s="2"/>
      <c r="BB68" s="2"/>
      <c r="BC68" s="2"/>
      <c r="BD68" s="2"/>
      <c r="BE68" s="3"/>
      <c r="BF68" s="3"/>
      <c r="BG68" s="3"/>
      <c r="BH68" s="2"/>
      <c r="BI68" s="29"/>
      <c r="BL68" s="2"/>
      <c r="BM68" s="2"/>
      <c r="BN68" s="2"/>
      <c r="BO68" s="3"/>
      <c r="BP68" s="3"/>
      <c r="BQ68" s="6"/>
      <c r="BR68" s="3"/>
      <c r="BS68" s="14"/>
    </row>
    <row r="69" spans="1:71">
      <c r="A69" s="29">
        <v>68</v>
      </c>
      <c r="B69" s="2">
        <v>18</v>
      </c>
      <c r="C69" s="2">
        <v>1</v>
      </c>
      <c r="D69" s="2">
        <v>15</v>
      </c>
      <c r="E69" s="2">
        <v>9</v>
      </c>
      <c r="F69" s="3">
        <v>44365</v>
      </c>
      <c r="G69" s="3">
        <v>44372</v>
      </c>
      <c r="H69" s="3">
        <v>44373</v>
      </c>
      <c r="I69" s="2">
        <v>10</v>
      </c>
      <c r="J69" s="29" t="s">
        <v>197</v>
      </c>
      <c r="K69" s="35"/>
      <c r="L69" s="35"/>
      <c r="M69" s="35"/>
      <c r="AZ69" s="29"/>
      <c r="BA69" s="2"/>
      <c r="BB69" s="2"/>
      <c r="BC69" s="2"/>
      <c r="BD69" s="2"/>
      <c r="BE69" s="3"/>
      <c r="BF69" s="3"/>
      <c r="BG69" s="3"/>
      <c r="BH69" s="2"/>
      <c r="BI69" s="29"/>
      <c r="BL69" s="2"/>
      <c r="BM69" s="2"/>
      <c r="BN69" s="2"/>
      <c r="BO69" s="3"/>
      <c r="BP69" s="3"/>
      <c r="BQ69" s="6"/>
      <c r="BR69" s="3"/>
      <c r="BS69" s="14"/>
    </row>
    <row r="70" spans="1:71">
      <c r="A70" s="29">
        <v>69</v>
      </c>
      <c r="B70" s="2">
        <v>11</v>
      </c>
      <c r="C70" s="2">
        <v>1</v>
      </c>
      <c r="D70" s="2">
        <v>15</v>
      </c>
      <c r="E70" s="2">
        <v>9</v>
      </c>
      <c r="F70" s="3">
        <v>44365</v>
      </c>
      <c r="G70" s="3">
        <v>44372</v>
      </c>
      <c r="H70" s="3">
        <v>44373</v>
      </c>
      <c r="I70" s="2">
        <v>0</v>
      </c>
      <c r="J70" s="29" t="s">
        <v>197</v>
      </c>
      <c r="K70" s="35"/>
      <c r="L70" s="35"/>
      <c r="M70" s="35"/>
      <c r="AZ70" s="29"/>
      <c r="BA70" s="2"/>
      <c r="BB70" s="2"/>
      <c r="BC70" s="2"/>
      <c r="BD70" s="2"/>
      <c r="BE70" s="3"/>
      <c r="BF70" s="3"/>
      <c r="BG70" s="3"/>
      <c r="BH70" s="2"/>
      <c r="BI70" s="29"/>
      <c r="BL70" s="2"/>
      <c r="BM70" s="2"/>
      <c r="BN70" s="2"/>
      <c r="BO70" s="3"/>
      <c r="BP70" s="3"/>
      <c r="BQ70" s="6"/>
      <c r="BR70" s="3"/>
      <c r="BS70" s="14"/>
    </row>
    <row r="71" spans="1:71">
      <c r="A71" s="29">
        <v>70</v>
      </c>
      <c r="B71" s="2">
        <v>25</v>
      </c>
      <c r="C71" s="2">
        <v>1</v>
      </c>
      <c r="D71" s="2">
        <v>15</v>
      </c>
      <c r="E71" s="2">
        <v>9</v>
      </c>
      <c r="F71" s="3">
        <v>44365</v>
      </c>
      <c r="G71" s="3">
        <v>44372</v>
      </c>
      <c r="H71" s="3">
        <v>44373</v>
      </c>
      <c r="I71" s="2">
        <v>20</v>
      </c>
      <c r="J71" s="29" t="s">
        <v>197</v>
      </c>
      <c r="K71" s="35"/>
      <c r="L71" s="35"/>
      <c r="M71" s="35"/>
      <c r="AZ71" s="29"/>
      <c r="BA71" s="2"/>
      <c r="BB71" s="2"/>
      <c r="BC71" s="2"/>
      <c r="BD71" s="2"/>
      <c r="BE71" s="3"/>
      <c r="BF71" s="3"/>
      <c r="BG71" s="3"/>
      <c r="BH71" s="2"/>
      <c r="BI71" s="29"/>
      <c r="BL71" s="2"/>
      <c r="BM71" s="2"/>
      <c r="BN71" s="2"/>
      <c r="BO71" s="3"/>
      <c r="BP71" s="3"/>
      <c r="BQ71" s="6"/>
      <c r="BR71" s="3"/>
      <c r="BS71" s="14"/>
    </row>
    <row r="72" spans="1:71">
      <c r="A72" s="29">
        <v>71</v>
      </c>
      <c r="B72" s="2">
        <v>6</v>
      </c>
      <c r="C72" s="2">
        <v>1</v>
      </c>
      <c r="D72" s="2">
        <v>15</v>
      </c>
      <c r="E72" s="2">
        <v>9</v>
      </c>
      <c r="F72" s="3">
        <v>44365</v>
      </c>
      <c r="G72" s="3">
        <v>44372</v>
      </c>
      <c r="H72" s="3">
        <v>44373</v>
      </c>
      <c r="I72" s="2">
        <v>50</v>
      </c>
      <c r="J72" s="29" t="s">
        <v>197</v>
      </c>
      <c r="K72" s="35"/>
      <c r="L72" s="35"/>
      <c r="M72" s="35"/>
      <c r="AZ72" s="29"/>
      <c r="BA72" s="2"/>
      <c r="BB72" s="2"/>
      <c r="BC72" s="2"/>
      <c r="BD72" s="2"/>
      <c r="BE72" s="3"/>
      <c r="BF72" s="3"/>
      <c r="BG72" s="3"/>
      <c r="BH72" s="2"/>
      <c r="BI72" s="29"/>
      <c r="BL72" s="2"/>
      <c r="BM72" s="2"/>
      <c r="BN72" s="2"/>
      <c r="BO72" s="3"/>
      <c r="BP72" s="3"/>
      <c r="BQ72" s="6"/>
      <c r="BR72" s="3"/>
      <c r="BS72" s="14"/>
    </row>
    <row r="73" spans="1:71">
      <c r="A73" s="29">
        <v>72</v>
      </c>
      <c r="B73" s="2">
        <v>8</v>
      </c>
      <c r="C73" s="2">
        <v>1</v>
      </c>
      <c r="D73" s="2">
        <v>15</v>
      </c>
      <c r="E73" s="2">
        <v>9</v>
      </c>
      <c r="F73" s="3">
        <v>44365</v>
      </c>
      <c r="G73" s="3">
        <v>44372</v>
      </c>
      <c r="H73" s="3">
        <v>44373</v>
      </c>
      <c r="I73" s="2">
        <v>0</v>
      </c>
      <c r="J73" s="29" t="s">
        <v>197</v>
      </c>
      <c r="K73" s="35"/>
      <c r="L73" s="35"/>
      <c r="M73" s="35"/>
      <c r="AZ73" s="29"/>
      <c r="BA73" s="2"/>
      <c r="BB73" s="2"/>
      <c r="BC73" s="2"/>
      <c r="BD73" s="2"/>
      <c r="BE73" s="3"/>
      <c r="BF73" s="3"/>
      <c r="BG73" s="3"/>
      <c r="BH73" s="2"/>
      <c r="BI73" s="29"/>
      <c r="BL73" s="2"/>
      <c r="BM73" s="2"/>
      <c r="BN73" s="2"/>
      <c r="BO73" s="3"/>
      <c r="BP73" s="3"/>
      <c r="BQ73" s="6"/>
      <c r="BR73" s="3"/>
      <c r="BS73" s="14"/>
    </row>
    <row r="74" spans="1:71">
      <c r="A74" s="29">
        <v>73</v>
      </c>
      <c r="B74" s="2">
        <v>15</v>
      </c>
      <c r="C74" s="2">
        <v>1</v>
      </c>
      <c r="D74" s="2">
        <v>17</v>
      </c>
      <c r="E74" s="2">
        <v>11</v>
      </c>
      <c r="F74" s="3">
        <v>44365</v>
      </c>
      <c r="G74" s="3">
        <v>44372</v>
      </c>
      <c r="H74" s="3">
        <v>44373</v>
      </c>
      <c r="I74" s="2">
        <v>40</v>
      </c>
      <c r="J74" s="29" t="s">
        <v>197</v>
      </c>
      <c r="K74" s="35"/>
      <c r="L74" s="35"/>
      <c r="M74" s="35"/>
      <c r="AZ74" s="29"/>
      <c r="BA74" s="2"/>
      <c r="BB74" s="2"/>
      <c r="BC74" s="2"/>
      <c r="BD74" s="2"/>
      <c r="BE74" s="3"/>
      <c r="BF74" s="3"/>
      <c r="BG74" s="3"/>
      <c r="BH74" s="2"/>
      <c r="BI74" s="29"/>
      <c r="BL74" s="2"/>
      <c r="BM74" s="2"/>
      <c r="BN74" s="2"/>
      <c r="BO74" s="3"/>
      <c r="BP74" s="3"/>
      <c r="BQ74" s="6"/>
      <c r="BR74" s="3"/>
      <c r="BS74" s="14"/>
    </row>
    <row r="75" spans="1:71">
      <c r="A75" s="29">
        <v>74</v>
      </c>
      <c r="B75" s="2">
        <v>25</v>
      </c>
      <c r="C75" s="2">
        <v>1</v>
      </c>
      <c r="D75" s="2">
        <v>17</v>
      </c>
      <c r="E75" s="2">
        <v>11</v>
      </c>
      <c r="F75" s="3">
        <v>44365</v>
      </c>
      <c r="G75" s="3">
        <v>44372</v>
      </c>
      <c r="H75" s="3">
        <v>44373</v>
      </c>
      <c r="I75" s="2">
        <v>30</v>
      </c>
      <c r="J75" s="29" t="s">
        <v>197</v>
      </c>
      <c r="K75" s="35"/>
      <c r="L75" s="35"/>
      <c r="M75" s="35"/>
      <c r="AZ75" s="29"/>
      <c r="BA75" s="2"/>
      <c r="BB75" s="2"/>
      <c r="BC75" s="2"/>
      <c r="BD75" s="2"/>
      <c r="BE75" s="3"/>
      <c r="BF75" s="3"/>
      <c r="BG75" s="3"/>
      <c r="BH75" s="2"/>
      <c r="BI75" s="29"/>
      <c r="BL75" s="2"/>
      <c r="BM75" s="2"/>
      <c r="BN75" s="2"/>
      <c r="BO75" s="3"/>
      <c r="BP75" s="3"/>
      <c r="BQ75" s="6"/>
      <c r="BR75" s="3"/>
      <c r="BS75" s="14"/>
    </row>
    <row r="76" spans="1:71">
      <c r="A76" s="29">
        <v>75</v>
      </c>
      <c r="B76" s="2">
        <v>2</v>
      </c>
      <c r="C76" s="2">
        <v>1</v>
      </c>
      <c r="D76" s="2">
        <v>51</v>
      </c>
      <c r="E76" s="2">
        <v>19</v>
      </c>
      <c r="F76" s="3">
        <v>44372</v>
      </c>
      <c r="G76" s="3">
        <v>44379</v>
      </c>
      <c r="H76" s="3">
        <v>44380</v>
      </c>
      <c r="I76" s="2">
        <v>40</v>
      </c>
      <c r="J76" s="29" t="s">
        <v>197</v>
      </c>
      <c r="K76" s="35"/>
      <c r="L76" s="35"/>
      <c r="M76" s="35"/>
      <c r="AZ76" s="29"/>
      <c r="BA76" s="2"/>
      <c r="BB76" s="2"/>
      <c r="BC76" s="2"/>
      <c r="BD76" s="2"/>
      <c r="BE76" s="3"/>
      <c r="BF76" s="3"/>
      <c r="BG76" s="3"/>
      <c r="BH76" s="2"/>
      <c r="BI76" s="29"/>
      <c r="BL76" s="2"/>
      <c r="BM76" s="2"/>
      <c r="BN76" s="2"/>
      <c r="BO76" s="3"/>
      <c r="BP76" s="3"/>
      <c r="BQ76" s="6"/>
      <c r="BR76" s="3"/>
      <c r="BS76" s="14"/>
    </row>
    <row r="77" spans="1:71">
      <c r="A77" s="29">
        <v>76</v>
      </c>
      <c r="B77" s="2">
        <v>8</v>
      </c>
      <c r="C77" s="2">
        <v>1</v>
      </c>
      <c r="D77" s="2">
        <v>17</v>
      </c>
      <c r="E77" s="2">
        <v>11</v>
      </c>
      <c r="F77" s="3">
        <v>44365</v>
      </c>
      <c r="G77" s="3">
        <v>44372</v>
      </c>
      <c r="H77" s="3">
        <v>44373</v>
      </c>
      <c r="I77" s="2">
        <v>50</v>
      </c>
      <c r="J77" s="29" t="s">
        <v>197</v>
      </c>
      <c r="K77" s="35"/>
      <c r="L77" s="35"/>
      <c r="M77" s="35"/>
      <c r="AZ77" s="29"/>
      <c r="BA77" s="2"/>
      <c r="BB77" s="2"/>
      <c r="BC77" s="2"/>
      <c r="BD77" s="2"/>
      <c r="BE77" s="3"/>
      <c r="BF77" s="3"/>
      <c r="BG77" s="3"/>
      <c r="BH77" s="2"/>
      <c r="BI77" s="29"/>
      <c r="BL77" s="2"/>
      <c r="BM77" s="2"/>
      <c r="BN77" s="2"/>
      <c r="BO77" s="3"/>
      <c r="BP77" s="3"/>
      <c r="BQ77" s="6"/>
      <c r="BR77" s="3"/>
      <c r="BS77" s="14"/>
    </row>
    <row r="78" spans="1:71">
      <c r="A78" s="29">
        <v>77</v>
      </c>
      <c r="B78" s="2">
        <v>30</v>
      </c>
      <c r="C78" s="2">
        <v>1</v>
      </c>
      <c r="D78" s="2">
        <v>17</v>
      </c>
      <c r="E78" s="2">
        <v>11</v>
      </c>
      <c r="F78" s="3">
        <v>44365</v>
      </c>
      <c r="G78" s="3">
        <v>44372</v>
      </c>
      <c r="H78" s="3">
        <v>44373</v>
      </c>
      <c r="I78" s="2">
        <v>20</v>
      </c>
      <c r="J78" s="29" t="s">
        <v>197</v>
      </c>
      <c r="K78" s="35"/>
      <c r="L78" s="35"/>
      <c r="M78" s="35"/>
      <c r="AZ78" s="29"/>
      <c r="BA78" s="2"/>
      <c r="BB78" s="2"/>
      <c r="BC78" s="2"/>
      <c r="BD78" s="2"/>
      <c r="BE78" s="3"/>
      <c r="BF78" s="3"/>
      <c r="BG78" s="3"/>
      <c r="BH78" s="2"/>
      <c r="BI78" s="29"/>
      <c r="BL78" s="2"/>
      <c r="BM78" s="2"/>
      <c r="BN78" s="2"/>
      <c r="BO78" s="3"/>
      <c r="BP78" s="3"/>
      <c r="BQ78" s="6"/>
      <c r="BR78" s="3"/>
      <c r="BS78" s="14"/>
    </row>
    <row r="79" spans="1:71">
      <c r="A79" s="29">
        <v>78</v>
      </c>
      <c r="B79" s="2">
        <v>2</v>
      </c>
      <c r="C79" s="2">
        <v>1</v>
      </c>
      <c r="D79" s="2">
        <v>122</v>
      </c>
      <c r="E79" s="2">
        <v>36</v>
      </c>
      <c r="F79" s="3">
        <v>44388</v>
      </c>
      <c r="G79" s="3">
        <v>44395</v>
      </c>
      <c r="H79" s="3">
        <v>44396</v>
      </c>
      <c r="I79" s="2">
        <v>80</v>
      </c>
      <c r="J79" s="29" t="s">
        <v>198</v>
      </c>
      <c r="K79" s="35"/>
      <c r="L79" s="35"/>
      <c r="M79" s="35"/>
      <c r="AZ79" s="29"/>
      <c r="BA79" s="2"/>
      <c r="BB79" s="2"/>
      <c r="BC79" s="2"/>
      <c r="BD79" s="2"/>
      <c r="BE79" s="3"/>
      <c r="BF79" s="3"/>
      <c r="BG79" s="3"/>
      <c r="BH79" s="2"/>
      <c r="BI79" s="29"/>
      <c r="BL79" s="2"/>
      <c r="BM79" s="2"/>
      <c r="BN79" s="2"/>
      <c r="BO79" s="3"/>
      <c r="BP79" s="3"/>
      <c r="BQ79" s="6"/>
      <c r="BR79" s="3"/>
      <c r="BS79" s="14"/>
    </row>
    <row r="80" spans="1:71">
      <c r="A80" s="29">
        <v>79</v>
      </c>
      <c r="B80" s="2">
        <v>16</v>
      </c>
      <c r="C80" s="2">
        <v>1</v>
      </c>
      <c r="D80" s="2">
        <v>17</v>
      </c>
      <c r="E80" s="2">
        <v>11</v>
      </c>
      <c r="F80" s="3">
        <v>44365</v>
      </c>
      <c r="G80" s="3">
        <v>44372</v>
      </c>
      <c r="H80" s="3">
        <v>44373</v>
      </c>
      <c r="I80" s="2">
        <v>40</v>
      </c>
      <c r="J80" s="29" t="s">
        <v>197</v>
      </c>
      <c r="K80" s="35"/>
      <c r="L80" s="35"/>
      <c r="M80" s="35"/>
      <c r="AZ80" s="29"/>
      <c r="BA80" s="2"/>
      <c r="BB80" s="2"/>
      <c r="BC80" s="2"/>
      <c r="BD80" s="2"/>
      <c r="BE80" s="3"/>
      <c r="BF80" s="3"/>
      <c r="BG80" s="3"/>
      <c r="BH80" s="2"/>
      <c r="BI80" s="29"/>
      <c r="BL80" s="2"/>
      <c r="BM80" s="2"/>
      <c r="BN80" s="2"/>
      <c r="BO80" s="3"/>
      <c r="BP80" s="3"/>
      <c r="BQ80" s="6"/>
      <c r="BR80" s="3"/>
      <c r="BS80" s="14"/>
    </row>
    <row r="81" spans="1:71">
      <c r="A81" s="29">
        <v>80</v>
      </c>
      <c r="B81" s="2">
        <v>2</v>
      </c>
      <c r="C81" s="2">
        <v>1</v>
      </c>
      <c r="D81" s="2">
        <v>19</v>
      </c>
      <c r="E81" s="2">
        <v>12</v>
      </c>
      <c r="F81" s="3">
        <v>44365</v>
      </c>
      <c r="G81" s="3">
        <v>44372</v>
      </c>
      <c r="H81" s="3">
        <v>44373</v>
      </c>
      <c r="I81" s="2">
        <v>0</v>
      </c>
      <c r="J81" s="29" t="s">
        <v>197</v>
      </c>
      <c r="K81" s="35"/>
      <c r="L81" s="35"/>
      <c r="M81" s="35"/>
      <c r="AZ81" s="29"/>
      <c r="BA81" s="2"/>
      <c r="BB81" s="2"/>
      <c r="BC81" s="2"/>
      <c r="BD81" s="2"/>
      <c r="BE81" s="3"/>
      <c r="BF81" s="3"/>
      <c r="BG81" s="3"/>
      <c r="BH81" s="2"/>
      <c r="BI81" s="29"/>
      <c r="BL81" s="2"/>
      <c r="BM81" s="2"/>
      <c r="BN81" s="2"/>
      <c r="BO81" s="3"/>
      <c r="BP81" s="3"/>
      <c r="BQ81" s="6"/>
      <c r="BR81" s="3"/>
      <c r="BS81" s="14"/>
    </row>
    <row r="82" spans="1:71" ht="17.25" customHeight="1">
      <c r="A82" s="29">
        <v>81</v>
      </c>
      <c r="B82" s="2">
        <v>18</v>
      </c>
      <c r="C82" s="2">
        <v>1</v>
      </c>
      <c r="D82" s="2">
        <v>19</v>
      </c>
      <c r="E82" s="2">
        <v>12</v>
      </c>
      <c r="F82" s="3">
        <v>44365</v>
      </c>
      <c r="G82" s="3">
        <v>44372</v>
      </c>
      <c r="H82" s="3">
        <v>44373</v>
      </c>
      <c r="I82" s="2">
        <v>0</v>
      </c>
      <c r="J82" s="29" t="s">
        <v>197</v>
      </c>
      <c r="K82" s="35"/>
      <c r="L82" s="35"/>
      <c r="M82" s="35"/>
      <c r="AZ82" s="29"/>
      <c r="BA82" s="2"/>
      <c r="BB82" s="2"/>
      <c r="BC82" s="2"/>
      <c r="BD82" s="2"/>
      <c r="BE82" s="3"/>
      <c r="BF82" s="3"/>
      <c r="BG82" s="3"/>
      <c r="BH82" s="2"/>
      <c r="BI82" s="29"/>
      <c r="BL82" s="2"/>
      <c r="BM82" s="2"/>
      <c r="BN82" s="2"/>
      <c r="BO82" s="3"/>
      <c r="BP82" s="3"/>
      <c r="BQ82" s="6"/>
      <c r="BR82" s="3"/>
      <c r="BS82" s="14"/>
    </row>
    <row r="83" spans="1:71">
      <c r="A83" s="29">
        <v>82</v>
      </c>
      <c r="B83" s="2">
        <v>17</v>
      </c>
      <c r="C83" s="2">
        <v>1</v>
      </c>
      <c r="D83" s="2">
        <v>19</v>
      </c>
      <c r="E83" s="2">
        <v>12</v>
      </c>
      <c r="F83" s="3">
        <v>44365</v>
      </c>
      <c r="G83" s="3">
        <v>44372</v>
      </c>
      <c r="H83" s="3">
        <v>44373</v>
      </c>
      <c r="I83" s="2">
        <v>10</v>
      </c>
      <c r="J83" s="29" t="s">
        <v>197</v>
      </c>
      <c r="K83" s="35"/>
      <c r="L83" s="35"/>
      <c r="M83" s="35"/>
      <c r="AZ83" s="29"/>
      <c r="BA83" s="2"/>
      <c r="BB83" s="2"/>
      <c r="BC83" s="2"/>
      <c r="BD83" s="2"/>
      <c r="BE83" s="3"/>
      <c r="BF83" s="3"/>
      <c r="BG83" s="3"/>
      <c r="BH83" s="2"/>
      <c r="BI83" s="29"/>
      <c r="BL83" s="2"/>
      <c r="BM83" s="2"/>
      <c r="BN83" s="2"/>
      <c r="BO83" s="3"/>
      <c r="BP83" s="3"/>
      <c r="BQ83" s="6"/>
      <c r="BR83" s="3"/>
      <c r="BS83" s="14"/>
    </row>
    <row r="84" spans="1:71">
      <c r="A84" s="29">
        <v>83</v>
      </c>
      <c r="B84" s="2">
        <v>6</v>
      </c>
      <c r="C84" s="2">
        <v>1</v>
      </c>
      <c r="D84" s="2">
        <v>19</v>
      </c>
      <c r="E84" s="2">
        <v>12</v>
      </c>
      <c r="F84" s="3">
        <v>44365</v>
      </c>
      <c r="G84" s="3">
        <v>44372</v>
      </c>
      <c r="H84" s="3">
        <v>44373</v>
      </c>
      <c r="I84" s="2">
        <v>20</v>
      </c>
      <c r="J84" s="29" t="s">
        <v>197</v>
      </c>
      <c r="K84" s="35"/>
      <c r="L84" s="35"/>
      <c r="M84" s="35"/>
      <c r="AZ84" s="29"/>
      <c r="BA84" s="2"/>
      <c r="BB84" s="2"/>
      <c r="BC84" s="2"/>
      <c r="BD84" s="2"/>
      <c r="BE84" s="3"/>
      <c r="BF84" s="3"/>
      <c r="BG84" s="3"/>
      <c r="BH84" s="2"/>
      <c r="BI84" s="29"/>
      <c r="BL84" s="2"/>
      <c r="BM84" s="2"/>
      <c r="BN84" s="2"/>
      <c r="BO84" s="3"/>
      <c r="BP84" s="3"/>
      <c r="BQ84" s="6"/>
      <c r="BR84" s="3"/>
      <c r="BS84" s="14"/>
    </row>
    <row r="85" spans="1:71">
      <c r="A85" s="29">
        <v>84</v>
      </c>
      <c r="B85" s="2">
        <v>4</v>
      </c>
      <c r="C85" s="2">
        <v>1</v>
      </c>
      <c r="D85" s="2">
        <v>19</v>
      </c>
      <c r="E85" s="2">
        <v>12</v>
      </c>
      <c r="F85" s="3">
        <v>44365</v>
      </c>
      <c r="G85" s="3">
        <v>44372</v>
      </c>
      <c r="H85" s="3">
        <v>44373</v>
      </c>
      <c r="I85" s="2">
        <v>30</v>
      </c>
      <c r="J85" s="29" t="s">
        <v>197</v>
      </c>
      <c r="K85" s="35"/>
      <c r="L85" s="35"/>
      <c r="M85" s="35"/>
      <c r="AZ85" s="29"/>
      <c r="BA85" s="2"/>
      <c r="BB85" s="2"/>
      <c r="BC85" s="2"/>
      <c r="BD85" s="2"/>
      <c r="BE85" s="3"/>
      <c r="BF85" s="3"/>
      <c r="BG85" s="3"/>
      <c r="BH85" s="2"/>
      <c r="BI85" s="29"/>
      <c r="BL85" s="2"/>
      <c r="BM85" s="2"/>
      <c r="BN85" s="2"/>
      <c r="BO85" s="3"/>
      <c r="BP85" s="3"/>
      <c r="BQ85" s="6"/>
      <c r="BR85" s="3"/>
      <c r="BS85" s="14"/>
    </row>
    <row r="86" spans="1:71">
      <c r="A86" s="29">
        <v>85</v>
      </c>
      <c r="B86" s="2">
        <v>29</v>
      </c>
      <c r="C86" s="2">
        <v>1</v>
      </c>
      <c r="D86" s="2">
        <v>19</v>
      </c>
      <c r="E86" s="2">
        <v>12</v>
      </c>
      <c r="F86" s="3">
        <v>44365</v>
      </c>
      <c r="G86" s="3">
        <v>44372</v>
      </c>
      <c r="H86" s="3">
        <v>44373</v>
      </c>
      <c r="I86" s="2">
        <v>10</v>
      </c>
      <c r="J86" s="29" t="s">
        <v>197</v>
      </c>
      <c r="K86" s="35"/>
      <c r="L86" s="35"/>
      <c r="M86" s="35"/>
      <c r="AZ86" s="29"/>
      <c r="BA86" s="2"/>
      <c r="BB86" s="2"/>
      <c r="BC86" s="2"/>
      <c r="BD86" s="2"/>
      <c r="BE86" s="3"/>
      <c r="BF86" s="3"/>
      <c r="BG86" s="3"/>
      <c r="BH86" s="2"/>
      <c r="BI86" s="29"/>
      <c r="BL86" s="2"/>
      <c r="BM86" s="2"/>
      <c r="BN86" s="2"/>
      <c r="BO86" s="3"/>
      <c r="BP86" s="3"/>
      <c r="BQ86" s="6"/>
      <c r="BR86" s="3"/>
      <c r="BS86" s="14"/>
    </row>
    <row r="87" spans="1:71">
      <c r="A87" s="29">
        <v>86</v>
      </c>
      <c r="B87" s="2">
        <v>3</v>
      </c>
      <c r="C87" s="2">
        <v>1</v>
      </c>
      <c r="D87" s="2">
        <v>20</v>
      </c>
      <c r="E87" s="2">
        <v>13</v>
      </c>
      <c r="F87" s="3">
        <v>44366</v>
      </c>
      <c r="G87" s="3">
        <v>44373</v>
      </c>
      <c r="H87" s="3">
        <v>44374</v>
      </c>
      <c r="I87" s="2">
        <v>0</v>
      </c>
      <c r="J87" s="29" t="s">
        <v>197</v>
      </c>
      <c r="K87" s="35"/>
      <c r="L87" s="35"/>
      <c r="M87" s="35"/>
      <c r="AZ87" s="29"/>
      <c r="BA87" s="2"/>
      <c r="BB87" s="2"/>
      <c r="BC87" s="2"/>
      <c r="BD87" s="2"/>
      <c r="BE87" s="3"/>
      <c r="BF87" s="3"/>
      <c r="BG87" s="3"/>
      <c r="BH87" s="2"/>
      <c r="BI87" s="29"/>
      <c r="BL87" s="2"/>
      <c r="BM87" s="2"/>
      <c r="BN87" s="2"/>
      <c r="BO87" s="3"/>
      <c r="BP87" s="3"/>
      <c r="BQ87" s="6"/>
      <c r="BR87" s="3"/>
      <c r="BS87" s="14"/>
    </row>
    <row r="88" spans="1:71">
      <c r="A88" s="29">
        <v>87</v>
      </c>
      <c r="B88" s="2">
        <v>6</v>
      </c>
      <c r="C88" s="2">
        <v>1</v>
      </c>
      <c r="D88" s="2">
        <v>20</v>
      </c>
      <c r="E88" s="2">
        <v>13</v>
      </c>
      <c r="F88" s="3">
        <v>44366</v>
      </c>
      <c r="G88" s="3">
        <v>44373</v>
      </c>
      <c r="H88" s="3">
        <v>44374</v>
      </c>
      <c r="I88" s="2">
        <v>40</v>
      </c>
      <c r="J88" s="29" t="s">
        <v>197</v>
      </c>
      <c r="K88" s="35"/>
      <c r="L88" s="35"/>
      <c r="M88" s="35"/>
      <c r="AZ88" s="29"/>
      <c r="BA88" s="2"/>
      <c r="BB88" s="2"/>
      <c r="BC88" s="2"/>
      <c r="BD88" s="2"/>
      <c r="BE88" s="3"/>
      <c r="BF88" s="3"/>
      <c r="BG88" s="3"/>
      <c r="BH88" s="2"/>
      <c r="BI88" s="29"/>
      <c r="BL88" s="2"/>
      <c r="BM88" s="2"/>
      <c r="BN88" s="2"/>
      <c r="BO88" s="3"/>
      <c r="BP88" s="3"/>
      <c r="BQ88" s="6"/>
      <c r="BR88" s="3"/>
      <c r="BS88" s="14"/>
    </row>
    <row r="89" spans="1:71">
      <c r="A89" s="29">
        <v>88</v>
      </c>
      <c r="B89" s="2">
        <v>4</v>
      </c>
      <c r="C89" s="2">
        <v>1</v>
      </c>
      <c r="D89" s="2">
        <v>20</v>
      </c>
      <c r="E89" s="2">
        <v>13</v>
      </c>
      <c r="F89" s="3">
        <v>44366</v>
      </c>
      <c r="G89" s="3">
        <v>44373</v>
      </c>
      <c r="H89" s="3">
        <v>44374</v>
      </c>
      <c r="I89" s="2">
        <v>10</v>
      </c>
      <c r="J89" s="29" t="s">
        <v>197</v>
      </c>
      <c r="K89" s="35"/>
      <c r="L89" s="35"/>
      <c r="M89" s="35"/>
      <c r="AZ89" s="29"/>
      <c r="BA89" s="2"/>
      <c r="BB89" s="2"/>
      <c r="BC89" s="2"/>
      <c r="BD89" s="2"/>
      <c r="BE89" s="3"/>
      <c r="BF89" s="3"/>
      <c r="BG89" s="3"/>
      <c r="BH89" s="2"/>
      <c r="BI89" s="29"/>
      <c r="BL89" s="2"/>
      <c r="BM89" s="2"/>
      <c r="BN89" s="2"/>
      <c r="BO89" s="3"/>
      <c r="BP89" s="3"/>
      <c r="BQ89" s="6"/>
      <c r="BR89" s="3"/>
      <c r="BS89" s="14"/>
    </row>
    <row r="90" spans="1:71">
      <c r="A90" s="29">
        <v>89</v>
      </c>
      <c r="B90" s="2">
        <v>9</v>
      </c>
      <c r="C90" s="2">
        <v>1</v>
      </c>
      <c r="D90" s="2">
        <v>20</v>
      </c>
      <c r="E90" s="2">
        <v>13</v>
      </c>
      <c r="F90" s="3">
        <v>44366</v>
      </c>
      <c r="G90" s="3">
        <v>44373</v>
      </c>
      <c r="H90" s="3">
        <v>44374</v>
      </c>
      <c r="I90" s="2">
        <v>10</v>
      </c>
      <c r="J90" s="29" t="s">
        <v>197</v>
      </c>
      <c r="K90" s="35"/>
      <c r="L90" s="35"/>
      <c r="M90" s="35"/>
      <c r="AZ90" s="29"/>
      <c r="BA90" s="2"/>
      <c r="BB90" s="2"/>
      <c r="BC90" s="2"/>
      <c r="BD90" s="2"/>
      <c r="BE90" s="3"/>
      <c r="BF90" s="3"/>
      <c r="BG90" s="3"/>
      <c r="BH90" s="2"/>
      <c r="BI90" s="29"/>
      <c r="BL90" s="2"/>
      <c r="BM90" s="2"/>
      <c r="BN90" s="2"/>
      <c r="BO90" s="3"/>
      <c r="BP90" s="3"/>
      <c r="BQ90" s="6"/>
      <c r="BR90" s="3"/>
      <c r="BS90" s="14"/>
    </row>
    <row r="91" spans="1:71">
      <c r="A91" s="29">
        <v>90</v>
      </c>
      <c r="B91" s="2">
        <v>10</v>
      </c>
      <c r="C91" s="2">
        <v>1</v>
      </c>
      <c r="D91" s="2">
        <v>20</v>
      </c>
      <c r="E91" s="2">
        <v>13</v>
      </c>
      <c r="F91" s="3">
        <v>44366</v>
      </c>
      <c r="G91" s="3">
        <v>44373</v>
      </c>
      <c r="H91" s="3">
        <v>44374</v>
      </c>
      <c r="I91" s="2">
        <v>50</v>
      </c>
      <c r="J91" s="29" t="s">
        <v>197</v>
      </c>
      <c r="K91" s="35"/>
      <c r="L91" s="35"/>
      <c r="M91" s="35"/>
      <c r="AZ91" s="29"/>
      <c r="BA91" s="2"/>
      <c r="BB91" s="2"/>
      <c r="BC91" s="2"/>
      <c r="BD91" s="2"/>
      <c r="BE91" s="3"/>
      <c r="BF91" s="3"/>
      <c r="BG91" s="3"/>
      <c r="BH91" s="2"/>
      <c r="BI91" s="29"/>
      <c r="BL91" s="2"/>
      <c r="BM91" s="2"/>
      <c r="BN91" s="2"/>
      <c r="BO91" s="3"/>
      <c r="BP91" s="3"/>
      <c r="BQ91" s="6"/>
      <c r="BR91" s="3"/>
      <c r="BS91" s="14"/>
    </row>
    <row r="92" spans="1:71">
      <c r="A92" s="29">
        <v>91</v>
      </c>
      <c r="B92" s="2">
        <v>28</v>
      </c>
      <c r="C92" s="2">
        <v>1</v>
      </c>
      <c r="D92" s="2">
        <v>20</v>
      </c>
      <c r="E92" s="2">
        <v>13</v>
      </c>
      <c r="F92" s="3">
        <v>44366</v>
      </c>
      <c r="G92" s="3">
        <v>44373</v>
      </c>
      <c r="H92" s="3">
        <v>44374</v>
      </c>
      <c r="I92" s="2">
        <v>40</v>
      </c>
      <c r="J92" s="29" t="s">
        <v>197</v>
      </c>
      <c r="K92" s="35"/>
      <c r="L92" s="35"/>
      <c r="M92" s="35"/>
      <c r="AZ92" s="29"/>
      <c r="BA92" s="2"/>
      <c r="BB92" s="2"/>
      <c r="BC92" s="2"/>
      <c r="BD92" s="2"/>
      <c r="BE92" s="3"/>
      <c r="BF92" s="3"/>
      <c r="BG92" s="3"/>
      <c r="BH92" s="2"/>
      <c r="BI92" s="29"/>
      <c r="BL92" s="2"/>
      <c r="BM92" s="2"/>
      <c r="BN92" s="2"/>
      <c r="BO92" s="3"/>
      <c r="BP92" s="3"/>
      <c r="BQ92" s="6"/>
      <c r="BR92" s="3"/>
      <c r="BS92" s="14"/>
    </row>
    <row r="93" spans="1:71">
      <c r="A93" s="29">
        <v>92</v>
      </c>
      <c r="B93" s="2">
        <v>11</v>
      </c>
      <c r="C93" s="2">
        <v>1</v>
      </c>
      <c r="D93" s="2">
        <v>20</v>
      </c>
      <c r="E93" s="2">
        <v>13</v>
      </c>
      <c r="F93" s="3">
        <v>44366</v>
      </c>
      <c r="G93" s="3">
        <v>44373</v>
      </c>
      <c r="H93" s="3">
        <v>44374</v>
      </c>
      <c r="I93" s="2">
        <v>20</v>
      </c>
      <c r="J93" s="29" t="s">
        <v>197</v>
      </c>
      <c r="K93" s="35"/>
      <c r="L93" s="35"/>
      <c r="M93" s="35"/>
      <c r="AZ93" s="29"/>
      <c r="BA93" s="2"/>
      <c r="BB93" s="2"/>
      <c r="BC93" s="2"/>
      <c r="BD93" s="2"/>
      <c r="BE93" s="3"/>
      <c r="BF93" s="3"/>
      <c r="BG93" s="3"/>
      <c r="BH93" s="2"/>
      <c r="BI93" s="29"/>
      <c r="BL93" s="2"/>
      <c r="BM93" s="2"/>
      <c r="BN93" s="2"/>
      <c r="BO93" s="3"/>
      <c r="BP93" s="3"/>
      <c r="BQ93" s="6"/>
      <c r="BR93" s="3"/>
      <c r="BS93" s="14"/>
    </row>
    <row r="94" spans="1:71">
      <c r="A94" s="29">
        <v>93</v>
      </c>
      <c r="B94" s="2">
        <v>15</v>
      </c>
      <c r="C94" s="2">
        <v>1</v>
      </c>
      <c r="D94" s="2">
        <v>27</v>
      </c>
      <c r="E94" s="2">
        <v>14</v>
      </c>
      <c r="F94" s="3">
        <v>44368</v>
      </c>
      <c r="G94" s="3">
        <v>44375</v>
      </c>
      <c r="H94" s="3">
        <v>44376</v>
      </c>
      <c r="I94" s="2">
        <v>30</v>
      </c>
      <c r="J94" s="29" t="s">
        <v>197</v>
      </c>
      <c r="K94" s="35"/>
      <c r="L94" s="35"/>
      <c r="M94" s="35"/>
      <c r="AZ94" s="29"/>
      <c r="BA94" s="2"/>
      <c r="BB94" s="2"/>
      <c r="BC94" s="2"/>
      <c r="BD94" s="2"/>
      <c r="BE94" s="3"/>
      <c r="BF94" s="3"/>
      <c r="BG94" s="3"/>
      <c r="BH94" s="2"/>
      <c r="BI94" s="29"/>
      <c r="BL94" s="2"/>
      <c r="BM94" s="2"/>
      <c r="BN94" s="2"/>
      <c r="BO94" s="3"/>
      <c r="BP94" s="3"/>
      <c r="BQ94" s="6"/>
      <c r="BR94" s="3"/>
      <c r="BS94" s="14"/>
    </row>
    <row r="95" spans="1:71">
      <c r="A95" s="29">
        <v>94</v>
      </c>
      <c r="B95" s="2">
        <v>22</v>
      </c>
      <c r="C95" s="2">
        <v>1</v>
      </c>
      <c r="D95" s="2">
        <v>27</v>
      </c>
      <c r="E95" s="2">
        <v>14</v>
      </c>
      <c r="F95" s="3">
        <v>44368</v>
      </c>
      <c r="G95" s="3">
        <v>44375</v>
      </c>
      <c r="H95" s="3">
        <v>44376</v>
      </c>
      <c r="I95" s="2">
        <v>20</v>
      </c>
      <c r="J95" s="29" t="s">
        <v>197</v>
      </c>
      <c r="K95" s="35"/>
      <c r="L95" s="35"/>
      <c r="M95" s="35"/>
      <c r="AZ95" s="29"/>
      <c r="BA95" s="2"/>
      <c r="BB95" s="2"/>
      <c r="BC95" s="2"/>
      <c r="BD95" s="2"/>
      <c r="BE95" s="3"/>
      <c r="BF95" s="3"/>
      <c r="BG95" s="3"/>
      <c r="BH95" s="2"/>
      <c r="BI95" s="29"/>
      <c r="BL95" s="2"/>
      <c r="BM95" s="2"/>
      <c r="BN95" s="2"/>
      <c r="BO95" s="3"/>
      <c r="BP95" s="3"/>
      <c r="BQ95" s="6"/>
      <c r="BR95" s="3"/>
      <c r="BS95" s="14"/>
    </row>
    <row r="96" spans="1:71">
      <c r="A96" s="29">
        <v>95</v>
      </c>
      <c r="B96" s="2">
        <v>5</v>
      </c>
      <c r="C96" s="2">
        <v>1</v>
      </c>
      <c r="D96" s="2">
        <v>27</v>
      </c>
      <c r="E96" s="2">
        <v>14</v>
      </c>
      <c r="F96" s="3">
        <v>44368</v>
      </c>
      <c r="G96" s="3">
        <v>44375</v>
      </c>
      <c r="H96" s="3">
        <v>44376</v>
      </c>
      <c r="I96" s="2">
        <v>30</v>
      </c>
      <c r="J96" s="29" t="s">
        <v>197</v>
      </c>
      <c r="K96" s="35"/>
      <c r="L96" s="35"/>
      <c r="M96" s="35"/>
      <c r="AZ96" s="29"/>
      <c r="BA96" s="2"/>
      <c r="BB96" s="2"/>
      <c r="BC96" s="2"/>
      <c r="BD96" s="2"/>
      <c r="BE96" s="3"/>
      <c r="BF96" s="3"/>
      <c r="BG96" s="3"/>
      <c r="BH96" s="2"/>
      <c r="BI96" s="29"/>
      <c r="BL96" s="2"/>
      <c r="BM96" s="2"/>
      <c r="BN96" s="2"/>
      <c r="BO96" s="3"/>
      <c r="BP96" s="3"/>
      <c r="BQ96" s="6"/>
      <c r="BR96" s="3"/>
      <c r="BS96" s="14"/>
    </row>
    <row r="97" spans="1:71">
      <c r="A97" s="29">
        <v>96</v>
      </c>
      <c r="B97" s="2">
        <v>17</v>
      </c>
      <c r="C97" s="2">
        <v>1</v>
      </c>
      <c r="D97" s="2">
        <v>27</v>
      </c>
      <c r="E97" s="2">
        <v>14</v>
      </c>
      <c r="F97" s="3">
        <v>44368</v>
      </c>
      <c r="G97" s="3">
        <v>44375</v>
      </c>
      <c r="H97" s="3">
        <v>44376</v>
      </c>
      <c r="I97" s="2">
        <v>0</v>
      </c>
      <c r="J97" s="29" t="s">
        <v>197</v>
      </c>
      <c r="K97" s="35"/>
      <c r="L97" s="35"/>
      <c r="M97" s="35"/>
      <c r="AZ97" s="29"/>
      <c r="BA97" s="2"/>
      <c r="BB97" s="2"/>
      <c r="BC97" s="2"/>
      <c r="BD97" s="2"/>
      <c r="BE97" s="3"/>
      <c r="BF97" s="3"/>
      <c r="BG97" s="3"/>
      <c r="BH97" s="2"/>
      <c r="BI97" s="29"/>
      <c r="BL97" s="2"/>
      <c r="BM97" s="2"/>
      <c r="BN97" s="2"/>
      <c r="BO97" s="3"/>
      <c r="BP97" s="3"/>
      <c r="BQ97" s="6"/>
      <c r="BR97" s="3"/>
      <c r="BS97" s="14"/>
    </row>
    <row r="98" spans="1:71">
      <c r="A98" s="29">
        <v>97</v>
      </c>
      <c r="B98" s="2">
        <v>4</v>
      </c>
      <c r="C98" s="2">
        <v>1</v>
      </c>
      <c r="D98" s="2">
        <v>27</v>
      </c>
      <c r="E98" s="2">
        <v>14</v>
      </c>
      <c r="F98" s="3">
        <v>44368</v>
      </c>
      <c r="G98" s="3">
        <v>44375</v>
      </c>
      <c r="H98" s="3">
        <v>44376</v>
      </c>
      <c r="I98" s="2">
        <v>0</v>
      </c>
      <c r="J98" s="29" t="s">
        <v>197</v>
      </c>
      <c r="K98" s="35"/>
      <c r="L98" s="35"/>
      <c r="M98" s="35"/>
      <c r="AZ98" s="29"/>
      <c r="BA98" s="2"/>
      <c r="BB98" s="2"/>
      <c r="BC98" s="2"/>
      <c r="BD98" s="2"/>
      <c r="BE98" s="3"/>
      <c r="BF98" s="3"/>
      <c r="BG98" s="3"/>
      <c r="BH98" s="2"/>
      <c r="BI98" s="29"/>
      <c r="BL98" s="2"/>
      <c r="BM98" s="2"/>
      <c r="BN98" s="2"/>
      <c r="BO98" s="3"/>
      <c r="BP98" s="3"/>
      <c r="BQ98" s="6"/>
      <c r="BR98" s="3"/>
      <c r="BS98" s="14"/>
    </row>
    <row r="99" spans="1:71">
      <c r="A99" s="29">
        <v>98</v>
      </c>
      <c r="B99" s="2">
        <v>19</v>
      </c>
      <c r="C99" s="2">
        <v>1</v>
      </c>
      <c r="D99" s="2">
        <v>27</v>
      </c>
      <c r="E99" s="2">
        <v>14</v>
      </c>
      <c r="F99" s="3">
        <v>44368</v>
      </c>
      <c r="G99" s="3">
        <v>44375</v>
      </c>
      <c r="H99" s="3">
        <v>44376</v>
      </c>
      <c r="I99" s="2">
        <v>0</v>
      </c>
      <c r="J99" s="29" t="s">
        <v>197</v>
      </c>
      <c r="K99" s="35"/>
      <c r="L99" s="35"/>
      <c r="M99" s="35"/>
      <c r="AZ99" s="29"/>
      <c r="BA99" s="2"/>
      <c r="BB99" s="2"/>
      <c r="BC99" s="2"/>
      <c r="BD99" s="2"/>
      <c r="BE99" s="3"/>
      <c r="BF99" s="3"/>
      <c r="BG99" s="3"/>
      <c r="BH99" s="2"/>
      <c r="BI99" s="29"/>
      <c r="BL99" s="2"/>
      <c r="BM99" s="2"/>
      <c r="BN99" s="2"/>
      <c r="BO99" s="3"/>
      <c r="BP99" s="3"/>
      <c r="BQ99" s="6"/>
      <c r="BR99" s="3"/>
      <c r="BS99" s="14"/>
    </row>
    <row r="100" spans="1:71">
      <c r="A100" s="29">
        <v>99</v>
      </c>
      <c r="B100" s="2">
        <v>27</v>
      </c>
      <c r="C100" s="2">
        <v>1</v>
      </c>
      <c r="D100" s="2">
        <v>27</v>
      </c>
      <c r="E100" s="2">
        <v>14</v>
      </c>
      <c r="F100" s="3">
        <v>44368</v>
      </c>
      <c r="G100" s="3">
        <v>44375</v>
      </c>
      <c r="H100" s="3">
        <v>44376</v>
      </c>
      <c r="I100" s="2">
        <v>50</v>
      </c>
      <c r="J100" s="29" t="s">
        <v>197</v>
      </c>
      <c r="K100" s="35"/>
      <c r="L100" s="35"/>
      <c r="M100" s="35"/>
      <c r="AZ100" s="29"/>
      <c r="BA100" s="2"/>
      <c r="BB100" s="2"/>
      <c r="BC100" s="2"/>
      <c r="BD100" s="2"/>
      <c r="BE100" s="3"/>
      <c r="BF100" s="3"/>
      <c r="BG100" s="3"/>
      <c r="BH100" s="2"/>
      <c r="BI100" s="29"/>
      <c r="BL100" s="2"/>
      <c r="BM100" s="2"/>
      <c r="BN100" s="2"/>
      <c r="BO100" s="3"/>
      <c r="BP100" s="3"/>
      <c r="BQ100" s="6"/>
      <c r="BR100" s="3"/>
      <c r="BS100" s="14"/>
    </row>
    <row r="101" spans="1:71">
      <c r="A101" s="29">
        <v>100</v>
      </c>
      <c r="B101" s="2">
        <v>28</v>
      </c>
      <c r="C101" s="2">
        <v>1</v>
      </c>
      <c r="D101" s="2">
        <v>27</v>
      </c>
      <c r="E101" s="2">
        <v>14</v>
      </c>
      <c r="F101" s="3">
        <v>44368</v>
      </c>
      <c r="G101" s="3">
        <v>44375</v>
      </c>
      <c r="H101" s="3">
        <v>44376</v>
      </c>
      <c r="I101" s="2">
        <v>20</v>
      </c>
      <c r="J101" s="29" t="s">
        <v>197</v>
      </c>
      <c r="K101" s="35"/>
      <c r="L101" s="35"/>
      <c r="M101" s="35"/>
      <c r="AZ101" s="29"/>
      <c r="BA101" s="2"/>
      <c r="BB101" s="2"/>
      <c r="BC101" s="2"/>
      <c r="BD101" s="2"/>
      <c r="BE101" s="3"/>
      <c r="BF101" s="3"/>
      <c r="BG101" s="3"/>
      <c r="BH101" s="2"/>
      <c r="BI101" s="29"/>
      <c r="BL101" s="2"/>
      <c r="BM101" s="2"/>
      <c r="BN101" s="2"/>
      <c r="BO101" s="3"/>
      <c r="BP101" s="3"/>
      <c r="BQ101" s="6"/>
      <c r="BR101" s="3"/>
      <c r="BS101" s="14"/>
    </row>
    <row r="102" spans="1:71">
      <c r="A102" s="29">
        <v>101</v>
      </c>
      <c r="B102" s="2">
        <v>1</v>
      </c>
      <c r="C102" s="2">
        <v>1</v>
      </c>
      <c r="D102" s="2">
        <v>30</v>
      </c>
      <c r="E102" s="2">
        <v>15</v>
      </c>
      <c r="F102" s="3">
        <v>44368</v>
      </c>
      <c r="G102" s="3">
        <v>44375</v>
      </c>
      <c r="H102" s="3">
        <v>44376</v>
      </c>
      <c r="I102" s="2">
        <v>20</v>
      </c>
      <c r="J102" s="29" t="s">
        <v>197</v>
      </c>
      <c r="K102" s="35"/>
      <c r="L102" s="35"/>
      <c r="M102" s="35"/>
      <c r="AZ102" s="33"/>
      <c r="BA102" s="33"/>
      <c r="BB102" s="33"/>
      <c r="BC102" s="33"/>
      <c r="BD102" s="33"/>
      <c r="BE102" s="36"/>
      <c r="BF102" s="36"/>
      <c r="BG102" s="36"/>
      <c r="BH102" s="33"/>
      <c r="BI102" s="33"/>
      <c r="BL102" s="2"/>
      <c r="BM102" s="2"/>
      <c r="BN102" s="2"/>
      <c r="BO102" s="3"/>
      <c r="BP102" s="3"/>
      <c r="BQ102" s="6"/>
      <c r="BR102" s="3"/>
      <c r="BS102" s="14"/>
    </row>
    <row r="103" spans="1:71">
      <c r="A103" s="29">
        <v>102</v>
      </c>
      <c r="B103" s="2">
        <v>4</v>
      </c>
      <c r="C103" s="2">
        <v>1</v>
      </c>
      <c r="D103" s="2">
        <v>30</v>
      </c>
      <c r="E103" s="2">
        <v>15</v>
      </c>
      <c r="F103" s="3">
        <v>44368</v>
      </c>
      <c r="G103" s="3">
        <v>44375</v>
      </c>
      <c r="H103" s="3">
        <v>44376</v>
      </c>
      <c r="I103" s="2">
        <v>50</v>
      </c>
      <c r="J103" s="29" t="s">
        <v>197</v>
      </c>
      <c r="K103" s="35"/>
      <c r="L103" s="35"/>
      <c r="M103" s="35"/>
      <c r="AZ103" s="17"/>
      <c r="BA103" s="2"/>
      <c r="BB103" s="2"/>
      <c r="BC103" s="2"/>
      <c r="BD103" s="2"/>
      <c r="BE103" s="3"/>
      <c r="BF103" s="3"/>
      <c r="BG103" s="3"/>
      <c r="BH103" s="2"/>
      <c r="BI103" s="18"/>
      <c r="BL103" s="2"/>
      <c r="BM103" s="2"/>
      <c r="BN103" s="2"/>
      <c r="BO103" s="3"/>
      <c r="BP103" s="3"/>
      <c r="BQ103" s="6"/>
      <c r="BR103" s="3"/>
      <c r="BS103" s="14"/>
    </row>
    <row r="104" spans="1:71">
      <c r="A104" s="29">
        <v>103</v>
      </c>
      <c r="B104" s="2">
        <v>6</v>
      </c>
      <c r="C104" s="2">
        <v>1</v>
      </c>
      <c r="D104" s="2">
        <v>30</v>
      </c>
      <c r="E104" s="2">
        <v>15</v>
      </c>
      <c r="F104" s="3">
        <v>44368</v>
      </c>
      <c r="G104" s="3">
        <v>44375</v>
      </c>
      <c r="H104" s="3">
        <v>44376</v>
      </c>
      <c r="I104" s="2">
        <v>40</v>
      </c>
      <c r="J104" s="29" t="s">
        <v>197</v>
      </c>
      <c r="K104" s="35"/>
      <c r="L104" s="35"/>
      <c r="M104" s="35"/>
      <c r="AZ104" s="17"/>
      <c r="BA104" s="2"/>
      <c r="BB104" s="2"/>
      <c r="BC104" s="2"/>
      <c r="BD104" s="2"/>
      <c r="BE104" s="3"/>
      <c r="BF104" s="3"/>
      <c r="BG104" s="3"/>
      <c r="BH104" s="2"/>
      <c r="BI104" s="18"/>
      <c r="BL104" s="2"/>
      <c r="BM104" s="2"/>
      <c r="BN104" s="2"/>
      <c r="BO104" s="3"/>
      <c r="BP104" s="3"/>
      <c r="BQ104" s="6"/>
      <c r="BR104" s="3"/>
      <c r="BS104" s="14"/>
    </row>
    <row r="105" spans="1:71">
      <c r="A105" s="29">
        <v>104</v>
      </c>
      <c r="B105" s="2">
        <v>19</v>
      </c>
      <c r="C105" s="2">
        <v>1</v>
      </c>
      <c r="D105" s="2">
        <v>30</v>
      </c>
      <c r="E105" s="2">
        <v>15</v>
      </c>
      <c r="F105" s="3">
        <v>44368</v>
      </c>
      <c r="G105" s="3">
        <v>44375</v>
      </c>
      <c r="H105" s="3">
        <v>44376</v>
      </c>
      <c r="I105" s="2">
        <v>0</v>
      </c>
      <c r="J105" s="29" t="s">
        <v>197</v>
      </c>
      <c r="K105" s="35"/>
      <c r="L105" s="35"/>
      <c r="M105" s="35"/>
      <c r="AZ105" s="17"/>
      <c r="BA105" s="2"/>
      <c r="BB105" s="2"/>
      <c r="BC105" s="2"/>
      <c r="BD105" s="2"/>
      <c r="BE105" s="3"/>
      <c r="BF105" s="3"/>
      <c r="BG105" s="3"/>
      <c r="BH105" s="2"/>
      <c r="BI105" s="18"/>
      <c r="BL105" s="2"/>
      <c r="BM105" s="2"/>
      <c r="BN105" s="2"/>
      <c r="BO105" s="3"/>
      <c r="BP105" s="3"/>
      <c r="BQ105" s="6"/>
      <c r="BR105" s="3"/>
      <c r="BS105" s="14"/>
    </row>
    <row r="106" spans="1:71">
      <c r="A106" s="29">
        <v>105</v>
      </c>
      <c r="B106" s="2">
        <v>9</v>
      </c>
      <c r="C106" s="2">
        <v>1</v>
      </c>
      <c r="D106" s="2">
        <v>30</v>
      </c>
      <c r="E106" s="2">
        <v>15</v>
      </c>
      <c r="F106" s="3">
        <v>44368</v>
      </c>
      <c r="G106" s="3">
        <v>44375</v>
      </c>
      <c r="H106" s="3">
        <v>44376</v>
      </c>
      <c r="I106" s="2">
        <v>30</v>
      </c>
      <c r="J106" s="29" t="s">
        <v>197</v>
      </c>
      <c r="K106" s="35"/>
      <c r="L106" s="35"/>
      <c r="M106" s="35"/>
      <c r="AZ106" s="17"/>
      <c r="BA106" s="2"/>
      <c r="BB106" s="2"/>
      <c r="BC106" s="2"/>
      <c r="BD106" s="2"/>
      <c r="BE106" s="3"/>
      <c r="BF106" s="3"/>
      <c r="BG106" s="3"/>
      <c r="BH106" s="2"/>
      <c r="BI106" s="18"/>
      <c r="BL106" s="2"/>
      <c r="BM106" s="2"/>
      <c r="BN106" s="2"/>
      <c r="BO106" s="3"/>
      <c r="BP106" s="3"/>
      <c r="BQ106" s="6"/>
      <c r="BR106" s="3"/>
      <c r="BS106" s="14"/>
    </row>
    <row r="107" spans="1:71">
      <c r="A107" s="29">
        <v>106</v>
      </c>
      <c r="B107" s="2">
        <v>13</v>
      </c>
      <c r="C107" s="2">
        <v>1</v>
      </c>
      <c r="D107" s="2">
        <v>30</v>
      </c>
      <c r="E107" s="2">
        <v>15</v>
      </c>
      <c r="F107" s="3">
        <v>44368</v>
      </c>
      <c r="G107" s="3">
        <v>44375</v>
      </c>
      <c r="H107" s="3">
        <v>44376</v>
      </c>
      <c r="I107" s="2">
        <v>50</v>
      </c>
      <c r="J107" s="29" t="s">
        <v>197</v>
      </c>
      <c r="K107" s="35"/>
      <c r="L107" s="35"/>
      <c r="M107" s="35"/>
      <c r="AZ107" s="17"/>
      <c r="BA107" s="2"/>
      <c r="BB107" s="2"/>
      <c r="BC107" s="2"/>
      <c r="BD107" s="2"/>
      <c r="BE107" s="3"/>
      <c r="BF107" s="3"/>
      <c r="BG107" s="3"/>
      <c r="BH107" s="2"/>
      <c r="BI107" s="18"/>
      <c r="BL107" s="2"/>
      <c r="BM107" s="2"/>
      <c r="BN107" s="2"/>
      <c r="BO107" s="3"/>
      <c r="BP107" s="3"/>
      <c r="BQ107" s="6"/>
      <c r="BR107" s="3"/>
      <c r="BS107" s="14"/>
    </row>
    <row r="108" spans="1:71">
      <c r="A108" s="29">
        <v>107</v>
      </c>
      <c r="B108" s="2">
        <v>16</v>
      </c>
      <c r="C108" s="2">
        <v>1</v>
      </c>
      <c r="D108" s="2">
        <v>30</v>
      </c>
      <c r="E108" s="2">
        <v>15</v>
      </c>
      <c r="F108" s="3">
        <v>44368</v>
      </c>
      <c r="G108" s="3">
        <v>44375</v>
      </c>
      <c r="H108" s="3">
        <v>44376</v>
      </c>
      <c r="I108" s="2">
        <v>20</v>
      </c>
      <c r="J108" s="29" t="s">
        <v>197</v>
      </c>
      <c r="K108" s="35"/>
      <c r="L108" s="35"/>
      <c r="M108" s="35"/>
      <c r="AZ108" s="17"/>
      <c r="BA108" s="2"/>
      <c r="BB108" s="2"/>
      <c r="BC108" s="2"/>
      <c r="BD108" s="2"/>
      <c r="BE108" s="3"/>
      <c r="BF108" s="3"/>
      <c r="BG108" s="3"/>
      <c r="BH108" s="2"/>
      <c r="BI108" s="18"/>
      <c r="BL108" s="2"/>
      <c r="BM108" s="2"/>
      <c r="BN108" s="2"/>
      <c r="BO108" s="3"/>
      <c r="BP108" s="3"/>
      <c r="BQ108" s="6"/>
      <c r="BR108" s="3"/>
      <c r="BS108" s="14"/>
    </row>
    <row r="109" spans="1:71">
      <c r="A109" s="29">
        <v>108</v>
      </c>
      <c r="B109" s="2">
        <v>2</v>
      </c>
      <c r="C109" s="2">
        <v>1</v>
      </c>
      <c r="D109" s="2">
        <v>43</v>
      </c>
      <c r="E109" s="2">
        <v>16</v>
      </c>
      <c r="F109" s="3">
        <v>44368</v>
      </c>
      <c r="G109" s="3">
        <v>44375</v>
      </c>
      <c r="H109" s="3">
        <v>44376</v>
      </c>
      <c r="I109" s="2">
        <v>10</v>
      </c>
      <c r="J109" s="29" t="s">
        <v>197</v>
      </c>
      <c r="K109" s="35"/>
      <c r="L109" s="35"/>
      <c r="M109" s="35"/>
      <c r="AZ109" s="17"/>
      <c r="BA109" s="2"/>
      <c r="BB109" s="2"/>
      <c r="BC109" s="2"/>
      <c r="BD109" s="2"/>
      <c r="BE109" s="3"/>
      <c r="BF109" s="3"/>
      <c r="BG109" s="3"/>
      <c r="BH109" s="2"/>
      <c r="BI109" s="18"/>
      <c r="BL109" s="2"/>
      <c r="BM109" s="2"/>
      <c r="BN109" s="2"/>
      <c r="BO109" s="3"/>
      <c r="BP109" s="3"/>
      <c r="BQ109" s="6"/>
      <c r="BR109" s="3"/>
      <c r="BS109" s="14"/>
    </row>
    <row r="110" spans="1:71">
      <c r="A110" s="29">
        <v>109</v>
      </c>
      <c r="B110" s="2">
        <v>9</v>
      </c>
      <c r="C110" s="2">
        <v>1</v>
      </c>
      <c r="D110" s="2">
        <v>43</v>
      </c>
      <c r="E110" s="2">
        <v>16</v>
      </c>
      <c r="F110" s="3">
        <v>44368</v>
      </c>
      <c r="G110" s="3">
        <v>44375</v>
      </c>
      <c r="H110" s="3">
        <v>44376</v>
      </c>
      <c r="I110" s="2">
        <v>10</v>
      </c>
      <c r="J110" s="29" t="s">
        <v>197</v>
      </c>
      <c r="K110" s="35"/>
      <c r="L110" s="35"/>
      <c r="M110" s="35"/>
      <c r="AZ110" s="17"/>
      <c r="BA110" s="2"/>
      <c r="BB110" s="2"/>
      <c r="BC110" s="2"/>
      <c r="BD110" s="2"/>
      <c r="BE110" s="3"/>
      <c r="BF110" s="3"/>
      <c r="BG110" s="3"/>
      <c r="BH110" s="2"/>
      <c r="BI110" s="18"/>
      <c r="BL110" s="2"/>
      <c r="BM110" s="2"/>
      <c r="BN110" s="2"/>
      <c r="BO110" s="3"/>
      <c r="BP110" s="3"/>
      <c r="BQ110" s="6"/>
      <c r="BR110" s="3"/>
      <c r="BS110" s="14"/>
    </row>
    <row r="111" spans="1:71">
      <c r="A111" s="29">
        <v>110</v>
      </c>
      <c r="B111" s="2">
        <v>5</v>
      </c>
      <c r="C111" s="2">
        <v>3</v>
      </c>
      <c r="D111" s="2">
        <v>13</v>
      </c>
      <c r="E111" s="2">
        <v>2</v>
      </c>
      <c r="F111" s="3">
        <v>44333</v>
      </c>
      <c r="G111" s="3">
        <v>44340</v>
      </c>
      <c r="H111" s="3">
        <v>44340</v>
      </c>
      <c r="I111" s="2">
        <v>40</v>
      </c>
      <c r="J111" s="29" t="s">
        <v>197</v>
      </c>
      <c r="K111" s="35"/>
      <c r="L111" s="35"/>
      <c r="M111" s="35"/>
      <c r="AZ111" s="17"/>
      <c r="BA111" s="2"/>
      <c r="BB111" s="2"/>
      <c r="BC111" s="2"/>
      <c r="BD111" s="2"/>
      <c r="BE111" s="3"/>
      <c r="BF111" s="3"/>
      <c r="BG111" s="3"/>
      <c r="BH111" s="2"/>
      <c r="BI111" s="18"/>
      <c r="BL111" s="2"/>
      <c r="BM111" s="2"/>
      <c r="BN111" s="2"/>
      <c r="BO111" s="3"/>
      <c r="BP111" s="3"/>
      <c r="BQ111" s="6"/>
      <c r="BR111" s="3"/>
      <c r="BS111" s="14"/>
    </row>
    <row r="112" spans="1:71">
      <c r="A112" s="29">
        <v>111</v>
      </c>
      <c r="B112" s="2">
        <v>6</v>
      </c>
      <c r="C112" s="2">
        <v>3</v>
      </c>
      <c r="D112" s="2">
        <v>13</v>
      </c>
      <c r="E112" s="2">
        <v>2</v>
      </c>
      <c r="F112" s="3">
        <v>44333</v>
      </c>
      <c r="G112" s="3">
        <v>44340</v>
      </c>
      <c r="H112" s="3">
        <v>44340</v>
      </c>
      <c r="I112" s="2">
        <v>30</v>
      </c>
      <c r="J112" s="29" t="s">
        <v>197</v>
      </c>
      <c r="K112" s="35"/>
      <c r="L112" s="35"/>
      <c r="M112" s="35"/>
      <c r="AZ112" s="17"/>
      <c r="BA112" s="2"/>
      <c r="BB112" s="2"/>
      <c r="BC112" s="2"/>
      <c r="BD112" s="2"/>
      <c r="BE112" s="3"/>
      <c r="BF112" s="3"/>
      <c r="BG112" s="3"/>
      <c r="BH112" s="2"/>
      <c r="BI112" s="18"/>
      <c r="BL112" s="2"/>
      <c r="BM112" s="2"/>
      <c r="BN112" s="2"/>
      <c r="BO112" s="3"/>
      <c r="BP112" s="3"/>
      <c r="BQ112" s="6"/>
      <c r="BR112" s="3"/>
      <c r="BS112" s="14"/>
    </row>
    <row r="113" spans="1:71">
      <c r="A113" s="29">
        <v>112</v>
      </c>
      <c r="B113" s="2">
        <v>7</v>
      </c>
      <c r="C113" s="2">
        <v>3</v>
      </c>
      <c r="D113" s="2">
        <v>13</v>
      </c>
      <c r="E113" s="2">
        <v>2</v>
      </c>
      <c r="F113" s="3">
        <v>44333</v>
      </c>
      <c r="G113" s="3">
        <v>44340</v>
      </c>
      <c r="H113" s="3">
        <v>44340</v>
      </c>
      <c r="I113" s="2">
        <v>30</v>
      </c>
      <c r="J113" s="29" t="s">
        <v>197</v>
      </c>
      <c r="K113" s="35"/>
      <c r="L113" s="35"/>
      <c r="M113" s="35"/>
      <c r="AZ113" s="17"/>
      <c r="BA113" s="2"/>
      <c r="BB113" s="2"/>
      <c r="BC113" s="2"/>
      <c r="BD113" s="2"/>
      <c r="BE113" s="3"/>
      <c r="BF113" s="3"/>
      <c r="BG113" s="3"/>
      <c r="BH113" s="2"/>
      <c r="BI113" s="18"/>
      <c r="BL113" s="2"/>
      <c r="BM113" s="2"/>
      <c r="BN113" s="2"/>
      <c r="BO113" s="3"/>
      <c r="BP113" s="3"/>
      <c r="BQ113" s="6"/>
      <c r="BR113" s="3"/>
      <c r="BS113" s="14"/>
    </row>
    <row r="114" spans="1:71">
      <c r="A114" s="29">
        <v>113</v>
      </c>
      <c r="B114" s="2">
        <v>8</v>
      </c>
      <c r="C114" s="2">
        <v>3</v>
      </c>
      <c r="D114" s="2">
        <v>13</v>
      </c>
      <c r="E114" s="2">
        <v>2</v>
      </c>
      <c r="F114" s="3">
        <v>44333</v>
      </c>
      <c r="G114" s="3">
        <v>44340</v>
      </c>
      <c r="H114" s="3">
        <v>44340</v>
      </c>
      <c r="I114" s="2">
        <v>60</v>
      </c>
      <c r="J114" s="29" t="s">
        <v>197</v>
      </c>
      <c r="K114" s="35"/>
      <c r="L114" s="35"/>
      <c r="M114" s="35"/>
      <c r="AZ114" s="17"/>
      <c r="BA114" s="2"/>
      <c r="BB114" s="2"/>
      <c r="BC114" s="2"/>
      <c r="BD114" s="2"/>
      <c r="BE114" s="3"/>
      <c r="BF114" s="3"/>
      <c r="BG114" s="3"/>
      <c r="BH114" s="2"/>
      <c r="BI114" s="18"/>
      <c r="BL114" s="2"/>
      <c r="BM114" s="2"/>
      <c r="BN114" s="2"/>
      <c r="BO114" s="3"/>
      <c r="BP114" s="3"/>
      <c r="BQ114" s="6"/>
      <c r="BR114" s="3"/>
      <c r="BS114" s="14"/>
    </row>
    <row r="115" spans="1:71">
      <c r="A115" s="29">
        <v>483</v>
      </c>
      <c r="B115" s="2">
        <v>7</v>
      </c>
      <c r="C115" s="2">
        <v>1</v>
      </c>
      <c r="D115" s="2">
        <v>65</v>
      </c>
      <c r="E115" s="2">
        <v>20</v>
      </c>
      <c r="F115" s="3">
        <v>44372</v>
      </c>
      <c r="G115" s="3">
        <v>44379</v>
      </c>
      <c r="H115" s="3">
        <v>44380</v>
      </c>
      <c r="I115" s="2">
        <v>20</v>
      </c>
      <c r="J115" s="29" t="s">
        <v>197</v>
      </c>
      <c r="K115" s="35"/>
      <c r="L115" s="35"/>
      <c r="M115" s="35"/>
      <c r="AZ115" s="17"/>
      <c r="BA115" s="2"/>
      <c r="BB115" s="2"/>
      <c r="BC115" s="2"/>
      <c r="BD115" s="2"/>
      <c r="BE115" s="3"/>
      <c r="BF115" s="3"/>
      <c r="BG115" s="3"/>
      <c r="BH115" s="2"/>
      <c r="BI115" s="18"/>
      <c r="BL115" s="2"/>
      <c r="BM115" s="2"/>
      <c r="BN115" s="2"/>
      <c r="BO115" s="3"/>
      <c r="BP115" s="3"/>
      <c r="BQ115" s="6"/>
      <c r="BR115" s="3"/>
      <c r="BS115" s="14"/>
    </row>
    <row r="116" spans="1:71">
      <c r="A116" s="29">
        <v>115</v>
      </c>
      <c r="B116" s="2">
        <v>8</v>
      </c>
      <c r="C116" s="2">
        <v>6</v>
      </c>
      <c r="D116" s="2">
        <v>72</v>
      </c>
      <c r="E116" s="2">
        <v>2</v>
      </c>
      <c r="F116" s="3">
        <v>44333</v>
      </c>
      <c r="G116" s="3">
        <v>44340</v>
      </c>
      <c r="H116" s="3">
        <v>44341</v>
      </c>
      <c r="I116" s="2">
        <v>70</v>
      </c>
      <c r="J116" s="29" t="s">
        <v>197</v>
      </c>
      <c r="K116" s="35"/>
      <c r="L116" s="35"/>
      <c r="M116" s="35"/>
      <c r="AZ116" s="17"/>
      <c r="BA116" s="2"/>
      <c r="BB116" s="2"/>
      <c r="BC116" s="2"/>
      <c r="BD116" s="2"/>
      <c r="BE116" s="3"/>
      <c r="BF116" s="3"/>
      <c r="BG116" s="3"/>
      <c r="BH116" s="2"/>
      <c r="BI116" s="18"/>
      <c r="BL116" s="2"/>
      <c r="BM116" s="2"/>
      <c r="BN116" s="2"/>
      <c r="BO116" s="3"/>
      <c r="BP116" s="3"/>
      <c r="BQ116" s="6"/>
      <c r="BR116" s="3"/>
      <c r="BS116" s="14"/>
    </row>
    <row r="117" spans="1:71">
      <c r="A117" s="29">
        <v>116</v>
      </c>
      <c r="B117" s="2">
        <v>9</v>
      </c>
      <c r="C117" s="2">
        <v>6</v>
      </c>
      <c r="D117" s="2">
        <v>72</v>
      </c>
      <c r="E117" s="2">
        <v>2</v>
      </c>
      <c r="F117" s="3">
        <v>44333</v>
      </c>
      <c r="G117" s="3">
        <v>44340</v>
      </c>
      <c r="H117" s="3">
        <v>44341</v>
      </c>
      <c r="I117" s="2">
        <v>50</v>
      </c>
      <c r="J117" s="29" t="s">
        <v>197</v>
      </c>
      <c r="K117" s="35"/>
      <c r="L117" s="35"/>
      <c r="M117" s="35"/>
      <c r="AZ117" s="17"/>
      <c r="BA117" s="2"/>
      <c r="BB117" s="2"/>
      <c r="BC117" s="2"/>
      <c r="BD117" s="2"/>
      <c r="BE117" s="3"/>
      <c r="BF117" s="3"/>
      <c r="BG117" s="3"/>
      <c r="BH117" s="2"/>
      <c r="BI117" s="18"/>
      <c r="BL117" s="2"/>
      <c r="BM117" s="2"/>
      <c r="BN117" s="2"/>
      <c r="BO117" s="3"/>
      <c r="BP117" s="3"/>
      <c r="BQ117" s="6"/>
      <c r="BR117" s="3"/>
      <c r="BS117" s="14"/>
    </row>
    <row r="118" spans="1:71">
      <c r="A118" s="29">
        <v>117</v>
      </c>
      <c r="B118" s="2">
        <v>10</v>
      </c>
      <c r="C118" s="2">
        <v>6</v>
      </c>
      <c r="D118" s="2">
        <v>72</v>
      </c>
      <c r="E118" s="2">
        <v>2</v>
      </c>
      <c r="F118" s="3">
        <v>44333</v>
      </c>
      <c r="G118" s="3">
        <v>44340</v>
      </c>
      <c r="H118" s="3">
        <v>44341</v>
      </c>
      <c r="I118" s="2">
        <v>40</v>
      </c>
      <c r="J118" s="29" t="s">
        <v>197</v>
      </c>
      <c r="K118" s="35"/>
      <c r="L118" s="35"/>
      <c r="M118" s="35"/>
      <c r="AZ118" s="17"/>
      <c r="BA118" s="2"/>
      <c r="BB118" s="2"/>
      <c r="BC118" s="2"/>
      <c r="BD118" s="2"/>
      <c r="BE118" s="3"/>
      <c r="BF118" s="3"/>
      <c r="BG118" s="3"/>
      <c r="BH118" s="2"/>
      <c r="BI118" s="18"/>
      <c r="BL118" s="2"/>
      <c r="BM118" s="2"/>
      <c r="BN118" s="2"/>
      <c r="BO118" s="3"/>
      <c r="BP118" s="3"/>
      <c r="BQ118" s="6"/>
      <c r="BR118" s="3"/>
      <c r="BS118" s="14"/>
    </row>
    <row r="119" spans="1:71">
      <c r="A119" s="29">
        <v>118</v>
      </c>
      <c r="B119" s="2">
        <v>1</v>
      </c>
      <c r="C119" s="2">
        <v>6</v>
      </c>
      <c r="D119" s="2">
        <v>72</v>
      </c>
      <c r="E119" s="2">
        <v>2</v>
      </c>
      <c r="F119" s="3">
        <v>44333</v>
      </c>
      <c r="G119" s="3">
        <v>44340</v>
      </c>
      <c r="H119" s="3">
        <v>44341</v>
      </c>
      <c r="I119" s="2">
        <v>30</v>
      </c>
      <c r="J119" s="29" t="s">
        <v>197</v>
      </c>
      <c r="K119" s="35"/>
      <c r="L119" s="35"/>
      <c r="M119" s="35"/>
      <c r="AZ119" s="17"/>
      <c r="BA119" s="2"/>
      <c r="BB119" s="2"/>
      <c r="BC119" s="2"/>
      <c r="BD119" s="2"/>
      <c r="BE119" s="3"/>
      <c r="BF119" s="3"/>
      <c r="BG119" s="3"/>
      <c r="BH119" s="2"/>
      <c r="BI119" s="18"/>
      <c r="BL119" s="2"/>
      <c r="BM119" s="2"/>
      <c r="BN119" s="2"/>
      <c r="BO119" s="3"/>
      <c r="BP119" s="3"/>
      <c r="BQ119" s="6"/>
      <c r="BR119" s="3"/>
      <c r="BS119" s="14"/>
    </row>
    <row r="120" spans="1:71">
      <c r="A120" s="29">
        <v>119</v>
      </c>
      <c r="B120" s="2">
        <v>18</v>
      </c>
      <c r="C120" s="2">
        <v>1</v>
      </c>
      <c r="D120" s="2">
        <v>17</v>
      </c>
      <c r="E120" s="2">
        <v>11</v>
      </c>
      <c r="F120" s="3">
        <v>44365</v>
      </c>
      <c r="G120" s="3">
        <v>44372</v>
      </c>
      <c r="H120" s="3">
        <v>44373</v>
      </c>
      <c r="I120" s="2">
        <v>40</v>
      </c>
      <c r="J120" s="29" t="s">
        <v>197</v>
      </c>
      <c r="K120" s="35"/>
      <c r="L120" s="35"/>
      <c r="M120" s="35"/>
      <c r="AZ120" s="17"/>
      <c r="BA120" s="2"/>
      <c r="BB120" s="2"/>
      <c r="BC120" s="2"/>
      <c r="BD120" s="2"/>
      <c r="BE120" s="3"/>
      <c r="BF120" s="3"/>
      <c r="BG120" s="3"/>
      <c r="BH120" s="2"/>
      <c r="BI120" s="18"/>
      <c r="BL120" s="2"/>
      <c r="BM120" s="2"/>
      <c r="BN120" s="2"/>
      <c r="BO120" s="3"/>
      <c r="BP120" s="3"/>
      <c r="BQ120" s="6"/>
      <c r="BR120" s="3"/>
      <c r="BS120" s="14"/>
    </row>
    <row r="121" spans="1:71">
      <c r="A121" s="29">
        <v>120</v>
      </c>
      <c r="B121" s="2">
        <v>26</v>
      </c>
      <c r="C121" s="2">
        <v>1</v>
      </c>
      <c r="D121" s="2">
        <v>43</v>
      </c>
      <c r="E121" s="2">
        <v>16</v>
      </c>
      <c r="F121" s="3">
        <v>44368</v>
      </c>
      <c r="G121" s="3">
        <v>44375</v>
      </c>
      <c r="H121" s="3">
        <v>44376</v>
      </c>
      <c r="I121" s="2">
        <v>0</v>
      </c>
      <c r="J121" s="29" t="s">
        <v>197</v>
      </c>
      <c r="K121" s="35"/>
      <c r="L121" s="35"/>
      <c r="M121" s="35"/>
      <c r="AZ121" s="17"/>
      <c r="BA121" s="2"/>
      <c r="BB121" s="2"/>
      <c r="BC121" s="2"/>
      <c r="BD121" s="2"/>
      <c r="BE121" s="3"/>
      <c r="BF121" s="3"/>
      <c r="BG121" s="3"/>
      <c r="BH121" s="2"/>
      <c r="BI121" s="18"/>
      <c r="BL121" s="2"/>
      <c r="BM121" s="2"/>
      <c r="BN121" s="2"/>
      <c r="BO121" s="3"/>
      <c r="BP121" s="3"/>
      <c r="BQ121" s="6"/>
      <c r="BR121" s="3"/>
      <c r="BS121" s="14"/>
    </row>
    <row r="122" spans="1:71">
      <c r="A122" s="29">
        <v>121</v>
      </c>
      <c r="B122" s="2">
        <v>1</v>
      </c>
      <c r="C122" s="2">
        <v>1</v>
      </c>
      <c r="D122" s="2">
        <v>46</v>
      </c>
      <c r="E122" s="2">
        <v>17</v>
      </c>
      <c r="F122" s="3">
        <v>44368</v>
      </c>
      <c r="G122" s="3">
        <v>44375</v>
      </c>
      <c r="H122" s="3">
        <v>44376</v>
      </c>
      <c r="I122" s="2">
        <v>10</v>
      </c>
      <c r="J122" s="29" t="s">
        <v>197</v>
      </c>
      <c r="K122" s="35"/>
      <c r="L122" s="35"/>
      <c r="M122" s="35"/>
      <c r="AZ122" s="17"/>
      <c r="BA122" s="2"/>
      <c r="BB122" s="2"/>
      <c r="BC122" s="2"/>
      <c r="BD122" s="2"/>
      <c r="BE122" s="3"/>
      <c r="BF122" s="3"/>
      <c r="BG122" s="3"/>
      <c r="BH122" s="2"/>
      <c r="BI122" s="18"/>
      <c r="BL122" s="2"/>
      <c r="BM122" s="2"/>
      <c r="BN122" s="2"/>
      <c r="BO122" s="3"/>
      <c r="BP122" s="3"/>
      <c r="BQ122" s="6"/>
      <c r="BR122" s="3"/>
      <c r="BS122" s="14"/>
    </row>
    <row r="123" spans="1:71">
      <c r="A123" s="29">
        <v>122</v>
      </c>
      <c r="B123" s="2">
        <v>3</v>
      </c>
      <c r="C123" s="2">
        <v>1</v>
      </c>
      <c r="D123" s="2">
        <v>151</v>
      </c>
      <c r="E123" s="2">
        <v>39</v>
      </c>
      <c r="F123" s="3">
        <v>44389</v>
      </c>
      <c r="G123" s="3">
        <v>44396</v>
      </c>
      <c r="H123" s="3">
        <v>44397</v>
      </c>
      <c r="I123" s="2">
        <v>80</v>
      </c>
      <c r="J123" s="29" t="s">
        <v>198</v>
      </c>
      <c r="K123" s="35"/>
      <c r="L123" s="35"/>
      <c r="M123" s="35"/>
      <c r="AZ123" s="17"/>
      <c r="BA123" s="2"/>
      <c r="BB123" s="2"/>
      <c r="BC123" s="2"/>
      <c r="BD123" s="2"/>
      <c r="BE123" s="3"/>
      <c r="BF123" s="3"/>
      <c r="BG123" s="3"/>
      <c r="BH123" s="2"/>
      <c r="BI123" s="18"/>
      <c r="BL123" s="2"/>
      <c r="BM123" s="2"/>
      <c r="BN123" s="2"/>
      <c r="BO123" s="3"/>
      <c r="BP123" s="3"/>
      <c r="BQ123" s="6"/>
      <c r="BR123" s="3"/>
      <c r="BS123" s="14"/>
    </row>
    <row r="124" spans="1:71">
      <c r="A124" s="29">
        <v>123</v>
      </c>
      <c r="B124" s="2">
        <v>5</v>
      </c>
      <c r="C124" s="2">
        <v>1</v>
      </c>
      <c r="D124" s="2">
        <v>46</v>
      </c>
      <c r="E124" s="2">
        <v>17</v>
      </c>
      <c r="F124" s="3">
        <v>44368</v>
      </c>
      <c r="G124" s="3">
        <v>44375</v>
      </c>
      <c r="H124" s="3">
        <v>44376</v>
      </c>
      <c r="I124" s="2">
        <v>0</v>
      </c>
      <c r="J124" s="29" t="s">
        <v>197</v>
      </c>
      <c r="K124" s="35"/>
      <c r="L124" s="35"/>
      <c r="M124" s="35"/>
      <c r="AZ124" s="17"/>
      <c r="BA124" s="2"/>
      <c r="BB124" s="2"/>
      <c r="BC124" s="2"/>
      <c r="BD124" s="2"/>
      <c r="BE124" s="3"/>
      <c r="BF124" s="3"/>
      <c r="BG124" s="3"/>
      <c r="BH124" s="2"/>
      <c r="BI124" s="18"/>
      <c r="BL124" s="2"/>
      <c r="BM124" s="2"/>
      <c r="BN124" s="2"/>
      <c r="BO124" s="3"/>
      <c r="BP124" s="3"/>
      <c r="BQ124" s="6"/>
      <c r="BR124" s="3"/>
      <c r="BS124" s="14"/>
    </row>
    <row r="125" spans="1:71">
      <c r="A125" s="29">
        <v>124</v>
      </c>
      <c r="B125" s="2">
        <v>4</v>
      </c>
      <c r="C125" s="2">
        <v>1</v>
      </c>
      <c r="D125" s="2">
        <v>46</v>
      </c>
      <c r="E125" s="2">
        <v>17</v>
      </c>
      <c r="F125" s="3">
        <v>44368</v>
      </c>
      <c r="G125" s="3">
        <v>44375</v>
      </c>
      <c r="H125" s="3">
        <v>44376</v>
      </c>
      <c r="I125" s="2">
        <v>0</v>
      </c>
      <c r="J125" s="29" t="s">
        <v>197</v>
      </c>
      <c r="K125" s="35"/>
      <c r="L125" s="35"/>
      <c r="M125" s="35"/>
      <c r="AZ125" s="17"/>
      <c r="BA125" s="2"/>
      <c r="BB125" s="2"/>
      <c r="BC125" s="2"/>
      <c r="BD125" s="2"/>
      <c r="BE125" s="3"/>
      <c r="BF125" s="3"/>
      <c r="BG125" s="3"/>
      <c r="BH125" s="2"/>
      <c r="BI125" s="18"/>
      <c r="BL125" s="2"/>
      <c r="BM125" s="2"/>
      <c r="BN125" s="2"/>
      <c r="BO125" s="3"/>
      <c r="BP125" s="3"/>
      <c r="BQ125" s="6"/>
      <c r="BR125" s="3"/>
      <c r="BS125" s="14"/>
    </row>
    <row r="126" spans="1:71">
      <c r="A126" s="29">
        <v>125</v>
      </c>
      <c r="B126" s="2">
        <v>17</v>
      </c>
      <c r="C126" s="2">
        <v>1</v>
      </c>
      <c r="D126" s="2">
        <v>46</v>
      </c>
      <c r="E126" s="2">
        <v>17</v>
      </c>
      <c r="F126" s="3">
        <v>44368</v>
      </c>
      <c r="G126" s="3">
        <v>44375</v>
      </c>
      <c r="H126" s="3">
        <v>44376</v>
      </c>
      <c r="I126" s="2">
        <v>0</v>
      </c>
      <c r="J126" s="29" t="s">
        <v>197</v>
      </c>
      <c r="K126" s="35"/>
      <c r="L126" s="35"/>
      <c r="M126" s="35"/>
      <c r="AZ126" s="17"/>
      <c r="BA126" s="2"/>
      <c r="BB126" s="2"/>
      <c r="BC126" s="2"/>
      <c r="BD126" s="2"/>
      <c r="BE126" s="3"/>
      <c r="BF126" s="3"/>
      <c r="BG126" s="3"/>
      <c r="BH126" s="2"/>
      <c r="BI126" s="18"/>
      <c r="BL126" s="2"/>
      <c r="BM126" s="2"/>
      <c r="BN126" s="2"/>
      <c r="BO126" s="3"/>
      <c r="BP126" s="3"/>
      <c r="BQ126" s="6"/>
      <c r="BR126" s="3"/>
      <c r="BS126" s="14"/>
    </row>
    <row r="127" spans="1:71">
      <c r="A127" s="29">
        <v>126</v>
      </c>
      <c r="B127" s="2">
        <v>29</v>
      </c>
      <c r="C127" s="2">
        <v>1</v>
      </c>
      <c r="D127" s="2">
        <v>46</v>
      </c>
      <c r="E127" s="2">
        <v>17</v>
      </c>
      <c r="F127" s="3">
        <v>44368</v>
      </c>
      <c r="G127" s="3">
        <v>44375</v>
      </c>
      <c r="H127" s="3">
        <v>44376</v>
      </c>
      <c r="I127" s="2">
        <v>30</v>
      </c>
      <c r="J127" s="29" t="s">
        <v>197</v>
      </c>
      <c r="K127" s="35"/>
      <c r="L127" s="35"/>
      <c r="M127" s="35"/>
      <c r="AZ127" s="17"/>
      <c r="BA127" s="2"/>
      <c r="BB127" s="2"/>
      <c r="BC127" s="2"/>
      <c r="BD127" s="2"/>
      <c r="BE127" s="3"/>
      <c r="BF127" s="3"/>
      <c r="BG127" s="3"/>
      <c r="BH127" s="2"/>
      <c r="BI127" s="18"/>
      <c r="BL127" s="2"/>
      <c r="BM127" s="2"/>
      <c r="BN127" s="2"/>
      <c r="BO127" s="3"/>
      <c r="BP127" s="3"/>
      <c r="BQ127" s="6"/>
      <c r="BR127" s="3"/>
      <c r="BS127" s="14"/>
    </row>
    <row r="128" spans="1:71">
      <c r="A128" s="29">
        <v>127</v>
      </c>
      <c r="B128" s="2">
        <v>9</v>
      </c>
      <c r="C128" s="2">
        <v>3</v>
      </c>
      <c r="D128" s="2">
        <v>18</v>
      </c>
      <c r="E128" s="2">
        <v>3</v>
      </c>
      <c r="F128" s="3">
        <v>44340</v>
      </c>
      <c r="G128" s="3">
        <v>44347</v>
      </c>
      <c r="H128" s="3">
        <v>44347</v>
      </c>
      <c r="I128" s="2">
        <v>40</v>
      </c>
      <c r="J128" s="29" t="s">
        <v>197</v>
      </c>
      <c r="K128" s="35"/>
      <c r="L128" s="35"/>
      <c r="M128" s="35"/>
      <c r="AZ128" s="17"/>
      <c r="BA128" s="2"/>
      <c r="BB128" s="2"/>
      <c r="BC128" s="2"/>
      <c r="BD128" s="2"/>
      <c r="BE128" s="3"/>
      <c r="BF128" s="3"/>
      <c r="BG128" s="3"/>
      <c r="BH128" s="2"/>
      <c r="BI128" s="18"/>
      <c r="BL128" s="2"/>
      <c r="BM128" s="2"/>
      <c r="BN128" s="2"/>
      <c r="BO128" s="3"/>
      <c r="BP128" s="3"/>
      <c r="BQ128" s="6"/>
      <c r="BR128" s="3"/>
      <c r="BS128" s="14"/>
    </row>
    <row r="129" spans="1:71">
      <c r="A129" s="29">
        <v>128</v>
      </c>
      <c r="B129" s="2">
        <v>10</v>
      </c>
      <c r="C129" s="2">
        <v>3</v>
      </c>
      <c r="D129" s="2">
        <v>18</v>
      </c>
      <c r="E129" s="2">
        <v>3</v>
      </c>
      <c r="F129" s="3">
        <v>44340</v>
      </c>
      <c r="G129" s="3">
        <v>44347</v>
      </c>
      <c r="H129" s="3">
        <v>44347</v>
      </c>
      <c r="I129" s="2">
        <v>60</v>
      </c>
      <c r="J129" s="29" t="s">
        <v>197</v>
      </c>
      <c r="K129" s="35"/>
      <c r="L129" s="35"/>
      <c r="M129" s="35"/>
      <c r="AZ129" s="17"/>
      <c r="BA129" s="2"/>
      <c r="BB129" s="2"/>
      <c r="BC129" s="2"/>
      <c r="BD129" s="2"/>
      <c r="BE129" s="3"/>
      <c r="BF129" s="3"/>
      <c r="BG129" s="3"/>
      <c r="BH129" s="2"/>
      <c r="BI129" s="18"/>
      <c r="BL129" s="2"/>
      <c r="BM129" s="2"/>
      <c r="BN129" s="2"/>
      <c r="BO129" s="3"/>
      <c r="BP129" s="3"/>
      <c r="BQ129" s="6"/>
      <c r="BR129" s="3"/>
      <c r="BS129" s="14"/>
    </row>
    <row r="130" spans="1:71">
      <c r="A130" s="29">
        <v>129</v>
      </c>
      <c r="B130" s="2">
        <v>11</v>
      </c>
      <c r="C130" s="2">
        <v>3</v>
      </c>
      <c r="D130" s="2">
        <v>18</v>
      </c>
      <c r="E130" s="2">
        <v>3</v>
      </c>
      <c r="F130" s="3">
        <v>44340</v>
      </c>
      <c r="G130" s="3">
        <v>44347</v>
      </c>
      <c r="H130" s="3">
        <v>44347</v>
      </c>
      <c r="I130" s="2">
        <v>50</v>
      </c>
      <c r="J130" s="29" t="s">
        <v>197</v>
      </c>
      <c r="K130" s="35"/>
      <c r="L130" s="35"/>
      <c r="M130" s="35"/>
      <c r="AZ130" s="17"/>
      <c r="BA130" s="2"/>
      <c r="BB130" s="2"/>
      <c r="BC130" s="2"/>
      <c r="BD130" s="2"/>
      <c r="BE130" s="3"/>
      <c r="BF130" s="3"/>
      <c r="BG130" s="3"/>
      <c r="BH130" s="2"/>
      <c r="BI130" s="18"/>
      <c r="BL130" s="2"/>
      <c r="BM130" s="2"/>
      <c r="BN130" s="2"/>
      <c r="BO130" s="3"/>
      <c r="BP130" s="3"/>
      <c r="BQ130" s="6"/>
      <c r="BR130" s="3"/>
      <c r="BS130" s="14"/>
    </row>
    <row r="131" spans="1:71">
      <c r="A131" s="29">
        <v>130</v>
      </c>
      <c r="B131" s="2">
        <v>12</v>
      </c>
      <c r="C131" s="2">
        <v>3</v>
      </c>
      <c r="D131" s="2">
        <v>18</v>
      </c>
      <c r="E131" s="2">
        <v>3</v>
      </c>
      <c r="F131" s="3">
        <v>44340</v>
      </c>
      <c r="G131" s="3">
        <v>44347</v>
      </c>
      <c r="H131" s="3">
        <v>44347</v>
      </c>
      <c r="I131" s="2">
        <v>40</v>
      </c>
      <c r="J131" s="29" t="s">
        <v>197</v>
      </c>
      <c r="K131" s="35"/>
      <c r="L131" s="35"/>
      <c r="M131" s="35"/>
      <c r="AZ131" s="17"/>
      <c r="BA131" s="2"/>
      <c r="BB131" s="2"/>
      <c r="BC131" s="2"/>
      <c r="BD131" s="2"/>
      <c r="BE131" s="3"/>
      <c r="BF131" s="3"/>
      <c r="BG131" s="3"/>
      <c r="BH131" s="2"/>
      <c r="BI131" s="18"/>
      <c r="BL131" s="2"/>
      <c r="BM131" s="2"/>
      <c r="BN131" s="2"/>
      <c r="BO131" s="3"/>
      <c r="BP131" s="3"/>
      <c r="BQ131" s="6"/>
      <c r="BR131" s="3"/>
      <c r="BS131" s="14"/>
    </row>
    <row r="132" spans="1:71">
      <c r="A132" s="29">
        <v>131</v>
      </c>
      <c r="B132" s="2">
        <v>30</v>
      </c>
      <c r="C132" s="2">
        <v>6</v>
      </c>
      <c r="D132" s="2">
        <v>82</v>
      </c>
      <c r="E132" s="2">
        <v>3</v>
      </c>
      <c r="F132" s="3">
        <v>44340</v>
      </c>
      <c r="G132" s="3">
        <v>44347</v>
      </c>
      <c r="H132" s="3">
        <v>44348</v>
      </c>
      <c r="I132" s="2">
        <v>60</v>
      </c>
      <c r="J132" s="29" t="s">
        <v>197</v>
      </c>
      <c r="K132" s="35"/>
      <c r="L132" s="35"/>
      <c r="M132" s="35"/>
      <c r="AZ132" s="17"/>
      <c r="BA132" s="2"/>
      <c r="BB132" s="2"/>
      <c r="BC132" s="2"/>
      <c r="BD132" s="2"/>
      <c r="BE132" s="3"/>
      <c r="BF132" s="3"/>
      <c r="BG132" s="3"/>
      <c r="BH132" s="2"/>
      <c r="BI132" s="18"/>
      <c r="BL132" s="2"/>
      <c r="BM132" s="2"/>
      <c r="BN132" s="2"/>
      <c r="BO132" s="3"/>
      <c r="BP132" s="3"/>
      <c r="BQ132" s="6"/>
      <c r="BR132" s="3"/>
      <c r="BS132" s="14"/>
    </row>
    <row r="133" spans="1:71">
      <c r="A133" s="29">
        <v>132</v>
      </c>
      <c r="B133" s="2">
        <v>29</v>
      </c>
      <c r="C133" s="2">
        <v>6</v>
      </c>
      <c r="D133" s="2">
        <v>82</v>
      </c>
      <c r="E133" s="2">
        <v>3</v>
      </c>
      <c r="F133" s="3">
        <v>44340</v>
      </c>
      <c r="G133" s="3">
        <v>44347</v>
      </c>
      <c r="H133" s="3">
        <v>44348</v>
      </c>
      <c r="I133" s="2">
        <v>50</v>
      </c>
      <c r="J133" s="29" t="s">
        <v>197</v>
      </c>
      <c r="K133" s="35"/>
      <c r="L133" s="35"/>
      <c r="M133" s="35"/>
      <c r="AZ133" s="17"/>
      <c r="BA133" s="2"/>
      <c r="BB133" s="2"/>
      <c r="BC133" s="2"/>
      <c r="BD133" s="2"/>
      <c r="BE133" s="3"/>
      <c r="BF133" s="3"/>
      <c r="BG133" s="3"/>
      <c r="BH133" s="2"/>
      <c r="BI133" s="18"/>
      <c r="BL133" s="2"/>
      <c r="BM133" s="2"/>
      <c r="BN133" s="2"/>
      <c r="BO133" s="3"/>
      <c r="BP133" s="3"/>
      <c r="BQ133" s="6"/>
      <c r="BR133" s="3"/>
      <c r="BS133" s="14"/>
    </row>
    <row r="134" spans="1:71">
      <c r="A134" s="29">
        <v>133</v>
      </c>
      <c r="B134" s="2">
        <v>28</v>
      </c>
      <c r="C134" s="2">
        <v>6</v>
      </c>
      <c r="D134" s="2">
        <v>82</v>
      </c>
      <c r="E134" s="2">
        <v>3</v>
      </c>
      <c r="F134" s="3">
        <v>44340</v>
      </c>
      <c r="G134" s="3">
        <v>44347</v>
      </c>
      <c r="H134" s="3">
        <v>44348</v>
      </c>
      <c r="I134" s="2">
        <v>20</v>
      </c>
      <c r="J134" s="29" t="s">
        <v>197</v>
      </c>
      <c r="K134" s="35"/>
      <c r="L134" s="35"/>
      <c r="M134" s="35"/>
      <c r="AZ134" s="17"/>
      <c r="BA134" s="2"/>
      <c r="BB134" s="2"/>
      <c r="BC134" s="2"/>
      <c r="BD134" s="2"/>
      <c r="BE134" s="3"/>
      <c r="BF134" s="3"/>
      <c r="BG134" s="3"/>
      <c r="BH134" s="2"/>
      <c r="BI134" s="18"/>
      <c r="BL134" s="2"/>
      <c r="BM134" s="2"/>
      <c r="BN134" s="2"/>
      <c r="BO134" s="3"/>
      <c r="BP134" s="3"/>
      <c r="BQ134" s="6"/>
      <c r="BR134" s="3"/>
      <c r="BS134" s="14"/>
    </row>
    <row r="135" spans="1:71">
      <c r="A135" s="29">
        <v>134</v>
      </c>
      <c r="B135" s="2">
        <v>27</v>
      </c>
      <c r="C135" s="2">
        <v>6</v>
      </c>
      <c r="D135" s="2">
        <v>82</v>
      </c>
      <c r="E135" s="2">
        <v>3</v>
      </c>
      <c r="F135" s="3">
        <v>44340</v>
      </c>
      <c r="G135" s="3">
        <v>44347</v>
      </c>
      <c r="H135" s="3">
        <v>44348</v>
      </c>
      <c r="I135" s="2">
        <v>10</v>
      </c>
      <c r="J135" s="29" t="s">
        <v>197</v>
      </c>
      <c r="K135" s="35"/>
      <c r="L135" s="35"/>
      <c r="M135" s="35"/>
      <c r="AZ135" s="17"/>
      <c r="BA135" s="2"/>
      <c r="BB135" s="2"/>
      <c r="BC135" s="2"/>
      <c r="BD135" s="2"/>
      <c r="BE135" s="3"/>
      <c r="BF135" s="3"/>
      <c r="BG135" s="3"/>
      <c r="BH135" s="2"/>
      <c r="BI135" s="18"/>
      <c r="BL135" s="2"/>
      <c r="BM135" s="2"/>
      <c r="BN135" s="2"/>
      <c r="BO135" s="3"/>
      <c r="BP135" s="3"/>
      <c r="BQ135" s="6"/>
      <c r="BR135" s="3"/>
      <c r="BS135" s="14"/>
    </row>
    <row r="136" spans="1:71">
      <c r="A136" s="29">
        <v>135</v>
      </c>
      <c r="B136" s="2">
        <v>25</v>
      </c>
      <c r="C136" s="2">
        <v>6</v>
      </c>
      <c r="D136" s="2">
        <v>82</v>
      </c>
      <c r="E136" s="2">
        <v>3</v>
      </c>
      <c r="F136" s="3">
        <v>44340</v>
      </c>
      <c r="G136" s="3">
        <v>44347</v>
      </c>
      <c r="H136" s="3">
        <v>44348</v>
      </c>
      <c r="I136" s="2">
        <v>60</v>
      </c>
      <c r="J136" s="29" t="s">
        <v>197</v>
      </c>
      <c r="K136" s="35"/>
      <c r="L136" s="35"/>
      <c r="M136" s="35"/>
      <c r="AZ136" s="17"/>
      <c r="BA136" s="2"/>
      <c r="BB136" s="2"/>
      <c r="BC136" s="2"/>
      <c r="BD136" s="2"/>
      <c r="BE136" s="3"/>
      <c r="BF136" s="3"/>
      <c r="BG136" s="3"/>
      <c r="BH136" s="2"/>
      <c r="BI136" s="18"/>
      <c r="BL136" s="2"/>
      <c r="BM136" s="2"/>
      <c r="BN136" s="2"/>
      <c r="BO136" s="3"/>
      <c r="BP136" s="3"/>
      <c r="BQ136" s="6"/>
      <c r="BR136" s="3"/>
      <c r="BS136" s="14"/>
    </row>
    <row r="137" spans="1:71">
      <c r="A137" s="29">
        <v>136</v>
      </c>
      <c r="B137" s="2">
        <v>24</v>
      </c>
      <c r="C137" s="2">
        <v>6</v>
      </c>
      <c r="D137" s="2">
        <v>82</v>
      </c>
      <c r="E137" s="2">
        <v>3</v>
      </c>
      <c r="F137" s="3">
        <v>44340</v>
      </c>
      <c r="G137" s="3">
        <v>44347</v>
      </c>
      <c r="H137" s="3">
        <v>44348</v>
      </c>
      <c r="I137" s="2">
        <v>50</v>
      </c>
      <c r="J137" s="29" t="s">
        <v>197</v>
      </c>
      <c r="K137" s="35"/>
      <c r="L137" s="35"/>
      <c r="M137" s="35"/>
      <c r="AZ137" s="17"/>
      <c r="BA137" s="2"/>
      <c r="BB137" s="2"/>
      <c r="BC137" s="2"/>
      <c r="BD137" s="2"/>
      <c r="BE137" s="3"/>
      <c r="BF137" s="3"/>
      <c r="BG137" s="3"/>
      <c r="BH137" s="2"/>
      <c r="BI137" s="18"/>
      <c r="BL137" s="2"/>
      <c r="BM137" s="2"/>
      <c r="BN137" s="2"/>
      <c r="BO137" s="3"/>
      <c r="BP137" s="3"/>
      <c r="BQ137" s="6"/>
      <c r="BR137" s="3"/>
      <c r="BS137" s="14"/>
    </row>
    <row r="138" spans="1:71">
      <c r="A138" s="29">
        <v>137</v>
      </c>
      <c r="B138" s="2">
        <v>27</v>
      </c>
      <c r="C138" s="2">
        <v>3</v>
      </c>
      <c r="D138" s="2">
        <v>23</v>
      </c>
      <c r="E138" s="2">
        <v>4</v>
      </c>
      <c r="F138" s="3">
        <v>44342</v>
      </c>
      <c r="G138" s="3">
        <v>44349</v>
      </c>
      <c r="H138" s="3">
        <v>44349</v>
      </c>
      <c r="I138" s="2">
        <v>50</v>
      </c>
      <c r="J138" s="29" t="s">
        <v>197</v>
      </c>
      <c r="K138" s="35"/>
      <c r="L138" s="35"/>
      <c r="M138" s="35"/>
      <c r="AZ138" s="17"/>
      <c r="BA138" s="2"/>
      <c r="BB138" s="2"/>
      <c r="BC138" s="2"/>
      <c r="BD138" s="2"/>
      <c r="BE138" s="3"/>
      <c r="BF138" s="3"/>
      <c r="BG138" s="3"/>
      <c r="BH138" s="2"/>
      <c r="BI138" s="18"/>
      <c r="BL138" s="2"/>
      <c r="BM138" s="2"/>
      <c r="BN138" s="2"/>
      <c r="BO138" s="3"/>
      <c r="BP138" s="3"/>
      <c r="BQ138" s="6"/>
      <c r="BR138" s="3"/>
      <c r="BS138" s="14"/>
    </row>
    <row r="139" spans="1:71">
      <c r="A139" s="29">
        <v>138</v>
      </c>
      <c r="B139" s="2">
        <v>28</v>
      </c>
      <c r="C139" s="2">
        <v>3</v>
      </c>
      <c r="D139" s="2">
        <v>23</v>
      </c>
      <c r="E139" s="2">
        <v>4</v>
      </c>
      <c r="F139" s="3">
        <v>44342</v>
      </c>
      <c r="G139" s="3">
        <v>44349</v>
      </c>
      <c r="H139" s="3">
        <v>44349</v>
      </c>
      <c r="I139" s="2">
        <v>40</v>
      </c>
      <c r="J139" s="29" t="s">
        <v>197</v>
      </c>
      <c r="K139" s="35"/>
      <c r="L139" s="35"/>
      <c r="M139" s="35"/>
      <c r="AZ139" s="17"/>
      <c r="BA139" s="2"/>
      <c r="BB139" s="2"/>
      <c r="BC139" s="2"/>
      <c r="BD139" s="2"/>
      <c r="BE139" s="3"/>
      <c r="BF139" s="3"/>
      <c r="BG139" s="3"/>
      <c r="BH139" s="2"/>
      <c r="BI139" s="18"/>
      <c r="BL139" s="2"/>
      <c r="BM139" s="2"/>
      <c r="BN139" s="2"/>
      <c r="BO139" s="3"/>
      <c r="BP139" s="3"/>
      <c r="BQ139" s="6"/>
      <c r="BR139" s="3"/>
      <c r="BS139" s="14"/>
    </row>
    <row r="140" spans="1:71">
      <c r="A140" s="29">
        <v>139</v>
      </c>
      <c r="B140" s="2">
        <v>1</v>
      </c>
      <c r="C140" s="2">
        <v>3</v>
      </c>
      <c r="D140" s="2">
        <v>23</v>
      </c>
      <c r="E140" s="2">
        <v>4</v>
      </c>
      <c r="F140" s="3">
        <v>44342</v>
      </c>
      <c r="G140" s="3">
        <v>44349</v>
      </c>
      <c r="H140" s="3">
        <v>44349</v>
      </c>
      <c r="I140" s="2">
        <v>50</v>
      </c>
      <c r="J140" s="29" t="s">
        <v>197</v>
      </c>
      <c r="K140" s="35"/>
      <c r="L140" s="35"/>
      <c r="M140" s="35"/>
      <c r="AZ140" s="17"/>
      <c r="BA140" s="2"/>
      <c r="BB140" s="2"/>
      <c r="BC140" s="2"/>
      <c r="BD140" s="2"/>
      <c r="BE140" s="3"/>
      <c r="BF140" s="3"/>
      <c r="BG140" s="3"/>
      <c r="BH140" s="2"/>
      <c r="BI140" s="18"/>
      <c r="BL140" s="2"/>
      <c r="BM140" s="2"/>
      <c r="BN140" s="2"/>
      <c r="BO140" s="3"/>
      <c r="BP140" s="3"/>
      <c r="BQ140" s="6"/>
      <c r="BR140" s="3"/>
      <c r="BS140" s="14"/>
    </row>
    <row r="141" spans="1:71">
      <c r="A141" s="29">
        <v>140</v>
      </c>
      <c r="B141" s="2">
        <v>3</v>
      </c>
      <c r="C141" s="2">
        <v>3</v>
      </c>
      <c r="D141" s="2">
        <v>23</v>
      </c>
      <c r="E141" s="2">
        <v>4</v>
      </c>
      <c r="F141" s="3">
        <v>44342</v>
      </c>
      <c r="G141" s="3">
        <v>44349</v>
      </c>
      <c r="H141" s="3">
        <v>44349</v>
      </c>
      <c r="I141" s="2">
        <v>0</v>
      </c>
      <c r="J141" s="29" t="s">
        <v>197</v>
      </c>
      <c r="K141" s="35"/>
      <c r="L141" s="35"/>
      <c r="M141" s="35"/>
      <c r="AZ141" s="17"/>
      <c r="BA141" s="2"/>
      <c r="BB141" s="2"/>
      <c r="BC141" s="2"/>
      <c r="BD141" s="2"/>
      <c r="BE141" s="3"/>
      <c r="BF141" s="3"/>
      <c r="BG141" s="3"/>
      <c r="BH141" s="2"/>
      <c r="BI141" s="18"/>
      <c r="BL141" s="2"/>
      <c r="BM141" s="2"/>
      <c r="BN141" s="2"/>
      <c r="BO141" s="3"/>
      <c r="BP141" s="3"/>
      <c r="BQ141" s="6"/>
      <c r="BR141" s="3"/>
      <c r="BS141" s="14"/>
    </row>
    <row r="142" spans="1:71">
      <c r="A142" s="29">
        <v>141</v>
      </c>
      <c r="B142" s="2">
        <v>16</v>
      </c>
      <c r="C142" s="2">
        <v>2</v>
      </c>
      <c r="D142" s="2">
        <v>52</v>
      </c>
      <c r="E142" s="2">
        <v>4</v>
      </c>
      <c r="F142" s="3">
        <v>44342</v>
      </c>
      <c r="G142" s="3">
        <v>44349</v>
      </c>
      <c r="H142" s="3">
        <v>44349</v>
      </c>
      <c r="I142" s="2">
        <v>10</v>
      </c>
      <c r="J142" s="29" t="s">
        <v>197</v>
      </c>
      <c r="K142" s="35"/>
      <c r="L142" s="35"/>
      <c r="M142" s="35"/>
      <c r="AZ142" s="17"/>
      <c r="BA142" s="2"/>
      <c r="BB142" s="2"/>
      <c r="BC142" s="2"/>
      <c r="BD142" s="2"/>
      <c r="BE142" s="3"/>
      <c r="BF142" s="3"/>
      <c r="BG142" s="3"/>
      <c r="BH142" s="2"/>
      <c r="BI142" s="18"/>
      <c r="BL142" s="2"/>
      <c r="BM142" s="2"/>
      <c r="BN142" s="2"/>
      <c r="BO142" s="3"/>
      <c r="BP142" s="3"/>
      <c r="BQ142" s="6"/>
      <c r="BR142" s="3"/>
      <c r="BS142" s="14"/>
    </row>
    <row r="143" spans="1:71">
      <c r="A143" s="29">
        <v>142</v>
      </c>
      <c r="B143" s="2">
        <v>19</v>
      </c>
      <c r="C143" s="2">
        <v>2</v>
      </c>
      <c r="D143" s="2">
        <v>52</v>
      </c>
      <c r="E143" s="2">
        <v>4</v>
      </c>
      <c r="F143" s="3">
        <v>44342</v>
      </c>
      <c r="G143" s="3">
        <v>44349</v>
      </c>
      <c r="H143" s="3">
        <v>44349</v>
      </c>
      <c r="I143" s="2">
        <v>50</v>
      </c>
      <c r="J143" s="29" t="s">
        <v>197</v>
      </c>
      <c r="K143" s="35"/>
      <c r="L143" s="35"/>
      <c r="M143" s="35"/>
      <c r="AZ143" s="17"/>
      <c r="BA143" s="2"/>
      <c r="BB143" s="2"/>
      <c r="BC143" s="2"/>
      <c r="BD143" s="2"/>
      <c r="BE143" s="3"/>
      <c r="BF143" s="3"/>
      <c r="BG143" s="3"/>
      <c r="BH143" s="2"/>
      <c r="BI143" s="18"/>
      <c r="BL143" s="2"/>
      <c r="BM143" s="2"/>
      <c r="BN143" s="2"/>
      <c r="BO143" s="3"/>
      <c r="BP143" s="3"/>
      <c r="BQ143" s="6"/>
      <c r="BR143" s="3"/>
      <c r="BS143" s="14"/>
    </row>
    <row r="144" spans="1:71">
      <c r="A144" s="29">
        <v>143</v>
      </c>
      <c r="B144" s="2">
        <v>9</v>
      </c>
      <c r="C144" s="2">
        <v>2</v>
      </c>
      <c r="D144" s="2">
        <v>52</v>
      </c>
      <c r="E144" s="2">
        <v>4</v>
      </c>
      <c r="F144" s="3">
        <v>44342</v>
      </c>
      <c r="G144" s="3">
        <v>44349</v>
      </c>
      <c r="H144" s="3">
        <v>44349</v>
      </c>
      <c r="I144" s="2">
        <v>30</v>
      </c>
      <c r="J144" s="29" t="s">
        <v>197</v>
      </c>
      <c r="K144" s="35"/>
      <c r="L144" s="35"/>
      <c r="M144" s="35"/>
      <c r="AZ144" s="17"/>
      <c r="BA144" s="2"/>
      <c r="BB144" s="2"/>
      <c r="BC144" s="2"/>
      <c r="BD144" s="2"/>
      <c r="BE144" s="3"/>
      <c r="BF144" s="3"/>
      <c r="BG144" s="3"/>
      <c r="BH144" s="2"/>
      <c r="BI144" s="18"/>
      <c r="BL144" s="2"/>
      <c r="BM144" s="2"/>
      <c r="BN144" s="2"/>
      <c r="BO144" s="3"/>
      <c r="BP144" s="3"/>
      <c r="BQ144" s="6"/>
      <c r="BR144" s="3"/>
      <c r="BS144" s="14"/>
    </row>
    <row r="145" spans="1:71">
      <c r="A145" s="29">
        <v>144</v>
      </c>
      <c r="B145" s="2">
        <v>23</v>
      </c>
      <c r="C145" s="2">
        <v>6</v>
      </c>
      <c r="D145" s="2">
        <v>85</v>
      </c>
      <c r="E145" s="2">
        <v>4</v>
      </c>
      <c r="F145" s="3">
        <v>44342</v>
      </c>
      <c r="G145" s="3">
        <v>44349</v>
      </c>
      <c r="H145" s="3">
        <v>44350</v>
      </c>
      <c r="I145" s="2">
        <v>40</v>
      </c>
      <c r="J145" s="29" t="s">
        <v>197</v>
      </c>
      <c r="K145" s="35"/>
      <c r="L145" s="35"/>
      <c r="M145" s="35"/>
      <c r="AZ145" s="17"/>
      <c r="BA145" s="2"/>
      <c r="BB145" s="2"/>
      <c r="BC145" s="2"/>
      <c r="BD145" s="2"/>
      <c r="BE145" s="3"/>
      <c r="BF145" s="3"/>
      <c r="BG145" s="3"/>
      <c r="BH145" s="2"/>
      <c r="BI145" s="18"/>
      <c r="BL145" s="2"/>
      <c r="BM145" s="2"/>
      <c r="BN145" s="2"/>
      <c r="BO145" s="3"/>
      <c r="BP145" s="3"/>
      <c r="BQ145" s="6"/>
      <c r="BR145" s="3"/>
      <c r="BS145" s="14"/>
    </row>
    <row r="146" spans="1:71">
      <c r="A146" s="29">
        <v>145</v>
      </c>
      <c r="B146" s="2">
        <v>20</v>
      </c>
      <c r="C146" s="2">
        <v>6</v>
      </c>
      <c r="D146" s="2">
        <v>85</v>
      </c>
      <c r="E146" s="2">
        <v>4</v>
      </c>
      <c r="F146" s="3">
        <v>44342</v>
      </c>
      <c r="G146" s="3">
        <v>44349</v>
      </c>
      <c r="H146" s="3">
        <v>44350</v>
      </c>
      <c r="I146" s="2">
        <v>60</v>
      </c>
      <c r="J146" s="29" t="s">
        <v>197</v>
      </c>
      <c r="K146" s="35"/>
      <c r="L146" s="35"/>
      <c r="M146" s="35"/>
      <c r="AZ146" s="17"/>
      <c r="BA146" s="2"/>
      <c r="BB146" s="2"/>
      <c r="BC146" s="2"/>
      <c r="BD146" s="2"/>
      <c r="BE146" s="3"/>
      <c r="BF146" s="3"/>
      <c r="BG146" s="3"/>
      <c r="BH146" s="2"/>
      <c r="BI146" s="18"/>
      <c r="BL146" s="2"/>
      <c r="BM146" s="2"/>
      <c r="BN146" s="2"/>
      <c r="BO146" s="3"/>
      <c r="BP146" s="3"/>
      <c r="BQ146" s="6"/>
      <c r="BR146" s="3"/>
      <c r="BS146" s="14"/>
    </row>
    <row r="147" spans="1:71">
      <c r="A147" s="29">
        <v>146</v>
      </c>
      <c r="B147" s="2">
        <v>19</v>
      </c>
      <c r="C147" s="2">
        <v>6</v>
      </c>
      <c r="D147" s="2">
        <v>85</v>
      </c>
      <c r="E147" s="2">
        <v>4</v>
      </c>
      <c r="F147" s="3">
        <v>44342</v>
      </c>
      <c r="G147" s="3">
        <v>44349</v>
      </c>
      <c r="H147" s="3">
        <v>44350</v>
      </c>
      <c r="I147" s="2">
        <v>50</v>
      </c>
      <c r="J147" s="29" t="s">
        <v>197</v>
      </c>
      <c r="K147" s="35"/>
      <c r="L147" s="35"/>
      <c r="M147" s="35"/>
      <c r="AZ147" s="17"/>
      <c r="BA147" s="2"/>
      <c r="BB147" s="2"/>
      <c r="BC147" s="2"/>
      <c r="BD147" s="2"/>
      <c r="BE147" s="3"/>
      <c r="BF147" s="3"/>
      <c r="BG147" s="3"/>
      <c r="BH147" s="2"/>
      <c r="BI147" s="18"/>
      <c r="BL147" s="2"/>
      <c r="BM147" s="2"/>
      <c r="BN147" s="2"/>
      <c r="BO147" s="3"/>
      <c r="BP147" s="3"/>
      <c r="BQ147" s="6"/>
      <c r="BR147" s="3"/>
      <c r="BS147" s="14"/>
    </row>
    <row r="148" spans="1:71">
      <c r="A148" s="29">
        <v>147</v>
      </c>
      <c r="B148" s="2">
        <v>18</v>
      </c>
      <c r="C148" s="2">
        <v>6</v>
      </c>
      <c r="D148" s="2">
        <v>85</v>
      </c>
      <c r="E148" s="2">
        <v>4</v>
      </c>
      <c r="F148" s="3">
        <v>44342</v>
      </c>
      <c r="G148" s="3">
        <v>44349</v>
      </c>
      <c r="H148" s="3">
        <v>44350</v>
      </c>
      <c r="I148" s="2">
        <v>40</v>
      </c>
      <c r="J148" s="29" t="s">
        <v>197</v>
      </c>
      <c r="K148" s="35"/>
      <c r="L148" s="35"/>
      <c r="M148" s="35"/>
      <c r="AZ148" s="17"/>
      <c r="BA148" s="2"/>
      <c r="BB148" s="2"/>
      <c r="BC148" s="2"/>
      <c r="BD148" s="2"/>
      <c r="BE148" s="3"/>
      <c r="BF148" s="3"/>
      <c r="BG148" s="3"/>
      <c r="BH148" s="2"/>
      <c r="BI148" s="18"/>
      <c r="BL148" s="2"/>
      <c r="BM148" s="2"/>
      <c r="BN148" s="2"/>
      <c r="BO148" s="3"/>
      <c r="BP148" s="3"/>
      <c r="BQ148" s="6"/>
      <c r="BR148" s="3"/>
      <c r="BS148" s="14"/>
    </row>
    <row r="149" spans="1:71">
      <c r="A149" s="29">
        <v>148</v>
      </c>
      <c r="B149" s="2">
        <v>17</v>
      </c>
      <c r="C149" s="2">
        <v>6</v>
      </c>
      <c r="D149" s="2">
        <v>85</v>
      </c>
      <c r="E149" s="2">
        <v>4</v>
      </c>
      <c r="F149" s="3">
        <v>44342</v>
      </c>
      <c r="G149" s="3">
        <v>44349</v>
      </c>
      <c r="H149" s="3">
        <v>44350</v>
      </c>
      <c r="I149" s="2">
        <v>30</v>
      </c>
      <c r="J149" s="29" t="s">
        <v>197</v>
      </c>
      <c r="K149" s="35"/>
      <c r="L149" s="35"/>
      <c r="M149" s="35"/>
      <c r="AZ149" s="17"/>
      <c r="BA149" s="2"/>
      <c r="BB149" s="2"/>
      <c r="BC149" s="2"/>
      <c r="BD149" s="2"/>
      <c r="BE149" s="3"/>
      <c r="BF149" s="3"/>
      <c r="BG149" s="3"/>
      <c r="BH149" s="2"/>
      <c r="BI149" s="18"/>
      <c r="BL149" s="2"/>
      <c r="BM149" s="2"/>
      <c r="BN149" s="2"/>
      <c r="BO149" s="3"/>
      <c r="BP149" s="3"/>
      <c r="BQ149" s="6"/>
      <c r="BR149" s="3"/>
      <c r="BS149" s="14"/>
    </row>
    <row r="150" spans="1:71">
      <c r="A150" s="29">
        <v>149</v>
      </c>
      <c r="B150" s="2">
        <v>15</v>
      </c>
      <c r="C150" s="2">
        <v>6</v>
      </c>
      <c r="D150" s="2">
        <v>85</v>
      </c>
      <c r="E150" s="2">
        <v>4</v>
      </c>
      <c r="F150" s="3">
        <v>44342</v>
      </c>
      <c r="G150" s="3">
        <v>44349</v>
      </c>
      <c r="H150" s="3">
        <v>44350</v>
      </c>
      <c r="I150" s="2">
        <v>20</v>
      </c>
      <c r="J150" s="29" t="s">
        <v>197</v>
      </c>
      <c r="K150" s="35"/>
      <c r="L150" s="35"/>
      <c r="M150" s="35"/>
      <c r="AZ150" s="17"/>
      <c r="BA150" s="2"/>
      <c r="BB150" s="2"/>
      <c r="BC150" s="2"/>
      <c r="BD150" s="2"/>
      <c r="BE150" s="3"/>
      <c r="BF150" s="3"/>
      <c r="BG150" s="3"/>
      <c r="BH150" s="2"/>
      <c r="BI150" s="18"/>
      <c r="BL150" s="2"/>
      <c r="BM150" s="2"/>
      <c r="BN150" s="2"/>
      <c r="BO150" s="3"/>
      <c r="BP150" s="3"/>
      <c r="BQ150" s="6"/>
      <c r="BR150" s="3"/>
      <c r="BS150" s="14"/>
    </row>
    <row r="151" spans="1:71">
      <c r="A151" s="29">
        <v>150</v>
      </c>
      <c r="B151" s="2">
        <v>5</v>
      </c>
      <c r="C151" s="2">
        <v>1</v>
      </c>
      <c r="D151" s="2">
        <v>49</v>
      </c>
      <c r="E151" s="2">
        <v>18</v>
      </c>
      <c r="F151" s="3">
        <v>44371</v>
      </c>
      <c r="G151" s="3">
        <v>44378</v>
      </c>
      <c r="H151" s="3">
        <v>44379</v>
      </c>
      <c r="I151" s="2">
        <v>10</v>
      </c>
      <c r="J151" s="29" t="s">
        <v>197</v>
      </c>
      <c r="K151" s="35"/>
      <c r="L151" s="35"/>
      <c r="M151" s="35"/>
      <c r="AZ151" s="17"/>
      <c r="BA151" s="2"/>
      <c r="BB151" s="2"/>
      <c r="BC151" s="2"/>
      <c r="BD151" s="2"/>
      <c r="BE151" s="3"/>
      <c r="BF151" s="3"/>
      <c r="BG151" s="3"/>
      <c r="BH151" s="2"/>
      <c r="BI151" s="18"/>
      <c r="BL151" s="2"/>
      <c r="BM151" s="2"/>
      <c r="BN151" s="2"/>
      <c r="BO151" s="3"/>
      <c r="BP151" s="3"/>
      <c r="BQ151" s="6"/>
      <c r="BR151" s="3"/>
      <c r="BS151" s="14"/>
    </row>
    <row r="152" spans="1:71">
      <c r="A152" s="29">
        <v>151</v>
      </c>
      <c r="B152" s="2">
        <v>4</v>
      </c>
      <c r="C152" s="2">
        <v>1</v>
      </c>
      <c r="D152" s="2">
        <v>49</v>
      </c>
      <c r="E152" s="2">
        <v>18</v>
      </c>
      <c r="F152" s="3">
        <v>44371</v>
      </c>
      <c r="G152" s="3">
        <v>44378</v>
      </c>
      <c r="H152" s="3">
        <v>44379</v>
      </c>
      <c r="I152" s="2">
        <v>30</v>
      </c>
      <c r="J152" s="29" t="s">
        <v>197</v>
      </c>
      <c r="K152" s="35"/>
      <c r="L152" s="35"/>
      <c r="M152" s="35"/>
      <c r="AZ152" s="17"/>
      <c r="BA152" s="2"/>
      <c r="BB152" s="2"/>
      <c r="BC152" s="2"/>
      <c r="BD152" s="2"/>
      <c r="BE152" s="3"/>
      <c r="BF152" s="3"/>
      <c r="BG152" s="3"/>
      <c r="BH152" s="2"/>
      <c r="BI152" s="18"/>
      <c r="BL152" s="2"/>
      <c r="BM152" s="2"/>
      <c r="BN152" s="2"/>
      <c r="BO152" s="3"/>
      <c r="BP152" s="3"/>
      <c r="BQ152" s="6"/>
      <c r="BR152" s="3"/>
      <c r="BS152" s="14"/>
    </row>
    <row r="153" spans="1:71">
      <c r="A153" s="29">
        <v>152</v>
      </c>
      <c r="B153" s="2">
        <v>4</v>
      </c>
      <c r="C153" s="2">
        <v>1</v>
      </c>
      <c r="D153" s="2">
        <v>151</v>
      </c>
      <c r="E153" s="2">
        <v>39</v>
      </c>
      <c r="F153" s="3">
        <v>44389</v>
      </c>
      <c r="G153" s="3">
        <v>44396</v>
      </c>
      <c r="H153" s="3">
        <v>44397</v>
      </c>
      <c r="I153" s="2">
        <v>20</v>
      </c>
      <c r="J153" s="29" t="s">
        <v>197</v>
      </c>
      <c r="K153" s="35"/>
      <c r="L153" s="35"/>
      <c r="M153" s="35"/>
      <c r="AZ153" s="17"/>
      <c r="BA153" s="2"/>
      <c r="BB153" s="2"/>
      <c r="BC153" s="2"/>
      <c r="BD153" s="2"/>
      <c r="BE153" s="3"/>
      <c r="BF153" s="3"/>
      <c r="BG153" s="3"/>
      <c r="BH153" s="2"/>
      <c r="BI153" s="18"/>
      <c r="BL153" s="2"/>
      <c r="BM153" s="2"/>
      <c r="BN153" s="2"/>
      <c r="BO153" s="3"/>
      <c r="BP153" s="3"/>
      <c r="BQ153" s="6"/>
      <c r="BR153" s="3"/>
      <c r="BS153" s="14"/>
    </row>
    <row r="154" spans="1:71">
      <c r="A154" s="29">
        <v>333</v>
      </c>
      <c r="B154" s="2">
        <v>5</v>
      </c>
      <c r="C154" s="2">
        <v>1</v>
      </c>
      <c r="D154" s="2">
        <v>78</v>
      </c>
      <c r="E154" s="2">
        <v>24</v>
      </c>
      <c r="F154" s="3">
        <v>44379</v>
      </c>
      <c r="G154" s="3">
        <v>44386</v>
      </c>
      <c r="H154" s="3">
        <v>44387</v>
      </c>
      <c r="I154" s="2">
        <v>0</v>
      </c>
      <c r="J154" s="29" t="s">
        <v>197</v>
      </c>
      <c r="K154" s="35"/>
      <c r="L154" s="35"/>
      <c r="M154" s="35"/>
      <c r="AZ154" s="17"/>
      <c r="BA154" s="2"/>
      <c r="BB154" s="2"/>
      <c r="BC154" s="2"/>
      <c r="BD154" s="2"/>
      <c r="BE154" s="3"/>
      <c r="BF154" s="3"/>
      <c r="BG154" s="3"/>
      <c r="BH154" s="2"/>
      <c r="BI154" s="18"/>
      <c r="BL154" s="2"/>
      <c r="BM154" s="2"/>
      <c r="BN154" s="2"/>
      <c r="BO154" s="3"/>
      <c r="BP154" s="3"/>
      <c r="BQ154" s="6"/>
      <c r="BR154" s="3"/>
      <c r="BS154" s="14"/>
    </row>
    <row r="155" spans="1:71">
      <c r="A155" s="29">
        <v>154</v>
      </c>
      <c r="B155" s="2">
        <v>21</v>
      </c>
      <c r="C155" s="2">
        <v>1</v>
      </c>
      <c r="D155" s="2">
        <v>49</v>
      </c>
      <c r="E155" s="2">
        <v>18</v>
      </c>
      <c r="F155" s="3">
        <v>44371</v>
      </c>
      <c r="G155" s="3">
        <v>44378</v>
      </c>
      <c r="H155" s="3">
        <v>44379</v>
      </c>
      <c r="I155" s="2">
        <v>0</v>
      </c>
      <c r="J155" s="29" t="s">
        <v>197</v>
      </c>
      <c r="K155" s="35"/>
      <c r="L155" s="35"/>
      <c r="M155" s="35"/>
      <c r="AZ155" s="17"/>
      <c r="BA155" s="2"/>
      <c r="BB155" s="2"/>
      <c r="BC155" s="2"/>
      <c r="BD155" s="2"/>
      <c r="BE155" s="3"/>
      <c r="BF155" s="3"/>
      <c r="BG155" s="3"/>
      <c r="BH155" s="2"/>
      <c r="BI155" s="18"/>
      <c r="BL155" s="2"/>
      <c r="BM155" s="2"/>
      <c r="BN155" s="2"/>
      <c r="BO155" s="3"/>
      <c r="BP155" s="3"/>
      <c r="BQ155" s="6"/>
      <c r="BR155" s="3"/>
      <c r="BS155" s="14"/>
    </row>
    <row r="156" spans="1:71">
      <c r="A156" s="29">
        <v>155</v>
      </c>
      <c r="B156" s="2">
        <v>9</v>
      </c>
      <c r="C156" s="2">
        <v>1</v>
      </c>
      <c r="D156" s="2">
        <v>49</v>
      </c>
      <c r="E156" s="2">
        <v>18</v>
      </c>
      <c r="F156" s="3">
        <v>44371</v>
      </c>
      <c r="G156" s="3">
        <v>44378</v>
      </c>
      <c r="H156" s="3">
        <v>44379</v>
      </c>
      <c r="I156" s="2">
        <v>10</v>
      </c>
      <c r="J156" s="29" t="s">
        <v>197</v>
      </c>
      <c r="K156" s="35"/>
      <c r="L156" s="35"/>
      <c r="M156" s="35"/>
      <c r="AZ156" s="17"/>
      <c r="BA156" s="2"/>
      <c r="BB156" s="2"/>
      <c r="BC156" s="2"/>
      <c r="BD156" s="2"/>
      <c r="BE156" s="3"/>
      <c r="BF156" s="3"/>
      <c r="BG156" s="3"/>
      <c r="BH156" s="2"/>
      <c r="BI156" s="18"/>
      <c r="BL156" s="2"/>
      <c r="BM156" s="2"/>
      <c r="BN156" s="2"/>
      <c r="BO156" s="3"/>
      <c r="BP156" s="3"/>
      <c r="BQ156" s="6"/>
      <c r="BR156" s="3"/>
      <c r="BS156" s="14"/>
    </row>
    <row r="157" spans="1:71">
      <c r="A157" s="29">
        <v>156</v>
      </c>
      <c r="B157" s="2">
        <v>15</v>
      </c>
      <c r="C157" s="2">
        <v>1</v>
      </c>
      <c r="D157" s="2">
        <v>51</v>
      </c>
      <c r="E157" s="2">
        <v>19</v>
      </c>
      <c r="F157" s="3">
        <v>44372</v>
      </c>
      <c r="G157" s="3">
        <v>44379</v>
      </c>
      <c r="H157" s="3">
        <v>44380</v>
      </c>
      <c r="I157" s="2">
        <v>40</v>
      </c>
      <c r="J157" s="29" t="s">
        <v>197</v>
      </c>
      <c r="K157" s="35"/>
      <c r="L157" s="35"/>
      <c r="M157" s="35"/>
      <c r="AZ157" s="17"/>
      <c r="BA157" s="2"/>
      <c r="BB157" s="2"/>
      <c r="BC157" s="2"/>
      <c r="BD157" s="2"/>
      <c r="BE157" s="3"/>
      <c r="BF157" s="3"/>
      <c r="BG157" s="3"/>
      <c r="BH157" s="2"/>
      <c r="BI157" s="18"/>
      <c r="BL157" s="2"/>
      <c r="BM157" s="2"/>
      <c r="BN157" s="2"/>
      <c r="BO157" s="3"/>
      <c r="BP157" s="3"/>
      <c r="BQ157" s="6"/>
      <c r="BR157" s="3"/>
      <c r="BS157" s="14"/>
    </row>
    <row r="158" spans="1:71">
      <c r="A158" s="29">
        <v>157</v>
      </c>
      <c r="B158" s="2">
        <v>6</v>
      </c>
      <c r="C158" s="2">
        <v>1</v>
      </c>
      <c r="D158" s="2">
        <v>151</v>
      </c>
      <c r="E158" s="2">
        <v>39</v>
      </c>
      <c r="F158" s="3">
        <v>44389</v>
      </c>
      <c r="G158" s="3">
        <v>44396</v>
      </c>
      <c r="H158" s="3">
        <v>44397</v>
      </c>
      <c r="I158" s="2">
        <v>90</v>
      </c>
      <c r="J158" s="29" t="s">
        <v>198</v>
      </c>
      <c r="K158" s="35"/>
      <c r="L158" s="35"/>
      <c r="M158" s="35"/>
      <c r="AZ158" s="17"/>
      <c r="BA158" s="2"/>
      <c r="BB158" s="2"/>
      <c r="BC158" s="2"/>
      <c r="BD158" s="2"/>
      <c r="BE158" s="3"/>
      <c r="BF158" s="3"/>
      <c r="BG158" s="3"/>
      <c r="BH158" s="2"/>
      <c r="BI158" s="18"/>
      <c r="BL158" s="2"/>
      <c r="BM158" s="2"/>
      <c r="BN158" s="2"/>
      <c r="BO158" s="3"/>
      <c r="BP158" s="3"/>
      <c r="BQ158" s="6"/>
      <c r="BR158" s="3"/>
      <c r="BS158" s="14"/>
    </row>
    <row r="159" spans="1:71">
      <c r="A159" s="29">
        <v>158</v>
      </c>
      <c r="B159" s="2">
        <v>3</v>
      </c>
      <c r="C159" s="2">
        <v>1</v>
      </c>
      <c r="D159" s="2">
        <v>51</v>
      </c>
      <c r="E159" s="2">
        <v>19</v>
      </c>
      <c r="F159" s="3">
        <v>44372</v>
      </c>
      <c r="G159" s="3">
        <v>44379</v>
      </c>
      <c r="H159" s="3">
        <v>44380</v>
      </c>
      <c r="I159" s="2">
        <v>10</v>
      </c>
      <c r="J159" s="29" t="s">
        <v>197</v>
      </c>
      <c r="K159" s="35"/>
      <c r="L159" s="35"/>
      <c r="M159" s="35"/>
      <c r="AZ159" s="17"/>
      <c r="BA159" s="2"/>
      <c r="BB159" s="2"/>
      <c r="BC159" s="2"/>
      <c r="BD159" s="2"/>
      <c r="BE159" s="3"/>
      <c r="BF159" s="3"/>
      <c r="BG159" s="3"/>
      <c r="BH159" s="2"/>
      <c r="BI159" s="18"/>
      <c r="BL159" s="2"/>
      <c r="BM159" s="2"/>
      <c r="BN159" s="2"/>
      <c r="BO159" s="3"/>
      <c r="BP159" s="3"/>
      <c r="BQ159" s="6"/>
      <c r="BR159" s="3"/>
      <c r="BS159" s="14"/>
    </row>
    <row r="160" spans="1:71">
      <c r="A160" s="29">
        <v>159</v>
      </c>
      <c r="B160" s="2">
        <v>20</v>
      </c>
      <c r="C160" s="2">
        <v>1</v>
      </c>
      <c r="D160" s="2">
        <v>51</v>
      </c>
      <c r="E160" s="2">
        <v>19</v>
      </c>
      <c r="F160" s="3">
        <v>44372</v>
      </c>
      <c r="G160" s="3">
        <v>44379</v>
      </c>
      <c r="H160" s="3">
        <v>44380</v>
      </c>
      <c r="I160" s="2">
        <v>10</v>
      </c>
      <c r="J160" s="29" t="s">
        <v>197</v>
      </c>
      <c r="K160" s="35"/>
      <c r="L160" s="35"/>
      <c r="M160" s="35"/>
      <c r="AZ160" s="17"/>
      <c r="BA160" s="2"/>
      <c r="BB160" s="2"/>
      <c r="BC160" s="2"/>
      <c r="BD160" s="2"/>
      <c r="BE160" s="3"/>
      <c r="BF160" s="3"/>
      <c r="BG160" s="3"/>
      <c r="BH160" s="2"/>
      <c r="BI160" s="18"/>
    </row>
    <row r="161" spans="1:61">
      <c r="A161" s="29">
        <v>160</v>
      </c>
      <c r="B161" s="2">
        <v>5</v>
      </c>
      <c r="C161" s="2">
        <v>6</v>
      </c>
      <c r="D161" s="2">
        <v>92</v>
      </c>
      <c r="E161" s="2">
        <v>5</v>
      </c>
      <c r="F161" s="3">
        <v>44350</v>
      </c>
      <c r="G161" s="3">
        <v>44357</v>
      </c>
      <c r="H161" s="3">
        <v>44358</v>
      </c>
      <c r="I161" s="2">
        <v>50</v>
      </c>
      <c r="J161" s="29" t="s">
        <v>197</v>
      </c>
      <c r="K161" s="35"/>
      <c r="L161" s="35"/>
      <c r="M161" s="35"/>
      <c r="AZ161" s="17"/>
      <c r="BA161" s="2"/>
      <c r="BB161" s="2"/>
      <c r="BC161" s="2"/>
      <c r="BD161" s="2"/>
      <c r="BE161" s="3"/>
      <c r="BF161" s="3"/>
      <c r="BG161" s="3"/>
      <c r="BH161" s="2"/>
      <c r="BI161" s="18"/>
    </row>
    <row r="162" spans="1:61">
      <c r="A162" s="29">
        <v>161</v>
      </c>
      <c r="B162" s="2">
        <v>6</v>
      </c>
      <c r="C162" s="2">
        <v>6</v>
      </c>
      <c r="D162" s="2">
        <v>92</v>
      </c>
      <c r="E162" s="2">
        <v>5</v>
      </c>
      <c r="F162" s="3">
        <v>44350</v>
      </c>
      <c r="G162" s="3">
        <v>44357</v>
      </c>
      <c r="H162" s="3">
        <v>44358</v>
      </c>
      <c r="I162" s="2">
        <v>40</v>
      </c>
      <c r="J162" s="29" t="s">
        <v>197</v>
      </c>
      <c r="K162" s="35"/>
      <c r="L162" s="35"/>
      <c r="M162" s="35"/>
      <c r="AZ162" s="17"/>
      <c r="BA162" s="2"/>
      <c r="BB162" s="2"/>
      <c r="BC162" s="2"/>
      <c r="BD162" s="2"/>
      <c r="BE162" s="3"/>
      <c r="BF162" s="3"/>
      <c r="BG162" s="3"/>
      <c r="BH162" s="2"/>
      <c r="BI162" s="18"/>
    </row>
    <row r="163" spans="1:61">
      <c r="A163" s="29">
        <v>114</v>
      </c>
      <c r="B163" s="2">
        <v>7</v>
      </c>
      <c r="C163" s="2">
        <v>6</v>
      </c>
      <c r="D163" s="2">
        <v>72</v>
      </c>
      <c r="E163" s="2">
        <v>2</v>
      </c>
      <c r="F163" s="3">
        <v>44333</v>
      </c>
      <c r="G163" s="3">
        <v>44340</v>
      </c>
      <c r="H163" s="3">
        <v>44341</v>
      </c>
      <c r="I163" s="2">
        <v>60</v>
      </c>
      <c r="J163" s="29" t="s">
        <v>197</v>
      </c>
      <c r="K163" s="35"/>
      <c r="L163" s="35"/>
      <c r="M163" s="35"/>
      <c r="AZ163" s="17"/>
      <c r="BA163" s="2"/>
      <c r="BB163" s="2"/>
      <c r="BC163" s="2"/>
      <c r="BD163" s="2"/>
      <c r="BE163" s="3"/>
      <c r="BF163" s="3"/>
      <c r="BG163" s="3"/>
      <c r="BH163" s="2"/>
      <c r="BI163" s="18"/>
    </row>
    <row r="164" spans="1:61">
      <c r="A164" s="29">
        <v>163</v>
      </c>
      <c r="B164" s="2">
        <v>8</v>
      </c>
      <c r="C164" s="2">
        <v>6</v>
      </c>
      <c r="D164" s="2">
        <v>92</v>
      </c>
      <c r="E164" s="2">
        <v>5</v>
      </c>
      <c r="F164" s="3">
        <v>44350</v>
      </c>
      <c r="G164" s="3">
        <v>44357</v>
      </c>
      <c r="H164" s="3">
        <v>44358</v>
      </c>
      <c r="I164" s="2">
        <v>40</v>
      </c>
      <c r="J164" s="29" t="s">
        <v>197</v>
      </c>
      <c r="K164" s="35"/>
      <c r="L164" s="35"/>
      <c r="M164" s="35"/>
      <c r="AZ164" s="17"/>
      <c r="BA164" s="2"/>
      <c r="BB164" s="2"/>
      <c r="BC164" s="2"/>
      <c r="BD164" s="2"/>
      <c r="BE164" s="3"/>
      <c r="BF164" s="3"/>
      <c r="BG164" s="3"/>
      <c r="BH164" s="2"/>
      <c r="BI164" s="18"/>
    </row>
    <row r="165" spans="1:61">
      <c r="A165" s="29">
        <v>164</v>
      </c>
      <c r="B165" s="2">
        <v>9</v>
      </c>
      <c r="C165" s="2">
        <v>6</v>
      </c>
      <c r="D165" s="2">
        <v>92</v>
      </c>
      <c r="E165" s="2">
        <v>5</v>
      </c>
      <c r="F165" s="3">
        <v>44350</v>
      </c>
      <c r="G165" s="3">
        <v>44357</v>
      </c>
      <c r="H165" s="3">
        <v>44358</v>
      </c>
      <c r="I165" s="2">
        <v>70</v>
      </c>
      <c r="J165" s="29" t="s">
        <v>197</v>
      </c>
      <c r="K165" s="35"/>
      <c r="L165" s="35"/>
      <c r="M165" s="35"/>
      <c r="AZ165" s="17"/>
      <c r="BA165" s="2"/>
      <c r="BB165" s="2"/>
      <c r="BC165" s="2"/>
      <c r="BD165" s="2"/>
      <c r="BE165" s="3"/>
      <c r="BF165" s="3"/>
      <c r="BG165" s="3"/>
      <c r="BH165" s="2"/>
      <c r="BI165" s="18"/>
    </row>
    <row r="166" spans="1:61">
      <c r="A166" s="29">
        <v>165</v>
      </c>
      <c r="B166" s="2">
        <v>15</v>
      </c>
      <c r="C166" s="2">
        <v>6</v>
      </c>
      <c r="D166" s="2">
        <v>92</v>
      </c>
      <c r="E166" s="2">
        <v>5</v>
      </c>
      <c r="F166" s="3">
        <v>44350</v>
      </c>
      <c r="G166" s="3">
        <v>44357</v>
      </c>
      <c r="H166" s="3">
        <v>44358</v>
      </c>
      <c r="I166" s="2">
        <v>0</v>
      </c>
      <c r="J166" s="29" t="s">
        <v>197</v>
      </c>
      <c r="K166" s="35"/>
      <c r="L166" s="35"/>
      <c r="M166" s="35"/>
      <c r="AZ166" s="17"/>
      <c r="BA166" s="2"/>
      <c r="BB166" s="2"/>
      <c r="BC166" s="2"/>
      <c r="BD166" s="2"/>
      <c r="BE166" s="3"/>
      <c r="BF166" s="3"/>
      <c r="BG166" s="3"/>
      <c r="BH166" s="2"/>
      <c r="BI166" s="18"/>
    </row>
    <row r="167" spans="1:61">
      <c r="A167" s="29">
        <v>166</v>
      </c>
      <c r="B167" s="2">
        <v>30</v>
      </c>
      <c r="C167" s="2">
        <v>1</v>
      </c>
      <c r="D167" s="2">
        <v>46</v>
      </c>
      <c r="E167" s="2">
        <v>17</v>
      </c>
      <c r="F167" s="3">
        <v>44368</v>
      </c>
      <c r="G167" s="3">
        <v>44375</v>
      </c>
      <c r="H167" s="3">
        <v>44376</v>
      </c>
      <c r="I167" s="2">
        <v>50</v>
      </c>
      <c r="J167" s="29" t="s">
        <v>197</v>
      </c>
      <c r="K167" s="35"/>
      <c r="L167" s="35"/>
      <c r="M167" s="35"/>
      <c r="AZ167" s="17"/>
      <c r="BA167" s="2"/>
      <c r="BB167" s="2"/>
      <c r="BC167" s="2"/>
      <c r="BD167" s="2"/>
      <c r="BE167" s="3"/>
      <c r="BF167" s="3"/>
      <c r="BG167" s="3"/>
      <c r="BH167" s="2"/>
      <c r="BI167" s="18"/>
    </row>
    <row r="168" spans="1:61">
      <c r="A168" s="29">
        <v>167</v>
      </c>
      <c r="B168" s="2">
        <v>8</v>
      </c>
      <c r="C168" s="2">
        <v>1</v>
      </c>
      <c r="D168" s="2">
        <v>151</v>
      </c>
      <c r="E168" s="2">
        <v>39</v>
      </c>
      <c r="F168" s="3">
        <v>44389</v>
      </c>
      <c r="G168" s="3">
        <v>44396</v>
      </c>
      <c r="H168" s="3">
        <v>44397</v>
      </c>
      <c r="I168" s="2">
        <v>70</v>
      </c>
      <c r="J168" s="29" t="s">
        <v>198</v>
      </c>
      <c r="K168" s="35"/>
      <c r="L168" s="35"/>
      <c r="M168" s="35"/>
      <c r="AZ168" s="17"/>
      <c r="BA168" s="2"/>
      <c r="BB168" s="2"/>
      <c r="BC168" s="2"/>
      <c r="BD168" s="2"/>
      <c r="BE168" s="3"/>
      <c r="BF168" s="3"/>
      <c r="BG168" s="3"/>
      <c r="BH168" s="2"/>
      <c r="BI168" s="18"/>
    </row>
    <row r="169" spans="1:61">
      <c r="A169" s="29">
        <v>168</v>
      </c>
      <c r="B169" s="2">
        <v>9</v>
      </c>
      <c r="C169" s="2">
        <v>1</v>
      </c>
      <c r="D169" s="2">
        <v>17</v>
      </c>
      <c r="E169" s="2">
        <v>11</v>
      </c>
      <c r="F169" s="3">
        <v>44365</v>
      </c>
      <c r="G169" s="3">
        <v>44372</v>
      </c>
      <c r="H169" s="3">
        <v>44373</v>
      </c>
      <c r="I169" s="2">
        <v>30</v>
      </c>
      <c r="J169" s="29" t="s">
        <v>197</v>
      </c>
      <c r="K169" s="35"/>
      <c r="L169" s="35"/>
      <c r="M169" s="35"/>
      <c r="AZ169" s="17"/>
      <c r="BA169" s="2"/>
      <c r="BB169" s="2"/>
      <c r="BC169" s="2"/>
      <c r="BD169" s="2"/>
      <c r="BE169" s="3"/>
      <c r="BF169" s="3"/>
      <c r="BG169" s="3"/>
      <c r="BH169" s="2"/>
      <c r="BI169" s="18"/>
    </row>
    <row r="170" spans="1:61">
      <c r="A170" s="29">
        <v>170</v>
      </c>
      <c r="B170" s="2">
        <v>15</v>
      </c>
      <c r="C170" s="2">
        <v>1</v>
      </c>
      <c r="D170" s="2">
        <v>51</v>
      </c>
      <c r="E170" s="2">
        <v>19</v>
      </c>
      <c r="F170" s="3">
        <v>44372</v>
      </c>
      <c r="G170" s="3">
        <v>44379</v>
      </c>
      <c r="H170" s="3">
        <v>44380</v>
      </c>
      <c r="I170" s="2">
        <v>20</v>
      </c>
      <c r="J170" s="29" t="s">
        <v>197</v>
      </c>
      <c r="K170" s="35"/>
      <c r="L170" s="35"/>
      <c r="M170" s="35"/>
      <c r="AZ170" s="17"/>
      <c r="BA170" s="2"/>
      <c r="BB170" s="2"/>
      <c r="BC170" s="2"/>
      <c r="BD170" s="2"/>
      <c r="BE170" s="3"/>
      <c r="BF170" s="3"/>
      <c r="BG170" s="3"/>
      <c r="BH170" s="2"/>
      <c r="BI170" s="18"/>
    </row>
    <row r="171" spans="1:61">
      <c r="A171" s="29">
        <v>171</v>
      </c>
      <c r="B171" s="2">
        <v>2</v>
      </c>
      <c r="C171" s="2">
        <v>1</v>
      </c>
      <c r="D171" s="2">
        <v>65</v>
      </c>
      <c r="E171" s="2">
        <v>20</v>
      </c>
      <c r="F171" s="3">
        <v>44372</v>
      </c>
      <c r="G171" s="3">
        <v>44379</v>
      </c>
      <c r="H171" s="3">
        <v>44380</v>
      </c>
      <c r="I171" s="2">
        <v>50</v>
      </c>
      <c r="J171" s="29" t="s">
        <v>197</v>
      </c>
      <c r="K171" s="35"/>
      <c r="L171" s="35"/>
      <c r="M171" s="35"/>
      <c r="AZ171" s="17"/>
      <c r="BA171" s="2"/>
      <c r="BB171" s="2"/>
      <c r="BC171" s="2"/>
      <c r="BD171" s="2"/>
      <c r="BE171" s="3"/>
      <c r="BF171" s="3"/>
      <c r="BG171" s="3"/>
      <c r="BH171" s="2"/>
      <c r="BI171" s="18"/>
    </row>
    <row r="172" spans="1:61">
      <c r="A172" s="29">
        <v>172</v>
      </c>
      <c r="B172" s="2">
        <v>29</v>
      </c>
      <c r="C172" s="2">
        <v>3</v>
      </c>
      <c r="D172" s="2">
        <v>28</v>
      </c>
      <c r="E172" s="2">
        <v>6</v>
      </c>
      <c r="F172" s="3">
        <v>44363</v>
      </c>
      <c r="G172" s="3">
        <v>44370</v>
      </c>
      <c r="H172" s="3">
        <v>44370</v>
      </c>
      <c r="I172" s="2">
        <v>60</v>
      </c>
      <c r="J172" s="29" t="s">
        <v>197</v>
      </c>
      <c r="K172" s="35"/>
      <c r="L172" s="35"/>
      <c r="M172" s="35"/>
      <c r="AZ172" s="17"/>
      <c r="BA172" s="2"/>
      <c r="BB172" s="2"/>
      <c r="BC172" s="2"/>
      <c r="BD172" s="2"/>
      <c r="BE172" s="3"/>
      <c r="BF172" s="3"/>
      <c r="BG172" s="3"/>
      <c r="BH172" s="2"/>
      <c r="BI172" s="18"/>
    </row>
    <row r="173" spans="1:61">
      <c r="A173" s="29">
        <v>173</v>
      </c>
      <c r="B173" s="2">
        <v>30</v>
      </c>
      <c r="C173" s="2">
        <v>3</v>
      </c>
      <c r="D173" s="2">
        <v>28</v>
      </c>
      <c r="E173" s="2">
        <v>6</v>
      </c>
      <c r="F173" s="3">
        <v>44363</v>
      </c>
      <c r="G173" s="3">
        <v>44370</v>
      </c>
      <c r="H173" s="3">
        <v>44370</v>
      </c>
      <c r="I173" s="2">
        <v>30</v>
      </c>
      <c r="J173" s="29" t="s">
        <v>197</v>
      </c>
      <c r="K173" s="35"/>
      <c r="L173" s="35"/>
      <c r="M173" s="35"/>
      <c r="AZ173" s="17"/>
      <c r="BA173" s="2"/>
      <c r="BB173" s="2"/>
      <c r="BC173" s="2"/>
      <c r="BD173" s="2"/>
      <c r="BE173" s="3"/>
      <c r="BF173" s="3"/>
      <c r="BG173" s="3"/>
      <c r="BH173" s="2"/>
      <c r="BI173" s="18"/>
    </row>
    <row r="174" spans="1:61">
      <c r="A174" s="29">
        <v>174</v>
      </c>
      <c r="B174" s="2">
        <v>1</v>
      </c>
      <c r="C174" s="2">
        <v>3</v>
      </c>
      <c r="D174" s="2">
        <v>28</v>
      </c>
      <c r="E174" s="2">
        <v>6</v>
      </c>
      <c r="F174" s="3">
        <v>44363</v>
      </c>
      <c r="G174" s="3">
        <v>44370</v>
      </c>
      <c r="H174" s="3">
        <v>44370</v>
      </c>
      <c r="I174" s="2">
        <v>40</v>
      </c>
      <c r="J174" s="29" t="s">
        <v>197</v>
      </c>
      <c r="K174" s="35"/>
      <c r="L174" s="35"/>
      <c r="M174" s="35"/>
      <c r="AZ174" s="17"/>
      <c r="BA174" s="2"/>
      <c r="BB174" s="2"/>
      <c r="BC174" s="2"/>
      <c r="BD174" s="2"/>
      <c r="BE174" s="3"/>
      <c r="BF174" s="3"/>
      <c r="BG174" s="3"/>
      <c r="BH174" s="2"/>
      <c r="BI174" s="18"/>
    </row>
    <row r="175" spans="1:61">
      <c r="A175" s="29">
        <v>175</v>
      </c>
      <c r="B175" s="2">
        <v>2</v>
      </c>
      <c r="C175" s="2">
        <v>3</v>
      </c>
      <c r="D175" s="2">
        <v>28</v>
      </c>
      <c r="E175" s="2">
        <v>6</v>
      </c>
      <c r="F175" s="3">
        <v>44363</v>
      </c>
      <c r="G175" s="3">
        <v>44370</v>
      </c>
      <c r="H175" s="3">
        <v>44370</v>
      </c>
      <c r="I175" s="2">
        <v>40</v>
      </c>
      <c r="J175" s="29" t="s">
        <v>197</v>
      </c>
      <c r="K175" s="35"/>
      <c r="L175" s="35"/>
      <c r="M175" s="35"/>
      <c r="AZ175" s="17"/>
      <c r="BA175" s="2"/>
      <c r="BB175" s="2"/>
      <c r="BC175" s="2"/>
      <c r="BD175" s="2"/>
      <c r="BE175" s="3"/>
      <c r="BF175" s="3"/>
      <c r="BG175" s="3"/>
      <c r="BH175" s="2"/>
      <c r="BI175" s="18"/>
    </row>
    <row r="176" spans="1:61">
      <c r="A176" s="29">
        <v>176</v>
      </c>
      <c r="B176" s="2">
        <v>21</v>
      </c>
      <c r="C176" s="2">
        <v>3</v>
      </c>
      <c r="D176" s="2">
        <v>36</v>
      </c>
      <c r="E176" s="2">
        <v>7</v>
      </c>
      <c r="F176" s="3">
        <v>44363</v>
      </c>
      <c r="G176" s="3">
        <v>44370</v>
      </c>
      <c r="H176" s="3">
        <v>44370</v>
      </c>
      <c r="I176" s="2">
        <v>0</v>
      </c>
      <c r="J176" s="29" t="s">
        <v>197</v>
      </c>
      <c r="K176" s="35"/>
      <c r="L176" s="35"/>
      <c r="M176" s="35"/>
      <c r="AZ176" s="17"/>
      <c r="BA176" s="2"/>
      <c r="BB176" s="2"/>
      <c r="BC176" s="2"/>
      <c r="BD176" s="2"/>
      <c r="BE176" s="3"/>
      <c r="BF176" s="3"/>
      <c r="BG176" s="3"/>
      <c r="BH176" s="2"/>
      <c r="BI176" s="18"/>
    </row>
    <row r="177" spans="1:61">
      <c r="A177" s="29">
        <v>177</v>
      </c>
      <c r="B177" s="2">
        <v>12</v>
      </c>
      <c r="C177" s="2">
        <v>3</v>
      </c>
      <c r="D177" s="2">
        <v>36</v>
      </c>
      <c r="E177" s="2">
        <v>7</v>
      </c>
      <c r="F177" s="3">
        <v>44363</v>
      </c>
      <c r="G177" s="3">
        <v>44370</v>
      </c>
      <c r="H177" s="3">
        <v>44370</v>
      </c>
      <c r="I177" s="2">
        <v>50</v>
      </c>
      <c r="J177" s="29" t="s">
        <v>197</v>
      </c>
      <c r="K177" s="35"/>
      <c r="L177" s="35"/>
      <c r="M177" s="35"/>
      <c r="AZ177" s="17"/>
      <c r="BA177" s="2"/>
      <c r="BB177" s="2"/>
      <c r="BC177" s="2"/>
      <c r="BD177" s="2"/>
      <c r="BE177" s="3"/>
      <c r="BF177" s="3"/>
      <c r="BG177" s="3"/>
      <c r="BH177" s="2"/>
      <c r="BI177" s="18"/>
    </row>
    <row r="178" spans="1:61">
      <c r="A178" s="29">
        <v>178</v>
      </c>
      <c r="B178" s="2">
        <v>22</v>
      </c>
      <c r="C178" s="2">
        <v>3</v>
      </c>
      <c r="D178" s="2">
        <v>37</v>
      </c>
      <c r="E178" s="2">
        <v>8</v>
      </c>
      <c r="F178" s="3">
        <v>44363</v>
      </c>
      <c r="G178" s="3">
        <v>44370</v>
      </c>
      <c r="H178" s="3">
        <v>44370</v>
      </c>
      <c r="I178" s="2">
        <v>40</v>
      </c>
      <c r="J178" s="29" t="s">
        <v>197</v>
      </c>
      <c r="K178" s="35"/>
      <c r="L178" s="35"/>
      <c r="M178" s="35"/>
      <c r="AZ178" s="17"/>
      <c r="BA178" s="2"/>
      <c r="BB178" s="2"/>
      <c r="BC178" s="2"/>
      <c r="BD178" s="2"/>
      <c r="BE178" s="3"/>
      <c r="BF178" s="3"/>
      <c r="BG178" s="3"/>
      <c r="BH178" s="2"/>
      <c r="BI178" s="18"/>
    </row>
    <row r="179" spans="1:61">
      <c r="A179" s="29">
        <v>179</v>
      </c>
      <c r="B179" s="2">
        <v>26</v>
      </c>
      <c r="C179" s="2">
        <v>3</v>
      </c>
      <c r="D179" s="2">
        <v>37</v>
      </c>
      <c r="E179" s="2">
        <v>8</v>
      </c>
      <c r="F179" s="3">
        <v>44363</v>
      </c>
      <c r="G179" s="3">
        <v>44370</v>
      </c>
      <c r="H179" s="3">
        <v>44370</v>
      </c>
      <c r="I179" s="2">
        <v>10</v>
      </c>
      <c r="J179" s="29" t="s">
        <v>197</v>
      </c>
      <c r="K179" s="35"/>
      <c r="L179" s="35"/>
      <c r="M179" s="35"/>
      <c r="AZ179" s="17"/>
      <c r="BA179" s="2"/>
      <c r="BB179" s="2"/>
      <c r="BC179" s="2"/>
      <c r="BD179" s="2"/>
      <c r="BE179" s="3"/>
      <c r="BF179" s="3"/>
      <c r="BG179" s="3"/>
      <c r="BH179" s="2"/>
      <c r="BI179" s="18"/>
    </row>
    <row r="180" spans="1:61">
      <c r="A180" s="29">
        <v>180</v>
      </c>
      <c r="B180" s="2">
        <v>27</v>
      </c>
      <c r="C180" s="2">
        <v>2</v>
      </c>
      <c r="D180" s="2">
        <v>63</v>
      </c>
      <c r="E180" s="2">
        <v>6</v>
      </c>
      <c r="F180" s="3">
        <v>44363</v>
      </c>
      <c r="G180" s="3">
        <v>44370</v>
      </c>
      <c r="H180" s="3">
        <v>44370</v>
      </c>
      <c r="I180" s="2">
        <v>10</v>
      </c>
      <c r="J180" s="29" t="s">
        <v>197</v>
      </c>
      <c r="K180" s="35"/>
      <c r="L180" s="35"/>
      <c r="M180" s="35"/>
      <c r="AZ180" s="17"/>
      <c r="BA180" s="2"/>
      <c r="BB180" s="2"/>
      <c r="BC180" s="2"/>
      <c r="BD180" s="2"/>
      <c r="BE180" s="3"/>
      <c r="BF180" s="3"/>
      <c r="BG180" s="3"/>
      <c r="BH180" s="2"/>
      <c r="BI180" s="18"/>
    </row>
    <row r="181" spans="1:61">
      <c r="A181" s="29">
        <v>181</v>
      </c>
      <c r="B181" s="2">
        <v>28</v>
      </c>
      <c r="C181" s="2">
        <v>2</v>
      </c>
      <c r="D181" s="2">
        <v>63</v>
      </c>
      <c r="E181" s="2">
        <v>6</v>
      </c>
      <c r="F181" s="3">
        <v>44363</v>
      </c>
      <c r="G181" s="3">
        <v>44370</v>
      </c>
      <c r="H181" s="3">
        <v>44370</v>
      </c>
      <c r="I181" s="2">
        <v>50</v>
      </c>
      <c r="J181" s="29" t="s">
        <v>197</v>
      </c>
      <c r="K181" s="35"/>
      <c r="L181" s="35"/>
      <c r="M181" s="35"/>
      <c r="AZ181" s="17"/>
      <c r="BA181" s="2"/>
      <c r="BB181" s="2"/>
      <c r="BC181" s="2"/>
      <c r="BD181" s="2"/>
      <c r="BE181" s="3"/>
      <c r="BF181" s="3"/>
      <c r="BG181" s="3"/>
      <c r="BH181" s="2"/>
      <c r="BI181" s="18"/>
    </row>
    <row r="182" spans="1:61">
      <c r="A182" s="29">
        <v>182</v>
      </c>
      <c r="B182" s="2">
        <v>15</v>
      </c>
      <c r="C182" s="2">
        <v>2</v>
      </c>
      <c r="D182" s="2">
        <v>63</v>
      </c>
      <c r="E182" s="2">
        <v>6</v>
      </c>
      <c r="F182" s="3">
        <v>44363</v>
      </c>
      <c r="G182" s="3">
        <v>44370</v>
      </c>
      <c r="H182" s="3">
        <v>44370</v>
      </c>
      <c r="I182" s="2">
        <v>60</v>
      </c>
      <c r="J182" s="29" t="s">
        <v>197</v>
      </c>
      <c r="K182" s="35"/>
      <c r="L182" s="35"/>
      <c r="M182" s="35"/>
      <c r="AZ182" s="17"/>
      <c r="BA182" s="2"/>
      <c r="BB182" s="2"/>
      <c r="BC182" s="2"/>
      <c r="BD182" s="2"/>
      <c r="BE182" s="3"/>
      <c r="BF182" s="3"/>
      <c r="BG182" s="3"/>
      <c r="BH182" s="2"/>
      <c r="BI182" s="18"/>
    </row>
    <row r="183" spans="1:61">
      <c r="A183" s="29">
        <v>183</v>
      </c>
      <c r="B183" s="2">
        <v>19</v>
      </c>
      <c r="C183" s="2">
        <v>6</v>
      </c>
      <c r="D183" s="2">
        <v>99</v>
      </c>
      <c r="E183" s="2">
        <v>6</v>
      </c>
      <c r="F183" s="3">
        <v>44363</v>
      </c>
      <c r="G183" s="3">
        <v>44370</v>
      </c>
      <c r="H183" s="3">
        <v>44371</v>
      </c>
      <c r="I183" s="2">
        <v>0</v>
      </c>
      <c r="J183" s="29" t="s">
        <v>197</v>
      </c>
      <c r="K183" s="35"/>
      <c r="L183" s="35"/>
      <c r="M183" s="35"/>
      <c r="AZ183" s="17"/>
      <c r="BA183" s="2"/>
      <c r="BB183" s="2"/>
      <c r="BC183" s="2"/>
      <c r="BD183" s="2"/>
      <c r="BE183" s="3"/>
      <c r="BF183" s="3"/>
      <c r="BG183" s="3"/>
      <c r="BH183" s="2"/>
      <c r="BI183" s="18"/>
    </row>
    <row r="184" spans="1:61">
      <c r="A184" s="29">
        <v>184</v>
      </c>
      <c r="B184" s="2">
        <v>20</v>
      </c>
      <c r="C184" s="2">
        <v>6</v>
      </c>
      <c r="D184" s="2">
        <v>99</v>
      </c>
      <c r="E184" s="2">
        <v>6</v>
      </c>
      <c r="F184" s="3">
        <v>44363</v>
      </c>
      <c r="G184" s="3">
        <v>44370</v>
      </c>
      <c r="H184" s="3">
        <v>44371</v>
      </c>
      <c r="I184" s="2">
        <v>40</v>
      </c>
      <c r="J184" s="29" t="s">
        <v>197</v>
      </c>
      <c r="K184" s="35"/>
      <c r="L184" s="35"/>
      <c r="M184" s="35"/>
      <c r="AZ184" s="17"/>
      <c r="BA184" s="2"/>
      <c r="BB184" s="2"/>
      <c r="BC184" s="2"/>
      <c r="BD184" s="2"/>
      <c r="BE184" s="3"/>
      <c r="BF184" s="3"/>
      <c r="BG184" s="3"/>
      <c r="BH184" s="2"/>
      <c r="BI184" s="18"/>
    </row>
    <row r="185" spans="1:61">
      <c r="A185" s="29">
        <v>185</v>
      </c>
      <c r="B185" s="2">
        <v>21</v>
      </c>
      <c r="C185" s="2">
        <v>6</v>
      </c>
      <c r="D185" s="2">
        <v>99</v>
      </c>
      <c r="E185" s="2">
        <v>6</v>
      </c>
      <c r="F185" s="3">
        <v>44363</v>
      </c>
      <c r="G185" s="3">
        <v>44370</v>
      </c>
      <c r="H185" s="3">
        <v>44371</v>
      </c>
      <c r="I185" s="2">
        <v>50</v>
      </c>
      <c r="J185" s="29" t="s">
        <v>197</v>
      </c>
      <c r="K185" s="35"/>
      <c r="L185" s="35"/>
      <c r="M185" s="35"/>
      <c r="AZ185" s="17"/>
      <c r="BA185" s="2"/>
      <c r="BB185" s="2"/>
      <c r="BC185" s="2"/>
      <c r="BD185" s="2"/>
      <c r="BE185" s="3"/>
      <c r="BF185" s="3"/>
      <c r="BG185" s="3"/>
      <c r="BH185" s="2"/>
      <c r="BI185" s="18"/>
    </row>
    <row r="186" spans="1:61">
      <c r="A186" s="29">
        <v>186</v>
      </c>
      <c r="B186" s="2">
        <v>25</v>
      </c>
      <c r="C186" s="2">
        <v>6</v>
      </c>
      <c r="D186" s="2">
        <v>99</v>
      </c>
      <c r="E186" s="2">
        <v>6</v>
      </c>
      <c r="F186" s="3">
        <v>44363</v>
      </c>
      <c r="G186" s="3">
        <v>44370</v>
      </c>
      <c r="H186" s="3">
        <v>44371</v>
      </c>
      <c r="I186" s="2">
        <v>60</v>
      </c>
      <c r="J186" s="29" t="s">
        <v>197</v>
      </c>
      <c r="K186" s="35"/>
      <c r="L186" s="35"/>
      <c r="M186" s="35"/>
      <c r="AZ186" s="17"/>
      <c r="BA186" s="2"/>
      <c r="BB186" s="2"/>
      <c r="BC186" s="2"/>
      <c r="BD186" s="2"/>
      <c r="BE186" s="3"/>
      <c r="BF186" s="3"/>
      <c r="BG186" s="3"/>
      <c r="BH186" s="2"/>
      <c r="BI186" s="18"/>
    </row>
    <row r="187" spans="1:61">
      <c r="A187" s="29">
        <v>187</v>
      </c>
      <c r="B187" s="2">
        <v>30</v>
      </c>
      <c r="C187" s="2">
        <v>6</v>
      </c>
      <c r="D187" s="2">
        <v>99</v>
      </c>
      <c r="E187" s="2">
        <v>6</v>
      </c>
      <c r="F187" s="3">
        <v>44363</v>
      </c>
      <c r="G187" s="3">
        <v>44370</v>
      </c>
      <c r="H187" s="3">
        <v>44371</v>
      </c>
      <c r="I187" s="2">
        <v>70</v>
      </c>
      <c r="J187" s="29" t="s">
        <v>197</v>
      </c>
      <c r="K187" s="35"/>
      <c r="L187" s="35"/>
      <c r="M187" s="35"/>
      <c r="AZ187" s="17"/>
      <c r="BA187" s="2"/>
      <c r="BB187" s="2"/>
      <c r="BC187" s="2"/>
      <c r="BD187" s="2"/>
      <c r="BE187" s="3"/>
      <c r="BF187" s="3"/>
      <c r="BG187" s="3"/>
      <c r="BH187" s="2"/>
      <c r="BI187" s="18"/>
    </row>
    <row r="188" spans="1:61">
      <c r="A188" s="29">
        <v>188</v>
      </c>
      <c r="B188" s="2">
        <v>29</v>
      </c>
      <c r="C188" s="2">
        <v>6</v>
      </c>
      <c r="D188" s="2">
        <v>99</v>
      </c>
      <c r="E188" s="2">
        <v>6</v>
      </c>
      <c r="F188" s="3">
        <v>44363</v>
      </c>
      <c r="G188" s="3">
        <v>44370</v>
      </c>
      <c r="H188" s="3">
        <v>44371</v>
      </c>
      <c r="I188" s="2">
        <v>20</v>
      </c>
      <c r="J188" s="29" t="s">
        <v>197</v>
      </c>
      <c r="K188" s="35"/>
      <c r="L188" s="35"/>
      <c r="M188" s="35"/>
      <c r="AZ188" s="17"/>
      <c r="BA188" s="2"/>
      <c r="BB188" s="2"/>
      <c r="BC188" s="2"/>
      <c r="BD188" s="2"/>
      <c r="BE188" s="3"/>
      <c r="BF188" s="3"/>
      <c r="BG188" s="3"/>
      <c r="BH188" s="2"/>
      <c r="BI188" s="18"/>
    </row>
    <row r="189" spans="1:61">
      <c r="A189" s="29">
        <v>189</v>
      </c>
      <c r="B189" s="2">
        <v>5</v>
      </c>
      <c r="C189" s="2">
        <v>6</v>
      </c>
      <c r="D189" s="2">
        <v>99</v>
      </c>
      <c r="E189" s="2">
        <v>6</v>
      </c>
      <c r="F189" s="3">
        <v>44363</v>
      </c>
      <c r="G189" s="3">
        <v>44370</v>
      </c>
      <c r="H189" s="3">
        <v>44371</v>
      </c>
      <c r="I189" s="2">
        <v>20</v>
      </c>
      <c r="J189" s="29" t="s">
        <v>197</v>
      </c>
      <c r="K189" s="35"/>
      <c r="L189" s="35"/>
      <c r="M189" s="35"/>
      <c r="AZ189" s="17"/>
      <c r="BA189" s="2"/>
      <c r="BB189" s="2"/>
      <c r="BC189" s="2"/>
      <c r="BD189" s="2"/>
      <c r="BE189" s="3"/>
      <c r="BF189" s="3"/>
      <c r="BG189" s="3"/>
      <c r="BH189" s="2"/>
      <c r="BI189" s="18"/>
    </row>
    <row r="190" spans="1:61">
      <c r="A190" s="29">
        <v>190</v>
      </c>
      <c r="B190" s="2">
        <v>6</v>
      </c>
      <c r="C190" s="2">
        <v>6</v>
      </c>
      <c r="D190" s="2">
        <v>103</v>
      </c>
      <c r="E190" s="2">
        <v>7</v>
      </c>
      <c r="F190" s="3">
        <v>44363</v>
      </c>
      <c r="G190" s="3">
        <v>44370</v>
      </c>
      <c r="H190" s="3">
        <v>44371</v>
      </c>
      <c r="I190" s="2">
        <v>0</v>
      </c>
      <c r="J190" s="29" t="s">
        <v>197</v>
      </c>
      <c r="K190" s="35"/>
      <c r="L190" s="35"/>
      <c r="M190" s="35"/>
      <c r="AZ190" s="17"/>
      <c r="BA190" s="2"/>
      <c r="BB190" s="2"/>
      <c r="BC190" s="2"/>
      <c r="BD190" s="2"/>
      <c r="BE190" s="3"/>
      <c r="BF190" s="3"/>
      <c r="BG190" s="3"/>
      <c r="BH190" s="2"/>
      <c r="BI190" s="18"/>
    </row>
    <row r="191" spans="1:61">
      <c r="A191" s="29">
        <v>191</v>
      </c>
      <c r="B191" s="2">
        <v>5</v>
      </c>
      <c r="C191" s="2">
        <v>6</v>
      </c>
      <c r="D191" s="2">
        <v>103</v>
      </c>
      <c r="E191" s="2">
        <v>7</v>
      </c>
      <c r="F191" s="3">
        <v>44363</v>
      </c>
      <c r="G191" s="3">
        <v>44370</v>
      </c>
      <c r="H191" s="3">
        <v>44371</v>
      </c>
      <c r="I191" s="2">
        <v>0</v>
      </c>
      <c r="J191" s="29" t="s">
        <v>197</v>
      </c>
      <c r="K191" s="35"/>
      <c r="L191" s="35"/>
      <c r="M191" s="35"/>
      <c r="AZ191" s="17"/>
      <c r="BA191" s="2"/>
      <c r="BB191" s="2"/>
      <c r="BC191" s="2"/>
      <c r="BD191" s="2"/>
      <c r="BE191" s="3"/>
      <c r="BF191" s="3"/>
      <c r="BG191" s="3"/>
      <c r="BH191" s="2"/>
      <c r="BI191" s="18"/>
    </row>
    <row r="192" spans="1:61">
      <c r="A192" s="29">
        <v>192</v>
      </c>
      <c r="B192" s="2">
        <v>4</v>
      </c>
      <c r="C192" s="2">
        <v>6</v>
      </c>
      <c r="D192" s="2">
        <v>103</v>
      </c>
      <c r="E192" s="2">
        <v>7</v>
      </c>
      <c r="F192" s="3">
        <v>44363</v>
      </c>
      <c r="G192" s="3">
        <v>44370</v>
      </c>
      <c r="H192" s="3">
        <v>44371</v>
      </c>
      <c r="I192" s="2">
        <v>20</v>
      </c>
      <c r="J192" s="29" t="s">
        <v>197</v>
      </c>
      <c r="K192" s="35"/>
      <c r="L192" s="35"/>
      <c r="M192" s="35"/>
      <c r="AZ192" s="17"/>
      <c r="BA192" s="2"/>
      <c r="BB192" s="2"/>
      <c r="BC192" s="2"/>
      <c r="BD192" s="2"/>
      <c r="BE192" s="3"/>
      <c r="BF192" s="3"/>
      <c r="BG192" s="3"/>
      <c r="BH192" s="2"/>
      <c r="BI192" s="18"/>
    </row>
    <row r="193" spans="1:61">
      <c r="A193" s="29">
        <v>193</v>
      </c>
      <c r="B193" s="2">
        <v>18</v>
      </c>
      <c r="C193" s="2">
        <v>6</v>
      </c>
      <c r="D193" s="2">
        <v>103</v>
      </c>
      <c r="E193" s="2">
        <v>7</v>
      </c>
      <c r="F193" s="3">
        <v>44363</v>
      </c>
      <c r="G193" s="3">
        <v>44370</v>
      </c>
      <c r="H193" s="3">
        <v>44371</v>
      </c>
      <c r="I193" s="2">
        <v>40</v>
      </c>
      <c r="J193" s="29" t="s">
        <v>197</v>
      </c>
      <c r="K193" s="35"/>
      <c r="L193" s="35"/>
      <c r="M193" s="35"/>
      <c r="AZ193" s="17"/>
      <c r="BA193" s="2"/>
      <c r="BB193" s="2"/>
      <c r="BC193" s="2"/>
      <c r="BD193" s="2"/>
      <c r="BE193" s="3"/>
      <c r="BF193" s="3"/>
      <c r="BG193" s="3"/>
      <c r="BH193" s="2"/>
      <c r="BI193" s="18"/>
    </row>
    <row r="194" spans="1:61">
      <c r="A194" s="29">
        <v>194</v>
      </c>
      <c r="B194" s="2">
        <v>17</v>
      </c>
      <c r="C194" s="2">
        <v>6</v>
      </c>
      <c r="D194" s="2">
        <v>103</v>
      </c>
      <c r="E194" s="2">
        <v>7</v>
      </c>
      <c r="F194" s="3">
        <v>44363</v>
      </c>
      <c r="G194" s="3">
        <v>44370</v>
      </c>
      <c r="H194" s="3">
        <v>44371</v>
      </c>
      <c r="I194" s="2">
        <v>50</v>
      </c>
      <c r="J194" s="29" t="s">
        <v>197</v>
      </c>
      <c r="K194" s="35"/>
      <c r="L194" s="35"/>
      <c r="M194" s="35"/>
      <c r="AZ194" s="17"/>
      <c r="BA194" s="2"/>
      <c r="BB194" s="2"/>
      <c r="BC194" s="2"/>
      <c r="BD194" s="2"/>
      <c r="BE194" s="3"/>
      <c r="BF194" s="3"/>
      <c r="BG194" s="3"/>
      <c r="BH194" s="2"/>
      <c r="BI194" s="18"/>
    </row>
    <row r="195" spans="1:61">
      <c r="A195" s="29">
        <v>195</v>
      </c>
      <c r="B195" s="2">
        <v>12</v>
      </c>
      <c r="C195" s="2">
        <v>6</v>
      </c>
      <c r="D195" s="2">
        <v>103</v>
      </c>
      <c r="E195" s="2">
        <v>7</v>
      </c>
      <c r="F195" s="3">
        <v>44363</v>
      </c>
      <c r="G195" s="3">
        <v>44370</v>
      </c>
      <c r="H195" s="3">
        <v>44371</v>
      </c>
      <c r="I195" s="2">
        <v>60</v>
      </c>
      <c r="J195" s="29" t="s">
        <v>197</v>
      </c>
      <c r="K195" s="35"/>
      <c r="L195" s="35"/>
      <c r="M195" s="35"/>
      <c r="AZ195" s="17"/>
      <c r="BA195" s="2"/>
      <c r="BB195" s="2"/>
      <c r="BC195" s="2"/>
      <c r="BD195" s="2"/>
      <c r="BE195" s="3"/>
      <c r="BF195" s="3"/>
      <c r="BG195" s="3"/>
      <c r="BH195" s="2"/>
      <c r="BI195" s="18"/>
    </row>
    <row r="196" spans="1:61">
      <c r="A196" s="29">
        <v>196</v>
      </c>
      <c r="B196" s="2">
        <v>16</v>
      </c>
      <c r="C196" s="2">
        <v>6</v>
      </c>
      <c r="D196" s="2">
        <v>106</v>
      </c>
      <c r="E196" s="2">
        <v>8</v>
      </c>
      <c r="F196" s="3">
        <v>44363</v>
      </c>
      <c r="G196" s="3">
        <v>44370</v>
      </c>
      <c r="H196" s="3">
        <v>44371</v>
      </c>
      <c r="I196" s="2">
        <v>70</v>
      </c>
      <c r="J196" s="29" t="s">
        <v>197</v>
      </c>
      <c r="K196" s="35"/>
      <c r="L196" s="35"/>
      <c r="M196" s="35"/>
      <c r="AZ196" s="17"/>
      <c r="BA196" s="2"/>
      <c r="BB196" s="2"/>
      <c r="BC196" s="2"/>
      <c r="BD196" s="2"/>
      <c r="BE196" s="3"/>
      <c r="BF196" s="3"/>
      <c r="BG196" s="3"/>
      <c r="BH196" s="2"/>
      <c r="BI196" s="18"/>
    </row>
    <row r="197" spans="1:61">
      <c r="A197" s="29">
        <v>197</v>
      </c>
      <c r="B197" s="2">
        <v>15</v>
      </c>
      <c r="C197" s="2">
        <v>6</v>
      </c>
      <c r="D197" s="2">
        <v>106</v>
      </c>
      <c r="E197" s="2">
        <v>8</v>
      </c>
      <c r="F197" s="3">
        <v>44363</v>
      </c>
      <c r="G197" s="3">
        <v>44370</v>
      </c>
      <c r="H197" s="3">
        <v>44371</v>
      </c>
      <c r="I197" s="2">
        <v>10</v>
      </c>
      <c r="J197" s="29" t="s">
        <v>197</v>
      </c>
      <c r="K197" s="35"/>
      <c r="L197" s="35"/>
      <c r="M197" s="35"/>
      <c r="AZ197" s="17"/>
      <c r="BA197" s="2"/>
      <c r="BB197" s="2"/>
      <c r="BC197" s="2"/>
      <c r="BD197" s="2"/>
      <c r="BE197" s="3"/>
      <c r="BF197" s="3"/>
      <c r="BG197" s="3"/>
      <c r="BH197" s="2"/>
      <c r="BI197" s="18"/>
    </row>
    <row r="198" spans="1:61">
      <c r="A198" s="29">
        <v>198</v>
      </c>
      <c r="B198" s="2">
        <v>30</v>
      </c>
      <c r="C198" s="2">
        <v>6</v>
      </c>
      <c r="D198" s="2">
        <v>106</v>
      </c>
      <c r="E198" s="2">
        <v>8</v>
      </c>
      <c r="F198" s="3">
        <v>44363</v>
      </c>
      <c r="G198" s="3">
        <v>44370</v>
      </c>
      <c r="H198" s="3">
        <v>44371</v>
      </c>
      <c r="I198" s="2">
        <v>10</v>
      </c>
      <c r="J198" s="29" t="s">
        <v>197</v>
      </c>
      <c r="K198" s="35"/>
      <c r="L198" s="35"/>
      <c r="M198" s="35"/>
      <c r="AZ198" s="17"/>
      <c r="BA198" s="2"/>
      <c r="BB198" s="2"/>
      <c r="BC198" s="2"/>
      <c r="BD198" s="2"/>
      <c r="BE198" s="3"/>
      <c r="BF198" s="3"/>
      <c r="BG198" s="3"/>
      <c r="BH198" s="2"/>
      <c r="BI198" s="18"/>
    </row>
    <row r="199" spans="1:61">
      <c r="A199" s="29">
        <v>199</v>
      </c>
      <c r="B199" s="2">
        <v>29</v>
      </c>
      <c r="C199" s="2">
        <v>6</v>
      </c>
      <c r="D199" s="2">
        <v>106</v>
      </c>
      <c r="E199" s="2">
        <v>8</v>
      </c>
      <c r="F199" s="3">
        <v>44363</v>
      </c>
      <c r="G199" s="3">
        <v>44370</v>
      </c>
      <c r="H199" s="3">
        <v>44371</v>
      </c>
      <c r="I199" s="2">
        <v>0</v>
      </c>
      <c r="J199" s="29" t="s">
        <v>197</v>
      </c>
      <c r="K199" s="35"/>
      <c r="L199" s="35"/>
      <c r="M199" s="35"/>
      <c r="AZ199" s="17"/>
      <c r="BA199" s="2"/>
      <c r="BB199" s="2"/>
      <c r="BC199" s="2"/>
      <c r="BD199" s="2"/>
      <c r="BE199" s="3"/>
      <c r="BF199" s="3"/>
      <c r="BG199" s="3"/>
      <c r="BH199" s="2"/>
      <c r="BI199" s="18"/>
    </row>
    <row r="200" spans="1:61">
      <c r="A200" s="29">
        <v>200</v>
      </c>
      <c r="B200" s="2">
        <v>1</v>
      </c>
      <c r="C200" s="2">
        <v>6</v>
      </c>
      <c r="D200" s="2">
        <v>106</v>
      </c>
      <c r="E200" s="2">
        <v>8</v>
      </c>
      <c r="F200" s="3">
        <v>44363</v>
      </c>
      <c r="G200" s="3">
        <v>44370</v>
      </c>
      <c r="H200" s="3">
        <v>44371</v>
      </c>
      <c r="I200" s="2">
        <v>90</v>
      </c>
      <c r="J200" s="29" t="s">
        <v>198</v>
      </c>
      <c r="K200" s="35"/>
      <c r="L200" s="35"/>
      <c r="M200" s="35"/>
      <c r="AZ200" s="17"/>
      <c r="BA200" s="2"/>
      <c r="BB200" s="2"/>
      <c r="BC200" s="2"/>
      <c r="BD200" s="2"/>
      <c r="BE200" s="3"/>
      <c r="BF200" s="3"/>
      <c r="BG200" s="3"/>
      <c r="BH200" s="2"/>
      <c r="BI200" s="18"/>
    </row>
    <row r="201" spans="1:61">
      <c r="A201" s="29">
        <v>201</v>
      </c>
      <c r="B201" s="2">
        <v>2</v>
      </c>
      <c r="C201" s="2">
        <v>6</v>
      </c>
      <c r="D201" s="2">
        <v>106</v>
      </c>
      <c r="E201" s="2">
        <v>8</v>
      </c>
      <c r="F201" s="3">
        <v>44363</v>
      </c>
      <c r="G201" s="3">
        <v>44370</v>
      </c>
      <c r="H201" s="3">
        <v>44371</v>
      </c>
      <c r="I201" s="2">
        <v>50</v>
      </c>
      <c r="J201" s="29" t="s">
        <v>197</v>
      </c>
      <c r="K201" s="35"/>
      <c r="L201" s="35"/>
      <c r="M201" s="35"/>
      <c r="AZ201" s="17"/>
      <c r="BA201" s="2"/>
      <c r="BB201" s="2"/>
      <c r="BC201" s="2"/>
      <c r="BD201" s="2"/>
      <c r="BE201" s="3"/>
      <c r="BF201" s="3"/>
      <c r="BG201" s="3"/>
      <c r="BH201" s="2"/>
      <c r="BI201" s="18"/>
    </row>
    <row r="202" spans="1:61">
      <c r="A202" s="29">
        <v>203</v>
      </c>
      <c r="B202" s="2">
        <v>21</v>
      </c>
      <c r="C202" s="2">
        <v>3</v>
      </c>
      <c r="D202" s="2">
        <v>40</v>
      </c>
      <c r="E202" s="2">
        <v>9</v>
      </c>
      <c r="F202" s="3">
        <v>44365</v>
      </c>
      <c r="G202" s="3">
        <v>44372</v>
      </c>
      <c r="H202" s="3">
        <v>44372</v>
      </c>
      <c r="I202" s="2">
        <v>0</v>
      </c>
      <c r="J202" s="29" t="s">
        <v>197</v>
      </c>
      <c r="K202" s="35"/>
      <c r="L202" s="35"/>
      <c r="M202" s="35"/>
      <c r="AZ202" s="17"/>
      <c r="BA202" s="2"/>
      <c r="BB202" s="2"/>
      <c r="BC202" s="2"/>
      <c r="BD202" s="2"/>
      <c r="BE202" s="3"/>
      <c r="BF202" s="3"/>
      <c r="BG202" s="3"/>
      <c r="BH202" s="2"/>
      <c r="BI202" s="18"/>
    </row>
    <row r="203" spans="1:61">
      <c r="A203" s="29">
        <v>204</v>
      </c>
      <c r="B203" s="2">
        <v>12</v>
      </c>
      <c r="C203" s="2">
        <v>3</v>
      </c>
      <c r="D203" s="2">
        <v>53</v>
      </c>
      <c r="E203" s="2">
        <v>10</v>
      </c>
      <c r="F203" s="3">
        <v>44365</v>
      </c>
      <c r="G203" s="3">
        <v>44372</v>
      </c>
      <c r="H203" s="3">
        <v>44372</v>
      </c>
      <c r="I203" s="2">
        <v>80</v>
      </c>
      <c r="J203" s="29" t="s">
        <v>198</v>
      </c>
      <c r="K203" s="35"/>
      <c r="L203" s="35"/>
      <c r="M203" s="35"/>
      <c r="AZ203" s="17"/>
      <c r="BA203" s="2"/>
      <c r="BB203" s="2"/>
      <c r="BC203" s="2"/>
      <c r="BD203" s="2"/>
      <c r="BE203" s="3"/>
      <c r="BF203" s="3"/>
      <c r="BG203" s="3"/>
      <c r="BH203" s="2"/>
      <c r="BI203" s="18"/>
    </row>
    <row r="204" spans="1:61">
      <c r="A204" s="29">
        <v>205</v>
      </c>
      <c r="B204" s="2">
        <v>2</v>
      </c>
      <c r="C204" s="2">
        <v>3</v>
      </c>
      <c r="D204" s="2">
        <v>53</v>
      </c>
      <c r="E204" s="2">
        <v>10</v>
      </c>
      <c r="F204" s="3">
        <v>44365</v>
      </c>
      <c r="G204" s="3">
        <v>44372</v>
      </c>
      <c r="H204" s="3">
        <v>44372</v>
      </c>
      <c r="I204" s="2">
        <v>40</v>
      </c>
      <c r="J204" s="29" t="s">
        <v>197</v>
      </c>
      <c r="K204" s="35"/>
      <c r="L204" s="35"/>
      <c r="M204" s="35"/>
      <c r="AZ204" s="17"/>
      <c r="BA204" s="2"/>
      <c r="BB204" s="2"/>
      <c r="BC204" s="2"/>
      <c r="BD204" s="2"/>
      <c r="BE204" s="3"/>
      <c r="BF204" s="3"/>
      <c r="BG204" s="3"/>
      <c r="BH204" s="2"/>
      <c r="BI204" s="18"/>
    </row>
    <row r="205" spans="1:61">
      <c r="A205" s="29">
        <v>207</v>
      </c>
      <c r="B205" s="2">
        <v>27</v>
      </c>
      <c r="C205" s="2">
        <v>3</v>
      </c>
      <c r="D205" s="2">
        <v>62</v>
      </c>
      <c r="E205" s="2">
        <v>11</v>
      </c>
      <c r="F205" s="3">
        <v>44365</v>
      </c>
      <c r="G205" s="3">
        <v>44372</v>
      </c>
      <c r="H205" s="3">
        <v>44372</v>
      </c>
      <c r="I205" s="2">
        <v>0</v>
      </c>
      <c r="J205" s="29" t="s">
        <v>197</v>
      </c>
      <c r="K205" s="35"/>
      <c r="L205" s="35"/>
      <c r="M205" s="35"/>
      <c r="AZ205" s="17"/>
      <c r="BA205" s="2"/>
      <c r="BB205" s="2"/>
      <c r="BC205" s="2"/>
      <c r="BD205" s="2"/>
      <c r="BE205" s="3"/>
      <c r="BF205" s="3"/>
      <c r="BG205" s="3"/>
      <c r="BH205" s="2"/>
      <c r="BI205" s="18"/>
    </row>
    <row r="206" spans="1:61">
      <c r="A206" s="29">
        <v>208</v>
      </c>
      <c r="B206" s="2">
        <v>28</v>
      </c>
      <c r="C206" s="2">
        <v>3</v>
      </c>
      <c r="D206" s="2">
        <v>62</v>
      </c>
      <c r="E206" s="2">
        <v>11</v>
      </c>
      <c r="F206" s="3">
        <v>44365</v>
      </c>
      <c r="G206" s="3">
        <v>44372</v>
      </c>
      <c r="H206" s="3">
        <v>44372</v>
      </c>
      <c r="I206" s="2">
        <v>10</v>
      </c>
      <c r="J206" s="29" t="s">
        <v>197</v>
      </c>
      <c r="K206" s="35"/>
      <c r="L206" s="35"/>
      <c r="M206" s="35"/>
      <c r="AZ206" s="17"/>
      <c r="BA206" s="2"/>
      <c r="BB206" s="2"/>
      <c r="BC206" s="2"/>
      <c r="BD206" s="2"/>
      <c r="BE206" s="3"/>
      <c r="BF206" s="3"/>
      <c r="BG206" s="3"/>
      <c r="BH206" s="2"/>
      <c r="BI206" s="18"/>
    </row>
    <row r="207" spans="1:61">
      <c r="A207" s="29">
        <v>209</v>
      </c>
      <c r="B207" s="2">
        <v>30</v>
      </c>
      <c r="C207" s="2">
        <v>3</v>
      </c>
      <c r="D207" s="2">
        <v>75</v>
      </c>
      <c r="E207" s="2">
        <v>12</v>
      </c>
      <c r="F207" s="3">
        <v>44365</v>
      </c>
      <c r="G207" s="3">
        <v>44372</v>
      </c>
      <c r="H207" s="3">
        <v>44372</v>
      </c>
      <c r="I207" s="2">
        <v>0</v>
      </c>
      <c r="J207" s="29" t="s">
        <v>197</v>
      </c>
      <c r="K207" s="35"/>
      <c r="L207" s="35"/>
      <c r="M207" s="35"/>
      <c r="AZ207" s="17"/>
      <c r="BA207" s="2"/>
      <c r="BB207" s="2"/>
      <c r="BC207" s="2"/>
      <c r="BD207" s="2"/>
      <c r="BE207" s="3"/>
      <c r="BF207" s="3"/>
      <c r="BG207" s="3"/>
      <c r="BH207" s="2"/>
      <c r="BI207" s="18"/>
    </row>
    <row r="208" spans="1:61">
      <c r="A208" s="29">
        <v>210</v>
      </c>
      <c r="B208" s="2">
        <v>3</v>
      </c>
      <c r="C208" s="2">
        <v>3</v>
      </c>
      <c r="D208" s="2">
        <v>75</v>
      </c>
      <c r="E208" s="2">
        <v>12</v>
      </c>
      <c r="F208" s="3">
        <v>44365</v>
      </c>
      <c r="G208" s="3">
        <v>44372</v>
      </c>
      <c r="H208" s="3">
        <v>44372</v>
      </c>
      <c r="I208" s="2">
        <v>30</v>
      </c>
      <c r="J208" s="29" t="s">
        <v>197</v>
      </c>
      <c r="K208" s="35"/>
      <c r="L208" s="35"/>
      <c r="M208" s="35"/>
      <c r="AZ208" s="17"/>
      <c r="BA208" s="2"/>
      <c r="BB208" s="2"/>
      <c r="BC208" s="2"/>
      <c r="BD208" s="2"/>
      <c r="BE208" s="3"/>
      <c r="BF208" s="3"/>
      <c r="BG208" s="3"/>
      <c r="BH208" s="2"/>
      <c r="BI208" s="18"/>
    </row>
    <row r="209" spans="1:61">
      <c r="A209" s="29">
        <v>211</v>
      </c>
      <c r="B209" s="2">
        <v>4</v>
      </c>
      <c r="C209" s="2">
        <v>3</v>
      </c>
      <c r="D209" s="2">
        <v>75</v>
      </c>
      <c r="E209" s="2">
        <v>12</v>
      </c>
      <c r="F209" s="3">
        <v>44365</v>
      </c>
      <c r="G209" s="3">
        <v>44372</v>
      </c>
      <c r="H209" s="3">
        <v>44372</v>
      </c>
      <c r="I209" s="2">
        <v>10</v>
      </c>
      <c r="J209" s="29" t="s">
        <v>197</v>
      </c>
      <c r="K209" s="35"/>
      <c r="L209" s="35"/>
      <c r="M209" s="35"/>
      <c r="AZ209" s="17"/>
      <c r="BA209" s="2"/>
      <c r="BB209" s="2"/>
      <c r="BC209" s="2"/>
      <c r="BD209" s="2"/>
      <c r="BE209" s="3"/>
      <c r="BF209" s="3"/>
      <c r="BG209" s="3"/>
      <c r="BH209" s="2"/>
      <c r="BI209" s="18"/>
    </row>
    <row r="210" spans="1:61">
      <c r="A210" s="29">
        <v>212</v>
      </c>
      <c r="B210" s="2">
        <v>27</v>
      </c>
      <c r="C210" s="2">
        <v>4</v>
      </c>
      <c r="D210" s="2">
        <v>50</v>
      </c>
      <c r="E210" s="2">
        <v>10</v>
      </c>
      <c r="F210" s="3">
        <v>44365</v>
      </c>
      <c r="G210" s="3">
        <v>44372</v>
      </c>
      <c r="H210" s="3">
        <v>44373</v>
      </c>
      <c r="I210" s="2">
        <v>20</v>
      </c>
      <c r="J210" s="29" t="s">
        <v>197</v>
      </c>
      <c r="K210" s="35"/>
      <c r="L210" s="35"/>
      <c r="M210" s="35"/>
      <c r="AZ210" s="17"/>
      <c r="BA210" s="2"/>
      <c r="BB210" s="2"/>
      <c r="BC210" s="2"/>
      <c r="BD210" s="2"/>
      <c r="BE210" s="3"/>
      <c r="BF210" s="3"/>
      <c r="BG210" s="3"/>
      <c r="BH210" s="2"/>
      <c r="BI210" s="18"/>
    </row>
    <row r="211" spans="1:61">
      <c r="A211" s="29">
        <v>213</v>
      </c>
      <c r="B211" s="2">
        <v>28</v>
      </c>
      <c r="C211" s="2">
        <v>4</v>
      </c>
      <c r="D211" s="2">
        <v>50</v>
      </c>
      <c r="E211" s="2">
        <v>10</v>
      </c>
      <c r="F211" s="3">
        <v>44365</v>
      </c>
      <c r="G211" s="3">
        <v>44372</v>
      </c>
      <c r="H211" s="3">
        <v>44373</v>
      </c>
      <c r="I211" s="2">
        <v>20</v>
      </c>
      <c r="J211" s="29" t="s">
        <v>197</v>
      </c>
      <c r="K211" s="35"/>
      <c r="L211" s="35"/>
      <c r="M211" s="35"/>
      <c r="AZ211" s="17"/>
      <c r="BA211" s="2"/>
      <c r="BB211" s="2"/>
      <c r="BC211" s="2"/>
      <c r="BD211" s="2"/>
      <c r="BE211" s="3"/>
      <c r="BF211" s="3"/>
      <c r="BG211" s="3"/>
      <c r="BH211" s="2"/>
      <c r="BI211" s="18"/>
    </row>
    <row r="212" spans="1:61">
      <c r="A212" s="29">
        <v>214</v>
      </c>
      <c r="B212" s="2">
        <v>15</v>
      </c>
      <c r="C212" s="2">
        <v>4</v>
      </c>
      <c r="D212" s="2">
        <v>50</v>
      </c>
      <c r="E212" s="2">
        <v>10</v>
      </c>
      <c r="F212" s="3">
        <v>44365</v>
      </c>
      <c r="G212" s="3">
        <v>44372</v>
      </c>
      <c r="H212" s="3">
        <v>44373</v>
      </c>
      <c r="I212" s="2">
        <v>0</v>
      </c>
      <c r="J212" s="29" t="s">
        <v>197</v>
      </c>
      <c r="K212" s="35"/>
      <c r="L212" s="35"/>
      <c r="M212" s="35"/>
      <c r="AZ212" s="17"/>
      <c r="BA212" s="2"/>
      <c r="BB212" s="2"/>
      <c r="BC212" s="2"/>
      <c r="BD212" s="2"/>
      <c r="BE212" s="3"/>
      <c r="BF212" s="3"/>
      <c r="BG212" s="3"/>
      <c r="BH212" s="2"/>
      <c r="BI212" s="18"/>
    </row>
    <row r="213" spans="1:61">
      <c r="A213" s="29">
        <v>215</v>
      </c>
      <c r="B213" s="2">
        <v>16</v>
      </c>
      <c r="C213" s="2">
        <v>2</v>
      </c>
      <c r="D213" s="2">
        <v>97</v>
      </c>
      <c r="E213" s="2">
        <v>12</v>
      </c>
      <c r="F213" s="3">
        <v>44365</v>
      </c>
      <c r="G213" s="3">
        <v>44372</v>
      </c>
      <c r="H213" s="3">
        <v>44372</v>
      </c>
      <c r="I213" s="2">
        <v>20</v>
      </c>
      <c r="J213" s="29" t="s">
        <v>197</v>
      </c>
      <c r="K213" s="35"/>
      <c r="L213" s="35"/>
      <c r="M213" s="35"/>
      <c r="AZ213" s="17"/>
      <c r="BA213" s="2"/>
      <c r="BB213" s="2"/>
      <c r="BC213" s="2"/>
      <c r="BD213" s="2"/>
      <c r="BE213" s="3"/>
      <c r="BF213" s="3"/>
      <c r="BG213" s="3"/>
      <c r="BH213" s="2"/>
      <c r="BI213" s="18"/>
    </row>
    <row r="214" spans="1:61">
      <c r="A214" s="29">
        <v>216</v>
      </c>
      <c r="B214" s="2">
        <v>19</v>
      </c>
      <c r="C214" s="2">
        <v>2</v>
      </c>
      <c r="D214" s="2">
        <v>97</v>
      </c>
      <c r="E214" s="2">
        <v>12</v>
      </c>
      <c r="F214" s="3">
        <v>44365</v>
      </c>
      <c r="G214" s="3">
        <v>44372</v>
      </c>
      <c r="H214" s="3">
        <v>44372</v>
      </c>
      <c r="I214" s="2">
        <v>50</v>
      </c>
      <c r="J214" s="29" t="s">
        <v>197</v>
      </c>
      <c r="K214" s="35"/>
      <c r="L214" s="35"/>
      <c r="M214" s="35"/>
      <c r="AZ214" s="17"/>
      <c r="BA214" s="2"/>
      <c r="BB214" s="2"/>
      <c r="BC214" s="2"/>
      <c r="BD214" s="2"/>
      <c r="BE214" s="3"/>
      <c r="BF214" s="3"/>
      <c r="BG214" s="3"/>
      <c r="BH214" s="2"/>
      <c r="BI214" s="18"/>
    </row>
    <row r="215" spans="1:61">
      <c r="A215" s="29">
        <v>217</v>
      </c>
      <c r="B215" s="2">
        <v>3</v>
      </c>
      <c r="C215" s="2">
        <v>6</v>
      </c>
      <c r="D215" s="2">
        <v>119</v>
      </c>
      <c r="E215" s="2">
        <v>9</v>
      </c>
      <c r="F215" s="3">
        <v>44365</v>
      </c>
      <c r="G215" s="3">
        <v>44372</v>
      </c>
      <c r="H215" s="3">
        <v>44373</v>
      </c>
      <c r="I215" s="2">
        <v>80</v>
      </c>
      <c r="J215" s="29" t="s">
        <v>198</v>
      </c>
      <c r="K215" s="35"/>
      <c r="L215" s="35"/>
      <c r="M215" s="35"/>
      <c r="AZ215" s="17"/>
      <c r="BA215" s="2"/>
      <c r="BB215" s="2"/>
      <c r="BC215" s="2"/>
      <c r="BD215" s="2"/>
      <c r="BE215" s="3"/>
      <c r="BF215" s="3"/>
      <c r="BG215" s="3"/>
      <c r="BH215" s="2"/>
      <c r="BI215" s="18"/>
    </row>
    <row r="216" spans="1:61">
      <c r="A216" s="29">
        <v>218</v>
      </c>
      <c r="B216" s="2">
        <v>15</v>
      </c>
      <c r="C216" s="2">
        <v>6</v>
      </c>
      <c r="D216" s="2">
        <v>119</v>
      </c>
      <c r="E216" s="2">
        <v>9</v>
      </c>
      <c r="F216" s="3">
        <v>44365</v>
      </c>
      <c r="G216" s="3">
        <v>44372</v>
      </c>
      <c r="H216" s="3">
        <v>44373</v>
      </c>
      <c r="I216" s="2">
        <v>0</v>
      </c>
      <c r="J216" s="29" t="s">
        <v>197</v>
      </c>
      <c r="K216" s="35"/>
      <c r="L216" s="35"/>
      <c r="M216" s="35"/>
      <c r="AZ216" s="17"/>
      <c r="BA216" s="2"/>
      <c r="BB216" s="2"/>
      <c r="BC216" s="2"/>
      <c r="BD216" s="2"/>
      <c r="BE216" s="3"/>
      <c r="BF216" s="3"/>
      <c r="BG216" s="3"/>
      <c r="BH216" s="2"/>
      <c r="BI216" s="18"/>
    </row>
    <row r="217" spans="1:61">
      <c r="A217" s="29">
        <v>219</v>
      </c>
      <c r="B217" s="2">
        <v>16</v>
      </c>
      <c r="C217" s="2">
        <v>6</v>
      </c>
      <c r="D217" s="2">
        <v>119</v>
      </c>
      <c r="E217" s="2">
        <v>9</v>
      </c>
      <c r="F217" s="3">
        <v>44365</v>
      </c>
      <c r="G217" s="3">
        <v>44372</v>
      </c>
      <c r="H217" s="3">
        <v>44373</v>
      </c>
      <c r="I217" s="2">
        <v>50</v>
      </c>
      <c r="J217" s="29" t="s">
        <v>197</v>
      </c>
      <c r="K217" s="35"/>
      <c r="L217" s="35"/>
      <c r="M217" s="35"/>
      <c r="AZ217" s="17"/>
      <c r="BA217" s="2"/>
      <c r="BB217" s="2"/>
      <c r="BC217" s="2"/>
      <c r="BD217" s="2"/>
      <c r="BE217" s="3"/>
      <c r="BF217" s="3"/>
      <c r="BG217" s="3"/>
      <c r="BH217" s="2"/>
      <c r="BI217" s="18"/>
    </row>
    <row r="218" spans="1:61">
      <c r="A218" s="29">
        <v>220</v>
      </c>
      <c r="B218" s="2">
        <v>17</v>
      </c>
      <c r="C218" s="2">
        <v>6</v>
      </c>
      <c r="D218" s="2">
        <v>119</v>
      </c>
      <c r="E218" s="2">
        <v>9</v>
      </c>
      <c r="F218" s="3">
        <v>44365</v>
      </c>
      <c r="G218" s="3">
        <v>44372</v>
      </c>
      <c r="H218" s="3">
        <v>44373</v>
      </c>
      <c r="I218" s="2">
        <v>60</v>
      </c>
      <c r="J218" s="29" t="s">
        <v>197</v>
      </c>
      <c r="K218" s="35"/>
      <c r="L218" s="35"/>
      <c r="M218" s="35"/>
      <c r="AZ218" s="17"/>
      <c r="BA218" s="2"/>
      <c r="BB218" s="2"/>
      <c r="BC218" s="2"/>
      <c r="BD218" s="2"/>
      <c r="BE218" s="3"/>
      <c r="BF218" s="3"/>
      <c r="BG218" s="3"/>
      <c r="BH218" s="2"/>
      <c r="BI218" s="18"/>
    </row>
    <row r="219" spans="1:61">
      <c r="A219" s="29">
        <v>221</v>
      </c>
      <c r="B219" s="2">
        <v>18</v>
      </c>
      <c r="C219" s="2">
        <v>6</v>
      </c>
      <c r="D219" s="2">
        <v>119</v>
      </c>
      <c r="E219" s="2">
        <v>9</v>
      </c>
      <c r="F219" s="3">
        <v>44365</v>
      </c>
      <c r="G219" s="3">
        <v>44372</v>
      </c>
      <c r="H219" s="3">
        <v>44373</v>
      </c>
      <c r="I219" s="2">
        <v>50</v>
      </c>
      <c r="J219" s="29" t="s">
        <v>197</v>
      </c>
      <c r="K219" s="35"/>
      <c r="L219" s="35"/>
      <c r="M219" s="35"/>
      <c r="AZ219" s="17"/>
      <c r="BA219" s="2"/>
      <c r="BB219" s="2"/>
      <c r="BC219" s="2"/>
      <c r="BD219" s="2"/>
      <c r="BE219" s="3"/>
      <c r="BF219" s="3"/>
      <c r="BG219" s="3"/>
      <c r="BH219" s="2"/>
      <c r="BI219" s="18"/>
    </row>
    <row r="220" spans="1:61">
      <c r="A220" s="29">
        <v>222</v>
      </c>
      <c r="B220" s="2">
        <v>19</v>
      </c>
      <c r="C220" s="2">
        <v>6</v>
      </c>
      <c r="D220" s="2">
        <v>119</v>
      </c>
      <c r="E220" s="2">
        <v>9</v>
      </c>
      <c r="F220" s="3">
        <v>44365</v>
      </c>
      <c r="G220" s="3">
        <v>44372</v>
      </c>
      <c r="H220" s="3">
        <v>44373</v>
      </c>
      <c r="I220" s="2">
        <v>40</v>
      </c>
      <c r="J220" s="29" t="s">
        <v>197</v>
      </c>
      <c r="K220" s="35"/>
      <c r="L220" s="35"/>
      <c r="M220" s="35"/>
      <c r="AZ220" s="17"/>
      <c r="BA220" s="2"/>
      <c r="BB220" s="2"/>
      <c r="BC220" s="2"/>
      <c r="BD220" s="2"/>
      <c r="BE220" s="3"/>
      <c r="BF220" s="3"/>
      <c r="BG220" s="3"/>
      <c r="BH220" s="2"/>
      <c r="BI220" s="18"/>
    </row>
    <row r="221" spans="1:61">
      <c r="A221" s="29">
        <v>223</v>
      </c>
      <c r="B221" s="2">
        <v>15</v>
      </c>
      <c r="C221" s="2">
        <v>6</v>
      </c>
      <c r="D221" s="2">
        <v>127</v>
      </c>
      <c r="E221" s="2">
        <v>10</v>
      </c>
      <c r="F221" s="3">
        <v>44365</v>
      </c>
      <c r="G221" s="3">
        <v>44372</v>
      </c>
      <c r="H221" s="3">
        <v>44373</v>
      </c>
      <c r="I221" s="2">
        <v>20</v>
      </c>
      <c r="J221" s="29" t="s">
        <v>197</v>
      </c>
      <c r="K221" s="35"/>
      <c r="L221" s="35"/>
      <c r="M221" s="35"/>
      <c r="AZ221" s="17"/>
      <c r="BA221" s="2"/>
      <c r="BB221" s="2"/>
      <c r="BC221" s="2"/>
      <c r="BD221" s="2"/>
      <c r="BE221" s="3"/>
      <c r="BF221" s="3"/>
      <c r="BG221" s="3"/>
      <c r="BH221" s="2"/>
      <c r="BI221" s="18"/>
    </row>
    <row r="222" spans="1:61">
      <c r="A222" s="29">
        <v>224</v>
      </c>
      <c r="B222" s="2">
        <v>16</v>
      </c>
      <c r="C222" s="2">
        <v>6</v>
      </c>
      <c r="D222" s="2">
        <v>127</v>
      </c>
      <c r="E222" s="2">
        <v>10</v>
      </c>
      <c r="F222" s="3">
        <v>44365</v>
      </c>
      <c r="G222" s="3">
        <v>44372</v>
      </c>
      <c r="H222" s="3">
        <v>44373</v>
      </c>
      <c r="I222" s="2">
        <v>30</v>
      </c>
      <c r="J222" s="29" t="s">
        <v>197</v>
      </c>
      <c r="K222" s="35"/>
      <c r="L222" s="35"/>
      <c r="M222" s="35"/>
      <c r="AZ222" s="17"/>
      <c r="BA222" s="2"/>
      <c r="BB222" s="2"/>
      <c r="BC222" s="2"/>
      <c r="BD222" s="2"/>
      <c r="BE222" s="3"/>
      <c r="BF222" s="3"/>
      <c r="BG222" s="3"/>
      <c r="BH222" s="2"/>
      <c r="BI222" s="18"/>
    </row>
    <row r="223" spans="1:61">
      <c r="A223" s="29">
        <v>225</v>
      </c>
      <c r="B223" s="2">
        <v>17</v>
      </c>
      <c r="C223" s="2">
        <v>6</v>
      </c>
      <c r="D223" s="2">
        <v>127</v>
      </c>
      <c r="E223" s="2">
        <v>10</v>
      </c>
      <c r="F223" s="3">
        <v>44365</v>
      </c>
      <c r="G223" s="3">
        <v>44372</v>
      </c>
      <c r="H223" s="3">
        <v>44373</v>
      </c>
      <c r="I223" s="2">
        <v>30</v>
      </c>
      <c r="J223" s="29" t="s">
        <v>197</v>
      </c>
      <c r="K223" s="35"/>
      <c r="L223" s="35"/>
      <c r="M223" s="35"/>
      <c r="AZ223" s="17"/>
      <c r="BA223" s="2"/>
      <c r="BB223" s="2"/>
      <c r="BC223" s="2"/>
      <c r="BD223" s="2"/>
      <c r="BE223" s="3"/>
      <c r="BF223" s="3"/>
      <c r="BG223" s="3"/>
      <c r="BH223" s="2"/>
      <c r="BI223" s="18"/>
    </row>
    <row r="224" spans="1:61">
      <c r="A224" s="29">
        <v>226</v>
      </c>
      <c r="B224" s="2">
        <v>18</v>
      </c>
      <c r="C224" s="2">
        <v>6</v>
      </c>
      <c r="D224" s="2">
        <v>127</v>
      </c>
      <c r="E224" s="2">
        <v>10</v>
      </c>
      <c r="F224" s="3">
        <v>44365</v>
      </c>
      <c r="G224" s="3">
        <v>44372</v>
      </c>
      <c r="H224" s="3">
        <v>44373</v>
      </c>
      <c r="I224" s="2">
        <v>30</v>
      </c>
      <c r="J224" s="29" t="s">
        <v>197</v>
      </c>
      <c r="K224" s="35"/>
      <c r="L224" s="35"/>
      <c r="M224" s="35"/>
      <c r="AZ224" s="17"/>
      <c r="BA224" s="2"/>
      <c r="BB224" s="2"/>
      <c r="BC224" s="2"/>
      <c r="BD224" s="2"/>
      <c r="BE224" s="3"/>
      <c r="BF224" s="3"/>
      <c r="BG224" s="3"/>
      <c r="BH224" s="2"/>
      <c r="BI224" s="18"/>
    </row>
    <row r="225" spans="1:61">
      <c r="A225" s="29">
        <v>227</v>
      </c>
      <c r="B225" s="2">
        <v>19</v>
      </c>
      <c r="C225" s="2">
        <v>6</v>
      </c>
      <c r="D225" s="2">
        <v>127</v>
      </c>
      <c r="E225" s="2">
        <v>10</v>
      </c>
      <c r="F225" s="3">
        <v>44365</v>
      </c>
      <c r="G225" s="3">
        <v>44372</v>
      </c>
      <c r="H225" s="3">
        <v>44373</v>
      </c>
      <c r="I225" s="2">
        <v>60</v>
      </c>
      <c r="J225" s="29" t="s">
        <v>197</v>
      </c>
      <c r="K225" s="35"/>
      <c r="L225" s="35"/>
      <c r="M225" s="35"/>
      <c r="AZ225" s="17"/>
      <c r="BA225" s="2"/>
      <c r="BB225" s="2"/>
      <c r="BC225" s="2"/>
      <c r="BD225" s="2"/>
      <c r="BE225" s="3"/>
      <c r="BF225" s="3"/>
      <c r="BG225" s="3"/>
      <c r="BH225" s="2"/>
      <c r="BI225" s="18"/>
    </row>
    <row r="226" spans="1:61">
      <c r="A226" s="29">
        <v>228</v>
      </c>
      <c r="B226" s="2">
        <v>11</v>
      </c>
      <c r="C226" s="2">
        <v>6</v>
      </c>
      <c r="D226" s="2">
        <v>127</v>
      </c>
      <c r="E226" s="2">
        <v>10</v>
      </c>
      <c r="F226" s="3">
        <v>44365</v>
      </c>
      <c r="G226" s="3">
        <v>44372</v>
      </c>
      <c r="H226" s="3">
        <v>44373</v>
      </c>
      <c r="I226" s="2">
        <v>50</v>
      </c>
      <c r="J226" s="29" t="s">
        <v>197</v>
      </c>
      <c r="K226" s="35"/>
      <c r="L226" s="35"/>
      <c r="M226" s="35"/>
      <c r="AZ226" s="17"/>
      <c r="BA226" s="2"/>
      <c r="BB226" s="2"/>
      <c r="BC226" s="2"/>
      <c r="BD226" s="2"/>
      <c r="BE226" s="3"/>
      <c r="BF226" s="3"/>
      <c r="BG226" s="3"/>
      <c r="BH226" s="2"/>
      <c r="BI226" s="18"/>
    </row>
    <row r="227" spans="1:61">
      <c r="A227" s="29">
        <v>229</v>
      </c>
      <c r="B227" s="2">
        <v>10</v>
      </c>
      <c r="C227" s="2">
        <v>6</v>
      </c>
      <c r="D227" s="2">
        <v>141</v>
      </c>
      <c r="E227" s="2">
        <v>11</v>
      </c>
      <c r="F227" s="3">
        <v>44365</v>
      </c>
      <c r="G227" s="3">
        <v>44372</v>
      </c>
      <c r="H227" s="3">
        <v>44373</v>
      </c>
      <c r="I227" s="2">
        <v>70</v>
      </c>
      <c r="J227" s="29" t="s">
        <v>197</v>
      </c>
      <c r="K227" s="35"/>
      <c r="L227" s="35"/>
      <c r="M227" s="35"/>
      <c r="AZ227" s="17"/>
      <c r="BA227" s="2"/>
      <c r="BB227" s="2"/>
      <c r="BC227" s="2"/>
      <c r="BD227" s="2"/>
      <c r="BE227" s="3"/>
      <c r="BF227" s="3"/>
      <c r="BG227" s="3"/>
      <c r="BH227" s="2"/>
      <c r="BI227" s="18"/>
    </row>
    <row r="228" spans="1:61">
      <c r="A228" s="29">
        <v>230</v>
      </c>
      <c r="B228" s="2">
        <v>20</v>
      </c>
      <c r="C228" s="2">
        <v>6</v>
      </c>
      <c r="D228" s="2">
        <v>141</v>
      </c>
      <c r="E228" s="2">
        <v>11</v>
      </c>
      <c r="F228" s="3">
        <v>44365</v>
      </c>
      <c r="G228" s="3">
        <v>44372</v>
      </c>
      <c r="H228" s="3">
        <v>44373</v>
      </c>
      <c r="I228" s="2">
        <v>70</v>
      </c>
      <c r="J228" s="29" t="s">
        <v>197</v>
      </c>
      <c r="K228" s="35"/>
      <c r="L228" s="35"/>
      <c r="M228" s="35"/>
      <c r="AZ228" s="17"/>
      <c r="BA228" s="2"/>
      <c r="BB228" s="2"/>
      <c r="BC228" s="2"/>
      <c r="BD228" s="2"/>
      <c r="BE228" s="3"/>
      <c r="BF228" s="3"/>
      <c r="BG228" s="3"/>
      <c r="BH228" s="2"/>
      <c r="BI228" s="18"/>
    </row>
    <row r="229" spans="1:61">
      <c r="A229" s="29">
        <v>231</v>
      </c>
      <c r="B229" s="2">
        <v>24</v>
      </c>
      <c r="C229" s="2">
        <v>6</v>
      </c>
      <c r="D229" s="2">
        <v>141</v>
      </c>
      <c r="E229" s="2">
        <v>11</v>
      </c>
      <c r="F229" s="3">
        <v>44365</v>
      </c>
      <c r="G229" s="3">
        <v>44372</v>
      </c>
      <c r="H229" s="3">
        <v>44373</v>
      </c>
      <c r="I229" s="2">
        <v>70</v>
      </c>
      <c r="J229" s="29" t="s">
        <v>197</v>
      </c>
      <c r="K229" s="35"/>
      <c r="L229" s="35"/>
      <c r="M229" s="35"/>
      <c r="AZ229" s="17"/>
      <c r="BA229" s="2"/>
      <c r="BB229" s="2"/>
      <c r="BC229" s="2"/>
      <c r="BD229" s="2"/>
      <c r="BE229" s="3"/>
      <c r="BF229" s="3"/>
      <c r="BG229" s="3"/>
      <c r="BH229" s="2"/>
      <c r="BI229" s="18"/>
    </row>
    <row r="230" spans="1:61">
      <c r="A230" s="29">
        <v>232</v>
      </c>
      <c r="B230" s="2">
        <v>25</v>
      </c>
      <c r="C230" s="2">
        <v>6</v>
      </c>
      <c r="D230" s="2">
        <v>141</v>
      </c>
      <c r="E230" s="2">
        <v>11</v>
      </c>
      <c r="F230" s="3">
        <v>44365</v>
      </c>
      <c r="G230" s="3">
        <v>44372</v>
      </c>
      <c r="H230" s="3">
        <v>44373</v>
      </c>
      <c r="I230" s="2">
        <v>0</v>
      </c>
      <c r="J230" s="29" t="s">
        <v>197</v>
      </c>
      <c r="K230" s="35"/>
      <c r="L230" s="35"/>
      <c r="M230" s="35"/>
      <c r="AZ230" s="17"/>
      <c r="BA230" s="2"/>
      <c r="BB230" s="2"/>
      <c r="BC230" s="2"/>
      <c r="BD230" s="2"/>
      <c r="BE230" s="3"/>
      <c r="BF230" s="3"/>
      <c r="BG230" s="3"/>
      <c r="BH230" s="2"/>
      <c r="BI230" s="18"/>
    </row>
    <row r="231" spans="1:61">
      <c r="A231" s="29">
        <v>233</v>
      </c>
      <c r="B231" s="2">
        <v>26</v>
      </c>
      <c r="C231" s="2">
        <v>6</v>
      </c>
      <c r="D231" s="2">
        <v>141</v>
      </c>
      <c r="E231" s="2">
        <v>11</v>
      </c>
      <c r="F231" s="3">
        <v>44365</v>
      </c>
      <c r="G231" s="3">
        <v>44372</v>
      </c>
      <c r="H231" s="3">
        <v>44373</v>
      </c>
      <c r="I231" s="2">
        <v>0</v>
      </c>
      <c r="J231" s="29" t="s">
        <v>197</v>
      </c>
      <c r="K231" s="35"/>
      <c r="L231" s="35"/>
      <c r="M231" s="35"/>
      <c r="AZ231" s="17"/>
      <c r="BA231" s="2"/>
      <c r="BB231" s="2"/>
      <c r="BC231" s="2"/>
      <c r="BD231" s="2"/>
      <c r="BE231" s="3"/>
      <c r="BF231" s="3"/>
      <c r="BG231" s="3"/>
      <c r="BH231" s="2"/>
      <c r="BI231" s="18"/>
    </row>
    <row r="232" spans="1:61">
      <c r="A232" s="29">
        <v>234</v>
      </c>
      <c r="B232" s="2">
        <v>27</v>
      </c>
      <c r="C232" s="2">
        <v>6</v>
      </c>
      <c r="D232" s="2">
        <v>141</v>
      </c>
      <c r="E232" s="2">
        <v>11</v>
      </c>
      <c r="F232" s="3">
        <v>44365</v>
      </c>
      <c r="G232" s="3">
        <v>44372</v>
      </c>
      <c r="H232" s="3">
        <v>44373</v>
      </c>
      <c r="I232" s="2">
        <v>40</v>
      </c>
      <c r="J232" s="29" t="s">
        <v>197</v>
      </c>
      <c r="K232" s="35"/>
      <c r="L232" s="35"/>
      <c r="M232" s="35"/>
      <c r="AZ232" s="17"/>
      <c r="BA232" s="2"/>
      <c r="BB232" s="2"/>
      <c r="BC232" s="2"/>
      <c r="BD232" s="2"/>
      <c r="BE232" s="3"/>
      <c r="BF232" s="3"/>
      <c r="BG232" s="3"/>
      <c r="BH232" s="2"/>
      <c r="BI232" s="18"/>
    </row>
    <row r="233" spans="1:61">
      <c r="A233" s="29">
        <v>235</v>
      </c>
      <c r="B233" s="2">
        <v>30</v>
      </c>
      <c r="C233" s="2">
        <v>6</v>
      </c>
      <c r="D233" s="2">
        <v>147</v>
      </c>
      <c r="E233" s="2">
        <v>12</v>
      </c>
      <c r="F233" s="3">
        <v>44365</v>
      </c>
      <c r="G233" s="3">
        <v>44372</v>
      </c>
      <c r="H233" s="3">
        <v>44373</v>
      </c>
      <c r="I233" s="2">
        <v>50</v>
      </c>
      <c r="J233" s="29" t="s">
        <v>197</v>
      </c>
      <c r="K233" s="35"/>
      <c r="L233" s="35"/>
      <c r="M233" s="35"/>
      <c r="AZ233" s="17"/>
      <c r="BA233" s="2"/>
      <c r="BB233" s="2"/>
      <c r="BC233" s="2"/>
      <c r="BD233" s="2"/>
      <c r="BE233" s="3"/>
      <c r="BF233" s="3"/>
      <c r="BG233" s="3"/>
      <c r="BH233" s="2"/>
      <c r="BI233" s="18"/>
    </row>
    <row r="234" spans="1:61">
      <c r="A234" s="29">
        <v>236</v>
      </c>
      <c r="B234" s="2">
        <v>29</v>
      </c>
      <c r="C234" s="2">
        <v>6</v>
      </c>
      <c r="D234" s="2">
        <v>147</v>
      </c>
      <c r="E234" s="2">
        <v>12</v>
      </c>
      <c r="F234" s="3">
        <v>44365</v>
      </c>
      <c r="G234" s="3">
        <v>44372</v>
      </c>
      <c r="H234" s="3">
        <v>44373</v>
      </c>
      <c r="I234" s="2">
        <v>60</v>
      </c>
      <c r="J234" s="29" t="s">
        <v>197</v>
      </c>
      <c r="K234" s="35"/>
      <c r="L234" s="35"/>
      <c r="M234" s="35"/>
      <c r="AZ234" s="17"/>
      <c r="BA234" s="2"/>
      <c r="BB234" s="2"/>
      <c r="BC234" s="2"/>
      <c r="BD234" s="2"/>
      <c r="BE234" s="3"/>
      <c r="BF234" s="3"/>
      <c r="BG234" s="3"/>
      <c r="BH234" s="2"/>
      <c r="BI234" s="18"/>
    </row>
    <row r="235" spans="1:61">
      <c r="A235" s="29">
        <v>237</v>
      </c>
      <c r="B235" s="2">
        <v>27</v>
      </c>
      <c r="C235" s="2">
        <v>6</v>
      </c>
      <c r="D235" s="2">
        <v>147</v>
      </c>
      <c r="E235" s="2">
        <v>12</v>
      </c>
      <c r="F235" s="3">
        <v>44365</v>
      </c>
      <c r="G235" s="3">
        <v>44372</v>
      </c>
      <c r="H235" s="3">
        <v>44373</v>
      </c>
      <c r="I235" s="2">
        <v>70</v>
      </c>
      <c r="J235" s="29" t="s">
        <v>197</v>
      </c>
      <c r="K235" s="35"/>
      <c r="L235" s="35"/>
      <c r="M235" s="35"/>
      <c r="AZ235" s="17"/>
      <c r="BA235" s="2"/>
      <c r="BB235" s="2"/>
      <c r="BC235" s="2"/>
      <c r="BD235" s="2"/>
      <c r="BE235" s="3"/>
      <c r="BF235" s="3"/>
      <c r="BG235" s="3"/>
      <c r="BH235" s="2"/>
      <c r="BI235" s="18"/>
    </row>
    <row r="236" spans="1:61">
      <c r="A236" s="29">
        <v>238</v>
      </c>
      <c r="B236" s="2">
        <v>25</v>
      </c>
      <c r="C236" s="2">
        <v>6</v>
      </c>
      <c r="D236" s="2">
        <v>147</v>
      </c>
      <c r="E236" s="2">
        <v>12</v>
      </c>
      <c r="F236" s="3">
        <v>44365</v>
      </c>
      <c r="G236" s="3">
        <v>44372</v>
      </c>
      <c r="H236" s="3">
        <v>44373</v>
      </c>
      <c r="I236" s="2">
        <v>70</v>
      </c>
      <c r="J236" s="29" t="s">
        <v>197</v>
      </c>
      <c r="K236" s="35"/>
      <c r="L236" s="35"/>
      <c r="M236" s="35"/>
      <c r="AZ236" s="17"/>
      <c r="BA236" s="2"/>
      <c r="BB236" s="2"/>
      <c r="BC236" s="2"/>
      <c r="BD236" s="2"/>
      <c r="BE236" s="3"/>
      <c r="BF236" s="3"/>
      <c r="BG236" s="3"/>
      <c r="BH236" s="2"/>
      <c r="BI236" s="18"/>
    </row>
    <row r="237" spans="1:61">
      <c r="A237" s="29">
        <v>239</v>
      </c>
      <c r="B237" s="2">
        <v>24</v>
      </c>
      <c r="C237" s="2">
        <v>6</v>
      </c>
      <c r="D237" s="2">
        <v>147</v>
      </c>
      <c r="E237" s="2">
        <v>12</v>
      </c>
      <c r="F237" s="3">
        <v>44365</v>
      </c>
      <c r="G237" s="3">
        <v>44372</v>
      </c>
      <c r="H237" s="3">
        <v>44373</v>
      </c>
      <c r="I237" s="2">
        <v>50</v>
      </c>
      <c r="J237" s="29" t="s">
        <v>197</v>
      </c>
      <c r="K237" s="35"/>
      <c r="L237" s="35"/>
      <c r="M237" s="35"/>
      <c r="AZ237" s="17"/>
      <c r="BA237" s="2"/>
      <c r="BB237" s="2"/>
      <c r="BC237" s="2"/>
      <c r="BD237" s="2"/>
      <c r="BE237" s="3"/>
      <c r="BF237" s="3"/>
      <c r="BG237" s="3"/>
      <c r="BH237" s="2"/>
      <c r="BI237" s="18"/>
    </row>
    <row r="238" spans="1:61">
      <c r="A238" s="29">
        <v>240</v>
      </c>
      <c r="B238" s="2">
        <v>22</v>
      </c>
      <c r="C238" s="2">
        <v>6</v>
      </c>
      <c r="D238" s="2">
        <v>147</v>
      </c>
      <c r="E238" s="2">
        <v>12</v>
      </c>
      <c r="F238" s="3">
        <v>44365</v>
      </c>
      <c r="G238" s="3">
        <v>44372</v>
      </c>
      <c r="H238" s="3">
        <v>44373</v>
      </c>
      <c r="I238" s="2">
        <v>80</v>
      </c>
      <c r="J238" s="29" t="s">
        <v>198</v>
      </c>
      <c r="K238" s="35"/>
      <c r="L238" s="35"/>
      <c r="M238" s="35"/>
      <c r="AZ238" s="17"/>
      <c r="BA238" s="2"/>
      <c r="BB238" s="2"/>
      <c r="BC238" s="2"/>
      <c r="BD238" s="2"/>
      <c r="BE238" s="3"/>
      <c r="BF238" s="3"/>
      <c r="BG238" s="3"/>
      <c r="BH238" s="2"/>
      <c r="BI238" s="18"/>
    </row>
    <row r="239" spans="1:61">
      <c r="A239" s="29">
        <v>241</v>
      </c>
      <c r="B239" s="2">
        <v>21</v>
      </c>
      <c r="C239" s="2">
        <v>6</v>
      </c>
      <c r="D239" s="2">
        <v>147</v>
      </c>
      <c r="E239" s="2">
        <v>12</v>
      </c>
      <c r="F239" s="3">
        <v>44365</v>
      </c>
      <c r="G239" s="3">
        <v>44372</v>
      </c>
      <c r="H239" s="3">
        <v>44373</v>
      </c>
      <c r="I239" s="2">
        <v>90</v>
      </c>
      <c r="J239" s="29" t="s">
        <v>198</v>
      </c>
      <c r="K239" s="35"/>
      <c r="L239" s="35"/>
      <c r="M239" s="35"/>
      <c r="AZ239" s="17"/>
      <c r="BA239" s="2"/>
      <c r="BB239" s="2"/>
      <c r="BC239" s="2"/>
      <c r="BD239" s="2"/>
      <c r="BE239" s="3"/>
      <c r="BF239" s="3"/>
      <c r="BG239" s="3"/>
      <c r="BH239" s="2"/>
      <c r="BI239" s="18"/>
    </row>
    <row r="240" spans="1:61">
      <c r="A240" s="29">
        <v>242</v>
      </c>
      <c r="B240" s="2">
        <v>5</v>
      </c>
      <c r="C240" s="2">
        <v>3</v>
      </c>
      <c r="D240" s="2">
        <v>81</v>
      </c>
      <c r="E240" s="2">
        <v>13</v>
      </c>
      <c r="F240" s="3">
        <v>44366</v>
      </c>
      <c r="G240" s="3">
        <v>44373</v>
      </c>
      <c r="H240" s="3">
        <v>44373</v>
      </c>
      <c r="I240" s="2">
        <v>50</v>
      </c>
      <c r="J240" s="29" t="s">
        <v>197</v>
      </c>
      <c r="K240" s="35"/>
      <c r="L240" s="35"/>
      <c r="M240" s="35"/>
      <c r="AZ240" s="17"/>
      <c r="BA240" s="2"/>
      <c r="BB240" s="2"/>
      <c r="BC240" s="2"/>
      <c r="BD240" s="2"/>
      <c r="BE240" s="3"/>
      <c r="BF240" s="3"/>
      <c r="BG240" s="3"/>
      <c r="BH240" s="2"/>
      <c r="BI240" s="18"/>
    </row>
    <row r="241" spans="1:61">
      <c r="A241" s="29">
        <v>243</v>
      </c>
      <c r="B241" s="2">
        <v>6</v>
      </c>
      <c r="C241" s="2">
        <v>3</v>
      </c>
      <c r="D241" s="2">
        <v>81</v>
      </c>
      <c r="E241" s="2">
        <v>13</v>
      </c>
      <c r="F241" s="3">
        <v>44366</v>
      </c>
      <c r="G241" s="3">
        <v>44373</v>
      </c>
      <c r="H241" s="3">
        <v>44373</v>
      </c>
      <c r="I241" s="2">
        <v>40</v>
      </c>
      <c r="J241" s="29" t="s">
        <v>197</v>
      </c>
      <c r="K241" s="35"/>
      <c r="L241" s="35"/>
      <c r="M241" s="35"/>
      <c r="AZ241" s="17"/>
      <c r="BA241" s="2"/>
      <c r="BB241" s="2"/>
      <c r="BC241" s="2"/>
      <c r="BD241" s="2"/>
      <c r="BE241" s="3"/>
      <c r="BF241" s="3"/>
      <c r="BG241" s="3"/>
      <c r="BH241" s="2"/>
      <c r="BI241" s="18"/>
    </row>
    <row r="242" spans="1:61">
      <c r="A242" s="29">
        <v>327</v>
      </c>
      <c r="B242" s="2">
        <v>7</v>
      </c>
      <c r="C242" s="2">
        <v>1</v>
      </c>
      <c r="D242" s="2">
        <v>74</v>
      </c>
      <c r="E242" s="2">
        <v>23</v>
      </c>
      <c r="F242" s="3">
        <v>44376</v>
      </c>
      <c r="G242" s="3">
        <v>44383</v>
      </c>
      <c r="H242" s="3">
        <v>44384</v>
      </c>
      <c r="I242" s="2">
        <v>20</v>
      </c>
      <c r="J242" s="29" t="s">
        <v>197</v>
      </c>
      <c r="K242" s="35"/>
      <c r="L242" s="35"/>
      <c r="M242" s="35"/>
      <c r="AZ242" s="17"/>
      <c r="BA242" s="2"/>
      <c r="BB242" s="2"/>
      <c r="BC242" s="2"/>
      <c r="BD242" s="2"/>
      <c r="BE242" s="3"/>
      <c r="BF242" s="3"/>
      <c r="BG242" s="3"/>
      <c r="BH242" s="2"/>
      <c r="BI242" s="18"/>
    </row>
    <row r="243" spans="1:61">
      <c r="A243" s="29">
        <v>245</v>
      </c>
      <c r="B243" s="2">
        <v>8</v>
      </c>
      <c r="C243" s="2">
        <v>3</v>
      </c>
      <c r="D243" s="2">
        <v>81</v>
      </c>
      <c r="E243" s="2">
        <v>13</v>
      </c>
      <c r="F243" s="3">
        <v>44366</v>
      </c>
      <c r="G243" s="3">
        <v>44373</v>
      </c>
      <c r="H243" s="3">
        <v>44373</v>
      </c>
      <c r="I243" s="2">
        <v>50</v>
      </c>
      <c r="J243" s="29" t="s">
        <v>197</v>
      </c>
      <c r="K243" s="35"/>
      <c r="L243" s="35"/>
      <c r="M243" s="35"/>
      <c r="AZ243" s="17"/>
      <c r="BA243" s="2"/>
      <c r="BB243" s="2"/>
      <c r="BC243" s="2"/>
      <c r="BD243" s="2"/>
      <c r="BE243" s="3"/>
      <c r="BF243" s="3"/>
      <c r="BG243" s="3"/>
      <c r="BH243" s="2"/>
      <c r="BI243" s="18"/>
    </row>
    <row r="244" spans="1:61">
      <c r="A244" s="29">
        <v>246</v>
      </c>
      <c r="B244" s="2">
        <v>15</v>
      </c>
      <c r="C244" s="2">
        <v>6</v>
      </c>
      <c r="D244" s="2">
        <v>148</v>
      </c>
      <c r="E244" s="2">
        <v>13</v>
      </c>
      <c r="F244" s="3">
        <v>44366</v>
      </c>
      <c r="G244" s="3">
        <v>44373</v>
      </c>
      <c r="H244" s="3">
        <v>44374</v>
      </c>
      <c r="I244" s="2">
        <v>100</v>
      </c>
      <c r="J244" s="29" t="s">
        <v>198</v>
      </c>
      <c r="K244" s="35"/>
      <c r="L244" s="35"/>
      <c r="M244" s="35"/>
      <c r="AZ244" s="17"/>
      <c r="BA244" s="2"/>
      <c r="BB244" s="2"/>
      <c r="BC244" s="2"/>
      <c r="BD244" s="2"/>
      <c r="BE244" s="3"/>
      <c r="BF244" s="3"/>
      <c r="BG244" s="3"/>
      <c r="BH244" s="2"/>
      <c r="BI244" s="18"/>
    </row>
    <row r="245" spans="1:61">
      <c r="A245" s="29">
        <v>247</v>
      </c>
      <c r="B245" s="2">
        <v>14</v>
      </c>
      <c r="C245" s="2">
        <v>6</v>
      </c>
      <c r="D245" s="2">
        <v>148</v>
      </c>
      <c r="E245" s="2">
        <v>13</v>
      </c>
      <c r="F245" s="3">
        <v>44366</v>
      </c>
      <c r="G245" s="3">
        <v>44373</v>
      </c>
      <c r="H245" s="3">
        <v>44374</v>
      </c>
      <c r="I245" s="2">
        <v>50</v>
      </c>
      <c r="J245" s="29" t="s">
        <v>197</v>
      </c>
      <c r="K245" s="35"/>
      <c r="L245" s="35"/>
      <c r="M245" s="35"/>
      <c r="AZ245" s="17"/>
      <c r="BA245" s="2"/>
      <c r="BB245" s="2"/>
      <c r="BC245" s="2"/>
      <c r="BD245" s="2"/>
      <c r="BE245" s="3"/>
      <c r="BF245" s="3"/>
      <c r="BG245" s="3"/>
      <c r="BH245" s="2"/>
      <c r="BI245" s="18"/>
    </row>
    <row r="246" spans="1:61">
      <c r="A246" s="29">
        <v>248</v>
      </c>
      <c r="B246" s="2">
        <v>11</v>
      </c>
      <c r="C246" s="2">
        <v>6</v>
      </c>
      <c r="D246" s="2">
        <v>148</v>
      </c>
      <c r="E246" s="2">
        <v>13</v>
      </c>
      <c r="F246" s="3">
        <v>44366</v>
      </c>
      <c r="G246" s="3">
        <v>44373</v>
      </c>
      <c r="H246" s="3">
        <v>44374</v>
      </c>
      <c r="I246" s="2">
        <v>90</v>
      </c>
      <c r="J246" s="29" t="s">
        <v>198</v>
      </c>
      <c r="K246" s="35"/>
      <c r="L246" s="35"/>
      <c r="M246" s="35"/>
      <c r="AZ246" s="17"/>
      <c r="BA246" s="2"/>
      <c r="BB246" s="2"/>
      <c r="BC246" s="2"/>
      <c r="BD246" s="2"/>
      <c r="BE246" s="3"/>
      <c r="BF246" s="3"/>
      <c r="BG246" s="3"/>
      <c r="BH246" s="2"/>
      <c r="BI246" s="18"/>
    </row>
    <row r="247" spans="1:61">
      <c r="A247" s="29">
        <v>249</v>
      </c>
      <c r="B247" s="2">
        <v>12</v>
      </c>
      <c r="C247" s="2">
        <v>6</v>
      </c>
      <c r="D247" s="2">
        <v>148</v>
      </c>
      <c r="E247" s="2">
        <v>13</v>
      </c>
      <c r="F247" s="3">
        <v>44366</v>
      </c>
      <c r="G247" s="3">
        <v>44373</v>
      </c>
      <c r="H247" s="3">
        <v>44374</v>
      </c>
      <c r="I247" s="2">
        <v>80</v>
      </c>
      <c r="J247" s="29" t="s">
        <v>198</v>
      </c>
      <c r="K247" s="35"/>
      <c r="L247" s="35"/>
      <c r="M247" s="35"/>
      <c r="AZ247" s="17"/>
      <c r="BA247" s="2"/>
      <c r="BB247" s="2"/>
      <c r="BC247" s="2"/>
      <c r="BD247" s="2"/>
      <c r="BE247" s="3"/>
      <c r="BF247" s="3"/>
      <c r="BG247" s="3"/>
      <c r="BH247" s="2"/>
      <c r="BI247" s="18"/>
    </row>
    <row r="248" spans="1:61">
      <c r="A248" s="29">
        <v>250</v>
      </c>
      <c r="B248" s="2">
        <v>2</v>
      </c>
      <c r="C248" s="2">
        <v>6</v>
      </c>
      <c r="D248" s="2">
        <v>148</v>
      </c>
      <c r="E248" s="2">
        <v>13</v>
      </c>
      <c r="F248" s="3">
        <v>44366</v>
      </c>
      <c r="G248" s="3">
        <v>44373</v>
      </c>
      <c r="H248" s="3">
        <v>44374</v>
      </c>
      <c r="I248" s="2">
        <v>90</v>
      </c>
      <c r="J248" s="29" t="s">
        <v>198</v>
      </c>
      <c r="K248" s="35"/>
      <c r="L248" s="35"/>
      <c r="M248" s="35"/>
      <c r="AZ248" s="17"/>
      <c r="BA248" s="2"/>
      <c r="BB248" s="2"/>
      <c r="BC248" s="2"/>
      <c r="BD248" s="2"/>
      <c r="BE248" s="3"/>
      <c r="BF248" s="3"/>
      <c r="BG248" s="3"/>
      <c r="BH248" s="2"/>
      <c r="BI248" s="18"/>
    </row>
    <row r="249" spans="1:61">
      <c r="A249" s="29">
        <v>251</v>
      </c>
      <c r="B249" s="2">
        <v>4</v>
      </c>
      <c r="C249" s="2">
        <v>6</v>
      </c>
      <c r="D249" s="2">
        <v>148</v>
      </c>
      <c r="E249" s="2">
        <v>13</v>
      </c>
      <c r="F249" s="3">
        <v>44366</v>
      </c>
      <c r="G249" s="3">
        <v>44373</v>
      </c>
      <c r="H249" s="3">
        <v>44374</v>
      </c>
      <c r="I249" s="2">
        <v>90</v>
      </c>
      <c r="J249" s="29" t="s">
        <v>198</v>
      </c>
      <c r="K249" s="35"/>
      <c r="L249" s="35"/>
      <c r="M249" s="35"/>
      <c r="AZ249" s="17"/>
      <c r="BA249" s="2"/>
      <c r="BB249" s="2"/>
      <c r="BC249" s="2"/>
      <c r="BD249" s="2"/>
      <c r="BE249" s="3"/>
      <c r="BF249" s="3"/>
      <c r="BG249" s="3"/>
      <c r="BH249" s="2"/>
      <c r="BI249" s="18"/>
    </row>
    <row r="250" spans="1:61">
      <c r="A250" s="29">
        <v>252</v>
      </c>
      <c r="B250" s="2">
        <v>9</v>
      </c>
      <c r="C250" s="2">
        <v>3</v>
      </c>
      <c r="D250" s="2">
        <v>84</v>
      </c>
      <c r="E250" s="2">
        <v>14</v>
      </c>
      <c r="F250" s="3">
        <v>44368</v>
      </c>
      <c r="G250" s="3">
        <v>44375</v>
      </c>
      <c r="H250" s="3">
        <v>44375</v>
      </c>
      <c r="I250" s="2">
        <v>30</v>
      </c>
      <c r="J250" s="29" t="s">
        <v>197</v>
      </c>
      <c r="K250" s="35"/>
      <c r="L250" s="35"/>
      <c r="M250" s="35"/>
      <c r="AZ250" s="17"/>
      <c r="BA250" s="2"/>
      <c r="BB250" s="2"/>
      <c r="BC250" s="2"/>
      <c r="BD250" s="2"/>
      <c r="BE250" s="3"/>
      <c r="BF250" s="3"/>
      <c r="BG250" s="3"/>
      <c r="BH250" s="2"/>
      <c r="BI250" s="18"/>
    </row>
    <row r="251" spans="1:61">
      <c r="A251" s="29">
        <v>253</v>
      </c>
      <c r="B251" s="2">
        <v>10</v>
      </c>
      <c r="C251" s="2">
        <v>3</v>
      </c>
      <c r="D251" s="2">
        <v>84</v>
      </c>
      <c r="E251" s="2">
        <v>14</v>
      </c>
      <c r="F251" s="3">
        <v>44368</v>
      </c>
      <c r="G251" s="3">
        <v>44375</v>
      </c>
      <c r="H251" s="3">
        <v>44375</v>
      </c>
      <c r="I251" s="2">
        <v>40</v>
      </c>
      <c r="J251" s="29" t="s">
        <v>197</v>
      </c>
      <c r="K251" s="35"/>
      <c r="L251" s="35"/>
      <c r="M251" s="35"/>
      <c r="AZ251" s="17"/>
      <c r="BA251" s="2"/>
      <c r="BB251" s="2"/>
      <c r="BC251" s="2"/>
      <c r="BD251" s="2"/>
      <c r="BE251" s="3"/>
      <c r="BF251" s="3"/>
      <c r="BG251" s="3"/>
      <c r="BH251" s="2"/>
      <c r="BI251" s="18"/>
    </row>
    <row r="252" spans="1:61">
      <c r="A252" s="29">
        <v>254</v>
      </c>
      <c r="B252" s="2">
        <v>11</v>
      </c>
      <c r="C252" s="2">
        <v>3</v>
      </c>
      <c r="D252" s="2">
        <v>84</v>
      </c>
      <c r="E252" s="2">
        <v>14</v>
      </c>
      <c r="F252" s="3">
        <v>44368</v>
      </c>
      <c r="G252" s="3">
        <v>44375</v>
      </c>
      <c r="H252" s="3">
        <v>44375</v>
      </c>
      <c r="I252" s="2">
        <v>60</v>
      </c>
      <c r="J252" s="29" t="s">
        <v>197</v>
      </c>
      <c r="K252" s="35"/>
      <c r="L252" s="35"/>
      <c r="M252" s="35"/>
      <c r="AZ252" s="17"/>
      <c r="BA252" s="2"/>
      <c r="BB252" s="2"/>
      <c r="BC252" s="2"/>
      <c r="BD252" s="2"/>
      <c r="BE252" s="3"/>
      <c r="BF252" s="3"/>
      <c r="BG252" s="3"/>
      <c r="BH252" s="2"/>
      <c r="BI252" s="18"/>
    </row>
    <row r="253" spans="1:61">
      <c r="A253" s="29">
        <v>255</v>
      </c>
      <c r="B253" s="2">
        <v>12</v>
      </c>
      <c r="C253" s="2">
        <v>3</v>
      </c>
      <c r="D253" s="2">
        <v>84</v>
      </c>
      <c r="E253" s="2">
        <v>14</v>
      </c>
      <c r="F253" s="3">
        <v>44368</v>
      </c>
      <c r="G253" s="3">
        <v>44375</v>
      </c>
      <c r="H253" s="3">
        <v>44375</v>
      </c>
      <c r="I253" s="2">
        <v>50</v>
      </c>
      <c r="J253" s="29" t="s">
        <v>197</v>
      </c>
      <c r="K253" s="35"/>
      <c r="L253" s="35"/>
      <c r="M253" s="35"/>
      <c r="AZ253" s="17"/>
      <c r="BA253" s="2"/>
      <c r="BB253" s="2"/>
      <c r="BC253" s="2"/>
      <c r="BD253" s="2"/>
      <c r="BE253" s="3"/>
      <c r="BF253" s="3"/>
      <c r="BG253" s="3"/>
      <c r="BH253" s="2"/>
      <c r="BI253" s="18"/>
    </row>
    <row r="254" spans="1:61">
      <c r="A254" s="29">
        <v>256</v>
      </c>
      <c r="B254" s="2">
        <v>20</v>
      </c>
      <c r="C254" s="2">
        <v>3</v>
      </c>
      <c r="D254" s="2">
        <v>84</v>
      </c>
      <c r="E254" s="2">
        <v>14</v>
      </c>
      <c r="F254" s="3">
        <v>44368</v>
      </c>
      <c r="G254" s="3">
        <v>44375</v>
      </c>
      <c r="H254" s="3">
        <v>44375</v>
      </c>
      <c r="I254" s="2">
        <v>50</v>
      </c>
      <c r="J254" s="29" t="s">
        <v>197</v>
      </c>
      <c r="K254" s="35"/>
      <c r="L254" s="35"/>
      <c r="M254" s="35"/>
      <c r="AZ254" s="17"/>
      <c r="BA254" s="2"/>
      <c r="BB254" s="2"/>
      <c r="BC254" s="2"/>
      <c r="BD254" s="2"/>
      <c r="BE254" s="3"/>
      <c r="BF254" s="3"/>
      <c r="BG254" s="3"/>
      <c r="BH254" s="2"/>
      <c r="BI254" s="18"/>
    </row>
    <row r="255" spans="1:61">
      <c r="A255" s="29">
        <v>257</v>
      </c>
      <c r="B255" s="2">
        <v>25</v>
      </c>
      <c r="C255" s="2">
        <v>3</v>
      </c>
      <c r="D255" s="2">
        <v>90</v>
      </c>
      <c r="E255" s="2">
        <v>15</v>
      </c>
      <c r="F255" s="3">
        <v>44368</v>
      </c>
      <c r="G255" s="3">
        <v>44375</v>
      </c>
      <c r="H255" s="3">
        <v>44375</v>
      </c>
      <c r="I255" s="2">
        <v>0</v>
      </c>
      <c r="J255" s="29" t="s">
        <v>197</v>
      </c>
      <c r="K255" s="35"/>
      <c r="L255" s="35"/>
      <c r="M255" s="35"/>
      <c r="AZ255" s="17"/>
      <c r="BA255" s="2"/>
      <c r="BB255" s="2"/>
      <c r="BC255" s="2"/>
      <c r="BD255" s="2"/>
      <c r="BE255" s="3"/>
      <c r="BF255" s="3"/>
      <c r="BG255" s="3"/>
      <c r="BH255" s="2"/>
      <c r="BI255" s="18"/>
    </row>
    <row r="256" spans="1:61">
      <c r="A256" s="29">
        <v>258</v>
      </c>
      <c r="B256" s="2">
        <v>26</v>
      </c>
      <c r="C256" s="2">
        <v>3</v>
      </c>
      <c r="D256" s="2">
        <v>90</v>
      </c>
      <c r="E256" s="2">
        <v>15</v>
      </c>
      <c r="F256" s="3">
        <v>44368</v>
      </c>
      <c r="G256" s="3">
        <v>44375</v>
      </c>
      <c r="H256" s="3">
        <v>44375</v>
      </c>
      <c r="I256" s="2">
        <v>20</v>
      </c>
      <c r="J256" s="29" t="s">
        <v>197</v>
      </c>
      <c r="K256" s="35"/>
      <c r="L256" s="35"/>
      <c r="M256" s="35"/>
      <c r="AZ256" s="17"/>
      <c r="BA256" s="2"/>
      <c r="BB256" s="2"/>
      <c r="BC256" s="2"/>
      <c r="BD256" s="2"/>
      <c r="BE256" s="3"/>
      <c r="BF256" s="3"/>
      <c r="BG256" s="3"/>
      <c r="BH256" s="2"/>
      <c r="BI256" s="18"/>
    </row>
    <row r="257" spans="1:61">
      <c r="A257" s="29">
        <v>259</v>
      </c>
      <c r="B257" s="2">
        <v>27</v>
      </c>
      <c r="C257" s="2">
        <v>3</v>
      </c>
      <c r="D257" s="2">
        <v>90</v>
      </c>
      <c r="E257" s="2">
        <v>15</v>
      </c>
      <c r="F257" s="3">
        <v>44368</v>
      </c>
      <c r="G257" s="3">
        <v>44375</v>
      </c>
      <c r="H257" s="3">
        <v>44375</v>
      </c>
      <c r="I257" s="2">
        <v>50</v>
      </c>
      <c r="J257" s="29" t="s">
        <v>197</v>
      </c>
      <c r="K257" s="35"/>
      <c r="L257" s="35"/>
      <c r="M257" s="35"/>
      <c r="AZ257" s="17"/>
      <c r="BA257" s="2"/>
      <c r="BB257" s="2"/>
      <c r="BC257" s="2"/>
      <c r="BD257" s="2"/>
      <c r="BE257" s="3"/>
      <c r="BF257" s="3"/>
      <c r="BG257" s="3"/>
      <c r="BH257" s="2"/>
      <c r="BI257" s="18"/>
    </row>
    <row r="258" spans="1:61">
      <c r="A258" s="29">
        <v>260</v>
      </c>
      <c r="B258" s="2">
        <v>28</v>
      </c>
      <c r="C258" s="2">
        <v>3</v>
      </c>
      <c r="D258" s="2">
        <v>90</v>
      </c>
      <c r="E258" s="2">
        <v>15</v>
      </c>
      <c r="F258" s="3">
        <v>44368</v>
      </c>
      <c r="G258" s="3">
        <v>44375</v>
      </c>
      <c r="H258" s="3">
        <v>44375</v>
      </c>
      <c r="I258" s="2">
        <v>40</v>
      </c>
      <c r="J258" s="29" t="s">
        <v>197</v>
      </c>
      <c r="K258" s="35"/>
      <c r="L258" s="35"/>
      <c r="M258" s="35"/>
      <c r="AZ258" s="17"/>
      <c r="BA258" s="2"/>
      <c r="BB258" s="2"/>
      <c r="BC258" s="2"/>
      <c r="BD258" s="2"/>
      <c r="BE258" s="3"/>
      <c r="BF258" s="3"/>
      <c r="BG258" s="3"/>
      <c r="BH258" s="2"/>
      <c r="BI258" s="18"/>
    </row>
    <row r="259" spans="1:61">
      <c r="A259" s="29">
        <v>261</v>
      </c>
      <c r="B259" s="2">
        <v>29</v>
      </c>
      <c r="C259" s="2">
        <v>3</v>
      </c>
      <c r="D259" s="2">
        <v>90</v>
      </c>
      <c r="E259" s="2">
        <v>15</v>
      </c>
      <c r="F259" s="3">
        <v>44368</v>
      </c>
      <c r="G259" s="3">
        <v>44375</v>
      </c>
      <c r="H259" s="3">
        <v>44375</v>
      </c>
      <c r="I259" s="2">
        <v>30</v>
      </c>
      <c r="J259" s="29" t="s">
        <v>197</v>
      </c>
      <c r="K259" s="35"/>
      <c r="L259" s="35"/>
      <c r="M259" s="35"/>
      <c r="AZ259" s="17"/>
      <c r="BA259" s="2"/>
      <c r="BB259" s="2"/>
      <c r="BC259" s="2"/>
      <c r="BD259" s="2"/>
      <c r="BE259" s="3"/>
      <c r="BF259" s="3"/>
      <c r="BG259" s="3"/>
      <c r="BH259" s="2"/>
      <c r="BI259" s="18"/>
    </row>
    <row r="260" spans="1:61">
      <c r="A260" s="29">
        <v>262</v>
      </c>
      <c r="B260" s="2">
        <v>26</v>
      </c>
      <c r="C260" s="2">
        <v>3</v>
      </c>
      <c r="D260" s="2">
        <v>95</v>
      </c>
      <c r="E260" s="2">
        <v>16</v>
      </c>
      <c r="F260" s="3">
        <v>44368</v>
      </c>
      <c r="G260" s="3">
        <v>44375</v>
      </c>
      <c r="H260" s="3">
        <v>44375</v>
      </c>
      <c r="I260" s="2">
        <v>20</v>
      </c>
      <c r="J260" s="29" t="s">
        <v>197</v>
      </c>
      <c r="K260" s="35"/>
      <c r="L260" s="35"/>
      <c r="M260" s="35"/>
      <c r="AZ260" s="17"/>
      <c r="BA260" s="2"/>
      <c r="BB260" s="2"/>
      <c r="BC260" s="2"/>
      <c r="BD260" s="2"/>
      <c r="BE260" s="3"/>
      <c r="BF260" s="3"/>
      <c r="BG260" s="3"/>
      <c r="BH260" s="2"/>
      <c r="BI260" s="18"/>
    </row>
    <row r="261" spans="1:61">
      <c r="A261" s="29">
        <v>263</v>
      </c>
      <c r="B261" s="2">
        <v>27</v>
      </c>
      <c r="C261" s="2">
        <v>3</v>
      </c>
      <c r="D261" s="2">
        <v>95</v>
      </c>
      <c r="E261" s="2">
        <v>16</v>
      </c>
      <c r="F261" s="3">
        <v>44368</v>
      </c>
      <c r="G261" s="3">
        <v>44375</v>
      </c>
      <c r="H261" s="3">
        <v>44375</v>
      </c>
      <c r="I261" s="2">
        <v>30</v>
      </c>
      <c r="J261" s="29" t="s">
        <v>197</v>
      </c>
      <c r="K261" s="35"/>
      <c r="L261" s="35"/>
      <c r="M261" s="35"/>
      <c r="AZ261" s="17"/>
      <c r="BA261" s="2"/>
      <c r="BB261" s="2"/>
      <c r="BC261" s="2"/>
      <c r="BD261" s="2"/>
      <c r="BE261" s="3"/>
      <c r="BF261" s="3"/>
      <c r="BG261" s="3"/>
      <c r="BH261" s="2"/>
      <c r="BI261" s="18"/>
    </row>
    <row r="262" spans="1:61">
      <c r="A262" s="29">
        <v>264</v>
      </c>
      <c r="B262" s="2">
        <v>28</v>
      </c>
      <c r="C262" s="2">
        <v>3</v>
      </c>
      <c r="D262" s="2">
        <v>95</v>
      </c>
      <c r="E262" s="2">
        <v>16</v>
      </c>
      <c r="F262" s="3">
        <v>44368</v>
      </c>
      <c r="G262" s="3">
        <v>44375</v>
      </c>
      <c r="H262" s="3">
        <v>44375</v>
      </c>
      <c r="I262" s="2">
        <v>60</v>
      </c>
      <c r="J262" s="29" t="s">
        <v>197</v>
      </c>
      <c r="K262" s="35"/>
      <c r="L262" s="35"/>
      <c r="M262" s="35"/>
      <c r="AZ262" s="17"/>
      <c r="BA262" s="2"/>
      <c r="BB262" s="2"/>
      <c r="BC262" s="2"/>
      <c r="BD262" s="2"/>
      <c r="BE262" s="3"/>
      <c r="BF262" s="3"/>
      <c r="BG262" s="3"/>
      <c r="BH262" s="2"/>
      <c r="BI262" s="18"/>
    </row>
    <row r="263" spans="1:61">
      <c r="A263" s="29">
        <v>265</v>
      </c>
      <c r="B263" s="2">
        <v>30</v>
      </c>
      <c r="C263" s="2">
        <v>3</v>
      </c>
      <c r="D263" s="2">
        <v>95</v>
      </c>
      <c r="E263" s="2">
        <v>16</v>
      </c>
      <c r="F263" s="3">
        <v>44368</v>
      </c>
      <c r="G263" s="3">
        <v>44375</v>
      </c>
      <c r="H263" s="3">
        <v>44375</v>
      </c>
      <c r="I263" s="2">
        <v>10</v>
      </c>
      <c r="J263" s="29" t="s">
        <v>197</v>
      </c>
      <c r="K263" s="35"/>
      <c r="L263" s="35"/>
      <c r="M263" s="35"/>
      <c r="AZ263" s="17"/>
      <c r="BA263" s="2"/>
      <c r="BB263" s="2"/>
      <c r="BC263" s="2"/>
      <c r="BD263" s="2"/>
      <c r="BE263" s="3"/>
      <c r="BF263" s="3"/>
      <c r="BG263" s="3"/>
      <c r="BH263" s="2"/>
      <c r="BI263" s="18"/>
    </row>
    <row r="264" spans="1:61">
      <c r="A264" s="29">
        <v>266</v>
      </c>
      <c r="B264" s="2">
        <v>3</v>
      </c>
      <c r="C264" s="2">
        <v>3</v>
      </c>
      <c r="D264" s="2">
        <v>95</v>
      </c>
      <c r="E264" s="2">
        <v>16</v>
      </c>
      <c r="F264" s="3">
        <v>44368</v>
      </c>
      <c r="G264" s="3">
        <v>44375</v>
      </c>
      <c r="H264" s="3">
        <v>44375</v>
      </c>
      <c r="I264" s="2">
        <v>60</v>
      </c>
      <c r="J264" s="29" t="s">
        <v>197</v>
      </c>
      <c r="K264" s="35"/>
      <c r="L264" s="35"/>
      <c r="M264" s="35"/>
      <c r="AZ264" s="17"/>
      <c r="BA264" s="2"/>
      <c r="BB264" s="2"/>
      <c r="BC264" s="2"/>
      <c r="BD264" s="2"/>
      <c r="BE264" s="3"/>
      <c r="BF264" s="3"/>
      <c r="BG264" s="3"/>
      <c r="BH264" s="2"/>
      <c r="BI264" s="18"/>
    </row>
    <row r="265" spans="1:61">
      <c r="A265" s="29">
        <v>267</v>
      </c>
      <c r="B265" s="2">
        <v>15</v>
      </c>
      <c r="C265" s="2">
        <v>3</v>
      </c>
      <c r="D265" s="2">
        <v>98</v>
      </c>
      <c r="E265" s="2">
        <v>17</v>
      </c>
      <c r="F265" s="3">
        <v>44368</v>
      </c>
      <c r="G265" s="3">
        <v>44375</v>
      </c>
      <c r="H265" s="3">
        <v>44375</v>
      </c>
      <c r="I265" s="2">
        <v>0</v>
      </c>
      <c r="J265" s="29" t="s">
        <v>197</v>
      </c>
      <c r="K265" s="35"/>
      <c r="L265" s="35"/>
      <c r="M265" s="35"/>
      <c r="AZ265" s="17"/>
      <c r="BA265" s="2"/>
      <c r="BB265" s="2"/>
      <c r="BC265" s="2"/>
      <c r="BD265" s="2"/>
      <c r="BE265" s="3"/>
      <c r="BF265" s="3"/>
      <c r="BG265" s="3"/>
      <c r="BH265" s="2"/>
      <c r="BI265" s="18"/>
    </row>
    <row r="266" spans="1:61">
      <c r="A266" s="29">
        <v>268</v>
      </c>
      <c r="B266" s="2">
        <v>26</v>
      </c>
      <c r="C266" s="2">
        <v>3</v>
      </c>
      <c r="D266" s="2">
        <v>98</v>
      </c>
      <c r="E266" s="2">
        <v>17</v>
      </c>
      <c r="F266" s="3">
        <v>44368</v>
      </c>
      <c r="G266" s="3">
        <v>44375</v>
      </c>
      <c r="H266" s="3">
        <v>44375</v>
      </c>
      <c r="I266" s="2">
        <v>50</v>
      </c>
      <c r="J266" s="29" t="s">
        <v>197</v>
      </c>
      <c r="K266" s="35"/>
      <c r="L266" s="35"/>
      <c r="M266" s="35"/>
      <c r="AZ266" s="17"/>
      <c r="BA266" s="2"/>
      <c r="BB266" s="2"/>
      <c r="BC266" s="2"/>
      <c r="BD266" s="2"/>
      <c r="BE266" s="3"/>
      <c r="BF266" s="3"/>
      <c r="BG266" s="3"/>
      <c r="BH266" s="2"/>
      <c r="BI266" s="18"/>
    </row>
    <row r="267" spans="1:61">
      <c r="A267" s="29">
        <v>269</v>
      </c>
      <c r="B267" s="2">
        <v>27</v>
      </c>
      <c r="C267" s="2">
        <v>3</v>
      </c>
      <c r="D267" s="2">
        <v>98</v>
      </c>
      <c r="E267" s="2">
        <v>17</v>
      </c>
      <c r="F267" s="3">
        <v>44368</v>
      </c>
      <c r="G267" s="3">
        <v>44375</v>
      </c>
      <c r="H267" s="3">
        <v>44375</v>
      </c>
      <c r="I267" s="2">
        <v>70</v>
      </c>
      <c r="J267" s="29" t="s">
        <v>198</v>
      </c>
      <c r="K267" s="35"/>
      <c r="L267" s="35"/>
      <c r="M267" s="35"/>
      <c r="AZ267" s="17"/>
      <c r="BA267" s="2"/>
      <c r="BB267" s="2"/>
      <c r="BC267" s="2"/>
      <c r="BD267" s="2"/>
      <c r="BE267" s="3"/>
      <c r="BF267" s="3"/>
      <c r="BG267" s="3"/>
      <c r="BH267" s="2"/>
      <c r="BI267" s="18"/>
    </row>
    <row r="268" spans="1:61">
      <c r="A268" s="29">
        <v>270</v>
      </c>
      <c r="B268" s="2">
        <v>28</v>
      </c>
      <c r="C268" s="2">
        <v>3</v>
      </c>
      <c r="D268" s="2">
        <v>98</v>
      </c>
      <c r="E268" s="2">
        <v>17</v>
      </c>
      <c r="F268" s="3">
        <v>44368</v>
      </c>
      <c r="G268" s="3">
        <v>44375</v>
      </c>
      <c r="H268" s="3">
        <v>44375</v>
      </c>
      <c r="I268" s="2">
        <v>80</v>
      </c>
      <c r="J268" s="29" t="s">
        <v>198</v>
      </c>
      <c r="K268" s="35"/>
      <c r="L268" s="35"/>
      <c r="M268" s="35"/>
      <c r="AZ268" s="17"/>
      <c r="BA268" s="2"/>
      <c r="BB268" s="2"/>
      <c r="BC268" s="2"/>
      <c r="BD268" s="2"/>
      <c r="BE268" s="3"/>
      <c r="BF268" s="3"/>
      <c r="BG268" s="3"/>
      <c r="BH268" s="2"/>
      <c r="BI268" s="18"/>
    </row>
    <row r="269" spans="1:61">
      <c r="A269" s="29">
        <v>271</v>
      </c>
      <c r="B269" s="2">
        <v>9</v>
      </c>
      <c r="C269" s="2">
        <v>1</v>
      </c>
      <c r="D269" s="2">
        <v>46</v>
      </c>
      <c r="E269" s="2">
        <v>17</v>
      </c>
      <c r="F269" s="3">
        <v>44368</v>
      </c>
      <c r="G269" s="3">
        <v>44375</v>
      </c>
      <c r="H269" s="3">
        <v>44376</v>
      </c>
      <c r="I269" s="2">
        <v>50</v>
      </c>
      <c r="J269" s="29" t="s">
        <v>197</v>
      </c>
      <c r="K269" s="35"/>
      <c r="L269" s="35"/>
      <c r="M269" s="35"/>
      <c r="AZ269" s="17"/>
      <c r="BA269" s="2"/>
      <c r="BB269" s="2"/>
      <c r="BC269" s="2"/>
      <c r="BD269" s="2"/>
      <c r="BE269" s="3"/>
      <c r="BF269" s="3"/>
      <c r="BG269" s="3"/>
      <c r="BH269" s="2"/>
      <c r="BI269" s="18"/>
    </row>
    <row r="270" spans="1:61">
      <c r="A270" s="29">
        <v>272</v>
      </c>
      <c r="B270" s="2">
        <v>10</v>
      </c>
      <c r="C270" s="2">
        <v>1</v>
      </c>
      <c r="D270" s="2">
        <v>46</v>
      </c>
      <c r="E270" s="2">
        <v>17</v>
      </c>
      <c r="F270" s="3">
        <v>44368</v>
      </c>
      <c r="G270" s="3">
        <v>44375</v>
      </c>
      <c r="H270" s="3">
        <v>44376</v>
      </c>
      <c r="I270" s="2">
        <v>0</v>
      </c>
      <c r="J270" s="29" t="s">
        <v>197</v>
      </c>
      <c r="K270" s="35"/>
      <c r="L270" s="35"/>
      <c r="M270" s="35"/>
      <c r="AZ270" s="17"/>
      <c r="BA270" s="2"/>
      <c r="BB270" s="2"/>
      <c r="BC270" s="2"/>
      <c r="BD270" s="2"/>
      <c r="BE270" s="3"/>
      <c r="BF270" s="3"/>
      <c r="BG270" s="3"/>
      <c r="BH270" s="2"/>
      <c r="BI270" s="18"/>
    </row>
    <row r="271" spans="1:61">
      <c r="A271" s="29">
        <v>273</v>
      </c>
      <c r="B271" s="2">
        <v>12</v>
      </c>
      <c r="C271" s="2">
        <v>1</v>
      </c>
      <c r="D271" s="2">
        <v>46</v>
      </c>
      <c r="E271" s="2">
        <v>17</v>
      </c>
      <c r="F271" s="3">
        <v>44368</v>
      </c>
      <c r="G271" s="3">
        <v>44375</v>
      </c>
      <c r="H271" s="3">
        <v>44376</v>
      </c>
      <c r="I271" s="2">
        <v>40</v>
      </c>
      <c r="J271" s="29" t="s">
        <v>197</v>
      </c>
      <c r="K271" s="35"/>
      <c r="L271" s="35"/>
      <c r="M271" s="35"/>
      <c r="AZ271" s="17"/>
      <c r="BA271" s="2"/>
      <c r="BB271" s="2"/>
      <c r="BC271" s="2"/>
      <c r="BD271" s="2"/>
      <c r="BE271" s="3"/>
      <c r="BF271" s="3"/>
      <c r="BG271" s="3"/>
      <c r="BH271" s="2"/>
      <c r="BI271" s="18"/>
    </row>
    <row r="272" spans="1:61">
      <c r="A272" s="29">
        <v>274</v>
      </c>
      <c r="B272" s="2">
        <v>16</v>
      </c>
      <c r="C272" s="2">
        <v>5</v>
      </c>
      <c r="D272" s="2">
        <v>71</v>
      </c>
      <c r="E272" s="2">
        <v>16</v>
      </c>
      <c r="F272" s="3">
        <v>44368</v>
      </c>
      <c r="G272" s="3">
        <v>44375</v>
      </c>
      <c r="H272" s="3">
        <v>44376</v>
      </c>
      <c r="I272" s="2">
        <v>40</v>
      </c>
      <c r="J272" s="29" t="s">
        <v>197</v>
      </c>
      <c r="K272" s="35"/>
      <c r="L272" s="35"/>
      <c r="M272" s="35"/>
      <c r="AZ272" s="17"/>
      <c r="BA272" s="2"/>
      <c r="BB272" s="2"/>
      <c r="BC272" s="2"/>
      <c r="BD272" s="2"/>
      <c r="BE272" s="3"/>
      <c r="BF272" s="3"/>
      <c r="BG272" s="3"/>
      <c r="BH272" s="2"/>
      <c r="BI272" s="18"/>
    </row>
    <row r="273" spans="1:61">
      <c r="A273" s="29">
        <v>275</v>
      </c>
      <c r="B273" s="2">
        <v>9</v>
      </c>
      <c r="C273" s="2">
        <v>5</v>
      </c>
      <c r="D273" s="2">
        <v>71</v>
      </c>
      <c r="E273" s="2">
        <v>16</v>
      </c>
      <c r="F273" s="3">
        <v>44368</v>
      </c>
      <c r="G273" s="3">
        <v>44375</v>
      </c>
      <c r="H273" s="3">
        <v>44376</v>
      </c>
      <c r="I273" s="2">
        <v>50</v>
      </c>
      <c r="J273" s="29" t="s">
        <v>197</v>
      </c>
      <c r="K273" s="35"/>
      <c r="L273" s="35"/>
      <c r="M273" s="35"/>
      <c r="AZ273" s="17"/>
      <c r="BA273" s="2"/>
      <c r="BB273" s="2"/>
      <c r="BC273" s="2"/>
      <c r="BD273" s="2"/>
      <c r="BE273" s="3"/>
      <c r="BF273" s="3"/>
      <c r="BG273" s="3"/>
      <c r="BH273" s="2"/>
      <c r="BI273" s="18"/>
    </row>
    <row r="274" spans="1:61">
      <c r="A274" s="29">
        <v>276</v>
      </c>
      <c r="B274" s="2">
        <v>10</v>
      </c>
      <c r="C274" s="2">
        <v>3</v>
      </c>
      <c r="D274" s="2">
        <v>84</v>
      </c>
      <c r="E274" s="2">
        <v>14</v>
      </c>
      <c r="F274" s="3">
        <v>44368</v>
      </c>
      <c r="G274" s="3">
        <v>44375</v>
      </c>
      <c r="H274" s="3">
        <v>44375</v>
      </c>
      <c r="I274" s="2">
        <v>60</v>
      </c>
      <c r="J274" s="29" t="s">
        <v>197</v>
      </c>
      <c r="K274" s="35"/>
      <c r="L274" s="35"/>
      <c r="M274" s="35"/>
      <c r="AZ274" s="17"/>
      <c r="BA274" s="2"/>
      <c r="BB274" s="2"/>
      <c r="BC274" s="2"/>
      <c r="BD274" s="2"/>
      <c r="BE274" s="3"/>
      <c r="BF274" s="3"/>
      <c r="BG274" s="3"/>
      <c r="BH274" s="2"/>
      <c r="BI274" s="18"/>
    </row>
    <row r="275" spans="1:61">
      <c r="A275" s="29">
        <v>277</v>
      </c>
      <c r="B275" s="2">
        <v>12</v>
      </c>
      <c r="C275" s="2">
        <v>2</v>
      </c>
      <c r="D275" s="2">
        <v>108</v>
      </c>
      <c r="E275" s="2">
        <v>15</v>
      </c>
      <c r="F275" s="3">
        <v>44368</v>
      </c>
      <c r="G275" s="3">
        <v>44375</v>
      </c>
      <c r="H275" s="3">
        <v>44375</v>
      </c>
      <c r="I275" s="2">
        <v>50</v>
      </c>
      <c r="J275" s="29" t="s">
        <v>197</v>
      </c>
      <c r="K275" s="35"/>
      <c r="L275" s="35"/>
      <c r="M275" s="35"/>
      <c r="AZ275" s="17"/>
      <c r="BA275" s="2"/>
      <c r="BB275" s="2"/>
      <c r="BC275" s="2"/>
      <c r="BD275" s="2"/>
      <c r="BE275" s="3"/>
      <c r="BF275" s="3"/>
      <c r="BG275" s="3"/>
      <c r="BH275" s="2"/>
      <c r="BI275" s="18"/>
    </row>
    <row r="276" spans="1:61">
      <c r="A276" s="29">
        <v>278</v>
      </c>
      <c r="B276" s="2">
        <v>27</v>
      </c>
      <c r="C276" s="2">
        <v>2</v>
      </c>
      <c r="D276" s="2">
        <v>108</v>
      </c>
      <c r="E276" s="2">
        <v>15</v>
      </c>
      <c r="F276" s="3">
        <v>44368</v>
      </c>
      <c r="G276" s="3">
        <v>44375</v>
      </c>
      <c r="H276" s="3">
        <v>44375</v>
      </c>
      <c r="I276" s="2">
        <v>40</v>
      </c>
      <c r="J276" s="29" t="s">
        <v>197</v>
      </c>
      <c r="K276" s="35"/>
      <c r="L276" s="35"/>
      <c r="M276" s="35"/>
      <c r="AZ276" s="17"/>
      <c r="BA276" s="2"/>
      <c r="BB276" s="2"/>
      <c r="BC276" s="2"/>
      <c r="BD276" s="2"/>
      <c r="BE276" s="3"/>
      <c r="BF276" s="3"/>
      <c r="BG276" s="3"/>
      <c r="BH276" s="2"/>
      <c r="BI276" s="18"/>
    </row>
    <row r="277" spans="1:61">
      <c r="A277" s="29">
        <v>279</v>
      </c>
      <c r="B277" s="2">
        <v>14</v>
      </c>
      <c r="C277" s="2">
        <v>6</v>
      </c>
      <c r="D277" s="2">
        <v>149</v>
      </c>
      <c r="E277" s="2">
        <v>14</v>
      </c>
      <c r="F277" s="3">
        <v>44368</v>
      </c>
      <c r="G277" s="3">
        <v>44375</v>
      </c>
      <c r="H277" s="3">
        <v>44376</v>
      </c>
      <c r="I277" s="2">
        <v>80</v>
      </c>
      <c r="J277" s="29" t="s">
        <v>198</v>
      </c>
      <c r="K277" s="35"/>
      <c r="L277" s="35"/>
      <c r="M277" s="35"/>
      <c r="AZ277" s="17"/>
      <c r="BA277" s="2"/>
      <c r="BB277" s="2"/>
      <c r="BC277" s="2"/>
      <c r="BD277" s="2"/>
      <c r="BE277" s="3"/>
      <c r="BF277" s="3"/>
      <c r="BG277" s="3"/>
      <c r="BH277" s="2"/>
      <c r="BI277" s="18"/>
    </row>
    <row r="278" spans="1:61">
      <c r="A278" s="29">
        <v>280</v>
      </c>
      <c r="B278" s="2">
        <v>19</v>
      </c>
      <c r="C278" s="2">
        <v>6</v>
      </c>
      <c r="D278" s="2">
        <v>149</v>
      </c>
      <c r="E278" s="2">
        <v>14</v>
      </c>
      <c r="F278" s="3">
        <v>44368</v>
      </c>
      <c r="G278" s="3">
        <v>44375</v>
      </c>
      <c r="H278" s="3">
        <v>44376</v>
      </c>
      <c r="I278" s="2">
        <v>90</v>
      </c>
      <c r="J278" s="29" t="s">
        <v>198</v>
      </c>
      <c r="K278" s="35"/>
      <c r="L278" s="35"/>
      <c r="M278" s="35"/>
      <c r="AZ278" s="17"/>
      <c r="BA278" s="2"/>
      <c r="BB278" s="2"/>
      <c r="BC278" s="2"/>
      <c r="BD278" s="2"/>
      <c r="BE278" s="3"/>
      <c r="BF278" s="3"/>
      <c r="BG278" s="3"/>
      <c r="BH278" s="2"/>
      <c r="BI278" s="18"/>
    </row>
    <row r="279" spans="1:61">
      <c r="A279" s="29">
        <v>281</v>
      </c>
      <c r="B279" s="2">
        <v>29</v>
      </c>
      <c r="C279" s="2">
        <v>6</v>
      </c>
      <c r="D279" s="2">
        <v>149</v>
      </c>
      <c r="E279" s="2">
        <v>14</v>
      </c>
      <c r="F279" s="3">
        <v>44368</v>
      </c>
      <c r="G279" s="3">
        <v>44375</v>
      </c>
      <c r="H279" s="3">
        <v>44376</v>
      </c>
      <c r="I279" s="2">
        <v>80</v>
      </c>
      <c r="J279" s="29" t="s">
        <v>198</v>
      </c>
      <c r="K279" s="35"/>
      <c r="L279" s="35"/>
      <c r="M279" s="35"/>
      <c r="AZ279" s="17"/>
      <c r="BA279" s="2"/>
      <c r="BB279" s="2"/>
      <c r="BC279" s="2"/>
      <c r="BD279" s="2"/>
      <c r="BE279" s="3"/>
      <c r="BF279" s="3"/>
      <c r="BG279" s="3"/>
      <c r="BH279" s="2"/>
      <c r="BI279" s="18"/>
    </row>
    <row r="280" spans="1:61">
      <c r="A280" s="29">
        <v>282</v>
      </c>
      <c r="B280" s="2">
        <v>27</v>
      </c>
      <c r="C280" s="2">
        <v>6</v>
      </c>
      <c r="D280" s="2">
        <v>149</v>
      </c>
      <c r="E280" s="2">
        <v>14</v>
      </c>
      <c r="F280" s="3">
        <v>44368</v>
      </c>
      <c r="G280" s="3">
        <v>44375</v>
      </c>
      <c r="H280" s="3">
        <v>44376</v>
      </c>
      <c r="I280" s="2">
        <v>80</v>
      </c>
      <c r="J280" s="29" t="s">
        <v>198</v>
      </c>
      <c r="K280" s="35"/>
      <c r="L280" s="35"/>
      <c r="M280" s="35"/>
      <c r="AZ280" s="17"/>
      <c r="BA280" s="2"/>
      <c r="BB280" s="2"/>
      <c r="BC280" s="2"/>
      <c r="BD280" s="2"/>
      <c r="BE280" s="3"/>
      <c r="BF280" s="3"/>
      <c r="BG280" s="3"/>
      <c r="BH280" s="2"/>
      <c r="BI280" s="18"/>
    </row>
    <row r="281" spans="1:61">
      <c r="A281" s="29">
        <v>283</v>
      </c>
      <c r="B281" s="2">
        <v>5</v>
      </c>
      <c r="C281" s="2">
        <v>3</v>
      </c>
      <c r="D281" s="2">
        <v>104</v>
      </c>
      <c r="E281" s="2">
        <v>18</v>
      </c>
      <c r="F281" s="3">
        <v>44371</v>
      </c>
      <c r="G281" s="3">
        <v>44378</v>
      </c>
      <c r="H281" s="3">
        <v>44378</v>
      </c>
      <c r="I281" s="2">
        <v>30</v>
      </c>
      <c r="J281" s="29" t="s">
        <v>197</v>
      </c>
      <c r="K281" s="35"/>
      <c r="L281" s="35"/>
      <c r="M281" s="35"/>
      <c r="AZ281" s="17"/>
      <c r="BA281" s="2"/>
      <c r="BB281" s="2"/>
      <c r="BC281" s="2"/>
      <c r="BD281" s="2"/>
      <c r="BE281" s="3"/>
      <c r="BF281" s="3"/>
      <c r="BG281" s="3"/>
      <c r="BH281" s="2"/>
      <c r="BI281" s="18"/>
    </row>
    <row r="282" spans="1:61">
      <c r="A282" s="29">
        <v>284</v>
      </c>
      <c r="B282" s="2">
        <v>15</v>
      </c>
      <c r="C282" s="2">
        <v>3</v>
      </c>
      <c r="D282" s="2">
        <v>104</v>
      </c>
      <c r="E282" s="2">
        <v>18</v>
      </c>
      <c r="F282" s="3">
        <v>44371</v>
      </c>
      <c r="G282" s="3">
        <v>44378</v>
      </c>
      <c r="H282" s="3">
        <v>44378</v>
      </c>
      <c r="I282" s="2">
        <v>80</v>
      </c>
      <c r="J282" s="29" t="s">
        <v>198</v>
      </c>
      <c r="K282" s="35"/>
      <c r="L282" s="35"/>
      <c r="M282" s="35"/>
      <c r="AZ282" s="17"/>
      <c r="BA282" s="2"/>
      <c r="BB282" s="2"/>
      <c r="BC282" s="2"/>
      <c r="BD282" s="2"/>
      <c r="BE282" s="3"/>
      <c r="BF282" s="3"/>
      <c r="BG282" s="3"/>
      <c r="BH282" s="2"/>
      <c r="BI282" s="18"/>
    </row>
    <row r="283" spans="1:61">
      <c r="A283" s="29">
        <v>285</v>
      </c>
      <c r="B283" s="2">
        <v>19</v>
      </c>
      <c r="C283" s="2">
        <v>3</v>
      </c>
      <c r="D283" s="2">
        <v>104</v>
      </c>
      <c r="E283" s="2">
        <v>18</v>
      </c>
      <c r="F283" s="3">
        <v>44371</v>
      </c>
      <c r="G283" s="3">
        <v>44378</v>
      </c>
      <c r="H283" s="3">
        <v>44378</v>
      </c>
      <c r="I283" s="2">
        <v>20</v>
      </c>
      <c r="J283" s="29" t="s">
        <v>197</v>
      </c>
      <c r="K283" s="35"/>
      <c r="L283" s="35"/>
      <c r="M283" s="35"/>
      <c r="AZ283" s="17"/>
      <c r="BA283" s="2"/>
      <c r="BB283" s="2"/>
      <c r="BC283" s="2"/>
      <c r="BD283" s="2"/>
      <c r="BE283" s="3"/>
      <c r="BF283" s="3"/>
      <c r="BG283" s="3"/>
      <c r="BH283" s="2"/>
      <c r="BI283" s="18"/>
    </row>
    <row r="284" spans="1:61">
      <c r="A284" s="29">
        <v>286</v>
      </c>
      <c r="B284" s="2">
        <v>28</v>
      </c>
      <c r="C284" s="2">
        <v>4</v>
      </c>
      <c r="D284" s="2">
        <v>96</v>
      </c>
      <c r="E284" s="2">
        <v>18</v>
      </c>
      <c r="F284" s="3">
        <v>44371</v>
      </c>
      <c r="G284" s="3">
        <v>44378</v>
      </c>
      <c r="H284" s="3">
        <v>44379</v>
      </c>
      <c r="I284" s="2">
        <v>0</v>
      </c>
      <c r="J284" s="29" t="s">
        <v>197</v>
      </c>
      <c r="K284" s="35"/>
      <c r="L284" s="35"/>
      <c r="M284" s="35"/>
      <c r="AZ284" s="17"/>
      <c r="BA284" s="2"/>
      <c r="BB284" s="2"/>
      <c r="BC284" s="2"/>
      <c r="BD284" s="2"/>
      <c r="BE284" s="3"/>
      <c r="BF284" s="3"/>
      <c r="BG284" s="3"/>
      <c r="BH284" s="2"/>
      <c r="BI284" s="18"/>
    </row>
    <row r="285" spans="1:61">
      <c r="A285" s="29">
        <v>287</v>
      </c>
      <c r="B285" s="2">
        <v>15</v>
      </c>
      <c r="C285" s="2">
        <v>4</v>
      </c>
      <c r="D285" s="2">
        <v>96</v>
      </c>
      <c r="E285" s="2">
        <v>18</v>
      </c>
      <c r="F285" s="3">
        <v>44371</v>
      </c>
      <c r="G285" s="3">
        <v>44378</v>
      </c>
      <c r="H285" s="3">
        <v>44379</v>
      </c>
      <c r="I285" s="2">
        <v>10</v>
      </c>
      <c r="J285" s="29" t="s">
        <v>197</v>
      </c>
      <c r="K285" s="35"/>
      <c r="L285" s="35"/>
      <c r="M285" s="35"/>
      <c r="AZ285" s="17"/>
      <c r="BA285" s="2"/>
      <c r="BB285" s="2"/>
      <c r="BC285" s="2"/>
      <c r="BD285" s="2"/>
      <c r="BE285" s="3"/>
      <c r="BF285" s="3"/>
      <c r="BG285" s="3"/>
      <c r="BH285" s="2"/>
      <c r="BI285" s="18"/>
    </row>
    <row r="286" spans="1:61">
      <c r="A286" s="29">
        <v>288</v>
      </c>
      <c r="B286" s="2">
        <v>27</v>
      </c>
      <c r="C286" s="2">
        <v>1</v>
      </c>
      <c r="D286" s="2">
        <v>65</v>
      </c>
      <c r="E286" s="2">
        <v>20</v>
      </c>
      <c r="F286" s="3">
        <v>44372</v>
      </c>
      <c r="G286" s="3">
        <v>44379</v>
      </c>
      <c r="H286" s="3">
        <v>44380</v>
      </c>
      <c r="I286" s="2">
        <v>20</v>
      </c>
      <c r="J286" s="29" t="s">
        <v>197</v>
      </c>
      <c r="K286" s="35"/>
      <c r="L286" s="35"/>
      <c r="M286" s="35"/>
      <c r="AZ286" s="17"/>
      <c r="BA286" s="2"/>
      <c r="BB286" s="2"/>
      <c r="BC286" s="2"/>
      <c r="BD286" s="2"/>
      <c r="BE286" s="3"/>
      <c r="BF286" s="3"/>
      <c r="BG286" s="3"/>
      <c r="BH286" s="2"/>
      <c r="BI286" s="18"/>
    </row>
    <row r="287" spans="1:61">
      <c r="A287" s="29">
        <v>289</v>
      </c>
      <c r="B287" s="2">
        <v>12</v>
      </c>
      <c r="C287" s="2">
        <v>1</v>
      </c>
      <c r="D287" s="2">
        <v>65</v>
      </c>
      <c r="E287" s="2">
        <v>20</v>
      </c>
      <c r="F287" s="3">
        <v>44372</v>
      </c>
      <c r="G287" s="3">
        <v>44379</v>
      </c>
      <c r="H287" s="3">
        <v>44380</v>
      </c>
      <c r="I287" s="2">
        <v>20</v>
      </c>
      <c r="J287" s="29" t="s">
        <v>197</v>
      </c>
      <c r="K287" s="35"/>
      <c r="L287" s="35"/>
      <c r="M287" s="35"/>
      <c r="AZ287" s="17"/>
      <c r="BA287" s="2"/>
      <c r="BB287" s="2"/>
      <c r="BC287" s="2"/>
      <c r="BD287" s="2"/>
      <c r="BE287" s="3"/>
      <c r="BF287" s="3"/>
      <c r="BG287" s="3"/>
      <c r="BH287" s="2"/>
      <c r="BI287" s="18"/>
    </row>
    <row r="288" spans="1:61">
      <c r="A288" s="29">
        <v>290</v>
      </c>
      <c r="B288" s="2">
        <v>9</v>
      </c>
      <c r="C288" s="2">
        <v>1</v>
      </c>
      <c r="D288" s="2">
        <v>65</v>
      </c>
      <c r="E288" s="2">
        <v>20</v>
      </c>
      <c r="F288" s="3">
        <v>44372</v>
      </c>
      <c r="G288" s="3">
        <v>44379</v>
      </c>
      <c r="H288" s="3">
        <v>44380</v>
      </c>
      <c r="I288" s="2">
        <v>10</v>
      </c>
      <c r="J288" s="29" t="s">
        <v>197</v>
      </c>
      <c r="K288" s="35"/>
      <c r="L288" s="35"/>
      <c r="M288" s="35"/>
      <c r="AZ288" s="17"/>
      <c r="BA288" s="2"/>
      <c r="BB288" s="2"/>
      <c r="BC288" s="2"/>
      <c r="BD288" s="2"/>
      <c r="BE288" s="3"/>
      <c r="BF288" s="3"/>
      <c r="BG288" s="3"/>
      <c r="BH288" s="2"/>
      <c r="BI288" s="18"/>
    </row>
    <row r="289" spans="1:61">
      <c r="A289" s="29">
        <v>291</v>
      </c>
      <c r="B289" s="2">
        <v>11</v>
      </c>
      <c r="C289" s="2">
        <v>1</v>
      </c>
      <c r="D289" s="2">
        <v>65</v>
      </c>
      <c r="E289" s="2">
        <v>20</v>
      </c>
      <c r="F289" s="3">
        <v>44372</v>
      </c>
      <c r="G289" s="3">
        <v>44379</v>
      </c>
      <c r="H289" s="3">
        <v>44380</v>
      </c>
      <c r="I289" s="2">
        <v>40</v>
      </c>
      <c r="J289" s="29" t="s">
        <v>197</v>
      </c>
      <c r="K289" s="35"/>
      <c r="L289" s="35"/>
      <c r="M289" s="35"/>
      <c r="AZ289" s="17"/>
      <c r="BA289" s="2"/>
      <c r="BB289" s="2"/>
      <c r="BC289" s="2"/>
      <c r="BD289" s="2"/>
      <c r="BE289" s="3"/>
      <c r="BF289" s="3"/>
      <c r="BG289" s="3"/>
      <c r="BH289" s="2"/>
      <c r="BI289" s="18"/>
    </row>
    <row r="290" spans="1:61">
      <c r="A290" s="29">
        <v>292</v>
      </c>
      <c r="B290" s="2">
        <v>16</v>
      </c>
      <c r="C290" s="2">
        <v>1</v>
      </c>
      <c r="D290" s="2">
        <v>65</v>
      </c>
      <c r="E290" s="2">
        <v>20</v>
      </c>
      <c r="F290" s="3">
        <v>44372</v>
      </c>
      <c r="G290" s="3">
        <v>44379</v>
      </c>
      <c r="H290" s="3">
        <v>44380</v>
      </c>
      <c r="I290" s="2">
        <v>40</v>
      </c>
      <c r="J290" s="29" t="s">
        <v>197</v>
      </c>
      <c r="K290" s="35"/>
      <c r="L290" s="35"/>
      <c r="M290" s="35"/>
      <c r="AZ290" s="17"/>
      <c r="BA290" s="2"/>
      <c r="BB290" s="2"/>
      <c r="BC290" s="2"/>
      <c r="BD290" s="2"/>
      <c r="BE290" s="3"/>
      <c r="BF290" s="3"/>
      <c r="BG290" s="3"/>
      <c r="BH290" s="2"/>
      <c r="BI290" s="18"/>
    </row>
    <row r="291" spans="1:61">
      <c r="A291" s="29">
        <v>293</v>
      </c>
      <c r="B291" s="2">
        <v>22</v>
      </c>
      <c r="C291" s="2">
        <v>3</v>
      </c>
      <c r="D291" s="2">
        <v>110</v>
      </c>
      <c r="E291" s="2">
        <v>19</v>
      </c>
      <c r="F291" s="3">
        <v>44372</v>
      </c>
      <c r="G291" s="3">
        <v>44379</v>
      </c>
      <c r="H291" s="3">
        <v>44379</v>
      </c>
      <c r="I291" s="2">
        <v>0</v>
      </c>
      <c r="J291" s="29" t="s">
        <v>197</v>
      </c>
      <c r="K291" s="35"/>
      <c r="L291" s="35"/>
      <c r="M291" s="35"/>
      <c r="AZ291" s="17"/>
      <c r="BA291" s="2"/>
      <c r="BB291" s="2"/>
      <c r="BC291" s="2"/>
      <c r="BD291" s="2"/>
      <c r="BE291" s="3"/>
      <c r="BF291" s="3"/>
      <c r="BG291" s="3"/>
      <c r="BH291" s="2"/>
      <c r="BI291" s="18"/>
    </row>
    <row r="292" spans="1:61">
      <c r="A292" s="29">
        <v>294</v>
      </c>
      <c r="B292" s="2">
        <v>23</v>
      </c>
      <c r="C292" s="2">
        <v>3</v>
      </c>
      <c r="D292" s="2">
        <v>110</v>
      </c>
      <c r="E292" s="2">
        <v>19</v>
      </c>
      <c r="F292" s="3">
        <v>44372</v>
      </c>
      <c r="G292" s="3">
        <v>44379</v>
      </c>
      <c r="H292" s="3">
        <v>44379</v>
      </c>
      <c r="I292" s="2">
        <v>40</v>
      </c>
      <c r="J292" s="29" t="s">
        <v>197</v>
      </c>
      <c r="K292" s="35"/>
      <c r="L292" s="35"/>
      <c r="M292" s="35"/>
      <c r="AZ292" s="17"/>
      <c r="BA292" s="2"/>
      <c r="BB292" s="2"/>
      <c r="BC292" s="2"/>
      <c r="BD292" s="2"/>
      <c r="BE292" s="3"/>
      <c r="BF292" s="3"/>
      <c r="BG292" s="3"/>
      <c r="BH292" s="2"/>
      <c r="BI292" s="18"/>
    </row>
    <row r="293" spans="1:61">
      <c r="A293" s="29">
        <v>295</v>
      </c>
      <c r="B293" s="2">
        <v>22</v>
      </c>
      <c r="C293" s="2">
        <v>3</v>
      </c>
      <c r="D293" s="2">
        <v>112</v>
      </c>
      <c r="E293" s="2">
        <v>20</v>
      </c>
      <c r="F293" s="3">
        <v>44372</v>
      </c>
      <c r="G293" s="3">
        <v>44379</v>
      </c>
      <c r="H293" s="3">
        <v>44379</v>
      </c>
      <c r="I293" s="2">
        <v>60</v>
      </c>
      <c r="J293" s="29" t="s">
        <v>197</v>
      </c>
      <c r="K293" s="35"/>
      <c r="L293" s="35"/>
      <c r="M293" s="35"/>
      <c r="AZ293" s="17"/>
      <c r="BA293" s="2"/>
      <c r="BB293" s="2"/>
      <c r="BC293" s="2"/>
      <c r="BD293" s="2"/>
      <c r="BE293" s="3"/>
      <c r="BF293" s="3"/>
      <c r="BG293" s="3"/>
      <c r="BH293" s="2"/>
      <c r="BI293" s="18"/>
    </row>
    <row r="294" spans="1:61">
      <c r="A294" s="29">
        <v>296</v>
      </c>
      <c r="B294" s="2">
        <v>23</v>
      </c>
      <c r="C294" s="2">
        <v>3</v>
      </c>
      <c r="D294" s="2">
        <v>112</v>
      </c>
      <c r="E294" s="2">
        <v>20</v>
      </c>
      <c r="F294" s="3">
        <v>44372</v>
      </c>
      <c r="G294" s="3">
        <v>44379</v>
      </c>
      <c r="H294" s="3">
        <v>44379</v>
      </c>
      <c r="I294" s="2">
        <v>50</v>
      </c>
      <c r="J294" s="29" t="s">
        <v>197</v>
      </c>
      <c r="K294" s="35"/>
      <c r="L294" s="35"/>
      <c r="M294" s="35"/>
      <c r="AZ294" s="17"/>
      <c r="BA294" s="2"/>
      <c r="BB294" s="2"/>
      <c r="BC294" s="2"/>
      <c r="BD294" s="2"/>
      <c r="BE294" s="3"/>
      <c r="BF294" s="3"/>
      <c r="BG294" s="3"/>
      <c r="BH294" s="2"/>
      <c r="BI294" s="18"/>
    </row>
    <row r="295" spans="1:61">
      <c r="A295" s="29">
        <v>297</v>
      </c>
      <c r="B295" s="2">
        <v>24</v>
      </c>
      <c r="C295" s="2">
        <v>3</v>
      </c>
      <c r="D295" s="2">
        <v>112</v>
      </c>
      <c r="E295" s="2">
        <v>20</v>
      </c>
      <c r="F295" s="3">
        <v>44372</v>
      </c>
      <c r="G295" s="3">
        <v>44379</v>
      </c>
      <c r="H295" s="3">
        <v>44379</v>
      </c>
      <c r="I295" s="2">
        <v>0</v>
      </c>
      <c r="J295" s="29" t="s">
        <v>197</v>
      </c>
      <c r="K295" s="35"/>
      <c r="L295" s="35"/>
      <c r="M295" s="35"/>
      <c r="AZ295" s="17"/>
      <c r="BA295" s="2"/>
      <c r="BB295" s="2"/>
      <c r="BC295" s="2"/>
      <c r="BD295" s="2"/>
      <c r="BE295" s="3"/>
      <c r="BF295" s="3"/>
      <c r="BG295" s="3"/>
      <c r="BH295" s="2"/>
      <c r="BI295" s="18"/>
    </row>
    <row r="296" spans="1:61">
      <c r="A296" s="29">
        <v>298</v>
      </c>
      <c r="B296" s="2">
        <v>9</v>
      </c>
      <c r="C296" s="2">
        <v>5</v>
      </c>
      <c r="D296" s="2">
        <v>105</v>
      </c>
      <c r="E296" s="2">
        <v>19</v>
      </c>
      <c r="F296" s="3">
        <v>44372</v>
      </c>
      <c r="G296" s="3">
        <v>44379</v>
      </c>
      <c r="H296" s="3">
        <v>44380</v>
      </c>
      <c r="I296" s="2">
        <v>40</v>
      </c>
      <c r="J296" s="29" t="s">
        <v>197</v>
      </c>
      <c r="K296" s="35"/>
      <c r="L296" s="35"/>
      <c r="M296" s="35"/>
      <c r="AZ296" s="17"/>
      <c r="BA296" s="2"/>
      <c r="BB296" s="2"/>
      <c r="BC296" s="2"/>
      <c r="BD296" s="2"/>
      <c r="BE296" s="3"/>
      <c r="BF296" s="3"/>
      <c r="BG296" s="3"/>
      <c r="BH296" s="2"/>
      <c r="BI296" s="18"/>
    </row>
    <row r="297" spans="1:61">
      <c r="A297" s="29">
        <v>299</v>
      </c>
      <c r="B297" s="2">
        <v>10</v>
      </c>
      <c r="C297" s="2">
        <v>5</v>
      </c>
      <c r="D297" s="2">
        <v>105</v>
      </c>
      <c r="E297" s="2">
        <v>19</v>
      </c>
      <c r="F297" s="3">
        <v>44372</v>
      </c>
      <c r="G297" s="3">
        <v>44379</v>
      </c>
      <c r="H297" s="3">
        <v>44380</v>
      </c>
      <c r="I297" s="2">
        <v>60</v>
      </c>
      <c r="J297" s="29" t="s">
        <v>197</v>
      </c>
      <c r="K297" s="35"/>
      <c r="L297" s="35"/>
      <c r="M297" s="35"/>
      <c r="AZ297" s="17"/>
      <c r="BA297" s="2"/>
      <c r="BB297" s="2"/>
      <c r="BC297" s="2"/>
      <c r="BD297" s="2"/>
      <c r="BE297" s="3"/>
      <c r="BF297" s="3"/>
      <c r="BG297" s="3"/>
      <c r="BH297" s="2"/>
      <c r="BI297" s="18"/>
    </row>
    <row r="298" spans="1:61">
      <c r="A298" s="29">
        <v>300</v>
      </c>
      <c r="B298" s="2">
        <v>28</v>
      </c>
      <c r="C298" s="2">
        <v>3</v>
      </c>
      <c r="D298" s="2">
        <v>110</v>
      </c>
      <c r="E298" s="2">
        <v>19</v>
      </c>
      <c r="F298" s="3">
        <v>44372</v>
      </c>
      <c r="G298" s="3">
        <v>44379</v>
      </c>
      <c r="H298" s="3">
        <v>44379</v>
      </c>
      <c r="I298" s="2">
        <v>20</v>
      </c>
      <c r="J298" s="29" t="s">
        <v>197</v>
      </c>
      <c r="K298" s="35"/>
      <c r="L298" s="35"/>
      <c r="M298" s="35"/>
      <c r="AZ298" s="17"/>
      <c r="BA298" s="2"/>
      <c r="BB298" s="2"/>
      <c r="BC298" s="2"/>
      <c r="BD298" s="2"/>
      <c r="BE298" s="3"/>
      <c r="BF298" s="3"/>
      <c r="BG298" s="3"/>
      <c r="BH298" s="2"/>
      <c r="BI298" s="18"/>
    </row>
    <row r="299" spans="1:61">
      <c r="A299" s="29">
        <v>301</v>
      </c>
      <c r="B299" s="2">
        <v>15</v>
      </c>
      <c r="C299" s="2">
        <v>3</v>
      </c>
      <c r="D299" s="2">
        <v>110</v>
      </c>
      <c r="E299" s="2">
        <v>19</v>
      </c>
      <c r="F299" s="3">
        <v>44372</v>
      </c>
      <c r="G299" s="3">
        <v>44379</v>
      </c>
      <c r="H299" s="3">
        <v>44379</v>
      </c>
      <c r="I299" s="2">
        <v>30</v>
      </c>
      <c r="J299" s="29" t="s">
        <v>197</v>
      </c>
      <c r="K299" s="35"/>
      <c r="L299" s="35"/>
      <c r="M299" s="35"/>
      <c r="AZ299" s="17"/>
      <c r="BA299" s="2"/>
      <c r="BB299" s="2"/>
      <c r="BC299" s="2"/>
      <c r="BD299" s="2"/>
      <c r="BE299" s="3"/>
      <c r="BF299" s="3"/>
      <c r="BG299" s="3"/>
      <c r="BH299" s="2"/>
      <c r="BI299" s="18"/>
    </row>
    <row r="300" spans="1:61">
      <c r="A300" s="29">
        <v>302</v>
      </c>
      <c r="B300" s="2">
        <v>2</v>
      </c>
      <c r="C300" s="2">
        <v>1</v>
      </c>
      <c r="D300" s="2">
        <v>66</v>
      </c>
      <c r="E300" s="2">
        <v>21</v>
      </c>
      <c r="F300" s="3">
        <v>44373</v>
      </c>
      <c r="G300" s="3">
        <v>44380</v>
      </c>
      <c r="H300" s="3">
        <v>44381</v>
      </c>
      <c r="I300" s="2">
        <v>0</v>
      </c>
      <c r="J300" s="29" t="s">
        <v>197</v>
      </c>
      <c r="K300" s="35"/>
      <c r="L300" s="35"/>
      <c r="M300" s="35"/>
      <c r="AZ300" s="17"/>
      <c r="BA300" s="2"/>
      <c r="BB300" s="2"/>
      <c r="BC300" s="2"/>
      <c r="BD300" s="2"/>
      <c r="BE300" s="3"/>
      <c r="BF300" s="3"/>
      <c r="BG300" s="3"/>
      <c r="BH300" s="2"/>
      <c r="BI300" s="18"/>
    </row>
    <row r="301" spans="1:61">
      <c r="A301" s="29">
        <v>303</v>
      </c>
      <c r="B301" s="2">
        <v>1</v>
      </c>
      <c r="C301" s="2">
        <v>1</v>
      </c>
      <c r="D301" s="2">
        <v>66</v>
      </c>
      <c r="E301" s="2">
        <v>21</v>
      </c>
      <c r="F301" s="3">
        <v>44373</v>
      </c>
      <c r="G301" s="3">
        <v>44380</v>
      </c>
      <c r="H301" s="3">
        <v>44381</v>
      </c>
      <c r="I301" s="2">
        <v>30</v>
      </c>
      <c r="J301" s="29" t="s">
        <v>197</v>
      </c>
      <c r="K301" s="35"/>
      <c r="L301" s="35"/>
      <c r="M301" s="35"/>
      <c r="AZ301" s="17"/>
      <c r="BA301" s="2"/>
      <c r="BB301" s="2"/>
      <c r="BC301" s="2"/>
      <c r="BD301" s="2"/>
      <c r="BE301" s="3"/>
      <c r="BF301" s="3"/>
      <c r="BG301" s="3"/>
      <c r="BH301" s="2"/>
      <c r="BI301" s="18"/>
    </row>
    <row r="302" spans="1:61">
      <c r="A302" s="29">
        <v>304</v>
      </c>
      <c r="B302" s="2">
        <v>3</v>
      </c>
      <c r="C302" s="2">
        <v>1</v>
      </c>
      <c r="D302" s="2">
        <v>66</v>
      </c>
      <c r="E302" s="2">
        <v>21</v>
      </c>
      <c r="F302" s="3">
        <v>44373</v>
      </c>
      <c r="G302" s="3">
        <v>44380</v>
      </c>
      <c r="H302" s="3">
        <v>44381</v>
      </c>
      <c r="I302" s="2">
        <v>50</v>
      </c>
      <c r="J302" s="29" t="s">
        <v>197</v>
      </c>
      <c r="K302" s="35"/>
      <c r="L302" s="35"/>
      <c r="M302" s="35"/>
      <c r="AZ302" s="17"/>
      <c r="BA302" s="2"/>
      <c r="BB302" s="2"/>
      <c r="BC302" s="2"/>
      <c r="BD302" s="2"/>
      <c r="BE302" s="3"/>
      <c r="BF302" s="3"/>
      <c r="BG302" s="3"/>
      <c r="BH302" s="2"/>
      <c r="BI302" s="18"/>
    </row>
    <row r="303" spans="1:61">
      <c r="A303" s="29">
        <v>305</v>
      </c>
      <c r="B303" s="2">
        <v>4</v>
      </c>
      <c r="C303" s="2">
        <v>1</v>
      </c>
      <c r="D303" s="2">
        <v>66</v>
      </c>
      <c r="E303" s="2">
        <v>21</v>
      </c>
      <c r="F303" s="3">
        <v>44373</v>
      </c>
      <c r="G303" s="3">
        <v>44380</v>
      </c>
      <c r="H303" s="3">
        <v>44381</v>
      </c>
      <c r="I303" s="2">
        <v>50</v>
      </c>
      <c r="J303" s="29" t="s">
        <v>197</v>
      </c>
      <c r="K303" s="35"/>
      <c r="L303" s="35"/>
      <c r="M303" s="35"/>
      <c r="AZ303" s="17"/>
      <c r="BA303" s="2"/>
      <c r="BB303" s="2"/>
      <c r="BC303" s="2"/>
      <c r="BD303" s="2"/>
      <c r="BE303" s="3"/>
      <c r="BF303" s="3"/>
      <c r="BG303" s="3"/>
      <c r="BH303" s="2"/>
      <c r="BI303" s="18"/>
    </row>
    <row r="304" spans="1:61">
      <c r="A304" s="29">
        <v>306</v>
      </c>
      <c r="B304" s="2">
        <v>6</v>
      </c>
      <c r="C304" s="2">
        <v>1</v>
      </c>
      <c r="D304" s="2">
        <v>66</v>
      </c>
      <c r="E304" s="2">
        <v>21</v>
      </c>
      <c r="F304" s="3">
        <v>44373</v>
      </c>
      <c r="G304" s="3">
        <v>44380</v>
      </c>
      <c r="H304" s="3">
        <v>44381</v>
      </c>
      <c r="I304" s="2">
        <v>20</v>
      </c>
      <c r="J304" s="29" t="s">
        <v>197</v>
      </c>
      <c r="K304" s="35"/>
      <c r="L304" s="35"/>
      <c r="M304" s="35"/>
      <c r="AZ304" s="17"/>
      <c r="BA304" s="2"/>
      <c r="BB304" s="2"/>
      <c r="BC304" s="2"/>
      <c r="BD304" s="2"/>
      <c r="BE304" s="3"/>
      <c r="BF304" s="3"/>
      <c r="BG304" s="3"/>
      <c r="BH304" s="2"/>
      <c r="BI304" s="18"/>
    </row>
    <row r="305" spans="1:61">
      <c r="A305" s="29">
        <v>307</v>
      </c>
      <c r="B305" s="2">
        <v>9</v>
      </c>
      <c r="C305" s="2">
        <v>1</v>
      </c>
      <c r="D305" s="2">
        <v>66</v>
      </c>
      <c r="E305" s="2">
        <v>21</v>
      </c>
      <c r="F305" s="3">
        <v>44373</v>
      </c>
      <c r="G305" s="3">
        <v>44380</v>
      </c>
      <c r="H305" s="3">
        <v>44381</v>
      </c>
      <c r="I305" s="2">
        <v>50</v>
      </c>
      <c r="J305" s="29" t="s">
        <v>197</v>
      </c>
      <c r="K305" s="35"/>
      <c r="L305" s="35"/>
      <c r="M305" s="35"/>
      <c r="AZ305" s="17"/>
      <c r="BA305" s="2"/>
      <c r="BB305" s="2"/>
      <c r="BC305" s="2"/>
      <c r="BD305" s="2"/>
      <c r="BE305" s="3"/>
      <c r="BF305" s="3"/>
      <c r="BG305" s="3"/>
      <c r="BH305" s="2"/>
      <c r="BI305" s="18"/>
    </row>
    <row r="306" spans="1:61">
      <c r="A306" s="29">
        <v>308</v>
      </c>
      <c r="B306" s="2">
        <v>16</v>
      </c>
      <c r="C306" s="2">
        <v>3</v>
      </c>
      <c r="D306" s="2">
        <v>115</v>
      </c>
      <c r="E306" s="2">
        <v>21</v>
      </c>
      <c r="F306" s="3">
        <v>44373</v>
      </c>
      <c r="G306" s="3">
        <v>44380</v>
      </c>
      <c r="H306" s="3">
        <v>44380</v>
      </c>
      <c r="I306" s="2">
        <v>90</v>
      </c>
      <c r="J306" s="29" t="s">
        <v>198</v>
      </c>
      <c r="K306" s="35"/>
      <c r="L306" s="35"/>
      <c r="M306" s="35"/>
      <c r="AZ306" s="17"/>
      <c r="BA306" s="2"/>
      <c r="BB306" s="2"/>
      <c r="BC306" s="2"/>
      <c r="BD306" s="2"/>
      <c r="BE306" s="3"/>
      <c r="BF306" s="3"/>
      <c r="BG306" s="3"/>
      <c r="BH306" s="2"/>
      <c r="BI306" s="18"/>
    </row>
    <row r="307" spans="1:61">
      <c r="A307" s="29">
        <v>309</v>
      </c>
      <c r="B307" s="2">
        <v>19</v>
      </c>
      <c r="C307" s="2">
        <v>3</v>
      </c>
      <c r="D307" s="2">
        <v>115</v>
      </c>
      <c r="E307" s="2">
        <v>21</v>
      </c>
      <c r="F307" s="3">
        <v>44373</v>
      </c>
      <c r="G307" s="3">
        <v>44380</v>
      </c>
      <c r="H307" s="3">
        <v>44380</v>
      </c>
      <c r="I307" s="2">
        <v>100</v>
      </c>
      <c r="J307" s="29" t="s">
        <v>198</v>
      </c>
      <c r="K307" s="35"/>
      <c r="L307" s="35"/>
      <c r="M307" s="35"/>
      <c r="AZ307" s="17"/>
      <c r="BA307" s="2"/>
      <c r="BB307" s="2"/>
      <c r="BC307" s="2"/>
      <c r="BD307" s="2"/>
      <c r="BE307" s="3"/>
      <c r="BF307" s="3"/>
      <c r="BG307" s="3"/>
      <c r="BH307" s="2"/>
      <c r="BI307" s="18"/>
    </row>
    <row r="308" spans="1:61">
      <c r="A308" s="29">
        <v>310</v>
      </c>
      <c r="B308" s="2">
        <v>16</v>
      </c>
      <c r="C308" s="2">
        <v>1</v>
      </c>
      <c r="D308" s="2">
        <v>70</v>
      </c>
      <c r="E308" s="2">
        <v>22</v>
      </c>
      <c r="F308" s="3">
        <v>44374</v>
      </c>
      <c r="G308" s="3">
        <v>44381</v>
      </c>
      <c r="H308" s="3">
        <v>44382</v>
      </c>
      <c r="I308" s="2">
        <v>10</v>
      </c>
      <c r="J308" s="29" t="s">
        <v>197</v>
      </c>
      <c r="K308" s="35"/>
      <c r="L308" s="35"/>
      <c r="M308" s="35"/>
      <c r="AZ308" s="17"/>
      <c r="BA308" s="2"/>
      <c r="BB308" s="2"/>
      <c r="BC308" s="2"/>
      <c r="BD308" s="2"/>
      <c r="BE308" s="3"/>
      <c r="BF308" s="3"/>
      <c r="BG308" s="3"/>
      <c r="BH308" s="2"/>
      <c r="BI308" s="18"/>
    </row>
    <row r="309" spans="1:61">
      <c r="A309" s="29">
        <v>311</v>
      </c>
      <c r="B309" s="2">
        <v>18</v>
      </c>
      <c r="C309" s="2">
        <v>1</v>
      </c>
      <c r="D309" s="2">
        <v>70</v>
      </c>
      <c r="E309" s="2">
        <v>22</v>
      </c>
      <c r="F309" s="3">
        <v>44374</v>
      </c>
      <c r="G309" s="3">
        <v>44381</v>
      </c>
      <c r="H309" s="3">
        <v>44382</v>
      </c>
      <c r="I309" s="2">
        <v>30</v>
      </c>
      <c r="J309" s="29" t="s">
        <v>197</v>
      </c>
      <c r="K309" s="35"/>
      <c r="L309" s="35"/>
      <c r="M309" s="35"/>
      <c r="AZ309" s="17"/>
      <c r="BA309" s="2"/>
      <c r="BB309" s="2"/>
      <c r="BC309" s="2"/>
      <c r="BD309" s="2"/>
      <c r="BE309" s="3"/>
      <c r="BF309" s="3"/>
      <c r="BG309" s="3"/>
      <c r="BH309" s="2"/>
      <c r="BI309" s="18"/>
    </row>
    <row r="310" spans="1:61">
      <c r="A310" s="29">
        <v>312</v>
      </c>
      <c r="B310" s="2">
        <v>23</v>
      </c>
      <c r="C310" s="2">
        <v>1</v>
      </c>
      <c r="D310" s="2">
        <v>70</v>
      </c>
      <c r="E310" s="2">
        <v>22</v>
      </c>
      <c r="F310" s="3">
        <v>44374</v>
      </c>
      <c r="G310" s="3">
        <v>44381</v>
      </c>
      <c r="H310" s="3">
        <v>44382</v>
      </c>
      <c r="I310" s="2">
        <v>50</v>
      </c>
      <c r="J310" s="29" t="s">
        <v>197</v>
      </c>
      <c r="K310" s="35"/>
      <c r="L310" s="35"/>
      <c r="M310" s="35"/>
      <c r="AZ310" s="17"/>
      <c r="BA310" s="2"/>
      <c r="BB310" s="2"/>
      <c r="BC310" s="2"/>
      <c r="BD310" s="2"/>
      <c r="BE310" s="3"/>
      <c r="BF310" s="3"/>
      <c r="BG310" s="3"/>
      <c r="BH310" s="2"/>
      <c r="BI310" s="18"/>
    </row>
    <row r="311" spans="1:61">
      <c r="A311" s="29">
        <v>313</v>
      </c>
      <c r="B311" s="2">
        <v>24</v>
      </c>
      <c r="C311" s="2">
        <v>1</v>
      </c>
      <c r="D311" s="2">
        <v>70</v>
      </c>
      <c r="E311" s="2">
        <v>22</v>
      </c>
      <c r="F311" s="3">
        <v>44374</v>
      </c>
      <c r="G311" s="3">
        <v>44381</v>
      </c>
      <c r="H311" s="3">
        <v>44382</v>
      </c>
      <c r="I311" s="2">
        <v>20</v>
      </c>
      <c r="J311" s="29" t="s">
        <v>197</v>
      </c>
      <c r="K311" s="35"/>
      <c r="L311" s="35"/>
      <c r="M311" s="35"/>
      <c r="AZ311" s="17"/>
      <c r="BA311" s="2"/>
      <c r="BB311" s="2"/>
      <c r="BC311" s="2"/>
      <c r="BD311" s="2"/>
      <c r="BE311" s="3"/>
      <c r="BF311" s="3"/>
      <c r="BG311" s="3"/>
      <c r="BH311" s="2"/>
      <c r="BI311" s="18"/>
    </row>
    <row r="312" spans="1:61">
      <c r="A312" s="29">
        <v>314</v>
      </c>
      <c r="B312" s="2">
        <v>28</v>
      </c>
      <c r="C312" s="2">
        <v>1</v>
      </c>
      <c r="D312" s="2">
        <v>70</v>
      </c>
      <c r="E312" s="2">
        <v>22</v>
      </c>
      <c r="F312" s="3">
        <v>44374</v>
      </c>
      <c r="G312" s="3">
        <v>44381</v>
      </c>
      <c r="H312" s="3">
        <v>44382</v>
      </c>
      <c r="I312" s="2">
        <v>10</v>
      </c>
      <c r="J312" s="29" t="s">
        <v>197</v>
      </c>
      <c r="K312" s="35"/>
      <c r="L312" s="35"/>
      <c r="M312" s="35"/>
      <c r="AZ312" s="17"/>
      <c r="BA312" s="2"/>
      <c r="BB312" s="2"/>
      <c r="BC312" s="2"/>
      <c r="BD312" s="2"/>
      <c r="BE312" s="3"/>
      <c r="BF312" s="3"/>
      <c r="BG312" s="3"/>
      <c r="BH312" s="2"/>
      <c r="BI312" s="18"/>
    </row>
    <row r="313" spans="1:61">
      <c r="A313" s="29">
        <v>315</v>
      </c>
      <c r="B313" s="2">
        <v>22</v>
      </c>
      <c r="C313" s="2">
        <v>1</v>
      </c>
      <c r="D313" s="2">
        <v>70</v>
      </c>
      <c r="E313" s="2">
        <v>22</v>
      </c>
      <c r="F313" s="3">
        <v>44374</v>
      </c>
      <c r="G313" s="3">
        <v>44381</v>
      </c>
      <c r="H313" s="3">
        <v>44382</v>
      </c>
      <c r="I313" s="2">
        <v>40</v>
      </c>
      <c r="J313" s="29" t="s">
        <v>197</v>
      </c>
      <c r="K313" s="35"/>
      <c r="L313" s="35"/>
      <c r="M313" s="35"/>
      <c r="AZ313" s="17"/>
      <c r="BA313" s="2"/>
      <c r="BB313" s="2"/>
      <c r="BC313" s="2"/>
      <c r="BD313" s="2"/>
      <c r="BE313" s="3"/>
      <c r="BF313" s="3"/>
      <c r="BG313" s="3"/>
      <c r="BH313" s="2"/>
      <c r="BI313" s="18"/>
    </row>
    <row r="314" spans="1:61">
      <c r="A314" s="29">
        <v>316</v>
      </c>
      <c r="B314" s="2">
        <v>8</v>
      </c>
      <c r="C314" s="2">
        <v>1</v>
      </c>
      <c r="D314" s="2">
        <v>70</v>
      </c>
      <c r="E314" s="2">
        <v>22</v>
      </c>
      <c r="F314" s="3">
        <v>44374</v>
      </c>
      <c r="G314" s="3">
        <v>44381</v>
      </c>
      <c r="H314" s="3">
        <v>44382</v>
      </c>
      <c r="I314" s="2">
        <v>30</v>
      </c>
      <c r="J314" s="29" t="s">
        <v>197</v>
      </c>
      <c r="K314" s="35"/>
      <c r="L314" s="35"/>
      <c r="M314" s="35"/>
      <c r="AZ314" s="17"/>
      <c r="BA314" s="2"/>
      <c r="BB314" s="2"/>
      <c r="BC314" s="2"/>
      <c r="BD314" s="2"/>
      <c r="BE314" s="3"/>
      <c r="BF314" s="3"/>
      <c r="BG314" s="3"/>
      <c r="BH314" s="2"/>
      <c r="BI314" s="18"/>
    </row>
    <row r="315" spans="1:61">
      <c r="A315" s="29">
        <v>317</v>
      </c>
      <c r="B315" s="2">
        <v>24</v>
      </c>
      <c r="C315" s="2">
        <v>3</v>
      </c>
      <c r="D315" s="2">
        <v>132</v>
      </c>
      <c r="E315" s="2">
        <v>22</v>
      </c>
      <c r="F315" s="3">
        <v>44374</v>
      </c>
      <c r="G315" s="3">
        <v>44381</v>
      </c>
      <c r="H315" s="3">
        <v>44381</v>
      </c>
      <c r="I315" s="2">
        <v>20</v>
      </c>
      <c r="J315" s="29" t="s">
        <v>197</v>
      </c>
      <c r="K315" s="35"/>
      <c r="L315" s="35"/>
      <c r="M315" s="35"/>
      <c r="AZ315" s="17"/>
      <c r="BA315" s="2"/>
      <c r="BB315" s="2"/>
      <c r="BC315" s="2"/>
      <c r="BD315" s="2"/>
      <c r="BE315" s="3"/>
      <c r="BF315" s="3"/>
      <c r="BG315" s="3"/>
      <c r="BH315" s="2"/>
      <c r="BI315" s="18"/>
    </row>
    <row r="316" spans="1:61">
      <c r="A316" s="29">
        <v>318</v>
      </c>
      <c r="B316" s="2">
        <v>25</v>
      </c>
      <c r="C316" s="2">
        <v>3</v>
      </c>
      <c r="D316" s="2">
        <v>132</v>
      </c>
      <c r="E316" s="2">
        <v>22</v>
      </c>
      <c r="F316" s="3">
        <v>44374</v>
      </c>
      <c r="G316" s="3">
        <v>44381</v>
      </c>
      <c r="H316" s="3">
        <v>44381</v>
      </c>
      <c r="I316" s="2">
        <v>0</v>
      </c>
      <c r="J316" s="29" t="s">
        <v>197</v>
      </c>
      <c r="K316" s="35"/>
      <c r="L316" s="35"/>
      <c r="M316" s="35"/>
      <c r="AZ316" s="17"/>
      <c r="BA316" s="2"/>
      <c r="BB316" s="2"/>
      <c r="BC316" s="2"/>
      <c r="BD316" s="2"/>
      <c r="BE316" s="3"/>
      <c r="BF316" s="3"/>
      <c r="BG316" s="3"/>
      <c r="BH316" s="2"/>
      <c r="BI316" s="18"/>
    </row>
    <row r="317" spans="1:61">
      <c r="A317" s="29">
        <v>319</v>
      </c>
      <c r="B317" s="2">
        <v>16</v>
      </c>
      <c r="C317" s="2">
        <v>5</v>
      </c>
      <c r="D317" s="2">
        <v>116</v>
      </c>
      <c r="E317" s="2">
        <v>22</v>
      </c>
      <c r="F317" s="3">
        <v>44374</v>
      </c>
      <c r="G317" s="3">
        <v>44381</v>
      </c>
      <c r="H317" s="3">
        <v>44382</v>
      </c>
      <c r="I317" s="2">
        <v>60</v>
      </c>
      <c r="J317" s="29" t="s">
        <v>197</v>
      </c>
      <c r="K317" s="35"/>
      <c r="L317" s="35"/>
      <c r="M317" s="35"/>
      <c r="AZ317" s="17"/>
      <c r="BA317" s="2"/>
      <c r="BB317" s="2"/>
      <c r="BC317" s="2"/>
      <c r="BD317" s="2"/>
      <c r="BE317" s="3"/>
      <c r="BF317" s="3"/>
      <c r="BG317" s="3"/>
      <c r="BH317" s="2"/>
      <c r="BI317" s="18"/>
    </row>
    <row r="318" spans="1:61">
      <c r="A318" s="29">
        <v>320</v>
      </c>
      <c r="B318" s="2">
        <v>19</v>
      </c>
      <c r="C318" s="2">
        <v>5</v>
      </c>
      <c r="D318" s="2">
        <v>116</v>
      </c>
      <c r="E318" s="2">
        <v>22</v>
      </c>
      <c r="F318" s="3">
        <v>44374</v>
      </c>
      <c r="G318" s="3">
        <v>44381</v>
      </c>
      <c r="H318" s="3">
        <v>44382</v>
      </c>
      <c r="I318" s="2">
        <v>0</v>
      </c>
      <c r="J318" s="29" t="s">
        <v>197</v>
      </c>
      <c r="K318" s="35"/>
      <c r="L318" s="35"/>
      <c r="M318" s="35"/>
      <c r="AZ318" s="17"/>
      <c r="BA318" s="2"/>
      <c r="BB318" s="2"/>
      <c r="BC318" s="2"/>
      <c r="BD318" s="2"/>
      <c r="BE318" s="3"/>
      <c r="BF318" s="3"/>
      <c r="BG318" s="3"/>
      <c r="BH318" s="2"/>
      <c r="BI318" s="18"/>
    </row>
    <row r="319" spans="1:61">
      <c r="A319" s="29">
        <v>321</v>
      </c>
      <c r="B319" s="2">
        <v>9</v>
      </c>
      <c r="C319" s="2">
        <v>3</v>
      </c>
      <c r="D319" s="2">
        <v>132</v>
      </c>
      <c r="E319" s="2">
        <v>22</v>
      </c>
      <c r="F319" s="3">
        <v>44374</v>
      </c>
      <c r="G319" s="3">
        <v>44381</v>
      </c>
      <c r="H319" s="3">
        <v>44381</v>
      </c>
      <c r="I319" s="2">
        <v>0</v>
      </c>
      <c r="J319" s="29" t="s">
        <v>197</v>
      </c>
      <c r="K319" s="35"/>
      <c r="L319" s="35"/>
      <c r="M319" s="35"/>
      <c r="AZ319" s="17"/>
      <c r="BA319" s="2"/>
      <c r="BB319" s="2"/>
      <c r="BC319" s="2"/>
      <c r="BD319" s="2"/>
      <c r="BE319" s="3"/>
      <c r="BF319" s="3"/>
      <c r="BG319" s="3"/>
      <c r="BH319" s="2"/>
      <c r="BI319" s="18"/>
    </row>
    <row r="320" spans="1:61">
      <c r="A320" s="29">
        <v>322</v>
      </c>
      <c r="B320" s="2">
        <v>10</v>
      </c>
      <c r="C320" s="2">
        <v>3</v>
      </c>
      <c r="D320" s="2">
        <v>132</v>
      </c>
      <c r="E320" s="2">
        <v>22</v>
      </c>
      <c r="F320" s="3">
        <v>44374</v>
      </c>
      <c r="G320" s="3">
        <v>44381</v>
      </c>
      <c r="H320" s="3">
        <v>44381</v>
      </c>
      <c r="I320" s="2">
        <v>10</v>
      </c>
      <c r="J320" s="29" t="s">
        <v>197</v>
      </c>
      <c r="K320" s="35"/>
      <c r="L320" s="35"/>
      <c r="M320" s="35"/>
      <c r="AZ320" s="17"/>
      <c r="BA320" s="2"/>
      <c r="BB320" s="2"/>
      <c r="BC320" s="2"/>
      <c r="BD320" s="2"/>
      <c r="BE320" s="3"/>
      <c r="BF320" s="3"/>
      <c r="BG320" s="3"/>
      <c r="BH320" s="2"/>
      <c r="BI320" s="18"/>
    </row>
    <row r="321" spans="1:61">
      <c r="A321" s="29">
        <v>323</v>
      </c>
      <c r="B321" s="2">
        <v>12</v>
      </c>
      <c r="C321" s="2">
        <v>4</v>
      </c>
      <c r="D321" s="2">
        <v>136</v>
      </c>
      <c r="E321" s="2">
        <v>22</v>
      </c>
      <c r="F321" s="3">
        <v>44374</v>
      </c>
      <c r="G321" s="3">
        <v>44381</v>
      </c>
      <c r="H321" s="3">
        <v>44382</v>
      </c>
      <c r="I321" s="2">
        <v>40</v>
      </c>
      <c r="J321" s="29" t="s">
        <v>197</v>
      </c>
      <c r="K321" s="35"/>
      <c r="L321" s="35"/>
      <c r="M321" s="35"/>
      <c r="AZ321" s="17"/>
      <c r="BA321" s="2"/>
      <c r="BB321" s="2"/>
      <c r="BC321" s="2"/>
      <c r="BD321" s="2"/>
      <c r="BE321" s="3"/>
      <c r="BF321" s="3"/>
      <c r="BG321" s="3"/>
      <c r="BH321" s="2"/>
      <c r="BI321" s="18"/>
    </row>
    <row r="322" spans="1:61">
      <c r="A322" s="29">
        <v>324</v>
      </c>
      <c r="B322" s="2">
        <v>27</v>
      </c>
      <c r="C322" s="2">
        <v>4</v>
      </c>
      <c r="D322" s="2">
        <v>136</v>
      </c>
      <c r="E322" s="2">
        <v>22</v>
      </c>
      <c r="F322" s="3">
        <v>44374</v>
      </c>
      <c r="G322" s="3">
        <v>44381</v>
      </c>
      <c r="H322" s="3">
        <v>44382</v>
      </c>
      <c r="I322" s="2">
        <v>50</v>
      </c>
      <c r="J322" s="29" t="s">
        <v>197</v>
      </c>
      <c r="K322" s="35"/>
      <c r="L322" s="35"/>
      <c r="M322" s="35"/>
      <c r="AZ322" s="17"/>
      <c r="BA322" s="2"/>
      <c r="BB322" s="2"/>
      <c r="BC322" s="2"/>
      <c r="BD322" s="2"/>
      <c r="BE322" s="3"/>
      <c r="BF322" s="3"/>
      <c r="BG322" s="3"/>
      <c r="BH322" s="2"/>
      <c r="BI322" s="18"/>
    </row>
    <row r="323" spans="1:61">
      <c r="A323" s="29">
        <v>325</v>
      </c>
      <c r="B323" s="2">
        <v>3</v>
      </c>
      <c r="C323" s="2">
        <v>1</v>
      </c>
      <c r="D323" s="2">
        <v>74</v>
      </c>
      <c r="E323" s="2">
        <v>23</v>
      </c>
      <c r="F323" s="3">
        <v>44376</v>
      </c>
      <c r="G323" s="3">
        <v>44383</v>
      </c>
      <c r="H323" s="3">
        <v>44384</v>
      </c>
      <c r="I323" s="2">
        <v>40</v>
      </c>
      <c r="J323" s="29" t="s">
        <v>197</v>
      </c>
      <c r="K323" s="35"/>
      <c r="L323" s="35"/>
      <c r="M323" s="35"/>
      <c r="AZ323" s="17"/>
      <c r="BA323" s="2"/>
      <c r="BB323" s="2"/>
      <c r="BC323" s="2"/>
      <c r="BD323" s="2"/>
      <c r="BE323" s="3"/>
      <c r="BF323" s="3"/>
      <c r="BG323" s="3"/>
      <c r="BH323" s="2"/>
      <c r="BI323" s="18"/>
    </row>
    <row r="324" spans="1:61">
      <c r="A324" s="29">
        <v>326</v>
      </c>
      <c r="B324" s="2">
        <v>4</v>
      </c>
      <c r="C324" s="2">
        <v>1</v>
      </c>
      <c r="D324" s="2">
        <v>74</v>
      </c>
      <c r="E324" s="2">
        <v>23</v>
      </c>
      <c r="F324" s="3">
        <v>44376</v>
      </c>
      <c r="G324" s="3">
        <v>44383</v>
      </c>
      <c r="H324" s="3">
        <v>44384</v>
      </c>
      <c r="I324" s="2">
        <v>10</v>
      </c>
      <c r="J324" s="29" t="s">
        <v>197</v>
      </c>
      <c r="K324" s="35"/>
      <c r="L324" s="35"/>
      <c r="M324" s="35"/>
      <c r="AZ324" s="17"/>
      <c r="BA324" s="2"/>
      <c r="BB324" s="2"/>
      <c r="BC324" s="2"/>
      <c r="BD324" s="2"/>
      <c r="BE324" s="3"/>
      <c r="BF324" s="3"/>
      <c r="BG324" s="3"/>
      <c r="BH324" s="2"/>
      <c r="BI324" s="18"/>
    </row>
    <row r="325" spans="1:61">
      <c r="A325" s="29">
        <v>342</v>
      </c>
      <c r="B325" s="2">
        <v>7</v>
      </c>
      <c r="C325" s="2">
        <v>1</v>
      </c>
      <c r="D325" s="2">
        <v>79</v>
      </c>
      <c r="E325" s="2">
        <v>25</v>
      </c>
      <c r="F325" s="3">
        <v>44380</v>
      </c>
      <c r="G325" s="3">
        <v>44387</v>
      </c>
      <c r="H325" s="3">
        <v>44388</v>
      </c>
      <c r="I325" s="2">
        <v>50</v>
      </c>
      <c r="J325" s="29" t="s">
        <v>197</v>
      </c>
      <c r="K325" s="35"/>
      <c r="L325" s="35"/>
      <c r="M325" s="35"/>
      <c r="AZ325" s="17"/>
      <c r="BA325" s="2"/>
      <c r="BB325" s="2"/>
      <c r="BC325" s="2"/>
      <c r="BD325" s="2"/>
      <c r="BE325" s="3"/>
      <c r="BF325" s="3"/>
      <c r="BG325" s="3"/>
      <c r="BH325" s="2"/>
      <c r="BI325" s="18"/>
    </row>
    <row r="326" spans="1:61">
      <c r="A326" s="29">
        <v>328</v>
      </c>
      <c r="B326" s="2">
        <v>11</v>
      </c>
      <c r="C326" s="2">
        <v>1</v>
      </c>
      <c r="D326" s="2">
        <v>74</v>
      </c>
      <c r="E326" s="2">
        <v>23</v>
      </c>
      <c r="F326" s="3">
        <v>44376</v>
      </c>
      <c r="G326" s="3">
        <v>44383</v>
      </c>
      <c r="H326" s="3">
        <v>44384</v>
      </c>
      <c r="I326" s="2">
        <v>0</v>
      </c>
      <c r="J326" s="29" t="s">
        <v>197</v>
      </c>
      <c r="K326" s="35"/>
      <c r="L326" s="35"/>
      <c r="M326" s="35"/>
      <c r="AZ326" s="17"/>
      <c r="BA326" s="2"/>
      <c r="BB326" s="2"/>
      <c r="BC326" s="2"/>
      <c r="BD326" s="2"/>
      <c r="BE326" s="3"/>
      <c r="BF326" s="3"/>
      <c r="BG326" s="3"/>
      <c r="BH326" s="2"/>
      <c r="BI326" s="18"/>
    </row>
    <row r="327" spans="1:61">
      <c r="A327" s="29">
        <v>329</v>
      </c>
      <c r="B327" s="2">
        <v>12</v>
      </c>
      <c r="C327" s="2">
        <v>1</v>
      </c>
      <c r="D327" s="2">
        <v>74</v>
      </c>
      <c r="E327" s="2">
        <v>23</v>
      </c>
      <c r="F327" s="3">
        <v>44376</v>
      </c>
      <c r="G327" s="3">
        <v>44383</v>
      </c>
      <c r="H327" s="3">
        <v>44384</v>
      </c>
      <c r="I327" s="2">
        <v>10</v>
      </c>
      <c r="J327" s="29" t="s">
        <v>197</v>
      </c>
      <c r="K327" s="35"/>
      <c r="L327" s="35"/>
      <c r="M327" s="35"/>
      <c r="AZ327" s="17"/>
      <c r="BA327" s="2"/>
      <c r="BB327" s="2"/>
      <c r="BC327" s="2"/>
      <c r="BD327" s="2"/>
      <c r="BE327" s="3"/>
      <c r="BF327" s="3"/>
      <c r="BG327" s="3"/>
      <c r="BH327" s="2"/>
      <c r="BI327" s="18"/>
    </row>
    <row r="328" spans="1:61">
      <c r="A328" s="29">
        <v>330</v>
      </c>
      <c r="B328" s="2">
        <v>3</v>
      </c>
      <c r="C328" s="2">
        <v>3</v>
      </c>
      <c r="D328" s="2">
        <v>133</v>
      </c>
      <c r="E328" s="2">
        <v>23</v>
      </c>
      <c r="F328" s="3">
        <v>44376</v>
      </c>
      <c r="G328" s="3">
        <v>44383</v>
      </c>
      <c r="H328" s="3">
        <v>44383</v>
      </c>
      <c r="I328" s="2">
        <v>20</v>
      </c>
      <c r="J328" s="29" t="s">
        <v>197</v>
      </c>
      <c r="K328" s="35"/>
      <c r="L328" s="35"/>
      <c r="M328" s="35"/>
      <c r="AZ328" s="17"/>
      <c r="BA328" s="2"/>
      <c r="BB328" s="2"/>
      <c r="BC328" s="2"/>
      <c r="BD328" s="2"/>
      <c r="BE328" s="3"/>
      <c r="BF328" s="3"/>
      <c r="BG328" s="3"/>
      <c r="BH328" s="2"/>
      <c r="BI328" s="18"/>
    </row>
    <row r="329" spans="1:61">
      <c r="A329" s="29">
        <v>331</v>
      </c>
      <c r="B329" s="2">
        <v>4</v>
      </c>
      <c r="C329" s="2">
        <v>3</v>
      </c>
      <c r="D329" s="2">
        <v>133</v>
      </c>
      <c r="E329" s="2">
        <v>23</v>
      </c>
      <c r="F329" s="3">
        <v>44376</v>
      </c>
      <c r="G329" s="3">
        <v>44383</v>
      </c>
      <c r="H329" s="3">
        <v>44383</v>
      </c>
      <c r="I329" s="2">
        <v>60</v>
      </c>
      <c r="J329" s="29" t="s">
        <v>197</v>
      </c>
      <c r="K329" s="35"/>
      <c r="L329" s="35"/>
      <c r="M329" s="35"/>
      <c r="AZ329" s="17"/>
      <c r="BA329" s="2"/>
      <c r="BB329" s="2"/>
      <c r="BC329" s="2"/>
      <c r="BD329" s="2"/>
      <c r="BE329" s="3"/>
      <c r="BF329" s="3"/>
      <c r="BG329" s="3"/>
      <c r="BH329" s="2"/>
      <c r="BI329" s="18"/>
    </row>
    <row r="330" spans="1:61">
      <c r="A330" s="29">
        <v>332</v>
      </c>
      <c r="B330" s="2">
        <v>4</v>
      </c>
      <c r="C330" s="2">
        <v>1</v>
      </c>
      <c r="D330" s="2">
        <v>78</v>
      </c>
      <c r="E330" s="2">
        <v>24</v>
      </c>
      <c r="F330" s="3">
        <v>44379</v>
      </c>
      <c r="G330" s="3">
        <v>44386</v>
      </c>
      <c r="H330" s="3">
        <v>44387</v>
      </c>
      <c r="I330" s="2">
        <v>10</v>
      </c>
      <c r="J330" s="29" t="s">
        <v>197</v>
      </c>
      <c r="K330" s="35"/>
      <c r="L330" s="35"/>
      <c r="M330" s="35"/>
      <c r="AZ330" s="17"/>
      <c r="BA330" s="2"/>
      <c r="BB330" s="2"/>
      <c r="BC330" s="2"/>
      <c r="BD330" s="2"/>
      <c r="BE330" s="3"/>
      <c r="BF330" s="3"/>
      <c r="BG330" s="3"/>
      <c r="BH330" s="2"/>
      <c r="BI330" s="18"/>
    </row>
    <row r="331" spans="1:61">
      <c r="A331" s="29">
        <v>341</v>
      </c>
      <c r="B331" s="2">
        <v>5</v>
      </c>
      <c r="C331" s="2">
        <v>1</v>
      </c>
      <c r="D331" s="2">
        <v>79</v>
      </c>
      <c r="E331" s="2">
        <v>25</v>
      </c>
      <c r="F331" s="3">
        <v>44380</v>
      </c>
      <c r="G331" s="3">
        <v>44387</v>
      </c>
      <c r="H331" s="3">
        <v>44388</v>
      </c>
      <c r="I331" s="2">
        <v>40</v>
      </c>
      <c r="J331" s="29" t="s">
        <v>197</v>
      </c>
      <c r="K331" s="35"/>
      <c r="L331" s="35"/>
      <c r="M331" s="35"/>
      <c r="AZ331" s="17"/>
      <c r="BA331" s="2"/>
      <c r="BB331" s="2"/>
      <c r="BC331" s="2"/>
      <c r="BD331" s="2"/>
      <c r="BE331" s="3"/>
      <c r="BF331" s="3"/>
      <c r="BG331" s="3"/>
      <c r="BH331" s="2"/>
      <c r="BI331" s="18"/>
    </row>
    <row r="332" spans="1:61">
      <c r="A332" s="29">
        <v>334</v>
      </c>
      <c r="B332" s="2">
        <v>6</v>
      </c>
      <c r="C332" s="2">
        <v>1</v>
      </c>
      <c r="D332" s="2">
        <v>78</v>
      </c>
      <c r="E332" s="2">
        <v>24</v>
      </c>
      <c r="F332" s="3">
        <v>44379</v>
      </c>
      <c r="G332" s="3">
        <v>44386</v>
      </c>
      <c r="H332" s="3">
        <v>44387</v>
      </c>
      <c r="I332" s="2">
        <v>50</v>
      </c>
      <c r="J332" s="29" t="s">
        <v>197</v>
      </c>
      <c r="K332" s="35"/>
      <c r="L332" s="35"/>
      <c r="M332" s="35"/>
      <c r="AZ332" s="17"/>
      <c r="BA332" s="2"/>
      <c r="BB332" s="2"/>
      <c r="BC332" s="2"/>
      <c r="BD332" s="2"/>
      <c r="BE332" s="3"/>
      <c r="BF332" s="3"/>
      <c r="BG332" s="3"/>
      <c r="BH332" s="2"/>
      <c r="BI332" s="18"/>
    </row>
    <row r="333" spans="1:61">
      <c r="A333" s="29">
        <v>335</v>
      </c>
      <c r="B333" s="2">
        <v>8</v>
      </c>
      <c r="C333" s="2">
        <v>1</v>
      </c>
      <c r="D333" s="2">
        <v>78</v>
      </c>
      <c r="E333" s="2">
        <v>24</v>
      </c>
      <c r="F333" s="3">
        <v>44379</v>
      </c>
      <c r="G333" s="3">
        <v>44386</v>
      </c>
      <c r="H333" s="3">
        <v>44387</v>
      </c>
      <c r="I333" s="2">
        <v>20</v>
      </c>
      <c r="J333" s="29" t="s">
        <v>197</v>
      </c>
      <c r="K333" s="35"/>
      <c r="L333" s="35"/>
      <c r="M333" s="35"/>
      <c r="AZ333" s="17"/>
      <c r="BA333" s="2"/>
      <c r="BB333" s="2"/>
      <c r="BC333" s="2"/>
      <c r="BD333" s="2"/>
      <c r="BE333" s="3"/>
      <c r="BF333" s="3"/>
      <c r="BG333" s="3"/>
      <c r="BH333" s="2"/>
      <c r="BI333" s="18"/>
    </row>
    <row r="334" spans="1:61">
      <c r="A334" s="29">
        <v>336</v>
      </c>
      <c r="B334" s="2">
        <v>5</v>
      </c>
      <c r="C334" s="2">
        <v>3</v>
      </c>
      <c r="D334" s="2">
        <v>134</v>
      </c>
      <c r="E334" s="2">
        <v>24</v>
      </c>
      <c r="F334" s="3">
        <v>44379</v>
      </c>
      <c r="G334" s="3">
        <v>44386</v>
      </c>
      <c r="H334" s="3">
        <v>44386</v>
      </c>
      <c r="I334" s="2">
        <v>20</v>
      </c>
      <c r="J334" s="29" t="s">
        <v>197</v>
      </c>
      <c r="K334" s="35"/>
      <c r="L334" s="35"/>
      <c r="M334" s="35"/>
      <c r="AZ334" s="17"/>
      <c r="BA334" s="2"/>
      <c r="BB334" s="2"/>
      <c r="BC334" s="2"/>
      <c r="BD334" s="2"/>
      <c r="BE334" s="3"/>
      <c r="BF334" s="3"/>
      <c r="BG334" s="3"/>
      <c r="BH334" s="2"/>
      <c r="BI334" s="18"/>
    </row>
    <row r="335" spans="1:61">
      <c r="A335" s="29">
        <v>337</v>
      </c>
      <c r="B335" s="2">
        <v>6</v>
      </c>
      <c r="C335" s="2">
        <v>3</v>
      </c>
      <c r="D335" s="2">
        <v>134</v>
      </c>
      <c r="E335" s="2">
        <v>24</v>
      </c>
      <c r="F335" s="3">
        <v>44379</v>
      </c>
      <c r="G335" s="3">
        <v>44386</v>
      </c>
      <c r="H335" s="3">
        <v>44386</v>
      </c>
      <c r="I335" s="2">
        <v>80</v>
      </c>
      <c r="J335" s="29" t="s">
        <v>198</v>
      </c>
      <c r="K335" s="35"/>
      <c r="L335" s="35"/>
      <c r="M335" s="35"/>
      <c r="AZ335" s="17"/>
      <c r="BA335" s="2"/>
      <c r="BB335" s="2"/>
      <c r="BC335" s="2"/>
      <c r="BD335" s="2"/>
      <c r="BE335" s="3"/>
      <c r="BF335" s="3"/>
      <c r="BG335" s="3"/>
      <c r="BH335" s="2"/>
      <c r="BI335" s="18"/>
    </row>
    <row r="336" spans="1:61">
      <c r="A336" s="29">
        <v>244</v>
      </c>
      <c r="B336" s="2">
        <v>7</v>
      </c>
      <c r="C336" s="2">
        <v>3</v>
      </c>
      <c r="D336" s="2">
        <v>81</v>
      </c>
      <c r="E336" s="2">
        <v>13</v>
      </c>
      <c r="F336" s="3">
        <v>44366</v>
      </c>
      <c r="G336" s="3">
        <v>44373</v>
      </c>
      <c r="H336" s="3">
        <v>44373</v>
      </c>
      <c r="I336" s="2">
        <v>60</v>
      </c>
      <c r="J336" s="29" t="s">
        <v>197</v>
      </c>
      <c r="K336" s="35"/>
      <c r="L336" s="35"/>
      <c r="M336" s="35"/>
      <c r="AZ336" s="17"/>
      <c r="BA336" s="2"/>
      <c r="BB336" s="2"/>
      <c r="BC336" s="2"/>
      <c r="BD336" s="2"/>
      <c r="BE336" s="3"/>
      <c r="BF336" s="3"/>
      <c r="BG336" s="3"/>
      <c r="BH336" s="2"/>
      <c r="BI336" s="18"/>
    </row>
    <row r="337" spans="1:61">
      <c r="A337" s="29">
        <v>339</v>
      </c>
      <c r="B337" s="2">
        <v>1</v>
      </c>
      <c r="C337" s="2">
        <v>1</v>
      </c>
      <c r="D337" s="2">
        <v>79</v>
      </c>
      <c r="E337" s="2">
        <v>25</v>
      </c>
      <c r="F337" s="3">
        <v>44380</v>
      </c>
      <c r="G337" s="3">
        <v>44387</v>
      </c>
      <c r="H337" s="3">
        <v>44388</v>
      </c>
      <c r="I337" s="2">
        <v>40</v>
      </c>
      <c r="J337" s="29" t="s">
        <v>197</v>
      </c>
      <c r="K337" s="35"/>
      <c r="L337" s="35"/>
      <c r="M337" s="35"/>
      <c r="AZ337" s="17"/>
      <c r="BA337" s="2"/>
      <c r="BB337" s="2"/>
      <c r="BC337" s="2"/>
      <c r="BD337" s="2"/>
      <c r="BE337" s="3"/>
      <c r="BF337" s="3"/>
      <c r="BG337" s="3"/>
      <c r="BH337" s="2"/>
      <c r="BI337" s="18"/>
    </row>
    <row r="338" spans="1:61">
      <c r="A338" s="29">
        <v>340</v>
      </c>
      <c r="B338" s="2">
        <v>3</v>
      </c>
      <c r="C338" s="2">
        <v>1</v>
      </c>
      <c r="D338" s="2">
        <v>79</v>
      </c>
      <c r="E338" s="2">
        <v>25</v>
      </c>
      <c r="F338" s="3">
        <v>44380</v>
      </c>
      <c r="G338" s="3">
        <v>44387</v>
      </c>
      <c r="H338" s="3">
        <v>44388</v>
      </c>
      <c r="I338" s="2">
        <v>30</v>
      </c>
      <c r="J338" s="29" t="s">
        <v>197</v>
      </c>
      <c r="K338" s="35"/>
      <c r="L338" s="35"/>
      <c r="M338" s="35"/>
      <c r="AZ338" s="17"/>
      <c r="BA338" s="2"/>
      <c r="BB338" s="2"/>
      <c r="BC338" s="2"/>
      <c r="BD338" s="2"/>
      <c r="BE338" s="3"/>
      <c r="BF338" s="3"/>
      <c r="BG338" s="3"/>
      <c r="BH338" s="2"/>
      <c r="BI338" s="18"/>
    </row>
    <row r="339" spans="1:61">
      <c r="A339" s="29">
        <v>400</v>
      </c>
      <c r="B339" s="2">
        <v>5</v>
      </c>
      <c r="C339" s="2">
        <v>1</v>
      </c>
      <c r="D339" s="2">
        <v>109</v>
      </c>
      <c r="E339" s="2">
        <v>30</v>
      </c>
      <c r="F339" s="3">
        <v>44383</v>
      </c>
      <c r="G339" s="3">
        <v>44390</v>
      </c>
      <c r="H339" s="3">
        <v>44391</v>
      </c>
      <c r="I339" s="2">
        <v>10</v>
      </c>
      <c r="J339" s="29" t="s">
        <v>197</v>
      </c>
      <c r="K339" s="35"/>
      <c r="L339" s="35"/>
      <c r="M339" s="35"/>
      <c r="AZ339" s="17"/>
      <c r="BA339" s="2"/>
      <c r="BB339" s="2"/>
      <c r="BC339" s="2"/>
      <c r="BD339" s="2"/>
      <c r="BE339" s="3"/>
      <c r="BF339" s="3"/>
      <c r="BG339" s="3"/>
      <c r="BH339" s="2"/>
      <c r="BI339" s="18"/>
    </row>
    <row r="340" spans="1:61">
      <c r="A340" s="29">
        <v>162</v>
      </c>
      <c r="B340" s="2">
        <v>7</v>
      </c>
      <c r="C340" s="2">
        <v>6</v>
      </c>
      <c r="D340" s="2">
        <v>92</v>
      </c>
      <c r="E340" s="2">
        <v>5</v>
      </c>
      <c r="F340" s="3">
        <v>44350</v>
      </c>
      <c r="G340" s="3">
        <v>44357</v>
      </c>
      <c r="H340" s="3">
        <v>44358</v>
      </c>
      <c r="I340" s="2">
        <v>60</v>
      </c>
      <c r="J340" s="29" t="s">
        <v>197</v>
      </c>
      <c r="K340" s="35"/>
      <c r="L340" s="35"/>
      <c r="M340" s="35"/>
      <c r="AZ340" s="17"/>
      <c r="BA340" s="2"/>
      <c r="BB340" s="2"/>
      <c r="BC340" s="2"/>
      <c r="BD340" s="2"/>
      <c r="BE340" s="3"/>
      <c r="BF340" s="3"/>
      <c r="BG340" s="3"/>
      <c r="BH340" s="2"/>
      <c r="BI340" s="18"/>
    </row>
    <row r="341" spans="1:61">
      <c r="A341" s="29">
        <v>343</v>
      </c>
      <c r="B341" s="2">
        <v>10</v>
      </c>
      <c r="C341" s="2">
        <v>1</v>
      </c>
      <c r="D341" s="2">
        <v>122</v>
      </c>
      <c r="E341" s="2">
        <v>36</v>
      </c>
      <c r="F341" s="3">
        <v>44388</v>
      </c>
      <c r="G341" s="3">
        <v>44395</v>
      </c>
      <c r="H341" s="3">
        <v>44396</v>
      </c>
      <c r="I341" s="2">
        <v>100</v>
      </c>
      <c r="J341" s="29" t="s">
        <v>198</v>
      </c>
      <c r="K341" s="35"/>
      <c r="L341" s="35"/>
      <c r="M341" s="35"/>
      <c r="AZ341" s="17"/>
      <c r="BA341" s="2"/>
      <c r="BB341" s="2"/>
      <c r="BC341" s="2"/>
      <c r="BD341" s="2"/>
      <c r="BE341" s="3"/>
      <c r="BF341" s="3"/>
      <c r="BG341" s="3"/>
      <c r="BH341" s="2"/>
      <c r="BI341" s="18"/>
    </row>
    <row r="342" spans="1:61">
      <c r="A342" s="29">
        <v>344</v>
      </c>
      <c r="B342" s="2">
        <v>2</v>
      </c>
      <c r="C342" s="2">
        <v>1</v>
      </c>
      <c r="D342" s="2">
        <v>80</v>
      </c>
      <c r="E342" s="2">
        <v>26</v>
      </c>
      <c r="F342" s="3">
        <v>44380</v>
      </c>
      <c r="G342" s="3">
        <v>44387</v>
      </c>
      <c r="H342" s="3">
        <v>44388</v>
      </c>
      <c r="I342" s="2">
        <v>0</v>
      </c>
      <c r="J342" s="29" t="s">
        <v>197</v>
      </c>
      <c r="K342" s="35"/>
      <c r="L342" s="35"/>
      <c r="M342" s="35"/>
      <c r="AZ342" s="17"/>
      <c r="BA342" s="2"/>
      <c r="BB342" s="2"/>
      <c r="BC342" s="2"/>
      <c r="BD342" s="2"/>
      <c r="BE342" s="3"/>
      <c r="BF342" s="3"/>
      <c r="BG342" s="3"/>
      <c r="BH342" s="2"/>
      <c r="BI342" s="18"/>
    </row>
    <row r="343" spans="1:61">
      <c r="A343" s="29">
        <v>345</v>
      </c>
      <c r="B343" s="2">
        <v>4</v>
      </c>
      <c r="C343" s="2">
        <v>1</v>
      </c>
      <c r="D343" s="2">
        <v>80</v>
      </c>
      <c r="E343" s="2">
        <v>26</v>
      </c>
      <c r="F343" s="3">
        <v>44380</v>
      </c>
      <c r="G343" s="3">
        <v>44387</v>
      </c>
      <c r="H343" s="3">
        <v>44388</v>
      </c>
      <c r="I343" s="2">
        <v>30</v>
      </c>
      <c r="J343" s="29" t="s">
        <v>197</v>
      </c>
      <c r="K343" s="35"/>
      <c r="L343" s="35"/>
      <c r="M343" s="35"/>
      <c r="AZ343" s="17"/>
      <c r="BA343" s="2"/>
      <c r="BB343" s="2"/>
      <c r="BC343" s="2"/>
      <c r="BD343" s="2"/>
      <c r="BE343" s="3"/>
      <c r="BF343" s="3"/>
      <c r="BG343" s="3"/>
      <c r="BH343" s="2"/>
      <c r="BI343" s="18"/>
    </row>
    <row r="344" spans="1:61">
      <c r="A344" s="29">
        <v>346</v>
      </c>
      <c r="B344" s="2">
        <v>6</v>
      </c>
      <c r="C344" s="2">
        <v>1</v>
      </c>
      <c r="D344" s="2">
        <v>80</v>
      </c>
      <c r="E344" s="2">
        <v>26</v>
      </c>
      <c r="F344" s="3">
        <v>44380</v>
      </c>
      <c r="G344" s="3">
        <v>44387</v>
      </c>
      <c r="H344" s="3">
        <v>44388</v>
      </c>
      <c r="I344" s="2">
        <v>50</v>
      </c>
      <c r="J344" s="29" t="s">
        <v>197</v>
      </c>
      <c r="K344" s="35"/>
      <c r="L344" s="35"/>
      <c r="M344" s="35"/>
      <c r="AZ344" s="17"/>
      <c r="BA344" s="2"/>
      <c r="BB344" s="2"/>
      <c r="BC344" s="2"/>
      <c r="BD344" s="2"/>
      <c r="BE344" s="3"/>
      <c r="BF344" s="3"/>
      <c r="BG344" s="3"/>
      <c r="BH344" s="2"/>
      <c r="BI344" s="18"/>
    </row>
    <row r="345" spans="1:61">
      <c r="A345" s="29">
        <v>347</v>
      </c>
      <c r="B345" s="2">
        <v>8</v>
      </c>
      <c r="C345" s="2">
        <v>1</v>
      </c>
      <c r="D345" s="2">
        <v>80</v>
      </c>
      <c r="E345" s="2">
        <v>26</v>
      </c>
      <c r="F345" s="3">
        <v>44380</v>
      </c>
      <c r="G345" s="3">
        <v>44387</v>
      </c>
      <c r="H345" s="3">
        <v>44388</v>
      </c>
      <c r="I345" s="2">
        <v>10</v>
      </c>
      <c r="J345" s="29" t="s">
        <v>197</v>
      </c>
      <c r="K345" s="35"/>
      <c r="L345" s="35"/>
      <c r="M345" s="35"/>
      <c r="AZ345" s="17"/>
      <c r="BA345" s="2"/>
      <c r="BB345" s="2"/>
      <c r="BC345" s="2"/>
      <c r="BD345" s="2"/>
      <c r="BE345" s="3"/>
      <c r="BF345" s="3"/>
      <c r="BG345" s="3"/>
      <c r="BH345" s="2"/>
      <c r="BI345" s="18"/>
    </row>
    <row r="346" spans="1:61">
      <c r="A346" s="29">
        <v>348</v>
      </c>
      <c r="B346" s="2">
        <v>11</v>
      </c>
      <c r="C346" s="2">
        <v>1</v>
      </c>
      <c r="D346" s="2">
        <v>137</v>
      </c>
      <c r="E346" s="2">
        <v>37</v>
      </c>
      <c r="F346" s="3">
        <v>44389</v>
      </c>
      <c r="G346" s="3">
        <v>44396</v>
      </c>
      <c r="H346" s="3">
        <v>44397</v>
      </c>
      <c r="I346" s="2">
        <v>60</v>
      </c>
      <c r="J346" s="29" t="s">
        <v>198</v>
      </c>
      <c r="K346" s="35"/>
      <c r="L346" s="35"/>
      <c r="M346" s="35"/>
      <c r="AZ346" s="17"/>
      <c r="BA346" s="2"/>
      <c r="BB346" s="2"/>
      <c r="BC346" s="2"/>
      <c r="BD346" s="2"/>
      <c r="BE346" s="3"/>
      <c r="BF346" s="3"/>
      <c r="BG346" s="3"/>
      <c r="BH346" s="2"/>
      <c r="BI346" s="18"/>
    </row>
    <row r="347" spans="1:61">
      <c r="A347" s="29">
        <v>349</v>
      </c>
      <c r="B347" s="2">
        <v>9</v>
      </c>
      <c r="C347" s="2">
        <v>1</v>
      </c>
      <c r="D347" s="2">
        <v>79</v>
      </c>
      <c r="E347" s="2">
        <v>25</v>
      </c>
      <c r="F347" s="3">
        <v>44380</v>
      </c>
      <c r="G347" s="3">
        <v>44387</v>
      </c>
      <c r="H347" s="3">
        <v>44388</v>
      </c>
      <c r="I347" s="2">
        <v>40</v>
      </c>
      <c r="J347" s="29" t="s">
        <v>197</v>
      </c>
      <c r="K347" s="35"/>
      <c r="L347" s="35"/>
      <c r="M347" s="35"/>
      <c r="AZ347" s="17"/>
      <c r="BA347" s="2"/>
      <c r="BB347" s="2"/>
      <c r="BC347" s="2"/>
      <c r="BD347" s="2"/>
      <c r="BE347" s="3"/>
      <c r="BF347" s="3"/>
      <c r="BG347" s="3"/>
      <c r="BH347" s="2"/>
      <c r="BI347" s="18"/>
    </row>
    <row r="348" spans="1:61">
      <c r="A348" s="29">
        <v>350</v>
      </c>
      <c r="B348" s="2">
        <v>17</v>
      </c>
      <c r="C348" s="2">
        <v>3</v>
      </c>
      <c r="D348" s="2">
        <v>138</v>
      </c>
      <c r="E348" s="2">
        <v>25</v>
      </c>
      <c r="F348" s="3">
        <v>44380</v>
      </c>
      <c r="G348" s="3">
        <v>44387</v>
      </c>
      <c r="H348" s="3">
        <v>44387</v>
      </c>
      <c r="I348" s="2">
        <v>0</v>
      </c>
      <c r="J348" s="29" t="s">
        <v>197</v>
      </c>
      <c r="K348" s="35"/>
      <c r="L348" s="35"/>
      <c r="M348" s="35"/>
      <c r="AZ348" s="17"/>
      <c r="BA348" s="2"/>
      <c r="BB348" s="2"/>
      <c r="BC348" s="2"/>
      <c r="BD348" s="2"/>
      <c r="BE348" s="3"/>
      <c r="BF348" s="3"/>
      <c r="BG348" s="3"/>
      <c r="BH348" s="2"/>
      <c r="BI348" s="18"/>
    </row>
    <row r="349" spans="1:61">
      <c r="A349" s="29">
        <v>351</v>
      </c>
      <c r="B349" s="2">
        <v>19</v>
      </c>
      <c r="C349" s="2">
        <v>3</v>
      </c>
      <c r="D349" s="2">
        <v>138</v>
      </c>
      <c r="E349" s="2">
        <v>25</v>
      </c>
      <c r="F349" s="3">
        <v>44380</v>
      </c>
      <c r="G349" s="3">
        <v>44387</v>
      </c>
      <c r="H349" s="3">
        <v>44387</v>
      </c>
      <c r="I349" s="2">
        <v>0</v>
      </c>
      <c r="J349" s="29" t="s">
        <v>197</v>
      </c>
      <c r="K349" s="35"/>
      <c r="L349" s="35"/>
      <c r="M349" s="35"/>
      <c r="AZ349" s="17"/>
      <c r="BA349" s="2"/>
      <c r="BB349" s="2"/>
      <c r="BC349" s="2"/>
      <c r="BD349" s="2"/>
      <c r="BE349" s="3"/>
      <c r="BF349" s="3"/>
      <c r="BG349" s="3"/>
      <c r="BH349" s="2"/>
      <c r="BI349" s="18"/>
    </row>
    <row r="350" spans="1:61">
      <c r="A350" s="29">
        <v>352</v>
      </c>
      <c r="B350" s="2">
        <v>20</v>
      </c>
      <c r="C350" s="2">
        <v>3</v>
      </c>
      <c r="D350" s="2">
        <v>138</v>
      </c>
      <c r="E350" s="2">
        <v>25</v>
      </c>
      <c r="F350" s="3">
        <v>44380</v>
      </c>
      <c r="G350" s="3">
        <v>44387</v>
      </c>
      <c r="H350" s="3">
        <v>44387</v>
      </c>
      <c r="I350" s="2">
        <v>0</v>
      </c>
      <c r="J350" s="29" t="s">
        <v>197</v>
      </c>
      <c r="K350" s="35"/>
      <c r="L350" s="35"/>
      <c r="M350" s="35"/>
      <c r="AZ350" s="17"/>
      <c r="BA350" s="2"/>
      <c r="BB350" s="2"/>
      <c r="BC350" s="2"/>
      <c r="BD350" s="2"/>
      <c r="BE350" s="3"/>
      <c r="BF350" s="3"/>
      <c r="BG350" s="3"/>
      <c r="BH350" s="2"/>
      <c r="BI350" s="18"/>
    </row>
    <row r="351" spans="1:61">
      <c r="A351" s="29">
        <v>353</v>
      </c>
      <c r="B351" s="2">
        <v>5</v>
      </c>
      <c r="C351" s="2">
        <v>3</v>
      </c>
      <c r="D351" s="2">
        <v>139</v>
      </c>
      <c r="E351" s="2">
        <v>26</v>
      </c>
      <c r="F351" s="3">
        <v>44380</v>
      </c>
      <c r="G351" s="3">
        <v>44387</v>
      </c>
      <c r="H351" s="3">
        <v>44387</v>
      </c>
      <c r="I351" s="2">
        <v>60</v>
      </c>
      <c r="J351" s="29" t="s">
        <v>197</v>
      </c>
      <c r="K351" s="35"/>
      <c r="L351" s="35"/>
      <c r="M351" s="35"/>
      <c r="AZ351" s="17"/>
      <c r="BA351" s="2"/>
      <c r="BB351" s="2"/>
      <c r="BC351" s="2"/>
      <c r="BD351" s="2"/>
      <c r="BE351" s="3"/>
      <c r="BF351" s="3"/>
      <c r="BG351" s="3"/>
      <c r="BH351" s="2"/>
      <c r="BI351" s="18"/>
    </row>
    <row r="352" spans="1:61">
      <c r="A352" s="29">
        <v>354</v>
      </c>
      <c r="B352" s="2">
        <v>6</v>
      </c>
      <c r="C352" s="2">
        <v>3</v>
      </c>
      <c r="D352" s="2">
        <v>139</v>
      </c>
      <c r="E352" s="2">
        <v>26</v>
      </c>
      <c r="F352" s="3">
        <v>44380</v>
      </c>
      <c r="G352" s="3">
        <v>44387</v>
      </c>
      <c r="H352" s="3">
        <v>44387</v>
      </c>
      <c r="I352" s="2">
        <v>50</v>
      </c>
      <c r="J352" s="29" t="s">
        <v>197</v>
      </c>
      <c r="K352" s="35"/>
      <c r="L352" s="35"/>
      <c r="M352" s="35"/>
      <c r="AZ352" s="17"/>
      <c r="BA352" s="2"/>
      <c r="BB352" s="2"/>
      <c r="BC352" s="2"/>
      <c r="BD352" s="2"/>
      <c r="BE352" s="3"/>
      <c r="BF352" s="3"/>
      <c r="BG352" s="3"/>
      <c r="BH352" s="2"/>
      <c r="BI352" s="18"/>
    </row>
    <row r="353" spans="1:61">
      <c r="A353" s="29">
        <v>355</v>
      </c>
      <c r="B353" s="2">
        <v>4</v>
      </c>
      <c r="C353" s="2">
        <v>3</v>
      </c>
      <c r="D353" s="2">
        <v>139</v>
      </c>
      <c r="E353" s="2">
        <v>26</v>
      </c>
      <c r="F353" s="3">
        <v>44380</v>
      </c>
      <c r="G353" s="3">
        <v>44387</v>
      </c>
      <c r="H353" s="3">
        <v>44387</v>
      </c>
      <c r="I353" s="2">
        <v>0</v>
      </c>
      <c r="J353" s="29" t="s">
        <v>197</v>
      </c>
      <c r="K353" s="35"/>
      <c r="L353" s="35"/>
      <c r="M353" s="35"/>
      <c r="AZ353" s="17"/>
      <c r="BA353" s="2"/>
      <c r="BB353" s="2"/>
      <c r="BC353" s="2"/>
      <c r="BD353" s="2"/>
      <c r="BE353" s="3"/>
      <c r="BF353" s="3"/>
      <c r="BG353" s="3"/>
      <c r="BH353" s="2"/>
      <c r="BI353" s="18"/>
    </row>
    <row r="354" spans="1:61">
      <c r="A354" s="29">
        <v>356</v>
      </c>
      <c r="B354" s="2">
        <v>8</v>
      </c>
      <c r="C354" s="2">
        <v>3</v>
      </c>
      <c r="D354" s="2">
        <v>139</v>
      </c>
      <c r="E354" s="2">
        <v>26</v>
      </c>
      <c r="F354" s="3">
        <v>44380</v>
      </c>
      <c r="G354" s="3">
        <v>44387</v>
      </c>
      <c r="H354" s="3">
        <v>44387</v>
      </c>
      <c r="I354" s="2">
        <v>40</v>
      </c>
      <c r="J354" s="29" t="s">
        <v>197</v>
      </c>
      <c r="K354" s="35"/>
      <c r="L354" s="35"/>
      <c r="M354" s="35"/>
      <c r="AZ354" s="17"/>
      <c r="BA354" s="2"/>
      <c r="BB354" s="2"/>
      <c r="BC354" s="2"/>
      <c r="BD354" s="2"/>
      <c r="BE354" s="3"/>
      <c r="BF354" s="3"/>
      <c r="BG354" s="3"/>
      <c r="BH354" s="2"/>
      <c r="BI354" s="18"/>
    </row>
    <row r="355" spans="1:61">
      <c r="A355" s="29">
        <v>357</v>
      </c>
      <c r="B355" s="2">
        <v>16</v>
      </c>
      <c r="C355" s="2">
        <v>3</v>
      </c>
      <c r="D355" s="2">
        <v>138</v>
      </c>
      <c r="E355" s="2">
        <v>25</v>
      </c>
      <c r="F355" s="3">
        <v>44380</v>
      </c>
      <c r="G355" s="3">
        <v>44387</v>
      </c>
      <c r="H355" s="3">
        <v>44387</v>
      </c>
      <c r="I355" s="2">
        <v>30</v>
      </c>
      <c r="J355" s="29" t="s">
        <v>197</v>
      </c>
      <c r="K355" s="35"/>
      <c r="L355" s="35"/>
      <c r="M355" s="35"/>
      <c r="AZ355" s="17"/>
      <c r="BA355" s="2"/>
      <c r="BB355" s="2"/>
      <c r="BC355" s="2"/>
      <c r="BD355" s="2"/>
      <c r="BE355" s="3"/>
      <c r="BF355" s="3"/>
      <c r="BG355" s="3"/>
      <c r="BH355" s="2"/>
      <c r="BI355" s="18"/>
    </row>
    <row r="356" spans="1:61">
      <c r="A356" s="29">
        <v>358</v>
      </c>
      <c r="B356" s="2">
        <v>19</v>
      </c>
      <c r="C356" s="2">
        <v>3</v>
      </c>
      <c r="D356" s="2">
        <v>138</v>
      </c>
      <c r="E356" s="2">
        <v>25</v>
      </c>
      <c r="F356" s="3">
        <v>44380</v>
      </c>
      <c r="G356" s="3">
        <v>44387</v>
      </c>
      <c r="H356" s="3">
        <v>44387</v>
      </c>
      <c r="I356" s="2">
        <v>50</v>
      </c>
      <c r="J356" s="29" t="s">
        <v>197</v>
      </c>
      <c r="K356" s="35"/>
      <c r="L356" s="35"/>
      <c r="M356" s="35"/>
      <c r="AZ356" s="17"/>
      <c r="BA356" s="2"/>
      <c r="BB356" s="2"/>
      <c r="BC356" s="2"/>
      <c r="BD356" s="2"/>
      <c r="BE356" s="3"/>
      <c r="BF356" s="3"/>
      <c r="BG356" s="3"/>
      <c r="BH356" s="2"/>
      <c r="BI356" s="18"/>
    </row>
    <row r="357" spans="1:61">
      <c r="A357" s="29">
        <v>359</v>
      </c>
      <c r="B357" s="2">
        <v>15</v>
      </c>
      <c r="C357" s="2">
        <v>3</v>
      </c>
      <c r="D357" s="2">
        <v>138</v>
      </c>
      <c r="E357" s="2">
        <v>25</v>
      </c>
      <c r="F357" s="3">
        <v>44380</v>
      </c>
      <c r="G357" s="3">
        <v>44387</v>
      </c>
      <c r="H357" s="3">
        <v>44387</v>
      </c>
      <c r="I357" s="2">
        <v>60</v>
      </c>
      <c r="J357" s="29" t="s">
        <v>197</v>
      </c>
      <c r="K357" s="35"/>
      <c r="L357" s="35"/>
      <c r="M357" s="35"/>
      <c r="AZ357" s="17"/>
      <c r="BA357" s="2"/>
      <c r="BB357" s="2"/>
      <c r="BC357" s="2"/>
      <c r="BD357" s="2"/>
      <c r="BE357" s="3"/>
      <c r="BF357" s="3"/>
      <c r="BG357" s="3"/>
      <c r="BH357" s="2"/>
      <c r="BI357" s="18"/>
    </row>
    <row r="358" spans="1:61">
      <c r="A358" s="29">
        <v>360</v>
      </c>
      <c r="B358" s="2">
        <v>16</v>
      </c>
      <c r="C358" s="2">
        <v>3</v>
      </c>
      <c r="D358" s="2">
        <v>139</v>
      </c>
      <c r="E358" s="2">
        <v>26</v>
      </c>
      <c r="F358" s="3">
        <v>44380</v>
      </c>
      <c r="G358" s="3">
        <v>44387</v>
      </c>
      <c r="H358" s="3">
        <v>44387</v>
      </c>
      <c r="I358" s="2">
        <v>50</v>
      </c>
      <c r="J358" s="29" t="s">
        <v>197</v>
      </c>
      <c r="K358" s="35"/>
      <c r="L358" s="35"/>
      <c r="M358" s="35"/>
      <c r="AZ358" s="17"/>
      <c r="BA358" s="2"/>
      <c r="BB358" s="2"/>
      <c r="BC358" s="2"/>
      <c r="BD358" s="2"/>
      <c r="BE358" s="3"/>
      <c r="BF358" s="3"/>
      <c r="BG358" s="3"/>
      <c r="BH358" s="2"/>
      <c r="BI358" s="18"/>
    </row>
    <row r="359" spans="1:61">
      <c r="A359" s="29">
        <v>361</v>
      </c>
      <c r="B359" s="2">
        <v>9</v>
      </c>
      <c r="C359" s="2">
        <v>3</v>
      </c>
      <c r="D359" s="2">
        <v>139</v>
      </c>
      <c r="E359" s="2">
        <v>26</v>
      </c>
      <c r="F359" s="3">
        <v>44380</v>
      </c>
      <c r="G359" s="3">
        <v>44387</v>
      </c>
      <c r="H359" s="3">
        <v>44387</v>
      </c>
      <c r="I359" s="2">
        <v>40</v>
      </c>
      <c r="J359" s="29" t="s">
        <v>197</v>
      </c>
      <c r="K359" s="35"/>
      <c r="L359" s="35"/>
      <c r="M359" s="35"/>
      <c r="AZ359" s="17"/>
      <c r="BA359" s="2"/>
      <c r="BB359" s="2"/>
      <c r="BC359" s="2"/>
      <c r="BD359" s="2"/>
      <c r="BE359" s="3"/>
      <c r="BF359" s="3"/>
      <c r="BG359" s="3"/>
      <c r="BH359" s="2"/>
      <c r="BI359" s="18"/>
    </row>
    <row r="360" spans="1:61">
      <c r="A360" s="29">
        <v>362</v>
      </c>
      <c r="B360" s="2">
        <v>12</v>
      </c>
      <c r="C360" s="2">
        <v>3</v>
      </c>
      <c r="D360" s="2">
        <v>139</v>
      </c>
      <c r="E360" s="2">
        <v>26</v>
      </c>
      <c r="F360" s="3">
        <v>44380</v>
      </c>
      <c r="G360" s="3">
        <v>44387</v>
      </c>
      <c r="H360" s="3">
        <v>44387</v>
      </c>
      <c r="I360" s="2">
        <v>20</v>
      </c>
      <c r="J360" s="29" t="s">
        <v>197</v>
      </c>
      <c r="K360" s="35"/>
      <c r="L360" s="35"/>
      <c r="M360" s="35"/>
      <c r="AZ360" s="17"/>
      <c r="BA360" s="2"/>
      <c r="BB360" s="2"/>
      <c r="BC360" s="2"/>
      <c r="BD360" s="2"/>
      <c r="BE360" s="3"/>
      <c r="BF360" s="3"/>
      <c r="BG360" s="3"/>
      <c r="BH360" s="2"/>
      <c r="BI360" s="18"/>
    </row>
    <row r="361" spans="1:61">
      <c r="A361" s="29">
        <v>363</v>
      </c>
      <c r="B361" s="2">
        <v>17</v>
      </c>
      <c r="C361" s="2">
        <v>1</v>
      </c>
      <c r="D361" s="2">
        <v>93</v>
      </c>
      <c r="E361" s="2">
        <v>27</v>
      </c>
      <c r="F361" s="3">
        <v>44381</v>
      </c>
      <c r="G361" s="3">
        <v>44388</v>
      </c>
      <c r="H361" s="3">
        <v>44389</v>
      </c>
      <c r="I361" s="2">
        <v>0</v>
      </c>
      <c r="J361" s="29" t="s">
        <v>197</v>
      </c>
      <c r="K361" s="35"/>
      <c r="L361" s="35"/>
      <c r="M361" s="35"/>
      <c r="AZ361" s="17"/>
      <c r="BA361" s="2"/>
      <c r="BB361" s="2"/>
      <c r="BC361" s="2"/>
      <c r="BD361" s="2"/>
      <c r="BE361" s="3"/>
      <c r="BF361" s="3"/>
      <c r="BG361" s="3"/>
      <c r="BH361" s="2"/>
      <c r="BI361" s="18"/>
    </row>
    <row r="362" spans="1:61">
      <c r="A362" s="29">
        <v>364</v>
      </c>
      <c r="B362" s="2">
        <v>19</v>
      </c>
      <c r="C362" s="2">
        <v>1</v>
      </c>
      <c r="D362" s="2">
        <v>93</v>
      </c>
      <c r="E362" s="2">
        <v>27</v>
      </c>
      <c r="F362" s="3">
        <v>44381</v>
      </c>
      <c r="G362" s="3">
        <v>44388</v>
      </c>
      <c r="H362" s="3">
        <v>44389</v>
      </c>
      <c r="I362" s="2">
        <v>0</v>
      </c>
      <c r="J362" s="29" t="s">
        <v>197</v>
      </c>
      <c r="K362" s="35"/>
      <c r="L362" s="35"/>
      <c r="M362" s="35"/>
      <c r="AZ362" s="17"/>
      <c r="BA362" s="2"/>
      <c r="BB362" s="2"/>
      <c r="BC362" s="2"/>
      <c r="BD362" s="2"/>
      <c r="BE362" s="3"/>
      <c r="BF362" s="3"/>
      <c r="BG362" s="3"/>
      <c r="BH362" s="2"/>
      <c r="BI362" s="18"/>
    </row>
    <row r="363" spans="1:61">
      <c r="A363" s="29">
        <v>365</v>
      </c>
      <c r="B363" s="2">
        <v>26</v>
      </c>
      <c r="C363" s="2">
        <v>1</v>
      </c>
      <c r="D363" s="2">
        <v>93</v>
      </c>
      <c r="E363" s="2">
        <v>27</v>
      </c>
      <c r="F363" s="3">
        <v>44381</v>
      </c>
      <c r="G363" s="3">
        <v>44388</v>
      </c>
      <c r="H363" s="3">
        <v>44389</v>
      </c>
      <c r="I363" s="2">
        <v>10</v>
      </c>
      <c r="J363" s="29" t="s">
        <v>197</v>
      </c>
      <c r="K363" s="35"/>
      <c r="L363" s="35"/>
      <c r="M363" s="35"/>
      <c r="AZ363" s="17"/>
      <c r="BA363" s="2"/>
      <c r="BB363" s="2"/>
      <c r="BC363" s="2"/>
      <c r="BD363" s="2"/>
      <c r="BE363" s="3"/>
      <c r="BF363" s="3"/>
      <c r="BG363" s="3"/>
      <c r="BH363" s="2"/>
      <c r="BI363" s="18"/>
    </row>
    <row r="364" spans="1:61">
      <c r="A364" s="29">
        <v>366</v>
      </c>
      <c r="B364" s="2">
        <v>28</v>
      </c>
      <c r="C364" s="2">
        <v>1</v>
      </c>
      <c r="D364" s="2">
        <v>93</v>
      </c>
      <c r="E364" s="2">
        <v>27</v>
      </c>
      <c r="F364" s="3">
        <v>44381</v>
      </c>
      <c r="G364" s="3">
        <v>44388</v>
      </c>
      <c r="H364" s="3">
        <v>44389</v>
      </c>
      <c r="I364" s="2">
        <v>50</v>
      </c>
      <c r="J364" s="29" t="s">
        <v>197</v>
      </c>
      <c r="K364" s="35"/>
      <c r="L364" s="35"/>
      <c r="M364" s="35"/>
      <c r="AZ364" s="17"/>
      <c r="BA364" s="2"/>
      <c r="BB364" s="2"/>
      <c r="BC364" s="2"/>
      <c r="BD364" s="2"/>
      <c r="BE364" s="3"/>
      <c r="BF364" s="3"/>
      <c r="BG364" s="3"/>
      <c r="BH364" s="2"/>
      <c r="BI364" s="18"/>
    </row>
    <row r="365" spans="1:61">
      <c r="A365" s="29">
        <v>367</v>
      </c>
      <c r="B365" s="2">
        <v>30</v>
      </c>
      <c r="C365" s="2">
        <v>1</v>
      </c>
      <c r="D365" s="2">
        <v>93</v>
      </c>
      <c r="E365" s="2">
        <v>27</v>
      </c>
      <c r="F365" s="3">
        <v>44381</v>
      </c>
      <c r="G365" s="3">
        <v>44388</v>
      </c>
      <c r="H365" s="3">
        <v>44389</v>
      </c>
      <c r="I365" s="2">
        <v>50</v>
      </c>
      <c r="J365" s="29" t="s">
        <v>197</v>
      </c>
      <c r="K365" s="35"/>
      <c r="L365" s="35"/>
      <c r="M365" s="35"/>
      <c r="AZ365" s="17"/>
      <c r="BA365" s="2"/>
      <c r="BB365" s="2"/>
      <c r="BC365" s="2"/>
      <c r="BD365" s="2"/>
      <c r="BE365" s="3"/>
      <c r="BF365" s="3"/>
      <c r="BG365" s="3"/>
      <c r="BH365" s="2"/>
      <c r="BI365" s="18"/>
    </row>
    <row r="366" spans="1:61">
      <c r="A366" s="29">
        <v>368</v>
      </c>
      <c r="B366" s="2">
        <v>2</v>
      </c>
      <c r="C366" s="2">
        <v>1</v>
      </c>
      <c r="D366" s="2">
        <v>94</v>
      </c>
      <c r="E366" s="2">
        <v>28</v>
      </c>
      <c r="F366" s="3">
        <v>44381</v>
      </c>
      <c r="G366" s="3">
        <v>44388</v>
      </c>
      <c r="H366" s="3">
        <v>44389</v>
      </c>
      <c r="I366" s="2">
        <v>0</v>
      </c>
      <c r="J366" s="29" t="s">
        <v>197</v>
      </c>
      <c r="K366" s="35"/>
      <c r="L366" s="35"/>
      <c r="M366" s="35"/>
      <c r="AZ366" s="17"/>
      <c r="BA366" s="2"/>
      <c r="BB366" s="2"/>
      <c r="BC366" s="2"/>
      <c r="BD366" s="2"/>
      <c r="BE366" s="3"/>
      <c r="BF366" s="3"/>
      <c r="BG366" s="3"/>
      <c r="BH366" s="2"/>
      <c r="BI366" s="18"/>
    </row>
    <row r="367" spans="1:61">
      <c r="A367" s="29">
        <v>369</v>
      </c>
      <c r="B367" s="2">
        <v>18</v>
      </c>
      <c r="C367" s="2">
        <v>1</v>
      </c>
      <c r="D367" s="2">
        <v>94</v>
      </c>
      <c r="E367" s="2">
        <v>28</v>
      </c>
      <c r="F367" s="3">
        <v>44381</v>
      </c>
      <c r="G367" s="3">
        <v>44388</v>
      </c>
      <c r="H367" s="3">
        <v>44389</v>
      </c>
      <c r="I367" s="2">
        <v>30</v>
      </c>
      <c r="J367" s="29" t="s">
        <v>197</v>
      </c>
      <c r="K367" s="35"/>
      <c r="L367" s="35"/>
      <c r="M367" s="35"/>
      <c r="AZ367" s="17"/>
      <c r="BA367" s="2"/>
      <c r="BB367" s="2"/>
      <c r="BC367" s="2"/>
      <c r="BD367" s="2"/>
      <c r="BE367" s="3"/>
      <c r="BF367" s="3"/>
      <c r="BG367" s="3"/>
      <c r="BH367" s="2"/>
      <c r="BI367" s="18"/>
    </row>
    <row r="368" spans="1:61">
      <c r="A368" s="29">
        <v>370</v>
      </c>
      <c r="B368" s="2">
        <v>20</v>
      </c>
      <c r="C368" s="2">
        <v>1</v>
      </c>
      <c r="D368" s="2">
        <v>94</v>
      </c>
      <c r="E368" s="2">
        <v>28</v>
      </c>
      <c r="F368" s="3">
        <v>44381</v>
      </c>
      <c r="G368" s="3">
        <v>44388</v>
      </c>
      <c r="H368" s="3">
        <v>44389</v>
      </c>
      <c r="I368" s="2">
        <v>50</v>
      </c>
      <c r="J368" s="29" t="s">
        <v>197</v>
      </c>
      <c r="K368" s="35"/>
      <c r="L368" s="35"/>
      <c r="M368" s="35"/>
      <c r="AZ368" s="17"/>
      <c r="BA368" s="2"/>
      <c r="BB368" s="2"/>
      <c r="BC368" s="2"/>
      <c r="BD368" s="2"/>
      <c r="BE368" s="3"/>
      <c r="BF368" s="3"/>
      <c r="BG368" s="3"/>
      <c r="BH368" s="2"/>
      <c r="BI368" s="18"/>
    </row>
    <row r="369" spans="1:61">
      <c r="A369" s="29">
        <v>371</v>
      </c>
      <c r="B369" s="2">
        <v>22</v>
      </c>
      <c r="C369" s="2">
        <v>1</v>
      </c>
      <c r="D369" s="2">
        <v>94</v>
      </c>
      <c r="E369" s="2">
        <v>28</v>
      </c>
      <c r="F369" s="3">
        <v>44381</v>
      </c>
      <c r="G369" s="3">
        <v>44388</v>
      </c>
      <c r="H369" s="3">
        <v>44389</v>
      </c>
      <c r="I369" s="2">
        <v>20</v>
      </c>
      <c r="J369" s="29" t="s">
        <v>197</v>
      </c>
      <c r="K369" s="35"/>
      <c r="L369" s="35"/>
      <c r="M369" s="35"/>
      <c r="AZ369" s="17"/>
      <c r="BA369" s="2"/>
      <c r="BB369" s="2"/>
      <c r="BC369" s="2"/>
      <c r="BD369" s="2"/>
      <c r="BE369" s="3"/>
      <c r="BF369" s="3"/>
      <c r="BG369" s="3"/>
      <c r="BH369" s="2"/>
      <c r="BI369" s="18"/>
    </row>
    <row r="370" spans="1:61">
      <c r="A370" s="29">
        <v>372</v>
      </c>
      <c r="B370" s="2">
        <v>24</v>
      </c>
      <c r="C370" s="2">
        <v>1</v>
      </c>
      <c r="D370" s="2">
        <v>94</v>
      </c>
      <c r="E370" s="2">
        <v>28</v>
      </c>
      <c r="F370" s="3">
        <v>44381</v>
      </c>
      <c r="G370" s="3">
        <v>44388</v>
      </c>
      <c r="H370" s="3">
        <v>44389</v>
      </c>
      <c r="I370" s="2">
        <v>50</v>
      </c>
      <c r="J370" s="29" t="s">
        <v>197</v>
      </c>
      <c r="K370" s="35"/>
      <c r="L370" s="35"/>
      <c r="M370" s="35"/>
      <c r="AZ370" s="17"/>
      <c r="BA370" s="2"/>
      <c r="BB370" s="2"/>
      <c r="BC370" s="2"/>
      <c r="BD370" s="2"/>
      <c r="BE370" s="3"/>
      <c r="BF370" s="3"/>
      <c r="BG370" s="3"/>
      <c r="BH370" s="2"/>
      <c r="BI370" s="18"/>
    </row>
    <row r="371" spans="1:61">
      <c r="A371" s="29">
        <v>373</v>
      </c>
      <c r="B371" s="2">
        <v>27</v>
      </c>
      <c r="C371" s="2">
        <v>1</v>
      </c>
      <c r="D371" s="2">
        <v>94</v>
      </c>
      <c r="E371" s="2">
        <v>28</v>
      </c>
      <c r="F371" s="3">
        <v>44381</v>
      </c>
      <c r="G371" s="3">
        <v>44388</v>
      </c>
      <c r="H371" s="3">
        <v>44389</v>
      </c>
      <c r="I371" s="2">
        <v>40</v>
      </c>
      <c r="J371" s="29" t="s">
        <v>197</v>
      </c>
      <c r="K371" s="35"/>
      <c r="L371" s="35"/>
      <c r="M371" s="35"/>
      <c r="AZ371" s="17"/>
      <c r="BA371" s="2"/>
      <c r="BB371" s="2"/>
      <c r="BC371" s="2"/>
      <c r="BD371" s="2"/>
      <c r="BE371" s="3"/>
      <c r="BF371" s="3"/>
      <c r="BG371" s="3"/>
      <c r="BH371" s="2"/>
      <c r="BI371" s="18"/>
    </row>
    <row r="372" spans="1:61">
      <c r="A372" s="29">
        <v>374</v>
      </c>
      <c r="B372" s="2">
        <v>29</v>
      </c>
      <c r="C372" s="2">
        <v>1</v>
      </c>
      <c r="D372" s="2">
        <v>94</v>
      </c>
      <c r="E372" s="2">
        <v>28</v>
      </c>
      <c r="F372" s="3">
        <v>44381</v>
      </c>
      <c r="G372" s="3">
        <v>44388</v>
      </c>
      <c r="H372" s="3">
        <v>44389</v>
      </c>
      <c r="I372" s="2">
        <v>20</v>
      </c>
      <c r="J372" s="29" t="s">
        <v>197</v>
      </c>
      <c r="K372" s="35"/>
      <c r="L372" s="35"/>
      <c r="M372" s="35"/>
      <c r="AZ372" s="17"/>
      <c r="BA372" s="2"/>
      <c r="BB372" s="2"/>
      <c r="BC372" s="2"/>
      <c r="BD372" s="2"/>
      <c r="BE372" s="3"/>
      <c r="BF372" s="3"/>
      <c r="BG372" s="3"/>
      <c r="BH372" s="2"/>
      <c r="BI372" s="18"/>
    </row>
    <row r="373" spans="1:61">
      <c r="A373" s="29">
        <v>375</v>
      </c>
      <c r="B373" s="2">
        <v>6</v>
      </c>
      <c r="C373" s="2">
        <v>1</v>
      </c>
      <c r="D373" s="2">
        <v>94</v>
      </c>
      <c r="E373" s="2">
        <v>28</v>
      </c>
      <c r="F373" s="3">
        <v>44381</v>
      </c>
      <c r="G373" s="3">
        <v>44388</v>
      </c>
      <c r="H373" s="3">
        <v>44389</v>
      </c>
      <c r="I373" s="2">
        <v>40</v>
      </c>
      <c r="J373" s="29" t="s">
        <v>197</v>
      </c>
      <c r="K373" s="35"/>
      <c r="L373" s="35"/>
      <c r="M373" s="35"/>
      <c r="AZ373" s="17"/>
      <c r="BA373" s="2"/>
      <c r="BB373" s="2"/>
      <c r="BC373" s="2"/>
      <c r="BD373" s="2"/>
      <c r="BE373" s="3"/>
      <c r="BF373" s="3"/>
      <c r="BG373" s="3"/>
      <c r="BH373" s="2"/>
      <c r="BI373" s="18"/>
    </row>
    <row r="374" spans="1:61">
      <c r="A374" s="29">
        <v>376</v>
      </c>
      <c r="B374" s="2">
        <v>1</v>
      </c>
      <c r="C374" s="2">
        <v>1</v>
      </c>
      <c r="D374" s="2">
        <v>94</v>
      </c>
      <c r="E374" s="2">
        <v>28</v>
      </c>
      <c r="F374" s="3">
        <v>44381</v>
      </c>
      <c r="G374" s="3">
        <v>44388</v>
      </c>
      <c r="H374" s="3">
        <v>44389</v>
      </c>
      <c r="I374" s="2">
        <v>10</v>
      </c>
      <c r="J374" s="29" t="s">
        <v>197</v>
      </c>
      <c r="K374" s="35"/>
      <c r="L374" s="35"/>
      <c r="M374" s="35"/>
      <c r="AZ374" s="17"/>
      <c r="BA374" s="2"/>
      <c r="BB374" s="2"/>
      <c r="BC374" s="2"/>
      <c r="BD374" s="2"/>
      <c r="BE374" s="3"/>
      <c r="BF374" s="3"/>
      <c r="BG374" s="3"/>
      <c r="BH374" s="2"/>
      <c r="BI374" s="18"/>
    </row>
    <row r="375" spans="1:61">
      <c r="A375" s="29">
        <v>377</v>
      </c>
      <c r="B375" s="2">
        <v>2</v>
      </c>
      <c r="C375" s="2">
        <v>1</v>
      </c>
      <c r="D375" s="2">
        <v>101</v>
      </c>
      <c r="E375" s="2">
        <v>29</v>
      </c>
      <c r="F375" s="3">
        <v>44381</v>
      </c>
      <c r="G375" s="3">
        <v>44388</v>
      </c>
      <c r="H375" s="3">
        <v>44389</v>
      </c>
      <c r="I375" s="2">
        <v>20</v>
      </c>
      <c r="J375" s="29" t="s">
        <v>197</v>
      </c>
      <c r="K375" s="35"/>
      <c r="L375" s="35"/>
      <c r="M375" s="35"/>
      <c r="AZ375" s="17"/>
      <c r="BA375" s="2"/>
      <c r="BB375" s="2"/>
      <c r="BC375" s="2"/>
      <c r="BD375" s="2"/>
      <c r="BE375" s="3"/>
      <c r="BF375" s="3"/>
      <c r="BG375" s="3"/>
      <c r="BH375" s="2"/>
      <c r="BI375" s="18"/>
    </row>
    <row r="376" spans="1:61">
      <c r="A376" s="29">
        <v>378</v>
      </c>
      <c r="B376" s="2">
        <v>23</v>
      </c>
      <c r="C376" s="2">
        <v>1</v>
      </c>
      <c r="D376" s="2">
        <v>101</v>
      </c>
      <c r="E376" s="2">
        <v>29</v>
      </c>
      <c r="F376" s="3">
        <v>44381</v>
      </c>
      <c r="G376" s="3">
        <v>44388</v>
      </c>
      <c r="H376" s="3">
        <v>44389</v>
      </c>
      <c r="I376" s="2">
        <v>40</v>
      </c>
      <c r="J376" s="29" t="s">
        <v>197</v>
      </c>
      <c r="K376" s="35"/>
      <c r="L376" s="35"/>
      <c r="M376" s="35"/>
      <c r="AZ376" s="17"/>
      <c r="BA376" s="2"/>
      <c r="BB376" s="2"/>
      <c r="BC376" s="2"/>
      <c r="BD376" s="2"/>
      <c r="BE376" s="3"/>
      <c r="BF376" s="3"/>
      <c r="BG376" s="3"/>
      <c r="BH376" s="2"/>
      <c r="BI376" s="18"/>
    </row>
    <row r="377" spans="1:61">
      <c r="A377" s="29">
        <v>379</v>
      </c>
      <c r="B377" s="2">
        <v>20</v>
      </c>
      <c r="C377" s="2">
        <v>1</v>
      </c>
      <c r="D377" s="2">
        <v>101</v>
      </c>
      <c r="E377" s="2">
        <v>29</v>
      </c>
      <c r="F377" s="3">
        <v>44381</v>
      </c>
      <c r="G377" s="3">
        <v>44388</v>
      </c>
      <c r="H377" s="3">
        <v>44389</v>
      </c>
      <c r="I377" s="2">
        <v>30</v>
      </c>
      <c r="J377" s="29" t="s">
        <v>197</v>
      </c>
      <c r="K377" s="35"/>
      <c r="L377" s="35"/>
      <c r="M377" s="35"/>
      <c r="AZ377" s="17"/>
      <c r="BA377" s="2"/>
      <c r="BB377" s="2"/>
      <c r="BC377" s="2"/>
      <c r="BD377" s="2"/>
      <c r="BE377" s="3"/>
      <c r="BF377" s="3"/>
      <c r="BG377" s="3"/>
      <c r="BH377" s="2"/>
      <c r="BI377" s="18"/>
    </row>
    <row r="378" spans="1:61">
      <c r="A378" s="29">
        <v>380</v>
      </c>
      <c r="B378" s="2">
        <v>30</v>
      </c>
      <c r="C378" s="2">
        <v>1</v>
      </c>
      <c r="D378" s="2">
        <v>101</v>
      </c>
      <c r="E378" s="2">
        <v>29</v>
      </c>
      <c r="F378" s="3">
        <v>44381</v>
      </c>
      <c r="G378" s="3">
        <v>44388</v>
      </c>
      <c r="H378" s="3">
        <v>44389</v>
      </c>
      <c r="I378" s="2">
        <v>0</v>
      </c>
      <c r="J378" s="29" t="s">
        <v>197</v>
      </c>
      <c r="K378" s="35"/>
      <c r="L378" s="35"/>
      <c r="M378" s="35"/>
      <c r="AZ378" s="17"/>
      <c r="BA378" s="2"/>
      <c r="BB378" s="2"/>
      <c r="BC378" s="2"/>
      <c r="BD378" s="2"/>
      <c r="BE378" s="3"/>
      <c r="BF378" s="3"/>
      <c r="BG378" s="3"/>
      <c r="BH378" s="2"/>
      <c r="BI378" s="18"/>
    </row>
    <row r="379" spans="1:61">
      <c r="A379" s="29">
        <v>381</v>
      </c>
      <c r="B379" s="2">
        <v>27</v>
      </c>
      <c r="C379" s="2">
        <v>1</v>
      </c>
      <c r="D379" s="2">
        <v>101</v>
      </c>
      <c r="E379" s="2">
        <v>29</v>
      </c>
      <c r="F379" s="3">
        <v>44381</v>
      </c>
      <c r="G379" s="3">
        <v>44388</v>
      </c>
      <c r="H379" s="3">
        <v>44389</v>
      </c>
      <c r="I379" s="2">
        <v>0</v>
      </c>
      <c r="J379" s="29" t="s">
        <v>197</v>
      </c>
      <c r="K379" s="35"/>
      <c r="L379" s="35"/>
      <c r="M379" s="35"/>
      <c r="AZ379" s="17"/>
      <c r="BA379" s="2"/>
      <c r="BB379" s="2"/>
      <c r="BC379" s="2"/>
      <c r="BD379" s="2"/>
      <c r="BE379" s="3"/>
      <c r="BF379" s="3"/>
      <c r="BG379" s="3"/>
      <c r="BH379" s="2"/>
      <c r="BI379" s="18"/>
    </row>
    <row r="380" spans="1:61">
      <c r="A380" s="29">
        <v>382</v>
      </c>
      <c r="B380" s="2">
        <v>17</v>
      </c>
      <c r="C380" s="2">
        <v>1</v>
      </c>
      <c r="D380" s="2">
        <v>101</v>
      </c>
      <c r="E380" s="2">
        <v>29</v>
      </c>
      <c r="F380" s="3">
        <v>44381</v>
      </c>
      <c r="G380" s="3">
        <v>44388</v>
      </c>
      <c r="H380" s="3">
        <v>44389</v>
      </c>
      <c r="I380" s="2">
        <v>20</v>
      </c>
      <c r="J380" s="29" t="s">
        <v>197</v>
      </c>
      <c r="K380" s="35"/>
      <c r="L380" s="35"/>
      <c r="M380" s="35"/>
      <c r="AZ380" s="17"/>
      <c r="BA380" s="2"/>
      <c r="BB380" s="2"/>
      <c r="BC380" s="2"/>
      <c r="BD380" s="2"/>
      <c r="BE380" s="3"/>
      <c r="BF380" s="3"/>
      <c r="BG380" s="3"/>
      <c r="BH380" s="2"/>
      <c r="BI380" s="18"/>
    </row>
    <row r="381" spans="1:61">
      <c r="A381" s="29">
        <v>383</v>
      </c>
      <c r="B381" s="2">
        <v>14</v>
      </c>
      <c r="C381" s="2">
        <v>1</v>
      </c>
      <c r="D381" s="2">
        <v>101</v>
      </c>
      <c r="E381" s="2">
        <v>29</v>
      </c>
      <c r="F381" s="3">
        <v>44381</v>
      </c>
      <c r="G381" s="3">
        <v>44388</v>
      </c>
      <c r="H381" s="3">
        <v>44389</v>
      </c>
      <c r="I381" s="2">
        <v>10</v>
      </c>
      <c r="J381" s="29" t="s">
        <v>197</v>
      </c>
      <c r="K381" s="35"/>
      <c r="L381" s="35"/>
      <c r="M381" s="35"/>
      <c r="AZ381" s="17"/>
      <c r="BA381" s="2"/>
      <c r="BB381" s="2"/>
      <c r="BC381" s="2"/>
      <c r="BD381" s="2"/>
      <c r="BE381" s="3"/>
      <c r="BF381" s="3"/>
      <c r="BG381" s="3"/>
      <c r="BH381" s="2"/>
      <c r="BI381" s="18"/>
    </row>
    <row r="382" spans="1:61">
      <c r="A382" s="29">
        <v>384</v>
      </c>
      <c r="B382" s="2">
        <v>10</v>
      </c>
      <c r="C382" s="2">
        <v>1</v>
      </c>
      <c r="D382" s="2">
        <v>101</v>
      </c>
      <c r="E382" s="2">
        <v>29</v>
      </c>
      <c r="F382" s="3">
        <v>44381</v>
      </c>
      <c r="G382" s="3">
        <v>44388</v>
      </c>
      <c r="H382" s="3">
        <v>44389</v>
      </c>
      <c r="I382" s="2">
        <v>30</v>
      </c>
      <c r="J382" s="29" t="s">
        <v>197</v>
      </c>
      <c r="K382" s="35"/>
      <c r="L382" s="35"/>
      <c r="M382" s="35"/>
      <c r="AZ382" s="17"/>
      <c r="BA382" s="2"/>
      <c r="BB382" s="2"/>
      <c r="BC382" s="2"/>
      <c r="BD382" s="2"/>
      <c r="BE382" s="3"/>
      <c r="BF382" s="3"/>
      <c r="BG382" s="3"/>
      <c r="BH382" s="2"/>
      <c r="BI382" s="18"/>
    </row>
    <row r="383" spans="1:61">
      <c r="A383" s="29">
        <v>385</v>
      </c>
      <c r="B383" s="2">
        <v>9</v>
      </c>
      <c r="C383" s="2">
        <v>3</v>
      </c>
      <c r="D383" s="2">
        <v>142</v>
      </c>
      <c r="E383" s="2">
        <v>27</v>
      </c>
      <c r="F383" s="3">
        <v>44381</v>
      </c>
      <c r="G383" s="3">
        <v>44388</v>
      </c>
      <c r="H383" s="3">
        <v>44388</v>
      </c>
      <c r="I383" s="2">
        <v>90</v>
      </c>
      <c r="J383" s="29" t="s">
        <v>198</v>
      </c>
      <c r="K383" s="35"/>
      <c r="L383" s="35"/>
      <c r="M383" s="35"/>
      <c r="AZ383" s="17"/>
      <c r="BA383" s="2"/>
      <c r="BB383" s="2"/>
      <c r="BC383" s="2"/>
      <c r="BD383" s="2"/>
      <c r="BE383" s="3"/>
      <c r="BF383" s="3"/>
      <c r="BG383" s="3"/>
      <c r="BH383" s="2"/>
      <c r="BI383" s="18"/>
    </row>
    <row r="384" spans="1:61">
      <c r="A384" s="29">
        <v>386</v>
      </c>
      <c r="B384" s="2">
        <v>10</v>
      </c>
      <c r="C384" s="2">
        <v>3</v>
      </c>
      <c r="D384" s="2">
        <v>142</v>
      </c>
      <c r="E384" s="2">
        <v>27</v>
      </c>
      <c r="F384" s="3">
        <v>44381</v>
      </c>
      <c r="G384" s="3">
        <v>44388</v>
      </c>
      <c r="H384" s="3">
        <v>44388</v>
      </c>
      <c r="I384" s="2">
        <v>70</v>
      </c>
      <c r="J384" s="29" t="s">
        <v>198</v>
      </c>
      <c r="K384" s="35"/>
      <c r="L384" s="35"/>
      <c r="M384" s="35"/>
      <c r="AZ384" s="17"/>
      <c r="BA384" s="2"/>
      <c r="BB384" s="2"/>
      <c r="BC384" s="2"/>
      <c r="BD384" s="2"/>
      <c r="BE384" s="3"/>
      <c r="BF384" s="3"/>
      <c r="BG384" s="3"/>
      <c r="BH384" s="2"/>
      <c r="BI384" s="18"/>
    </row>
    <row r="385" spans="1:61">
      <c r="A385" s="29">
        <v>387</v>
      </c>
      <c r="B385" s="2">
        <v>17</v>
      </c>
      <c r="C385" s="2">
        <v>3</v>
      </c>
      <c r="D385" s="2">
        <v>142</v>
      </c>
      <c r="E385" s="2">
        <v>27</v>
      </c>
      <c r="F385" s="3">
        <v>44381</v>
      </c>
      <c r="G385" s="3">
        <v>44388</v>
      </c>
      <c r="H385" s="3">
        <v>44388</v>
      </c>
      <c r="I385" s="2">
        <v>50</v>
      </c>
      <c r="J385" s="29" t="s">
        <v>197</v>
      </c>
      <c r="K385" s="35"/>
      <c r="L385" s="35"/>
      <c r="M385" s="35"/>
      <c r="AZ385" s="17"/>
      <c r="BA385" s="2"/>
      <c r="BB385" s="2"/>
      <c r="BC385" s="2"/>
      <c r="BD385" s="2"/>
      <c r="BE385" s="3"/>
      <c r="BF385" s="3"/>
      <c r="BG385" s="3"/>
      <c r="BH385" s="2"/>
      <c r="BI385" s="18"/>
    </row>
    <row r="386" spans="1:61">
      <c r="A386" s="29">
        <v>388</v>
      </c>
      <c r="B386" s="2">
        <v>18</v>
      </c>
      <c r="C386" s="2">
        <v>3</v>
      </c>
      <c r="D386" s="2">
        <v>142</v>
      </c>
      <c r="E386" s="2">
        <v>27</v>
      </c>
      <c r="F386" s="3">
        <v>44381</v>
      </c>
      <c r="G386" s="3">
        <v>44388</v>
      </c>
      <c r="H386" s="3">
        <v>44388</v>
      </c>
      <c r="I386" s="2">
        <v>30</v>
      </c>
      <c r="J386" s="29" t="s">
        <v>197</v>
      </c>
      <c r="K386" s="35"/>
      <c r="L386" s="35"/>
      <c r="M386" s="35"/>
      <c r="AZ386" s="17"/>
      <c r="BA386" s="2"/>
      <c r="BB386" s="2"/>
      <c r="BC386" s="2"/>
      <c r="BD386" s="2"/>
      <c r="BE386" s="3"/>
      <c r="BF386" s="3"/>
      <c r="BG386" s="3"/>
      <c r="BH386" s="2"/>
      <c r="BI386" s="18"/>
    </row>
    <row r="387" spans="1:61">
      <c r="A387" s="29">
        <v>389</v>
      </c>
      <c r="B387" s="2">
        <v>8</v>
      </c>
      <c r="C387" s="2">
        <v>3</v>
      </c>
      <c r="D387" s="2">
        <v>154</v>
      </c>
      <c r="E387" s="2">
        <v>28</v>
      </c>
      <c r="F387" s="3">
        <v>44381</v>
      </c>
      <c r="G387" s="3">
        <v>44388</v>
      </c>
      <c r="H387" s="3">
        <v>44388</v>
      </c>
      <c r="I387" s="2">
        <v>0</v>
      </c>
      <c r="J387" s="29" t="s">
        <v>197</v>
      </c>
      <c r="K387" s="35"/>
      <c r="L387" s="35"/>
      <c r="M387" s="35"/>
      <c r="AZ387" s="17"/>
      <c r="BA387" s="2"/>
      <c r="BB387" s="2"/>
      <c r="BC387" s="2"/>
      <c r="BD387" s="2"/>
      <c r="BE387" s="3"/>
      <c r="BF387" s="3"/>
      <c r="BG387" s="3"/>
      <c r="BH387" s="2"/>
      <c r="BI387" s="18"/>
    </row>
    <row r="388" spans="1:61">
      <c r="A388" s="29">
        <v>390</v>
      </c>
      <c r="B388" s="2">
        <v>9</v>
      </c>
      <c r="C388" s="2">
        <v>3</v>
      </c>
      <c r="D388" s="2">
        <v>154</v>
      </c>
      <c r="E388" s="2">
        <v>28</v>
      </c>
      <c r="F388" s="3">
        <v>44381</v>
      </c>
      <c r="G388" s="3">
        <v>44388</v>
      </c>
      <c r="H388" s="3">
        <v>44388</v>
      </c>
      <c r="I388" s="2">
        <v>10</v>
      </c>
      <c r="J388" s="29" t="s">
        <v>197</v>
      </c>
      <c r="K388" s="35"/>
      <c r="L388" s="35"/>
      <c r="M388" s="35"/>
      <c r="AZ388" s="17"/>
      <c r="BA388" s="2"/>
      <c r="BB388" s="2"/>
      <c r="BC388" s="2"/>
      <c r="BD388" s="2"/>
      <c r="BE388" s="3"/>
      <c r="BF388" s="3"/>
      <c r="BG388" s="3"/>
      <c r="BH388" s="2"/>
      <c r="BI388" s="18"/>
    </row>
    <row r="389" spans="1:61">
      <c r="A389" s="29">
        <v>391</v>
      </c>
      <c r="B389" s="2">
        <v>15</v>
      </c>
      <c r="C389" s="2">
        <v>3</v>
      </c>
      <c r="D389" s="2">
        <v>154</v>
      </c>
      <c r="E389" s="2">
        <v>28</v>
      </c>
      <c r="F389" s="3">
        <v>44381</v>
      </c>
      <c r="G389" s="3">
        <v>44388</v>
      </c>
      <c r="H389" s="3">
        <v>44388</v>
      </c>
      <c r="I389" s="2">
        <v>50</v>
      </c>
      <c r="J389" s="29" t="s">
        <v>197</v>
      </c>
      <c r="K389" s="35"/>
      <c r="L389" s="35"/>
      <c r="M389" s="35"/>
      <c r="AZ389" s="17"/>
      <c r="BA389" s="2"/>
      <c r="BB389" s="2"/>
      <c r="BC389" s="2"/>
      <c r="BD389" s="2"/>
      <c r="BE389" s="3"/>
      <c r="BF389" s="3"/>
      <c r="BG389" s="3"/>
      <c r="BH389" s="2"/>
      <c r="BI389" s="18"/>
    </row>
    <row r="390" spans="1:61">
      <c r="A390" s="29">
        <v>392</v>
      </c>
      <c r="B390" s="2">
        <v>16</v>
      </c>
      <c r="C390" s="2">
        <v>3</v>
      </c>
      <c r="D390" s="2">
        <v>154</v>
      </c>
      <c r="E390" s="2">
        <v>28</v>
      </c>
      <c r="F390" s="3">
        <v>44381</v>
      </c>
      <c r="G390" s="3">
        <v>44388</v>
      </c>
      <c r="H390" s="3">
        <v>44388</v>
      </c>
      <c r="I390" s="2">
        <v>40</v>
      </c>
      <c r="J390" s="29" t="s">
        <v>197</v>
      </c>
      <c r="K390" s="35"/>
      <c r="L390" s="35"/>
      <c r="M390" s="35"/>
      <c r="AZ390" s="17"/>
      <c r="BA390" s="2"/>
      <c r="BB390" s="2"/>
      <c r="BC390" s="2"/>
      <c r="BD390" s="2"/>
      <c r="BE390" s="3"/>
      <c r="BF390" s="3"/>
      <c r="BG390" s="3"/>
      <c r="BH390" s="2"/>
      <c r="BI390" s="18"/>
    </row>
    <row r="391" spans="1:61">
      <c r="A391" s="29">
        <v>393</v>
      </c>
      <c r="B391" s="2">
        <v>13</v>
      </c>
      <c r="C391" s="2">
        <v>3</v>
      </c>
      <c r="D391" s="2">
        <v>155</v>
      </c>
      <c r="E391" s="2">
        <v>29</v>
      </c>
      <c r="F391" s="3">
        <v>44381</v>
      </c>
      <c r="G391" s="3">
        <v>44388</v>
      </c>
      <c r="H391" s="3">
        <v>44388</v>
      </c>
      <c r="I391" s="2">
        <v>20</v>
      </c>
      <c r="J391" s="29" t="s">
        <v>197</v>
      </c>
      <c r="K391" s="35"/>
      <c r="L391" s="35"/>
      <c r="M391" s="35"/>
      <c r="AZ391" s="17"/>
      <c r="BA391" s="2"/>
      <c r="BB391" s="2"/>
      <c r="BC391" s="2"/>
      <c r="BD391" s="2"/>
      <c r="BE391" s="3"/>
      <c r="BF391" s="3"/>
      <c r="BG391" s="3"/>
      <c r="BH391" s="2"/>
      <c r="BI391" s="18"/>
    </row>
    <row r="392" spans="1:61">
      <c r="A392" s="29">
        <v>394</v>
      </c>
      <c r="B392" s="2">
        <v>14</v>
      </c>
      <c r="C392" s="2">
        <v>3</v>
      </c>
      <c r="D392" s="2">
        <v>155</v>
      </c>
      <c r="E392" s="2">
        <v>29</v>
      </c>
      <c r="F392" s="3">
        <v>44381</v>
      </c>
      <c r="G392" s="3">
        <v>44388</v>
      </c>
      <c r="H392" s="3">
        <v>44388</v>
      </c>
      <c r="I392" s="2">
        <v>50</v>
      </c>
      <c r="J392" s="29" t="s">
        <v>197</v>
      </c>
      <c r="K392" s="35"/>
      <c r="L392" s="35"/>
      <c r="M392" s="35"/>
      <c r="AZ392" s="17"/>
      <c r="BA392" s="2"/>
      <c r="BB392" s="2"/>
      <c r="BC392" s="2"/>
      <c r="BD392" s="2"/>
      <c r="BE392" s="3"/>
      <c r="BF392" s="3"/>
      <c r="BG392" s="3"/>
      <c r="BH392" s="2"/>
      <c r="BI392" s="18"/>
    </row>
    <row r="393" spans="1:61">
      <c r="A393" s="29">
        <v>395</v>
      </c>
      <c r="B393" s="2">
        <v>15</v>
      </c>
      <c r="C393" s="2">
        <v>3</v>
      </c>
      <c r="D393" s="2">
        <v>155</v>
      </c>
      <c r="E393" s="2">
        <v>29</v>
      </c>
      <c r="F393" s="3">
        <v>44381</v>
      </c>
      <c r="G393" s="3">
        <v>44388</v>
      </c>
      <c r="H393" s="3">
        <v>44388</v>
      </c>
      <c r="I393" s="2">
        <v>60</v>
      </c>
      <c r="J393" s="29" t="s">
        <v>197</v>
      </c>
      <c r="K393" s="35"/>
      <c r="L393" s="35"/>
      <c r="M393" s="35"/>
      <c r="AZ393" s="17"/>
      <c r="BA393" s="2"/>
      <c r="BB393" s="2"/>
      <c r="BC393" s="2"/>
      <c r="BD393" s="2"/>
      <c r="BE393" s="3"/>
      <c r="BF393" s="3"/>
      <c r="BG393" s="3"/>
      <c r="BH393" s="2"/>
      <c r="BI393" s="18"/>
    </row>
    <row r="394" spans="1:61">
      <c r="A394" s="29">
        <v>396</v>
      </c>
      <c r="B394" s="2">
        <v>12</v>
      </c>
      <c r="C394" s="2">
        <v>1</v>
      </c>
      <c r="D394" s="2">
        <v>94</v>
      </c>
      <c r="E394" s="2">
        <v>28</v>
      </c>
      <c r="F394" s="3">
        <v>44381</v>
      </c>
      <c r="G394" s="3">
        <v>44388</v>
      </c>
      <c r="H394" s="3">
        <v>44389</v>
      </c>
      <c r="I394" s="2">
        <v>30</v>
      </c>
      <c r="J394" s="29" t="s">
        <v>197</v>
      </c>
      <c r="K394" s="35"/>
      <c r="L394" s="35"/>
      <c r="M394" s="35"/>
      <c r="AZ394" s="17"/>
      <c r="BA394" s="2"/>
      <c r="BB394" s="2"/>
      <c r="BC394" s="2"/>
      <c r="BD394" s="2"/>
      <c r="BE394" s="3"/>
      <c r="BF394" s="3"/>
      <c r="BG394" s="3"/>
      <c r="BH394" s="2"/>
      <c r="BI394" s="18"/>
    </row>
    <row r="395" spans="1:61">
      <c r="A395" s="29">
        <v>397</v>
      </c>
      <c r="B395" s="2">
        <v>4</v>
      </c>
      <c r="C395" s="2">
        <v>1</v>
      </c>
      <c r="D395" s="2">
        <v>109</v>
      </c>
      <c r="E395" s="2">
        <v>30</v>
      </c>
      <c r="F395" s="3">
        <v>44383</v>
      </c>
      <c r="G395" s="3">
        <v>44390</v>
      </c>
      <c r="H395" s="3">
        <v>44391</v>
      </c>
      <c r="I395" s="2">
        <v>20</v>
      </c>
      <c r="J395" s="29" t="s">
        <v>197</v>
      </c>
      <c r="K395" s="35"/>
      <c r="L395" s="35"/>
      <c r="M395" s="35"/>
      <c r="AZ395" s="17"/>
      <c r="BA395" s="2"/>
      <c r="BB395" s="2"/>
      <c r="BC395" s="2"/>
      <c r="BD395" s="2"/>
      <c r="BE395" s="3"/>
      <c r="BF395" s="3"/>
      <c r="BG395" s="3"/>
      <c r="BH395" s="2"/>
      <c r="BI395" s="18"/>
    </row>
    <row r="396" spans="1:61">
      <c r="A396" s="29">
        <v>398</v>
      </c>
      <c r="B396" s="2">
        <v>29</v>
      </c>
      <c r="C396" s="2">
        <v>1</v>
      </c>
      <c r="D396" s="2">
        <v>109</v>
      </c>
      <c r="E396" s="2">
        <v>30</v>
      </c>
      <c r="F396" s="3">
        <v>44383</v>
      </c>
      <c r="G396" s="3">
        <v>44390</v>
      </c>
      <c r="H396" s="3">
        <v>44391</v>
      </c>
      <c r="I396" s="2">
        <v>0</v>
      </c>
      <c r="J396" s="29" t="s">
        <v>197</v>
      </c>
      <c r="K396" s="35"/>
      <c r="L396" s="35"/>
      <c r="M396" s="35"/>
      <c r="AZ396" s="17"/>
      <c r="BA396" s="2"/>
      <c r="BB396" s="2"/>
      <c r="BC396" s="2"/>
      <c r="BD396" s="2"/>
      <c r="BE396" s="3"/>
      <c r="BF396" s="3"/>
      <c r="BG396" s="3"/>
      <c r="BH396" s="2"/>
      <c r="BI396" s="18"/>
    </row>
    <row r="397" spans="1:61">
      <c r="A397" s="29">
        <v>399</v>
      </c>
      <c r="B397" s="2">
        <v>26</v>
      </c>
      <c r="C397" s="2">
        <v>1</v>
      </c>
      <c r="D397" s="2">
        <v>109</v>
      </c>
      <c r="E397" s="2">
        <v>30</v>
      </c>
      <c r="F397" s="3">
        <v>44383</v>
      </c>
      <c r="G397" s="3">
        <v>44390</v>
      </c>
      <c r="H397" s="3">
        <v>44391</v>
      </c>
      <c r="I397" s="2">
        <v>0</v>
      </c>
      <c r="J397" s="29" t="s">
        <v>197</v>
      </c>
      <c r="K397" s="35"/>
      <c r="L397" s="35"/>
      <c r="M397" s="35"/>
      <c r="AZ397" s="17"/>
      <c r="BA397" s="2"/>
      <c r="BB397" s="2"/>
      <c r="BC397" s="2"/>
      <c r="BD397" s="2"/>
      <c r="BE397" s="3"/>
      <c r="BF397" s="3"/>
      <c r="BG397" s="3"/>
      <c r="BH397" s="2"/>
      <c r="BI397" s="18"/>
    </row>
    <row r="398" spans="1:61">
      <c r="A398" s="29">
        <v>420</v>
      </c>
      <c r="B398" s="2">
        <v>5</v>
      </c>
      <c r="C398" s="2">
        <v>1</v>
      </c>
      <c r="D398" s="2">
        <v>114</v>
      </c>
      <c r="E398" s="2">
        <v>32</v>
      </c>
      <c r="F398" s="3">
        <v>44383</v>
      </c>
      <c r="G398" s="3">
        <v>44390</v>
      </c>
      <c r="H398" s="3">
        <v>44391</v>
      </c>
      <c r="I398" s="2">
        <v>0</v>
      </c>
      <c r="J398" s="29" t="s">
        <v>197</v>
      </c>
      <c r="K398" s="35"/>
      <c r="L398" s="35"/>
      <c r="M398" s="35"/>
      <c r="AZ398" s="17"/>
      <c r="BA398" s="2"/>
      <c r="BB398" s="2"/>
      <c r="BC398" s="2"/>
      <c r="BD398" s="2"/>
      <c r="BE398" s="3"/>
      <c r="BF398" s="3"/>
      <c r="BG398" s="3"/>
      <c r="BH398" s="2"/>
      <c r="BI398" s="18"/>
    </row>
    <row r="399" spans="1:61">
      <c r="A399" s="29">
        <v>401</v>
      </c>
      <c r="B399" s="2">
        <v>21</v>
      </c>
      <c r="C399" s="2">
        <v>1</v>
      </c>
      <c r="D399" s="2">
        <v>109</v>
      </c>
      <c r="E399" s="2">
        <v>30</v>
      </c>
      <c r="F399" s="3">
        <v>44383</v>
      </c>
      <c r="G399" s="3">
        <v>44390</v>
      </c>
      <c r="H399" s="3">
        <v>44391</v>
      </c>
      <c r="I399" s="2">
        <v>10</v>
      </c>
      <c r="J399" s="29" t="s">
        <v>197</v>
      </c>
      <c r="K399" s="35"/>
      <c r="L399" s="35"/>
      <c r="M399" s="35"/>
      <c r="AZ399" s="17"/>
      <c r="BA399" s="2"/>
      <c r="BB399" s="2"/>
      <c r="BC399" s="2"/>
      <c r="BD399" s="2"/>
      <c r="BE399" s="3"/>
      <c r="BF399" s="3"/>
      <c r="BG399" s="3"/>
      <c r="BH399" s="2"/>
      <c r="BI399" s="18"/>
    </row>
    <row r="400" spans="1:61">
      <c r="A400" s="29">
        <v>402</v>
      </c>
      <c r="B400" s="2">
        <v>19</v>
      </c>
      <c r="C400" s="2">
        <v>1</v>
      </c>
      <c r="D400" s="2">
        <v>109</v>
      </c>
      <c r="E400" s="2">
        <v>30</v>
      </c>
      <c r="F400" s="3">
        <v>44383</v>
      </c>
      <c r="G400" s="3">
        <v>44390</v>
      </c>
      <c r="H400" s="3">
        <v>44391</v>
      </c>
      <c r="I400" s="2">
        <v>30</v>
      </c>
      <c r="J400" s="29" t="s">
        <v>197</v>
      </c>
      <c r="K400" s="35"/>
      <c r="L400" s="35"/>
      <c r="M400" s="35"/>
      <c r="AZ400" s="17"/>
      <c r="BA400" s="2"/>
      <c r="BB400" s="2"/>
      <c r="BC400" s="2"/>
      <c r="BD400" s="2"/>
      <c r="BE400" s="3"/>
      <c r="BF400" s="3"/>
      <c r="BG400" s="3"/>
      <c r="BH400" s="2"/>
      <c r="BI400" s="18"/>
    </row>
    <row r="401" spans="1:61">
      <c r="A401" s="29">
        <v>403</v>
      </c>
      <c r="B401" s="2">
        <v>12</v>
      </c>
      <c r="C401" s="2">
        <v>1</v>
      </c>
      <c r="D401" s="2">
        <v>109</v>
      </c>
      <c r="E401" s="2">
        <v>30</v>
      </c>
      <c r="F401" s="3">
        <v>44383</v>
      </c>
      <c r="G401" s="3">
        <v>44390</v>
      </c>
      <c r="H401" s="3">
        <v>44391</v>
      </c>
      <c r="I401" s="2">
        <v>20</v>
      </c>
      <c r="J401" s="29" t="s">
        <v>197</v>
      </c>
      <c r="K401" s="35"/>
      <c r="L401" s="35"/>
      <c r="M401" s="35"/>
      <c r="AZ401" s="17"/>
      <c r="BA401" s="2"/>
      <c r="BB401" s="2"/>
      <c r="BC401" s="2"/>
      <c r="BD401" s="2"/>
      <c r="BE401" s="3"/>
      <c r="BF401" s="3"/>
      <c r="BG401" s="3"/>
      <c r="BH401" s="2"/>
      <c r="BI401" s="18"/>
    </row>
    <row r="402" spans="1:61">
      <c r="A402" s="29">
        <v>404</v>
      </c>
      <c r="B402" s="2">
        <v>9</v>
      </c>
      <c r="C402" s="2">
        <v>1</v>
      </c>
      <c r="D402" s="2">
        <v>109</v>
      </c>
      <c r="E402" s="2">
        <v>30</v>
      </c>
      <c r="F402" s="3">
        <v>44383</v>
      </c>
      <c r="G402" s="3">
        <v>44390</v>
      </c>
      <c r="H402" s="3">
        <v>44391</v>
      </c>
      <c r="I402" s="2">
        <v>0</v>
      </c>
      <c r="J402" s="29" t="s">
        <v>197</v>
      </c>
      <c r="K402" s="35"/>
      <c r="L402" s="35"/>
      <c r="M402" s="35"/>
      <c r="AZ402" s="17"/>
      <c r="BA402" s="2"/>
      <c r="BB402" s="2"/>
      <c r="BC402" s="2"/>
      <c r="BD402" s="2"/>
      <c r="BE402" s="3"/>
      <c r="BF402" s="3"/>
      <c r="BG402" s="3"/>
      <c r="BH402" s="2"/>
      <c r="BI402" s="18"/>
    </row>
    <row r="403" spans="1:61">
      <c r="A403" s="29">
        <v>405</v>
      </c>
      <c r="B403" s="2">
        <v>15</v>
      </c>
      <c r="C403" s="2">
        <v>1</v>
      </c>
      <c r="D403" s="2">
        <v>113</v>
      </c>
      <c r="E403" s="2">
        <v>31</v>
      </c>
      <c r="F403" s="3">
        <v>44383</v>
      </c>
      <c r="G403" s="3">
        <v>44390</v>
      </c>
      <c r="H403" s="3">
        <v>44391</v>
      </c>
      <c r="I403" s="2">
        <v>0</v>
      </c>
      <c r="J403" s="29" t="s">
        <v>197</v>
      </c>
      <c r="K403" s="35"/>
      <c r="L403" s="35"/>
      <c r="M403" s="35"/>
      <c r="AZ403" s="17"/>
      <c r="BA403" s="2"/>
      <c r="BB403" s="2"/>
      <c r="BC403" s="2"/>
      <c r="BD403" s="2"/>
      <c r="BE403" s="3"/>
      <c r="BF403" s="3"/>
      <c r="BG403" s="3"/>
      <c r="BH403" s="2"/>
      <c r="BI403" s="18"/>
    </row>
    <row r="404" spans="1:61">
      <c r="A404" s="29">
        <v>406</v>
      </c>
      <c r="B404" s="2">
        <v>28</v>
      </c>
      <c r="C404" s="2">
        <v>1</v>
      </c>
      <c r="D404" s="2">
        <v>113</v>
      </c>
      <c r="E404" s="2">
        <v>31</v>
      </c>
      <c r="F404" s="3">
        <v>44383</v>
      </c>
      <c r="G404" s="3">
        <v>44390</v>
      </c>
      <c r="H404" s="3">
        <v>44391</v>
      </c>
      <c r="I404" s="2">
        <v>30</v>
      </c>
      <c r="J404" s="29" t="s">
        <v>197</v>
      </c>
      <c r="K404" s="35"/>
      <c r="L404" s="35"/>
      <c r="M404" s="35"/>
      <c r="AZ404" s="17"/>
      <c r="BA404" s="2"/>
      <c r="BB404" s="2"/>
      <c r="BC404" s="2"/>
      <c r="BD404" s="2"/>
      <c r="BE404" s="3"/>
      <c r="BF404" s="3"/>
      <c r="BG404" s="3"/>
      <c r="BH404" s="2"/>
      <c r="BI404" s="18"/>
    </row>
    <row r="405" spans="1:61">
      <c r="A405" s="29">
        <v>407</v>
      </c>
      <c r="B405" s="2">
        <v>25</v>
      </c>
      <c r="C405" s="2">
        <v>1</v>
      </c>
      <c r="D405" s="2">
        <v>113</v>
      </c>
      <c r="E405" s="2">
        <v>31</v>
      </c>
      <c r="F405" s="3">
        <v>44383</v>
      </c>
      <c r="G405" s="3">
        <v>44390</v>
      </c>
      <c r="H405" s="3">
        <v>44391</v>
      </c>
      <c r="I405" s="2">
        <v>20</v>
      </c>
      <c r="J405" s="29" t="s">
        <v>197</v>
      </c>
      <c r="K405" s="35"/>
      <c r="L405" s="35"/>
      <c r="M405" s="35"/>
      <c r="AZ405" s="17"/>
      <c r="BA405" s="2"/>
      <c r="BB405" s="2"/>
      <c r="BC405" s="2"/>
      <c r="BD405" s="2"/>
      <c r="BE405" s="3"/>
      <c r="BF405" s="3"/>
      <c r="BG405" s="3"/>
      <c r="BH405" s="2"/>
      <c r="BI405" s="18"/>
    </row>
    <row r="406" spans="1:61">
      <c r="A406" s="29">
        <v>408</v>
      </c>
      <c r="B406" s="2">
        <v>24</v>
      </c>
      <c r="C406" s="2">
        <v>1</v>
      </c>
      <c r="D406" s="2">
        <v>113</v>
      </c>
      <c r="E406" s="2">
        <v>31</v>
      </c>
      <c r="F406" s="3">
        <v>44383</v>
      </c>
      <c r="G406" s="3">
        <v>44390</v>
      </c>
      <c r="H406" s="3">
        <v>44391</v>
      </c>
      <c r="I406" s="2">
        <v>40</v>
      </c>
      <c r="J406" s="29" t="s">
        <v>197</v>
      </c>
      <c r="K406" s="35"/>
      <c r="L406" s="35"/>
      <c r="M406" s="35"/>
      <c r="AZ406" s="17"/>
      <c r="BA406" s="2"/>
      <c r="BB406" s="2"/>
      <c r="BC406" s="2"/>
      <c r="BD406" s="2"/>
      <c r="BE406" s="3"/>
      <c r="BF406" s="3"/>
      <c r="BG406" s="3"/>
      <c r="BH406" s="2"/>
      <c r="BI406" s="18"/>
    </row>
    <row r="407" spans="1:61">
      <c r="A407" s="29">
        <v>409</v>
      </c>
      <c r="B407" s="2">
        <v>22</v>
      </c>
      <c r="C407" s="2">
        <v>1</v>
      </c>
      <c r="D407" s="2">
        <v>113</v>
      </c>
      <c r="E407" s="2">
        <v>31</v>
      </c>
      <c r="F407" s="3">
        <v>44383</v>
      </c>
      <c r="G407" s="3">
        <v>44390</v>
      </c>
      <c r="H407" s="3">
        <v>44391</v>
      </c>
      <c r="I407" s="2">
        <v>20</v>
      </c>
      <c r="J407" s="29" t="s">
        <v>197</v>
      </c>
      <c r="K407" s="35"/>
      <c r="L407" s="35"/>
      <c r="M407" s="35"/>
      <c r="AZ407" s="17"/>
      <c r="BA407" s="2"/>
      <c r="BB407" s="2"/>
      <c r="BC407" s="2"/>
      <c r="BD407" s="2"/>
      <c r="BE407" s="3"/>
      <c r="BF407" s="3"/>
      <c r="BG407" s="3"/>
      <c r="BH407" s="2"/>
      <c r="BI407" s="18"/>
    </row>
    <row r="408" spans="1:61">
      <c r="A408" s="29">
        <v>410</v>
      </c>
      <c r="B408" s="2">
        <v>13</v>
      </c>
      <c r="C408" s="2">
        <v>1</v>
      </c>
      <c r="D408" s="2">
        <v>113</v>
      </c>
      <c r="E408" s="2">
        <v>31</v>
      </c>
      <c r="F408" s="3">
        <v>44383</v>
      </c>
      <c r="G408" s="3">
        <v>44390</v>
      </c>
      <c r="H408" s="3">
        <v>44391</v>
      </c>
      <c r="I408" s="2">
        <v>30</v>
      </c>
      <c r="J408" s="29" t="s">
        <v>197</v>
      </c>
      <c r="K408" s="35"/>
      <c r="L408" s="35"/>
      <c r="M408" s="35"/>
      <c r="AZ408" s="17"/>
      <c r="BA408" s="2"/>
      <c r="BB408" s="2"/>
      <c r="BC408" s="2"/>
      <c r="BD408" s="2"/>
      <c r="BE408" s="3"/>
      <c r="BF408" s="3"/>
      <c r="BG408" s="3"/>
      <c r="BH408" s="2"/>
      <c r="BI408" s="18"/>
    </row>
    <row r="409" spans="1:61">
      <c r="A409" s="29">
        <v>411</v>
      </c>
      <c r="B409" s="2">
        <v>18</v>
      </c>
      <c r="C409" s="2">
        <v>1</v>
      </c>
      <c r="D409" s="2">
        <v>113</v>
      </c>
      <c r="E409" s="2">
        <v>31</v>
      </c>
      <c r="F409" s="3">
        <v>44383</v>
      </c>
      <c r="G409" s="3">
        <v>44390</v>
      </c>
      <c r="H409" s="3">
        <v>44391</v>
      </c>
      <c r="I409" s="2">
        <v>50</v>
      </c>
      <c r="J409" s="29" t="s">
        <v>197</v>
      </c>
      <c r="K409" s="35"/>
      <c r="L409" s="35"/>
      <c r="M409" s="35"/>
      <c r="AZ409" s="17"/>
      <c r="BA409" s="2"/>
      <c r="BB409" s="2"/>
      <c r="BC409" s="2"/>
      <c r="BD409" s="2"/>
      <c r="BE409" s="3"/>
      <c r="BF409" s="3"/>
      <c r="BG409" s="3"/>
      <c r="BH409" s="2"/>
      <c r="BI409" s="18"/>
    </row>
    <row r="410" spans="1:61">
      <c r="A410" s="29">
        <v>412</v>
      </c>
      <c r="B410" s="2">
        <v>6</v>
      </c>
      <c r="C410" s="2">
        <v>1</v>
      </c>
      <c r="D410" s="2">
        <v>113</v>
      </c>
      <c r="E410" s="2">
        <v>31</v>
      </c>
      <c r="F410" s="3">
        <v>44383</v>
      </c>
      <c r="G410" s="3">
        <v>44390</v>
      </c>
      <c r="H410" s="3">
        <v>44391</v>
      </c>
      <c r="I410" s="2">
        <v>30</v>
      </c>
      <c r="J410" s="29" t="s">
        <v>197</v>
      </c>
      <c r="K410" s="35"/>
      <c r="L410" s="35"/>
      <c r="M410" s="35"/>
      <c r="AZ410" s="17"/>
      <c r="BA410" s="2"/>
      <c r="BB410" s="2"/>
      <c r="BC410" s="2"/>
      <c r="BD410" s="2"/>
      <c r="BE410" s="3"/>
      <c r="BF410" s="3"/>
      <c r="BG410" s="3"/>
      <c r="BH410" s="2"/>
      <c r="BI410" s="18"/>
    </row>
    <row r="411" spans="1:61">
      <c r="A411" s="29">
        <v>413</v>
      </c>
      <c r="B411" s="2">
        <v>8</v>
      </c>
      <c r="C411" s="2">
        <v>1</v>
      </c>
      <c r="D411" s="2">
        <v>113</v>
      </c>
      <c r="E411" s="2">
        <v>31</v>
      </c>
      <c r="F411" s="3">
        <v>44383</v>
      </c>
      <c r="G411" s="3">
        <v>44390</v>
      </c>
      <c r="H411" s="3">
        <v>44391</v>
      </c>
      <c r="I411" s="2">
        <v>20</v>
      </c>
      <c r="J411" s="29" t="s">
        <v>197</v>
      </c>
      <c r="K411" s="35"/>
      <c r="L411" s="35"/>
      <c r="M411" s="35"/>
      <c r="AZ411" s="17"/>
      <c r="BA411" s="2"/>
      <c r="BB411" s="2"/>
      <c r="BC411" s="2"/>
      <c r="BD411" s="2"/>
      <c r="BE411" s="3"/>
      <c r="BF411" s="3"/>
      <c r="BG411" s="3"/>
      <c r="BH411" s="2"/>
      <c r="BI411" s="18"/>
    </row>
    <row r="412" spans="1:61">
      <c r="A412" s="29">
        <v>414</v>
      </c>
      <c r="B412" s="2">
        <v>13</v>
      </c>
      <c r="C412" s="2">
        <v>1</v>
      </c>
      <c r="D412" s="2">
        <v>114</v>
      </c>
      <c r="E412" s="2">
        <v>32</v>
      </c>
      <c r="F412" s="3">
        <v>44383</v>
      </c>
      <c r="G412" s="3">
        <v>44390</v>
      </c>
      <c r="H412" s="3">
        <v>44391</v>
      </c>
      <c r="I412" s="2">
        <v>30</v>
      </c>
      <c r="J412" s="29" t="s">
        <v>197</v>
      </c>
      <c r="K412" s="35"/>
      <c r="L412" s="35"/>
      <c r="M412" s="35"/>
      <c r="AZ412" s="17"/>
      <c r="BA412" s="2"/>
      <c r="BB412" s="2"/>
      <c r="BC412" s="2"/>
      <c r="BD412" s="2"/>
      <c r="BE412" s="3"/>
      <c r="BF412" s="3"/>
      <c r="BG412" s="3"/>
      <c r="BH412" s="2"/>
      <c r="BI412" s="18"/>
    </row>
    <row r="413" spans="1:61">
      <c r="A413" s="29">
        <v>415</v>
      </c>
      <c r="B413" s="2">
        <v>2</v>
      </c>
      <c r="C413" s="2">
        <v>1</v>
      </c>
      <c r="D413" s="2">
        <v>114</v>
      </c>
      <c r="E413" s="2">
        <v>32</v>
      </c>
      <c r="F413" s="3">
        <v>44383</v>
      </c>
      <c r="G413" s="3">
        <v>44390</v>
      </c>
      <c r="H413" s="3">
        <v>44391</v>
      </c>
      <c r="I413" s="2">
        <v>50</v>
      </c>
      <c r="J413" s="29" t="s">
        <v>197</v>
      </c>
      <c r="K413" s="35"/>
      <c r="L413" s="35"/>
      <c r="M413" s="35"/>
      <c r="AZ413" s="17"/>
      <c r="BA413" s="2"/>
      <c r="BB413" s="2"/>
      <c r="BC413" s="2"/>
      <c r="BD413" s="2"/>
      <c r="BE413" s="3"/>
      <c r="BF413" s="3"/>
      <c r="BG413" s="3"/>
      <c r="BH413" s="2"/>
      <c r="BI413" s="18"/>
    </row>
    <row r="414" spans="1:61">
      <c r="A414" s="29">
        <v>416</v>
      </c>
      <c r="B414" s="2">
        <v>30</v>
      </c>
      <c r="C414" s="2">
        <v>1</v>
      </c>
      <c r="D414" s="2">
        <v>114</v>
      </c>
      <c r="E414" s="2">
        <v>32</v>
      </c>
      <c r="F414" s="3">
        <v>44383</v>
      </c>
      <c r="G414" s="3">
        <v>44390</v>
      </c>
      <c r="H414" s="3">
        <v>44391</v>
      </c>
      <c r="I414" s="2">
        <v>20</v>
      </c>
      <c r="J414" s="29" t="s">
        <v>197</v>
      </c>
      <c r="K414" s="35"/>
      <c r="L414" s="35"/>
      <c r="M414" s="35"/>
      <c r="AZ414" s="17"/>
      <c r="BA414" s="2"/>
      <c r="BB414" s="2"/>
      <c r="BC414" s="2"/>
      <c r="BD414" s="2"/>
      <c r="BE414" s="3"/>
      <c r="BF414" s="3"/>
      <c r="BG414" s="3"/>
      <c r="BH414" s="2"/>
      <c r="BI414" s="18"/>
    </row>
    <row r="415" spans="1:61">
      <c r="A415" s="29">
        <v>417</v>
      </c>
      <c r="B415" s="2">
        <v>26</v>
      </c>
      <c r="C415" s="2">
        <v>1</v>
      </c>
      <c r="D415" s="2">
        <v>114</v>
      </c>
      <c r="E415" s="2">
        <v>32</v>
      </c>
      <c r="F415" s="3">
        <v>44383</v>
      </c>
      <c r="G415" s="3">
        <v>44390</v>
      </c>
      <c r="H415" s="3">
        <v>44391</v>
      </c>
      <c r="I415" s="2">
        <v>50</v>
      </c>
      <c r="J415" s="29" t="s">
        <v>197</v>
      </c>
      <c r="K415" s="35"/>
      <c r="L415" s="35"/>
      <c r="M415" s="35"/>
      <c r="AZ415" s="17"/>
      <c r="BA415" s="2"/>
      <c r="BB415" s="2"/>
      <c r="BC415" s="2"/>
      <c r="BD415" s="2"/>
      <c r="BE415" s="3"/>
      <c r="BF415" s="3"/>
      <c r="BG415" s="3"/>
      <c r="BH415" s="2"/>
      <c r="BI415" s="18"/>
    </row>
    <row r="416" spans="1:61">
      <c r="A416" s="29">
        <v>418</v>
      </c>
      <c r="B416" s="2">
        <v>17</v>
      </c>
      <c r="C416" s="2">
        <v>1</v>
      </c>
      <c r="D416" s="2">
        <v>114</v>
      </c>
      <c r="E416" s="2">
        <v>32</v>
      </c>
      <c r="F416" s="3">
        <v>44383</v>
      </c>
      <c r="G416" s="3">
        <v>44390</v>
      </c>
      <c r="H416" s="3">
        <v>44391</v>
      </c>
      <c r="I416" s="2">
        <v>40</v>
      </c>
      <c r="J416" s="29" t="s">
        <v>197</v>
      </c>
      <c r="K416" s="35"/>
      <c r="L416" s="35"/>
      <c r="M416" s="35"/>
      <c r="AZ416" s="17"/>
      <c r="BA416" s="2"/>
      <c r="BB416" s="2"/>
      <c r="BC416" s="2"/>
      <c r="BD416" s="2"/>
      <c r="BE416" s="3"/>
      <c r="BF416" s="3"/>
      <c r="BG416" s="3"/>
      <c r="BH416" s="2"/>
      <c r="BI416" s="18"/>
    </row>
    <row r="417" spans="1:61">
      <c r="A417" s="29">
        <v>419</v>
      </c>
      <c r="B417" s="2">
        <v>23</v>
      </c>
      <c r="C417" s="2">
        <v>1</v>
      </c>
      <c r="D417" s="2">
        <v>114</v>
      </c>
      <c r="E417" s="2">
        <v>32</v>
      </c>
      <c r="F417" s="3">
        <v>44383</v>
      </c>
      <c r="G417" s="3">
        <v>44390</v>
      </c>
      <c r="H417" s="3">
        <v>44391</v>
      </c>
      <c r="I417" s="2">
        <v>10</v>
      </c>
      <c r="J417" s="29" t="s">
        <v>197</v>
      </c>
      <c r="K417" s="35"/>
      <c r="L417" s="35"/>
      <c r="M417" s="35"/>
      <c r="AZ417" s="17"/>
      <c r="BA417" s="2"/>
      <c r="BB417" s="2"/>
      <c r="BC417" s="2"/>
      <c r="BD417" s="2"/>
      <c r="BE417" s="3"/>
      <c r="BF417" s="3"/>
      <c r="BG417" s="3"/>
      <c r="BH417" s="2"/>
      <c r="BI417" s="18"/>
    </row>
    <row r="418" spans="1:61">
      <c r="A418" s="29">
        <v>459</v>
      </c>
      <c r="B418" s="2">
        <v>5</v>
      </c>
      <c r="C418" s="2">
        <v>1</v>
      </c>
      <c r="D418" s="2">
        <v>137</v>
      </c>
      <c r="E418" s="2">
        <v>37</v>
      </c>
      <c r="F418" s="3">
        <v>44389</v>
      </c>
      <c r="G418" s="3">
        <v>44396</v>
      </c>
      <c r="H418" s="3">
        <v>44397</v>
      </c>
      <c r="I418" s="2">
        <v>10</v>
      </c>
      <c r="J418" s="29" t="s">
        <v>197</v>
      </c>
      <c r="K418" s="35"/>
      <c r="L418" s="35"/>
      <c r="M418" s="35"/>
      <c r="AZ418" s="17"/>
      <c r="BA418" s="2"/>
      <c r="BB418" s="2"/>
      <c r="BC418" s="2"/>
      <c r="BD418" s="2"/>
      <c r="BE418" s="3"/>
      <c r="BF418" s="3"/>
      <c r="BG418" s="3"/>
      <c r="BH418" s="2"/>
      <c r="BI418" s="18"/>
    </row>
    <row r="419" spans="1:61">
      <c r="A419" s="29">
        <v>421</v>
      </c>
      <c r="B419" s="2">
        <v>9</v>
      </c>
      <c r="C419" s="2">
        <v>1</v>
      </c>
      <c r="D419" s="2">
        <v>114</v>
      </c>
      <c r="E419" s="2">
        <v>32</v>
      </c>
      <c r="F419" s="3">
        <v>44383</v>
      </c>
      <c r="G419" s="3">
        <v>44390</v>
      </c>
      <c r="H419" s="3">
        <v>44391</v>
      </c>
      <c r="I419" s="2">
        <v>10</v>
      </c>
      <c r="J419" s="29" t="s">
        <v>197</v>
      </c>
      <c r="K419" s="35"/>
      <c r="L419" s="35"/>
      <c r="M419" s="35"/>
      <c r="AZ419" s="17"/>
      <c r="BA419" s="2"/>
      <c r="BB419" s="2"/>
      <c r="BC419" s="2"/>
      <c r="BD419" s="2"/>
      <c r="BE419" s="3"/>
      <c r="BF419" s="3"/>
      <c r="BG419" s="3"/>
      <c r="BH419" s="2"/>
      <c r="BI419" s="18"/>
    </row>
    <row r="420" spans="1:61">
      <c r="A420" s="29">
        <v>422</v>
      </c>
      <c r="B420" s="2">
        <v>1</v>
      </c>
      <c r="C420" s="2">
        <v>1</v>
      </c>
      <c r="D420" s="2">
        <v>114</v>
      </c>
      <c r="E420" s="2">
        <v>32</v>
      </c>
      <c r="F420" s="3">
        <v>44383</v>
      </c>
      <c r="G420" s="3">
        <v>44390</v>
      </c>
      <c r="H420" s="3">
        <v>44391</v>
      </c>
      <c r="I420" s="2">
        <v>20</v>
      </c>
      <c r="J420" s="29" t="s">
        <v>197</v>
      </c>
      <c r="K420" s="35"/>
      <c r="L420" s="35"/>
      <c r="M420" s="35"/>
      <c r="AZ420" s="17"/>
      <c r="BA420" s="2"/>
      <c r="BB420" s="2"/>
      <c r="BC420" s="2"/>
      <c r="BD420" s="2"/>
      <c r="BE420" s="3"/>
      <c r="BF420" s="3"/>
      <c r="BG420" s="3"/>
      <c r="BH420" s="2"/>
      <c r="BI420" s="18"/>
    </row>
    <row r="421" spans="1:61">
      <c r="A421" s="29">
        <v>423</v>
      </c>
      <c r="B421" s="2">
        <v>17</v>
      </c>
      <c r="C421" s="2">
        <v>3</v>
      </c>
      <c r="D421" s="2">
        <v>156</v>
      </c>
      <c r="E421" s="2">
        <v>30</v>
      </c>
      <c r="F421" s="3">
        <v>44383</v>
      </c>
      <c r="G421" s="3">
        <v>44390</v>
      </c>
      <c r="H421" s="3">
        <v>44390</v>
      </c>
      <c r="I421" s="2">
        <v>20</v>
      </c>
      <c r="J421" s="29" t="s">
        <v>197</v>
      </c>
      <c r="K421" s="35"/>
      <c r="L421" s="35"/>
      <c r="M421" s="35"/>
      <c r="AZ421" s="17"/>
      <c r="BA421" s="2"/>
      <c r="BB421" s="2"/>
      <c r="BC421" s="2"/>
      <c r="BD421" s="2"/>
      <c r="BE421" s="3"/>
      <c r="BF421" s="3"/>
      <c r="BG421" s="3"/>
      <c r="BH421" s="2"/>
      <c r="BI421" s="18"/>
    </row>
    <row r="422" spans="1:61">
      <c r="A422" s="29">
        <v>424</v>
      </c>
      <c r="B422" s="2">
        <v>18</v>
      </c>
      <c r="C422" s="2">
        <v>3</v>
      </c>
      <c r="D422" s="2">
        <v>156</v>
      </c>
      <c r="E422" s="2">
        <v>30</v>
      </c>
      <c r="F422" s="3">
        <v>44383</v>
      </c>
      <c r="G422" s="3">
        <v>44390</v>
      </c>
      <c r="H422" s="3">
        <v>44390</v>
      </c>
      <c r="I422" s="2">
        <v>50</v>
      </c>
      <c r="J422" s="29" t="s">
        <v>197</v>
      </c>
      <c r="K422" s="35"/>
      <c r="L422" s="35"/>
      <c r="M422" s="35"/>
      <c r="AZ422" s="17"/>
      <c r="BA422" s="2"/>
      <c r="BB422" s="2"/>
      <c r="BC422" s="2"/>
      <c r="BD422" s="2"/>
      <c r="BE422" s="3"/>
      <c r="BF422" s="3"/>
      <c r="BG422" s="3"/>
      <c r="BH422" s="2"/>
      <c r="BI422" s="18"/>
    </row>
    <row r="423" spans="1:61">
      <c r="A423" s="29">
        <v>425</v>
      </c>
      <c r="B423" s="2">
        <v>19</v>
      </c>
      <c r="C423" s="2">
        <v>3</v>
      </c>
      <c r="D423" s="2">
        <v>156</v>
      </c>
      <c r="E423" s="2">
        <v>30</v>
      </c>
      <c r="F423" s="3">
        <v>44383</v>
      </c>
      <c r="G423" s="3">
        <v>44390</v>
      </c>
      <c r="H423" s="3">
        <v>44390</v>
      </c>
      <c r="I423" s="2">
        <v>10</v>
      </c>
      <c r="J423" s="29" t="s">
        <v>197</v>
      </c>
      <c r="K423" s="35"/>
      <c r="L423" s="35"/>
      <c r="M423" s="35"/>
      <c r="AZ423" s="17"/>
      <c r="BA423" s="2"/>
      <c r="BB423" s="2"/>
      <c r="BC423" s="2"/>
      <c r="BD423" s="2"/>
      <c r="BE423" s="3"/>
      <c r="BF423" s="3"/>
      <c r="BG423" s="3"/>
      <c r="BH423" s="2"/>
      <c r="BI423" s="18"/>
    </row>
    <row r="424" spans="1:61">
      <c r="A424" s="29">
        <v>426</v>
      </c>
      <c r="B424" s="2">
        <v>20</v>
      </c>
      <c r="C424" s="2">
        <v>3</v>
      </c>
      <c r="D424" s="2">
        <v>156</v>
      </c>
      <c r="E424" s="2">
        <v>30</v>
      </c>
      <c r="F424" s="3">
        <v>44383</v>
      </c>
      <c r="G424" s="3">
        <v>44390</v>
      </c>
      <c r="H424" s="3">
        <v>44390</v>
      </c>
      <c r="I424" s="2">
        <v>30</v>
      </c>
      <c r="J424" s="29" t="s">
        <v>197</v>
      </c>
      <c r="K424" s="35"/>
      <c r="L424" s="35"/>
      <c r="M424" s="35"/>
      <c r="AZ424" s="17"/>
      <c r="BA424" s="2"/>
      <c r="BB424" s="2"/>
      <c r="BC424" s="2"/>
      <c r="BD424" s="2"/>
      <c r="BE424" s="3"/>
      <c r="BF424" s="3"/>
      <c r="BG424" s="3"/>
      <c r="BH424" s="2"/>
      <c r="BI424" s="18"/>
    </row>
    <row r="425" spans="1:61">
      <c r="A425" s="29">
        <v>427</v>
      </c>
      <c r="B425" s="2">
        <v>1</v>
      </c>
      <c r="C425" s="2">
        <v>1</v>
      </c>
      <c r="D425" s="2">
        <v>117</v>
      </c>
      <c r="E425" s="2">
        <v>33</v>
      </c>
      <c r="F425" s="3">
        <v>44384</v>
      </c>
      <c r="G425" s="3">
        <v>44391</v>
      </c>
      <c r="H425" s="3">
        <v>44392</v>
      </c>
      <c r="I425" s="2">
        <v>30</v>
      </c>
      <c r="J425" s="29" t="s">
        <v>197</v>
      </c>
      <c r="K425" s="35"/>
      <c r="L425" s="35"/>
      <c r="M425" s="35"/>
      <c r="AZ425" s="17"/>
      <c r="BA425" s="2"/>
      <c r="BB425" s="2"/>
      <c r="BC425" s="2"/>
      <c r="BD425" s="2"/>
      <c r="BE425" s="3"/>
      <c r="BF425" s="3"/>
      <c r="BG425" s="3"/>
      <c r="BH425" s="2"/>
      <c r="BI425" s="18"/>
    </row>
    <row r="426" spans="1:61">
      <c r="A426" s="29">
        <v>428</v>
      </c>
      <c r="B426" s="2">
        <v>2</v>
      </c>
      <c r="C426" s="2">
        <v>1</v>
      </c>
      <c r="D426" s="2">
        <v>117</v>
      </c>
      <c r="E426" s="2">
        <v>33</v>
      </c>
      <c r="F426" s="3">
        <v>44384</v>
      </c>
      <c r="G426" s="3">
        <v>44391</v>
      </c>
      <c r="H426" s="3">
        <v>44392</v>
      </c>
      <c r="I426" s="2">
        <v>40</v>
      </c>
      <c r="J426" s="29" t="s">
        <v>197</v>
      </c>
      <c r="K426" s="35"/>
      <c r="L426" s="35"/>
      <c r="M426" s="35"/>
      <c r="AZ426" s="17"/>
      <c r="BA426" s="2"/>
      <c r="BB426" s="2"/>
      <c r="BC426" s="2"/>
      <c r="BD426" s="2"/>
      <c r="BE426" s="3"/>
      <c r="BF426" s="3"/>
      <c r="BG426" s="3"/>
      <c r="BH426" s="2"/>
      <c r="BI426" s="18"/>
    </row>
    <row r="427" spans="1:61">
      <c r="A427" s="29">
        <v>429</v>
      </c>
      <c r="B427" s="2">
        <v>4</v>
      </c>
      <c r="C427" s="2">
        <v>1</v>
      </c>
      <c r="D427" s="2">
        <v>117</v>
      </c>
      <c r="E427" s="2">
        <v>33</v>
      </c>
      <c r="F427" s="3">
        <v>44384</v>
      </c>
      <c r="G427" s="3">
        <v>44391</v>
      </c>
      <c r="H427" s="3">
        <v>44392</v>
      </c>
      <c r="I427" s="2">
        <v>0</v>
      </c>
      <c r="J427" s="29" t="s">
        <v>197</v>
      </c>
      <c r="K427" s="35"/>
      <c r="L427" s="35"/>
      <c r="M427" s="35"/>
      <c r="AZ427" s="17"/>
      <c r="BA427" s="2"/>
      <c r="BB427" s="2"/>
      <c r="BC427" s="2"/>
      <c r="BD427" s="2"/>
      <c r="BE427" s="3"/>
      <c r="BF427" s="3"/>
      <c r="BG427" s="3"/>
      <c r="BH427" s="2"/>
      <c r="BI427" s="18"/>
    </row>
    <row r="428" spans="1:61">
      <c r="A428" s="29">
        <v>430</v>
      </c>
      <c r="B428" s="2">
        <v>6</v>
      </c>
      <c r="C428" s="2">
        <v>1</v>
      </c>
      <c r="D428" s="2">
        <v>117</v>
      </c>
      <c r="E428" s="2">
        <v>33</v>
      </c>
      <c r="F428" s="3">
        <v>44384</v>
      </c>
      <c r="G428" s="3">
        <v>44391</v>
      </c>
      <c r="H428" s="3">
        <v>44392</v>
      </c>
      <c r="I428" s="2">
        <v>20</v>
      </c>
      <c r="J428" s="29" t="s">
        <v>197</v>
      </c>
      <c r="K428" s="35"/>
      <c r="L428" s="35"/>
      <c r="M428" s="35"/>
      <c r="AZ428" s="17"/>
      <c r="BA428" s="2"/>
      <c r="BB428" s="2"/>
      <c r="BC428" s="2"/>
      <c r="BD428" s="2"/>
      <c r="BE428" s="3"/>
      <c r="BF428" s="3"/>
      <c r="BG428" s="3"/>
      <c r="BH428" s="2"/>
      <c r="BI428" s="18"/>
    </row>
    <row r="429" spans="1:61">
      <c r="A429" s="29">
        <v>509</v>
      </c>
      <c r="B429" s="2">
        <v>7</v>
      </c>
      <c r="C429" s="2">
        <v>1</v>
      </c>
      <c r="D429" s="2">
        <v>113</v>
      </c>
      <c r="E429" s="2">
        <v>31</v>
      </c>
      <c r="F429" s="3">
        <v>44383</v>
      </c>
      <c r="G429" s="3">
        <v>44390</v>
      </c>
      <c r="H429" s="3">
        <v>44391</v>
      </c>
      <c r="I429" s="2">
        <v>0</v>
      </c>
      <c r="J429" s="29" t="s">
        <v>197</v>
      </c>
      <c r="K429" s="35"/>
      <c r="L429" s="35"/>
      <c r="M429" s="35"/>
      <c r="AZ429" s="17"/>
      <c r="BA429" s="2"/>
      <c r="BB429" s="2"/>
      <c r="BC429" s="2"/>
      <c r="BD429" s="2"/>
      <c r="BE429" s="3"/>
      <c r="BF429" s="3"/>
      <c r="BG429" s="3"/>
      <c r="BH429" s="2"/>
      <c r="BI429" s="18"/>
    </row>
    <row r="430" spans="1:61">
      <c r="A430" s="29">
        <v>432</v>
      </c>
      <c r="B430" s="2">
        <v>10</v>
      </c>
      <c r="C430" s="2">
        <v>1</v>
      </c>
      <c r="D430" s="2">
        <v>117</v>
      </c>
      <c r="E430" s="2">
        <v>33</v>
      </c>
      <c r="F430" s="3">
        <v>44384</v>
      </c>
      <c r="G430" s="3">
        <v>44391</v>
      </c>
      <c r="H430" s="3">
        <v>44392</v>
      </c>
      <c r="I430" s="2">
        <v>50</v>
      </c>
      <c r="J430" s="29" t="s">
        <v>197</v>
      </c>
      <c r="K430" s="35"/>
      <c r="L430" s="35"/>
      <c r="M430" s="35"/>
      <c r="AZ430" s="17"/>
      <c r="BA430" s="2"/>
      <c r="BB430" s="2"/>
      <c r="BC430" s="2"/>
      <c r="BD430" s="2"/>
      <c r="BE430" s="3"/>
      <c r="BF430" s="3"/>
      <c r="BG430" s="3"/>
      <c r="BH430" s="2"/>
      <c r="BI430" s="18"/>
    </row>
    <row r="431" spans="1:61">
      <c r="A431" s="29">
        <v>433</v>
      </c>
      <c r="B431" s="2">
        <v>14</v>
      </c>
      <c r="C431" s="2">
        <v>1</v>
      </c>
      <c r="D431" s="2">
        <v>117</v>
      </c>
      <c r="E431" s="2">
        <v>33</v>
      </c>
      <c r="F431" s="3">
        <v>44384</v>
      </c>
      <c r="G431" s="3">
        <v>44391</v>
      </c>
      <c r="H431" s="3">
        <v>44392</v>
      </c>
      <c r="I431" s="2">
        <v>20</v>
      </c>
      <c r="J431" s="29" t="s">
        <v>197</v>
      </c>
      <c r="K431" s="35"/>
      <c r="L431" s="35"/>
      <c r="M431" s="35"/>
      <c r="AZ431" s="17"/>
      <c r="BA431" s="2"/>
      <c r="BB431" s="2"/>
      <c r="BC431" s="2"/>
      <c r="BD431" s="2"/>
      <c r="BE431" s="3"/>
      <c r="BF431" s="3"/>
      <c r="BG431" s="3"/>
      <c r="BH431" s="2"/>
      <c r="BI431" s="18"/>
    </row>
    <row r="432" spans="1:61">
      <c r="A432" s="29">
        <v>434</v>
      </c>
      <c r="B432" s="2">
        <v>15</v>
      </c>
      <c r="C432" s="2">
        <v>1</v>
      </c>
      <c r="D432" s="2">
        <v>120</v>
      </c>
      <c r="E432" s="2">
        <v>34</v>
      </c>
      <c r="F432" s="3">
        <v>44386</v>
      </c>
      <c r="G432" s="3">
        <v>44393</v>
      </c>
      <c r="H432" s="3">
        <v>44394</v>
      </c>
      <c r="I432" s="2">
        <v>0</v>
      </c>
      <c r="J432" s="29" t="s">
        <v>197</v>
      </c>
      <c r="K432" s="35"/>
      <c r="L432" s="35"/>
      <c r="M432" s="35"/>
      <c r="AZ432" s="17"/>
      <c r="BA432" s="2"/>
      <c r="BB432" s="2"/>
      <c r="BC432" s="2"/>
      <c r="BD432" s="2"/>
      <c r="BE432" s="3"/>
      <c r="BF432" s="3"/>
      <c r="BG432" s="3"/>
      <c r="BH432" s="2"/>
      <c r="BI432" s="18"/>
    </row>
    <row r="433" spans="1:61">
      <c r="A433" s="29">
        <v>435</v>
      </c>
      <c r="B433" s="2">
        <v>3</v>
      </c>
      <c r="C433" s="2">
        <v>1</v>
      </c>
      <c r="D433" s="2">
        <v>120</v>
      </c>
      <c r="E433" s="2">
        <v>34</v>
      </c>
      <c r="F433" s="3">
        <v>44386</v>
      </c>
      <c r="G433" s="3">
        <v>44393</v>
      </c>
      <c r="H433" s="3">
        <v>44394</v>
      </c>
      <c r="I433" s="2">
        <v>40</v>
      </c>
      <c r="J433" s="29" t="s">
        <v>197</v>
      </c>
      <c r="K433" s="35"/>
      <c r="L433" s="35"/>
      <c r="M433" s="35"/>
      <c r="AZ433" s="17"/>
      <c r="BA433" s="2"/>
      <c r="BB433" s="2"/>
      <c r="BC433" s="2"/>
      <c r="BD433" s="2"/>
      <c r="BE433" s="3"/>
      <c r="BF433" s="3"/>
      <c r="BG433" s="3"/>
      <c r="BH433" s="2"/>
      <c r="BI433" s="18"/>
    </row>
    <row r="434" spans="1:61">
      <c r="A434" s="29">
        <v>436</v>
      </c>
      <c r="B434" s="2">
        <v>28</v>
      </c>
      <c r="C434" s="2">
        <v>1</v>
      </c>
      <c r="D434" s="2">
        <v>120</v>
      </c>
      <c r="E434" s="2">
        <v>34</v>
      </c>
      <c r="F434" s="3">
        <v>44386</v>
      </c>
      <c r="G434" s="3">
        <v>44393</v>
      </c>
      <c r="H434" s="3">
        <v>44394</v>
      </c>
      <c r="I434" s="2">
        <v>20</v>
      </c>
      <c r="J434" s="29" t="s">
        <v>197</v>
      </c>
      <c r="K434" s="35"/>
      <c r="L434" s="35"/>
      <c r="M434" s="35"/>
      <c r="AZ434" s="17"/>
      <c r="BA434" s="2"/>
      <c r="BB434" s="2"/>
      <c r="BC434" s="2"/>
      <c r="BD434" s="2"/>
      <c r="BE434" s="3"/>
      <c r="BF434" s="3"/>
      <c r="BG434" s="3"/>
      <c r="BH434" s="2"/>
      <c r="BI434" s="18"/>
    </row>
    <row r="435" spans="1:61">
      <c r="A435" s="29">
        <v>437</v>
      </c>
      <c r="B435" s="2">
        <v>14</v>
      </c>
      <c r="C435" s="2">
        <v>1</v>
      </c>
      <c r="D435" s="2">
        <v>46</v>
      </c>
      <c r="E435" s="2">
        <v>17</v>
      </c>
      <c r="F435" s="3">
        <v>44368</v>
      </c>
      <c r="G435" s="3">
        <v>44375</v>
      </c>
      <c r="H435" s="3">
        <v>44376</v>
      </c>
      <c r="I435" s="2">
        <v>30</v>
      </c>
      <c r="J435" s="29" t="s">
        <v>197</v>
      </c>
      <c r="K435" s="35"/>
      <c r="L435" s="35"/>
      <c r="M435" s="35"/>
      <c r="AZ435" s="17"/>
      <c r="BA435" s="2"/>
      <c r="BB435" s="2"/>
      <c r="BC435" s="2"/>
      <c r="BD435" s="2"/>
      <c r="BE435" s="3"/>
      <c r="BF435" s="3"/>
      <c r="BG435" s="3"/>
      <c r="BH435" s="2"/>
      <c r="BI435" s="18"/>
    </row>
    <row r="436" spans="1:61">
      <c r="A436" s="29">
        <v>438</v>
      </c>
      <c r="B436" s="2">
        <v>19</v>
      </c>
      <c r="C436" s="2">
        <v>1</v>
      </c>
      <c r="D436" s="2">
        <v>120</v>
      </c>
      <c r="E436" s="2">
        <v>34</v>
      </c>
      <c r="F436" s="3">
        <v>44386</v>
      </c>
      <c r="G436" s="3">
        <v>44393</v>
      </c>
      <c r="H436" s="3">
        <v>44394</v>
      </c>
      <c r="I436" s="2">
        <v>30</v>
      </c>
      <c r="J436" s="29" t="s">
        <v>197</v>
      </c>
      <c r="K436" s="35"/>
      <c r="L436" s="35"/>
      <c r="M436" s="35"/>
      <c r="AZ436" s="17"/>
      <c r="BA436" s="2"/>
      <c r="BB436" s="2"/>
      <c r="BC436" s="2"/>
      <c r="BD436" s="2"/>
      <c r="BE436" s="3"/>
      <c r="BF436" s="3"/>
      <c r="BG436" s="3"/>
      <c r="BH436" s="2"/>
      <c r="BI436" s="18"/>
    </row>
    <row r="437" spans="1:61">
      <c r="A437" s="29">
        <v>439</v>
      </c>
      <c r="B437" s="2">
        <v>11</v>
      </c>
      <c r="C437" s="2">
        <v>1</v>
      </c>
      <c r="D437" s="2">
        <v>120</v>
      </c>
      <c r="E437" s="2">
        <v>34</v>
      </c>
      <c r="F437" s="3">
        <v>44386</v>
      </c>
      <c r="G437" s="3">
        <v>44393</v>
      </c>
      <c r="H437" s="3">
        <v>44394</v>
      </c>
      <c r="I437" s="2">
        <v>30</v>
      </c>
      <c r="J437" s="29" t="s">
        <v>197</v>
      </c>
      <c r="K437" s="35"/>
      <c r="L437" s="35"/>
      <c r="M437" s="35"/>
      <c r="AZ437" s="17"/>
      <c r="BA437" s="2"/>
      <c r="BB437" s="2"/>
      <c r="BC437" s="2"/>
      <c r="BD437" s="2"/>
      <c r="BE437" s="3"/>
      <c r="BF437" s="3"/>
      <c r="BG437" s="3"/>
      <c r="BH437" s="2"/>
      <c r="BI437" s="18"/>
    </row>
    <row r="438" spans="1:61">
      <c r="A438" s="29">
        <v>440</v>
      </c>
      <c r="B438" s="2">
        <v>8</v>
      </c>
      <c r="C438" s="2">
        <v>1</v>
      </c>
      <c r="D438" s="2">
        <v>120</v>
      </c>
      <c r="E438" s="2">
        <v>34</v>
      </c>
      <c r="F438" s="3">
        <v>44386</v>
      </c>
      <c r="G438" s="3">
        <v>44393</v>
      </c>
      <c r="H438" s="3">
        <v>44394</v>
      </c>
      <c r="I438" s="2">
        <v>20</v>
      </c>
      <c r="J438" s="29" t="s">
        <v>197</v>
      </c>
      <c r="K438" s="35"/>
      <c r="L438" s="35"/>
      <c r="M438" s="35"/>
      <c r="AZ438" s="17"/>
      <c r="BA438" s="2"/>
      <c r="BB438" s="2"/>
      <c r="BC438" s="2"/>
      <c r="BD438" s="2"/>
      <c r="BE438" s="3"/>
      <c r="BF438" s="3"/>
      <c r="BG438" s="3"/>
      <c r="BH438" s="2"/>
      <c r="BI438" s="18"/>
    </row>
    <row r="439" spans="1:61">
      <c r="A439" s="29">
        <v>441</v>
      </c>
      <c r="B439" s="2">
        <v>21</v>
      </c>
      <c r="C439" s="2">
        <v>1</v>
      </c>
      <c r="D439" s="2">
        <v>120</v>
      </c>
      <c r="E439" s="2">
        <v>34</v>
      </c>
      <c r="F439" s="3">
        <v>44386</v>
      </c>
      <c r="G439" s="3">
        <v>44393</v>
      </c>
      <c r="H439" s="3">
        <v>44394</v>
      </c>
      <c r="I439" s="2">
        <v>40</v>
      </c>
      <c r="J439" s="29" t="s">
        <v>197</v>
      </c>
      <c r="K439" s="35"/>
      <c r="L439" s="35"/>
      <c r="M439" s="35"/>
      <c r="AZ439" s="17"/>
      <c r="BA439" s="2"/>
      <c r="BB439" s="2"/>
      <c r="BC439" s="2"/>
      <c r="BD439" s="2"/>
      <c r="BE439" s="3"/>
      <c r="BF439" s="3"/>
      <c r="BG439" s="3"/>
      <c r="BH439" s="2"/>
      <c r="BI439" s="18"/>
    </row>
    <row r="440" spans="1:61">
      <c r="A440" s="29">
        <v>442</v>
      </c>
      <c r="B440" s="2">
        <v>12</v>
      </c>
      <c r="C440" s="2">
        <v>1</v>
      </c>
      <c r="D440" s="2">
        <v>121</v>
      </c>
      <c r="E440" s="2">
        <v>35</v>
      </c>
      <c r="F440" s="3">
        <v>44387</v>
      </c>
      <c r="G440" s="3">
        <v>44394</v>
      </c>
      <c r="H440" s="3">
        <v>44395</v>
      </c>
      <c r="I440" s="2">
        <v>30</v>
      </c>
      <c r="J440" s="29" t="s">
        <v>197</v>
      </c>
      <c r="K440" s="35"/>
      <c r="L440" s="35"/>
      <c r="M440" s="35"/>
      <c r="AZ440" s="17"/>
      <c r="BA440" s="2"/>
      <c r="BB440" s="2"/>
      <c r="BC440" s="2"/>
      <c r="BD440" s="2"/>
      <c r="BE440" s="3"/>
      <c r="BF440" s="3"/>
      <c r="BG440" s="3"/>
      <c r="BH440" s="2"/>
      <c r="BI440" s="18"/>
    </row>
    <row r="441" spans="1:61">
      <c r="A441" s="29">
        <v>443</v>
      </c>
      <c r="B441" s="2">
        <v>16</v>
      </c>
      <c r="C441" s="2">
        <v>1</v>
      </c>
      <c r="D441" s="2">
        <v>121</v>
      </c>
      <c r="E441" s="2">
        <v>35</v>
      </c>
      <c r="F441" s="3">
        <v>44387</v>
      </c>
      <c r="G441" s="3">
        <v>44394</v>
      </c>
      <c r="H441" s="3">
        <v>44395</v>
      </c>
      <c r="I441" s="2">
        <v>10</v>
      </c>
      <c r="J441" s="29" t="s">
        <v>197</v>
      </c>
      <c r="K441" s="35"/>
      <c r="L441" s="35"/>
      <c r="M441" s="35"/>
      <c r="AZ441" s="17"/>
      <c r="BA441" s="2"/>
      <c r="BB441" s="2"/>
      <c r="BC441" s="2"/>
      <c r="BD441" s="2"/>
      <c r="BE441" s="3"/>
      <c r="BF441" s="3"/>
      <c r="BG441" s="3"/>
      <c r="BH441" s="2"/>
      <c r="BI441" s="18"/>
    </row>
    <row r="442" spans="1:61">
      <c r="A442" s="29">
        <v>444</v>
      </c>
      <c r="B442" s="2">
        <v>27</v>
      </c>
      <c r="C442" s="2">
        <v>1</v>
      </c>
      <c r="D442" s="2">
        <v>121</v>
      </c>
      <c r="E442" s="2">
        <v>35</v>
      </c>
      <c r="F442" s="3">
        <v>44387</v>
      </c>
      <c r="G442" s="3">
        <v>44394</v>
      </c>
      <c r="H442" s="3">
        <v>44395</v>
      </c>
      <c r="I442" s="2">
        <v>20</v>
      </c>
      <c r="J442" s="29" t="s">
        <v>197</v>
      </c>
      <c r="K442" s="35"/>
      <c r="L442" s="35"/>
      <c r="M442" s="35"/>
      <c r="AZ442" s="17"/>
      <c r="BA442" s="2"/>
      <c r="BB442" s="2"/>
      <c r="BC442" s="2"/>
      <c r="BD442" s="2"/>
      <c r="BE442" s="3"/>
      <c r="BF442" s="3"/>
      <c r="BG442" s="3"/>
      <c r="BH442" s="2"/>
      <c r="BI442" s="18"/>
    </row>
    <row r="443" spans="1:61">
      <c r="A443" s="29">
        <v>445</v>
      </c>
      <c r="B443" s="2">
        <v>4</v>
      </c>
      <c r="C443" s="2">
        <v>1</v>
      </c>
      <c r="D443" s="2">
        <v>121</v>
      </c>
      <c r="E443" s="2">
        <v>35</v>
      </c>
      <c r="F443" s="3">
        <v>44387</v>
      </c>
      <c r="G443" s="3">
        <v>44394</v>
      </c>
      <c r="H443" s="3">
        <v>44395</v>
      </c>
      <c r="I443" s="2">
        <v>40</v>
      </c>
      <c r="J443" s="29" t="s">
        <v>197</v>
      </c>
      <c r="K443" s="35"/>
      <c r="L443" s="35"/>
      <c r="M443" s="35"/>
      <c r="AZ443" s="17"/>
      <c r="BA443" s="2"/>
      <c r="BB443" s="2"/>
      <c r="BC443" s="2"/>
      <c r="BD443" s="2"/>
      <c r="BE443" s="3"/>
      <c r="BF443" s="3"/>
      <c r="BG443" s="3"/>
      <c r="BH443" s="2"/>
      <c r="BI443" s="18"/>
    </row>
    <row r="444" spans="1:61">
      <c r="A444" s="29">
        <v>446</v>
      </c>
      <c r="B444" s="2">
        <v>20</v>
      </c>
      <c r="C444" s="2">
        <v>1</v>
      </c>
      <c r="D444" s="2">
        <v>121</v>
      </c>
      <c r="E444" s="2">
        <v>35</v>
      </c>
      <c r="F444" s="3">
        <v>44387</v>
      </c>
      <c r="G444" s="3">
        <v>44394</v>
      </c>
      <c r="H444" s="3">
        <v>44395</v>
      </c>
      <c r="I444" s="2">
        <v>50</v>
      </c>
      <c r="J444" s="29" t="s">
        <v>197</v>
      </c>
      <c r="K444" s="35"/>
      <c r="L444" s="35"/>
      <c r="M444" s="35"/>
      <c r="AZ444" s="17"/>
      <c r="BA444" s="2"/>
      <c r="BB444" s="2"/>
      <c r="BC444" s="2"/>
      <c r="BD444" s="2"/>
      <c r="BE444" s="3"/>
      <c r="BF444" s="3"/>
      <c r="BG444" s="3"/>
      <c r="BH444" s="2"/>
      <c r="BI444" s="18"/>
    </row>
    <row r="445" spans="1:61">
      <c r="A445" s="29">
        <v>447</v>
      </c>
      <c r="B445" s="2">
        <v>6</v>
      </c>
      <c r="C445" s="2">
        <v>1</v>
      </c>
      <c r="D445" s="2">
        <v>121</v>
      </c>
      <c r="E445" s="2">
        <v>35</v>
      </c>
      <c r="F445" s="3">
        <v>44387</v>
      </c>
      <c r="G445" s="3">
        <v>44394</v>
      </c>
      <c r="H445" s="3">
        <v>44395</v>
      </c>
      <c r="I445" s="2">
        <v>20</v>
      </c>
      <c r="J445" s="29" t="s">
        <v>197</v>
      </c>
      <c r="K445" s="35"/>
      <c r="L445" s="35"/>
      <c r="M445" s="35"/>
      <c r="AZ445" s="17"/>
      <c r="BA445" s="2"/>
      <c r="BB445" s="2"/>
      <c r="BC445" s="2"/>
      <c r="BD445" s="2"/>
      <c r="BE445" s="3"/>
      <c r="BF445" s="3"/>
      <c r="BG445" s="3"/>
      <c r="BH445" s="2"/>
      <c r="BI445" s="18"/>
    </row>
    <row r="446" spans="1:61">
      <c r="A446" s="29">
        <v>448</v>
      </c>
      <c r="B446" s="2">
        <v>8</v>
      </c>
      <c r="C446" s="2">
        <v>1</v>
      </c>
      <c r="D446" s="2">
        <v>121</v>
      </c>
      <c r="E446" s="2">
        <v>35</v>
      </c>
      <c r="F446" s="3">
        <v>44387</v>
      </c>
      <c r="G446" s="3">
        <v>44394</v>
      </c>
      <c r="H446" s="3">
        <v>44395</v>
      </c>
      <c r="I446" s="2">
        <v>40</v>
      </c>
      <c r="J446" s="29" t="s">
        <v>197</v>
      </c>
      <c r="K446" s="35"/>
      <c r="L446" s="35"/>
      <c r="M446" s="35"/>
      <c r="AZ446" s="17"/>
      <c r="BA446" s="2"/>
      <c r="BB446" s="2"/>
      <c r="BC446" s="2"/>
      <c r="BD446" s="2"/>
      <c r="BE446" s="3"/>
      <c r="BF446" s="3"/>
      <c r="BG446" s="3"/>
      <c r="BH446" s="2"/>
      <c r="BI446" s="18"/>
    </row>
    <row r="447" spans="1:61">
      <c r="A447" s="29">
        <v>449</v>
      </c>
      <c r="B447" s="2">
        <v>1</v>
      </c>
      <c r="C447" s="2">
        <v>1</v>
      </c>
      <c r="D447" s="2">
        <v>121</v>
      </c>
      <c r="E447" s="2">
        <v>35</v>
      </c>
      <c r="F447" s="3">
        <v>44387</v>
      </c>
      <c r="G447" s="3">
        <v>44394</v>
      </c>
      <c r="H447" s="3">
        <v>44395</v>
      </c>
      <c r="I447" s="2">
        <v>40</v>
      </c>
      <c r="J447" s="29" t="s">
        <v>197</v>
      </c>
      <c r="K447" s="35"/>
      <c r="L447" s="35"/>
      <c r="M447" s="35"/>
      <c r="AZ447" s="17"/>
      <c r="BA447" s="2"/>
      <c r="BB447" s="2"/>
      <c r="BC447" s="2"/>
      <c r="BD447" s="2"/>
      <c r="BE447" s="3"/>
      <c r="BF447" s="3"/>
      <c r="BG447" s="3"/>
      <c r="BH447" s="2"/>
      <c r="BI447" s="18"/>
    </row>
    <row r="448" spans="1:61">
      <c r="A448" s="29">
        <v>450</v>
      </c>
      <c r="B448" s="2">
        <v>13</v>
      </c>
      <c r="C448" s="2">
        <v>1</v>
      </c>
      <c r="D448" s="2">
        <v>122</v>
      </c>
      <c r="E448" s="2">
        <v>36</v>
      </c>
      <c r="F448" s="3">
        <v>44388</v>
      </c>
      <c r="G448" s="3">
        <v>44395</v>
      </c>
      <c r="H448" s="3">
        <v>44396</v>
      </c>
      <c r="I448" s="2">
        <v>30</v>
      </c>
      <c r="J448" s="29" t="s">
        <v>197</v>
      </c>
      <c r="K448" s="35"/>
      <c r="L448" s="35"/>
      <c r="M448" s="35"/>
      <c r="AZ448" s="17"/>
      <c r="BA448" s="2"/>
      <c r="BB448" s="2"/>
      <c r="BC448" s="2"/>
      <c r="BD448" s="2"/>
      <c r="BE448" s="3"/>
      <c r="BF448" s="3"/>
      <c r="BG448" s="3"/>
      <c r="BH448" s="2"/>
      <c r="BI448" s="18"/>
    </row>
    <row r="449" spans="1:61">
      <c r="A449" s="29">
        <v>451</v>
      </c>
      <c r="B449" s="2">
        <v>30</v>
      </c>
      <c r="C449" s="2">
        <v>1</v>
      </c>
      <c r="D449" s="2">
        <v>122</v>
      </c>
      <c r="E449" s="2">
        <v>36</v>
      </c>
      <c r="F449" s="3">
        <v>44388</v>
      </c>
      <c r="G449" s="3">
        <v>44395</v>
      </c>
      <c r="H449" s="3">
        <v>44396</v>
      </c>
      <c r="I449" s="2">
        <v>30</v>
      </c>
      <c r="J449" s="29" t="s">
        <v>197</v>
      </c>
      <c r="K449" s="35"/>
      <c r="L449" s="35"/>
      <c r="M449" s="35"/>
      <c r="AZ449" s="17"/>
      <c r="BA449" s="2"/>
      <c r="BB449" s="2"/>
      <c r="BC449" s="2"/>
      <c r="BD449" s="2"/>
      <c r="BE449" s="3"/>
      <c r="BF449" s="3"/>
      <c r="BG449" s="3"/>
      <c r="BH449" s="2"/>
      <c r="BI449" s="18"/>
    </row>
    <row r="450" spans="1:61">
      <c r="A450" s="29">
        <v>452</v>
      </c>
      <c r="B450" s="2">
        <v>10</v>
      </c>
      <c r="C450" s="2">
        <v>1</v>
      </c>
      <c r="D450" s="2">
        <v>80</v>
      </c>
      <c r="E450" s="2">
        <v>26</v>
      </c>
      <c r="F450" s="3">
        <v>44380</v>
      </c>
      <c r="G450" s="3">
        <v>44387</v>
      </c>
      <c r="H450" s="3">
        <v>44388</v>
      </c>
      <c r="I450" s="2">
        <v>50</v>
      </c>
      <c r="J450" s="29" t="s">
        <v>197</v>
      </c>
      <c r="K450" s="35"/>
      <c r="L450" s="35"/>
      <c r="M450" s="35"/>
      <c r="AZ450" s="17"/>
      <c r="BA450" s="2"/>
      <c r="BB450" s="2"/>
      <c r="BC450" s="2"/>
      <c r="BD450" s="2"/>
      <c r="BE450" s="3"/>
      <c r="BF450" s="3"/>
      <c r="BG450" s="3"/>
      <c r="BH450" s="2"/>
      <c r="BI450" s="18"/>
    </row>
    <row r="451" spans="1:61">
      <c r="A451" s="29">
        <v>453</v>
      </c>
      <c r="B451" s="2">
        <v>11</v>
      </c>
      <c r="C451" s="2">
        <v>1</v>
      </c>
      <c r="D451" s="2">
        <v>79</v>
      </c>
      <c r="E451" s="2">
        <v>25</v>
      </c>
      <c r="F451" s="3">
        <v>44380</v>
      </c>
      <c r="G451" s="3">
        <v>44387</v>
      </c>
      <c r="H451" s="3">
        <v>44388</v>
      </c>
      <c r="I451" s="2">
        <v>0</v>
      </c>
      <c r="J451" s="29" t="s">
        <v>197</v>
      </c>
      <c r="K451" s="35"/>
      <c r="L451" s="35"/>
      <c r="M451" s="35"/>
      <c r="AZ451" s="17"/>
      <c r="BA451" s="2"/>
      <c r="BB451" s="2"/>
      <c r="BC451" s="2"/>
      <c r="BD451" s="2"/>
      <c r="BE451" s="3"/>
      <c r="BF451" s="3"/>
      <c r="BG451" s="3"/>
      <c r="BH451" s="2"/>
      <c r="BI451" s="18"/>
    </row>
    <row r="452" spans="1:61">
      <c r="A452" s="29">
        <v>454</v>
      </c>
      <c r="B452" s="2">
        <v>4</v>
      </c>
      <c r="C452" s="2">
        <v>1</v>
      </c>
      <c r="D452" s="2">
        <v>122</v>
      </c>
      <c r="E452" s="2">
        <v>36</v>
      </c>
      <c r="F452" s="3">
        <v>44388</v>
      </c>
      <c r="G452" s="3">
        <v>44395</v>
      </c>
      <c r="H452" s="3">
        <v>44396</v>
      </c>
      <c r="I452" s="2">
        <v>50</v>
      </c>
      <c r="J452" s="29" t="s">
        <v>197</v>
      </c>
      <c r="K452" s="35"/>
      <c r="L452" s="35"/>
      <c r="M452" s="35"/>
      <c r="AZ452" s="17"/>
      <c r="BA452" s="2"/>
      <c r="BB452" s="2"/>
      <c r="BC452" s="2"/>
      <c r="BD452" s="2"/>
      <c r="BE452" s="3"/>
      <c r="BF452" s="3"/>
      <c r="BG452" s="3"/>
      <c r="BH452" s="2"/>
      <c r="BI452" s="18"/>
    </row>
    <row r="453" spans="1:61">
      <c r="A453" s="29">
        <v>455</v>
      </c>
      <c r="B453" s="2">
        <v>16</v>
      </c>
      <c r="C453" s="2">
        <v>1</v>
      </c>
      <c r="D453" s="2">
        <v>49</v>
      </c>
      <c r="E453" s="2">
        <v>18</v>
      </c>
      <c r="F453" s="3">
        <v>44371</v>
      </c>
      <c r="G453" s="3">
        <v>44378</v>
      </c>
      <c r="H453" s="3">
        <v>44379</v>
      </c>
      <c r="I453" s="2">
        <v>0</v>
      </c>
      <c r="J453" s="29" t="s">
        <v>197</v>
      </c>
      <c r="K453" s="35"/>
      <c r="L453" s="35"/>
      <c r="M453" s="35"/>
      <c r="AZ453" s="17"/>
      <c r="BA453" s="2"/>
      <c r="BB453" s="2"/>
      <c r="BC453" s="2"/>
      <c r="BD453" s="2"/>
      <c r="BE453" s="3"/>
      <c r="BF453" s="3"/>
      <c r="BG453" s="3"/>
      <c r="BH453" s="2"/>
      <c r="BI453" s="18"/>
    </row>
    <row r="454" spans="1:61">
      <c r="A454" s="29">
        <v>456</v>
      </c>
      <c r="B454" s="2">
        <v>14</v>
      </c>
      <c r="C454" s="2">
        <v>1</v>
      </c>
      <c r="D454" s="2">
        <v>137</v>
      </c>
      <c r="E454" s="2">
        <v>37</v>
      </c>
      <c r="F454" s="3">
        <v>44389</v>
      </c>
      <c r="G454" s="3">
        <v>44396</v>
      </c>
      <c r="H454" s="3">
        <v>44397</v>
      </c>
      <c r="I454" s="2">
        <v>20</v>
      </c>
      <c r="J454" s="29" t="s">
        <v>197</v>
      </c>
      <c r="K454" s="35"/>
      <c r="L454" s="35"/>
      <c r="M454" s="35"/>
      <c r="AZ454" s="17"/>
      <c r="BA454" s="2"/>
      <c r="BB454" s="2"/>
      <c r="BC454" s="2"/>
      <c r="BD454" s="2"/>
      <c r="BE454" s="3"/>
      <c r="BF454" s="3"/>
      <c r="BG454" s="3"/>
      <c r="BH454" s="2"/>
      <c r="BI454" s="18"/>
    </row>
    <row r="455" spans="1:61">
      <c r="A455" s="29">
        <v>457</v>
      </c>
      <c r="B455" s="2">
        <v>3</v>
      </c>
      <c r="C455" s="2">
        <v>1</v>
      </c>
      <c r="D455" s="2">
        <v>137</v>
      </c>
      <c r="E455" s="2">
        <v>37</v>
      </c>
      <c r="F455" s="3">
        <v>44389</v>
      </c>
      <c r="G455" s="3">
        <v>44396</v>
      </c>
      <c r="H455" s="3">
        <v>44397</v>
      </c>
      <c r="I455" s="2">
        <v>50</v>
      </c>
      <c r="J455" s="29" t="s">
        <v>197</v>
      </c>
      <c r="K455" s="35"/>
      <c r="L455" s="35"/>
      <c r="M455" s="35"/>
      <c r="AZ455" s="17"/>
      <c r="BA455" s="2"/>
      <c r="BB455" s="2"/>
      <c r="BC455" s="2"/>
      <c r="BD455" s="2"/>
      <c r="BE455" s="3"/>
      <c r="BF455" s="3"/>
      <c r="BG455" s="3"/>
      <c r="BH455" s="2"/>
      <c r="BI455" s="18"/>
    </row>
    <row r="456" spans="1:61">
      <c r="A456" s="29">
        <v>458</v>
      </c>
      <c r="B456" s="2">
        <v>29</v>
      </c>
      <c r="C456" s="2">
        <v>1</v>
      </c>
      <c r="D456" s="2">
        <v>137</v>
      </c>
      <c r="E456" s="2">
        <v>37</v>
      </c>
      <c r="F456" s="3">
        <v>44389</v>
      </c>
      <c r="G456" s="3">
        <v>44396</v>
      </c>
      <c r="H456" s="3">
        <v>44397</v>
      </c>
      <c r="I456" s="2">
        <v>0</v>
      </c>
      <c r="J456" s="29" t="s">
        <v>197</v>
      </c>
      <c r="K456" s="35"/>
      <c r="L456" s="35"/>
      <c r="M456" s="35"/>
      <c r="AZ456" s="17"/>
      <c r="BA456" s="2"/>
      <c r="BB456" s="2"/>
      <c r="BC456" s="2"/>
      <c r="BD456" s="2"/>
      <c r="BE456" s="3"/>
      <c r="BF456" s="3"/>
      <c r="BG456" s="3"/>
      <c r="BH456" s="2"/>
      <c r="BI456" s="18"/>
    </row>
    <row r="457" spans="1:61">
      <c r="A457" s="29">
        <v>153</v>
      </c>
      <c r="B457" s="2">
        <v>5</v>
      </c>
      <c r="C457" s="2">
        <v>1</v>
      </c>
      <c r="D457" s="2">
        <v>151</v>
      </c>
      <c r="E457" s="2">
        <v>39</v>
      </c>
      <c r="F457" s="3">
        <v>44389</v>
      </c>
      <c r="G457" s="3">
        <v>44396</v>
      </c>
      <c r="H457" s="3">
        <v>44397</v>
      </c>
      <c r="I457" s="2">
        <v>70</v>
      </c>
      <c r="J457" s="29" t="s">
        <v>198</v>
      </c>
      <c r="K457" s="35"/>
      <c r="L457" s="35"/>
      <c r="M457" s="35"/>
      <c r="AZ457" s="17"/>
      <c r="BA457" s="2"/>
      <c r="BB457" s="2"/>
      <c r="BC457" s="2"/>
      <c r="BD457" s="2"/>
      <c r="BE457" s="3"/>
      <c r="BF457" s="3"/>
      <c r="BG457" s="3"/>
      <c r="BH457" s="2"/>
      <c r="BI457" s="18"/>
    </row>
    <row r="458" spans="1:61">
      <c r="A458" s="29">
        <v>460</v>
      </c>
      <c r="B458" s="2">
        <v>12</v>
      </c>
      <c r="C458" s="2">
        <v>1</v>
      </c>
      <c r="D458" s="2">
        <v>80</v>
      </c>
      <c r="E458" s="2">
        <v>26</v>
      </c>
      <c r="F458" s="3">
        <v>44380</v>
      </c>
      <c r="G458" s="3">
        <v>44387</v>
      </c>
      <c r="H458" s="3">
        <v>44388</v>
      </c>
      <c r="I458" s="2">
        <v>0</v>
      </c>
      <c r="J458" s="29" t="s">
        <v>197</v>
      </c>
      <c r="K458" s="35"/>
      <c r="L458" s="35"/>
      <c r="M458" s="35"/>
      <c r="AZ458" s="17"/>
      <c r="BA458" s="2"/>
      <c r="BB458" s="2"/>
      <c r="BC458" s="2"/>
      <c r="BD458" s="2"/>
      <c r="BE458" s="3"/>
      <c r="BF458" s="3"/>
      <c r="BG458" s="3"/>
      <c r="BH458" s="2"/>
      <c r="BI458" s="18"/>
    </row>
    <row r="459" spans="1:61">
      <c r="A459" s="29">
        <v>461</v>
      </c>
      <c r="B459" s="2">
        <v>8</v>
      </c>
      <c r="C459" s="2">
        <v>1</v>
      </c>
      <c r="D459" s="2">
        <v>137</v>
      </c>
      <c r="E459" s="2">
        <v>37</v>
      </c>
      <c r="F459" s="3">
        <v>44389</v>
      </c>
      <c r="G459" s="3">
        <v>44396</v>
      </c>
      <c r="H459" s="3">
        <v>44397</v>
      </c>
      <c r="I459" s="2">
        <v>50</v>
      </c>
      <c r="J459" s="29" t="s">
        <v>197</v>
      </c>
      <c r="K459" s="35"/>
      <c r="L459" s="35"/>
      <c r="M459" s="35"/>
      <c r="AZ459" s="17"/>
      <c r="BA459" s="2"/>
      <c r="BB459" s="2"/>
      <c r="BC459" s="2"/>
      <c r="BD459" s="2"/>
      <c r="BE459" s="3"/>
      <c r="BF459" s="3"/>
      <c r="BG459" s="3"/>
      <c r="BH459" s="2"/>
      <c r="BI459" s="18"/>
    </row>
    <row r="460" spans="1:61">
      <c r="A460" s="29">
        <v>462</v>
      </c>
      <c r="B460" s="2">
        <v>17</v>
      </c>
      <c r="C460" s="2">
        <v>1</v>
      </c>
      <c r="D460" s="2">
        <v>137</v>
      </c>
      <c r="E460" s="2">
        <v>37</v>
      </c>
      <c r="F460" s="3">
        <v>44389</v>
      </c>
      <c r="G460" s="3">
        <v>44396</v>
      </c>
      <c r="H460" s="3">
        <v>44397</v>
      </c>
      <c r="I460" s="2">
        <v>80</v>
      </c>
      <c r="J460" s="29" t="s">
        <v>198</v>
      </c>
      <c r="K460" s="35"/>
      <c r="L460" s="35"/>
      <c r="M460" s="35"/>
      <c r="AZ460" s="17"/>
      <c r="BA460" s="2"/>
      <c r="BB460" s="2"/>
      <c r="BC460" s="2"/>
      <c r="BD460" s="2"/>
      <c r="BE460" s="3"/>
      <c r="BF460" s="3"/>
      <c r="BG460" s="3"/>
      <c r="BH460" s="2"/>
      <c r="BI460" s="18"/>
    </row>
    <row r="461" spans="1:61">
      <c r="A461" s="29">
        <v>463</v>
      </c>
      <c r="B461" s="2">
        <v>18</v>
      </c>
      <c r="C461" s="2">
        <v>1</v>
      </c>
      <c r="D461" s="2">
        <v>65</v>
      </c>
      <c r="E461" s="2">
        <v>20</v>
      </c>
      <c r="F461" s="3">
        <v>44372</v>
      </c>
      <c r="G461" s="3">
        <v>44379</v>
      </c>
      <c r="H461" s="3">
        <v>44380</v>
      </c>
      <c r="I461" s="2">
        <v>20</v>
      </c>
      <c r="J461" s="29" t="s">
        <v>197</v>
      </c>
      <c r="K461" s="35"/>
      <c r="L461" s="35"/>
      <c r="M461" s="35"/>
      <c r="AZ461" s="17"/>
      <c r="BA461" s="2"/>
      <c r="BB461" s="2"/>
      <c r="BC461" s="2"/>
      <c r="BD461" s="2"/>
      <c r="BE461" s="3"/>
      <c r="BF461" s="3"/>
      <c r="BG461" s="3"/>
      <c r="BH461" s="2"/>
      <c r="BI461" s="18"/>
    </row>
    <row r="462" spans="1:61">
      <c r="A462" s="29">
        <v>464</v>
      </c>
      <c r="B462" s="2">
        <v>12</v>
      </c>
      <c r="C462" s="2">
        <v>1</v>
      </c>
      <c r="D462" s="2">
        <v>150</v>
      </c>
      <c r="E462" s="2">
        <v>38</v>
      </c>
      <c r="F462" s="3">
        <v>44389</v>
      </c>
      <c r="G462" s="3">
        <v>44396</v>
      </c>
      <c r="H462" s="3">
        <v>44397</v>
      </c>
      <c r="I462" s="2">
        <v>50</v>
      </c>
      <c r="J462" s="29" t="s">
        <v>197</v>
      </c>
      <c r="K462" s="35"/>
      <c r="L462" s="35"/>
      <c r="M462" s="35"/>
      <c r="AZ462" s="17"/>
      <c r="BA462" s="2"/>
      <c r="BB462" s="2"/>
      <c r="BC462" s="2"/>
      <c r="BD462" s="2"/>
      <c r="BE462" s="3"/>
      <c r="BF462" s="3"/>
      <c r="BG462" s="3"/>
      <c r="BH462" s="2"/>
      <c r="BI462" s="18"/>
    </row>
    <row r="463" spans="1:61">
      <c r="A463" s="29">
        <v>465</v>
      </c>
      <c r="B463" s="2">
        <v>15</v>
      </c>
      <c r="C463" s="2">
        <v>1</v>
      </c>
      <c r="D463" s="2">
        <v>150</v>
      </c>
      <c r="E463" s="2">
        <v>38</v>
      </c>
      <c r="F463" s="3">
        <v>44389</v>
      </c>
      <c r="G463" s="3">
        <v>44396</v>
      </c>
      <c r="H463" s="3">
        <v>44397</v>
      </c>
      <c r="I463" s="2">
        <v>0</v>
      </c>
      <c r="J463" s="29" t="s">
        <v>197</v>
      </c>
      <c r="K463" s="35"/>
      <c r="L463" s="35"/>
      <c r="M463" s="35"/>
      <c r="AZ463" s="17"/>
      <c r="BA463" s="2"/>
      <c r="BB463" s="2"/>
      <c r="BC463" s="2"/>
      <c r="BD463" s="2"/>
      <c r="BE463" s="3"/>
      <c r="BF463" s="3"/>
      <c r="BG463" s="3"/>
      <c r="BH463" s="2"/>
      <c r="BI463" s="18"/>
    </row>
    <row r="464" spans="1:61">
      <c r="A464" s="29">
        <v>466</v>
      </c>
      <c r="B464" s="2">
        <v>28</v>
      </c>
      <c r="C464" s="2">
        <v>1</v>
      </c>
      <c r="D464" s="2">
        <v>150</v>
      </c>
      <c r="E464" s="2">
        <v>38</v>
      </c>
      <c r="F464" s="3">
        <v>44389</v>
      </c>
      <c r="G464" s="3">
        <v>44396</v>
      </c>
      <c r="H464" s="3">
        <v>44397</v>
      </c>
      <c r="I464" s="2">
        <v>10</v>
      </c>
      <c r="J464" s="29" t="s">
        <v>197</v>
      </c>
      <c r="K464" s="35"/>
      <c r="L464" s="35"/>
      <c r="M464" s="35"/>
      <c r="AZ464" s="17"/>
      <c r="BA464" s="2"/>
      <c r="BB464" s="2"/>
      <c r="BC464" s="2"/>
      <c r="BD464" s="2"/>
      <c r="BE464" s="3"/>
      <c r="BF464" s="3"/>
      <c r="BG464" s="3"/>
      <c r="BH464" s="2"/>
      <c r="BI464" s="18"/>
    </row>
    <row r="465" spans="1:61">
      <c r="A465" s="29">
        <v>467</v>
      </c>
      <c r="B465" s="2">
        <v>18</v>
      </c>
      <c r="C465" s="2">
        <v>1</v>
      </c>
      <c r="D465" s="2">
        <v>150</v>
      </c>
      <c r="E465" s="2">
        <v>38</v>
      </c>
      <c r="F465" s="3">
        <v>44389</v>
      </c>
      <c r="G465" s="3">
        <v>44396</v>
      </c>
      <c r="H465" s="3">
        <v>44397</v>
      </c>
      <c r="I465" s="2">
        <v>100</v>
      </c>
      <c r="J465" s="29" t="s">
        <v>198</v>
      </c>
      <c r="K465" s="35"/>
      <c r="L465" s="35"/>
      <c r="M465" s="35"/>
      <c r="AZ465" s="17"/>
      <c r="BA465" s="2"/>
      <c r="BB465" s="2"/>
      <c r="BC465" s="2"/>
      <c r="BD465" s="2"/>
      <c r="BE465" s="3"/>
      <c r="BF465" s="3"/>
      <c r="BG465" s="3"/>
      <c r="BH465" s="2"/>
      <c r="BI465" s="18"/>
    </row>
    <row r="466" spans="1:61">
      <c r="A466" s="29">
        <v>468</v>
      </c>
      <c r="B466" s="2">
        <v>6</v>
      </c>
      <c r="C466" s="2">
        <v>1</v>
      </c>
      <c r="D466" s="2">
        <v>150</v>
      </c>
      <c r="E466" s="2">
        <v>38</v>
      </c>
      <c r="F466" s="3">
        <v>44389</v>
      </c>
      <c r="G466" s="3">
        <v>44396</v>
      </c>
      <c r="H466" s="3">
        <v>44397</v>
      </c>
      <c r="I466" s="2">
        <v>30</v>
      </c>
      <c r="J466" s="29" t="s">
        <v>197</v>
      </c>
      <c r="K466" s="35"/>
      <c r="L466" s="35"/>
      <c r="M466" s="35"/>
      <c r="AZ466" s="17"/>
      <c r="BA466" s="2"/>
      <c r="BB466" s="2"/>
      <c r="BC466" s="2"/>
      <c r="BD466" s="2"/>
      <c r="BE466" s="3"/>
      <c r="BF466" s="3"/>
      <c r="BG466" s="3"/>
      <c r="BH466" s="2"/>
      <c r="BI466" s="18"/>
    </row>
    <row r="467" spans="1:61">
      <c r="A467" s="29">
        <v>469</v>
      </c>
      <c r="B467" s="2">
        <v>19</v>
      </c>
      <c r="C467" s="2">
        <v>1</v>
      </c>
      <c r="D467" s="2">
        <v>122</v>
      </c>
      <c r="E467" s="2">
        <v>36</v>
      </c>
      <c r="F467" s="3">
        <v>44388</v>
      </c>
      <c r="G467" s="3">
        <v>44395</v>
      </c>
      <c r="H467" s="3">
        <v>44396</v>
      </c>
      <c r="I467" s="2">
        <v>90</v>
      </c>
      <c r="J467" s="29" t="s">
        <v>198</v>
      </c>
      <c r="K467" s="35"/>
      <c r="L467" s="35"/>
      <c r="M467" s="35"/>
      <c r="AZ467" s="17"/>
      <c r="BA467" s="2"/>
      <c r="BB467" s="2"/>
      <c r="BC467" s="2"/>
      <c r="BD467" s="2"/>
      <c r="BE467" s="3"/>
      <c r="BF467" s="3"/>
      <c r="BG467" s="3"/>
      <c r="BH467" s="2"/>
      <c r="BI467" s="18"/>
    </row>
    <row r="468" spans="1:61">
      <c r="A468" s="29">
        <v>470</v>
      </c>
      <c r="B468" s="2">
        <v>20</v>
      </c>
      <c r="C468" s="2">
        <v>1</v>
      </c>
      <c r="D468" s="2">
        <v>49</v>
      </c>
      <c r="E468" s="2">
        <v>18</v>
      </c>
      <c r="F468" s="3">
        <v>44371</v>
      </c>
      <c r="G468" s="3">
        <v>44378</v>
      </c>
      <c r="H468" s="3">
        <v>44379</v>
      </c>
      <c r="I468" s="2">
        <v>0</v>
      </c>
      <c r="J468" s="29" t="s">
        <v>197</v>
      </c>
      <c r="K468" s="35"/>
      <c r="L468" s="35"/>
      <c r="M468" s="35"/>
      <c r="AZ468" s="17"/>
      <c r="BA468" s="2"/>
      <c r="BB468" s="2"/>
      <c r="BC468" s="2"/>
      <c r="BD468" s="2"/>
      <c r="BE468" s="3"/>
      <c r="BF468" s="3"/>
      <c r="BG468" s="3"/>
      <c r="BH468" s="2"/>
      <c r="BI468" s="18"/>
    </row>
    <row r="469" spans="1:61">
      <c r="A469" s="29">
        <v>471</v>
      </c>
      <c r="B469" s="2">
        <v>20</v>
      </c>
      <c r="C469" s="2">
        <v>1</v>
      </c>
      <c r="D469" s="2">
        <v>137</v>
      </c>
      <c r="E469" s="2">
        <v>37</v>
      </c>
      <c r="F469" s="3">
        <v>44389</v>
      </c>
      <c r="G469" s="3">
        <v>44396</v>
      </c>
      <c r="H469" s="3">
        <v>44397</v>
      </c>
      <c r="I469" s="2">
        <v>50</v>
      </c>
      <c r="J469" s="29" t="s">
        <v>197</v>
      </c>
      <c r="K469" s="35"/>
      <c r="L469" s="35"/>
      <c r="M469" s="35"/>
      <c r="AZ469" s="17"/>
      <c r="BA469" s="2"/>
      <c r="BB469" s="2"/>
      <c r="BC469" s="2"/>
      <c r="BD469" s="2"/>
      <c r="BE469" s="3"/>
      <c r="BF469" s="3"/>
      <c r="BG469" s="3"/>
      <c r="BH469" s="2"/>
      <c r="BI469" s="18"/>
    </row>
    <row r="470" spans="1:61">
      <c r="A470" s="29">
        <v>472</v>
      </c>
      <c r="B470" s="2">
        <v>21</v>
      </c>
      <c r="C470" s="2">
        <v>1</v>
      </c>
      <c r="D470" s="2">
        <v>43</v>
      </c>
      <c r="E470" s="2">
        <v>16</v>
      </c>
      <c r="F470" s="3">
        <v>44368</v>
      </c>
      <c r="G470" s="3">
        <v>44375</v>
      </c>
      <c r="H470" s="3">
        <v>44376</v>
      </c>
      <c r="I470" s="2">
        <v>50</v>
      </c>
      <c r="J470" s="29" t="s">
        <v>197</v>
      </c>
      <c r="K470" s="35"/>
      <c r="L470" s="35"/>
      <c r="M470" s="35"/>
      <c r="AZ470" s="17"/>
      <c r="BA470" s="2"/>
      <c r="BB470" s="2"/>
      <c r="BC470" s="2"/>
      <c r="BD470" s="2"/>
      <c r="BE470" s="3"/>
      <c r="BF470" s="3"/>
      <c r="BG470" s="3"/>
      <c r="BH470" s="2"/>
      <c r="BI470" s="18"/>
    </row>
    <row r="471" spans="1:61">
      <c r="A471" s="29">
        <v>473</v>
      </c>
      <c r="B471" s="2">
        <v>21</v>
      </c>
      <c r="C471" s="2">
        <v>1</v>
      </c>
      <c r="D471" s="2">
        <v>151</v>
      </c>
      <c r="E471" s="2">
        <v>39</v>
      </c>
      <c r="F471" s="3">
        <v>44389</v>
      </c>
      <c r="G471" s="3">
        <v>44396</v>
      </c>
      <c r="H471" s="3">
        <v>44397</v>
      </c>
      <c r="I471" s="2">
        <v>40</v>
      </c>
      <c r="J471" s="29" t="s">
        <v>197</v>
      </c>
      <c r="K471" s="35"/>
      <c r="L471" s="35"/>
      <c r="M471" s="35"/>
      <c r="AZ471" s="17"/>
      <c r="BA471" s="2"/>
      <c r="BB471" s="2"/>
      <c r="BC471" s="2"/>
      <c r="BD471" s="2"/>
      <c r="BE471" s="3"/>
      <c r="BF471" s="3"/>
      <c r="BG471" s="3"/>
      <c r="BH471" s="2"/>
      <c r="BI471" s="18"/>
    </row>
    <row r="472" spans="1:61">
      <c r="A472" s="29">
        <v>474</v>
      </c>
      <c r="B472" s="2">
        <v>22</v>
      </c>
      <c r="C472" s="2">
        <v>1</v>
      </c>
      <c r="D472" s="2">
        <v>49</v>
      </c>
      <c r="E472" s="2">
        <v>18</v>
      </c>
      <c r="F472" s="3">
        <v>44371</v>
      </c>
      <c r="G472" s="3">
        <v>44378</v>
      </c>
      <c r="H472" s="3">
        <v>44379</v>
      </c>
      <c r="I472" s="2">
        <v>0</v>
      </c>
      <c r="J472" s="29" t="s">
        <v>197</v>
      </c>
      <c r="K472" s="35"/>
      <c r="L472" s="35"/>
      <c r="M472" s="35"/>
      <c r="AZ472" s="17"/>
      <c r="BA472" s="2"/>
      <c r="BB472" s="2"/>
      <c r="BC472" s="2"/>
      <c r="BD472" s="2"/>
      <c r="BE472" s="3"/>
      <c r="BF472" s="3"/>
      <c r="BG472" s="3"/>
      <c r="BH472" s="2"/>
      <c r="BI472" s="18"/>
    </row>
    <row r="473" spans="1:61">
      <c r="A473" s="29">
        <v>475</v>
      </c>
      <c r="B473" s="2">
        <v>22</v>
      </c>
      <c r="C473" s="2">
        <v>1</v>
      </c>
      <c r="D473" s="2">
        <v>151</v>
      </c>
      <c r="E473" s="2">
        <v>39</v>
      </c>
      <c r="F473" s="3">
        <v>44389</v>
      </c>
      <c r="G473" s="3">
        <v>44396</v>
      </c>
      <c r="H473" s="3">
        <v>44397</v>
      </c>
      <c r="I473" s="2">
        <v>80</v>
      </c>
      <c r="J473" s="29" t="s">
        <v>198</v>
      </c>
      <c r="K473" s="35"/>
      <c r="L473" s="35"/>
      <c r="M473" s="35"/>
      <c r="AZ473" s="17"/>
      <c r="BA473" s="2"/>
      <c r="BB473" s="2"/>
      <c r="BC473" s="2"/>
      <c r="BD473" s="2"/>
      <c r="BE473" s="3"/>
      <c r="BF473" s="3"/>
      <c r="BG473" s="3"/>
      <c r="BH473" s="2"/>
      <c r="BI473" s="18"/>
    </row>
    <row r="474" spans="1:61">
      <c r="A474" s="29">
        <v>476</v>
      </c>
      <c r="B474" s="2">
        <v>23</v>
      </c>
      <c r="C474" s="2">
        <v>1</v>
      </c>
      <c r="D474" s="2">
        <v>151</v>
      </c>
      <c r="E474" s="2">
        <v>39</v>
      </c>
      <c r="F474" s="3">
        <v>44389</v>
      </c>
      <c r="G474" s="3">
        <v>44396</v>
      </c>
      <c r="H474" s="3">
        <v>44397</v>
      </c>
      <c r="I474" s="2">
        <v>70</v>
      </c>
      <c r="J474" s="29" t="s">
        <v>198</v>
      </c>
      <c r="K474" s="35"/>
      <c r="L474" s="35"/>
      <c r="M474" s="35"/>
      <c r="AZ474" s="17"/>
      <c r="BA474" s="2"/>
      <c r="BB474" s="2"/>
      <c r="BC474" s="2"/>
      <c r="BD474" s="2"/>
      <c r="BE474" s="3"/>
      <c r="BF474" s="3"/>
      <c r="BG474" s="3"/>
      <c r="BH474" s="2"/>
      <c r="BI474" s="18"/>
    </row>
    <row r="475" spans="1:61">
      <c r="A475" s="29">
        <v>477</v>
      </c>
      <c r="B475" s="2">
        <v>24</v>
      </c>
      <c r="C475" s="2">
        <v>1</v>
      </c>
      <c r="D475" s="2">
        <v>120</v>
      </c>
      <c r="E475" s="2">
        <v>34</v>
      </c>
      <c r="F475" s="3">
        <v>44386</v>
      </c>
      <c r="G475" s="3">
        <v>44393</v>
      </c>
      <c r="H475" s="3">
        <v>44394</v>
      </c>
      <c r="I475" s="2">
        <v>10</v>
      </c>
      <c r="J475" s="29" t="s">
        <v>197</v>
      </c>
      <c r="K475" s="35"/>
      <c r="L475" s="35"/>
      <c r="M475" s="35"/>
      <c r="AZ475" s="17"/>
      <c r="BA475" s="2"/>
      <c r="BB475" s="2"/>
      <c r="BC475" s="2"/>
      <c r="BD475" s="2"/>
      <c r="BE475" s="3"/>
      <c r="BF475" s="3"/>
      <c r="BG475" s="3"/>
      <c r="BH475" s="2"/>
      <c r="BI475" s="18"/>
    </row>
    <row r="476" spans="1:61">
      <c r="A476" s="29">
        <v>478</v>
      </c>
      <c r="B476" s="2">
        <v>24</v>
      </c>
      <c r="C476" s="2">
        <v>1</v>
      </c>
      <c r="D476" s="2">
        <v>151</v>
      </c>
      <c r="E476" s="2">
        <v>39</v>
      </c>
      <c r="F476" s="3">
        <v>44389</v>
      </c>
      <c r="G476" s="3">
        <v>44396</v>
      </c>
      <c r="H476" s="3">
        <v>44397</v>
      </c>
      <c r="I476" s="2">
        <v>20</v>
      </c>
      <c r="J476" s="29" t="s">
        <v>197</v>
      </c>
      <c r="K476" s="35"/>
      <c r="L476" s="35"/>
      <c r="M476" s="35"/>
      <c r="AZ476" s="17"/>
      <c r="BA476" s="2"/>
      <c r="BB476" s="2"/>
      <c r="BC476" s="2"/>
      <c r="BD476" s="2"/>
      <c r="BE476" s="3"/>
      <c r="BF476" s="3"/>
      <c r="BG476" s="3"/>
      <c r="BH476" s="2"/>
      <c r="BI476" s="18"/>
    </row>
    <row r="477" spans="1:61">
      <c r="A477" s="29">
        <v>479</v>
      </c>
      <c r="B477" s="2">
        <v>25</v>
      </c>
      <c r="C477" s="2">
        <v>1</v>
      </c>
      <c r="D477" s="2">
        <v>151</v>
      </c>
      <c r="E477" s="2">
        <v>39</v>
      </c>
      <c r="F477" s="3">
        <v>44389</v>
      </c>
      <c r="G477" s="3">
        <v>44396</v>
      </c>
      <c r="H477" s="3">
        <v>44397</v>
      </c>
      <c r="I477" s="2">
        <v>70</v>
      </c>
      <c r="J477" s="29" t="s">
        <v>198</v>
      </c>
      <c r="K477" s="35"/>
      <c r="L477" s="35"/>
      <c r="M477" s="35"/>
      <c r="AZ477" s="17"/>
      <c r="BA477" s="2"/>
      <c r="BB477" s="2"/>
      <c r="BC477" s="2"/>
      <c r="BD477" s="2"/>
      <c r="BE477" s="3"/>
      <c r="BF477" s="3"/>
      <c r="BG477" s="3"/>
      <c r="BH477" s="2"/>
      <c r="BI477" s="18"/>
    </row>
    <row r="478" spans="1:61">
      <c r="A478" s="29">
        <v>480</v>
      </c>
      <c r="B478" s="2">
        <v>28</v>
      </c>
      <c r="C478" s="2">
        <v>1</v>
      </c>
      <c r="D478" s="2">
        <v>137</v>
      </c>
      <c r="E478" s="2">
        <v>37</v>
      </c>
      <c r="F478" s="3">
        <v>44389</v>
      </c>
      <c r="G478" s="3">
        <v>44396</v>
      </c>
      <c r="H478" s="3">
        <v>44397</v>
      </c>
      <c r="I478" s="2">
        <v>60</v>
      </c>
      <c r="J478" s="29" t="s">
        <v>198</v>
      </c>
      <c r="K478" s="35"/>
      <c r="L478" s="35"/>
      <c r="M478" s="35"/>
      <c r="AZ478" s="17"/>
      <c r="BA478" s="2"/>
      <c r="BB478" s="2"/>
      <c r="BC478" s="2"/>
      <c r="BD478" s="2"/>
      <c r="BE478" s="3"/>
      <c r="BF478" s="3"/>
      <c r="BG478" s="3"/>
      <c r="BH478" s="2"/>
      <c r="BI478" s="18"/>
    </row>
    <row r="479" spans="1:61">
      <c r="A479" s="29">
        <v>481</v>
      </c>
      <c r="B479" s="2">
        <v>30</v>
      </c>
      <c r="C479" s="2">
        <v>1</v>
      </c>
      <c r="D479" s="2">
        <v>17</v>
      </c>
      <c r="E479" s="2">
        <v>11</v>
      </c>
      <c r="F479" s="3">
        <v>44365</v>
      </c>
      <c r="G479" s="3">
        <v>44372</v>
      </c>
      <c r="H479" s="3">
        <v>44373</v>
      </c>
      <c r="I479" s="2">
        <v>0</v>
      </c>
      <c r="J479" s="29" t="s">
        <v>197</v>
      </c>
      <c r="K479" s="35"/>
      <c r="L479" s="35"/>
      <c r="M479" s="35"/>
      <c r="AZ479" s="17"/>
      <c r="BA479" s="2"/>
      <c r="BB479" s="2"/>
      <c r="BC479" s="2"/>
      <c r="BD479" s="2"/>
      <c r="BE479" s="3"/>
      <c r="BF479" s="3"/>
      <c r="BG479" s="3"/>
      <c r="BH479" s="2"/>
      <c r="BI479" s="18"/>
    </row>
    <row r="480" spans="1:61">
      <c r="A480" s="29">
        <v>482</v>
      </c>
      <c r="B480" s="2">
        <v>15</v>
      </c>
      <c r="C480" s="2">
        <v>1</v>
      </c>
      <c r="D480" s="2">
        <v>137</v>
      </c>
      <c r="E480" s="2">
        <v>37</v>
      </c>
      <c r="F480" s="3">
        <v>44389</v>
      </c>
      <c r="G480" s="3">
        <v>44396</v>
      </c>
      <c r="H480" s="3">
        <v>44397</v>
      </c>
      <c r="I480" s="2">
        <v>40</v>
      </c>
      <c r="J480" s="29" t="s">
        <v>197</v>
      </c>
      <c r="K480" s="35"/>
      <c r="L480" s="35"/>
      <c r="M480" s="35"/>
      <c r="AZ480" s="17"/>
      <c r="BA480" s="2"/>
      <c r="BB480" s="2"/>
      <c r="BC480" s="2"/>
      <c r="BD480" s="2"/>
      <c r="BE480" s="3"/>
      <c r="BF480" s="3"/>
      <c r="BG480" s="3"/>
      <c r="BH480" s="2"/>
      <c r="BI480" s="18"/>
    </row>
    <row r="481" spans="1:61">
      <c r="A481" s="29">
        <v>431</v>
      </c>
      <c r="B481" s="2">
        <v>7</v>
      </c>
      <c r="C481" s="2">
        <v>1</v>
      </c>
      <c r="D481" s="2">
        <v>117</v>
      </c>
      <c r="E481" s="2">
        <v>33</v>
      </c>
      <c r="F481" s="3">
        <v>44384</v>
      </c>
      <c r="G481" s="3">
        <v>44391</v>
      </c>
      <c r="H481" s="3">
        <v>44392</v>
      </c>
      <c r="I481" s="2">
        <v>30</v>
      </c>
      <c r="J481" s="29" t="s">
        <v>197</v>
      </c>
      <c r="K481" s="35"/>
      <c r="L481" s="35"/>
      <c r="M481" s="35"/>
      <c r="AZ481" s="17"/>
      <c r="BA481" s="2"/>
      <c r="BB481" s="2"/>
      <c r="BC481" s="2"/>
      <c r="BD481" s="2"/>
      <c r="BE481" s="3"/>
      <c r="BF481" s="3"/>
      <c r="BG481" s="3"/>
      <c r="BH481" s="2"/>
      <c r="BI481" s="18"/>
    </row>
    <row r="482" spans="1:61">
      <c r="A482" s="29">
        <v>484</v>
      </c>
      <c r="B482" s="2">
        <v>20</v>
      </c>
      <c r="C482" s="2">
        <v>1</v>
      </c>
      <c r="D482" s="2">
        <v>65</v>
      </c>
      <c r="E482" s="2">
        <v>20</v>
      </c>
      <c r="F482" s="3">
        <v>44372</v>
      </c>
      <c r="G482" s="3">
        <v>44379</v>
      </c>
      <c r="H482" s="3">
        <v>44380</v>
      </c>
      <c r="I482" s="2">
        <v>40</v>
      </c>
      <c r="J482" s="29" t="s">
        <v>197</v>
      </c>
      <c r="K482" s="35"/>
      <c r="L482" s="35"/>
      <c r="M482" s="35"/>
      <c r="AZ482" s="17"/>
      <c r="BA482" s="2"/>
      <c r="BB482" s="2"/>
      <c r="BC482" s="2"/>
      <c r="BD482" s="2"/>
      <c r="BE482" s="3"/>
      <c r="BF482" s="3"/>
      <c r="BG482" s="3"/>
      <c r="BH482" s="2"/>
      <c r="BI482" s="18"/>
    </row>
    <row r="483" spans="1:61">
      <c r="A483" s="29">
        <v>485</v>
      </c>
      <c r="B483" s="2">
        <v>24</v>
      </c>
      <c r="C483" s="2">
        <v>1</v>
      </c>
      <c r="D483" s="2">
        <v>65</v>
      </c>
      <c r="E483" s="2">
        <v>20</v>
      </c>
      <c r="F483" s="3">
        <v>44372</v>
      </c>
      <c r="G483" s="3">
        <v>44379</v>
      </c>
      <c r="H483" s="3">
        <v>44380</v>
      </c>
      <c r="I483" s="2">
        <v>30</v>
      </c>
      <c r="J483" s="29" t="s">
        <v>197</v>
      </c>
      <c r="K483" s="35"/>
      <c r="L483" s="35"/>
      <c r="M483" s="35"/>
      <c r="AZ483" s="17"/>
      <c r="BA483" s="2"/>
      <c r="BB483" s="2"/>
      <c r="BC483" s="2"/>
      <c r="BD483" s="2"/>
      <c r="BE483" s="3"/>
      <c r="BF483" s="3"/>
      <c r="BG483" s="3"/>
      <c r="BH483" s="2"/>
      <c r="BI483" s="18"/>
    </row>
    <row r="484" spans="1:61">
      <c r="A484" s="29">
        <v>486</v>
      </c>
      <c r="B484" s="2">
        <v>27</v>
      </c>
      <c r="C484" s="2">
        <v>1</v>
      </c>
      <c r="D484" s="2">
        <v>66</v>
      </c>
      <c r="E484" s="2">
        <v>21</v>
      </c>
      <c r="F484" s="3">
        <v>44373</v>
      </c>
      <c r="G484" s="3">
        <v>44380</v>
      </c>
      <c r="H484" s="3">
        <v>44381</v>
      </c>
      <c r="I484" s="2">
        <v>10</v>
      </c>
      <c r="J484" s="29" t="s">
        <v>197</v>
      </c>
      <c r="K484" s="35"/>
      <c r="L484" s="35"/>
      <c r="M484" s="35"/>
      <c r="AZ484" s="17"/>
      <c r="BA484" s="2"/>
      <c r="BB484" s="2"/>
      <c r="BC484" s="2"/>
      <c r="BD484" s="2"/>
      <c r="BE484" s="3"/>
      <c r="BF484" s="3"/>
      <c r="BG484" s="3"/>
      <c r="BH484" s="2"/>
      <c r="BI484" s="18"/>
    </row>
    <row r="485" spans="1:61">
      <c r="A485" s="29">
        <v>487</v>
      </c>
      <c r="B485" s="2">
        <v>29</v>
      </c>
      <c r="C485" s="2">
        <v>1</v>
      </c>
      <c r="D485" s="2">
        <v>66</v>
      </c>
      <c r="E485" s="2">
        <v>21</v>
      </c>
      <c r="F485" s="3">
        <v>44373</v>
      </c>
      <c r="G485" s="3">
        <v>44380</v>
      </c>
      <c r="H485" s="3">
        <v>44381</v>
      </c>
      <c r="I485" s="2">
        <v>40</v>
      </c>
      <c r="J485" s="29" t="s">
        <v>197</v>
      </c>
      <c r="K485" s="35"/>
      <c r="L485" s="35"/>
      <c r="M485" s="35"/>
      <c r="AZ485" s="17"/>
      <c r="BA485" s="2"/>
      <c r="BB485" s="2"/>
      <c r="BC485" s="2"/>
      <c r="BD485" s="2"/>
      <c r="BE485" s="3"/>
      <c r="BF485" s="3"/>
      <c r="BG485" s="3"/>
      <c r="BH485" s="2"/>
      <c r="BI485" s="18"/>
    </row>
    <row r="486" spans="1:61">
      <c r="A486" s="29">
        <v>488</v>
      </c>
      <c r="B486" s="2">
        <v>21</v>
      </c>
      <c r="C486" s="2">
        <v>1</v>
      </c>
      <c r="D486" s="2">
        <v>66</v>
      </c>
      <c r="E486" s="2">
        <v>21</v>
      </c>
      <c r="F486" s="3">
        <v>44373</v>
      </c>
      <c r="G486" s="3">
        <v>44380</v>
      </c>
      <c r="H486" s="3">
        <v>44381</v>
      </c>
      <c r="I486" s="2">
        <v>30</v>
      </c>
      <c r="J486" s="29" t="s">
        <v>197</v>
      </c>
      <c r="K486" s="35"/>
      <c r="L486" s="35"/>
      <c r="M486" s="35"/>
      <c r="AZ486" s="17"/>
      <c r="BA486" s="2"/>
      <c r="BB486" s="2"/>
      <c r="BC486" s="2"/>
      <c r="BD486" s="2"/>
      <c r="BE486" s="3"/>
      <c r="BF486" s="3"/>
      <c r="BG486" s="3"/>
      <c r="BH486" s="2"/>
      <c r="BI486" s="18"/>
    </row>
    <row r="487" spans="1:61">
      <c r="A487" s="29">
        <v>489</v>
      </c>
      <c r="B487" s="2">
        <v>20</v>
      </c>
      <c r="C487" s="2">
        <v>1</v>
      </c>
      <c r="D487" s="2">
        <v>66</v>
      </c>
      <c r="E487" s="2">
        <v>21</v>
      </c>
      <c r="F487" s="3">
        <v>44373</v>
      </c>
      <c r="G487" s="3">
        <v>44380</v>
      </c>
      <c r="H487" s="3">
        <v>44381</v>
      </c>
      <c r="I487" s="2">
        <v>50</v>
      </c>
      <c r="J487" s="29" t="s">
        <v>197</v>
      </c>
      <c r="K487" s="35"/>
      <c r="L487" s="35"/>
      <c r="M487" s="35"/>
      <c r="AZ487" s="17"/>
      <c r="BA487" s="2"/>
      <c r="BB487" s="2"/>
      <c r="BC487" s="2"/>
      <c r="BD487" s="2"/>
      <c r="BE487" s="3"/>
      <c r="BF487" s="3"/>
      <c r="BG487" s="3"/>
      <c r="BH487" s="2"/>
      <c r="BI487" s="18"/>
    </row>
    <row r="488" spans="1:61">
      <c r="A488" s="29">
        <v>490</v>
      </c>
      <c r="B488" s="2">
        <v>14</v>
      </c>
      <c r="C488" s="2">
        <v>1</v>
      </c>
      <c r="D488" s="2">
        <v>74</v>
      </c>
      <c r="E488" s="2">
        <v>23</v>
      </c>
      <c r="F488" s="3">
        <v>44376</v>
      </c>
      <c r="G488" s="3">
        <v>44383</v>
      </c>
      <c r="H488" s="3">
        <v>44384</v>
      </c>
      <c r="I488" s="2">
        <v>40</v>
      </c>
      <c r="J488" s="29" t="s">
        <v>197</v>
      </c>
      <c r="K488" s="35"/>
      <c r="L488" s="35"/>
      <c r="M488" s="35"/>
      <c r="AZ488" s="17"/>
      <c r="BA488" s="2"/>
      <c r="BB488" s="2"/>
      <c r="BC488" s="2"/>
      <c r="BD488" s="2"/>
      <c r="BE488" s="3"/>
      <c r="BF488" s="3"/>
      <c r="BG488" s="3"/>
      <c r="BH488" s="2"/>
      <c r="BI488" s="18"/>
    </row>
    <row r="489" spans="1:61">
      <c r="A489" s="29">
        <v>491</v>
      </c>
      <c r="B489" s="2">
        <v>15</v>
      </c>
      <c r="C489" s="2">
        <v>1</v>
      </c>
      <c r="D489" s="2">
        <v>74</v>
      </c>
      <c r="E489" s="2">
        <v>23</v>
      </c>
      <c r="F489" s="3">
        <v>44376</v>
      </c>
      <c r="G489" s="3">
        <v>44383</v>
      </c>
      <c r="H489" s="3">
        <v>44384</v>
      </c>
      <c r="I489" s="2">
        <v>10</v>
      </c>
      <c r="J489" s="29" t="s">
        <v>197</v>
      </c>
      <c r="K489" s="35"/>
      <c r="L489" s="35"/>
      <c r="M489" s="35"/>
      <c r="AZ489" s="17"/>
      <c r="BA489" s="2"/>
      <c r="BB489" s="2"/>
      <c r="BC489" s="2"/>
      <c r="BD489" s="2"/>
      <c r="BE489" s="3"/>
      <c r="BF489" s="3"/>
      <c r="BG489" s="3"/>
      <c r="BH489" s="2"/>
      <c r="BI489" s="18"/>
    </row>
    <row r="490" spans="1:61">
      <c r="A490" s="29">
        <v>492</v>
      </c>
      <c r="B490" s="2">
        <v>20</v>
      </c>
      <c r="C490" s="2">
        <v>1</v>
      </c>
      <c r="D490" s="2">
        <v>74</v>
      </c>
      <c r="E490" s="2">
        <v>23</v>
      </c>
      <c r="F490" s="3">
        <v>44376</v>
      </c>
      <c r="G490" s="3">
        <v>44383</v>
      </c>
      <c r="H490" s="3">
        <v>44384</v>
      </c>
      <c r="I490" s="2">
        <v>40</v>
      </c>
      <c r="J490" s="29" t="s">
        <v>197</v>
      </c>
      <c r="K490" s="35"/>
      <c r="L490" s="35"/>
      <c r="M490" s="35"/>
      <c r="AZ490" s="17"/>
      <c r="BA490" s="2"/>
      <c r="BB490" s="2"/>
      <c r="BC490" s="2"/>
      <c r="BD490" s="2"/>
      <c r="BE490" s="3"/>
      <c r="BF490" s="3"/>
      <c r="BG490" s="3"/>
      <c r="BH490" s="2"/>
      <c r="BI490" s="18"/>
    </row>
    <row r="491" spans="1:61">
      <c r="A491" s="29">
        <v>493</v>
      </c>
      <c r="B491" s="2">
        <v>21</v>
      </c>
      <c r="C491" s="2">
        <v>1</v>
      </c>
      <c r="D491" s="2">
        <v>74</v>
      </c>
      <c r="E491" s="2">
        <v>23</v>
      </c>
      <c r="F491" s="3">
        <v>44376</v>
      </c>
      <c r="G491" s="3">
        <v>44383</v>
      </c>
      <c r="H491" s="3">
        <v>44384</v>
      </c>
      <c r="I491" s="2">
        <v>30</v>
      </c>
      <c r="J491" s="29" t="s">
        <v>197</v>
      </c>
      <c r="K491" s="35"/>
      <c r="L491" s="35"/>
      <c r="M491" s="35"/>
      <c r="AZ491" s="17"/>
      <c r="BA491" s="2"/>
      <c r="BB491" s="2"/>
      <c r="BC491" s="2"/>
      <c r="BD491" s="2"/>
      <c r="BE491" s="3"/>
      <c r="BF491" s="3"/>
      <c r="BG491" s="3"/>
      <c r="BH491" s="2"/>
      <c r="BI491" s="18"/>
    </row>
    <row r="492" spans="1:61">
      <c r="A492" s="29">
        <v>494</v>
      </c>
      <c r="B492" s="2">
        <v>24</v>
      </c>
      <c r="C492" s="2">
        <v>1</v>
      </c>
      <c r="D492" s="2">
        <v>74</v>
      </c>
      <c r="E492" s="2">
        <v>23</v>
      </c>
      <c r="F492" s="3">
        <v>44376</v>
      </c>
      <c r="G492" s="3">
        <v>44383</v>
      </c>
      <c r="H492" s="3">
        <v>44384</v>
      </c>
      <c r="I492" s="2">
        <v>50</v>
      </c>
      <c r="J492" s="29" t="s">
        <v>197</v>
      </c>
      <c r="K492" s="35"/>
      <c r="L492" s="35"/>
      <c r="M492" s="35"/>
      <c r="AZ492" s="17"/>
      <c r="BA492" s="2"/>
      <c r="BB492" s="2"/>
      <c r="BC492" s="2"/>
      <c r="BD492" s="2"/>
      <c r="BE492" s="3"/>
      <c r="BF492" s="3"/>
      <c r="BG492" s="3"/>
      <c r="BH492" s="2"/>
      <c r="BI492" s="18"/>
    </row>
    <row r="493" spans="1:61">
      <c r="A493" s="29">
        <v>495</v>
      </c>
      <c r="B493" s="2">
        <v>15</v>
      </c>
      <c r="C493" s="2">
        <v>1</v>
      </c>
      <c r="D493" s="2">
        <v>78</v>
      </c>
      <c r="E493" s="2">
        <v>24</v>
      </c>
      <c r="F493" s="3">
        <v>44379</v>
      </c>
      <c r="G493" s="3">
        <v>44386</v>
      </c>
      <c r="H493" s="3">
        <v>44387</v>
      </c>
      <c r="I493" s="2">
        <v>20</v>
      </c>
      <c r="J493" s="29" t="s">
        <v>197</v>
      </c>
      <c r="K493" s="35"/>
      <c r="L493" s="35"/>
      <c r="M493" s="35"/>
      <c r="AZ493" s="17"/>
      <c r="BA493" s="2"/>
      <c r="BB493" s="2"/>
      <c r="BC493" s="2"/>
      <c r="BD493" s="2"/>
      <c r="BE493" s="3"/>
      <c r="BF493" s="3"/>
      <c r="BG493" s="3"/>
      <c r="BH493" s="2"/>
      <c r="BI493" s="18"/>
    </row>
    <row r="494" spans="1:61">
      <c r="A494" s="29">
        <v>496</v>
      </c>
      <c r="B494" s="2">
        <v>18</v>
      </c>
      <c r="C494" s="2">
        <v>1</v>
      </c>
      <c r="D494" s="2">
        <v>78</v>
      </c>
      <c r="E494" s="2">
        <v>24</v>
      </c>
      <c r="F494" s="3">
        <v>44379</v>
      </c>
      <c r="G494" s="3">
        <v>44386</v>
      </c>
      <c r="H494" s="3">
        <v>44387</v>
      </c>
      <c r="I494" s="2">
        <v>10</v>
      </c>
      <c r="J494" s="29" t="s">
        <v>197</v>
      </c>
      <c r="K494" s="35"/>
      <c r="L494" s="35"/>
      <c r="M494" s="35"/>
      <c r="AZ494" s="17"/>
      <c r="BA494" s="2"/>
      <c r="BB494" s="2"/>
      <c r="BC494" s="2"/>
      <c r="BD494" s="2"/>
      <c r="BE494" s="3"/>
      <c r="BF494" s="3"/>
      <c r="BG494" s="3"/>
      <c r="BH494" s="2"/>
      <c r="BI494" s="18"/>
    </row>
    <row r="495" spans="1:61">
      <c r="A495" s="29">
        <v>497</v>
      </c>
      <c r="B495" s="2">
        <v>19</v>
      </c>
      <c r="C495" s="2">
        <v>1</v>
      </c>
      <c r="D495" s="2">
        <v>78</v>
      </c>
      <c r="E495" s="2">
        <v>24</v>
      </c>
      <c r="F495" s="3">
        <v>44379</v>
      </c>
      <c r="G495" s="3">
        <v>44386</v>
      </c>
      <c r="H495" s="3">
        <v>44387</v>
      </c>
      <c r="I495" s="2">
        <v>20</v>
      </c>
      <c r="J495" s="29" t="s">
        <v>197</v>
      </c>
      <c r="K495" s="35"/>
      <c r="L495" s="35"/>
      <c r="M495" s="35"/>
      <c r="AZ495" s="17"/>
      <c r="BA495" s="2"/>
      <c r="BB495" s="2"/>
      <c r="BC495" s="2"/>
      <c r="BD495" s="2"/>
      <c r="BE495" s="3"/>
      <c r="BF495" s="3"/>
      <c r="BG495" s="3"/>
      <c r="BH495" s="2"/>
      <c r="BI495" s="18"/>
    </row>
    <row r="496" spans="1:61">
      <c r="A496" s="29">
        <v>498</v>
      </c>
      <c r="B496" s="2">
        <v>20</v>
      </c>
      <c r="C496" s="2">
        <v>1</v>
      </c>
      <c r="D496" s="2">
        <v>78</v>
      </c>
      <c r="E496" s="2">
        <v>24</v>
      </c>
      <c r="F496" s="3">
        <v>44379</v>
      </c>
      <c r="G496" s="3">
        <v>44386</v>
      </c>
      <c r="H496" s="3">
        <v>44387</v>
      </c>
      <c r="I496" s="2">
        <v>10</v>
      </c>
      <c r="J496" s="29" t="s">
        <v>197</v>
      </c>
      <c r="K496" s="35"/>
      <c r="L496" s="35"/>
      <c r="M496" s="35"/>
      <c r="AZ496" s="17"/>
      <c r="BA496" s="2"/>
      <c r="BB496" s="2"/>
      <c r="BC496" s="2"/>
      <c r="BD496" s="2"/>
      <c r="BE496" s="3"/>
      <c r="BF496" s="3"/>
      <c r="BG496" s="3"/>
      <c r="BH496" s="2"/>
      <c r="BI496" s="18"/>
    </row>
    <row r="497" spans="1:61">
      <c r="A497" s="29">
        <v>499</v>
      </c>
      <c r="B497" s="2">
        <v>27</v>
      </c>
      <c r="C497" s="2">
        <v>1</v>
      </c>
      <c r="D497" s="2">
        <v>78</v>
      </c>
      <c r="E497" s="2">
        <v>24</v>
      </c>
      <c r="F497" s="3">
        <v>44379</v>
      </c>
      <c r="G497" s="3">
        <v>44386</v>
      </c>
      <c r="H497" s="3">
        <v>44387</v>
      </c>
      <c r="I497" s="2">
        <v>50</v>
      </c>
      <c r="J497" s="29" t="s">
        <v>197</v>
      </c>
      <c r="K497" s="35"/>
      <c r="L497" s="35"/>
      <c r="M497" s="35"/>
      <c r="AZ497" s="17"/>
      <c r="BA497" s="2"/>
      <c r="BB497" s="2"/>
      <c r="BC497" s="2"/>
      <c r="BD497" s="2"/>
      <c r="BE497" s="3"/>
      <c r="BF497" s="3"/>
      <c r="BG497" s="3"/>
      <c r="BH497" s="2"/>
      <c r="BI497" s="18"/>
    </row>
    <row r="498" spans="1:61">
      <c r="A498" s="29">
        <v>500</v>
      </c>
      <c r="B498" s="2">
        <v>29</v>
      </c>
      <c r="C498" s="2">
        <v>1</v>
      </c>
      <c r="D498" s="2">
        <v>78</v>
      </c>
      <c r="E498" s="2">
        <v>24</v>
      </c>
      <c r="F498" s="3">
        <v>44379</v>
      </c>
      <c r="G498" s="3">
        <v>44386</v>
      </c>
      <c r="H498" s="3">
        <v>44387</v>
      </c>
      <c r="I498" s="2">
        <v>30</v>
      </c>
      <c r="J498" s="29" t="s">
        <v>197</v>
      </c>
      <c r="K498" s="35"/>
      <c r="L498" s="35"/>
      <c r="M498" s="35"/>
      <c r="AZ498" s="17"/>
      <c r="BA498" s="2"/>
      <c r="BB498" s="2"/>
      <c r="BC498" s="2"/>
      <c r="BD498" s="2"/>
      <c r="BE498" s="3"/>
      <c r="BF498" s="3"/>
      <c r="BG498" s="3"/>
      <c r="BH498" s="2"/>
      <c r="BI498" s="18"/>
    </row>
    <row r="499" spans="1:61">
      <c r="A499" s="29">
        <v>501</v>
      </c>
      <c r="B499" s="2">
        <v>12</v>
      </c>
      <c r="C499" s="2">
        <v>1</v>
      </c>
      <c r="D499" s="2">
        <v>79</v>
      </c>
      <c r="E499" s="2">
        <v>25</v>
      </c>
      <c r="F499" s="3">
        <v>44380</v>
      </c>
      <c r="G499" s="3">
        <v>44387</v>
      </c>
      <c r="H499" s="3">
        <v>44388</v>
      </c>
      <c r="I499" s="2">
        <v>50</v>
      </c>
      <c r="J499" s="29" t="s">
        <v>197</v>
      </c>
      <c r="K499" s="35"/>
      <c r="L499" s="35"/>
      <c r="M499" s="35"/>
      <c r="AZ499" s="17"/>
      <c r="BA499" s="2"/>
      <c r="BB499" s="2"/>
      <c r="BC499" s="2"/>
      <c r="BD499" s="2"/>
      <c r="BE499" s="3"/>
      <c r="BF499" s="3"/>
      <c r="BG499" s="3"/>
      <c r="BH499" s="2"/>
      <c r="BI499" s="18"/>
    </row>
    <row r="500" spans="1:61">
      <c r="A500" s="29">
        <v>502</v>
      </c>
      <c r="B500" s="2">
        <v>13</v>
      </c>
      <c r="C500" s="2">
        <v>1</v>
      </c>
      <c r="D500" s="2">
        <v>79</v>
      </c>
      <c r="E500" s="2">
        <v>25</v>
      </c>
      <c r="F500" s="3">
        <v>44380</v>
      </c>
      <c r="G500" s="3">
        <v>44387</v>
      </c>
      <c r="H500" s="3">
        <v>44388</v>
      </c>
      <c r="I500" s="2">
        <v>90</v>
      </c>
      <c r="J500" s="29" t="s">
        <v>198</v>
      </c>
      <c r="K500" s="35"/>
      <c r="L500" s="35"/>
      <c r="M500" s="35"/>
      <c r="AZ500" s="17"/>
      <c r="BA500" s="2"/>
      <c r="BB500" s="2"/>
      <c r="BC500" s="2"/>
      <c r="BD500" s="2"/>
      <c r="BE500" s="3"/>
      <c r="BF500" s="3"/>
      <c r="BG500" s="3"/>
      <c r="BH500" s="2"/>
      <c r="BI500" s="18"/>
    </row>
    <row r="501" spans="1:61">
      <c r="A501" s="29">
        <v>503</v>
      </c>
      <c r="B501" s="2">
        <v>15</v>
      </c>
      <c r="C501" s="2">
        <v>1</v>
      </c>
      <c r="D501" s="2">
        <v>79</v>
      </c>
      <c r="E501" s="2">
        <v>25</v>
      </c>
      <c r="F501" s="3">
        <v>44380</v>
      </c>
      <c r="G501" s="3">
        <v>44387</v>
      </c>
      <c r="H501" s="3">
        <v>44388</v>
      </c>
      <c r="I501" s="2">
        <v>70</v>
      </c>
      <c r="J501" s="29" t="s">
        <v>198</v>
      </c>
      <c r="K501" s="35"/>
      <c r="L501" s="35"/>
      <c r="M501" s="35"/>
      <c r="AZ501" s="17"/>
      <c r="BA501" s="2"/>
      <c r="BB501" s="2"/>
      <c r="BC501" s="2"/>
      <c r="BD501" s="2"/>
      <c r="BE501" s="3"/>
      <c r="BF501" s="3"/>
      <c r="BG501" s="3"/>
      <c r="BH501" s="2"/>
      <c r="BI501" s="18"/>
    </row>
    <row r="502" spans="1:61">
      <c r="A502" s="29">
        <v>504</v>
      </c>
      <c r="B502" s="2">
        <v>20</v>
      </c>
      <c r="C502" s="2">
        <v>1</v>
      </c>
      <c r="D502" s="2">
        <v>79</v>
      </c>
      <c r="E502" s="2">
        <v>25</v>
      </c>
      <c r="F502" s="3">
        <v>44380</v>
      </c>
      <c r="G502" s="3">
        <v>44387</v>
      </c>
      <c r="H502" s="3">
        <v>44388</v>
      </c>
      <c r="I502" s="2">
        <v>20</v>
      </c>
      <c r="J502" s="29" t="s">
        <v>197</v>
      </c>
      <c r="K502" s="35"/>
      <c r="L502" s="35"/>
      <c r="M502" s="35"/>
      <c r="AZ502" s="17"/>
      <c r="BA502" s="2"/>
      <c r="BB502" s="2"/>
      <c r="BC502" s="2"/>
      <c r="BD502" s="2"/>
      <c r="BE502" s="3"/>
      <c r="BF502" s="3"/>
      <c r="BG502" s="3"/>
      <c r="BH502" s="2"/>
      <c r="BI502" s="18"/>
    </row>
    <row r="503" spans="1:61">
      <c r="A503" s="29">
        <v>505</v>
      </c>
      <c r="B503" s="2">
        <v>14</v>
      </c>
      <c r="C503" s="2">
        <v>1</v>
      </c>
      <c r="D503" s="2">
        <v>80</v>
      </c>
      <c r="E503" s="2">
        <v>26</v>
      </c>
      <c r="F503" s="3">
        <v>44380</v>
      </c>
      <c r="G503" s="3">
        <v>44387</v>
      </c>
      <c r="H503" s="3">
        <v>44388</v>
      </c>
      <c r="I503" s="2">
        <v>20</v>
      </c>
      <c r="J503" s="29" t="s">
        <v>197</v>
      </c>
      <c r="K503" s="35"/>
      <c r="L503" s="35"/>
      <c r="M503" s="35"/>
      <c r="AZ503" s="17"/>
      <c r="BA503" s="2"/>
      <c r="BB503" s="2"/>
      <c r="BC503" s="2"/>
      <c r="BD503" s="2"/>
      <c r="BE503" s="3"/>
      <c r="BF503" s="3"/>
      <c r="BG503" s="3"/>
      <c r="BH503" s="2"/>
      <c r="BI503" s="18"/>
    </row>
    <row r="504" spans="1:61">
      <c r="A504" s="29">
        <v>506</v>
      </c>
      <c r="B504" s="29">
        <v>16</v>
      </c>
      <c r="C504" s="29">
        <v>1</v>
      </c>
      <c r="D504" s="29">
        <v>80</v>
      </c>
      <c r="E504" s="29">
        <v>26</v>
      </c>
      <c r="F504" s="30">
        <v>44380</v>
      </c>
      <c r="G504" s="30">
        <v>44387</v>
      </c>
      <c r="H504" s="30">
        <v>44388</v>
      </c>
      <c r="I504" s="29">
        <v>60</v>
      </c>
      <c r="J504" s="29" t="s">
        <v>198</v>
      </c>
      <c r="K504" s="35"/>
      <c r="L504" s="35"/>
      <c r="M504" s="35"/>
      <c r="AZ504" s="17"/>
      <c r="BA504" s="2"/>
      <c r="BB504" s="2"/>
      <c r="BC504" s="2"/>
      <c r="BD504" s="2"/>
      <c r="BE504" s="3"/>
      <c r="BF504" s="3"/>
      <c r="BG504" s="3"/>
      <c r="BH504" s="2"/>
      <c r="BI504" s="18"/>
    </row>
    <row r="505" spans="1:61">
      <c r="A505" s="17"/>
      <c r="B505" s="2"/>
      <c r="C505" s="2"/>
      <c r="D505" s="2"/>
      <c r="E505" s="2"/>
      <c r="F505" s="3"/>
      <c r="G505" s="3"/>
      <c r="H505" s="3"/>
      <c r="I505" s="2"/>
      <c r="J505" s="18"/>
      <c r="K505" s="35"/>
      <c r="L505" s="35"/>
      <c r="M505" s="35"/>
      <c r="AZ505" s="17"/>
      <c r="BA505" s="2"/>
      <c r="BB505" s="2"/>
      <c r="BC505" s="2"/>
      <c r="BD505" s="2"/>
      <c r="BE505" s="3"/>
      <c r="BF505" s="3"/>
      <c r="BG505" s="3"/>
      <c r="BH505" s="2"/>
      <c r="BI505" s="18"/>
    </row>
    <row r="506" spans="1:61">
      <c r="A506" s="17"/>
      <c r="B506" s="2"/>
      <c r="C506" s="2"/>
      <c r="D506" s="2"/>
      <c r="E506" s="2"/>
      <c r="F506" s="3"/>
      <c r="G506" s="3"/>
      <c r="H506" s="3"/>
      <c r="I506" s="2"/>
      <c r="J506" s="18"/>
      <c r="K506" s="35"/>
      <c r="L506" s="35"/>
      <c r="M506" s="35"/>
      <c r="AZ506" s="17"/>
      <c r="BA506" s="2"/>
      <c r="BB506" s="2"/>
      <c r="BC506" s="2"/>
      <c r="BD506" s="2"/>
      <c r="BE506" s="3"/>
      <c r="BF506" s="3"/>
      <c r="BG506" s="3"/>
      <c r="BH506" s="2"/>
      <c r="BI506" s="18"/>
    </row>
    <row r="507" spans="1:61">
      <c r="A507" s="17"/>
      <c r="B507" s="2"/>
      <c r="C507" s="2"/>
      <c r="D507" s="2"/>
      <c r="E507" s="2"/>
      <c r="F507" s="3"/>
      <c r="G507" s="3"/>
      <c r="H507" s="3"/>
      <c r="I507" s="2"/>
      <c r="J507" s="18"/>
      <c r="K507" s="35"/>
      <c r="L507" s="35"/>
      <c r="M507" s="35"/>
      <c r="AZ507" s="17"/>
      <c r="BA507" s="2"/>
      <c r="BB507" s="2"/>
      <c r="BC507" s="2"/>
      <c r="BD507" s="2"/>
      <c r="BE507" s="3"/>
      <c r="BF507" s="3"/>
      <c r="BG507" s="3"/>
      <c r="BH507" s="2"/>
      <c r="BI507" s="18"/>
    </row>
    <row r="508" spans="1:61">
      <c r="A508" s="17"/>
      <c r="B508" s="2"/>
      <c r="C508" s="2"/>
      <c r="D508" s="2"/>
      <c r="E508" s="2"/>
      <c r="F508" s="3"/>
      <c r="G508" s="3"/>
      <c r="H508" s="3"/>
      <c r="I508" s="2"/>
      <c r="J508" s="18"/>
      <c r="K508" s="35"/>
      <c r="L508" s="35"/>
      <c r="M508" s="35"/>
      <c r="AZ508" s="17"/>
      <c r="BA508" s="2"/>
      <c r="BB508" s="2"/>
      <c r="BC508" s="2"/>
      <c r="BD508" s="2"/>
      <c r="BE508" s="3"/>
      <c r="BF508" s="3"/>
      <c r="BG508" s="3"/>
      <c r="BH508" s="2"/>
      <c r="BI508" s="18"/>
    </row>
    <row r="509" spans="1:61">
      <c r="A509" s="17"/>
      <c r="B509" s="2"/>
      <c r="C509" s="2"/>
      <c r="D509" s="2"/>
      <c r="E509" s="2"/>
      <c r="F509" s="3"/>
      <c r="G509" s="3"/>
      <c r="H509" s="3"/>
      <c r="I509" s="2"/>
      <c r="J509" s="18"/>
      <c r="K509" s="35"/>
      <c r="L509" s="35"/>
      <c r="M509" s="35"/>
      <c r="AZ509" s="17"/>
      <c r="BA509" s="2"/>
      <c r="BB509" s="2"/>
      <c r="BC509" s="2"/>
      <c r="BD509" s="2"/>
      <c r="BE509" s="3"/>
      <c r="BF509" s="3"/>
      <c r="BG509" s="3"/>
      <c r="BH509" s="2"/>
      <c r="BI509" s="18"/>
    </row>
    <row r="510" spans="1:61">
      <c r="A510" s="17"/>
      <c r="B510" s="2"/>
      <c r="C510" s="2"/>
      <c r="D510" s="2"/>
      <c r="E510" s="2"/>
      <c r="F510" s="3"/>
      <c r="G510" s="3"/>
      <c r="H510" s="3"/>
      <c r="I510" s="2"/>
      <c r="J510" s="18"/>
      <c r="K510" s="35"/>
      <c r="L510" s="35"/>
      <c r="M510" s="35"/>
      <c r="AZ510" s="17"/>
      <c r="BA510" s="2"/>
      <c r="BB510" s="2"/>
      <c r="BC510" s="2"/>
      <c r="BD510" s="2"/>
      <c r="BE510" s="3"/>
      <c r="BF510" s="3"/>
      <c r="BG510" s="3"/>
      <c r="BH510" s="2"/>
      <c r="BI510" s="18"/>
    </row>
    <row r="511" spans="1:61">
      <c r="A511" s="17"/>
      <c r="B511" s="2"/>
      <c r="C511" s="2"/>
      <c r="D511" s="2"/>
      <c r="E511" s="2"/>
      <c r="F511" s="3"/>
      <c r="G511" s="3"/>
      <c r="H511" s="3"/>
      <c r="I511" s="2"/>
      <c r="J511" s="18"/>
      <c r="K511" s="35"/>
      <c r="L511" s="35"/>
      <c r="M511" s="35"/>
      <c r="AZ511" s="17"/>
      <c r="BA511" s="2"/>
      <c r="BB511" s="2"/>
      <c r="BC511" s="2"/>
      <c r="BD511" s="2"/>
      <c r="BE511" s="3"/>
      <c r="BF511" s="3"/>
      <c r="BG511" s="3"/>
      <c r="BH511" s="2"/>
      <c r="BI511" s="18"/>
    </row>
    <row r="512" spans="1:61">
      <c r="A512" s="17"/>
      <c r="B512" s="2"/>
      <c r="C512" s="2"/>
      <c r="D512" s="2"/>
      <c r="E512" s="2"/>
      <c r="F512" s="3"/>
      <c r="G512" s="3"/>
      <c r="H512" s="3"/>
      <c r="I512" s="2"/>
      <c r="J512" s="18"/>
      <c r="K512" s="35"/>
      <c r="L512" s="35"/>
      <c r="M512" s="35"/>
      <c r="AZ512" s="17"/>
      <c r="BA512" s="2"/>
      <c r="BB512" s="2"/>
      <c r="BC512" s="2"/>
      <c r="BD512" s="2"/>
      <c r="BE512" s="3"/>
      <c r="BF512" s="3"/>
      <c r="BG512" s="3"/>
      <c r="BH512" s="2"/>
      <c r="BI512" s="18"/>
    </row>
    <row r="513" spans="1:61">
      <c r="A513" s="17"/>
      <c r="B513" s="2"/>
      <c r="C513" s="2"/>
      <c r="D513" s="2"/>
      <c r="E513" s="2"/>
      <c r="F513" s="3"/>
      <c r="G513" s="3"/>
      <c r="H513" s="3"/>
      <c r="I513" s="2"/>
      <c r="J513" s="18"/>
      <c r="K513" s="35"/>
      <c r="L513" s="35"/>
      <c r="M513" s="35"/>
      <c r="AZ513" s="17"/>
      <c r="BA513" s="2"/>
      <c r="BB513" s="2"/>
      <c r="BC513" s="2"/>
      <c r="BD513" s="2"/>
      <c r="BE513" s="3"/>
      <c r="BF513" s="3"/>
      <c r="BG513" s="3"/>
      <c r="BH513" s="2"/>
      <c r="BI513" s="18"/>
    </row>
    <row r="514" spans="1:61">
      <c r="A514" s="17"/>
      <c r="B514" s="2"/>
      <c r="C514" s="2"/>
      <c r="D514" s="2"/>
      <c r="E514" s="2"/>
      <c r="F514" s="3"/>
      <c r="G514" s="3"/>
      <c r="H514" s="3"/>
      <c r="I514" s="2"/>
      <c r="J514" s="18"/>
      <c r="K514" s="35"/>
      <c r="L514" s="35"/>
      <c r="M514" s="35"/>
      <c r="AZ514" s="17"/>
      <c r="BA514" s="2"/>
      <c r="BB514" s="2"/>
      <c r="BC514" s="2"/>
      <c r="BD514" s="2"/>
      <c r="BE514" s="3"/>
      <c r="BF514" s="3"/>
      <c r="BG514" s="3"/>
      <c r="BH514" s="2"/>
      <c r="BI514" s="18"/>
    </row>
    <row r="515" spans="1:61">
      <c r="A515" s="17"/>
      <c r="B515" s="2"/>
      <c r="C515" s="2"/>
      <c r="D515" s="2"/>
      <c r="E515" s="2"/>
      <c r="F515" s="3"/>
      <c r="G515" s="3"/>
      <c r="H515" s="3"/>
      <c r="I515" s="2"/>
      <c r="J515" s="18"/>
      <c r="K515" s="35"/>
      <c r="L515" s="35"/>
      <c r="M515" s="35"/>
      <c r="AZ515" s="17"/>
      <c r="BA515" s="2"/>
      <c r="BB515" s="2"/>
      <c r="BC515" s="2"/>
      <c r="BD515" s="2"/>
      <c r="BE515" s="3"/>
      <c r="BF515" s="3"/>
      <c r="BG515" s="3"/>
      <c r="BH515" s="2"/>
      <c r="BI515" s="18"/>
    </row>
    <row r="516" spans="1:61">
      <c r="A516" s="17"/>
      <c r="B516" s="2"/>
      <c r="C516" s="2"/>
      <c r="D516" s="2"/>
      <c r="E516" s="2"/>
      <c r="F516" s="3"/>
      <c r="G516" s="3"/>
      <c r="H516" s="3"/>
      <c r="I516" s="2"/>
      <c r="J516" s="18"/>
      <c r="K516" s="35"/>
      <c r="L516" s="35"/>
      <c r="M516" s="35"/>
      <c r="AZ516" s="17"/>
      <c r="BA516" s="2"/>
      <c r="BB516" s="2"/>
      <c r="BC516" s="2"/>
      <c r="BD516" s="2"/>
      <c r="BE516" s="3"/>
      <c r="BF516" s="3"/>
      <c r="BG516" s="3"/>
      <c r="BH516" s="2"/>
      <c r="BI516" s="18"/>
    </row>
    <row r="517" spans="1:61">
      <c r="A517" s="17"/>
      <c r="B517" s="2"/>
      <c r="C517" s="2"/>
      <c r="D517" s="2"/>
      <c r="E517" s="2"/>
      <c r="F517" s="3"/>
      <c r="G517" s="3"/>
      <c r="H517" s="3"/>
      <c r="I517" s="2"/>
      <c r="J517" s="18"/>
      <c r="K517" s="35"/>
      <c r="L517" s="35"/>
      <c r="M517" s="35"/>
      <c r="AZ517" s="17"/>
      <c r="BA517" s="2"/>
      <c r="BB517" s="2"/>
      <c r="BC517" s="2"/>
      <c r="BD517" s="2"/>
      <c r="BE517" s="3"/>
      <c r="BF517" s="3"/>
      <c r="BG517" s="3"/>
      <c r="BH517" s="2"/>
      <c r="BI517" s="18"/>
    </row>
    <row r="518" spans="1:61">
      <c r="A518" s="17"/>
      <c r="B518" s="2"/>
      <c r="C518" s="2"/>
      <c r="D518" s="2"/>
      <c r="E518" s="2"/>
      <c r="F518" s="3"/>
      <c r="G518" s="3"/>
      <c r="H518" s="3"/>
      <c r="I518" s="2"/>
      <c r="J518" s="18"/>
      <c r="K518" s="35"/>
      <c r="L518" s="35"/>
      <c r="M518" s="35"/>
      <c r="AZ518" s="17"/>
      <c r="BA518" s="2"/>
      <c r="BB518" s="2"/>
      <c r="BC518" s="2"/>
      <c r="BD518" s="2"/>
      <c r="BE518" s="3"/>
      <c r="BF518" s="3"/>
      <c r="BG518" s="3"/>
      <c r="BH518" s="2"/>
      <c r="BI518" s="18"/>
    </row>
    <row r="519" spans="1:61">
      <c r="A519" s="17"/>
      <c r="B519" s="2"/>
      <c r="C519" s="2"/>
      <c r="D519" s="2"/>
      <c r="E519" s="2"/>
      <c r="F519" s="3"/>
      <c r="G519" s="3"/>
      <c r="H519" s="3"/>
      <c r="I519" s="2"/>
      <c r="J519" s="18"/>
      <c r="K519" s="35"/>
      <c r="L519" s="35"/>
      <c r="M519" s="35"/>
      <c r="AZ519" s="17"/>
      <c r="BA519" s="2"/>
      <c r="BB519" s="2"/>
      <c r="BC519" s="2"/>
      <c r="BD519" s="2"/>
      <c r="BE519" s="3"/>
      <c r="BF519" s="3"/>
      <c r="BG519" s="3"/>
      <c r="BH519" s="2"/>
      <c r="BI519" s="18"/>
    </row>
    <row r="520" spans="1:61">
      <c r="A520" s="17"/>
      <c r="B520" s="2"/>
      <c r="C520" s="2"/>
      <c r="D520" s="2"/>
      <c r="E520" s="2"/>
      <c r="F520" s="3"/>
      <c r="G520" s="3"/>
      <c r="H520" s="3"/>
      <c r="I520" s="2"/>
      <c r="J520" s="18"/>
      <c r="K520" s="35"/>
      <c r="L520" s="35"/>
      <c r="M520" s="35"/>
      <c r="AZ520" s="17"/>
      <c r="BA520" s="2"/>
      <c r="BB520" s="2"/>
      <c r="BC520" s="2"/>
      <c r="BD520" s="2"/>
      <c r="BE520" s="3"/>
      <c r="BF520" s="3"/>
      <c r="BG520" s="3"/>
      <c r="BH520" s="2"/>
      <c r="BI520" s="18"/>
    </row>
    <row r="521" spans="1:61">
      <c r="A521" s="17"/>
      <c r="B521" s="29"/>
      <c r="C521" s="29"/>
      <c r="D521" s="29"/>
      <c r="E521" s="29"/>
      <c r="F521" s="30"/>
      <c r="G521" s="30"/>
      <c r="H521" s="30"/>
      <c r="I521" s="29"/>
      <c r="J521" s="18"/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19</vt:i4>
      </vt:variant>
    </vt:vector>
  </HeadingPairs>
  <TitlesOfParts>
    <vt:vector size="29" baseType="lpstr">
      <vt:lpstr>메인</vt:lpstr>
      <vt:lpstr>회원</vt:lpstr>
      <vt:lpstr>자격증정보</vt:lpstr>
      <vt:lpstr>시험일정</vt:lpstr>
      <vt:lpstr>접수내역</vt:lpstr>
      <vt:lpstr>시험문제</vt:lpstr>
      <vt:lpstr>합격률</vt:lpstr>
      <vt:lpstr>일정보기</vt:lpstr>
      <vt:lpstr>보기</vt:lpstr>
      <vt:lpstr>데이터처리</vt:lpstr>
      <vt:lpstr>데이터처리!Criteria</vt:lpstr>
      <vt:lpstr>시험일정!Criteria</vt:lpstr>
      <vt:lpstr>데이터처리!Extract</vt:lpstr>
      <vt:lpstr>시험일정!Extract</vt:lpstr>
      <vt:lpstr>접수내역!Extract</vt:lpstr>
      <vt:lpstr>색깔</vt:lpstr>
      <vt:lpstr>선택날짜</vt:lpstr>
      <vt:lpstr>시험</vt:lpstr>
      <vt:lpstr>시험번호</vt:lpstr>
      <vt:lpstr>시험일정</vt:lpstr>
      <vt:lpstr>시험종목</vt:lpstr>
      <vt:lpstr>유저명</vt:lpstr>
      <vt:lpstr>유저번호</vt:lpstr>
      <vt:lpstr>전화번호</vt:lpstr>
      <vt:lpstr>접수비</vt:lpstr>
      <vt:lpstr>접수수수료</vt:lpstr>
      <vt:lpstr>종목번호</vt:lpstr>
      <vt:lpstr>주민등록번호</vt:lpstr>
      <vt:lpstr>회차조건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itskills2</dc:creator>
  <cp:lastModifiedBy>clgns rla</cp:lastModifiedBy>
  <cp:lastPrinted>2021-08-30T10:20:36Z</cp:lastPrinted>
  <dcterms:created xsi:type="dcterms:W3CDTF">2021-07-17T04:09:01Z</dcterms:created>
  <dcterms:modified xsi:type="dcterms:W3CDTF">2021-09-04T07:09:48Z</dcterms:modified>
</cp:coreProperties>
</file>