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media/image2.jpg" ContentType="image/p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엑셀\경남\경남 100%\"/>
    </mc:Choice>
  </mc:AlternateContent>
  <bookViews>
    <workbookView xWindow="-120" yWindow="-120" windowWidth="29040" windowHeight="16440" activeTab="4"/>
  </bookViews>
  <sheets>
    <sheet name="메인" sheetId="1" r:id="rId1"/>
    <sheet name="회원" sheetId="2" state="hidden" r:id="rId2"/>
    <sheet name="자격증정보" sheetId="3" r:id="rId3"/>
    <sheet name="시험일정" sheetId="4" r:id="rId4"/>
    <sheet name="접수내역" sheetId="5" r:id="rId5"/>
    <sheet name="합격률" sheetId="6" r:id="rId6"/>
    <sheet name="시험문제" sheetId="7" state="hidden" r:id="rId7"/>
    <sheet name="보기" sheetId="8" state="hidden" r:id="rId8"/>
    <sheet name="일정보기" sheetId="9" r:id="rId9"/>
    <sheet name="데이터" sheetId="10" state="hidden" r:id="rId10"/>
  </sheets>
  <functionGroups builtInGroupCount="18"/>
  <definedNames>
    <definedName name="_xlnm._FilterDatabase" localSheetId="3" hidden="1">시험일정!$A$1:$J$159</definedName>
    <definedName name="_xlnm._FilterDatabase" localSheetId="4" hidden="1">접수내역!$A$1:$K$522</definedName>
    <definedName name="_xlnm.Criteria" localSheetId="9">데이터!$J$1:$K$2</definedName>
    <definedName name="_xlnm.Criteria" localSheetId="3">시험일정!$L$1:$L$2</definedName>
    <definedName name="_xlnm.Extract" localSheetId="9">데이터!$M$1:$P$1</definedName>
    <definedName name="_xlnm.Extract" localSheetId="3">시험일정!$N$1:$R$1</definedName>
    <definedName name="달력">데이터!$E$8</definedName>
    <definedName name="색깔">데이터!$R$1</definedName>
    <definedName name="유저명">데이터!$B$1</definedName>
    <definedName name="유저번호">데이터!$A$1</definedName>
    <definedName name="전화번호">데이터!$F$1</definedName>
    <definedName name="접수비">시험일정!$L$5</definedName>
    <definedName name="접수수수료">시험일정!$L$8</definedName>
    <definedName name="종목번호">자격증정보!$P$2</definedName>
    <definedName name="주민등록번호">데이터!$H$1</definedName>
    <definedName name="타입">데이터!$A$2</definedName>
  </definedNames>
  <calcPr calcId="162913"/>
  <pivotCaches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22" i="5" l="1"/>
  <c r="H1" i="10"/>
  <c r="P2" i="3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2" i="4"/>
  <c r="L5" i="4" l="1"/>
  <c r="L7" i="4" s="1" a="1"/>
  <c r="L7" i="4" s="1"/>
  <c r="L8" i="4" s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2" i="4"/>
  <c r="K511" i="5"/>
  <c r="K512" i="5"/>
  <c r="K513" i="5"/>
  <c r="K514" i="5"/>
  <c r="K515" i="5"/>
  <c r="K516" i="5"/>
  <c r="K517" i="5"/>
  <c r="K518" i="5"/>
  <c r="K519" i="5"/>
  <c r="K520" i="5"/>
  <c r="K521" i="5"/>
  <c r="L2" i="3"/>
  <c r="L3" i="3"/>
  <c r="L4" i="3"/>
  <c r="L5" i="3"/>
  <c r="L6" i="3"/>
  <c r="L7" i="3"/>
  <c r="B1" i="10" l="1"/>
  <c r="F8" i="10" s="1"/>
  <c r="K2" i="5" l="1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2" i="3"/>
  <c r="K3" i="3"/>
  <c r="K4" i="3"/>
  <c r="K5" i="3"/>
  <c r="K6" i="3"/>
  <c r="K7" i="3"/>
  <c r="J2" i="3"/>
  <c r="J3" i="3"/>
  <c r="J4" i="3"/>
  <c r="J5" i="3"/>
  <c r="J6" i="3"/>
  <c r="J7" i="3"/>
  <c r="A2" i="10"/>
  <c r="G1" i="10"/>
  <c r="F1" i="10"/>
  <c r="E1" i="10"/>
  <c r="D1" i="10"/>
  <c r="C1" i="10"/>
  <c r="I8" i="4" l="1"/>
  <c r="D8" i="4" s="1"/>
  <c r="I20" i="4"/>
  <c r="D20" i="4" s="1"/>
  <c r="I44" i="4"/>
  <c r="D44" i="4" s="1"/>
  <c r="I80" i="4"/>
  <c r="D80" i="4" s="1"/>
  <c r="I152" i="4"/>
  <c r="D152" i="4" s="1"/>
  <c r="I21" i="4"/>
  <c r="D21" i="4" s="1"/>
  <c r="I9" i="4"/>
  <c r="D9" i="4" s="1"/>
  <c r="I12" i="4"/>
  <c r="D12" i="4" s="1"/>
  <c r="I13" i="4"/>
  <c r="D13" i="4" s="1"/>
  <c r="I66" i="4"/>
  <c r="D66" i="4" s="1"/>
  <c r="I138" i="4"/>
  <c r="D138" i="4" s="1"/>
  <c r="I121" i="4"/>
  <c r="D121" i="4" s="1"/>
  <c r="I50" i="4"/>
  <c r="D50" i="4" s="1"/>
  <c r="I110" i="4"/>
  <c r="D110" i="4" s="1"/>
  <c r="I122" i="4"/>
  <c r="D122" i="4" s="1"/>
  <c r="I16" i="4"/>
  <c r="D16" i="4" s="1"/>
  <c r="I52" i="4"/>
  <c r="D52" i="4" s="1"/>
  <c r="I10" i="4"/>
  <c r="D10" i="4" s="1"/>
  <c r="I15" i="4"/>
  <c r="D15" i="4" s="1"/>
  <c r="I75" i="4"/>
  <c r="D75" i="4" s="1"/>
  <c r="I123" i="4"/>
  <c r="D123" i="4" s="1"/>
  <c r="I18" i="4"/>
  <c r="D18" i="4" s="1"/>
  <c r="I102" i="4"/>
  <c r="D102" i="4" s="1"/>
  <c r="I28" i="4"/>
  <c r="D28" i="4" s="1"/>
  <c r="I17" i="4"/>
  <c r="D17" i="4" s="1"/>
  <c r="I114" i="4"/>
  <c r="D114" i="4" s="1"/>
  <c r="I7" i="4"/>
  <c r="D7" i="4" s="1"/>
  <c r="I31" i="4"/>
  <c r="D31" i="4" s="1"/>
  <c r="I67" i="4"/>
  <c r="D67" i="4" s="1"/>
  <c r="I79" i="4"/>
  <c r="D79" i="4" s="1"/>
  <c r="I115" i="4"/>
  <c r="D115" i="4" s="1"/>
  <c r="I151" i="4"/>
  <c r="D151" i="4" s="1"/>
  <c r="I81" i="4"/>
  <c r="D81" i="4" s="1"/>
  <c r="I94" i="4"/>
  <c r="D94" i="4" s="1"/>
  <c r="I95" i="4"/>
  <c r="D95" i="4" s="1"/>
  <c r="I11" i="4"/>
  <c r="D11" i="4" s="1"/>
  <c r="I118" i="4"/>
  <c r="D118" i="4" s="1"/>
  <c r="I71" i="4"/>
  <c r="D71" i="4" s="1"/>
  <c r="I47" i="4"/>
  <c r="D47" i="4" s="1"/>
  <c r="G62" i="4"/>
  <c r="G74" i="4"/>
  <c r="G146" i="4"/>
  <c r="G147" i="4"/>
  <c r="G27" i="4"/>
  <c r="G40" i="4"/>
  <c r="G6" i="4"/>
  <c r="G55" i="4"/>
  <c r="G127" i="4"/>
  <c r="G112" i="4"/>
  <c r="G32" i="4"/>
  <c r="G33" i="4"/>
  <c r="G45" i="4"/>
  <c r="G69" i="4"/>
  <c r="G117" i="4"/>
  <c r="G34" i="4"/>
  <c r="G58" i="4"/>
  <c r="G106" i="4"/>
  <c r="G72" i="4"/>
  <c r="G119" i="4"/>
  <c r="G36" i="4"/>
  <c r="G84" i="4"/>
  <c r="G108" i="4"/>
  <c r="G49" i="4"/>
  <c r="G61" i="4"/>
  <c r="G4" i="4"/>
  <c r="G98" i="4"/>
  <c r="G87" i="4"/>
  <c r="G90" i="4"/>
  <c r="G43" i="4"/>
  <c r="G103" i="4"/>
  <c r="G64" i="4"/>
  <c r="G56" i="4"/>
  <c r="G129" i="4"/>
  <c r="G153" i="4"/>
  <c r="G46" i="4"/>
  <c r="G70" i="4"/>
  <c r="G130" i="4"/>
  <c r="G154" i="4"/>
  <c r="G132" i="4"/>
  <c r="G131" i="4"/>
  <c r="G48" i="4"/>
  <c r="G109" i="4"/>
  <c r="G53" i="4"/>
  <c r="G77" i="4"/>
  <c r="G89" i="4"/>
  <c r="G101" i="4"/>
  <c r="G125" i="4"/>
  <c r="G86" i="4"/>
  <c r="G150" i="4"/>
  <c r="G120" i="4"/>
  <c r="G104" i="4"/>
  <c r="G128" i="4"/>
  <c r="G93" i="4"/>
  <c r="G142" i="4"/>
  <c r="G59" i="4"/>
  <c r="G83" i="4"/>
  <c r="G107" i="4"/>
  <c r="G73" i="4"/>
  <c r="G100" i="4"/>
  <c r="G148" i="4"/>
  <c r="G149" i="4"/>
  <c r="G158" i="4"/>
  <c r="G3" i="4"/>
  <c r="G39" i="4"/>
  <c r="G51" i="4"/>
  <c r="G159" i="4"/>
  <c r="G88" i="4"/>
  <c r="G136" i="4"/>
  <c r="G30" i="4"/>
  <c r="G42" i="4"/>
  <c r="G78" i="4"/>
  <c r="G126" i="4"/>
  <c r="G68" i="4"/>
  <c r="G92" i="4"/>
  <c r="G124" i="4"/>
  <c r="G57" i="4"/>
  <c r="G141" i="4"/>
  <c r="G22" i="4"/>
  <c r="G23" i="4"/>
  <c r="G35" i="4"/>
  <c r="G60" i="4"/>
  <c r="G144" i="4"/>
  <c r="G25" i="4"/>
  <c r="G97" i="4"/>
  <c r="G145" i="4"/>
  <c r="G137" i="4"/>
  <c r="G5" i="4"/>
  <c r="G65" i="4"/>
  <c r="I104" i="4"/>
  <c r="D104" i="4" s="1"/>
  <c r="I128" i="4"/>
  <c r="D128" i="4" s="1"/>
  <c r="I93" i="4"/>
  <c r="D93" i="4" s="1"/>
  <c r="I120" i="4"/>
  <c r="D120" i="4" s="1"/>
  <c r="I73" i="4"/>
  <c r="D73" i="4" s="1"/>
  <c r="I86" i="4"/>
  <c r="D86" i="4" s="1"/>
  <c r="I100" i="4"/>
  <c r="D100" i="4" s="1"/>
  <c r="I148" i="4"/>
  <c r="D148" i="4" s="1"/>
  <c r="I150" i="4"/>
  <c r="D150" i="4" s="1"/>
  <c r="I149" i="4"/>
  <c r="D149" i="4" s="1"/>
  <c r="I107" i="4"/>
  <c r="D107" i="4" s="1"/>
  <c r="I142" i="4"/>
  <c r="D142" i="4" s="1"/>
  <c r="I59" i="4"/>
  <c r="D59" i="4" s="1"/>
  <c r="I83" i="4"/>
  <c r="D83" i="4" s="1"/>
  <c r="G50" i="4"/>
  <c r="G110" i="4"/>
  <c r="G122" i="4"/>
  <c r="G123" i="4"/>
  <c r="G15" i="4"/>
  <c r="G75" i="4"/>
  <c r="G16" i="4"/>
  <c r="G18" i="4"/>
  <c r="G66" i="4"/>
  <c r="G102" i="4"/>
  <c r="G114" i="4"/>
  <c r="G138" i="4"/>
  <c r="G7" i="4"/>
  <c r="G31" i="4"/>
  <c r="G67" i="4"/>
  <c r="G79" i="4"/>
  <c r="G115" i="4"/>
  <c r="G151" i="4"/>
  <c r="G8" i="4"/>
  <c r="G20" i="4"/>
  <c r="G44" i="4"/>
  <c r="G80" i="4"/>
  <c r="G152" i="4"/>
  <c r="G52" i="4"/>
  <c r="G9" i="4"/>
  <c r="G21" i="4"/>
  <c r="G81" i="4"/>
  <c r="G10" i="4"/>
  <c r="G94" i="4"/>
  <c r="G118" i="4"/>
  <c r="G11" i="4"/>
  <c r="G47" i="4"/>
  <c r="G71" i="4"/>
  <c r="G95" i="4"/>
  <c r="G12" i="4"/>
  <c r="G13" i="4"/>
  <c r="G121" i="4"/>
  <c r="G28" i="4"/>
  <c r="G17" i="4"/>
  <c r="I32" i="4"/>
  <c r="D32" i="4" s="1"/>
  <c r="I45" i="4"/>
  <c r="D45" i="4" s="1"/>
  <c r="I34" i="4"/>
  <c r="D34" i="4" s="1"/>
  <c r="I36" i="4"/>
  <c r="D36" i="4" s="1"/>
  <c r="I72" i="4"/>
  <c r="D72" i="4" s="1"/>
  <c r="I84" i="4"/>
  <c r="D84" i="4" s="1"/>
  <c r="I108" i="4"/>
  <c r="D108" i="4" s="1"/>
  <c r="I49" i="4"/>
  <c r="D49" i="4" s="1"/>
  <c r="I61" i="4"/>
  <c r="D61" i="4" s="1"/>
  <c r="I62" i="4"/>
  <c r="D62" i="4" s="1"/>
  <c r="I74" i="4"/>
  <c r="D74" i="4" s="1"/>
  <c r="I146" i="4"/>
  <c r="D146" i="4" s="1"/>
  <c r="I6" i="4"/>
  <c r="D6" i="4" s="1"/>
  <c r="I27" i="4"/>
  <c r="D27" i="4" s="1"/>
  <c r="I147" i="4"/>
  <c r="D147" i="4" s="1"/>
  <c r="I4" i="4"/>
  <c r="D4" i="4" s="1"/>
  <c r="I40" i="4"/>
  <c r="D40" i="4" s="1"/>
  <c r="I117" i="4"/>
  <c r="D117" i="4" s="1"/>
  <c r="I58" i="4"/>
  <c r="D58" i="4" s="1"/>
  <c r="I112" i="4"/>
  <c r="D112" i="4" s="1"/>
  <c r="I69" i="4"/>
  <c r="D69" i="4" s="1"/>
  <c r="I55" i="4"/>
  <c r="D55" i="4" s="1"/>
  <c r="I127" i="4"/>
  <c r="D127" i="4" s="1"/>
  <c r="I33" i="4"/>
  <c r="D33" i="4" s="1"/>
  <c r="I106" i="4"/>
  <c r="D106" i="4" s="1"/>
  <c r="I119" i="4"/>
  <c r="D119" i="4" s="1"/>
  <c r="I68" i="4"/>
  <c r="D68" i="4" s="1"/>
  <c r="I92" i="4"/>
  <c r="D92" i="4" s="1"/>
  <c r="I60" i="4"/>
  <c r="D60" i="4" s="1"/>
  <c r="I144" i="4"/>
  <c r="D144" i="4" s="1"/>
  <c r="I141" i="4"/>
  <c r="D141" i="4" s="1"/>
  <c r="I25" i="4"/>
  <c r="D25" i="4" s="1"/>
  <c r="I97" i="4"/>
  <c r="D97" i="4" s="1"/>
  <c r="I145" i="4"/>
  <c r="D145" i="4" s="1"/>
  <c r="I78" i="4"/>
  <c r="D78" i="4" s="1"/>
  <c r="I158" i="4"/>
  <c r="D158" i="4" s="1"/>
  <c r="I88" i="4"/>
  <c r="D88" i="4" s="1"/>
  <c r="I136" i="4"/>
  <c r="D136" i="4" s="1"/>
  <c r="I3" i="4"/>
  <c r="D3" i="4" s="1"/>
  <c r="I39" i="4"/>
  <c r="D39" i="4" s="1"/>
  <c r="I51" i="4"/>
  <c r="D51" i="4" s="1"/>
  <c r="I159" i="4"/>
  <c r="D159" i="4" s="1"/>
  <c r="I124" i="4"/>
  <c r="D124" i="4" s="1"/>
  <c r="I126" i="4"/>
  <c r="D126" i="4" s="1"/>
  <c r="I57" i="4"/>
  <c r="D57" i="4" s="1"/>
  <c r="I5" i="4"/>
  <c r="D5" i="4" s="1"/>
  <c r="I65" i="4"/>
  <c r="D65" i="4" s="1"/>
  <c r="I137" i="4"/>
  <c r="D137" i="4" s="1"/>
  <c r="I42" i="4"/>
  <c r="D42" i="4" s="1"/>
  <c r="I30" i="4"/>
  <c r="D30" i="4" s="1"/>
  <c r="I22" i="4"/>
  <c r="D22" i="4" s="1"/>
  <c r="I23" i="4"/>
  <c r="D23" i="4" s="1"/>
  <c r="I35" i="4"/>
  <c r="D35" i="4" s="1"/>
  <c r="I116" i="4"/>
  <c r="D116" i="4" s="1"/>
  <c r="I140" i="4"/>
  <c r="D140" i="4" s="1"/>
  <c r="I82" i="4"/>
  <c r="D82" i="4" s="1"/>
  <c r="I24" i="4"/>
  <c r="D24" i="4" s="1"/>
  <c r="I96" i="4"/>
  <c r="D96" i="4" s="1"/>
  <c r="I156" i="4"/>
  <c r="D156" i="4" s="1"/>
  <c r="I37" i="4"/>
  <c r="D37" i="4" s="1"/>
  <c r="I85" i="4"/>
  <c r="D85" i="4" s="1"/>
  <c r="I133" i="4"/>
  <c r="D133" i="4" s="1"/>
  <c r="I157" i="4"/>
  <c r="D157" i="4" s="1"/>
  <c r="I2" i="4"/>
  <c r="D2" i="4" s="1"/>
  <c r="I14" i="4"/>
  <c r="D14" i="4" s="1"/>
  <c r="I26" i="4"/>
  <c r="D26" i="4" s="1"/>
  <c r="I38" i="4"/>
  <c r="D38" i="4" s="1"/>
  <c r="I134" i="4"/>
  <c r="D134" i="4" s="1"/>
  <c r="I63" i="4"/>
  <c r="D63" i="4" s="1"/>
  <c r="I99" i="4"/>
  <c r="D99" i="4" s="1"/>
  <c r="I111" i="4"/>
  <c r="D111" i="4" s="1"/>
  <c r="I135" i="4"/>
  <c r="D135" i="4" s="1"/>
  <c r="I76" i="4"/>
  <c r="D76" i="4" s="1"/>
  <c r="I54" i="4"/>
  <c r="D54" i="4" s="1"/>
  <c r="I29" i="4"/>
  <c r="D29" i="4" s="1"/>
  <c r="I41" i="4"/>
  <c r="D41" i="4" s="1"/>
  <c r="I113" i="4"/>
  <c r="D113" i="4" s="1"/>
  <c r="I105" i="4"/>
  <c r="D105" i="4" s="1"/>
  <c r="I19" i="4"/>
  <c r="D19" i="4" s="1"/>
  <c r="I91" i="4"/>
  <c r="D91" i="4" s="1"/>
  <c r="I139" i="4"/>
  <c r="D139" i="4" s="1"/>
  <c r="I143" i="4"/>
  <c r="D143" i="4" s="1"/>
  <c r="I155" i="4"/>
  <c r="D155" i="4" s="1"/>
  <c r="G14" i="4"/>
  <c r="G26" i="4"/>
  <c r="G38" i="4"/>
  <c r="G134" i="4"/>
  <c r="G63" i="4"/>
  <c r="G99" i="4"/>
  <c r="G111" i="4"/>
  <c r="G135" i="4"/>
  <c r="G54" i="4"/>
  <c r="G2" i="4"/>
  <c r="G19" i="4"/>
  <c r="G91" i="4"/>
  <c r="G139" i="4"/>
  <c r="G116" i="4"/>
  <c r="G140" i="4"/>
  <c r="G96" i="4"/>
  <c r="G105" i="4"/>
  <c r="G82" i="4"/>
  <c r="G156" i="4"/>
  <c r="G143" i="4"/>
  <c r="G155" i="4"/>
  <c r="G24" i="4"/>
  <c r="G37" i="4"/>
  <c r="G85" i="4"/>
  <c r="G133" i="4"/>
  <c r="G157" i="4"/>
  <c r="G76" i="4"/>
  <c r="G29" i="4"/>
  <c r="G41" i="4"/>
  <c r="G113" i="4"/>
  <c r="I56" i="4"/>
  <c r="D56" i="4" s="1"/>
  <c r="I129" i="4"/>
  <c r="D129" i="4" s="1"/>
  <c r="I48" i="4"/>
  <c r="D48" i="4" s="1"/>
  <c r="I132" i="4"/>
  <c r="D132" i="4" s="1"/>
  <c r="I109" i="4"/>
  <c r="D109" i="4" s="1"/>
  <c r="I98" i="4"/>
  <c r="D98" i="4" s="1"/>
  <c r="I90" i="4"/>
  <c r="D90" i="4" s="1"/>
  <c r="I87" i="4"/>
  <c r="D87" i="4" s="1"/>
  <c r="I64" i="4"/>
  <c r="D64" i="4" s="1"/>
  <c r="I53" i="4"/>
  <c r="D53" i="4" s="1"/>
  <c r="I77" i="4"/>
  <c r="D77" i="4" s="1"/>
  <c r="I89" i="4"/>
  <c r="D89" i="4" s="1"/>
  <c r="I101" i="4"/>
  <c r="D101" i="4" s="1"/>
  <c r="I125" i="4"/>
  <c r="D125" i="4" s="1"/>
  <c r="I153" i="4"/>
  <c r="D153" i="4" s="1"/>
  <c r="I46" i="4"/>
  <c r="D46" i="4" s="1"/>
  <c r="I43" i="4"/>
  <c r="D43" i="4" s="1"/>
  <c r="I103" i="4"/>
  <c r="D103" i="4" s="1"/>
  <c r="I70" i="4"/>
  <c r="D70" i="4" s="1"/>
  <c r="I154" i="4"/>
  <c r="D154" i="4" s="1"/>
  <c r="I130" i="4"/>
  <c r="D130" i="4" s="1"/>
  <c r="I131" i="4"/>
  <c r="D131" i="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<sst xmlns="http://schemas.openxmlformats.org/spreadsheetml/2006/main" count="2148" uniqueCount="1524">
  <si>
    <t></t>
    <phoneticPr fontId="1" type="noConversion"/>
  </si>
  <si>
    <t>번호</t>
  </si>
  <si>
    <t>이름</t>
  </si>
  <si>
    <t>아이디</t>
  </si>
  <si>
    <t>비밀번호</t>
  </si>
  <si>
    <t>이메일</t>
  </si>
  <si>
    <t>전화번호</t>
  </si>
  <si>
    <t>성별</t>
  </si>
  <si>
    <t>생년월일</t>
  </si>
  <si>
    <t>강솔</t>
  </si>
  <si>
    <t>user1</t>
  </si>
  <si>
    <t>user1#$</t>
  </si>
  <si>
    <t>sol123@naver.com</t>
  </si>
  <si>
    <t>010-5366-8447</t>
  </si>
  <si>
    <t>여</t>
  </si>
  <si>
    <t>한준휘</t>
  </si>
  <si>
    <t>user2</t>
  </si>
  <si>
    <t>user2#$</t>
  </si>
  <si>
    <t>junhwi@gmail.com</t>
  </si>
  <si>
    <t>010-1258-9489</t>
  </si>
  <si>
    <t>남</t>
  </si>
  <si>
    <t>전예슬</t>
  </si>
  <si>
    <t>user3</t>
  </si>
  <si>
    <t>user3#$</t>
  </si>
  <si>
    <t>yeseul@empal.com</t>
  </si>
  <si>
    <t>010-3827-5197</t>
  </si>
  <si>
    <t>서지호</t>
  </si>
  <si>
    <t>user4</t>
  </si>
  <si>
    <t>user4#$</t>
  </si>
  <si>
    <t>jiho@nate.com</t>
  </si>
  <si>
    <t>010-5154-4861</t>
  </si>
  <si>
    <t>서병주</t>
  </si>
  <si>
    <t>user5</t>
  </si>
  <si>
    <t>user5#$</t>
  </si>
  <si>
    <t>byeongju@hanmail.net</t>
  </si>
  <si>
    <t>010-9963-8773</t>
  </si>
  <si>
    <t>민복기</t>
  </si>
  <si>
    <t>user6</t>
  </si>
  <si>
    <t>user6#$</t>
  </si>
  <si>
    <t>bokgi@naver.com</t>
  </si>
  <si>
    <t>010-3573-5243</t>
  </si>
  <si>
    <t>조예범</t>
  </si>
  <si>
    <t>user7</t>
  </si>
  <si>
    <t>user7#$</t>
  </si>
  <si>
    <t>yebeom@yahoo.com</t>
  </si>
  <si>
    <t>010-9348-3694</t>
  </si>
  <si>
    <t>이만호</t>
  </si>
  <si>
    <t>user8</t>
  </si>
  <si>
    <t>user8#$</t>
  </si>
  <si>
    <t>manho@kebi.com</t>
  </si>
  <si>
    <t>010-2375-2469</t>
  </si>
  <si>
    <t>고영창</t>
  </si>
  <si>
    <t>user9</t>
  </si>
  <si>
    <t>user9#$</t>
  </si>
  <si>
    <t>yeongchang@korea.com</t>
  </si>
  <si>
    <t>010-2491-9311</t>
  </si>
  <si>
    <t>양종훈</t>
  </si>
  <si>
    <t>user10</t>
  </si>
  <si>
    <t>user10#$</t>
  </si>
  <si>
    <t>jonghun@empal.com</t>
  </si>
  <si>
    <t>010-2868-2851</t>
  </si>
  <si>
    <t>김은숙</t>
  </si>
  <si>
    <t>user11</t>
  </si>
  <si>
    <t>user11#$</t>
  </si>
  <si>
    <t>eunsuk@gmail.com</t>
  </si>
  <si>
    <t>010-4248-6514</t>
  </si>
  <si>
    <t>전형우</t>
  </si>
  <si>
    <t>user12</t>
  </si>
  <si>
    <t>user12#$</t>
  </si>
  <si>
    <t>hyeongu@yahoo.com</t>
  </si>
  <si>
    <t>010-8523-8283</t>
  </si>
  <si>
    <t>박근태</t>
  </si>
  <si>
    <t>user13</t>
  </si>
  <si>
    <t>user13#$</t>
  </si>
  <si>
    <t>geuntae@kebi.com</t>
  </si>
  <si>
    <t>010-2876-3598</t>
  </si>
  <si>
    <t>손현우</t>
  </si>
  <si>
    <t>user14</t>
  </si>
  <si>
    <t>user14#$</t>
  </si>
  <si>
    <t>hyeonu@nate.com</t>
  </si>
  <si>
    <t>010-2864-3778</t>
  </si>
  <si>
    <t>이민혁</t>
  </si>
  <si>
    <t>user15</t>
  </si>
  <si>
    <t>user15#$</t>
  </si>
  <si>
    <t>minhyeok@gmail.com</t>
  </si>
  <si>
    <t>010-2857-5226</t>
  </si>
  <si>
    <t>유기현</t>
  </si>
  <si>
    <t>user16</t>
  </si>
  <si>
    <t>user16#$</t>
  </si>
  <si>
    <t>gihyeon@korea.com</t>
  </si>
  <si>
    <t>010-1944-4414</t>
  </si>
  <si>
    <t>채형원</t>
  </si>
  <si>
    <t>user17</t>
  </si>
  <si>
    <t>user17#$</t>
  </si>
  <si>
    <t>hyeongwon@nate.com</t>
  </si>
  <si>
    <t>010-2478-8112</t>
  </si>
  <si>
    <t>이주헌</t>
  </si>
  <si>
    <t>user18</t>
  </si>
  <si>
    <t>user18#$</t>
  </si>
  <si>
    <t>juheon@hanmail.com</t>
  </si>
  <si>
    <t>010-6112-9161</t>
  </si>
  <si>
    <t>임창균</t>
  </si>
  <si>
    <t>user19</t>
  </si>
  <si>
    <t>user19#$</t>
  </si>
  <si>
    <t>changgyun@empal.com</t>
  </si>
  <si>
    <t>010-2819-9442</t>
  </si>
  <si>
    <t>김혜윤</t>
  </si>
  <si>
    <t>user20</t>
  </si>
  <si>
    <t>user20#$</t>
  </si>
  <si>
    <t>hyeyun@yahoo.com</t>
  </si>
  <si>
    <t>010-3288-2583</t>
  </si>
  <si>
    <t>주단태</t>
  </si>
  <si>
    <t>user21</t>
  </si>
  <si>
    <t>user21#$</t>
  </si>
  <si>
    <t>cantae@nate.com</t>
  </si>
  <si>
    <t>010-6975-4995</t>
  </si>
  <si>
    <t>은단오</t>
  </si>
  <si>
    <t>user22</t>
  </si>
  <si>
    <t>user22#$</t>
  </si>
  <si>
    <t>dano@gmail.com</t>
  </si>
  <si>
    <t>010-7584-8619</t>
  </si>
  <si>
    <t>최서원</t>
  </si>
  <si>
    <t>user23</t>
  </si>
  <si>
    <t>user23#$</t>
  </si>
  <si>
    <t>seowon@naver.com</t>
  </si>
  <si>
    <t>010-9614-5844</t>
  </si>
  <si>
    <t>진예은</t>
  </si>
  <si>
    <t>user24</t>
  </si>
  <si>
    <t>user24#$</t>
  </si>
  <si>
    <t>yeeun@naver.com</t>
  </si>
  <si>
    <t>010-9754-3179</t>
  </si>
  <si>
    <t>주석훈</t>
  </si>
  <si>
    <t>user25</t>
  </si>
  <si>
    <t>user25#$</t>
  </si>
  <si>
    <t>seokhun@hanmail.com</t>
  </si>
  <si>
    <t>010-7615-9673</t>
  </si>
  <si>
    <t>이재욱</t>
  </si>
  <si>
    <t>user26</t>
  </si>
  <si>
    <t>user26#$</t>
  </si>
  <si>
    <t>jaeuk@empal.com</t>
  </si>
  <si>
    <t>010-9773-4511</t>
  </si>
  <si>
    <t>김영대</t>
  </si>
  <si>
    <t>user27</t>
  </si>
  <si>
    <t>user27#$</t>
  </si>
  <si>
    <t>yeongdae@kebi.com</t>
  </si>
  <si>
    <t>010-6258-1824</t>
  </si>
  <si>
    <t>심수련</t>
  </si>
  <si>
    <t>user28</t>
  </si>
  <si>
    <t>user28#$</t>
  </si>
  <si>
    <t>suryeon@gmail.com</t>
  </si>
  <si>
    <t>010-9993-7478</t>
  </si>
  <si>
    <t>천서진</t>
  </si>
  <si>
    <t>user29</t>
  </si>
  <si>
    <t>user29#$</t>
  </si>
  <si>
    <t>seojin@yahoo.com</t>
  </si>
  <si>
    <t>010-3884-6632</t>
  </si>
  <si>
    <t>오윤희</t>
  </si>
  <si>
    <t>user30</t>
  </si>
  <si>
    <t>user30#$</t>
  </si>
  <si>
    <t>yunhui@hanmail.net</t>
  </si>
  <si>
    <t>010-7152-4342</t>
  </si>
  <si>
    <t>종목</t>
  </si>
  <si>
    <t>등급</t>
  </si>
  <si>
    <t>접수마감</t>
  </si>
  <si>
    <t>발표일자</t>
  </si>
  <si>
    <t>문항수</t>
  </si>
  <si>
    <t>합격결정기준</t>
  </si>
  <si>
    <t>접수비</t>
  </si>
  <si>
    <t>제한시간</t>
  </si>
  <si>
    <t>워드프로세서</t>
  </si>
  <si>
    <t>단일</t>
  </si>
  <si>
    <t>시험일 4일전까지</t>
  </si>
  <si>
    <t>익일</t>
  </si>
  <si>
    <t>10문항</t>
  </si>
  <si>
    <t>60점 이상</t>
  </si>
  <si>
    <t>30분</t>
  </si>
  <si>
    <t>컴퓨터활용능력</t>
  </si>
  <si>
    <t>1급</t>
  </si>
  <si>
    <t>시험일 5일전까지</t>
  </si>
  <si>
    <t>당일날</t>
  </si>
  <si>
    <t>70점 이상</t>
  </si>
  <si>
    <t>2급</t>
  </si>
  <si>
    <t>비서</t>
  </si>
  <si>
    <t>시험일 9일전까지</t>
  </si>
  <si>
    <t>80점 이상</t>
  </si>
  <si>
    <t>40분</t>
  </si>
  <si>
    <t>3급</t>
  </si>
  <si>
    <t>종목번호</t>
  </si>
  <si>
    <t>회차</t>
  </si>
  <si>
    <t>접수일</t>
  </si>
  <si>
    <t>시험일자</t>
  </si>
  <si>
    <t>시험시간</t>
  </si>
  <si>
    <t>합격률</t>
  </si>
  <si>
    <t>회원번호</t>
  </si>
  <si>
    <t>일정번호</t>
  </si>
  <si>
    <t>접수일자</t>
  </si>
  <si>
    <t>점수</t>
  </si>
  <si>
    <t>합격여부</t>
  </si>
  <si>
    <t>불합격</t>
  </si>
  <si>
    <t>합격</t>
  </si>
  <si>
    <t>문제</t>
  </si>
  <si>
    <t>정답</t>
  </si>
  <si>
    <t>다음 중 워드프로세서에서 사용하는 기본 용어에 관한 설명으로 옳지 않은 것은?</t>
  </si>
  <si>
    <t xml:space="preserve">다음 중 워드프로세서에서 매크로(Macro)에 대한 설명으로 옳지 않은 것은? </t>
  </si>
  <si>
    <t xml:space="preserve">다음 중 KS X 1005-1(유니코드)에 대한 설명으로 옳지 않은 것은? </t>
  </si>
  <si>
    <t xml:space="preserve">다음 중 워드프로세서에서 특정 내용을 검색하기 위한 찾기 기능의 설명으로 옳지 않은 것은? </t>
  </si>
  <si>
    <t xml:space="preserve">다음 중 한글 워드프로세서의 문서파일 저장 기능에 관한설명으로 옳지 않은 것은? </t>
  </si>
  <si>
    <t xml:space="preserve">다음 중 머리말과 꼬리말에 대한 설명으로 옳지 않은 것은? </t>
  </si>
  <si>
    <t xml:space="preserve">다음 중 워드프로세서의 인쇄 기능에 대한 설명으로 옳지 않은 것은? </t>
  </si>
  <si>
    <t xml:space="preserve">다음 중 전자 출판과 관련된 용어에서 커닝(Kerning)에 관한 설명으로 옳은 것은? </t>
  </si>
  <si>
    <t xml:space="preserve">다음 중 문서의 기능으로 가장 거리가 먼 것은? </t>
  </si>
  <si>
    <t xml:space="preserve">다음 중 보고서 작성 시 유의해야 할 사항으로 옳지 않은 것은? </t>
  </si>
  <si>
    <t>다음 중 문서 작성 시 유의사항으로 옳지 않은 것은?</t>
  </si>
  <si>
    <t>다음 중 문서의 수정을 위한 교정 부호의 표기법으로 옳지 않은 것은?</t>
  </si>
  <si>
    <t>다음 중 문서관리에 대한 내용으로 가장 거리가 먼 것은?</t>
  </si>
  <si>
    <t>다음 중 문서 파일링 시스템의 도입효과와 관련이 없는 것은?</t>
  </si>
  <si>
    <t>다음 중 전자문서에 대한 설명으로 적당하지 않은 것은?</t>
  </si>
  <si>
    <t>다음은 문서의 발송에 대한 설명이다. 옳지 않은 것은?</t>
  </si>
  <si>
    <t>다음 중 공문서 작성에 관한 설명으로 옳지 않은 것은?</t>
  </si>
  <si>
    <t>다음 중 한글 Windows 7의 도움말 및 지원 기능에 관한 설명으로 옳지 않은 것은?</t>
  </si>
  <si>
    <t>다음 중 한글 Windows 7에서 부팅 시 고급 옵션에서 지원하는 부팅 모드에 대한 설명으로 옳은 것은?</t>
  </si>
  <si>
    <t>다음 중 한글 Windows 7에서 제공하는 기능에 대한 설명으로 옳지 않은 것은?</t>
  </si>
  <si>
    <t>다음 중 한글 Windows 7의 작업 표시줄에 대한 설명으로 옳지 않은 것은?</t>
  </si>
  <si>
    <t>다음 중 한글 Windows 7에서 바탕화면의 바로가기 메뉴를 사용하여 할 수 있는 작업으로 옳지 않은 것은?</t>
  </si>
  <si>
    <t>다음 중 한글 Windows 7의 [폴더 옵션]의 '보기' 탭에서 할 수 없는 기능은?</t>
  </si>
  <si>
    <t>다음 중 한글 Windows 7에서 파일이나 폴더를 삭제할 수 없는 경우에 대한 설명으로 옳은 것은?</t>
  </si>
  <si>
    <t>다음 중 한글 Windows 7의 탐색기나 폴더 창의 우측 상단에 표시되는 검색 상자의 사용 방법에 관한 설명으로 옳지 않은 것은?</t>
  </si>
  <si>
    <t>다음 중 한글 Windows 7의 캡처 도구에 대한 설명으로 옳지 않은 것은?</t>
  </si>
  <si>
    <t>다음 중 한글 Windows 7에서 파일이나 폴더의 압축 프로그램을 사용할 때 장점으로 옳지 않은 것은?</t>
  </si>
  <si>
    <t>다음 중 한글 Windows 7에서 설치된 프린터의 바로가기 메뉴에 있는 [프린터 속성]을 선택하여 표시되는 프린터 속성 상자에 대한 설명으로 옳지 않은 것은?</t>
  </si>
  <si>
    <t>다음 중 한글 Windows 7의 [접근성 센터] 창에서 수행 가능한 작업에 대한 설명으로 옳지 않은 것은?</t>
  </si>
  <si>
    <t>다음 중 한글 Windows 7에서 제공하는 [Windows 방화벽]에 대한 설명으로 옳지 않은 것은?</t>
  </si>
  <si>
    <t>다음 중 한글 Windows 7에서 사용할 수 있는 웹 브라우저의 기능에 관한 설명으로 옳지 않은 것은?</t>
  </si>
  <si>
    <t>다음 중 한글 Windows 7에서 인쇄가 전혀 되지 않는 경우에 취해야 할 조치로 옳지 않은 것은?</t>
  </si>
  <si>
    <t>다음 중 한글 Windows 7의 [프로그램 및 기능] 창에서 할 수 있는 작업으로 옳지 않은 것은?</t>
  </si>
  <si>
    <t>다음 중 한글 Windows 7에서 라이브러리에 대한 설명으로 옳지 않은 것은?</t>
  </si>
  <si>
    <t>한글 Windows 7의 [네트워크 및 공유 센터]에서 '네트워크 설정 변경'과 가장 관련이 없는 항목은?</t>
  </si>
  <si>
    <t>다음 중 한글 Windows 7에서 공유에 대한 설명으로 옳지 않은 것은?</t>
  </si>
  <si>
    <t>다음 중 데이터의 크기에 대한 설명으로 옳지 않은 것은?</t>
  </si>
  <si>
    <t>다음 중 아날로그 컴퓨터에 대한 설명으로 옳지 않은 것은?</t>
  </si>
  <si>
    <t>다음 중 연산 장치의 구성요소에 대한 설명으로 옳은 것은?</t>
  </si>
  <si>
    <t>다음 중 CISC 마이크로프로세서에 대한 설명으로 옳지 않은 것은?</t>
  </si>
  <si>
    <t>다음 중 컴퓨터에서 사용하는 캐시 메모리에 관한 설명으로 옳은 것은?</t>
  </si>
  <si>
    <t>다음 중 복잡한 여러 기종의 컴퓨팅 환경에서 응용 프로그램과 운영체제의 차이를 보완해 주고, 서버와 클라이언트들을 중간에서 연결해 주는 소프트웨어로 옳은 것은?</t>
  </si>
  <si>
    <t>다음 중 컴퓨터의 운영체제를 구성하는 제어 프로그램의 역할에 관한 설명으로 옳지 않은 것은?</t>
  </si>
  <si>
    <t>다음 중 컴퓨터의 시스템 관리에 관한 설명으로 옳지 않은 것은?</t>
  </si>
  <si>
    <t>다음 중 멀티미디어 파일 포맷에 대한 설명으로 옳지 않은 것은?</t>
  </si>
  <si>
    <t>하이퍼텍스트에 문자 이외의 그래픽, 사운드, 동영상 등의 멀티미디어 정보를 연결해 놓은 형식을 무엇이라고 하는가?</t>
  </si>
  <si>
    <t>다음 중 정보통신을 위하여 사용되는 광섬유 케이블에 관한 설명으로 옳지 않은 것은?</t>
  </si>
  <si>
    <t>다음 중 컴퓨터 바이러스의 감염 증상으로 옳지 않은 것은?</t>
  </si>
  <si>
    <t>다음 중 네트워크에서 데이터 전달의 흐름을 방해하여 가용성에 영향을 미치는 컴퓨터 시스템의 정보 보안 위협 유형으로 옳은 것은?</t>
  </si>
  <si>
    <t>다음 중 인터넷 관련 용어의 설명으로 옳지 않은 것은?</t>
  </si>
  <si>
    <t>디지털 콘텐츠의 불법복제와 유포를 막고 저작권 보유자의 이익과 권리를 보호해주는 기술과 서비스를 무엇이라고 하는가?</t>
  </si>
  <si>
    <t>다음 중 아웃룩(Outlook)에서 메일 관리에 대한 설명으로 옳지 않은 것은?</t>
  </si>
  <si>
    <t>다음 중 개인정보보호에 관한 설명으로 옳지 않은 것은?</t>
  </si>
  <si>
    <t>다음 중 컴퓨터 및 정보기기에서 사용하는 펌웨어(Firmware)에 관한 설명으로 옳은 것은?</t>
  </si>
  <si>
    <t>다음 중 수의 표현에 있어 진법에 대한 설명으로 옳지 않은 것은?</t>
  </si>
  <si>
    <t>다음 중 정보 보안을 위한 비밀키 암호화 기법의 설명으로 옳지 않은 것은?</t>
  </si>
  <si>
    <t>다음 중 시스템 보안을 위해 사용하는 방화벽(Firewall)에 대한 설명으로 적절하지 않은 것은?</t>
  </si>
  <si>
    <t>다음 중 Windows 운영체제에서의 백업과 복원에 관한설명으로 옳지 않은 것은?</t>
  </si>
  <si>
    <t>다음 중 스마트폰을 모뎀처럼 활용하는 방법으로, 컴퓨터나 노트북 등의 IT 기기를 스마트폰에 연결하여 무선 인터넷을 사용할 수 있게 하는 기능은?</t>
  </si>
  <si>
    <t>다음 중 네트워크 관련 장비로 브리지(Bridge)에 관한설명으로 옳지 않은 것은?</t>
  </si>
  <si>
    <t>다음 중 인터넷 기반 기술을 이용하여 기업들이 외부 보안을 유지한 상태에서 협력 업체 간의 효율적인 업무처리를 위해 사용하는 네트워크로 옳은 것은?</t>
  </si>
  <si>
    <t>다음 중 TCP/IP 프로토콜에서 IP 프로토콜의 개요 및 기능에 관한 설명으로 옳은 것은?</t>
  </si>
  <si>
    <t>다음 중 디지털 콘텐츠의 생성·거래·전달·관리 등 전체 과정을 관리할 수 있는 기술로 멀티미디어 프레임워크의 MPEG 표준은?</t>
  </si>
  <si>
    <t>다음 중 GIF 파일 형식에 대한 설명으로 옳지 않은 것은?</t>
  </si>
  <si>
    <t>다음 중 Windows의 [제어판] - [장치 및 프린터]에 표시되지 않는 것은?</t>
  </si>
  <si>
    <t>다음 중 컴퓨터의 제어장치에 있는 부호기(Encoder) 레지스터에 관한 설명으로 옳은 것은?</t>
  </si>
  <si>
    <t>다음 중 Windows에서 바로 가기 아이콘에 관한 설명으로 옳지 않은 것은?</t>
  </si>
  <si>
    <t>다음 중 Windows에서 파일이나 폴더, 프린터, 드라이브 등 컴퓨터 자원의 공유에 관한 설명으로 옳지 않은 것은?</t>
  </si>
  <si>
    <t xml:space="preserve">다음 중 출력장치인 디스플레이 어댑터와 모니터에 관련된 용어의 설명으로 옳지 않은 것은? </t>
  </si>
  <si>
    <t>다음 중 컴퓨터에서 사용하는 기억장치에 관한 설명으로 옳지 않은 것은?</t>
  </si>
  <si>
    <t>다음 중 패치(Patch) 버전 소프트웨어에 관한 설명으로 옳은 것은?</t>
  </si>
  <si>
    <t>다음 중 컴퓨터에서 사용하는 압축 프로그램에 관한 설명으로 옳지 않은 것은?</t>
  </si>
  <si>
    <t>다음 중 Windows에서 바탕 화면의 바로 가기 메뉴에 관한 설명으로 옳지 않은 것은?</t>
  </si>
  <si>
    <t>다음 중 피벗 테이블에 대한 설명으로 옳지 않은 것은?</t>
  </si>
  <si>
    <t>다음 중 데이터가 입력되어 있는 연속된 셀 범위를 선택하는 방법으로 옳지 않은 것은?</t>
  </si>
  <si>
    <t>다음 중 [외부 데이터 가져오기] 기능에 대한 설명으로 옳지 않은 것은?</t>
  </si>
  <si>
    <t>다음 중 [찾기 및 바꾸기] 대화상자에 대한 설명으로 옳지 않은 것은?</t>
  </si>
  <si>
    <t>다음 중 엑셀에서 날짜 데이터의 입력 방법에 대한 설명으로 옳지 않은 것은?</t>
  </si>
  <si>
    <t>다음 중 매크로 편집 및 삭제에 대한 설명으로 옳지 않은 것은?</t>
  </si>
  <si>
    <t>다음 중 통합 문서에 대한 설명으로 옳지 않은 것은?</t>
  </si>
  <si>
    <t>다음 중 셀에 수식을 입력하는 방법에 대한 설명으로 옳지 않은 것은?</t>
  </si>
  <si>
    <t xml:space="preserve">다음 중 엑셀의 상태 표시줄에 대한 설명으로 옳지 않은 것은? </t>
  </si>
  <si>
    <t>다음 중 차트의 편집에 대한 설명으로 옳지 않은 것은?</t>
  </si>
  <si>
    <t>다음 중 엑셀의 인쇄 기능에 대한 설명으로 옳지 않은 것은?</t>
  </si>
  <si>
    <t>다음 중 관계형 데이터베이스 모델에 대한 설명으로 옳지 않은 것은?</t>
  </si>
  <si>
    <t xml:space="preserve">다음 중 입력 마스크 설정에 사용하는 사용자 정의 입력 마스크 기호에 대한 설명으로 옳은 것은? </t>
  </si>
  <si>
    <t>다음 중 데이터를 입력 또는 삭제 시 이상(anomaly) 현상이 일어나지 않도록 데이터베이스를 설계하기 위한 기술을 의미하는 용어는?</t>
  </si>
  <si>
    <t>다음 중 [관계 편집] 대화 상자에 대한 설명으로 옳지 않은 것은?</t>
  </si>
  <si>
    <t>다음 중 테이블의 필드 속성 설정 시 사용하는 인덱스에 관한 설명으로 옳지 않은 것은?</t>
  </si>
  <si>
    <t>다음 중 테이블의 [디자인 보기]에서 설정 가능한 작업에 해당하지 않는 것은?</t>
  </si>
  <si>
    <t xml:space="preserve">다음 중 보고서에서 '텍스트 상자' 컨트롤의 속성 설정에 대한 설명으로 옳지 않은 것은? </t>
  </si>
  <si>
    <t>다음 중 보고서에서 [페이지 번호] 대화 상자를 이용한 페이지 번호 설정에 대한 설명으로 옳지 않은 것은?</t>
  </si>
  <si>
    <t>다음 중 서류봉투에 초대장을 넣어 발송하려는 경우 우편물에 사용할 수신자의 주소를 프린트하기에 가장 적합한 보고서는?</t>
  </si>
  <si>
    <t>다음 중 폼 작성에 대한 설명으로 옳지 않은 것은?</t>
  </si>
  <si>
    <t>다음 중 폼의 모달 속성에 관한 설명으로 옳지 않은 것은?</t>
  </si>
  <si>
    <t>다음 중 보고서에 대한 설명으로 옳지 않은 것은?</t>
  </si>
  <si>
    <t>다음 중 분할 표시 폼에 대한 설명으로 옳지 않은 것은?</t>
  </si>
  <si>
    <t>다음 중 매크로 함수에 대한 설명으로 옳지 않은 것은?</t>
  </si>
  <si>
    <t>다음 중 하위 폼에 대한 설명으로 옳지 않은 것은?</t>
  </si>
  <si>
    <t>다음 중 JPEG 표준에 대한 설명으로 옳지 않은 것은?</t>
  </si>
  <si>
    <t>다음 중 컴퓨터 바이러스의 예방법으로 가장 거리가 먼 것은?</t>
  </si>
  <si>
    <t>다음 중 네트워크 장비와 관련하여 라우터에 관한 설명으로 옳은 것은?</t>
  </si>
  <si>
    <t>다음 중 인터넷을 수동으로 연결하기 위하여 지정해야 할 TCP/IP 구성요소로 옳지 않은 것은?</t>
  </si>
  <si>
    <t>다음 중 Windows에서 사용하는 바로 가기 키에 관한설명으로 옳지 않은 것은?</t>
  </si>
  <si>
    <t>다음 중 라디오와 같이 한쪽은 송신만, 다른 한쪽은 수신만 가능한 정보 전송 방식은?</t>
  </si>
  <si>
    <t>다음 중 Windows Update가 속한 사용권에 따른 소프트웨어 분류 유형으로 가장 적절한 것은?</t>
  </si>
  <si>
    <t>다음 중 차세대 웹 표준으로 텍스트와 하이퍼링크를 이용한 문서 작성 중심으로 구성된 기존 표준에 비디오, 오디오 등의 다양한 부가기능을 추가하여 최신 멀티미디어 콘텐츠를 ActiveX 없이도 웹 서비스로 제공할 수있는 언어는?</t>
  </si>
  <si>
    <t>다음 중 파일이나 폴더를 복사하거나 이동하는 방법으로 옳지 않은 것은?</t>
  </si>
  <si>
    <t>다음 중 Windows의 에어로 피크(Aero Peek) 기능에 대한 설명으로 옳은 것은?</t>
  </si>
  <si>
    <t>다음 중 정보 보안을 위협하는 유형에서 가로채기에 해당하는 것은?</t>
  </si>
  <si>
    <t>다음 중 Windows [제어판]의 [접근성 센터]에서 설정할 수 없는 기능은?</t>
  </si>
  <si>
    <t>다음 중 삭제된 파일이 [휴지통]에 임시 보관되어 복원이 가능한 경우는?</t>
  </si>
  <si>
    <t>다음 중 영상신호와 음향신호를 압축하지 않고 통합하여 전송하는 고선명 멀티미디어 인터페이스로 S-비디오, 컴포지트 등의 아날로그 케이블보다 고품질의 음향 및 영상을 감상할 수 있는 것은?</t>
  </si>
  <si>
    <t>다음 중 컴퓨터에서 사용하는 레이저 프린터에 관한 설명으로 옳지 않은 것은?</t>
  </si>
  <si>
    <t>다음 중 소형화, 경량화를 비롯해 음성과 동작인식 등 다양한 기술이 적용되어 장소에 구애받지 않고 컴퓨터를 활용할 수 있도록 몸에 착용하는 컴퓨터를 의미하는 것은?</t>
  </si>
  <si>
    <t xml:space="preserve">다음 중 인터넷에서 웹 서버와 사용자의 인터넷 브라우저 사이에 하이퍼텍스트 문서를 전송하기 위해 사용되는 통신 규약은? </t>
  </si>
  <si>
    <t>다음 중 [시트 보호] 기능에 대한 설명으로 옳지 않은 것은?</t>
  </si>
  <si>
    <t>다음 중 새 워크시트에서 보기의 내용을 그대로 입력 하였을 때, 입력한 내용이 텍스트로 인식되지 않는 것은?</t>
  </si>
  <si>
    <t>다음 중 [페이지 설정] 대화상자의 [시트] 탭에 대한 설명으로 옳은 것은?</t>
  </si>
  <si>
    <t>다음 중 막대형 차트에서 각 데이터 계열을 그림으로 표시하는 방법으로 옳지 않은 것은?</t>
  </si>
  <si>
    <t>다음 중 매크로의 바로 가기 키에 대한 설명으로 옳지 않은 것은?</t>
  </si>
  <si>
    <t>다음 중 '페이지 나누기'에 대한 설명으로 옳지 않은 것은?</t>
  </si>
  <si>
    <t>다음 비서의 자질과 태도에 관한 설명 중 가장 적합하지 않은 것은?</t>
  </si>
  <si>
    <t>아래는 전문 분야에서 일하고 있는 비서들의 경력개발 사례이다. 가장 적절한 것은?</t>
  </si>
  <si>
    <t>다음 중 전화응대 대화 내용으로 가장 적절한 것은?</t>
  </si>
  <si>
    <t>다음 중 회의 용어를 올바르게 사용하지 못한 것은?</t>
  </si>
  <si>
    <t>상공기획(주) 이영준 대표이사는 중요한 업무 파트너인 서준희 회장님과 중식당에서 오찬을 마친 후 회사 회의실에서 1시간 정도 실무진 임원과 함께 미팅 예정이다. 김미소 비서가 내방객을 맞이하기 위한 준비 업무로 가장 적절치 않은 것은?</t>
  </si>
  <si>
    <t>사무실에 자주 내방하시던 상사의 오랜 지인이 어느 날 강 비서에게 늘 도와줘서 감사하다며 함께 점심 식사를 하자고 하신다. 이에 대처하는 강 비서의 태도로 가장 바람직한 것을 고르시오.</t>
  </si>
  <si>
    <t>다음 중 상사의 교통편을 예약할 시, 가장 적절한 업무 태도는?</t>
  </si>
  <si>
    <t>상사가 출장 출발 전에 비서가 확인해야 할 사항으로 가장 적절하지 않은 것은?</t>
  </si>
  <si>
    <t>회사 50주년을 축하하는 기념식 행사를 준비하는 비서가 행사장의 좌석배치 계획을 수립할 때 다음 중 가장 부적절한 것은?</t>
  </si>
  <si>
    <t>다음 중 한자어가 잘못 기입된 것은?</t>
  </si>
  <si>
    <t>초청장에 명시된 복장규정의 설명이 맞지 않는 것은?</t>
  </si>
  <si>
    <t>다음 중 보고 업무를 수행하고 있는 비서의 자세로 가장 적절하지 않은 것은?</t>
  </si>
  <si>
    <t>국회의원 비서로 일하고 있는 비서 A씨는 상사 의정 활동 홍보업무를 하고 있다. 다음 중 가장 적절한 것은?</t>
  </si>
  <si>
    <t>김비서의 업무용 프린터가 갑자기 고장 났다. 업무 지연을 방지하기 위하여 서둘러 구매하려고 한다. 다음 중 바르지 않은 것은?</t>
  </si>
  <si>
    <t>외국에서 중요한 손님이 우리 회사를 방문할 때 비서의 의전관련 업무 수행 시 적절하지 않은 것은?</t>
  </si>
  <si>
    <t>기업의 다양한 이해관계자에 대한 설명으로 가장 옳은 것은?</t>
  </si>
  <si>
    <t>다음 중 기업의 공유가치창출(CSV) 활동의 사례로 보기에 가장 적절한 것은?</t>
  </si>
  <si>
    <t>다음 중 협동조합에 관한 설명으로 가장 적절한 것은?</t>
  </si>
  <si>
    <t>협상을 통해 두 기업이 하나로 합치는 인수 합병(M&amp;A)은 '실사 – 협상 – 계약 – 합병후 통합' 과정을 거치는 데, 각 단계에 대한 설명으로 가장 옳은 것은?</t>
  </si>
  <si>
    <t>다음 중 기업의 외부환경분석 중 포터(M. Porter)의 산업구조 분석모형에서 다섯 가지 세력(5-Forces)에 해당하지 않는 것은?</t>
  </si>
  <si>
    <t>대기업과 비교할 때 중소기업의 특징에 대한 다음 설명 중 가장 옳지 않은 것은?</t>
  </si>
  <si>
    <t>경영 조직화의 설명 중 가장 거리가 먼 것은?</t>
  </si>
  <si>
    <t>다음 중 조직구조의 유형에 관한 설명으로 가장 적합하지 않은 것은?</t>
  </si>
  <si>
    <t>민쯔버그가 제시한 경영자의 역할 중에서 종업원을 동기부여하는 역할로서 가장 적절한 것은?</t>
  </si>
  <si>
    <t>다음 중 리더십이론에 대한 설명으로 가장 적절하지 않은 것은?</t>
  </si>
  <si>
    <t>다음 중 유한회사의 설명으로 가장 거리가 먼 것은?</t>
  </si>
  <si>
    <t>경영의사결정이 어려운 이유를 설명한 것 중 가장 거리가 먼 것은?</t>
  </si>
  <si>
    <t>BSC(Balanced Score Card) 인사평가에서 균형이란 성과평가에서 재무적·비재무적 성과를 모두 균형있게 고려한다는 것이다. 재무적 성과와 비재무적 성과를 고려하는 BSC 평가관점이 아닌 것은?</t>
  </si>
  <si>
    <t>다음 중 기업에서 활용되는 다양한 마케팅 활동에 대한 설명으로 가장 적합하지 않은 것은?</t>
  </si>
  <si>
    <t>은행이 고객으로부터 받은 예금 중에서 중앙은행에 의무적으로 적립해야 하는 비율을 일컫는 용어는?</t>
  </si>
  <si>
    <t>Which pair is NOT proper?</t>
  </si>
  <si>
    <t>Choose the one which does NOT correctly explain the abbreviations.</t>
  </si>
  <si>
    <t>Choose the sentence which does NOT have a grammatical error.</t>
  </si>
  <si>
    <t>What is LEAST proper as a phrase for ending the conference?</t>
  </si>
  <si>
    <t>다음은 공문서 작성 시 항목(1., 2., 3., 4., …)을 구분하여 작성하는 방법이다. 항목 작성 시 표시위치와 띄어쓰기에 관한 설명이 가장 적절하지 않은 것은?</t>
  </si>
  <si>
    <t>다음 중 문서의 종류에 대한 설명이 가장 적절하지 못한 것은?</t>
  </si>
  <si>
    <t>다음 중 문장부호의 사용이 가장 올바르지 않은 것은?</t>
  </si>
  <si>
    <t>다음 전자문서에 대한 설명으로 가장 올바르지 않은 것은?</t>
  </si>
  <si>
    <t>공공기관의 전자문서에 대한 설명이 가장 적절하지 않은 것은?</t>
  </si>
  <si>
    <t>프레젠테이션을 위한 올바른 슬라이드 작성 방법으로 가장 적절하지 않은 것은?</t>
  </si>
  <si>
    <t>다음 비서의 정보 수집 방법이 가장 적절하지 않은 것은?</t>
  </si>
  <si>
    <t>사물인터넷에 대한 설명으로 잘못된 것은?</t>
  </si>
  <si>
    <t>다음은 USB 인터페이스에 대한 설명이다. 가장 적절하지 못한 것은?</t>
  </si>
  <si>
    <t>아래의 애플리케이션 중 그 성격이 다른 한 가지는?</t>
  </si>
  <si>
    <t>다음 중 비서 업무에 대한 설명으로 가장 적절한 것은?</t>
  </si>
  <si>
    <t>다음은 현직 비서들의 자기개발 사례이다. 다음 중 가장 바람직하지 않은 것은?</t>
  </si>
  <si>
    <t>상사가 열흘간의 출장 후 복귀한 경우, 비서의 전화 관련 업무태도로 가장 부적절한 것은?</t>
  </si>
  <si>
    <t>다음 중 비서의 직장 내 인간관계에 대한 설명으로 가장 적절하지 않은 것은?</t>
  </si>
  <si>
    <t>다음 중 비서의 내방객 안내 자세로 가장 적절한 것은?</t>
  </si>
  <si>
    <t>다음 중 의전의 원칙 5R을 설명한 것으로 옳지 않은 것은?</t>
  </si>
  <si>
    <t>강비서는 컴퓨터 일정관리 소프트웨어와 스마트폰의 일정 관리 어플리케이션을 연동하여 상사의 일정을 관리하고 있다. 이에 대한 설명으로 옳지 않은 것은?</t>
  </si>
  <si>
    <t>골프장 예약 업무 중 중요도가 가장 낮은 것은?</t>
  </si>
  <si>
    <t>상사의 출장일정표 작성 업무에 관하여 가장 올바르게 설명한 것은?</t>
  </si>
  <si>
    <t>다음 중 가장 올바른 화법은?</t>
  </si>
  <si>
    <t>상사 해외 출장 시 선물을 준비할 때 고려해야 할 사항으로 잘못된 것은?</t>
  </si>
  <si>
    <t>다음 중 올바른 한자로 짝지어진 것은?</t>
  </si>
  <si>
    <t>다음 중 보고 업무 자세로 가장 적절하지 않은 것은?</t>
  </si>
  <si>
    <t>비서의 상사 이력서 관리 원칙으로 가장 적절하지 않은 것은?</t>
  </si>
  <si>
    <t>비서의 경비처리업무에 대한 설명으로 가장 적절하지 않은 것은?</t>
  </si>
  <si>
    <t>주식회사의 장점에 대한 설명으로 가장 거리가 먼 것은?</t>
  </si>
  <si>
    <t>다음은 기업의 외부환경 상황을 기술한 것이다. 이 중 기업간 경쟁구도분석에서 치열한 경쟁강도를 나타내는 경우로 가장 거리가 먼 것은?</t>
  </si>
  <si>
    <t>다음 중 기업형태에 대한 설명으로 가장 옳은 것은?</t>
  </si>
  <si>
    <t xml:space="preserve">  다음은 대기업에 비해 상대적으로 중소기업이 겪는 어려움을 기술한 것이다. 이 중, 중소기업만의 어려움으로 보기에 가장 적합하지 않은 것은? </t>
  </si>
  <si>
    <t>다음 중 경영관리 과정을 순서대로 알맞게 배열한 것은?</t>
  </si>
  <si>
    <t>다음 중 기업의 사회적 책임에 대한 설명으로 가장 거리가 먼 것은?</t>
  </si>
  <si>
    <t>다음 중 조직형태에 대한 설명으로 가장 적합하지 않은 것은?</t>
  </si>
  <si>
    <t>다음 중 매슬로우(Maslow)의 욕구단계이론을 저차원에서 고차원의 단계별로 나열한 것으로 가장 적합한 것은?</t>
  </si>
  <si>
    <t>다음은 리더십의 개념과 리더십 스타일에 대한 설명을 나열한 것이다. 이 중 가장 옳지 않은 설명은?</t>
  </si>
  <si>
    <t>다음 중 인사관리에서 지켜야 할 주요 원칙으로 가장 거리가 먼 것은?</t>
  </si>
  <si>
    <t>가격관리 전략 중 기준가격의 설정내용으로 가장 거리가 먼 것은?</t>
  </si>
  <si>
    <t>다음 중 복리후생에 관련 설명으로 가장 옳은 것은?</t>
  </si>
  <si>
    <t>스테가노그래피(steganography)는 어떤 것을 일컫는 말인가?</t>
  </si>
  <si>
    <t>다음 중 유동자산에 해당하는 계정과목은 무엇인가?</t>
  </si>
  <si>
    <t>다음 중 우리나라의 금융기관의 성격을 설명한 내용으로 가장 적절하지 않은 것은?</t>
  </si>
  <si>
    <t>Choose the one which has the MOST UNGRAMMATICAL part.</t>
  </si>
  <si>
    <t>What is LEAST proper as a phrase for conducting a meeting?</t>
  </si>
  <si>
    <t>Which of the following should you NOT do when transferring a call?</t>
  </si>
  <si>
    <t>다음 중 문서철의 쪽 번호 표시가 가장 적절하지 않은 것은?</t>
  </si>
  <si>
    <t>상공무역의 최주혁 비서는 회사의 사옥준공식 안내장을 작성했다. 안내장마다 수신인에 따라 본문 내용 중 수신인, 직위, 부서명, 회사명을 다르게 하여 보내는 방법은?</t>
  </si>
  <si>
    <t>박진우 비서는 다음 달에 있을 창립 기념 파티에 초대장 초안을 작성하려고 한다. 마인드맵을 이용해 내용 구상을 하는 박진우 비서의 방법이 가장 적절하지 못한 것은?</t>
  </si>
  <si>
    <t>다음 중 문서관리의 목적으로 그 연관성이 가장 낮은 것은?</t>
  </si>
  <si>
    <t>다음과 같이 감사편지를 작성하는 업무를 하고 있다. 이 중 가장 적절하지 않은 경우는?</t>
  </si>
  <si>
    <t>다음 중 종류가 동일한 앱끼리 묶이지 않은 것은?</t>
  </si>
  <si>
    <t>다음 중 사무정보기기의 사용법이 가장 적절하지 않은 비서는?</t>
  </si>
  <si>
    <t>다음 중 전자문서 보관과 보존에 대한 설명이 가장 적절하지 못한 것은?</t>
  </si>
  <si>
    <t>다음 중 행정기관의 공문서의 접수에 관한 내용이 가장 적절하지 않은 것은?</t>
  </si>
  <si>
    <t>프레젠테이션을 작성할 때 고려해야할 사항과 가장 거리가 먼 것은?</t>
  </si>
  <si>
    <t>회사 홈페이지나 블로그 등을 비롯한 소셜미디어를 관리하는 김 비서가 주의를 기울여야 할 태도로 가장 적절하지 않은 것은?</t>
  </si>
  <si>
    <t>다음 중 컴퓨터 바이러스를 예방하기 위한 비서의 행동으로 가장 적절하지 않은 것은?</t>
  </si>
  <si>
    <t>다음과 같이 보고서에 들어갈 그래프를 작성하고 있다. 전달하려고 하는 내용을 표현할 수 있는 그래프를 가장 적절하게 활용하고 있는 경우는?</t>
  </si>
  <si>
    <t>다음 중 문서작성을 위한 정보 수집에 대한 설명이 가장 적절하지 못한 것은?</t>
  </si>
  <si>
    <t>비서는 상사가 효과적으로 인적 네트워크를 관리할 수 있도록 보좌하여야 한다. 다음 중 가장 적절하지 않은 것은?</t>
  </si>
  <si>
    <t>다음 비서의 전화응대 중 가장 바람직한 것은?</t>
  </si>
  <si>
    <t>다음 비서의 전화응대 태도로 가장 바람직한 것은?</t>
  </si>
  <si>
    <t>다음 중 비서가 내방객을 응대할 때 가장 올바른 것은?</t>
  </si>
  <si>
    <t>다음 중 업무상 갈등을 해결하기 위한 행동으로 가장 바람직한 것은?</t>
  </si>
  <si>
    <t>다음의 사례에서 비서의 업무 태도로 가장 적절한 것은?</t>
  </si>
  <si>
    <t>다음 중 비서의 조직 구성원과의 원만한 인간관계를 위한 노력으로 가장 올바른 자세는?</t>
  </si>
  <si>
    <t>비서가 스마트폰으로 상사의 일정관리 시 가장 적절하지 않은 것은?</t>
  </si>
  <si>
    <t>다음과 같은 상황에서 비서의 행동으로 가장 적절한 것은?</t>
  </si>
  <si>
    <t>상사의 일정을 관리하는 비서의 업무 수행 방법으로 가장 적절하지 않은 것은?</t>
  </si>
  <si>
    <t>예약 시 주의사항으로 적절하지 않은 것은?</t>
  </si>
  <si>
    <t>상사 출장 전 준비업무에 해당하지 않는 것은?</t>
  </si>
  <si>
    <t>비서가 회의 지원업무를 할 때 다음 설명 중 가장 올바르지 않은 것은?</t>
  </si>
  <si>
    <t>회의 일시 선정 시 고려할 요소로 가장 부적절한 것을 고르시오.</t>
  </si>
  <si>
    <t>구두 보고 시 유의사항으로 가장 부적절한 것은?</t>
  </si>
  <si>
    <t>다음 중 경조사 관련 한자가 잘못 짝지어진 것은?</t>
  </si>
  <si>
    <t>다음 중 지시를 받는 비서의 태도로 가장 적절한 것은?</t>
  </si>
  <si>
    <t>지방에서 결혼하는 거래처 지인의 혼사에 직접 참여하지 못하는 경우 상사의 이름으로 축의금을 전달할 수 있는 가장 적절한 방법은?</t>
  </si>
  <si>
    <t>다음 중 비서직에 대한 설명으로 가장 적절하지 않은 것은?</t>
  </si>
  <si>
    <t>다음 중 영어 약어와 내용 연결이 잘못된 것은?</t>
  </si>
  <si>
    <t>다음 중 영어와 그 뜻이 옳게 짝지어지지 않은 것은?</t>
  </si>
  <si>
    <t>다음 문장 중 문법이 바르지 않은 것은?</t>
  </si>
  <si>
    <t>다음 문장 중 문법적인 오류가 없는 것은?</t>
  </si>
  <si>
    <t>다음 우편 취급 방식에 대한 설명으로 바르지 않은 것은?</t>
  </si>
  <si>
    <t>다음 중 봉투의 구성요소로 적절하지 않은 것은?</t>
  </si>
  <si>
    <t>다음 중 영문서신 작성 시 구성요소의 표현으로 올바르지 않은 것은?</t>
  </si>
  <si>
    <t>문서의 결재에 대한 설명으로 잘못된 것은?</t>
  </si>
  <si>
    <t>다음은 비서가 업무에 필요한 인터넷 웹사이트를 즐겨찾기 폴더에 분류한 것이다. 분류에 포함될 웹사이트에서 제공하는 정보의 종류가 가장 적절하지 않은 것은?</t>
  </si>
  <si>
    <t>다음 중 한글 띄어쓰기에 대한 설명과 예가 가장 올바르지 않은 것은?</t>
  </si>
  <si>
    <t>육하원칙에 따른 문서의 구성요소가 바르게 연결된 것은?</t>
  </si>
  <si>
    <t>다음 중 행정업무의 효율적 운영에 관한 규정에 의거한 공문서의 종류에 해당하지 않는 것은?</t>
  </si>
  <si>
    <t>데이터 보관을 위한 저장매체에 대한 설명으로 가장 부적절한 것은?</t>
  </si>
  <si>
    <t>다음 중 비서의 수신 문서에 대한 업무처리가 가장 올바르지 않은 것은?</t>
  </si>
  <si>
    <t>다음 중 업무 관련 정보 수집을 위해 신문을 이용하는 비서의 행동에 대한 설명으로 가장 적절하지 못한 것은?</t>
  </si>
  <si>
    <t>다음 중 사무정보화에 대한 설명이 가장 적절하지 않은 것은?</t>
  </si>
  <si>
    <t>상사가 스마트폰의 화면을 텔레비전이나 모니터에 무선으로 연결하여 큰 화면으로 보기를 희망한다. 이때 사용할 수 있는 장치로 가장 적당한 것은?</t>
  </si>
  <si>
    <t>다음 중 실행파일에 해당하는 확장자가 아닌 것은?</t>
  </si>
  <si>
    <t>최근 많이 활용되는 바이오인식(생체인식기술)에 대한 설명으로 잘못된 것은?</t>
  </si>
  <si>
    <t>다음 중 네트워크에 대한 설명이 가장 적절하지 않은 것은?</t>
  </si>
  <si>
    <t>다음 중 정보보안관리 업무가 가장 적절하지 않은 비서는?</t>
  </si>
  <si>
    <t>다음 중 MS-Windows OS가 설치된 컴퓨터에서 IP주소를 찾을 때 사용하는 명령어는?</t>
  </si>
  <si>
    <t>다음 중 사무정보기기의 사용법이 가장 적절하지 못한 것은?</t>
  </si>
  <si>
    <t>다음 중 문서의 발신 대장에 포함되는 내용으로 가장 적절하지 않은 것은?</t>
  </si>
  <si>
    <t>문제번호</t>
  </si>
  <si>
    <t>보기1</t>
  </si>
  <si>
    <t>보기2</t>
  </si>
  <si>
    <t>보기3</t>
  </si>
  <si>
    <t>보기4</t>
  </si>
  <si>
    <t xml:space="preserve">영문균등(Justification): 단어와 단어 사이의 간격을 균등 배분하여 문장의 왼쪽 끝만 맞추어 균형을 유지 하는 기능 </t>
  </si>
  <si>
    <t xml:space="preserve">색인(Index): 문서의 중요한 내용들을 빠르게 찾기 위하여 문서의 맨 뒤에 용어와 기록된 쪽 번호를 오름차순으로 기록하여 정리한 목록 </t>
  </si>
  <si>
    <t xml:space="preserve">옵션(Option): 명령이나 기능을 수행할 때 선택할 수있는 항목들을 모두 보여주는 것 </t>
  </si>
  <si>
    <t xml:space="preserve">마진(Margin): 문서 작성 시 문서의 균형을 위해 남겨두는 상, 하, 좌, 우의 여백 </t>
  </si>
  <si>
    <t>일련의 작업 순서를 키보드의 특정 키에 기록해 두었다가 필요할 때 한 번에 재실행해 내는 기능이다.</t>
  </si>
  <si>
    <t>동일한 내용의 반복 입력이나 도형, 문단 형식, 서식 등을 여러 곳에 반복 적용할 때 효과적이다.</t>
  </si>
  <si>
    <t>작성한 매크로는 별도의 파일로 저장할 수 있으며 편집이 가능하다.</t>
  </si>
  <si>
    <t>마우스 동작을 포함한 사용자의 모든 동작을 기억하는 것을 '키 매크로'라고 한다.</t>
  </si>
  <si>
    <t xml:space="preserve">용도: 국제 표준 코드, 정보처리/정보교환용 </t>
  </si>
  <si>
    <t xml:space="preserve">장점: 현대 한글의 대부분을 표현할 수 있음 </t>
  </si>
  <si>
    <t xml:space="preserve">표현 글자 수: 완성형 한글 11,172자, 한글 자모 240자 </t>
  </si>
  <si>
    <t xml:space="preserve">표현 바이트 수: 모든 문자 2바이트(16비트) </t>
  </si>
  <si>
    <t xml:space="preserve">교정 부호나 메모의 내용을 지정하여 검색할 수 있다. </t>
  </si>
  <si>
    <t xml:space="preserve">와일드카드 문자(*, ?)를 사용하여 검색할 수 있다. </t>
  </si>
  <si>
    <t xml:space="preserve">블록을 지정하여 특정 영역에 대해서만 검색할 수 있다. </t>
  </si>
  <si>
    <t xml:space="preserve">글자 모양이나 문단 모양, 스타일 등을 지정하여 검색할 수 있다. </t>
  </si>
  <si>
    <t xml:space="preserve">저장할 때 암호를 지정하여 다른 사람의 열람을 제한할 수 있다. </t>
  </si>
  <si>
    <t xml:space="preserve">저장하기 대화상자에서 폴더를 새로 만들거나 삭제 할 수 있다. </t>
  </si>
  <si>
    <t xml:space="preserve">기존 문서를 다른 이름으로 저장하면 기존 파일은 삭제된다. </t>
  </si>
  <si>
    <t xml:space="preserve">문서 파일의 저장위치나 파일 이름 및 형식을 변경하여 저장할 수 있다. </t>
  </si>
  <si>
    <t xml:space="preserve">한 페이지의 맨 위와 아래에 내용이 쪽마다 고정적으로 반복되는 것을 말한다. </t>
  </si>
  <si>
    <t xml:space="preserve">머리말과 꼬리말에는 책의 제목, 그 장의 제목, 쪽 번호 등을 넣는다. </t>
  </si>
  <si>
    <t xml:space="preserve">머리말과 꼬리말의 내용을 짝수쪽, 홀수쪽에 다르게 입력할 수 있다. </t>
  </si>
  <si>
    <t xml:space="preserve">머리말에 숫자, 문자, 그림은 입력할 수 있으나 표는 입력할 수 없다. </t>
  </si>
  <si>
    <t xml:space="preserve">문서의 내용을 종이에 출력하지 않고 파일로 디스크에 저장할 수 있다. </t>
  </si>
  <si>
    <t xml:space="preserve">프린터의 해상도를 높게 설정하면 출력시간은 길어지지만 대신 선명하게 인쇄할 수 있다. </t>
  </si>
  <si>
    <t xml:space="preserve">문서의 1-3페이지를 여러 장 인쇄할 때 한 부씩 찍기를 선택하지 않으면 1-2-3 페이지 순서로 여러 장이 인쇄된다. </t>
  </si>
  <si>
    <t xml:space="preserve">미리보기 기능을 사용하여 문서의 내용을 편집할 수는 없다. </t>
  </si>
  <si>
    <t xml:space="preserve">글자와 글자 사이의 간격을 미세하게 조정하는 작업이다. </t>
  </si>
  <si>
    <t xml:space="preserve">제한된 색상을 조합하여 복잡한 색이나 새로운 색을 만드는 작업이다. </t>
  </si>
  <si>
    <t xml:space="preserve">문자 위에 겹쳐서 문자를 중복 인쇄하거나 배경색을 인쇄한 후에 그 위에 대상체를 인쇄하는 기능이다. </t>
  </si>
  <si>
    <t xml:space="preserve">이미지 변형 작업, 입출력 파일 포맷, 채도, 조명도, 명암 등을 조절하는 작업이다. </t>
  </si>
  <si>
    <t xml:space="preserve">의사 결정의 기능 </t>
  </si>
  <si>
    <t xml:space="preserve">의사 보존의 기능 </t>
  </si>
  <si>
    <t xml:space="preserve">자료 제공의 기능 </t>
  </si>
  <si>
    <t xml:space="preserve">의사 전달의 기능 </t>
  </si>
  <si>
    <t xml:space="preserve">읽는 사람의 요청이나 기대에 맞춘 보고서를 작성한다. </t>
  </si>
  <si>
    <t xml:space="preserve">사실과 의견을 명확하게 구분하여 작성한다. </t>
  </si>
  <si>
    <t xml:space="preserve">표와 그림 등으로 시각적인 효과를 나타내어 설득력을 높이게 작성한다. </t>
  </si>
  <si>
    <t xml:space="preserve">각 사안별로 문장을 나누어 소항목에서 대항목으로 점진적으로 작성한다. </t>
  </si>
  <si>
    <t xml:space="preserve">제목은 제목만 보고도 쉽게 문서의 성격과 내용을 알 수 있도록 작성한다. </t>
  </si>
  <si>
    <t xml:space="preserve">행정효율과 협업 촉진에 관한 규정에 의해 공문서는 한글 맞춤법에 따라 세로로 작성한다. </t>
  </si>
  <si>
    <t xml:space="preserve">목적이 있는 사외문서라 하더라도 인사말부터 시작하는 것이 기본적인 예의이다. </t>
  </si>
  <si>
    <t xml:space="preserve">기안문 작성 시 하나의 항목만 있을 경우 항목 구분을 할 필요가 없으므로 번호를 기재하지 않는다. </t>
  </si>
  <si>
    <t xml:space="preserve">문서의 내용과 혼돈되지 않도록 글자 색과 동일한 색으로 표기하도록 한다. </t>
  </si>
  <si>
    <t xml:space="preserve">한번 교정된 부분도 다시 교정할 수 있다. </t>
  </si>
  <si>
    <t xml:space="preserve">교정하고자 하는 글자를 명확하게 지적해야 한다. </t>
  </si>
  <si>
    <t xml:space="preserve">여러 교정부호를 동일한 행에 사용할 때 교정부호가 겹치지 않도록 한다. </t>
  </si>
  <si>
    <t xml:space="preserve">문서관리는 문서를 산출한 업무와는 독립적으로 이루어지는 것이 바람직하다. </t>
  </si>
  <si>
    <t xml:space="preserve">문서관리 시 조직의 업무 활동 분석이 선행되는 것이 좋다. </t>
  </si>
  <si>
    <t xml:space="preserve">문서관리자는 조직의 업무를 분석함으로써 업무와 문서 사이의 연관성을 이해하고 있어야 한다. </t>
  </si>
  <si>
    <t xml:space="preserve">업무활동에 기반한 문서관리는 업무 수행을 돕는 강력한 도구가 된다. </t>
  </si>
  <si>
    <t xml:space="preserve">문서 관리의 명확화 </t>
  </si>
  <si>
    <t xml:space="preserve">정보 전달의 원활화 </t>
  </si>
  <si>
    <t xml:space="preserve">사무 공간의 효율적 활용 </t>
  </si>
  <si>
    <t xml:space="preserve">기록 활용에 대한 제비용 증가 </t>
  </si>
  <si>
    <t xml:space="preserve">컴퓨터 등 정보처리능력을 가진 장치에 의하여 전자적인 형태로 작성되거나 송신·수신 또는 저장된 문서를 말한다. </t>
  </si>
  <si>
    <t xml:space="preserve">전자문서의 효력 발생 시기는 전자문서를 수신자가 관리하거나 지정한 전자적 시스템 등에 입력되었을 때 발생한다. </t>
  </si>
  <si>
    <t xml:space="preserve">전자문서는 공람하였다는 기록을 업무관리시스템 또는 전자문서시스템 상에서 수동으로 표시하며 담당자는 메일로 공람여부를 언제든지 확인할 수 있어야 한다. </t>
  </si>
  <si>
    <t xml:space="preserve">업무의 성질상 전자문서로 기안하기 곤란하거나 그밖의 특별한 사정이 있지 않은 한 기안은 전자문서로 하는 것을 원칙으로 한다. </t>
  </si>
  <si>
    <t xml:space="preserve">문서는 정보통신망을 이용하여 발신함을 원칙으로 한다. </t>
  </si>
  <si>
    <t xml:space="preserve">전자 문서는 행정기관의 홈페이지 또는 공무원의 공식 전자우편 주소를 이용하여 발송할 수 있다. </t>
  </si>
  <si>
    <t xml:space="preserve">종이문서인 경우에는 이를 복사하여 발송한다. </t>
  </si>
  <si>
    <t xml:space="preserve">모든 문서는 비밀유지를 위해 반드시 암호화하여 발송 하여야 한다. </t>
  </si>
  <si>
    <t xml:space="preserve">공문서의 항목 순서를 필요한 경우에는 □, ○, -, · 등과 같은 기호로 표시할 수 있다. </t>
  </si>
  <si>
    <t xml:space="preserve">문서에 금액을 표시할 때에는 금153,530원(금일십오만삼천오백삼십원)과 같이 표시하여야 한다. </t>
  </si>
  <si>
    <t xml:space="preserve">'업무 실명제'란 주요 정책의 결정 및 집행 과정에 참여하는 관련자의 실명과 의견을 기록·관리하는 제도를 말한다. </t>
  </si>
  <si>
    <t xml:space="preserve">본문의 내용이 표 형식으로 표의 중간까지만 작성된 경우에는 '끝' 표시를 하지 않고 마지막으로 작성된 칸의 다음 칸에 '이하 빈칸'으로 표시한다. </t>
  </si>
  <si>
    <t xml:space="preserve">관련된 항목의 도움말을 쉽게 찾을 수 있는 하이퍼텍스트 기능이 있다. </t>
  </si>
  <si>
    <t xml:space="preserve">필요한 도움말을 제목별로 검색할 수 있으며, 프린터로 출력할 수 있다. </t>
  </si>
  <si>
    <t xml:space="preserve">온라인에서 원격지원으로 도움을 받거나 전문가에게 문의할 수 있다. </t>
  </si>
  <si>
    <t xml:space="preserve">새로운 기술에 대한 내용을 도움말에 추가하거나 수정할 수 있다. </t>
  </si>
  <si>
    <t xml:space="preserve">안전 모드: 기본 드라이버 및 DVD 드라이브, 네트워크 서비스만으로 부팅한다. </t>
  </si>
  <si>
    <t xml:space="preserve">부팅 로깅 사용: 화면 모드를 저해상도 디스플레이 모드인 '640×480' 해상도로 설정하여 부팅한다. </t>
  </si>
  <si>
    <t xml:space="preserve">디버깅 모드: 잘못된 서명이 포함된 드라이버를 설치할 수 있도록 설정한다. </t>
  </si>
  <si>
    <t xml:space="preserve">컴퓨터 복구: 부팅에 문제가 있거나 시스템이 정상적으로 작동하지 않을 때 시스템을 초기 상태 또는 최적의 상태로 복원한다. </t>
  </si>
  <si>
    <t xml:space="preserve">에어로 전환 3D: 점프 목록과 프로그램 단추 고정을 통해 빠르게 프로그램을 실행할 수 있다. </t>
  </si>
  <si>
    <t xml:space="preserve">에어로 스냅(Aero Snap): 열려있는 창을 드래그하는 위치에 따라 창의 크기를 조절할 수 있다. </t>
  </si>
  <si>
    <t xml:space="preserve">에어로 피크(Aero Peek): 작업 표시줄 아이콘을 통해 축소판 미리 보기가 가능하며, 열려있는 모든 창을 최소화 하지 않고 바탕화면을 볼 수 있다. </t>
  </si>
  <si>
    <t xml:space="preserve">에어로 셰이크(Aero Shake): 창을 흔들면 다른 열려 있는 모든 창을 최소화 하거나 다시 원상태로 나타나게 할 수 있다. </t>
  </si>
  <si>
    <t xml:space="preserve">작업 표시줄은 현재 실행되고 있는 프로그램 단추와 프로그램을 빠르게 실행하기 위해 등록한 고정 프로그램 단추 등이 표시되는 곳이다. </t>
  </si>
  <si>
    <t xml:space="preserve">작업 표시줄은 위치를 변경하거나 크기를 조절할 수 있으며, 크기는 화면의 1/4까지만 늘릴 수 있다. </t>
  </si>
  <si>
    <t xml:space="preserve">'작업 표시줄 잠금'이 지정된 상태에서는 작업 표시줄의 크기나 위치 등을 변경할 수 없다. </t>
  </si>
  <si>
    <t xml:space="preserve">작업 표시줄은 기본적으로 바탕화면의 맨 아래쪽에 있다. </t>
  </si>
  <si>
    <t xml:space="preserve">바탕화면에 새 폴더를 만들 수 있다. </t>
  </si>
  <si>
    <t xml:space="preserve">바탕화면에 있는 아이콘의 표시 유무를 지정할 수 있다. </t>
  </si>
  <si>
    <t xml:space="preserve">화면 해상도를 변경할 수 있다. </t>
  </si>
  <si>
    <t xml:space="preserve">컴퓨터의 전원을 켜거나 끌 수 있다. </t>
  </si>
  <si>
    <t xml:space="preserve">메뉴 모음의 항상 표시 여부를 지정한다. </t>
  </si>
  <si>
    <t xml:space="preserve">숨김 파일이나 폴더의 표시 여부를 지정한다. </t>
  </si>
  <si>
    <t xml:space="preserve">폴더나 파일을 가리키면 해당 항목의 정보를 표시하는 팝업 설명의 표시 여부를 지정한다. </t>
  </si>
  <si>
    <t xml:space="preserve">제목 표시줄에 현재 선택된 위치에 대한 일부분 경로 표시 여부를 지정한다. </t>
  </si>
  <si>
    <t xml:space="preserve">다운로드한 프로그램 파일을 디스크 정리로 삭제할 경우 </t>
  </si>
  <si>
    <t xml:space="preserve">휴지통에 있는 특정 파일을 선택한 후에 &lt;Delete&gt; 키를 눌러 삭제할 경우 </t>
  </si>
  <si>
    <t xml:space="preserve">현재 편집 중인 문서 파일이 포함된 폴더를 선택한 후에 &lt;Delete&gt; 키를 눌러 삭제할 경우 </t>
  </si>
  <si>
    <t xml:space="preserve">모든 권한이 설정된 특정 폴더의 바로 가기 메뉴에서 [삭제]를 선택하여 삭제하는 경우 </t>
  </si>
  <si>
    <t xml:space="preserve">검색 필터를 추가하여 수정한 날짜나 크기 등의 속성을 이용하여 검색할 수 있다. </t>
  </si>
  <si>
    <t xml:space="preserve">검색할 위치를 지정하여 파일이나 폴더를 검색할 수있다. </t>
  </si>
  <si>
    <t xml:space="preserve">검색 결과에는 검색어로 사용된 문자가 노란색으로 표시되어 확인하기 용이하다. </t>
  </si>
  <si>
    <t xml:space="preserve">파일이나 폴더 그리고 프로그램, 제어판, 전자 이메일 메시지도 검색이 가능하다. </t>
  </si>
  <si>
    <t xml:space="preserve">[시작] → [모든 프로그램] → [보조프로그램] → [캡처 도구]를 선택하여 실행할 수 있다. </t>
  </si>
  <si>
    <t xml:space="preserve">캡처한 화면은 JPG, PNG, GIF, BMP, HTML 파일 중 하나를 선택하여 저장할 수 있다. </t>
  </si>
  <si>
    <t xml:space="preserve">자유형 캡처, 사각형 캡처, 창 캡처, 전체 화면 캡처 중 하나를 선택하여 캡처할 수 있다. </t>
  </si>
  <si>
    <t xml:space="preserve">캡처 후 주석을 달 때 사용할 펜은 색, 두께, 모양 변경이 가능하지만 형광펜은 변경 불가능하다. </t>
  </si>
  <si>
    <t xml:space="preserve">디스크 공간을 효율적으로 활용할 수 있다. </t>
  </si>
  <si>
    <t xml:space="preserve">파일을 전송할 때 시간 및 비용 절감 효과가 있다. </t>
  </si>
  <si>
    <t xml:space="preserve">파일이나 폴더를 압축하면 보안이 향상된다. </t>
  </si>
  <si>
    <t xml:space="preserve">분할 압축이 가능하다. </t>
  </si>
  <si>
    <t xml:space="preserve">[일반] 탭: 프린터 모델명 확인과 인쇄 기본 설정 </t>
  </si>
  <si>
    <t xml:space="preserve">[공유] 탭: 프린터를 네트워크상의 다른 컴퓨터와 공유 할 것인지를 결정하고 추가 드라이버를 설치 </t>
  </si>
  <si>
    <t xml:space="preserve">[포트] 탭: 프린터 포트를 선택하고 새로운 포트를 추가하거나 삭제 </t>
  </si>
  <si>
    <t xml:space="preserve">[고급] 탭: 프린터 시간을 제어하고 인쇄 해상도를 설정하며, 테스트 페이지 인쇄 등을 지정 </t>
  </si>
  <si>
    <t xml:space="preserve">돋보기 기능을 사용하면 화면에서 원하는 영역을 확대할 수 있다. </t>
  </si>
  <si>
    <t xml:space="preserve">내레이터 시작 기능을 사용하면 화면의 텍스트를 소리 내어 읽어 줄 수 있다. </t>
  </si>
  <si>
    <t xml:space="preserve">청각 장애가 있는 사용자를 위해 경고음 등의 시스템 소리를 화면 깜박임과 같은 시각적 신호로 표시되도록 지정할 수 있다. </t>
  </si>
  <si>
    <t xml:space="preserve">화상 키보드 기능을 사용하여 마우스 포인터의 모양을 변경하거나 포인터의 이동 속도를 변경할 수 있다. </t>
  </si>
  <si>
    <t xml:space="preserve">해커나 악성 소프트웨어가 네트워크나 인터넷을 통해 사용자 컴퓨터에 액세스 하지 못하도록 방지하는 기능이다. </t>
  </si>
  <si>
    <t xml:space="preserve">[인바운드 규칙] 사용을 설정하면 방화벽은 사용자의 네트워크에서 외부로 나가는 연결을 제어할 수 있다. </t>
  </si>
  <si>
    <t xml:space="preserve">Windows 방화벽이 새 프로그램을 차단할 때 알림을 표시할 수 있도록 설정할 수 있다. </t>
  </si>
  <si>
    <t xml:space="preserve">연결 보안 규칙의 종류에는 격리, 인증 예외, 서버 간, 터널, 사용자 지정 등이 있다. </t>
  </si>
  <si>
    <t xml:space="preserve">웹서버에 있는 홈페이지를 HTTP 프로토콜을 사용하여 편집 또는 재구성할 수 있다. </t>
  </si>
  <si>
    <t xml:space="preserve">플러그인 프로그램을 설치하여 동영상이나 소리 등의 다양한 멀티미디어 데이터를 처리할 수 있다. </t>
  </si>
  <si>
    <t xml:space="preserve">자주 방문하는 웹 사이트 주소를 관리할 수 있다. </t>
  </si>
  <si>
    <t xml:space="preserve">전자우편을 보내거나 HTML 문서를 편집할 수 있다. </t>
  </si>
  <si>
    <t xml:space="preserve">인쇄할 프린터의 속성에서 [스풀 설정]을 확인한다. </t>
  </si>
  <si>
    <t xml:space="preserve">프린터 전원이나 프린터 케이블이 제대로 연결되어 있는지 확인한다. </t>
  </si>
  <si>
    <t xml:space="preserve">프린터의 이름이 변경되었거나 삭제되지 않았는지 확인한다. </t>
  </si>
  <si>
    <t xml:space="preserve">설정된 프린터의 드라이버가 제대로 설치되었는지 확인한다. </t>
  </si>
  <si>
    <t xml:space="preserve">새로운 Windows 업데이트를 수행하거나 설치된 업데이트 내용을 제거, 변경할 수 있다. </t>
  </si>
  <si>
    <t xml:space="preserve">시스템에 설치된 프로그램의 목록을 확인하거나 제거 또는 변경할 수 있다. </t>
  </si>
  <si>
    <t xml:space="preserve">설치된 Windows의 기능을 사용하거나 사용 안 함을 지정할 수 있다. </t>
  </si>
  <si>
    <t xml:space="preserve">새로운 응용 프로그램을 설치할 수 있다. </t>
  </si>
  <si>
    <t xml:space="preserve">자주 사용하는 폴더들을 하나씩 찾아다니지 않고 라이브러리에 등록하여 한 번에 관리할 수 있다. </t>
  </si>
  <si>
    <t xml:space="preserve">라이브러리는 컴퓨터 여기 저기 흩어져 있는 자료를 한 곳에서 보고 정리할 수 있게 하는 가상의 폴더이다. </t>
  </si>
  <si>
    <t xml:space="preserve">기본적으로 문서, 음악, 사진, 비디오 라이브러리를 제공한다. </t>
  </si>
  <si>
    <t xml:space="preserve">하나의 라이브러리에는 최대 30개의 폴더를 포함시킬 수 있다. </t>
  </si>
  <si>
    <t xml:space="preserve">어댑터 설정 변경 </t>
  </si>
  <si>
    <t xml:space="preserve">새 연결 또는 네트워크 설정 </t>
  </si>
  <si>
    <t xml:space="preserve">네트워크에 연결 </t>
  </si>
  <si>
    <t xml:space="preserve">홈 그룹 및 공유 옵션 선택 </t>
  </si>
  <si>
    <t xml:space="preserve">프린터, 프로그램, 문서, 비디오, 소리, 그림 등의 데이터를 모두 공유할 수 있다. </t>
  </si>
  <si>
    <t xml:space="preserve">공유된 폴더는 여러 사람이 사용하므로, 바이러스 감염에 주의하여야 한다. </t>
  </si>
  <si>
    <t xml:space="preserve">공유된 자원의 아이콘을 클릭하면 Windows 탐색기 하단의 세부 정보 창에 공유 여부가 표시된다. </t>
  </si>
  <si>
    <t xml:space="preserve">폴더명 뒤에 '$'가 붙어있는 폴더를 공유하거나 공유 이름 뒤에 '$'를 붙이면 네트워크의 다른 사용자가 공유 여부를 알 수 있다. </t>
  </si>
  <si>
    <t xml:space="preserve">니블(Nibble): 4개의 비트가 모여 1Nibble을 구성한다. </t>
  </si>
  <si>
    <t xml:space="preserve">바이트(Byte): 파일 구성의 최소 단위로, 의미 있는 정보를 표현하는 최소단위이다. </t>
  </si>
  <si>
    <t xml:space="preserve">레코드(Record): 하나 이상의 관련된 필드가 모여서 구성되는 자료 처리 단위이다. </t>
  </si>
  <si>
    <t xml:space="preserve">파일(File): 프로그램 구성의 기본 단위로, 여러 레코드가 모여서 구성된다. </t>
  </si>
  <si>
    <t xml:space="preserve">출력 형태: 숫자, 문자 </t>
  </si>
  <si>
    <t xml:space="preserve">연산 형식: 미·적분 연산 </t>
  </si>
  <si>
    <t xml:space="preserve">구성 회로: 증폭 회로 </t>
  </si>
  <si>
    <t xml:space="preserve">적용성: 특수 목적용 </t>
  </si>
  <si>
    <t xml:space="preserve">보수기: 2진수의 덧셈을 수행하는 회로 </t>
  </si>
  <si>
    <t xml:space="preserve">누산기: 연산된 결과를 일시적으로 저장하는 레지스터 </t>
  </si>
  <si>
    <t xml:space="preserve">데이터 레지스터: 연산중에 발생하는 여러 가지 상태값을 기억하는 레지스터 </t>
  </si>
  <si>
    <t xml:space="preserve">인덱스 레지스터: 연산에 사용될 데이터를 기억하는 레지스터 </t>
  </si>
  <si>
    <t xml:space="preserve">명령어의 종류가 많아 전력 소비가 많다. </t>
  </si>
  <si>
    <t xml:space="preserve">명령어 설계가 어려워 고가이나, 레지스터를 적게 사용하므로 프로그램은 간단하다. </t>
  </si>
  <si>
    <t xml:space="preserve">고급 언어에 각기 하나씩의 기계어를 대응시킴으로써 명령어의 집합이 커진다. </t>
  </si>
  <si>
    <t xml:space="preserve">서버, 워크스테이션에 주로 사용된다. </t>
  </si>
  <si>
    <t xml:space="preserve">CPU와 주기억장치의 처리속도를 향상시키기 위하여 사용한다. </t>
  </si>
  <si>
    <t xml:space="preserve">보조기억장치를 주기억장치처럼 사용할 수 있는 기능을 제공한다. </t>
  </si>
  <si>
    <t xml:space="preserve">주기억장치에 접근할 때 주소대신 기억된 내용으로 접근하는 기능을 제공한다. </t>
  </si>
  <si>
    <t xml:space="preserve">EEROM의 일종으로 중요한 정보를 반영구적으로 저장할 수 있다. </t>
  </si>
  <si>
    <t xml:space="preserve">프리웨어(Freeware) </t>
  </si>
  <si>
    <t xml:space="preserve">미들웨어(Middleware) </t>
  </si>
  <si>
    <t xml:space="preserve">셰어웨어(Shareware) </t>
  </si>
  <si>
    <t xml:space="preserve">내그웨어(Nagware) </t>
  </si>
  <si>
    <t xml:space="preserve">자원 할당 및 시스템 전체의 작동 상태를 감시한다. </t>
  </si>
  <si>
    <t xml:space="preserve">작업이 정상적으로 처리될 수 있도록 작업 순서와 방법을 관리한다. </t>
  </si>
  <si>
    <t xml:space="preserve">작업에 사용되는 데이터와 파일의 표준적인 처리 및 전송을 관리한다. </t>
  </si>
  <si>
    <t xml:space="preserve">사용자가 고급언어로 작성한 원시 프로그램을 목적프로그램으로 번역한다. </t>
  </si>
  <si>
    <t xml:space="preserve">전원을 끌 경우에는 반드시 사용 중인 응용 프로그램을 먼저 종료한다. </t>
  </si>
  <si>
    <t xml:space="preserve">컴퓨터를 이동하거나 부품을 교체할 경우에는 반드시 전원을 끄고 작업한다. </t>
  </si>
  <si>
    <t xml:space="preserve">시스템에 이상이 발생하면 먼저 HDD를 포맷하고 시스템을 재설치 한다. </t>
  </si>
  <si>
    <t xml:space="preserve">최신 바이러스 백신 프로그램을 사용하여 주기적으로 점검한다. </t>
  </si>
  <si>
    <t xml:space="preserve">MP3는 PCM 기법에 의해 생성된 디지털 데이터를 사용하며 MPEG-3 규격의 압축 기술을 사용한다. </t>
  </si>
  <si>
    <t xml:space="preserve">ASF는 인터넷을 통해 오디오, 비디오 및 생방송 수신 등을 지원하는 통합 멀티미디어 형식이다. </t>
  </si>
  <si>
    <t xml:space="preserve">WMF는 Windows에서 기본적으로 사용하는 벡터 그래픽 파일 형식이다. </t>
  </si>
  <si>
    <t xml:space="preserve">DVI는 인텔사에서 개발한 동영상 압축 기술이다. </t>
  </si>
  <si>
    <t xml:space="preserve">하이퍼터미널(Hyperterminal) </t>
  </si>
  <si>
    <t xml:space="preserve">하이퍼미디어(Hypermedia) </t>
  </si>
  <si>
    <t xml:space="preserve">하이퍼콘텐츠(Hypercontents) </t>
  </si>
  <si>
    <t xml:space="preserve">하이퍼콘텍스트(Hypercontext) </t>
  </si>
  <si>
    <t xml:space="preserve">대역폭이 넓어 데이터의 전송률이 우수하다. </t>
  </si>
  <si>
    <t xml:space="preserve">리피터의 설치 간격을 좁게 설계하여야 한다. </t>
  </si>
  <si>
    <t xml:space="preserve">도청하기 어려워서 보안성이 우수하다. </t>
  </si>
  <si>
    <t xml:space="preserve">다른 유선 전송 매체와 비교하여 정보 전달의 안전성이 우수하다. </t>
  </si>
  <si>
    <t xml:space="preserve">프로그램의 실행 속도가 이유 없이 늦어진다. </t>
  </si>
  <si>
    <t xml:space="preserve">사용 가능한 메모리 공간이 줄어드는 등 시스템 성능이 저하된다. </t>
  </si>
  <si>
    <t xml:space="preserve">일정 시간 후에 화면 보호기가 작동된다. </t>
  </si>
  <si>
    <t xml:space="preserve">예측이 불가능하게 컴퓨터가 재부팅된다. </t>
  </si>
  <si>
    <t xml:space="preserve">가로막기(Interruption) </t>
  </si>
  <si>
    <t xml:space="preserve">가로채기(Interception) </t>
  </si>
  <si>
    <t xml:space="preserve">수정(Modification) </t>
  </si>
  <si>
    <t xml:space="preserve">위조(Fabrication) </t>
  </si>
  <si>
    <t xml:space="preserve">데몬(daemon)은 사용자가 직접적으로 제어하지 않고, 백그라운드에서 돌면서 주기적인 서비스 요청 등 여러 작업을 하는 프로그램을 말한다. </t>
  </si>
  <si>
    <t xml:space="preserve">푸쉬(push)는 인터넷에서 사용자의 요청에 의하지 않고 서버의 작용에 의해서 서버 상에 있는 정보를 클라이언트로 자동 배포(전송)하는 것을 말한다. </t>
  </si>
  <si>
    <t xml:space="preserve">미러 사이트(mirror site)는 인기 있는 웹 사이트의 경우 사이트의 부하를 분산하기 위해 2개 이상의 파일 서버로 똑같은 내용을 분산시켜 보유하고 있는 사이트를 말한다. </t>
  </si>
  <si>
    <t xml:space="preserve">핑거(finger)란 지정한 IP 주소 통신 장비의 통신망 연결을 확인하기 위한 것으로 통신 규약으로는 인터넷 제어 메시지 프로토콜(ICMP)을 사용한다. </t>
  </si>
  <si>
    <t xml:space="preserve">PICS(Platform for Internet Contents Selection) </t>
  </si>
  <si>
    <t xml:space="preserve">DCRP(Digital Contents Rights Protection) </t>
  </si>
  <si>
    <t xml:space="preserve">DRM(Digital Rights Management) </t>
  </si>
  <si>
    <t xml:space="preserve">CRM(Customer Relationship Management) </t>
  </si>
  <si>
    <t xml:space="preserve">제목에 특정 단어가 들어 있는 메일에 대해서만 자동으로 회신하게 설정할 수 있다. </t>
  </si>
  <si>
    <t xml:space="preserve">특정인으로부터 수신된 메일을 원하는 폴더로 바로 이동될 수 있도록 설정할 수 있다. </t>
  </si>
  <si>
    <t xml:space="preserve">제목에 특정 단어가 들어간 메일을 [정크 메일] 폴더에 보관될 수 있도록 설정할 수 있다. </t>
  </si>
  <si>
    <t xml:space="preserve">특정인으로부터 메일을 받으면 소리가 나게 설정할 수있다. </t>
  </si>
  <si>
    <t xml:space="preserve">개인정보처리자는 정보 주체의 개인정보가 분실, 도난, 유출, 위조, 변조 또는 훼손되지 않도록 해야 한다. </t>
  </si>
  <si>
    <t xml:space="preserve">기업은 개인정보보호를 시작하기 위해서 개인정보보호 전담자와 조직을 만들어야 한다. </t>
  </si>
  <si>
    <t xml:space="preserve">개인정보보호에 문제가 생겼을 때는 IT 부서 책임자나 최고보안책임자를 제외하고 경영자가 책임을 져야 한다. </t>
  </si>
  <si>
    <t xml:space="preserve">개인정보보호는 개인정보 자기결정권이 철저히 보장될 수 있도록 하는 일련의 행위이다. </t>
  </si>
  <si>
    <t xml:space="preserve">주로 하드디스크의 부트 레코드 부분에 저장된다. </t>
  </si>
  <si>
    <t xml:space="preserve">인터프리터 방식으로 번역되어 실행된다. </t>
  </si>
  <si>
    <t xml:space="preserve">운영체제의 일부로 입출력을 전담한다. </t>
  </si>
  <si>
    <t xml:space="preserve">소프트웨어의 업그레이드만으로도 기능을 향상시킬 수있다. </t>
  </si>
  <si>
    <t xml:space="preserve">16진수(Hexadecimal)는 0∼9까지의 숫자와 A∼F까지 문자로 표현하는 진법으로 한 자리수를 표현하는데 4개의 비트가 필요하다. </t>
  </si>
  <si>
    <t>2진수, 8진수, 16진수를 10진수 실수(float)로 변환하려면 정수 부분과 소수 부분을 나누어서 변환하려는 각 진수의 자리값과 자리의 지수승을 곱한 결과값을 모두 더하여 계산</t>
  </si>
  <si>
    <t>10진수(Decimal) 정수를 2진수, 8진수, 16진수로 변환하려면 10진수 값을 변환할 진수로 나누어 더 이상 나눠지지 않을 때까지 나누고, 몫을 제외한 나머지를 역순으로 표</t>
  </si>
  <si>
    <t xml:space="preserve">8진수를 16진수로 변환하려면 8진수를 뒤에서부터 2자리씩 자른 후 각각 16진수를 1자리로 계산한다. </t>
  </si>
  <si>
    <t xml:space="preserve">서로 다른 키로 데이터를 암호화하고 복호화 한다. </t>
  </si>
  <si>
    <t xml:space="preserve">암호화와 복호화의 속도가 빠르다. </t>
  </si>
  <si>
    <t xml:space="preserve">알고리즘이 단순하고 파일의 크기가 작다. </t>
  </si>
  <si>
    <t xml:space="preserve">사용자의 증가에 따라 관리해야 할 키의 수가 상대적으로 많아진다. </t>
  </si>
  <si>
    <t xml:space="preserve">IP주소 및 포트번호를 이용하거나 사용자 인증을 기반으로 접속을 차단하여 네트워크의 출입로를 단일화 한다. </t>
  </si>
  <si>
    <t xml:space="preserve">'명백히 허용되지 않은 것은 금지한다'라는 적극적 방어 개념을 가지고 있다. </t>
  </si>
  <si>
    <t xml:space="preserve">방화벽을 운영하면 바이러스와 내/외부의 새로운 위험에 효과적으로 대처할 수 있다. </t>
  </si>
  <si>
    <t xml:space="preserve">로그 정보를 통해 외부침입의 흔적을 찾아 역추적 할수 있다. </t>
  </si>
  <si>
    <t xml:space="preserve">특정 날짜와 시간에 백업할 수 있도록 백업 주기를 예약할 수 있다. </t>
  </si>
  <si>
    <t xml:space="preserve">Windows에서 백업에 사용되는 파일의 확장자는 .bkf이다. </t>
  </si>
  <si>
    <t xml:space="preserve">백업 파일을 복원할 경우 복원 위치를 지정할 수 있다. </t>
  </si>
  <si>
    <t xml:space="preserve">여러 파일이 백업되어 있는 경우 원하는 파일을 선택하여 복원할 수 없다. </t>
  </si>
  <si>
    <t xml:space="preserve">와이파이(WiFi) </t>
  </si>
  <si>
    <t xml:space="preserve">블루투스(Bluetooth) </t>
  </si>
  <si>
    <t xml:space="preserve">테더링(Tethering) </t>
  </si>
  <si>
    <t xml:space="preserve">와이브로(WiBro) </t>
  </si>
  <si>
    <t xml:space="preserve">OSI 참조 모델의 데이터 링크 계층에 속한다. </t>
  </si>
  <si>
    <t xml:space="preserve">두 개의 근거리통신망을 상호 접속할 수 있도록 하는 통신망 연결 장치이다. </t>
  </si>
  <si>
    <t xml:space="preserve">통신 프로토콜을 변환하여 네트워크를 확장한다. </t>
  </si>
  <si>
    <t xml:space="preserve">통신량을 조절하여 데이터가 다른 곳으로 가지 않도록 한다. </t>
  </si>
  <si>
    <t xml:space="preserve">인트라넷(Intranet) </t>
  </si>
  <si>
    <t xml:space="preserve">원거리 통신망(WAN) </t>
  </si>
  <si>
    <t xml:space="preserve">엑스트라넷(Extranet) </t>
  </si>
  <si>
    <t xml:space="preserve">근거리 통신망(LAN) </t>
  </si>
  <si>
    <t xml:space="preserve">메시지를 송/수신자의 주소와 정보로 묶어 패킷 단위로 나눈다. </t>
  </si>
  <si>
    <t xml:space="preserve">패킷 주소를 해석하고 경로를 결정하여 다음 호스트로 전송한다. </t>
  </si>
  <si>
    <t xml:space="preserve">전송 데이터의 흐름을 제어하고 데이터의 에러를 검사한다. </t>
  </si>
  <si>
    <t xml:space="preserve">OSI 7계층에서 전송 계층에 해당한다. </t>
  </si>
  <si>
    <t xml:space="preserve">MPEG-1 </t>
  </si>
  <si>
    <t xml:space="preserve">MPEG-3 </t>
  </si>
  <si>
    <t xml:space="preserve">MPEG-7 </t>
  </si>
  <si>
    <t xml:space="preserve">MPEG-21 </t>
  </si>
  <si>
    <t xml:space="preserve">인터넷 표준 그래픽 형식으로, 8비트 컬러를 사용하여 256색만 지원한다. </t>
  </si>
  <si>
    <t xml:space="preserve">간단한 애니메이션 표현이 가능하다. </t>
  </si>
  <si>
    <t xml:space="preserve">색상의 무손실 압축 기술을 사용한다. </t>
  </si>
  <si>
    <t xml:space="preserve">벡터 방식으로 이미지를 표현한다. </t>
  </si>
  <si>
    <t xml:space="preserve">사용자 컴퓨터 </t>
  </si>
  <si>
    <t xml:space="preserve">하드디스크 드라이브와 사운드 카드 </t>
  </si>
  <si>
    <t xml:space="preserve">컴퓨터의 USB 포트에 연결하는 모든 장치 </t>
  </si>
  <si>
    <t xml:space="preserve">컴퓨터에 연결된 호환 네트워크 장치 </t>
  </si>
  <si>
    <t xml:space="preserve">명령 레지스터에 있는 명령어를 해독한다. </t>
  </si>
  <si>
    <t xml:space="preserve">해독된 명령어에 따라 각 장치로 보낼 제어 신호를 생성한다. </t>
  </si>
  <si>
    <t xml:space="preserve">다음 순서에 실행할 명령어의 주기억장치 주소를 기억 한다. </t>
  </si>
  <si>
    <t xml:space="preserve">뺄셈연산을 위해 음수로 변환한다. </t>
  </si>
  <si>
    <t xml:space="preserve">바로 가기 아이콘을 실행하면 연결된 원본 파일이 실행 된다. </t>
  </si>
  <si>
    <t xml:space="preserve">파일, 폴더뿐만 아니라 디스크 드라이브나 프린터에도 바로 가기 아이콘을 만들 수 있다. </t>
  </si>
  <si>
    <t xml:space="preserve">일반 아이콘과 비교하여 왼쪽 아랫부분에 화살표가 포함되어 표시된다. </t>
  </si>
  <si>
    <t xml:space="preserve">하나의 바로 가기 아이콘에 여러 개의 원본 파일을 연결할 수 있다. </t>
  </si>
  <si>
    <t xml:space="preserve">공유 폴더에 대한 접근 권한은 사용자에 따라 다르게 설정할 수 있다. </t>
  </si>
  <si>
    <t xml:space="preserve">탐색기의 주소 표시줄에 '\\localhost'를 입력하면 네트워크를 통해 공유한 파일이나 폴더를 확인할 수있다. </t>
  </si>
  <si>
    <t xml:space="preserve">탐색기의 공유 기능을 이용하면 파일이나 폴더를 쉽게 다른 사용자와 공유할 수 있다. </t>
  </si>
  <si>
    <t xml:space="preserve">공유한 파일명 뒤에 '$'를 붙이면 네트워크의 다른 사용자가 해당 파일을 사용하고 있는지 여부를 바로 확인할 수 있다. </t>
  </si>
  <si>
    <t xml:space="preserve">픽셀(Pixel): 화면을 이루는 최소 단위로서 같은 크기의 화면에서 픽셀 수가 많을수록 해상도가 높아진다. </t>
  </si>
  <si>
    <t xml:space="preserve">해상도(Resolution): 모니터 화면의 픽셀 수와 관련이 있으며 픽셀 수가 많을수록 표시할 수 있는 색상의 수가 증가한다. </t>
  </si>
  <si>
    <t xml:space="preserve">점 간격(Dot Pitch): 픽셀들 사이의 공간을 나타내는 것으로 간격이 가까울수록 영상은 선명하다. </t>
  </si>
  <si>
    <t xml:space="preserve">재생률(Refresh Rate): 픽셀들이 밝게 빛나는 것을 유지하기 위한 것으로, 재생률이 높을수록 모니터의 깜빡임이 줄어든다. </t>
  </si>
  <si>
    <t xml:space="preserve">플래시(Flash) 메모리는 비휘발성 기억장치로 주로 디지털 카메라나 MP3, 개인용 정보 단말기, USB 드라이브 등 휴대용 기기에서 대용량 정보를 저장하는 용도로 사용된다. </t>
  </si>
  <si>
    <t xml:space="preserve">하드디스크 인터페이스 방식은 EIDE, SATA, SCSI 방식 등이 있다. </t>
  </si>
  <si>
    <t xml:space="preserve">캐시(Cache) 메모리는 CPU와 주기억장치 사이에 위치하여 두 장치간의 속도 차이를 줄여 컴퓨터의 처리 속도를 빠르게 하기 위한 메모리이다. </t>
  </si>
  <si>
    <t xml:space="preserve">연관(Associative) 메모리는 보조기억장치를 마치 주기억장치와 같이 사용하여 실제 주기억 장치 용량보다 기억용량을 확대하여 사용하는 방법이다. </t>
  </si>
  <si>
    <t xml:space="preserve">정식으로 대가를 지불하고 사용하는 소프트웨어이다. </t>
  </si>
  <si>
    <t xml:space="preserve">홍보용으로 사용 기간이나 기능에 제한을 둔 소프트웨어이다. </t>
  </si>
  <si>
    <t xml:space="preserve">오류 수정이나 성능 향상을 위해 프로그램 일부를 변경해주는 소프트웨어이다. </t>
  </si>
  <si>
    <t xml:space="preserve">정식 프로그램 출시 전에 테스트용으로 제작되어 일반인에게 공개하는 소프트웨어이다. </t>
  </si>
  <si>
    <t xml:space="preserve">압축한 파일을 모아 재압축을 반복하면 파일 크기를 계속 줄일 수 있다. </t>
  </si>
  <si>
    <t xml:space="preserve">여러 개의 파일을 압축하면 하나의 파일로 생성되어 파일 관리를 용이하게 할 수 있다. </t>
  </si>
  <si>
    <t xml:space="preserve">대부분의 압축 프로그램에는 분할 압축이나 암호 설정 기능이 있다. </t>
  </si>
  <si>
    <t xml:space="preserve">파일의 전송시간과 비용을 절약하고, 디스크 공간을 효율적으로 사용할 수 있다. </t>
  </si>
  <si>
    <t xml:space="preserve">바탕 화면에서 &lt;Shift&gt; + &lt;F10&gt; 키를 누르면 바로 가기 메뉴가 표시된다. </t>
  </si>
  <si>
    <t xml:space="preserve">바탕 화면에 폴더나 텍스트 문서, 압축 파일 등을 새로 만들 수 있다. </t>
  </si>
  <si>
    <t xml:space="preserve">삭제된 컴퓨터, 휴지통, 네트워크 등의 바탕 화면 아이콘을 다시 표시할 수 있다. </t>
  </si>
  <si>
    <t xml:space="preserve">아이콘의 정렬 기준을 변경하거나 아이콘의 크기를 변경하여 볼 수 있다. </t>
  </si>
  <si>
    <t xml:space="preserve">피벗 테이블 보고서를 작성한 후 원본 데이터를 수정하면 피벗 테이블 보고서에 자동으로 반영된다. </t>
  </si>
  <si>
    <t xml:space="preserve">[피벗 테이블 필드 목록]에서 보고서에 추가할 필드 선택 시 데이터 형식이 텍스트이거나 논리값인 필드를 선택하여 '행 레이블' 영역에 추가한다. </t>
  </si>
  <si>
    <t xml:space="preserve">값 영역에 추가된 필드가 2개 이상이면 Σ 값 필드가 열 레이블 또는 행 레이블 영역에 추가된다. </t>
  </si>
  <si>
    <t xml:space="preserve">열 레이블/행 레이블 단추를 클릭하여 레이블 필터나 값 필터를 설정할 수 있다. </t>
  </si>
  <si>
    <t xml:space="preserve">첫 번째 셀을 클릭한 후 &lt;Ctrl&gt; + &lt;Shift&gt; + &lt;방향키&gt; 를 눌러 선택 영역을 확장한다. </t>
  </si>
  <si>
    <t xml:space="preserve">첫 번째 셀을 클릭한 후 &lt;Shift&gt; 키를 누른 상태에서 범위의 마지막 셀을 클릭한다. </t>
  </si>
  <si>
    <t xml:space="preserve">첫 번째 셀을 클릭한 후 &lt;F8&gt; 키를 누른 후 &lt;방향키&gt; 를 눌러 선택 영역을 확장한다. </t>
  </si>
  <si>
    <t xml:space="preserve">첫 번째 셀을 클릭한 후 &lt;Ctrl&gt; 키를 누른 상태에서 &lt;방향키&gt;를 눌러 선택 영역을 확장한다. </t>
  </si>
  <si>
    <t xml:space="preserve">텍스트 파일은 구분 기호나 일정한 너비로 분리된 모든 열을 엑셀로 가져오기 때문에 일부 열만 가져올 수는 없다. </t>
  </si>
  <si>
    <t xml:space="preserve">액세스 파일은 표, 피벗 테이블, 워크시트의 특정 위치 등으로 다양하게 불러올 수 있다. </t>
  </si>
  <si>
    <t xml:space="preserve">웹 상의 데이터 중 일부를 워크시트로 가져오고, 새로고침 기능을 이용하여 최신 데이터로 업데이트할 수 있다. </t>
  </si>
  <si>
    <t xml:space="preserve">기타 원본의 Microsoft Query 기능을 이용하면 외부 데이터베이스에서 가져올 데이터의 추출 조건을 설정하여 원하는 데이터만 가져올 수 있다. </t>
  </si>
  <si>
    <t xml:space="preserve">찾을 내용에 '*수정*', 바꿀 내용에 '*변경*'으로 입력하고, [모두 바꾸기] 단추를 클릭하면 '수정'이라는 모든 글자를 '*변경*'으로 바꾼다. </t>
  </si>
  <si>
    <t xml:space="preserve">'=A1*B1'과 같은 수식을 검색하려면 찾는 위치를 '수식'으로 선택한 후 찾을 내용에 '=A1~*B1'으로 입력한다. </t>
  </si>
  <si>
    <t xml:space="preserve">찾을 내용과 바꿀 내용은 입력하지 않고, 찾을 서식과 바꿀 서식으로 설정 할 수 있다. </t>
  </si>
  <si>
    <t xml:space="preserve">셀포인터 위치를 기준으로 앞에 위치한 데이터를 찾으려면 &lt;Shift&gt; 키를 누른 상태에서 [다음 찾기] 단추를 클릭한다. </t>
  </si>
  <si>
    <t xml:space="preserve">날짜 데이터는 하이픈(-)이나 슬래시(/)를 이용하여 년, 월, 일을 구분한다. </t>
  </si>
  <si>
    <t xml:space="preserve">날짜의 연도를 생략하고 월과 일만 입력하면 자동으로 현재 연도가 추가된다. </t>
  </si>
  <si>
    <t xml:space="preserve">날짜의 연도를 두 자리로 입력할 때 연도가 30 이상이면 1900년대로 인식하고, 29 이하이면 2000년대로 인식한다. </t>
  </si>
  <si>
    <t xml:space="preserve">&lt;Ctrl&gt; + &lt;Shift&gt; + &lt;;&gt; 키를 누르면 오늘 날짜가 입력된다. </t>
  </si>
  <si>
    <t xml:space="preserve">[매크로] 대화상자에서 편집할 매크로를 선택하고 [편집] 단추를 클릭하면 Visual Basic 편집기를 실행할 수 있다. </t>
  </si>
  <si>
    <t xml:space="preserve">&lt;Alt&gt; + &lt;F8&gt; 키를 눌러 Visual Basic 편집기를 실행하면 매크로를 수정할 수 있다. </t>
  </si>
  <si>
    <t xml:space="preserve">PERSONAL.XLSB 파일을 삭제하면 통합 문서에 있는 모든 매크로를 삭제할 수 있다. </t>
  </si>
  <si>
    <t xml:space="preserve">Visual Basic 편집기에서 삭제할 매크로의 코딩 부분을 범위로 지정한 뒤 &lt;Delete&gt; 키를 눌러 여러 매크로를 한 번에 삭제할 수 있다 . </t>
  </si>
  <si>
    <t xml:space="preserve">시트 보호는 통합 문서 전체가 아닌 특정 시트만을 보호한다. </t>
  </si>
  <si>
    <t xml:space="preserve">공유된 통합 문서는 여러 사용자가 동시에 변경 및 병합할 수 있다. </t>
  </si>
  <si>
    <t xml:space="preserve">통합 문서 보호 설정 시 암호를 지정하면 워크시트에 입력된 내용을 수정할 수 없다. </t>
  </si>
  <si>
    <t xml:space="preserve">사용자가 워크시트를 추가, 삭제하거나 숨겨진 워크시트를 표시하지 못하도록 통합 문서의 구조를 잠글 수 있다. </t>
  </si>
  <si>
    <t xml:space="preserve">통합 문서의 여러 워크시트에 있는 동일한 셀 범위 데이터를 이용하려면 수식에서 3차원 참조를 사용한다. </t>
  </si>
  <si>
    <t xml:space="preserve">계산할 셀 범위를 선택하여 수식을 입력한 후 &lt;Ctrl&gt; + &lt;Enter&gt; 키를 누르면 선택한 영역에 수식을 한 번에 채울 수 있다. </t>
  </si>
  <si>
    <t xml:space="preserve">수식을 입력한 후 결과 값이 상수로 입력되게 하려면 수식을 입력한 후 바로 &lt;Alt&gt; + &lt;F9&gt; 키를 누른다. </t>
  </si>
  <si>
    <t xml:space="preserve">배열 상수에는 숫자나 텍스트 외에 'TRUE', 'FALSE' 등의 논리값 또는 '#N/A'와 같은 오류 값도 포함될 수 있다. </t>
  </si>
  <si>
    <t xml:space="preserve">상태 표시줄에서 워크시트의 보기 상태를 기본 보기, 페이지 레이아웃 보기, 페이지 나누기 미리 보기 중 선택하여 변경할 수 있다. </t>
  </si>
  <si>
    <t xml:space="preserve">상태 표시줄에는 확대/축소 슬라이더가 기본적으로 표시된다. </t>
  </si>
  <si>
    <t xml:space="preserve">상태 표시줄의 바로 가기 메뉴를 이용하여 셀의 특정 범위에 대한 이름을 정의할 수 있다. </t>
  </si>
  <si>
    <t xml:space="preserve">상태 표시줄은 현재의 작업 상태에 대한 기본적인 정보가 표시되는 곳이다. </t>
  </si>
  <si>
    <t xml:space="preserve">차트와 연결된 워크시트의 데이터에 열을 추가하면 차트에 자동적으로 반영되지 않는다. </t>
  </si>
  <si>
    <t xml:space="preserve">차트 크기를 조정하면 새로운 크기에 가장 적합하도록 차트 내의 텍스트의 크기 등이 자동적으로 조정된다. </t>
  </si>
  <si>
    <t xml:space="preserve">차트에 적용된 원본 데이터의 행이나 열을 숨겨도 차트에는 반영되지 않는다. </t>
  </si>
  <si>
    <t xml:space="preserve">데이터 계열의 순서가 변경되면 범례의 순서도 자동으로 변경된다. </t>
  </si>
  <si>
    <t xml:space="preserve">차트만 제외하고 인쇄하기 위해서는 [차트 영역 서식] 대화상자에서 '개체 인쇄'의 체크를 해제한다. </t>
  </si>
  <si>
    <t xml:space="preserve">시트에 표시된 오류 값을 제외하고 인쇄하기 위해서는 [페이지 설정] 대화 상자에서 '셀 오류 표시'를 '&lt;공백&gt;'으로 선택한다. </t>
  </si>
  <si>
    <t xml:space="preserve">인쇄 내용을 페이지의 가운데에 맞춰 인쇄하려면 [페이지 설정] 대화 상자에서 '문서에 맞게 배율 조정'을 체크한다. </t>
  </si>
  <si>
    <t xml:space="preserve">인쇄되는 모든 페이지에 특정 행을 반복하려면 [페이지설정] 대화 상자에서 '인쇄 제목'의 '반복할 행'에 열 레이블이 포함된 행의 참조를 입력한다. </t>
  </si>
  <si>
    <t xml:space="preserve">도메인(Domain)은 하나의 애트리뷰트(Attribute)가 취할 수 있는 같은 타입의 원자값들의 집합이다. </t>
  </si>
  <si>
    <t xml:space="preserve">한 릴레이션(Relation)에 포함된 튜플(Tuple)들은 모두 상이하며, 튜플(Tuple) 사이에는 순서가 있다. </t>
  </si>
  <si>
    <t xml:space="preserve">튜플(Tuple)의 수를 카디널리티(Cardinality), 애트리뷰트(Attribute)의 수를 디그리(Degree)라고 한다. </t>
  </si>
  <si>
    <t xml:space="preserve">애트리뷰트(Attribute)는 데이터베이스를 구성하는 가장 작은 논리적 단위이며, 파일 구조상의 데이터 필드에 해당된다. </t>
  </si>
  <si>
    <t xml:space="preserve">9: 소문자로 변환 </t>
  </si>
  <si>
    <t xml:space="preserve">&gt;: 숫자나 공백을 입력받도록 설정 </t>
  </si>
  <si>
    <t xml:space="preserve">&lt;: 영문 대문자로 변환하여 입력받도록 설정 </t>
  </si>
  <si>
    <t xml:space="preserve">L: 영문자와 한글만 입력받도록 설정 </t>
  </si>
  <si>
    <t xml:space="preserve">자동화 </t>
  </si>
  <si>
    <t xml:space="preserve">정규화 </t>
  </si>
  <si>
    <t xml:space="preserve">순서화 </t>
  </si>
  <si>
    <t xml:space="preserve">추상화 </t>
  </si>
  <si>
    <t xml:space="preserve">관계를 구성하는 어느 한쪽의 테이블 또는 필드 및 쿼리를 변경할 수 있다. </t>
  </si>
  <si>
    <t xml:space="preserve">조인 유형을 내부 조인, 왼쪽 우선 외부 조인, 오른쪽 우선 외부 조인 중에서 선택할 수 있다. </t>
  </si>
  <si>
    <t xml:space="preserve">'항상 참조 무결성 유지'를 선택한 경우 '관련 필드 모두 업데이트'와 '관련 레코드 모두 삭제' 옵션을 선택할 수 있다. </t>
  </si>
  <si>
    <t xml:space="preserve">관계의 종류를 일대다, 다대다, 일대일 중에서 선택할 수 있다. </t>
  </si>
  <si>
    <t xml:space="preserve">인덱스를 설정하면 레코드의 검색과 정렬 속도가 빨라진다. </t>
  </si>
  <si>
    <t xml:space="preserve">인덱스를 설정하면 레코드의 추가, 수정, 삭제 속도는 느려진다. </t>
  </si>
  <si>
    <t xml:space="preserve">데이터 형식이 OLE 개체인 필드에는 인덱스를 설정할 수 없다. </t>
  </si>
  <si>
    <t xml:space="preserve">인덱스는 한 개의 필드에만 설정 가능하므로 주로 기본 키에 설정한다. </t>
  </si>
  <si>
    <t xml:space="preserve">폼 필터를 적용하여 조건에 맞는 레코드만 표시할 수있다. </t>
  </si>
  <si>
    <t xml:space="preserve">필드의 '설명'에 입력한 내용은 테이블 구조에 영향을 미치지 않고, 상태 표시줄에 표시된다. </t>
  </si>
  <si>
    <t xml:space="preserve">컨트롤 표시 속성은 텍스트 상자, 목록 상자, 콤보 상자 중 선택할 수 있다. </t>
  </si>
  <si>
    <t>한 개 이상의 필드를 선택하여 기본 키로 설정할 수있다.</t>
  </si>
  <si>
    <t xml:space="preserve">'상태 표시줄 텍스트' 속성은 컨트롤을 선택했을 때 상태 표시줄에 표시할 메시지를 설정한다. </t>
  </si>
  <si>
    <t xml:space="preserve">'컨트롤 원본' 속성에서 함수나 수식 사용 시 문자는 작은 따옴표('), 필드명이나 컨트롤 이름은 큰따옴표(“)를 사용하여 구분한다. </t>
  </si>
  <si>
    <t xml:space="preserve">'사용 가능' 속성은 컨트롤에 포커스를 이동시킬 수 있는지의 여부를 설정한다. </t>
  </si>
  <si>
    <t xml:space="preserve">'중복 내용 숨기기' 속성은 데이터가 이전 레코드와 같을 때 컨트롤의 숨김 여부를 설정한다. </t>
  </si>
  <si>
    <t>업무 문서 양식 보고서</t>
  </si>
  <si>
    <t xml:space="preserve">우편 엽서 보고서 </t>
  </si>
  <si>
    <t>레이블 보고서</t>
  </si>
  <si>
    <t xml:space="preserve">크로스탭 보고서 </t>
  </si>
  <si>
    <t xml:space="preserve">첫 페이지에만 페이지 번호가 표시되거나 표시되지 않도록 설정할 수 있다. </t>
  </si>
  <si>
    <t xml:space="preserve">페이지 번호의 표시 위치를 '페이지 위쪽', '페이지 아래쪽', '페이지 양쪽' 중 선택할 수 있다. </t>
  </si>
  <si>
    <t xml:space="preserve">페이지 번호의 형식을 'N 페이지'와 'N/M 페이지' 중 선택할 수 있다. </t>
  </si>
  <si>
    <t xml:space="preserve">[페이지 번호] 대화 상자를 열 때마다 페이지 번호 표시를 위한 수식이 입력된 텍스트 상자가 자동으로 삽입된다. </t>
  </si>
  <si>
    <t xml:space="preserve">[폼 디자인 도구]의 [디자인] 탭에서 [컨트롤 마법사 사용] 여부를 선택할 수 있다. </t>
  </si>
  <si>
    <t xml:space="preserve">[레이블] 컨트롤은 마법사를 이용한 만들기가 제공되지 않으며, 레이블 컨트롤을 추가한 후 내용을 입력하지 않으면 추가된 레이블 컨트롤이 자동으로 사라진다. </t>
  </si>
  <si>
    <t xml:space="preserve">[텍스트 상자] 컨트롤을 지칭하는 이름은 중복 설정이 가능하다. </t>
  </si>
  <si>
    <t xml:space="preserve">[단추] 컨트롤은 명령 단추 마법사를 이용하여 다양한 매크로 함수를 제공한다. </t>
  </si>
  <si>
    <t xml:space="preserve">폼이 열려 있는 경우 다른 화면을 선택할 수 있다. </t>
  </si>
  <si>
    <t xml:space="preserve">VBA 코드를 이용하여 대화 상자의 모달 속성을 지정할 수 있다. </t>
  </si>
  <si>
    <t xml:space="preserve">폼이 모달 대화 상자이면 디자인 보기로 전환 후 데이터시트 보기로 전환이 가능하다. </t>
  </si>
  <si>
    <t xml:space="preserve">사용자 지정 대화 상자의 작성이 가능하다. </t>
  </si>
  <si>
    <t xml:space="preserve">보고서에 포함할 필드가 모두 한 테이블에 있는 경우 해당 테이블을 레코드 원본으로 사용한다. </t>
  </si>
  <si>
    <t xml:space="preserve">둘 이상의 테이블을 이용하여 보고서를 작성하는 경우 쿼리를 만들어 레코드 원본으로 사용한다. </t>
  </si>
  <si>
    <t xml:space="preserve">'보고서' 도구를 사용하면 정보를 입력하지 않아도 바로 보고서가 생성되므로 매우 쉽고 빠르게 보고서를 만들 수 있다. </t>
  </si>
  <si>
    <t xml:space="preserve">'보고서 마법사'를 이용하는 경우 필드 선택은 여러개의 테이블 또는 하나의 쿼리에서만 가능하며, 데이터 그룹화 및 정렬 방법을 지정할 수도 있다. </t>
  </si>
  <si>
    <t xml:space="preserve">분할 표시 폼은 [만들기] 탭의 [폼] 그룹에서 [기타 폼] - [폼 분할]을 클릭하여 만들 수 있다. </t>
  </si>
  <si>
    <t xml:space="preserve">분할 표시 폼은 데이터시트 보기와 폼 보기를 동시에 표시하기 기능이며, 이 두 보기는 같은 데이터 원본에 연결되어 있어 항상 상호 동기화된다. </t>
  </si>
  <si>
    <t xml:space="preserve">분할 표시 폼을 만든 후에는 컨트롤의 크기 조정은 할수 없으나, 새로운 필드의 추가는 가능하다. </t>
  </si>
  <si>
    <t xml:space="preserve">폼 속성 창의 '분할 표시 폼 방향' 항목을 이용하여 폼의 위쪽, 아래쪽, 왼쪽, 오른쪽 등 데이터시트가 표시되는 위치를 설정할 수 있다. </t>
  </si>
  <si>
    <t xml:space="preserve">FindRecord 함수는 필드, 컨트롤, 속성 등의 값을 설정한다. </t>
  </si>
  <si>
    <t xml:space="preserve">ApplyFilter 함수는 테이블이나 쿼리로부터 레코드를 필터링한다. </t>
  </si>
  <si>
    <t xml:space="preserve">OpenReport 함수는 작성된 보고서를 호출하여 실행한다. </t>
  </si>
  <si>
    <t xml:space="preserve">MessageBox 함수는 메시지 상자를 통해 경고나 알림 등의 정보를 표시한다. </t>
  </si>
  <si>
    <t xml:space="preserve">기본 폼과 하위 폼을 연결할 필드의 데이터 형식은 같거나 호환되어야 한다. </t>
  </si>
  <si>
    <t xml:space="preserve">본 폼 내에 삽입된 다른 폼을 하위 폼이라 한다. </t>
  </si>
  <si>
    <t xml:space="preserve">일대다 관계가 설정되어 있는 테이블들을 효과적으로 표시하기 위해 사용된다. </t>
  </si>
  <si>
    <t xml:space="preserve">'폼 분할' 도구를 이용하여 폼을 생성하면 하위 폼 컨트롤이 자동으로 삽입된다. </t>
  </si>
  <si>
    <t>손실압축기법과 무손실압축기법이 있지만 특허문제나 압축률 등의 이유로 무손실압축 방식은 잘 쓰이지 않는다.</t>
  </si>
  <si>
    <t>JPEG 표준을 사용하는 파일 형식에는 jpg, jpeg, jpe 등의 확장자를 사용한다.</t>
  </si>
  <si>
    <t>파일 크기가 작아 웹 상에서 사진 같은 이미지를 보관하고 전송하는데 사용한다.</t>
  </si>
  <si>
    <t>문자, 선, 세밀한 격자 등 고주파 성분이 많은 이미지의 변환에서는 GIF나 PNG에 비해 품질이 매우 우수하다.</t>
  </si>
  <si>
    <t>최신 버전의 백신 프로그램을 사용한다.</t>
  </si>
  <si>
    <t>다운로드 받은 파일은 작업에 사용하기 전에 바이러스 검사 후 사용한다.</t>
  </si>
  <si>
    <t>전자우편에 첨부된 파일은 다른 이름으로 저장하고 사용한다.</t>
  </si>
  <si>
    <t>네트워크 공유 폴더에 있는 파일은 읽기 전용으로 지정한다.</t>
  </si>
  <si>
    <t>네트워크를 구성할 때 여러 대의 컴퓨터를 연결하여 각 회선을 통합 관리하는 장비이다.</t>
  </si>
  <si>
    <t>네트워크 상에서 가장 최적의 IP 경로를 설정하여 전송하는 장비이다.</t>
  </si>
  <si>
    <t>다른 네트워크와 데이터를 보내고 받기 위한 출입구 역할을 하는 장비이다.</t>
  </si>
  <si>
    <t>인터넷 도메인 네임을 숫자로 된 IP 주소로 바꾸어 주는 장비이다.</t>
  </si>
  <si>
    <t>IP 주소</t>
  </si>
  <si>
    <t>서브넷 마스크</t>
  </si>
  <si>
    <t>어댑터 주소</t>
  </si>
  <si>
    <t>DNS 서버 주소</t>
  </si>
  <si>
    <t>&lt;Ctrl&gt; + &lt;Esc&gt; : 시작 메뉴를 표시</t>
  </si>
  <si>
    <t>&lt;Shift&gt; + &lt;F10&gt; : 선택한 항목의 바로가기 메뉴 표시</t>
  </si>
  <si>
    <t>&lt;Alt&gt; + &lt;Enter&gt; : 선택한 항목 실행</t>
  </si>
  <si>
    <t>&lt;Windows 로고 키&gt; + &lt;E&gt; : 탐색기 실행</t>
  </si>
  <si>
    <t>단방향 통신</t>
  </si>
  <si>
    <t>반이중 통신</t>
  </si>
  <si>
    <t>전이중 통신</t>
  </si>
  <si>
    <t>양방향 통신</t>
  </si>
  <si>
    <t>패치 버전</t>
  </si>
  <si>
    <t>알파 버전</t>
  </si>
  <si>
    <t>트라이얼 버전</t>
  </si>
  <si>
    <t>프리웨어</t>
  </si>
  <si>
    <t>XML</t>
  </si>
  <si>
    <t>VRML</t>
  </si>
  <si>
    <t>HTML5</t>
  </si>
  <si>
    <t>JSP</t>
  </si>
  <si>
    <t>폴더를 마우스로 선택한 후 동일한 드라이브의 다른 폴더로 끌어서 놓으면 이동이 된다.</t>
  </si>
  <si>
    <t>USB에 저장되어 있는 파일을 마우스로 선택한 후 바탕화면으로 끌어서 놓으면 복사가 된다.</t>
  </si>
  <si>
    <t>파일을 마우스로 선택한 후 &lt;Ctrl&gt; 키를 누른 채 같은 드라이브의 다른 폴더로 끌어서 놓으면 복사가 된다.</t>
  </si>
  <si>
    <t>폴더를 마우스로 선택한 후 &lt;Alt&gt; 키를 누른 채 같은 드라이브의 다른 폴더로 끌어서 놓으면 이동이 된다.</t>
  </si>
  <si>
    <t>파일이나 폴더의 저장된 위치에 상관없이 종류별로 파일을 구성하고 액세스할 수 있게 한다.</t>
  </si>
  <si>
    <t>모든 창을 최소화할 필요 없이 바탕 화면을 빠르게 미리 보거나 작업 표시줄의 해당 아이콘을 가리켜서 열린 창을 미리 볼 수 있게 한다.</t>
  </si>
  <si>
    <t>바탕 화면의 배경으로 여러 장의 사진을 선택하여 슬라이드 쇼 효과를 주면서 번갈아 표시할 수 있게 한다.</t>
  </si>
  <si>
    <t>작업 표시줄에서 프로그램 아이콘을 마우스 오른쪽 단추로 클릭하여 최근에 열린 파일 목록을 확인할 수있게 한다.</t>
  </si>
  <si>
    <t>데이터의 전달을 가로막아 수신자측으로 정보가 전달되는 것을 방해하는 행위</t>
  </si>
  <si>
    <t>전송되는 데이터를 전송 도중에 도청 및 몰래 보는 행위</t>
  </si>
  <si>
    <t>전송된 원래의 데이터를 다른 내용으로 수정하여 변조하는 행위</t>
  </si>
  <si>
    <t>다른 송신자로부터 데이터가 송신된 것처럼 꾸미는 행위</t>
  </si>
  <si>
    <t>다중 디스플레이를 설정하여 두 대의 모니터에 화면을 확장하여 표시할 수 있다.</t>
  </si>
  <si>
    <t>돋보기를 사용하여 화면에서 원하는 영역을 확대하여 크게 표시할 수 있다.</t>
  </si>
  <si>
    <t>내레이터를 사용하여 화면의 모든 텍스트를 소리내어 읽어 주도록 설정할 수 있다.</t>
  </si>
  <si>
    <t>키보드가 없어도 입력 가능한 화상 키보드를 표시할 수 있다.</t>
  </si>
  <si>
    <t>바탕 화면에 있는 파일을 [휴지통]으로 드래그 앤 드롭 하여 삭제한 경우</t>
  </si>
  <si>
    <t>USB 메모리에 저장되어 있는 파일을 &lt;Delete&gt; 키로 삭제한 경우</t>
  </si>
  <si>
    <t>네트워크 드라이브의 파일을 바로 가기 메뉴의 [삭제]를 클릭하여 삭제한 경우</t>
  </si>
  <si>
    <t>[휴지통 속성]에서 최대 크기를 0 MB로 설정한 후 [내 문서] 폴더 안의 파일을 삭제한 경우</t>
  </si>
  <si>
    <t>DVI</t>
  </si>
  <si>
    <t>HDMI</t>
  </si>
  <si>
    <t>USB</t>
  </si>
  <si>
    <t>IEEE-1394</t>
  </si>
  <si>
    <t>보조기억장치의 일부를 주기억장치처럼 사용하는 메모리이다.</t>
  </si>
  <si>
    <t>기억된 정보의 내용 일부를 이용하여 주기억장치에 접근하는 장치이다.</t>
  </si>
  <si>
    <t>EEPROM의 일종으로 비휘발성 메모리이다.</t>
  </si>
  <si>
    <t>중앙처리장치(CPU)와 주기억장치 사이에 위치하여 컴퓨터 처리 속도를 향상시키는 메모리이다.</t>
  </si>
  <si>
    <t>회전하는 드럼에 토너를 묻혀서 인쇄하는 방식이다.</t>
  </si>
  <si>
    <t>비충격식이라 비교적 인쇄 소음이 적고 인쇄 속도가 빠르다.</t>
  </si>
  <si>
    <t>인쇄 방식에는 드럼식, 체인식, 밴드식 등이 있다.</t>
  </si>
  <si>
    <t>인쇄 해상도가 높으며 복사기와 같은 원리를 사용한다.</t>
  </si>
  <si>
    <t>웨어러블 컴퓨터</t>
  </si>
  <si>
    <t>마이크로 컴퓨터</t>
  </si>
  <si>
    <t>인공지능 컴퓨터</t>
  </si>
  <si>
    <t>서버 컴퓨터</t>
  </si>
  <si>
    <t>TCP</t>
  </si>
  <si>
    <t>HTTP</t>
  </si>
  <si>
    <t>FTP</t>
  </si>
  <si>
    <t>SMTP</t>
  </si>
  <si>
    <t>새 워크시트의 모든 셀은 기본적으로 '잠금' 속성이 설정되어 있다.</t>
  </si>
  <si>
    <t>워크시트에 있는 셀을 보호하기 위해서는 먼저 셀의 '잠금' 속성을 해제해야 한다.</t>
  </si>
  <si>
    <t>시트 보호를 설정하면 셀에 데이터를 입력하거나 수정 하려고 했을 때 경고 메시지가 나타난다.</t>
  </si>
  <si>
    <t>셀의 '잠금' 속성과 '숨김' 속성은 시트를 보호하기 전까지는 아무런 효과를 내지 못한다.</t>
  </si>
  <si>
    <t>01:02AM</t>
  </si>
  <si>
    <t xml:space="preserve"> 1/4</t>
  </si>
  <si>
    <t>'1234</t>
  </si>
  <si>
    <t>1월30일</t>
  </si>
  <si>
    <t>'메모'는 셀에 설정된 메모의 인쇄 여부를 설정하는 것으로 '없음'과 '시트에 표시된 대로' 중 하나를 선택하여 인쇄할 수 있다.</t>
  </si>
  <si>
    <t>워크시트의 셀 구분선을 그대로 인쇄하려면 '눈금선'에 체크하여 표시하면 된다.</t>
  </si>
  <si>
    <t>'간단하게 인쇄'를 체크하면 설정된 글꼴색은 모두 검정으로, 도형은 테두리 색만 인쇄하여 인쇄 속도를 높인다.</t>
  </si>
  <si>
    <t>'인쇄 영역'에 범위를 지정하면 특정 부분만 인쇄할 수 있으며, 지정한 범위에 숨겨진 행이나 열도 함께 인쇄된다.</t>
  </si>
  <si>
    <t>막대에 채워질 그림은 저장된 파일, 클립보드에 복사되어 있는 파일, 클립 아트에서 선택할 수 있다.</t>
  </si>
  <si>
    <t>늘이기는 값에 비례하여 그림의 너비와 높이가 증가한다.</t>
  </si>
  <si>
    <t>쌓기는 원본 그림의 크기에 따라 단위/그림이 달라진다.</t>
  </si>
  <si>
    <t>'다음 배율에 맞게 쌓기'는 계열 간의 원본 그림 크기가 달라도 단위/그림 같게 설정하면 같은 크기로 표시된다.</t>
  </si>
  <si>
    <t>매크로 생성 시 설정한 바로 가기 키는 [매크로] 대화 상자의 [옵션]에서 변경할 수 있다.</t>
  </si>
  <si>
    <t>기본적으로 바로 가기 키는 &lt;Ctrl&gt; 키와 조합하여 사용하지만 대문자로 지정하면 &lt;Shift&gt; 키가 자동으로 덧붙는다.</t>
  </si>
  <si>
    <t>바로 가기 키의 조합 문자는 영문자만 가능하고, 바로가기 키를 설정하지 않아도 매크로를 생성할 수 있다.</t>
  </si>
  <si>
    <t>엑셀에서 기본적으로 지정되어 있는 바로 가기 키는 매크로의 바로 가기 키로 지정할 수 없다.</t>
  </si>
  <si>
    <t>[페이지 나누기 미리 보기]에서 행 높이와 열 너비를 변경하면 '자동 페이지 나누기'의 위치도 변경된다.</t>
  </si>
  <si>
    <t>[페이지 나누기 미리 보기]에서 수동으로 삽입된 페이지 나누기는 점선으로 표시된다.</t>
  </si>
  <si>
    <t>수동으로 삽입한 페이지 나누기를 제거하려면 페이지 나누기 선 아래 셀의 바로 가기 메뉴에서 [페이지 나누기 제거]를 선택한다.</t>
  </si>
  <si>
    <t>용지 크기, 여백 설정, 배율 옵션 등에 따라 자동 페이지 나누기가 삽입된다.</t>
  </si>
  <si>
    <t>다양한 사무정보 기기를 능숙히 다루기 위하여 많은 노력을 기울인다.</t>
  </si>
  <si>
    <t>바쁜 업무시간 틈틈이 인터넷 강의를 들으며 외국어 공부를 한다.</t>
  </si>
  <si>
    <t>평소 조직 구성원들과 호의적인 관계를 유지하기 위해 노력한다.</t>
  </si>
  <si>
    <t>상사의 직접적인 지시가 없어도 비서의 권한 내에서 스스로 업무를 찾아 수행한다.</t>
  </si>
  <si>
    <t>A: A씨는 국제기구의 사무총장 비서이다. 다음달에 상사가 국제회의에 참석하셔야 하므로 이에 대비해 해당 국가에 가서 연수를 받고자 급하게 한 달간의 단기 연수 교육신청을 하였다.</t>
  </si>
  <si>
    <t>B: B씨는 종합병원 원장 비서이다. 병원 조직의 효율적인 관리와 의사결정을 위해 의료 서비스 관련법과 행정매뉴얼을 숙지하려고 노력하고 있다.</t>
  </si>
  <si>
    <t>C: C씨는 대형로펌의 법률 비서이다. 법률상담 업무를 능숙하게 하기위해 법률관련 문서와 판례를 평소에 꾸준하게 읽고 있다.</t>
  </si>
  <si>
    <t>D: D씨는 벤처기업 사장 비서이다. 상사의 투자자를 찾아 내고 섭외하는 업무를 보좌하기 위해 투자관련 용어를 학습하고 있다.</t>
  </si>
  <si>
    <t>“안녕하세요, 이사님. 저는 상공물산 김영호 사장 비서 이인희입니다. 비 오는데 오늘 출근하시는데 어려움은 없으셨는지요? 다름이 아니고 사장님께서 이사님과 다음 주 약속을 위해 편하신 시간을 여쭈어보라고 하셔서 전화드렸습니다.”</t>
  </si>
  <si>
    <t>“안녕하세요, 상무님. 다음 주 부사장님과 회의가 있는데요, 부사장님은 목요일 점심, 금요일 점심에 시간이 나십니다. 부사장님은 목요일에 관련 회의를 하고 나서 상무님을 뵙는게 낫다고 금요일이 더 좋다고 하십니다. 언제가 편하신가요?”</t>
  </si>
  <si>
    <t>“전무님, 그럼 회의시간이 금요일 12시로 확정되었다고 사장님께 말씀드리겠습니다. 장소도 확정되면 알려 주십시오.”</t>
  </si>
  <si>
    <t>“상무님, 사장님께서 급한 일정으로 회의를 취소하게 되었습니다. 제가 사장님을 대신해서 사과드립니다.”</t>
  </si>
  <si>
    <t>“이번 회의는 정족수 부족으로 회의가 성원 되지 못했습니다.”</t>
  </si>
  <si>
    <t>“김영희 부장이 동의(動議)를 해 주셔서 이번 발의를 채택하도록 하겠습니다.”</t>
  </si>
  <si>
    <t>“동의를 얻은 의안에 대해 개의해 주실 분 있으신가요?”</t>
  </si>
  <si>
    <t>“이번 안건에 대해 표결(表決)을 어떤 식으로 할까요?”</t>
  </si>
  <si>
    <t>김비서는 상사의 회사 도착시각을 예측하기 위해 기사에게 사전에 오찬장소에서 출발할 때 연락을 하도록 부탁한다.</t>
  </si>
  <si>
    <t>김비서는 서준희 회장의 내방객 카드를 찾아 평소 즐기는 차의 종류를 미리 확인하여 준비한다.</t>
  </si>
  <si>
    <t>김비서는 상사와 서준희 회장이 회의실에 도착하기 전에 회의에 동석하기로 되어 있는 홍보 담당 전무에게 연락하여 회의실에 미리 와 있도록 한다.</t>
  </si>
  <si>
    <t>회의자료는 회의 참석자에게 며칠 전에 이메일로 전송하였으므로 참석자에게 상사와 서준희 회장이 회의실에 도착하기 직전에 자료 확인 문자를 넣도록 한다.</t>
  </si>
  <si>
    <t>감사하지만 다른 일정으로 참석이 어려움을 밝힌다. 이후 상사에게는 관련 사실을 보고한다.</t>
  </si>
  <si>
    <t>상사 지인에게 단호하게 거절하며 불쾌함을 분명히 표현한다.</t>
  </si>
  <si>
    <t>사내 여사원 온라인 게시판에 익명으로 관련 내용을 문의한다.</t>
  </si>
  <si>
    <t>평소에 잘 알고 지내온 터라 편한 마음으로 식사를 함께 하며 상사에게는 특별히 언급하지 않는다.</t>
  </si>
  <si>
    <t>해외 항공권 예약 시에는 e-티켓으로 예약 확인하고 한 번 더 예약확인서를 문자로 요청하였다.</t>
  </si>
  <si>
    <t>성수기로 항공권 예약이 어려울 것을 예측하여 우선 비서의 이름과 여권번호로 항공권 예약을 해서 좌석을 확보해 둔다.</t>
  </si>
  <si>
    <t>상사가 선호하는 항공편의 좌석이 없을 때는 일단 다른 비행기를 예약하고, 상사가 원하는 항공편의 좌석이 나왔는지 수시로 확인한다.</t>
  </si>
  <si>
    <t>상사가 동행인이나 관계자가 있는 경우, 상대방의 형편도 고려하여 출발시간을 잡아 예약한다.</t>
  </si>
  <si>
    <t>출장 중 상사 업무 대행자가 처리할 업무와 출장지의 상사에게 연락해야 할 업무 등을 구분하여 상사로부터 미리 지시를 받는다.</t>
  </si>
  <si>
    <t>상사와 일정한 시간을 정해 놓고 전화 통화를 하거나 email, SNS 등을 이용하면 편리하게 업무보고와 지시를 받을 수 있다.</t>
  </si>
  <si>
    <t>비서는 상사 출장 중에 그동안 밀렸던 업무를 처리한다.</t>
  </si>
  <si>
    <t>상사 업무 대행자 지정은 상사가 출발한 후 조직의 규정에 따라 지정하면 된다.</t>
  </si>
  <si>
    <t>단상에 좌석을 마련할 경우는 행사에 참석한 최상위자를 중심으로 단 아래를 향하여 우좌의 순으로 교차 배치한다.</t>
  </si>
  <si>
    <t>단하에 좌석을 마련할 경우는 분야별로 좌석 군을 정하는 것이 무난하여, 당해 행사의 관련성을 고려하여 단상을 중심으로 가까운 위치부터 배치한다.</t>
  </si>
  <si>
    <t>단하에 좌석을 마련할 경우 분야별로 양분하는 경우에는 단상에서 단하를 바라보아 연대를 중심으로 왼쪽은 외부 초청 인사를, 그 오른쪽은 행사 주관 기관 인사로 구분하여 배치한다.</t>
  </si>
  <si>
    <t>주관 기관의 소속 직원은 뒤에, 초청 인사는 앞으로 한다. 행사 진행과 직접 관련이 있는 참석자는 단상에 근접하여 배치한다.</t>
  </si>
  <si>
    <t>단자(單子): 부조나 선물 따위의 내용을 적은 종이</t>
  </si>
  <si>
    <t>장지(葬地): 장사하여 시신을 묻는 장소</t>
  </si>
  <si>
    <t>빈소(殯所): 상여가 나갈 때까지 관을 놓아두는 방</t>
  </si>
  <si>
    <t>발인(發人): 상여가 떠나는 절차</t>
  </si>
  <si>
    <t>business suit: 남성정장으로 색, 무늬, 스타일 등의 제한을 받는다.</t>
  </si>
  <si>
    <t>lounge suit: 남성 정장으로 조끼와 자켓을 갖추어 입는다.</t>
  </si>
  <si>
    <t>black tie: 예복으로 남성의 경우 검은 나비 타이를 착용한다.</t>
  </si>
  <si>
    <t>smart casual: 티셔츠에 면바지가 허용되는 편안한 복장이다.</t>
  </si>
  <si>
    <t>위기에 처했을 때 보고하는 것도 중요하지만 평소에 중간보고를 충실히 하여 예측되는 문제를 미연에 방지한다.</t>
  </si>
  <si>
    <t>업무 진행 상황을 자주 보고하여 상사가 일이 어느 정도 속도로, 또 어떤 분위기로 진행되고 있는지 알 수 있도록 한다.</t>
  </si>
  <si>
    <t>업무의 절차적 당위성을 확보하기 위해 조직 내 공식적인 채널을 통해서만 보고한다.</t>
  </si>
  <si>
    <t>업무 중간 중간에 상사의 의견을 물어 잘못되었을 경우 수정할 수 있는 시간을 갖는다.</t>
  </si>
  <si>
    <t>보좌하고 있는 의원의 활동을 보도하기 위해 배포할 내용을 언론사의 배포 부서별로 선정을 해 두었다.</t>
  </si>
  <si>
    <t>작성된 보도 자료는 보안을 위해 언론사에 직접 방문하여 제출하였다.</t>
  </si>
  <si>
    <t>보도하고자 하는 내용은 최대한 상세하게 6하원칙에 의해 작성한다.</t>
  </si>
  <si>
    <t>연설문, 기고문, 축사는 홍보의 내용이 아니므로 전문가의 의견까지 받을 필요가 없다.</t>
  </si>
  <si>
    <t>지출결의서를 작성하여야 하는데, 지출결의서란 올바른 회계처리를 하기 위한 기초 자료임과 동시에 대표자나 경영진이 올바른 자금 집행을 하기 위한 중요한 서식이다.</t>
  </si>
  <si>
    <t>업무용 프린터 구입이므로 일반 경비 지출 결의서에 작성한다.</t>
  </si>
  <si>
    <t>매년 정기적으로 구매하는 프린터 용지, 프린터 토너 등의 구입 시에도 지출 요청일 최소 5일 이전에 결재 받아야 한다.</t>
  </si>
  <si>
    <t>예산 한도 내에서 결제할 때는 결재 받을 필요가 없다.</t>
  </si>
  <si>
    <t>외국 손님의 인적사항은 공식 프로필에서 확인하는 것이 원칙이다.</t>
  </si>
  <si>
    <t>국가에 따라 문화가 다르므로 상호주의 원칙을 따른다.</t>
  </si>
  <si>
    <t>의전 시 서열 기준은 직위이나 행사 관련성에 따라 서열기준이 바뀔 수 있다.</t>
  </si>
  <si>
    <t>손님의 선호하는 음식이나 금기 음식을 사전에 확인하여 식당 예약을 한다.</t>
  </si>
  <si>
    <t>지역사회: 비즈니스 환경에서 동행하며 이들의 요구를 충족시키는 것은 기업 성공의 최고 핵심 조건이다.</t>
  </si>
  <si>
    <t>파트너: 기업과 파트너십을 맺고 있는 협력업체와의 신뢰확보는 기업 경쟁력의 버팀목이다.</t>
  </si>
  <si>
    <t>고객: 기업이 사업장을 마련하여 이해관계를 같이 하는 곳이다.</t>
  </si>
  <si>
    <t>투자자: 기업을 믿고 지지한 주주로서 기업의 고객과 가장 가까운 곳에 위치한다.</t>
  </si>
  <si>
    <t>종업원들에게 경영참가제도와 복지후생제도를 도입 활용한다.</t>
  </si>
  <si>
    <t>제3세계 커피농가에 합리적 가격을 지불하고 사들인 공정무역커피를 판매한다.</t>
  </si>
  <si>
    <t>저소득층 가정의 학생들에게 아침밥을 제공한다.</t>
  </si>
  <si>
    <t>제3세계 농부들에게 코코아 재배에 관한 교육을 제공하여 숙련도를 높이고 양질의 코코아를 제공받아 초콜릿을 생산한다.</t>
  </si>
  <si>
    <t>협동조합은 출자액의 규모와 관계없이 1인 1표의 원칙을 갖고 있다.</t>
  </si>
  <si>
    <t>협동조합은 영리를 목적으로 설립한 공동기업의 형태이며 조합원들에게 주식을 배당한다.</t>
  </si>
  <si>
    <t>소비자협동조합은 비영리 조합원 소유의 금융협동체로서 조합원들에게 대출 서비스를 주요 사업으로 한다.</t>
  </si>
  <si>
    <t>협동조합은 소수 공동기업으로 운영되며 이익이나 손실에 대해 조합장이 유한책임을 진다.</t>
  </si>
  <si>
    <t>실사: 기업의 인수합병계약 전 대상기업의 재무, 영업, 법적현황 등을 파악하는 절차</t>
  </si>
  <si>
    <t>협상: M&amp;A 과정중 가장 중요한 단계로 계약서를 작성하는 단계</t>
  </si>
  <si>
    <t>계약: 계약 체결을 위해 대상기업과의 교섭 단계</t>
  </si>
  <si>
    <t>합병후 통합: 대상기업과의 인수가격, 인수형태 등 법적 절차를 협상하는 단계</t>
  </si>
  <si>
    <t>기존 산업 내 경쟁 정도</t>
  </si>
  <si>
    <t>공급자의 협상력</t>
  </si>
  <si>
    <t>신규 시장 진입자의 위협</t>
  </si>
  <si>
    <t>정부의 금융·재정정책</t>
  </si>
  <si>
    <t>자금과 인력의 조달이 어렵다.</t>
  </si>
  <si>
    <t>경영진의 영향력이 커서 실행이 보다 용이하다.</t>
  </si>
  <si>
    <t>규모가 작아 고용 증대에 큰 기여를 하지 못한다.</t>
  </si>
  <si>
    <t>환경의 변화에 보다 신속하게 대응할 수 있다.</t>
  </si>
  <si>
    <t>조직화의 의미는 부서수준에서 부장, 과장, 대리 등으로 직무를 설계하여 업무가 배분되고 조정되도록 하는 것을 의미한다.</t>
  </si>
  <si>
    <t>조직화 과정에는 일반적으로 계획된 목표달성을 위해 필요한 구체적인 활동을 확정하는 단계가 있다.</t>
  </si>
  <si>
    <t>구체적인 활동이 확정되면 개개인이 수행할 수 있도록 일정한 패턴이나 구조로 집단화시키는 단계가 있다.</t>
  </si>
  <si>
    <t>조직화란 과업을 수행하기 위해 구성원과 필요한 자원을 어떻게 배열할 것인가를 구상하는 과정이다.</t>
  </si>
  <si>
    <t>유기적 조직은 환경이 급변하고 복잡한 경우 기계적 조직보다 적합하다 할 수 있다.</t>
  </si>
  <si>
    <t>기계적 조직은 유기적 조직에 비해 집단화 정도와 공식화 정도가 높다.</t>
  </si>
  <si>
    <t>유기적 조직은 직무내용이 유사하고 관련성이 높은 업무를 우선적으로 결합하여 업무의 전문성을 우선시하는 조직이라 할 수 있다.</t>
  </si>
  <si>
    <t>라인(line)구조는 조직의 목표 달성에 직접적인 책임을 지고 있는 기능을 가지고 있다.</t>
  </si>
  <si>
    <t>정보적 역할</t>
  </si>
  <si>
    <t>대인적 역할</t>
  </si>
  <si>
    <t>의사결정적 역할</t>
  </si>
  <si>
    <t>협상자 역할</t>
  </si>
  <si>
    <t>블레이크와 모튼의 관리격자이론에서 (1.9)형은 과업형 리더유형이다.</t>
  </si>
  <si>
    <t>피들러는 리더십의 결정요인이 리더가 처해있는 조직 상황에 있다고 주장한다.</t>
  </si>
  <si>
    <t>허쉬와 블랜차드는 부하의 성숙도가 가장 높을 때는 지시형 리더보다는 위임형 리더가 더 효과적이라고 제안한다.</t>
  </si>
  <si>
    <t>번즈의 변혁적 리더십은 카리스마, 지적자극, 개별적 배려로 구성되어 있다.</t>
  </si>
  <si>
    <t>유한회사의 사원은 의결권 등에서는 주식회사와 유사하다.</t>
  </si>
  <si>
    <t>50인 이하의 유한책임사원과 무한책임사원으로 구성된다.</t>
  </si>
  <si>
    <t>주식회사보다는 자본규모가 작고 출자지분의 양도도 사원총회의 승인을 받아야 한다.</t>
  </si>
  <si>
    <t>소수의 사원과 소액의 자본으로 운영되는 중소기업에 적당한 기업형태이다.</t>
  </si>
  <si>
    <t>의사결정과 관련된 문제의 복잡성, 모호성, 가변성 등으로 문제를 정확하게 파악하기 어렵다.</t>
  </si>
  <si>
    <t>의사결정과 관련된 기초자료의 불확실성, 주변환경과의 불확실성, 의사결정 후의 불확실성 등으로 의사결정이 어렵다.</t>
  </si>
  <si>
    <t>의사결정과정은 문제인식, 결정기준의 명시, 대안 도출, 대안평가, 대안 선정의 과정을 포함한다.</t>
  </si>
  <si>
    <t>다양한 선택기준으로 대안을 비교할 때 하나의 기준이 아닌, 기업의 이익, 비용, 규모, 이미지 등 여러 요소를 고려해야 하기에 의사결정이 어렵다.</t>
  </si>
  <si>
    <t>재무적 성과: 고객 관점</t>
  </si>
  <si>
    <t>재무적 성과: 재무 관점</t>
  </si>
  <si>
    <t>비재무적 성과: 외부 프로세스 관점</t>
  </si>
  <si>
    <t>비재무적 성과: 학습과 성장 관점</t>
  </si>
  <si>
    <t>디마케팅(demarketing)은 자사 제품이나 서비스에 대한 수요를 일시적 또는 영구적으로 감소시키려는 마케팅이다.</t>
  </si>
  <si>
    <t>퍼미션(permission)마케팅은 같은 고객에게 관련된 기존상품 또는 신상품을 판매하는 마케팅이다.</t>
  </si>
  <si>
    <t>자극(stimulation)마케팅은 제품에 대한 지식이나 관심이 없는 소비자에게 자극을 주어 욕구를 가지게 하는 마케팅이다.</t>
  </si>
  <si>
    <t>바이럴(viral)마케팅은 네티즌들이 이메일이나 다른 전파매체를 통해 자발적으로 제품을 홍보하는 메시지를 퍼트리는 것을 촉진하는 마케팅이다.</t>
  </si>
  <si>
    <t>현금통화비율</t>
  </si>
  <si>
    <t>현금비율</t>
  </si>
  <si>
    <t>지급준비율</t>
  </si>
  <si>
    <t>본원통화</t>
  </si>
  <si>
    <t>도착 서류함 - in-tray</t>
  </si>
  <si>
    <t>연필깎이 - sharpener</t>
  </si>
  <si>
    <t>소화기 - fire end</t>
  </si>
  <si>
    <t>(회사명이 들어있는) 편지지 - letterhead paper</t>
  </si>
  <si>
    <t>MOU: Merging of United</t>
  </si>
  <si>
    <t>IT: Information Technology</t>
  </si>
  <si>
    <t>CV: Curriculum Vitae</t>
  </si>
  <si>
    <t>M&amp;A: Merger and Acquisition</t>
  </si>
  <si>
    <t>First, let me congratulate you the rapid growth of your operation.</t>
  </si>
  <si>
    <t>I'm pleased to learn of the succession you have been.</t>
  </si>
  <si>
    <t>He will be scheduled an appointment with you within a few day.</t>
  </si>
  <si>
    <t>I would like to arrange an appointment with you so that we can go over any questions you might have.</t>
  </si>
  <si>
    <t>Can we have a quick show of hands?</t>
  </si>
  <si>
    <t>Let's try to keep each item to 15 minutes.</t>
  </si>
  <si>
    <t>Thank you for coming and for your contributions.</t>
  </si>
  <si>
    <t>I think we've covered everything on the agenda.</t>
  </si>
  <si>
    <t>첫째 항목기호는 왼쪽 처음부터 띄어쓰기 없이 왼쪽 기본선에서 시작한다.</t>
  </si>
  <si>
    <t>하위 항목부터는 상위 항목 위치에서 오른쪽으로 2타씩 옮겨 시작한다.</t>
  </si>
  <si>
    <t>항목이 한줄 이상인 경우에는 항목 기호(1., 2., 3., 4., …) 위치에 맞추어 정렬한다.</t>
  </si>
  <si>
    <t>항목이 하나만 있는 경우 항목기호를 부여하지 아니한다.</t>
  </si>
  <si>
    <t>공문서 중 비치문서는 민원인이 행정 기관에 허가, 인가, 그 밖의 처분 등 특정한 행위를 요구하는 문서와 그에 대한 처리 문서를 뜻한다.</t>
  </si>
  <si>
    <t>비서실에서는 거래 문서보다 초대장, 행사 안내문, 인사장, 축하장, 감사장 등과 같은 문서의 비중이 높은 편이다.</t>
  </si>
  <si>
    <t>전자 문서 시스템, 사무용 소프트웨어 뿐 아니라 홈페이지 게시 등과 같이 작성되는 문서도 전자 문서에 속한다.</t>
  </si>
  <si>
    <t>문서 작성 소프트웨어에 의해 작성되었다고 하더라도 인쇄되어 종이의 형태로 유통된다면 종이 문서라고 할 수 있다.</t>
  </si>
  <si>
    <t>≪영산강≫은 사진집 &lt;아름다운 우리나라&gt;에 실린 작품이다.</t>
  </si>
  <si>
    <t>이번 회의에는 두 명[이혜정(실장), 박철용(과장)]만 빼고 모두 참석했습니다.</t>
  </si>
  <si>
    <t>내일 오전까지 보고서를 제출할 것.</t>
  </si>
  <si>
    <t>“설마 네가 그럴 줄은….” 라고 경수가 탄식했다.</t>
  </si>
  <si>
    <t>비서실에서 종이문서를 일반스캐너를 이용하여 이미지화한 문서는 종이 문서와 동일하게 법적 효력을 인정받는다.</t>
  </si>
  <si>
    <t>전자문서는 특별규정이 없는 한 전자적인 형태로 되어 있다는 이유로 문서로서의 효력이 부인되지 않는다.</t>
  </si>
  <si>
    <t>전자문서는 일반 문서 작성용 소프트웨어를 사용하여 작성, 저장된 파일도 해당한다.</t>
  </si>
  <si>
    <t>전자적 이미지 및 영상 등 디지털 콘텐츠도 전자문서에 해당한다.</t>
  </si>
  <si>
    <t>전자이미지서명이란 기안자·검토자·협조자·결재권자 또는 발신명의인이 전자문서상에 전자적인 이미지 형태로 된 자기의 성명을 표시하는 것을 말한다.</t>
  </si>
  <si>
    <t>전자문자서명이란 기안자·검토자·협조자·결재권자 또는 발신명의인이 전자문서상에 자동 생성된 자기의 성명을 전자적인 문자 형태로 표시하는 것을 말한다.</t>
  </si>
  <si>
    <t>전자문서는 업무관리시스템 또는 전자문서시스템에서 전자문자서명을 하면 시행문이 된다.</t>
  </si>
  <si>
    <t>전자문서의 경우에는 수신자가 관리하거나 지정한 전자적시스템에 입력됨으로써 그 효력을 발생하는 도달주의를 원칙으로 한다.</t>
  </si>
  <si>
    <t>프레젠테이션 슬라이드는 기본적으로 시각 자료이며 텍스트와 그림을 전달내용에 맞추어 적절하게 구성하는 활동이 중요하다.</t>
  </si>
  <si>
    <t>프레젠테이션 슬라이드는 서론, 본론, 결론의 단계성보다는 도형과 그림 중심으로 시각화하는 것이 중요하다.</t>
  </si>
  <si>
    <t>시각 자료의 양은 발표 분량이나 시간을 고려하여 결정되어야 하며 효과적으로 배치하여야 한다.</t>
  </si>
  <si>
    <t>프레젠테이션을 구성하는 주제, 내용, 시각자료 등은 논리적 연관관계가 치밀해야 한다.</t>
  </si>
  <si>
    <t>강비서는 상사의 지인에 관련한 부음을 신문에서 보고 해당인물의 비서실에 전화를 걸어서 확인하였다.</t>
  </si>
  <si>
    <t>민비서는 보고서 작성을 위해 사내 인트라넷을 이용하여 1차 관련자료를 수집한 후 외부자원을 위해서 추가 자료를 수집하였다.</t>
  </si>
  <si>
    <t>정비서는 웹자료를 검색할 때에 정보의 질이 우수하여, 출처가 불분명한 글을 인용하였다.</t>
  </si>
  <si>
    <t>박비서는 인터넷검색이 불가능한 오래된 귀중본 열람을 위해서 소장여부 및 열람가능여부 확인 후 도서관에 직접 방문하였다.</t>
  </si>
  <si>
    <t>사물인터넷(Internet of Things, IoT)은 사물 등에 센서를 달아 실시간으로 데이터를 수집하고 주고받는 기술이다.</t>
  </si>
  <si>
    <t>IoT라는 용어는 1999년에 케빈 애쉬튼이 처음 사용하기 시작했다.</t>
  </si>
  <si>
    <t>보안 취약성, 개인정보 유출 등에 관한 우려가 존재하여 이에 대한 대응이 요구된다.</t>
  </si>
  <si>
    <t>IoT에 관련한 국제표준이 부재하여 시장 전망에 비해 시장확대 속도가 느린 편이다.</t>
  </si>
  <si>
    <t>USB 2.0에 비해 USB 3.0 버전은 빠른 데이터 전송이 가능하다.</t>
  </si>
  <si>
    <t>USB 인터페이스는 전원이 켜진 상태에서도 장치를 연결하거나 분리, 혹은 교환이 가능한 간편한 사용법이 특징이다.</t>
  </si>
  <si>
    <t>USB 3.0 버전은 USB 2.0 버전과 구별하기 위해 보라색 포트사용을 권장하고 있다.</t>
  </si>
  <si>
    <t>별도의 소프트웨어 설치 없이도 상당수의 USB 장치(키보드, 마우스, 웹캠, USB 메모리, 외장하드 등)들을 간단히 사용할 수 있다.</t>
  </si>
  <si>
    <t>드롭박스</t>
  </si>
  <si>
    <t>구글 드라이브</t>
  </si>
  <si>
    <t>스카이프</t>
  </si>
  <si>
    <t>마이크로소프트 원드라이브</t>
  </si>
  <si>
    <t xml:space="preserve">비서는 상사의 직접적인 감독하에 업무 책임을 져야 하는 직종이다. </t>
  </si>
  <si>
    <t xml:space="preserve">비서는 솔선수범과 판단력을 발휘하여 상사 본연의 업무를 보좌하는 직종이다. </t>
  </si>
  <si>
    <t xml:space="preserve">비서는 주어진 권한 범위 내에서 의사결정을 내려 업무를 처리할 수 있다. </t>
  </si>
  <si>
    <t xml:space="preserve">비서는 보안상 주어진 모든 업무를 직접 처리해야 한다. </t>
  </si>
  <si>
    <t xml:space="preserve">한국건설 대표이사의 비서인 김나정은 평소 상사에게 올라오는 서류의 내용을 파악함으로써 상사의 업무를 파악하려 노력한다. </t>
  </si>
  <si>
    <t xml:space="preserve">영도물산 이지은 비서는 매일 신문의 인사 동향을 확인하고 주요 기사는 스크랩한다. </t>
  </si>
  <si>
    <t xml:space="preserve">미풍상사 황아영 비서는 업무 중에 틈나는 대로 회계공부를 한다. </t>
  </si>
  <si>
    <t xml:space="preserve">왕도출판사 김영숙 비서는 비서를 대상으로 하는 커뮤니티에 가입해 같은 지역 비서들과 정기적으로 만나며 네트워크를 넓혀나가고 있다. </t>
  </si>
  <si>
    <t xml:space="preserve">상사의 출장 동안 걸려온 전화는 전화메모 용지에 작성하기보다 전화 기록부의 형태로 작성해서 상사에게 보고한다. </t>
  </si>
  <si>
    <t xml:space="preserve">전화기록부를 작성해두면 상사가 출장 중에 걸려온 전화를 전체적으로 파악할 수 있을 뿐 아니라 중요한 전화를 먼저 처리할 수 있다. </t>
  </si>
  <si>
    <t xml:space="preserve">전화기록부는 상사가 주요 발신자와 통화를 마치면 폐기한다. </t>
  </si>
  <si>
    <t xml:space="preserve">전화 기록부에는 날짜, 시간, 전화 건 사람의 이름 및 직책, 소속, 전화메모 내용, 전화 번호 등을 포함시킨다. </t>
  </si>
  <si>
    <t xml:space="preserve">VIP 손님과 사내 임원진들의 회의 시 VIP 손님을 입구에서 가까운 창가 쪽 좌석으로 안내하였다. </t>
  </si>
  <si>
    <t xml:space="preserve">상사의 대학교 후배 내방 시 후배부터 차를 대접하였다. </t>
  </si>
  <si>
    <t xml:space="preserve">기사가 운전하는 차에 비서가 상사와 함께 타게 되어 뒷자리의 상사 옆좌석에 탑승하였다. </t>
  </si>
  <si>
    <t xml:space="preserve">수동 회전문 앞에서 비서가 손님보다 먼저 들어가서 안내하였다. </t>
  </si>
  <si>
    <t xml:space="preserve">Respect: 의전의 바탕은 상대 문화 및 상대방에 대한 존중과 배려에 있다. </t>
  </si>
  <si>
    <t xml:space="preserve">Reciprocity: 의전은 내가 배려한 만큼 상대방으로부터 배려를 기대하는 것이다. </t>
  </si>
  <si>
    <t xml:space="preserve">Rank: 의전에 있어 가장 기본이 되는 것은 참석자들 간에 서열을 지키는 것이다. </t>
  </si>
  <si>
    <t xml:space="preserve">Reflecting Culture: 의전은 시대와 문화에 따라 변하지 않고 절대적으로 지키는 원칙이다. </t>
  </si>
  <si>
    <t xml:space="preserve">일정관리 어플리케이션은 Awesome note, Ms-outlook, Jorte 등이 있다. </t>
  </si>
  <si>
    <t xml:space="preserve">컴퓨터와 스마트폰을 연동하여 일정을 관리하므로 비서는 언제 어디서나 상사의 일정을 관리할 수 있어 효율적이다. </t>
  </si>
  <si>
    <t xml:space="preserve">상사와 비서의 스마트폰 운영체제가 일치하여야 일정관리 프로그램과 스마트폰을 연동하여 사용할 수 있다. </t>
  </si>
  <si>
    <t xml:space="preserve">컴퓨터 일정관리 프로그램과 스마트폰을 연동하여 사용하는 것을 일정 동기화라고 한다. </t>
  </si>
  <si>
    <t xml:space="preserve">라운딩 일자에 우천 예보가 있어서 경기 취소 규정을 확인한다. </t>
  </si>
  <si>
    <t xml:space="preserve">주중 이용료와 주말 이용료 차이가 있는지 확인한다. </t>
  </si>
  <si>
    <t xml:space="preserve">골프장 예약 전에 라운딩 동반자들의 실명을 반드시 확인한다. </t>
  </si>
  <si>
    <t xml:space="preserve">골프장 예약 전에 상사가 선호하는 tee off time을 확인한다. </t>
  </si>
  <si>
    <t xml:space="preserve">상사 해외 출장 시 출장일정표의 일시는 우리나라 일시와 현지 일시를 동시에 표기해야 한다. </t>
  </si>
  <si>
    <t xml:space="preserve">출장일정표 작성 시 글자를 작게 해서라도 일정을 한눈에 볼 수 있게 한 장의 표로 작성한다. </t>
  </si>
  <si>
    <t xml:space="preserve">상사의 스마트기기에 출장일정을 연동해 두어 상사가 언제 어디서나 출장일정을 확인할 수 있도록 해 둔다. </t>
  </si>
  <si>
    <t xml:space="preserve">출장 일정표에는 보안상 숙소의 이름이나 면담자 성명과 연락처 등 상세한 정보는 기재하지 않는다. </t>
  </si>
  <si>
    <t xml:space="preserve">“다음 순서로, 회장님의 축사가 있으시겠습니다.” </t>
  </si>
  <si>
    <t xml:space="preserve">“실례가 안 된다면 상무님의 자녀는 몇명이신가요?” </t>
  </si>
  <si>
    <t xml:space="preserve">“죄송합니다만, 사장님께서 급한 사정으로 참석이 힘들다고 말씀 전해달라 하셨습니다.” </t>
  </si>
  <si>
    <t xml:space="preserve">“제가 회장님실로 안내해 드리겠습니다.” </t>
  </si>
  <si>
    <t xml:space="preserve">영국은 시계를 선물하는 것은 시간보다 중요한 것은 없다는 긍정적 의미이므로 선물해도 무방하다. </t>
  </si>
  <si>
    <t xml:space="preserve">중국은 시계를 선물하는 것은 '시계를 선물한다'가 '장례를 치르다'는 의미인 쑹중(送終)과 발음이 같으므로 이제 관계를 끝내자는 의미로 부적절하다. </t>
  </si>
  <si>
    <t xml:space="preserve">중국은 신발을 선물하는 것은 신발의 발음이 셰(鞋)로 사악하다는 의미인 셰(邪)와 발음이 같아 부적절하다. </t>
  </si>
  <si>
    <t xml:space="preserve">일본에 한국 도자기를 선물하는 것은 역사적인 의미를 담으므로 금기시 된다. </t>
  </si>
  <si>
    <t xml:space="preserve">직급: 科長, 局長 </t>
  </si>
  <si>
    <t xml:space="preserve">경사: 榮轉, 昇進 </t>
  </si>
  <si>
    <t xml:space="preserve">조사: 弔義, 賻儀 </t>
  </si>
  <si>
    <t xml:space="preserve">부서: 企劃室, 營業府 </t>
  </si>
  <si>
    <t xml:space="preserve">문장을 간략하게 육하원칙에 의거하여 요점 중심으로 작성하였다. </t>
  </si>
  <si>
    <t xml:space="preserve">보고서는 가능한 한 장으로 작성하고, 기타 필요한 내용은 별첨으로 처리하였다. </t>
  </si>
  <si>
    <t xml:space="preserve">입수한 자료가 불충분하여 개인적 추측을 더해 보고서를 작성하였다. </t>
  </si>
  <si>
    <t xml:space="preserve">구두 보고 시 상사가 궁금해 하는 내용을 먼저 보고하였다. </t>
  </si>
  <si>
    <t xml:space="preserve">새로운 내용이 추가되어야 할 때는 상사 이력을 수정하고 수정한 일자를 기록해 둔다. </t>
  </si>
  <si>
    <t xml:space="preserve">상사의 이력은 상사의 허락을 받은 후 대내외에 공개할 수 있다. </t>
  </si>
  <si>
    <t xml:space="preserve">대내외에 공개할 때는 모든 경력이 기재된 이력서 원본을 공개하는 것이 좋다. </t>
  </si>
  <si>
    <t xml:space="preserve">전임자에게 인수인계 받은 이력서라도 학교명이나 학위 등의 정확한 표기를 다시 한 번 확인하는 것이 좋다. </t>
  </si>
  <si>
    <t xml:space="preserve">비서실 사무용품 구입 시, 경비 지출 규정집 등을 참고하여 경비 처리 규정 준수 여부를 확인한다. </t>
  </si>
  <si>
    <t xml:space="preserve">경비 처리 규정을 넘는 품목은 결재권자의 사전 승인을 얻은 후 구매 주문을 실행한다. </t>
  </si>
  <si>
    <t xml:space="preserve">상사가 지출한 접대비 중 그 성격상 지출 내역을 밝힐 수 없는 비용이나 증빙을 갖추지 못한 접대비는 지출결의서를 작성해야하며 세법상 비용을 인정받을 수 있다. </t>
  </si>
  <si>
    <t xml:space="preserve">영수증은 거래의 유효성을 뒷받침하는 증거 서류이므로 훼손되거나 분실하지 않도록 주의한다. </t>
  </si>
  <si>
    <t xml:space="preserve">소유권 이전의 용이성 </t>
  </si>
  <si>
    <t xml:space="preserve">소유권자의 유한 자본조달 책임 </t>
  </si>
  <si>
    <t xml:space="preserve">상대적으로 적은 주식회사 설립 비용 </t>
  </si>
  <si>
    <t xml:space="preserve">자본조달의 확대 가능 </t>
  </si>
  <si>
    <t xml:space="preserve">시장점유율이 비슷한 경우 </t>
  </si>
  <si>
    <t xml:space="preserve">산업성장률이 높은 경우 </t>
  </si>
  <si>
    <t xml:space="preserve">시장진입장벽이 낮은 경우 </t>
  </si>
  <si>
    <t xml:space="preserve">대체재 수가 많은 경우 </t>
  </si>
  <si>
    <t xml:space="preserve">기업은 출자의 주체에 따라 사기업, 공기업, 공사공동기업 등으로 구분된다. </t>
  </si>
  <si>
    <t xml:space="preserve">사기업은 다시 출자자의 수에 따라 개인기업과 주식회사로 분류할 수 있다. </t>
  </si>
  <si>
    <t xml:space="preserve">다수공동기업의 형태로는 합명회사, 합자회사, 유한회사 등이 있다. </t>
  </si>
  <si>
    <t xml:space="preserve">국영기업, 지방공기업, 익명조합, 공사, 공단 등은 공기업의 예이다. </t>
  </si>
  <si>
    <t xml:space="preserve">인력 확보 </t>
  </si>
  <si>
    <t xml:space="preserve">가격경쟁의 불리함 </t>
  </si>
  <si>
    <t xml:space="preserve">자금 확보 </t>
  </si>
  <si>
    <t xml:space="preserve">강력한 정부 규제 </t>
  </si>
  <si>
    <t xml:space="preserve">조직 - 지휘 – 계획 - 통제 </t>
  </si>
  <si>
    <t xml:space="preserve">계획 - 조직 – 지휘 - 통제 </t>
  </si>
  <si>
    <t xml:space="preserve">지휘 – 통제 – 계획 - 조직 </t>
  </si>
  <si>
    <t xml:space="preserve">조직 – 계획 – 통제 - 지휘 </t>
  </si>
  <si>
    <t xml:space="preserve">기업은 경영활동에 관련된 의사결정이 특정개인이나 사회전반에 미칠 수 있는 영향을 고려해야 하는 의무가 있다. </t>
  </si>
  <si>
    <t xml:space="preserve">기업은 주주와 내부고객을 위해 최대이윤을 확보함으로써 기업을 유지 발전시켜야 하는 책임이 있다. </t>
  </si>
  <si>
    <t xml:space="preserve">기업의 사회적 책임에는 기업의 유지 및 발전에 대한 책임, 환경에 대한 책임, 공정경쟁의 책임, 지역사회에 대한 책임 등이 포함된다. </t>
  </si>
  <si>
    <t xml:space="preserve">기업이 사회적 책임을 이행하면 결국 고객과 사회로부터 신뢰와 좋은 평판을 얻게되어 기업이미지와 매출에 긍정적으로 작용할 수 있다. </t>
  </si>
  <si>
    <t xml:space="preserve">사업부제조직은 각 사업부의 성과와 기여도가 명확히 나타나므로 경영통제가 용이하다는 장점이 있다. </t>
  </si>
  <si>
    <t xml:space="preserve">매트릭스조직은 이중적 지휘체계 때문에 구성원들의 역할갈등과 역할 모호성을 유발할 수 있다. </t>
  </si>
  <si>
    <t xml:space="preserve">네트워크조직은 자원중복과 투자를 감소시켜 적은 자산과 인력으로 기업을 운영할 수 있다는 장점이 있다. </t>
  </si>
  <si>
    <t xml:space="preserve">위원회조직은 주어진 과업이 구체적이므로 책임이 명확하며 의사결정과정이 신속하고 합의가 용이하다는 장점이 있다. </t>
  </si>
  <si>
    <t xml:space="preserve">안전 욕구 → 사회적 욕구 → 성취 욕구 → 자아실현 욕구 → 존경 욕구 </t>
  </si>
  <si>
    <t xml:space="preserve">존재 욕구 → 안전 욕구 → 사회적 욕구 → 성장 욕구 → 자아실현 욕구 </t>
  </si>
  <si>
    <t xml:space="preserve">안전 욕구 → 사회적 욕구 → 권력 욕구 → 자아실현 욕구 → 존경 욕구 </t>
  </si>
  <si>
    <t xml:space="preserve">생리적 욕구 → 안전 욕구 → 사회적 욕구 → 존경 욕구 → 자아실현 욕구 </t>
  </si>
  <si>
    <t xml:space="preserve">경영자의 책무 중 리더십은 다른 사람을 동기부여시킴으로써 그들로 하여금 특정목적을 달성할 수 있는 활동을 하도록 하는 것이다. </t>
  </si>
  <si>
    <t xml:space="preserve">리더십 개념은 초기에 특성이론으로 바람직한 위인의 특성을 찾고자 하는 연구였으며, 위인이론에 집중되었다. </t>
  </si>
  <si>
    <t xml:space="preserve">전제적 리더는 다른 사람의 의사를 묻지 않고 단독으로 의사결정을 하는 스타일이다. </t>
  </si>
  <si>
    <t xml:space="preserve">방임형 리더는 모든 의사결정과정에 부하를 참여시키며, 집단의사결정을 하는 스타일이다. </t>
  </si>
  <si>
    <t xml:space="preserve">최대 생산의 원칙 </t>
  </si>
  <si>
    <t xml:space="preserve">적재적소 배치의 원칙 </t>
  </si>
  <si>
    <t xml:space="preserve">공정한 보상의 원칙 </t>
  </si>
  <si>
    <t xml:space="preserve">공정한 인사의 원칙 </t>
  </si>
  <si>
    <t xml:space="preserve">원가중심의 가격설정은 제품의 생산 및 유통과 관련된 각종비용을 기준으로 제품가격을 설정하는 것이다. </t>
  </si>
  <si>
    <t xml:space="preserve">수요중심의 가격설정은 시장수요의 강도와 크기에 따라 제품가격을 설정하는 것이다. </t>
  </si>
  <si>
    <t xml:space="preserve">경쟁중심의 가격설정은 경쟁제품을 기준으로 하여 가격을 설정하는 것이다. </t>
  </si>
  <si>
    <t xml:space="preserve">할인중심의 가격설정은 신제품을 출시할 때 미리 할인해서 가격을 설정하는 것이다. </t>
  </si>
  <si>
    <t xml:space="preserve">복리후생은 종업원의 복지향상을 위해 지급되는 임금을 포함한 모든 경제적 급부를 말한다. </t>
  </si>
  <si>
    <t xml:space="preserve">복리후생 중 일부는 국가의 입법에 의하여 제도화되어 강제적으로 운영되고 있다. </t>
  </si>
  <si>
    <t xml:space="preserve">허즈버그의 이요인이론에 따르면, 경제적 복리후생은 동기요인에 해당하며 구성원의 만족에 긍정적 영향을 미친다고 할 수 있다. </t>
  </si>
  <si>
    <t xml:space="preserve">복리후생 중 건강보험 보험료는 근로자가 일부 부담하지만 고용보험 보험료는 회사가 전액 부담한다. </t>
  </si>
  <si>
    <t xml:space="preserve">은행계좌 추적 프로그램 </t>
  </si>
  <si>
    <t xml:space="preserve">네트웍 마비 프로그램 </t>
  </si>
  <si>
    <t xml:space="preserve">암호화해 숨기는 심층암호기술 </t>
  </si>
  <si>
    <t xml:space="preserve">스마트폰 장치 제어프로그램 </t>
  </si>
  <si>
    <t xml:space="preserve">이익잉여금 </t>
  </si>
  <si>
    <t xml:space="preserve">상표권 </t>
  </si>
  <si>
    <t xml:space="preserve">유가증권 </t>
  </si>
  <si>
    <t xml:space="preserve">외상매입금 </t>
  </si>
  <si>
    <t xml:space="preserve">한국은행은 한국은행법에 따라 설립되어 운영되고 금융기관하고만 거래한다. </t>
  </si>
  <si>
    <t xml:space="preserve">일반은행은 금융거래를 통해 이익을 얻을 목적으로 영업하며 시중은행, 지방은행, 외국은행의 국내지점 등이 있다. </t>
  </si>
  <si>
    <t xml:space="preserve">저축은행, 새마을 금고 등은 일반은행에서 자금 공급이 어려운 부문에 자금을 공급하는 특수은행이다. </t>
  </si>
  <si>
    <t xml:space="preserve">신용보증기관은 기업이 금융에서 자금을 빌릴 수 있도록 보증을 서주고 대가를 받는다. </t>
  </si>
  <si>
    <t xml:space="preserve">We see few lightning bugs even on a farm. </t>
  </si>
  <si>
    <t xml:space="preserve">The number of foreign investors is on the rise. </t>
  </si>
  <si>
    <t xml:space="preserve">Some of the applicants arrived late for their job interview. </t>
  </si>
  <si>
    <t xml:space="preserve">All of the merchandise have tested carefully before the launch. </t>
  </si>
  <si>
    <t xml:space="preserve">We'll be dealing with it in a minute. </t>
  </si>
  <si>
    <t xml:space="preserve">This is Tom. May I speak to Mr. Kim? </t>
  </si>
  <si>
    <t xml:space="preserve">Excuse me, may I interrupt? </t>
  </si>
  <si>
    <t xml:space="preserve">I think we can skip point three. </t>
  </si>
  <si>
    <t xml:space="preserve">Let the caller know the person who is being transferred. </t>
  </si>
  <si>
    <t xml:space="preserve">Be polite and professional. </t>
  </si>
  <si>
    <t xml:space="preserve">Disconnect the caller. </t>
  </si>
  <si>
    <t xml:space="preserve">Ask the caller for permission before you make the transfer. </t>
  </si>
  <si>
    <t xml:space="preserve">해당 문서철의 우측 하단에 첫 쪽부터 시작하여 일련번호로 쪽수 부여 및 표기한다. </t>
  </si>
  <si>
    <t xml:space="preserve">표지와 색인목록은 쪽수 부여 및 표기 대상에서 제외한다. </t>
  </si>
  <si>
    <t xml:space="preserve">동일한 문서철을 2권 이상으로 나누어 편철한 경우라도, 2권 이하의 문서철별 쪽수는 새 번호로 시작한다. </t>
  </si>
  <si>
    <t xml:space="preserve">연필로 먼저 표시한 후 기록물 정리가 끝나면 잉크 등으로 표시한다. </t>
  </si>
  <si>
    <t xml:space="preserve">라벨링 </t>
  </si>
  <si>
    <t xml:space="preserve">편지병합 </t>
  </si>
  <si>
    <t xml:space="preserve">하이퍼링크 </t>
  </si>
  <si>
    <t xml:space="preserve">매크로 </t>
  </si>
  <si>
    <t xml:space="preserve">종이 한 가운데 원을 그리고 문서의 주제인 '창립 기념 파티초대'를 원 안에 작성했다. </t>
  </si>
  <si>
    <t xml:space="preserve">주제와 관련한 핵심 단어를 중앙의 원과 연결된 선을 그어 배치한다. </t>
  </si>
  <si>
    <t xml:space="preserve">핵심 단어로는 '초대 이유', '초대 장소', '초대 일시', '세부일정' 등을 작성할 수 있다. </t>
  </si>
  <si>
    <t xml:space="preserve">마인드 맵은 문서 작성 시 일반적으로 자유로운 아이디어를 떠올리는 정보 수집 단계에서 사용한다. </t>
  </si>
  <si>
    <t xml:space="preserve">전문 문서 관리자를 통한 중요 문서의 보안에 집중할 수 있다. </t>
  </si>
  <si>
    <t xml:space="preserve">필요한 문서를 신속하고 쉽게 찾을 수 있어 시간과 노력을 줄일 수 있다. </t>
  </si>
  <si>
    <t xml:space="preserve">불필요한 문서를 적기에 폐기함으로써 보관 및 보존에 드는 공간을 절약할 수 있다. </t>
  </si>
  <si>
    <t xml:space="preserve">사무 환경이 개선되고 문서 관리에 드는 비용을 절감할 수 있다. </t>
  </si>
  <si>
    <t xml:space="preserve">강비서는 상사가 출장지에서 돌아온 다음날 출장지에서 신세를 진 사람에게 감사편지를 보냈다. </t>
  </si>
  <si>
    <t xml:space="preserve">윤비서는 행사 참가자에게 참석해주신 덕분에 행사가 잘 마무리되었음을 감사하는 내용으로 보냈다. </t>
  </si>
  <si>
    <t xml:space="preserve">최비서는 경조행사에 보내주신 경조금 금액을 정확하게 언급하면서 감사의 뜻을 전했다. </t>
  </si>
  <si>
    <t xml:space="preserve">정비서는 행사시에 약간의 실수가 있었던 사항에 대한 사과의 말을 함께 기재해서 감사장을 완성하였다. </t>
  </si>
  <si>
    <t xml:space="preserve">조르테, 구글캘린더 </t>
  </si>
  <si>
    <t xml:space="preserve">원드라이브, 에버노트 </t>
  </si>
  <si>
    <t xml:space="preserve">맵피, 아틀란 </t>
  </si>
  <si>
    <t xml:space="preserve">라인, 카카오톡 </t>
  </si>
  <si>
    <t xml:space="preserve">김비서는 사내 인사이동에 따른 임원보직변동을 확인 후 발령일자에 맞춰 키폰 번호를 재입력하고 레이블을 교체했다. </t>
  </si>
  <si>
    <t xml:space="preserve">이비서는 자리를 비우게 될 경우 비서실의 전화를 비서 개인의 휴대폰으로 착신하는 무료 서비스를 114에 전화해 신청했다. </t>
  </si>
  <si>
    <t xml:space="preserve">차비서는 여분의 프린트 토너를 항상 구입해 놓는다. </t>
  </si>
  <si>
    <t xml:space="preserve">김비서는 문서 세단기를 고칠 경우에는 항상 전원을 OFF로 해놓고 고친다. </t>
  </si>
  <si>
    <t xml:space="preserve">종이 문서나 그 밖에 전자적 형태로 작성되지 않은 문서를 정보 처리 시스템이 처리할 수 있게 하려면 전자화 문서로 변환한다. </t>
  </si>
  <si>
    <t xml:space="preserve">전자 문서 장기 보존을 위해서는 전자 문서 장기 보존 국제표준 PDF/A 형식으로 변환하여 저장한다. </t>
  </si>
  <si>
    <t xml:space="preserve">전자 문서의 폐기는 복원이 불가능하게 재포맷하거나 덮어 쓰기를 통해 파괴하여야 한다. </t>
  </si>
  <si>
    <t xml:space="preserve">전자문서는 보존이 용이하므로 종이문서보다 보존기한을 더 길게 적용한다. </t>
  </si>
  <si>
    <t xml:space="preserve">전자문서시스템에서는 문서등록번호나 접수번호가 자동으로 표시되며 시스템 오류의 경우라도 수기로 표시하지 않는다. </t>
  </si>
  <si>
    <t xml:space="preserve">행정상 공문서는 행정기관 또는 공무원이 직무상 작성하고 처리한 문서 외에 행정기관이 접수한 문서도 포함된다. </t>
  </si>
  <si>
    <t xml:space="preserve">문서과는 행정기관내의 공문서 분류·배부·수발업무지원 및 보존 등 문서에 관한 사무를 주관하는 과를 뜻한다. </t>
  </si>
  <si>
    <t xml:space="preserve">처리과는 문서의 수발 및 업무 처리를 주관하는 과로서 행정기관 내에 설치된 각 과를 말한다. </t>
  </si>
  <si>
    <t xml:space="preserve">프레젠테이션의 목적이 설득인지, 정보제공인지, 오락기능인지 등을 파악한다. </t>
  </si>
  <si>
    <t xml:space="preserve">여러 장의 자료를 준비할 때는 가급적 각 장마다 형식을 통일한다. </t>
  </si>
  <si>
    <t xml:space="preserve">'One page, One message' 원칙을 지킨다. </t>
  </si>
  <si>
    <t xml:space="preserve">한 장에 되도록 많은 그림과 글을 채워 넣어 청중의 관심을 불러일으킨다. </t>
  </si>
  <si>
    <t xml:space="preserve">회사의 블로그나 페이스북에 답변 댓글을 게재할 때는 회사에서 제시한 규정이 있을 경우 이를 따른다. </t>
  </si>
  <si>
    <t xml:space="preserve">사내에서 작성한 이메일 뉴스레터는 가입한 모든 회원에게 무조건 전송한다. </t>
  </si>
  <si>
    <t xml:space="preserve">회사 소식과 관련된 페이스북 페이지의 좋아요 버튼을 누를 때는 글의 성격에 따라 신중하게 행동한다. </t>
  </si>
  <si>
    <t xml:space="preserve">회사 홈페이지에 게시되는 내용 중 부적절한 내용은 관련 부서와 의논하여 규정에 따라 처리한다. </t>
  </si>
  <si>
    <t xml:space="preserve">김비서는 인터넷에서 다운 받은 파일은 반드시 바이러스검사를 수행한 후 사용한다. </t>
  </si>
  <si>
    <t xml:space="preserve">박비서는 USB메모리 자동실행을 활성화하였다. </t>
  </si>
  <si>
    <t xml:space="preserve">이비서는 바이러스 예방 프로그램을 램(RAM)에 상주시켜 바이러스 감염을 예방한다. </t>
  </si>
  <si>
    <t xml:space="preserve">황비서는 최신 버전의 백신 프로그램을 사용하여 주기적으로 검사를 한다. </t>
  </si>
  <si>
    <t xml:space="preserve">5년간의 매분기별 매출액의 추이를 비교하기 위해서 가로막대 그래프를 작성하였다. </t>
  </si>
  <si>
    <t xml:space="preserve">1년동안 매월 주요생산품의 매출액 구성 비율을 비교하기 위해서 띠그래프를 작성하였다. </t>
  </si>
  <si>
    <t xml:space="preserve">6월 30일자로 각 지사별 매출금액을 비교하기 위해서 꺾은선 그래프를 작성하였다. </t>
  </si>
  <si>
    <t xml:space="preserve">10월말일 기준으로 이동통신회사들의 시장점유율 비교를 위해서 세로막대 그래프를 작성하였다. </t>
  </si>
  <si>
    <t xml:space="preserve">출장 전 회사에서 현금 400,000원을 가지급하였고, 여비 정산 후 여비 부족액은 개인이 부담한다. </t>
  </si>
  <si>
    <t xml:space="preserve">지출 내역 중 주차비, 주유비, 식비, 교통비는 여비 교통비로 처리한다. </t>
  </si>
  <si>
    <t xml:space="preserve">거래처에 대한 선물비용은 접대비로 처리한다. </t>
  </si>
  <si>
    <t xml:space="preserve">시내 여비 교통비와 같이 증빙이 없는 경비는 회사 내부 품의서나 여비지출결의서 등을 작성하여 결재받아 증빙으로 사용할 수 있다. </t>
  </si>
  <si>
    <t xml:space="preserve">최비서는 받은 문서에 대한 회신을 하기 위해 해당 기관과 이전에 왕래했던 서신을 검토했다. </t>
  </si>
  <si>
    <t xml:space="preserve">이비서는 보고서를 작성할 때 공신력 있는 기관의 발표자료와 통계자료, 연구 자료 등을 수집했다. </t>
  </si>
  <si>
    <t xml:space="preserve">김비서는 감사장을 작성할 때 감사해야할 상황에 대해서 시간, 장소, 인물, 내용 등에 관한 정보를 수집했다. </t>
  </si>
  <si>
    <t xml:space="preserve">고비서는 보고서 작성을 위한 정보를 세부적인 것에서부터 큰 정보 순서로 수집했다. </t>
  </si>
  <si>
    <t xml:space="preserve">상사의 인적네트워크 관리를 위하여 데이터베이스를 작성한다. </t>
  </si>
  <si>
    <t xml:space="preserve">데이터베이스를 작성한 후에는 사내 비서들에게 배포하여 업무에 활용하도록 돕는다. </t>
  </si>
  <si>
    <t xml:space="preserve">데이터베이스는 정확한 사실에 기초하여야 한다. </t>
  </si>
  <si>
    <t xml:space="preserve">데이터베이스에는 외부인사, 내부인사 모두 포함한다. </t>
  </si>
  <si>
    <t xml:space="preserve">“전무님은 지금 중요한 손님과 면담 중이시라 전화를 연결할 수가 없습니다.” </t>
  </si>
  <si>
    <t xml:space="preserve">“전무님은 아직 출근 전이신데 누구시라고 전해드릴까요?” </t>
  </si>
  <si>
    <t xml:space="preserve">“죄송하지만 전무님은 다른 일정이 있어서 이번 전략회의 에는 참석이 어렵다고 하십니다.” </t>
  </si>
  <si>
    <t xml:space="preserve">“죄송하지만 전무님은 지금 중국 출장 중이시라 전화 연결이 안됩니다.” </t>
  </si>
  <si>
    <t xml:space="preserve">전화 회신을 요청하는 모든 전화는 전화를 걸기 전에 상사에게 회신해야 하는지 확인을 한다. </t>
  </si>
  <si>
    <t xml:space="preserve">자주 상사에게 전화를 하는 사람이라도 반드시 용건을 재확인하고 연결한다. </t>
  </si>
  <si>
    <t xml:space="preserve">급한 전화인 경우, 상사와 바로 연결할 수 있도록 상사 휴대전화 번호를 가르쳐 준다. </t>
  </si>
  <si>
    <t xml:space="preserve">상사가 회의 중일 때 걸려온 급한 전화인 경우 용건을 메모하여 회의 중인 상사에게 신속히 전달한다. </t>
  </si>
  <si>
    <t xml:space="preserve">선약된 내방객일지라도 용건을 여쭈어 보는 것이 업무의 정확성을 높이는 방법이다. </t>
  </si>
  <si>
    <t xml:space="preserve">외국인과 내국인 손님이 있을 경우, 외국인에게 우선순위를 두는 것이 원칙이다. </t>
  </si>
  <si>
    <t xml:space="preserve">비서는 내방객의 말투, 옷차림 등을 관찰하여 그에 맞는 응대를 하도록 한다. </t>
  </si>
  <si>
    <t xml:space="preserve">내방객들이 동시에 방문할 경우 선약된 손님을 먼저 응대하는 것이 적절하다. </t>
  </si>
  <si>
    <t xml:space="preserve">선배 비서의 업무처리 방식이 본인과 다른 경우 선배에게 솔직하게 의견을 말한 후 자신의 방식으로 업무를 추진한다. </t>
  </si>
  <si>
    <t xml:space="preserve">후배 비서가 업무 상 실수를 했을 경우 우선 주의를 주고 체계적으로 알려주는 적극적인 자세가 필요하다. </t>
  </si>
  <si>
    <t xml:space="preserve">입사동기가 회사내 인간관계에서 어려움을 토로하는 경우 상사에게 도움을 요청해서 도와주도록 한다. </t>
  </si>
  <si>
    <t xml:space="preserve">공동 비서로서 업무의 우선순위를 판단하기 어려운 경우 어느 상사의 업무를 먼저 처리하는 것이 옳은지를 선배에게 매번 자문을 구하는 것이 맞다. </t>
  </si>
  <si>
    <t xml:space="preserve">부서장 조찬 회의에 지각을 하게 되어 총무팀 선배에게 부탁하여 위기를 넘겼다. 도와준 선배에게 “늦어서 죄송합니다. 다음부터는 이런 일이 없도록 하겠습니다.”라고 인사했다. 회의가 무사히 끝났으므로 상사에게는 말씀드리지 않았다. </t>
  </si>
  <si>
    <t xml:space="preserve">우리회사 지사장으로 근무하다 본사로 발령이 난 상사의 신상카드를 작성하기 위하여 각종 신상정보를 상사에게 여쭈어 보았다. </t>
  </si>
  <si>
    <t xml:space="preserve">상사의 결재는 가급적 한 시간 마다 받을 수 있도록 상사의 결재 시간을 정해놓았다. </t>
  </si>
  <si>
    <t xml:space="preserve">외국에서 손님이 방문할 경우는 국가마다 직함의 경중에 차이가 있을 수 있으므로 직함만으로 경중을 판단하지 않았다. </t>
  </si>
  <si>
    <t xml:space="preserve">비서는 상사의 지위를 자신의 지위와 동일시하는 주인의식을 가지고 상사 인간관계의 통로 역할을 하도록 한다. </t>
  </si>
  <si>
    <t xml:space="preserve">비서는 상사를 보좌할 때 다른 비서들과 상사에 관한 다양한 정보를 공유하면서 비서로서 본인의 경험을 우선적으로 고려하여 업무 처리를 한다. </t>
  </si>
  <si>
    <t xml:space="preserve">비서는 일반적으로 노동조합 가입이 허용되지 않으므로 비공식적으로라도 노조직원들과의 만남을 가지면서 정보를 공유한다. </t>
  </si>
  <si>
    <t xml:space="preserve">후배 비서의 고충이나 의견을 잘 듣고 조언을 하거나 필요할 경우 해당 부서에 전달함으로써 조직과 비서실의 의사소통에 도움이 되도록 한다. </t>
  </si>
  <si>
    <t xml:space="preserve">상사가 자리에 없을 때 상사의 일정 수립이나 변경을 해야 할 경우는 스마트폰을 이용하여 상사의 승인을 받을 수 있다. </t>
  </si>
  <si>
    <t xml:space="preserve">외부일정이 많은 세 명의 상사를 보좌하는 비서는 업무의 효율성을 위해 모든 상사의 일정을 스마트 기기에 연동시켜서 계정을 통합하여 관리한다. </t>
  </si>
  <si>
    <t xml:space="preserve">비서가 스마트폰으로 일정을 기입하고, 상사의 스마트폰에서 일정 시작 전에 알람이 뜨게 설정한다. </t>
  </si>
  <si>
    <t xml:space="preserve">스마트폰에 상사의 일정을 캘린더 어플리케이션에 연동시켜 상사의 일정을 비서의 스마트폰에서 확인 및 추가를 할 수 있도록 설정한다. </t>
  </si>
  <si>
    <t xml:space="preserve">이비서는 회의실에서 아직 발표 전인 영업팀 김전무의 승진소식을 우연히 듣고 회의실에서 나와 바로 김전무의 비서에게 기쁜 소식을 전했다. </t>
  </si>
  <si>
    <t xml:space="preserve">박비서는 상사가 불법 행위에 대한 기밀을 지켜줄 것을 요구하며 큰 보상을 제시하였지만 비서로서 기밀유지는 당연하므로 보상은 거절하고 상사의 기밀을 지켜주었다. </t>
  </si>
  <si>
    <t xml:space="preserve">정비서는 경조사 업무 시 이용하던 화원에서 계속 이용해 달라고 백화점 상품권을 선물하자 그 상품권으로 상사를 위한 선물을 샀다. </t>
  </si>
  <si>
    <t xml:space="preserve">임비서는 친구로부터 상사의 신상에 대한 개인적인 질문을 받고 상사의 개인적인 부분은 잘 모른다고 답하였다. </t>
  </si>
  <si>
    <t xml:space="preserve">상사의 일정 계획은 정기적인 일정과 비정기적 일정으로 구분하여 계획을 수립한다. </t>
  </si>
  <si>
    <t xml:space="preserve">일정표는 연간, 월간, 주간, 일일 일정표로 세분화하여 일정표를 작성 및 관리한다. </t>
  </si>
  <si>
    <t xml:space="preserve">상사의 일정이 중복되었을 경우는 먼저 선약이 이루어진 일정을 우선으로 한다. </t>
  </si>
  <si>
    <t xml:space="preserve">일정 수행에 필요한 자료, 시설 및 기자재 등을 일정에 맞추어 미리 준비한다. </t>
  </si>
  <si>
    <t xml:space="preserve">상사의 저녁 약속 예약 이력 내용은 총무팀과 공유하여 상사와의 업무 조정에 참조하도록 한다. </t>
  </si>
  <si>
    <t xml:space="preserve">예약 이력 정보를 엑셀에 정리할 때 파일을 여러 개 만들기보다는 예약이라는 하나의 파일 안에 종류별로 시트를 만들어서 관리하는 것이 더 효율적이다. </t>
  </si>
  <si>
    <t xml:space="preserve">음식점을 예약할 때는 룸 예약 가능 여부, 주차 가능 여부 등도 문의한다. </t>
  </si>
  <si>
    <t xml:space="preserve">회사의 여비규정보다 숙박비가 초과되는 숙박시설을 예약해야 하는 경우 사전에 조직의 승인을 받아야 한다. </t>
  </si>
  <si>
    <t xml:space="preserve">직급별 출장 일비를 확인한다. </t>
  </si>
  <si>
    <t xml:space="preserve">출장과 관련하여 상사의 기호 및 요구사항을 확인한다. </t>
  </si>
  <si>
    <t xml:space="preserve">출장의 목적과 일정을 확인한다. </t>
  </si>
  <si>
    <t xml:space="preserve">출장 경비 정산을 준비한다. </t>
  </si>
  <si>
    <t xml:space="preserve">회의 통지문에는 회의의 명칭, 일시, 장소, 안건 등이 명시되어야 한다. </t>
  </si>
  <si>
    <t xml:space="preserve">회의 통지문은 이메일로 발송하더라도 반드시 우편으로도 보낸다. </t>
  </si>
  <si>
    <t xml:space="preserve">회의 개최 전에 반드시 참석자를 확인하여 회의의 성원이 되었는지 확인한다. </t>
  </si>
  <si>
    <t xml:space="preserve">회의 개최 계획안에는 회의의 목적과 일시, 참석자 범위, 회의일정 및 예산 등이 들어간다. </t>
  </si>
  <si>
    <t xml:space="preserve">반드시 참석해야 하는 인사의 일정을 고려하였는가? </t>
  </si>
  <si>
    <t xml:space="preserve">회의 주제와 회의 시기가 적절한가? </t>
  </si>
  <si>
    <t xml:space="preserve">요일 선정이 적절한가? </t>
  </si>
  <si>
    <t xml:space="preserve">3일의 회의 통지 기간을 확보하였는가? </t>
  </si>
  <si>
    <t xml:space="preserve">짧은 시간 내에 내용을 정확하기 전달하기 위해서 사전에 보고 내용을 요약해 둔다. </t>
  </si>
  <si>
    <t xml:space="preserve">구두 보고 시 두괄식 보고로 사건의 개요 및 진행 사항을 먼저 보고한 후 결론을 보고하는 것이 좋다. </t>
  </si>
  <si>
    <t xml:space="preserve">보고자로서 보고할 수 있는 분위기를 조성하는 것도 필요하다. </t>
  </si>
  <si>
    <t xml:space="preserve">기밀 내용을 보고할 때 서면 보고보다 구두 보고가 적절하다. </t>
  </si>
  <si>
    <t xml:space="preserve">결혼식: 祝 華婚 (축 화혼) </t>
  </si>
  <si>
    <t xml:space="preserve">승진: 祝 榮轉 (축 승진) </t>
  </si>
  <si>
    <t xml:space="preserve">회갑연: 祝儀 (축의) </t>
  </si>
  <si>
    <t xml:space="preserve">장례식: 賻儀 (부의) </t>
  </si>
  <si>
    <t xml:space="preserve">상사의 지시 내용 중 잘 모르는 내용이 있을 경우 중간에 질문하여 확인한다. </t>
  </si>
  <si>
    <t xml:space="preserve">지시를 받은 후 상사의 지시 내용을 모두 다 복창하여 확인한다. </t>
  </si>
  <si>
    <t xml:space="preserve">지시 받은 업무를 바로 시작하기 어려울지라도 우선은 바로 시작하겠다고 말씀드린다. </t>
  </si>
  <si>
    <t xml:space="preserve">상사가 호명하면 '네'하고 분명하게 대답한다. </t>
  </si>
  <si>
    <t xml:space="preserve">계좌번호를 알려달라고 해서 상사 이름으로 송금한다. </t>
  </si>
  <si>
    <t xml:space="preserve">SNS의 결제수단을 이용한다. </t>
  </si>
  <si>
    <t xml:space="preserve">인터넷 우체국에서 청첩장 봉투의 주소로 우편 경조환을 발송한다. </t>
  </si>
  <si>
    <t xml:space="preserve">나중에 만날 때 직접 전달한다. </t>
  </si>
  <si>
    <t xml:space="preserve">비서는 경영자 또는 관리자가 그들 본연의 업무에 전념할 수 있도록 보좌하는 역할을 한다. </t>
  </si>
  <si>
    <t xml:space="preserve">부서의 업무와 부서장의 비서를 겸하는 부서 소속 비서는 본래의 업무를 가지면서 부서장과 부서원을 지원하는 비서의 업무도 수행한다. </t>
  </si>
  <si>
    <t xml:space="preserve">비서 업무는 분야별로 전문화되어 가는 추세로 비서로서 갖추어야 할 태도나 사무기술은 공통적이지만, 업무분야에 따라 업무내용 등은 달라진다. </t>
  </si>
  <si>
    <t xml:space="preserve">비서에 대한 정의는 국가, 집무상황, 역사적 배경, 역할과 기능을 어떻게 보느냐와 상관없이 동일하다. </t>
  </si>
  <si>
    <t xml:space="preserve">CEO - Chief Executive Officer </t>
  </si>
  <si>
    <t xml:space="preserve">BTW - By the way </t>
  </si>
  <si>
    <t xml:space="preserve">FAQ - Frequently Asked Questions </t>
  </si>
  <si>
    <t xml:space="preserve">ATM - Automating Toss Machine </t>
  </si>
  <si>
    <t xml:space="preserve">Executive: 이사, 중역 </t>
  </si>
  <si>
    <t xml:space="preserve">Managing Director: 상무이사 </t>
  </si>
  <si>
    <t xml:space="preserve">General Manager: 대리 </t>
  </si>
  <si>
    <t xml:space="preserve">Chairperson: 회장 </t>
  </si>
  <si>
    <t xml:space="preserve">I'd like to confirm my reservation. </t>
  </si>
  <si>
    <t xml:space="preserve">Would you be reserved the conference room? </t>
  </si>
  <si>
    <t xml:space="preserve">I'd like to reserve a table for four. </t>
  </si>
  <si>
    <t xml:space="preserve">Is it possible to change my reservation? </t>
  </si>
  <si>
    <t xml:space="preserve">This is to remind you for our dinner meeting next Thursday, 10th May. </t>
  </si>
  <si>
    <t xml:space="preserve">Would you mind to cancel any hotel arrangements you may have made for her? </t>
  </si>
  <si>
    <t xml:space="preserve">Please confirm and I look forward to see you then. </t>
  </si>
  <si>
    <t xml:space="preserve">If the product has not yet been sent, please deliver it ASAP. </t>
  </si>
  <si>
    <t xml:space="preserve">Certified Mail: 발송 우편물이 안전하게 배달되었음을 증명해주는 우편취급 방식 </t>
  </si>
  <si>
    <t xml:space="preserve">Registered Mail: 우편물마다 접수 번호를 부여하고 접수한 시점부터 배달되기까지의 과정을 기록하여 송달의 확실성이 보장되는 우편방식 </t>
  </si>
  <si>
    <t xml:space="preserve">Confidential: 기밀 문서로 수신인만이 열어볼 수 있는 우편방식 </t>
  </si>
  <si>
    <t xml:space="preserve">Air Mail: 청구서나 초청장 등 동일한 우편물을 다량 발송할 때 우표를 붙이지 않고 요금을 지불하는 방식 </t>
  </si>
  <si>
    <t xml:space="preserve">Return Address </t>
  </si>
  <si>
    <t xml:space="preserve">Mail Address </t>
  </si>
  <si>
    <t xml:space="preserve">Inside Address </t>
  </si>
  <si>
    <t xml:space="preserve">Postal Direction </t>
  </si>
  <si>
    <t xml:space="preserve">Dear Mr. Grondahl, </t>
  </si>
  <si>
    <t xml:space="preserve">Sincerely Your; </t>
  </si>
  <si>
    <t>John D. Russel</t>
  </si>
  <si>
    <t xml:space="preserve">결재권자가 직접 그 의사를 결정하는 행위를 의미한다. </t>
  </si>
  <si>
    <t xml:space="preserve">부서장이나 보조 기관의 검토를 의미한다. </t>
  </si>
  <si>
    <t xml:space="preserve">정규 결재는 기안자로부터 최고 결재권자까지 정상적인 절차를 거쳐 결재를 하는 형태이다. </t>
  </si>
  <si>
    <t xml:space="preserve">전결은 업무의 내용에 따라서 결재 권한을 위임받은 사람이 행하는 결재를 말한다. </t>
  </si>
  <si>
    <t xml:space="preserve">기업 정보 폴더 – 주가, 환율, 금융감독원 전자 공시 시스템 </t>
  </si>
  <si>
    <t xml:space="preserve">예약 업무 폴더 – 맛집 추천, 골프장 사이트 </t>
  </si>
  <si>
    <t xml:space="preserve">경·조사 업무 폴더 – 기후 정보 사이트, 기업 신용 등급 </t>
  </si>
  <si>
    <t xml:space="preserve">출장 업무 폴더 – 숙박업소 가격 비교, 교통편 예약 </t>
  </si>
  <si>
    <t xml:space="preserve">수를 적을 적에는 '만(萬)' 단위로 띄어 쓴다. (예: 12억 3456만 7898) </t>
  </si>
  <si>
    <t xml:space="preserve">금액을 적을 때는 변조 등의 사고를 방지하기 위해 붙여 쓰는 게 관례다. (예: 삼십일만오천육백칠십팔원정) </t>
  </si>
  <si>
    <t xml:space="preserve">성과 이름, 성과 호 등은 붙여 쓰고, 성명 뒤에 오는 호칭어, 관직명 등은 띄어 쓴다. (예: 최치원 씨) </t>
  </si>
  <si>
    <t xml:space="preserve">성명 이외의 고유 명사는 단어별로 띄어 씀이 원칙이므로 단위별로 띄어 쓰는 것은 허용되지 않는다. (예: 한국대학교 사범대학(X), 한국 대학교 사범 대학(O)) </t>
  </si>
  <si>
    <t xml:space="preserve">When: 문서 내용과 관련된 장소 </t>
  </si>
  <si>
    <t xml:space="preserve">Where: 문서 작성일, 문서에 언급되는 사실에 관한 시간 </t>
  </si>
  <si>
    <t xml:space="preserve">What: 문서의 핵심 주제 내용 </t>
  </si>
  <si>
    <t xml:space="preserve">Why: 문서 작성자, 문서 수신자, 문서 내용상의 행위자 </t>
  </si>
  <si>
    <t xml:space="preserve">비치문서 </t>
  </si>
  <si>
    <t xml:space="preserve">법규문서 </t>
  </si>
  <si>
    <t xml:space="preserve">기록문서 </t>
  </si>
  <si>
    <t xml:space="preserve">일반문서 </t>
  </si>
  <si>
    <t xml:space="preserve">PC에 내장된 HDD의 장점은 상대적으로 넉넉한 용량과 저렴한 비용, 관리 및 편집이 용이하다는 장점이 있으나 PC 고장시 데이터 소실 가능성이 있다. </t>
  </si>
  <si>
    <t xml:space="preserve">USB 메모리에 저장할 경우 간편한 이용과 저렴한 가격이 장점이지만 분실이 용이하다는 것이 단점이다. </t>
  </si>
  <si>
    <t xml:space="preserve">외장하드는 휴대성이 비교적 좋고 이용이 간편하며 매체의 내구성과 수명 측면에서도 가장 안정적이다. </t>
  </si>
  <si>
    <t xml:space="preserve">클라우드 저장소 서비스에 백업할 경우 인터넷이 가능한 환경이라면 어디서나 이용이 가능하며 안정성이 높은 편이다. </t>
  </si>
  <si>
    <t xml:space="preserve">수신문서는 모두 개봉해서 내용을 분류하여 문서 처리 원칙에 따라 처리한다. </t>
  </si>
  <si>
    <t xml:space="preserve">상사에게 전달할 우편물은 공적인 것과 사적인 것을 구분하여 처리한다. </t>
  </si>
  <si>
    <t xml:space="preserve">상사에게 전달할 문서는 내용의 중요도에 따라 분류해서 긴급하고 중요한 서신은 위에 올려둔다. </t>
  </si>
  <si>
    <t xml:space="preserve">청구서, 견적서 등 숫자가 기입되어 있는 것은 계산착오나 기입누락이 없는지 검토한 후 상사에게 전달한다. </t>
  </si>
  <si>
    <t xml:space="preserve">비서는 인물 동정란을 보고 상사 지인들의 승진, 영전, 부고를 찾아본다. </t>
  </si>
  <si>
    <t xml:space="preserve">비서는 효과적인 정보 수집을 위해 매일 모든 기사를 빠짐없이 꼼꼼히 읽는다. </t>
  </si>
  <si>
    <t xml:space="preserve">비서는 주요 기사를 놓치지 않기 위해 상사의 정보 요구에 적합한 2, 3종의 신문을 선별하여 조사한다. </t>
  </si>
  <si>
    <t xml:space="preserve">큰 제목을 기준으로 훑어보아 중요 기사를 파악한 후 필요한 경우 관련 내용을 스크랩한다. </t>
  </si>
  <si>
    <t xml:space="preserve">사무정보화는 조직의 생산성 향상과 업무 효율성 극대화를 가져왔다. </t>
  </si>
  <si>
    <t xml:space="preserve">사내 인트라넷을 통한 의사결정은 신속한 처리가 가능하지만 대면보다 질 높은 의사결정은 불가능하다. </t>
  </si>
  <si>
    <t xml:space="preserve">사무정보화에 의해 대두된 정보 보안 문제는 사무정보화의 부정적 효과 중 하나이다. </t>
  </si>
  <si>
    <t xml:space="preserve">사무정보화를 통해 직원들의 물리적 이동시간은 감소되었다. </t>
  </si>
  <si>
    <t xml:space="preserve">미라캐스트 </t>
  </si>
  <si>
    <t xml:space="preserve">팟캐스트 </t>
  </si>
  <si>
    <t xml:space="preserve">브로드캐스트 </t>
  </si>
  <si>
    <t xml:space="preserve">피키캐스트 </t>
  </si>
  <si>
    <t xml:space="preserve">.exe </t>
  </si>
  <si>
    <t xml:space="preserve">.bat </t>
  </si>
  <si>
    <t xml:space="preserve">.com </t>
  </si>
  <si>
    <t xml:space="preserve">.tiff </t>
  </si>
  <si>
    <t xml:space="preserve">신체적 특징인 지문, 얼굴, 홍채, 정맥인식과 같이 사람이 원래 갖고 태어난 특징을 추출, 저장해 개개인을 식별한다. </t>
  </si>
  <si>
    <t xml:space="preserve">행동적 특징인 음성, 서명, 걸음걸이 등과 같이 습관이나 환경적 요인에 따라 살면서 만들어지는 특징을 활용하기도 한다. </t>
  </si>
  <si>
    <t xml:space="preserve">다른 인증기술보다 사용이 편하고 보안성도 높다. </t>
  </si>
  <si>
    <t xml:space="preserve">최근에 핀테크 분야를 중심으로 적용되고 있으며 해킹문제가 발생하지 않으며 설치에 비용 부담도 적다는 장점이 있다. </t>
  </si>
  <si>
    <t xml:space="preserve">네트워크란 여러 대의 컴퓨터들로 묶여진 그룹이나 다른 장치들이 서로 연결되어 통신이 가능하도록 해 주는 장치나 시설 등을 말한다. </t>
  </si>
  <si>
    <t xml:space="preserve">네트워크에는 근거리 통신망인 LAN과 원거리 통신망인 WAN이 있다. </t>
  </si>
  <si>
    <t xml:space="preserve">인트라넷은 인터넷 기술과 통신규약을 이용하여 조직 내부의 업무를 통합하는 정보시스템을 의미한다. </t>
  </si>
  <si>
    <t xml:space="preserve">엑스트라넷은 사내에 국한된 전산망을 말한다. </t>
  </si>
  <si>
    <t xml:space="preserve">김비서는 중요한 서류나 기밀 문서는 잠금장치가 있는 캐비닛에 보관한다. </t>
  </si>
  <si>
    <t xml:space="preserve">이비서는 백신프로그램을 정기적으로 사용하고 최신 버전으로 업데이트한다. </t>
  </si>
  <si>
    <t xml:space="preserve">송비서는 파일 분실에 대비하기 위해 수시로 중요 문서를 백업(back up)하지만 외장하드는 보안문제로 사용하지 않는다. </t>
  </si>
  <si>
    <t xml:space="preserve">차비서는 잠시 자리를 비울 때에도 모니터가 잠금상태가 될 수 있도록 설정하였다. </t>
  </si>
  <si>
    <t xml:space="preserve">ping </t>
  </si>
  <si>
    <t xml:space="preserve">ipfind </t>
  </si>
  <si>
    <t xml:space="preserve">msconfig </t>
  </si>
  <si>
    <t xml:space="preserve">ipconfig </t>
  </si>
  <si>
    <t xml:space="preserve">휴대용 사무정보기기 사용을 위해 여분의 배터리를 준비한다. </t>
  </si>
  <si>
    <t xml:space="preserve">상사와 비서 본인의 컴퓨터 파일을 안전하게 보관하기 위하여 외장 하드와 USB메모리 등의 정보 저장기기를 사용한다. </t>
  </si>
  <si>
    <t xml:space="preserve">사내 행사에서 사용한 디지털 카메라와 캠코더의 경우 사용한 직후 메모리 카드내 미디어 파일을 컴퓨터에 업로드한 후 메모리카드를 포맷한다. </t>
  </si>
  <si>
    <t xml:space="preserve">여러 장의 팩스를 한꺼번에 보낼 경우 팩스 커버는 맨 뒤에 놓고 팩스를 받을 담당자에게 전화를 걸어 팩스 전송을 알린다. </t>
  </si>
  <si>
    <t xml:space="preserve">발신일 </t>
  </si>
  <si>
    <t xml:space="preserve">발신번호 </t>
  </si>
  <si>
    <t xml:space="preserve">수신기관 </t>
  </si>
  <si>
    <t xml:space="preserve">인수자 </t>
  </si>
  <si>
    <t>번호</t>
    <phoneticPr fontId="1" type="noConversion"/>
  </si>
  <si>
    <t>열1</t>
    <phoneticPr fontId="1" type="noConversion"/>
  </si>
  <si>
    <t>접수마감</t>
    <phoneticPr fontId="1" type="noConversion"/>
  </si>
  <si>
    <t>열2</t>
    <phoneticPr fontId="1" type="noConversion"/>
  </si>
  <si>
    <t>개수 : 합격여부</t>
  </si>
  <si>
    <t>열 레이블</t>
  </si>
  <si>
    <t>총합계</t>
  </si>
  <si>
    <t>(모두)</t>
  </si>
  <si>
    <t>행 레이블</t>
  </si>
  <si>
    <t>종목명</t>
    <phoneticPr fontId="1" type="noConversion"/>
  </si>
  <si>
    <t>종목이름</t>
    <phoneticPr fontId="1" type="noConversion"/>
  </si>
  <si>
    <t>접수시작일</t>
    <phoneticPr fontId="1" type="noConversion"/>
  </si>
  <si>
    <t>남은일수</t>
    <phoneticPr fontId="1" type="noConversion"/>
  </si>
  <si>
    <t>접수마감일</t>
    <phoneticPr fontId="1" type="noConversion"/>
  </si>
  <si>
    <t>워드프로세서 단일</t>
  </si>
  <si>
    <t xml:space="preserve"> </t>
    <phoneticPr fontId="1" type="noConversion"/>
  </si>
  <si>
    <t>📅</t>
    <phoneticPr fontId="1" type="noConversion"/>
  </si>
  <si>
    <t>🗏</t>
    <phoneticPr fontId="1" type="noConversion"/>
  </si>
  <si>
    <t>열3</t>
    <phoneticPr fontId="1" type="noConversion"/>
  </si>
  <si>
    <t>회원번호</t>
    <phoneticPr fontId="1" type="noConversion"/>
  </si>
  <si>
    <t>종목</t>
    <phoneticPr fontId="1" type="noConversion"/>
  </si>
  <si>
    <t>종목번호</t>
    <phoneticPr fontId="1" type="noConversion"/>
  </si>
  <si>
    <t>접수비</t>
    <phoneticPr fontId="1" type="noConversion"/>
  </si>
  <si>
    <t>접수수수료</t>
    <phoneticPr fontId="1" type="noConversion"/>
  </si>
  <si>
    <t>시험일자</t>
    <phoneticPr fontId="1" type="noConversion"/>
  </si>
  <si>
    <t>시험시간</t>
    <phoneticPr fontId="1" type="noConversion"/>
  </si>
  <si>
    <t>발표일자</t>
    <phoneticPr fontId="1" type="noConversion"/>
  </si>
  <si>
    <t>컴퓨터활용능력 1급</t>
  </si>
  <si>
    <t>컴퓨터활용능력 2급</t>
  </si>
  <si>
    <t>비서 1급</t>
  </si>
  <si>
    <t>종목 등급</t>
    <phoneticPr fontId="1" type="noConversion"/>
  </si>
  <si>
    <t>번호2</t>
  </si>
  <si>
    <t>좌석</t>
    <phoneticPr fontId="1" type="noConversion"/>
  </si>
  <si>
    <t>2021-05-17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</si>
</sst>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egoe UI Symbol"/>
      <family val="2"/>
    </font>
    <font>
      <sz val="12"/>
      <color theme="1"/>
      <name val="Segoe UI Symbol"/>
      <family val="2"/>
    </font>
    <font>
      <sz val="32"/>
      <color rgb="FF000000"/>
      <name val="Wingdings 2"/>
      <family val="1"/>
      <charset val="2"/>
    </font>
    <font>
      <sz val="28"/>
      <color rgb="FF000000"/>
      <name val="맑은 고딕"/>
      <family val="3"/>
      <charset val="129"/>
      <scheme val="minor"/>
    </font>
    <font>
      <sz val="28"/>
      <color rgb="FF000000"/>
      <name val="HY헤드라인M"/>
      <family val="1"/>
      <charset val="129"/>
    </font>
    <font>
      <sz val="88"/>
      <color rgb="FF000000"/>
      <name val="Wingdings"/>
      <charset val="2"/>
    </font>
    <font>
      <sz val="24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theme="1"/>
      <name val="Wingdings"/>
      <charset val="2"/>
    </font>
    <font>
      <sz val="28"/>
      <color rgb="FF000000"/>
      <name val="Segoe UI Symbo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20" fontId="0" fillId="0" borderId="2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4" fontId="0" fillId="2" borderId="0" xfId="0" applyNumberFormat="1" applyFill="1">
      <alignment vertical="center"/>
    </xf>
    <xf numFmtId="14" fontId="0" fillId="2" borderId="0" xfId="0" applyNumberForma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2" borderId="0" xfId="0" applyNumberFormat="1" applyFill="1">
      <alignment vertical="center"/>
    </xf>
    <xf numFmtId="0" fontId="6" fillId="0" borderId="0" xfId="0" applyFont="1">
      <alignment vertical="center"/>
    </xf>
    <xf numFmtId="0" fontId="2" fillId="2" borderId="0" xfId="0" applyFont="1" applyFill="1">
      <alignment vertical="center"/>
    </xf>
    <xf numFmtId="0" fontId="7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0" fontId="11" fillId="0" borderId="0" xfId="0" applyFont="1">
      <alignment vertical="center"/>
    </xf>
    <xf numFmtId="0" fontId="10" fillId="2" borderId="0" xfId="0" applyFont="1" applyFill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>
      <alignment vertical="center"/>
    </xf>
    <xf numFmtId="14" fontId="0" fillId="0" borderId="2" xfId="0" quotePrefix="1" applyNumberForma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5" borderId="0" xfId="0" applyFill="1">
      <alignment vertical="center"/>
    </xf>
  </cellXfs>
  <cellStyles count="1">
    <cellStyle name="표준" xfId="0" builtinId="0"/>
  </cellStyles>
  <dxfs count="6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FF66CC"/>
        </left>
        <right style="thin">
          <color rgb="FFFF66CC"/>
        </right>
        <top style="thin">
          <color rgb="FFFF66CC"/>
        </top>
        <bottom style="thin">
          <color rgb="FFFF66CC"/>
        </bottom>
        <vertical/>
        <horizontal/>
      </border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61"/>
      <tableStyleElement type="headerRow" dxfId="60"/>
    </tableStyle>
  </tableStyles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[ㅇㅇ.xlsm]합격률!피벗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ysClr val="windowText" lastClr="000000"/>
                </a:solidFill>
              </a:rPr>
              <a:t>전체 합격률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7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합격률!$X$5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explosion val="2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247-496B-A87C-81649C667CA2}"/>
              </c:ext>
            </c:extLst>
          </c:dPt>
          <c:dPt>
            <c:idx val="1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47-496B-A87C-81649C667CA2}"/>
              </c:ext>
            </c:extLst>
          </c:dPt>
          <c:cat>
            <c:strRef>
              <c:f>합격률!$W$6:$W$8</c:f>
              <c:strCache>
                <c:ptCount val="2"/>
                <c:pt idx="0">
                  <c:v>불합격</c:v>
                </c:pt>
                <c:pt idx="1">
                  <c:v>합격</c:v>
                </c:pt>
              </c:strCache>
            </c:strRef>
          </c:cat>
          <c:val>
            <c:numRef>
              <c:f>합격률!$X$6:$X$8</c:f>
              <c:numCache>
                <c:formatCode>General</c:formatCode>
                <c:ptCount val="2"/>
                <c:pt idx="0">
                  <c:v>476</c:v>
                </c:pt>
                <c:pt idx="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47-496B-A87C-81649C66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[ㅇㅇ.xlsm]합격률!피벗 테이블2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ysClr val="windowText" lastClr="000000"/>
                </a:solidFill>
              </a:rPr>
              <a:t>전체 회차별 합격률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rgbClr val="0070C0"/>
          </a:solidFill>
          <a:ln>
            <a:noFill/>
          </a:ln>
          <a:effectLst/>
        </c:spPr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합격률!$X$31:$X$32</c:f>
              <c:strCache>
                <c:ptCount val="1"/>
                <c:pt idx="0">
                  <c:v>불합격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합격률!$W$33:$W$38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합격률!$X$33:$X$38</c:f>
              <c:numCache>
                <c:formatCode>General</c:formatCode>
                <c:ptCount val="5"/>
                <c:pt idx="0">
                  <c:v>61</c:v>
                </c:pt>
                <c:pt idx="1">
                  <c:v>9</c:v>
                </c:pt>
                <c:pt idx="2">
                  <c:v>10</c:v>
                </c:pt>
                <c:pt idx="3">
                  <c:v>13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B1-4ECB-AAA0-1B7F32ECFFC9}"/>
            </c:ext>
          </c:extLst>
        </c:ser>
        <c:ser>
          <c:idx val="1"/>
          <c:order val="1"/>
          <c:tx>
            <c:strRef>
              <c:f>합격률!$Y$31:$Y$32</c:f>
              <c:strCache>
                <c:ptCount val="1"/>
                <c:pt idx="0">
                  <c:v>합격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합격률!$W$33:$W$38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합격률!$Y$33:$Y$38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D9-4A08-9BDC-D29AE9ADA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5413584"/>
        <c:axId val="935415552"/>
      </c:barChart>
      <c:catAx>
        <c:axId val="93541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5415552"/>
        <c:crosses val="autoZero"/>
        <c:auto val="1"/>
        <c:lblAlgn val="ctr"/>
        <c:lblOffset val="100"/>
        <c:noMultiLvlLbl val="0"/>
      </c:catAx>
      <c:valAx>
        <c:axId val="9354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541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일정보기!$G$21</c:f>
              <c:strCache>
                <c:ptCount val="1"/>
                <c:pt idx="0">
                  <c:v>접수시작일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일정보기!$F$22:$F$32</c:f>
              <c:strCache>
                <c:ptCount val="11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  <c:pt idx="10">
                  <c:v>컴퓨터활용능력 2급</c:v>
                </c:pt>
              </c:strCache>
            </c:strRef>
          </c:cat>
          <c:val>
            <c:numRef>
              <c:f>일정보기!$G$22:$G$32</c:f>
              <c:numCache>
                <c:formatCode>m/d/yyyy</c:formatCode>
                <c:ptCount val="11"/>
                <c:pt idx="0">
                  <c:v>44473</c:v>
                </c:pt>
                <c:pt idx="1">
                  <c:v>44475</c:v>
                </c:pt>
                <c:pt idx="2">
                  <c:v>44477</c:v>
                </c:pt>
                <c:pt idx="3">
                  <c:v>44480</c:v>
                </c:pt>
                <c:pt idx="4">
                  <c:v>44483</c:v>
                </c:pt>
                <c:pt idx="5">
                  <c:v>44485</c:v>
                </c:pt>
                <c:pt idx="6">
                  <c:v>44488</c:v>
                </c:pt>
                <c:pt idx="7">
                  <c:v>44488</c:v>
                </c:pt>
                <c:pt idx="8">
                  <c:v>44489</c:v>
                </c:pt>
                <c:pt idx="9">
                  <c:v>44489</c:v>
                </c:pt>
                <c:pt idx="10">
                  <c:v>44489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D-434D-A074-095C0CDF1383}"/>
            </c:ext>
          </c:extLst>
        </c:ser>
        <c:ser>
          <c:idx val="1"/>
          <c:order val="1"/>
          <c:tx>
            <c:strRef>
              <c:f>일정보기!$H$21</c:f>
              <c:strCache>
                <c:ptCount val="1"/>
                <c:pt idx="0">
                  <c:v>남은일수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일정보기!$F$22:$F$32</c:f>
              <c:strCache>
                <c:ptCount val="11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  <c:pt idx="10">
                  <c:v>컴퓨터활용능력 2급</c:v>
                </c:pt>
              </c:strCache>
            </c:strRef>
          </c:cat>
          <c:val>
            <c:numRef>
              <c:f>일정보기!$H$22:$H$32</c:f>
              <c:numCache>
                <c:formatCode>General</c:formatCode>
                <c:ptCount val="11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16</c:v>
                </c:pt>
                <c:pt idx="4">
                  <c:v>19</c:v>
                </c:pt>
                <c:pt idx="5">
                  <c:v>21</c:v>
                </c:pt>
                <c:pt idx="6">
                  <c:v>24</c:v>
                </c:pt>
                <c:pt idx="7">
                  <c:v>20</c:v>
                </c:pt>
                <c:pt idx="8">
                  <c:v>21</c:v>
                </c:pt>
                <c:pt idx="9">
                  <c:v>26</c:v>
                </c:pt>
                <c:pt idx="1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D-434D-A074-095C0CDF1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69248608"/>
        <c:axId val="1069246312"/>
      </c:barChart>
      <c:catAx>
        <c:axId val="1069248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69246312"/>
        <c:crosses val="autoZero"/>
        <c:auto val="0"/>
        <c:lblAlgn val="ctr"/>
        <c:lblOffset val="100"/>
        <c:noMultiLvlLbl val="0"/>
      </c:catAx>
      <c:valAx>
        <c:axId val="1069246312"/>
        <c:scaling>
          <c:orientation val="minMax"/>
          <c:max val="44503"/>
          <c:min val="4447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92486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horiz="1" max="7" page="10" val="0"/>
</file>

<file path=xl/ctrlProps/ctrlProp2.xml><?xml version="1.0" encoding="utf-8"?>
<formControlPr xmlns="http://schemas.microsoft.com/office/spreadsheetml/2009/9/main" objectType="Drop" dropStyle="combo" dx="22" fmlaLink="$E$6" noThreeD="1" sel="1" val="0">
  <itemLst>
    <item val="전체"/>
    <item val="워드프로세서 단일"/>
    <item val="컴퓨터활용능력 1급"/>
    <item val="컴퓨터활용능력 2급"/>
    <item val="비서 1급"/>
    <item val="비서 2급"/>
    <item val="비서 3급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264300</xdr:colOff>
      <xdr:row>5</xdr:row>
      <xdr:rowOff>131273</xdr:rowOff>
    </xdr:from>
    <xdr:to>
      <xdr:col>13</xdr:col>
      <xdr:colOff>116514</xdr:colOff>
      <xdr:row>10</xdr:row>
      <xdr:rowOff>540827</xdr:rowOff>
    </xdr:to>
    <xdr:pic>
      <xdr:nvPicPr>
        <xdr:cNvPr id="6" name="자격증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9100" y="1179023"/>
          <a:ext cx="4652814" cy="1457304"/>
        </a:xfrm>
        <a:prstGeom prst="rect">
          <a:avLst/>
        </a:prstGeom>
      </xdr:spPr>
    </xdr:pic>
    <xdr:clientData/>
  </xdr:twoCellAnchor>
  <xdr:twoCellAnchor editAs="oneCell">
    <xdr:from>
      <xdr:col>6</xdr:col>
      <xdr:colOff>276479</xdr:colOff>
      <xdr:row>0</xdr:row>
      <xdr:rowOff>0</xdr:rowOff>
    </xdr:from>
    <xdr:to>
      <xdr:col>13</xdr:col>
      <xdr:colOff>131552</xdr:colOff>
      <xdr:row>7</xdr:row>
      <xdr:rowOff>24642</xdr:rowOff>
    </xdr:to>
    <xdr:pic>
      <xdr:nvPicPr>
        <xdr:cNvPr id="7" name="자격증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1279" y="0"/>
          <a:ext cx="4655673" cy="1491492"/>
        </a:xfrm>
        <a:prstGeom prst="rect">
          <a:avLst/>
        </a:prstGeom>
      </xdr:spPr>
    </xdr:pic>
    <xdr:clientData/>
  </xdr:twoCellAnchor>
  <xdr:twoCellAnchor editAs="oneCell">
    <xdr:from>
      <xdr:col>6</xdr:col>
      <xdr:colOff>277100</xdr:colOff>
      <xdr:row>10</xdr:row>
      <xdr:rowOff>478446</xdr:rowOff>
    </xdr:from>
    <xdr:to>
      <xdr:col>13</xdr:col>
      <xdr:colOff>115893</xdr:colOff>
      <xdr:row>13</xdr:row>
      <xdr:rowOff>92194</xdr:rowOff>
    </xdr:to>
    <xdr:pic>
      <xdr:nvPicPr>
        <xdr:cNvPr id="8" name="자격증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1900" y="2573946"/>
          <a:ext cx="4639393" cy="1394923"/>
        </a:xfrm>
        <a:prstGeom prst="rect">
          <a:avLst/>
        </a:prstGeom>
      </xdr:spPr>
    </xdr:pic>
    <xdr:clientData/>
  </xdr:twoCellAnchor>
  <xdr:twoCellAnchor>
    <xdr:from>
      <xdr:col>4</xdr:col>
      <xdr:colOff>376299</xdr:colOff>
      <xdr:row>0</xdr:row>
      <xdr:rowOff>13607</xdr:rowOff>
    </xdr:from>
    <xdr:to>
      <xdr:col>15</xdr:col>
      <xdr:colOff>503465</xdr:colOff>
      <xdr:row>6</xdr:row>
      <xdr:rowOff>190500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108989" y="13607"/>
          <a:ext cx="7642062" cy="1438134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6</xdr:col>
      <xdr:colOff>489985</xdr:colOff>
      <xdr:row>1</xdr:row>
      <xdr:rowOff>159683</xdr:rowOff>
    </xdr:from>
    <xdr:ext cx="3308809" cy="979307"/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91338" y="372595"/>
          <a:ext cx="3308809" cy="97930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ko-KR" altLang="en-US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기능 자격증</a:t>
          </a:r>
          <a:endParaRPr lang="en-US" altLang="ko-KR" sz="4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12</xdr:col>
      <xdr:colOff>258410</xdr:colOff>
      <xdr:row>3</xdr:row>
      <xdr:rowOff>33618</xdr:rowOff>
    </xdr:from>
    <xdr:to>
      <xdr:col>13</xdr:col>
      <xdr:colOff>89646</xdr:colOff>
      <xdr:row>5</xdr:row>
      <xdr:rowOff>145189</xdr:rowOff>
    </xdr:to>
    <xdr:sp macro="[0]!shp로그인_Click" textlink="데이터!A8">
      <xdr:nvSpPr>
        <xdr:cNvPr id="3" name="shp로그인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461116" y="672353"/>
          <a:ext cx="514795" cy="537395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CDFC8E-7854-4D30-93B4-6CFD9F2BBC90}" type="TxLink">
            <a:rPr lang="en-US" altLang="en-US" sz="2400" b="0" i="0" u="none" strike="noStrike">
              <a:ln>
                <a:noFill/>
              </a:ln>
              <a:solidFill>
                <a:srgbClr val="000000"/>
              </a:solidFill>
              <a:effectLst/>
              <a:latin typeface="Segoe UI Symbol"/>
              <a:ea typeface="Segoe UI Symbol"/>
            </a:rPr>
            <a:pPr algn="ctr"/>
            <a:t></a:t>
          </a:fld>
          <a:endParaRPr lang="ko-KR" altLang="en-US" sz="900" b="1">
            <a:ln>
              <a:noFill/>
            </a:ln>
            <a:effectLst/>
            <a:latin typeface="Segoe UI Symbol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455840</xdr:colOff>
      <xdr:row>10</xdr:row>
      <xdr:rowOff>623882</xdr:rowOff>
    </xdr:from>
    <xdr:to>
      <xdr:col>16</xdr:col>
      <xdr:colOff>142876</xdr:colOff>
      <xdr:row>16</xdr:row>
      <xdr:rowOff>85681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190075" y="2753000"/>
          <a:ext cx="7889742" cy="18934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306560</xdr:colOff>
      <xdr:row>10</xdr:row>
      <xdr:rowOff>1133395</xdr:rowOff>
    </xdr:from>
    <xdr:to>
      <xdr:col>9</xdr:col>
      <xdr:colOff>515469</xdr:colOff>
      <xdr:row>22</xdr:row>
      <xdr:rowOff>10405</xdr:rowOff>
    </xdr:to>
    <xdr:sp macro="[0]!shp버튼1_Click" textlink="">
      <xdr:nvSpPr>
        <xdr:cNvPr id="11" name="shp버튼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388703" y="3174466"/>
          <a:ext cx="2249980" cy="272783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6000">
              <a:solidFill>
                <a:sysClr val="windowText" lastClr="000000"/>
              </a:solidFill>
              <a:latin typeface="Segoe UI Symbol" panose="020B0502040204020203" pitchFamily="34" charset="0"/>
              <a:cs typeface="Segoe UI" panose="020B0502040204020203" pitchFamily="34" charset="0"/>
            </a:rPr>
            <a:t>🗏</a:t>
          </a:r>
          <a:endParaRPr lang="ko-KR" altLang="en-US" sz="3000">
            <a:solidFill>
              <a:sysClr val="windowText" lastClr="000000"/>
            </a:solidFill>
            <a:latin typeface="Segoe UI Symbol" panose="020B0502040204020203" pitchFamily="34" charset="0"/>
            <a:cs typeface="Segoe UI" panose="020B0502040204020203" pitchFamily="34" charset="0"/>
          </a:endParaRPr>
        </a:p>
        <a:p>
          <a:pPr algn="ctr"/>
          <a:r>
            <a:rPr lang="ko-KR" altLang="en-US" sz="3000">
              <a:solidFill>
                <a:sysClr val="windowText" lastClr="000000"/>
              </a:solidFill>
              <a:latin typeface="Segoe UI Symbol" panose="020B0502040204020203" pitchFamily="34" charset="0"/>
              <a:cs typeface="Segoe UI" panose="020B0502040204020203" pitchFamily="34" charset="0"/>
            </a:rPr>
            <a:t>시험접수</a:t>
          </a:r>
        </a:p>
      </xdr:txBody>
    </xdr:sp>
    <xdr:clientData/>
  </xdr:twoCellAnchor>
  <xdr:twoCellAnchor>
    <xdr:from>
      <xdr:col>9</xdr:col>
      <xdr:colOff>609119</xdr:colOff>
      <xdr:row>10</xdr:row>
      <xdr:rowOff>1110983</xdr:rowOff>
    </xdr:from>
    <xdr:to>
      <xdr:col>13</xdr:col>
      <xdr:colOff>134468</xdr:colOff>
      <xdr:row>21</xdr:row>
      <xdr:rowOff>192100</xdr:rowOff>
    </xdr:to>
    <xdr:sp macro="[0]!shp버튼2_Click" textlink="">
      <xdr:nvSpPr>
        <xdr:cNvPr id="12" name="shp버튼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732333" y="3152054"/>
          <a:ext cx="2246778" cy="272783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0" b="0" i="0">
              <a:solidFill>
                <a:sysClr val="windowText" lastClr="000000"/>
              </a:solidFill>
              <a:latin typeface="Wingdings" panose="05000000000000000000" pitchFamily="2" charset="2"/>
              <a:sym typeface="Wingdings" panose="05000000000000000000" pitchFamily="2" charset="2"/>
            </a:rPr>
            <a:t>📅</a:t>
          </a:r>
          <a:r>
            <a:rPr lang="ko-KR" altLang="en-US" sz="2000" b="0" i="0">
              <a:solidFill>
                <a:sysClr val="windowText" lastClr="000000"/>
              </a:solidFill>
              <a:latin typeface="Wingdings" panose="05000000000000000000" pitchFamily="2" charset="2"/>
              <a:sym typeface="Wingdings" panose="05000000000000000000" pitchFamily="2" charset="2"/>
            </a:rPr>
            <a:t>
시험일정</a:t>
          </a:r>
          <a:endParaRPr lang="ko-KR" alt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306560</xdr:colOff>
      <xdr:row>22</xdr:row>
      <xdr:rowOff>112860</xdr:rowOff>
    </xdr:from>
    <xdr:to>
      <xdr:col>9</xdr:col>
      <xdr:colOff>515469</xdr:colOff>
      <xdr:row>27</xdr:row>
      <xdr:rowOff>27215</xdr:rowOff>
    </xdr:to>
    <xdr:sp macro="[0]!shp버튼3_Click" textlink="">
      <xdr:nvSpPr>
        <xdr:cNvPr id="14" name="shp버튼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388703" y="6004753"/>
          <a:ext cx="2249980" cy="93489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>
              <a:solidFill>
                <a:sysClr val="windowText" lastClr="000000"/>
              </a:solidFill>
              <a:latin typeface="Segoe UI Symbol" panose="020B0502040204020203" pitchFamily="34" charset="0"/>
            </a:rPr>
            <a:t>📅 </a:t>
          </a:r>
          <a:r>
            <a:rPr lang="ko-KR" altLang="en-US" sz="2400">
              <a:solidFill>
                <a:sysClr val="windowText" lastClr="000000"/>
              </a:solidFill>
              <a:latin typeface="Segoe UI Symbol" panose="020B0502040204020203" pitchFamily="34" charset="0"/>
            </a:rPr>
            <a:t>시험일정</a:t>
          </a:r>
          <a:endParaRPr lang="ko-KR" alt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633132</xdr:colOff>
      <xdr:row>22</xdr:row>
      <xdr:rowOff>112860</xdr:rowOff>
    </xdr:from>
    <xdr:to>
      <xdr:col>13</xdr:col>
      <xdr:colOff>161683</xdr:colOff>
      <xdr:row>27</xdr:row>
      <xdr:rowOff>27215</xdr:rowOff>
    </xdr:to>
    <xdr:sp macro="[0]!shp버튼4_Click" textlink="">
      <xdr:nvSpPr>
        <xdr:cNvPr id="15" name="shp버튼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756346" y="6004753"/>
          <a:ext cx="2249980" cy="93489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>
              <a:solidFill>
                <a:sysClr val="windowText" lastClr="000000"/>
              </a:solidFill>
            </a:rPr>
            <a:t>🗐 </a:t>
          </a:r>
          <a:r>
            <a:rPr lang="ko-KR" altLang="en-US" sz="2400">
              <a:solidFill>
                <a:sysClr val="windowText" lastClr="000000"/>
              </a:solidFill>
            </a:rPr>
            <a:t>접수내역</a:t>
          </a:r>
        </a:p>
      </xdr:txBody>
    </xdr:sp>
    <xdr:clientData/>
  </xdr:twoCellAnchor>
  <xdr:twoCellAnchor>
    <xdr:from>
      <xdr:col>6</xdr:col>
      <xdr:colOff>306560</xdr:colOff>
      <xdr:row>27</xdr:row>
      <xdr:rowOff>167288</xdr:rowOff>
    </xdr:from>
    <xdr:to>
      <xdr:col>9</xdr:col>
      <xdr:colOff>515469</xdr:colOff>
      <xdr:row>29</xdr:row>
      <xdr:rowOff>95251</xdr:rowOff>
    </xdr:to>
    <xdr:sp macro="[0]!shp버튼5_Click" textlink="">
      <xdr:nvSpPr>
        <xdr:cNvPr id="16" name="shp버튼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388703" y="7079717"/>
          <a:ext cx="2249980" cy="63553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>
              <a:solidFill>
                <a:sysClr val="windowText" lastClr="000000"/>
              </a:solidFill>
              <a:latin typeface="Webdings" panose="05030102010509060703" pitchFamily="18" charset="2"/>
            </a:rPr>
            <a:t>q</a:t>
          </a:r>
          <a:r>
            <a:rPr lang="en-US" altLang="ko-KR" sz="2800">
              <a:solidFill>
                <a:sysClr val="windowText" lastClr="000000"/>
              </a:solidFill>
              <a:latin typeface="Webdings" panose="05030102010509060703" pitchFamily="18" charset="2"/>
            </a:rPr>
            <a:t> </a:t>
          </a:r>
          <a:r>
            <a:rPr lang="ko-KR" altLang="en-US" sz="1800">
              <a:solidFill>
                <a:sysClr val="windowText" lastClr="000000"/>
              </a:solidFill>
              <a:latin typeface="Webdings" panose="05030102010509060703" pitchFamily="18" charset="2"/>
            </a:rPr>
            <a:t>개인정보수정</a:t>
          </a:r>
          <a:endParaRPr lang="ko-KR" altLang="en-US" sz="11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9</xdr:col>
      <xdr:colOff>633132</xdr:colOff>
      <xdr:row>27</xdr:row>
      <xdr:rowOff>167288</xdr:rowOff>
    </xdr:from>
    <xdr:to>
      <xdr:col>13</xdr:col>
      <xdr:colOff>161683</xdr:colOff>
      <xdr:row>29</xdr:row>
      <xdr:rowOff>95251</xdr:rowOff>
    </xdr:to>
    <xdr:sp macro="[0]!shp버튼6_Click" textlink="">
      <xdr:nvSpPr>
        <xdr:cNvPr id="17" name="shp버튼6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756346" y="7079717"/>
          <a:ext cx="2249980" cy="63553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3200">
              <a:solidFill>
                <a:sysClr val="windowText" lastClr="000000"/>
              </a:solidFill>
              <a:sym typeface="Wingdings" panose="05000000000000000000" pitchFamily="2" charset="2"/>
            </a:rPr>
            <a:t> </a:t>
          </a:r>
          <a:r>
            <a:rPr lang="ko-KR" altLang="en-US" sz="2400">
              <a:solidFill>
                <a:sysClr val="windowText" lastClr="000000"/>
              </a:solidFill>
              <a:sym typeface="Wingdings" panose="05000000000000000000" pitchFamily="2" charset="2"/>
            </a:rPr>
            <a:t>취득내역</a:t>
          </a:r>
          <a:endParaRPr lang="ko-KR" altLang="en-US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144519</xdr:colOff>
      <xdr:row>3</xdr:row>
      <xdr:rowOff>131378</xdr:rowOff>
    </xdr:from>
    <xdr:to>
      <xdr:col>16</xdr:col>
      <xdr:colOff>19708</xdr:colOff>
      <xdr:row>6</xdr:row>
      <xdr:rowOff>13138</xdr:rowOff>
    </xdr:to>
    <xdr:sp macro="" textlink="데이터!F8">
      <xdr:nvSpPr>
        <xdr:cNvPr id="19" name="직사각형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025760" y="761999"/>
          <a:ext cx="1924707" cy="5123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7520D9F-B84C-47B6-8730-137192995F19}" type="TxLink">
            <a:rPr lang="ko-KR" altLang="en-US" sz="1100" b="1" i="0" u="none" strike="noStrike">
              <a:solidFill>
                <a:sysClr val="windowText" lastClr="000000"/>
              </a:solidFill>
              <a:latin typeface="맑은 고딕"/>
              <a:ea typeface="맑은 고딕"/>
            </a:rPr>
            <a:pPr algn="l"/>
            <a:t> </a:t>
          </a:fld>
          <a:endParaRPr lang="ko-KR" alt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83484</xdr:colOff>
      <xdr:row>4</xdr:row>
      <xdr:rowOff>35299</xdr:rowOff>
    </xdr:from>
    <xdr:to>
      <xdr:col>11</xdr:col>
      <xdr:colOff>554131</xdr:colOff>
      <xdr:row>17</xdr:row>
      <xdr:rowOff>7284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60432</xdr:colOff>
      <xdr:row>18</xdr:row>
      <xdr:rowOff>60191</xdr:rowOff>
    </xdr:from>
    <xdr:to>
      <xdr:col>11</xdr:col>
      <xdr:colOff>548048</xdr:colOff>
      <xdr:row>31</xdr:row>
      <xdr:rowOff>149998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32</xdr:row>
          <xdr:rowOff>9525</xdr:rowOff>
        </xdr:from>
        <xdr:to>
          <xdr:col>11</xdr:col>
          <xdr:colOff>533400</xdr:colOff>
          <xdr:row>33</xdr:row>
          <xdr:rowOff>200025</xdr:rowOff>
        </xdr:to>
        <xdr:sp macro="" textlink="">
          <xdr:nvSpPr>
            <xdr:cNvPr id="7169" name="Scroll Ba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</xdr:row>
          <xdr:rowOff>152400</xdr:rowOff>
        </xdr:from>
        <xdr:to>
          <xdr:col>8</xdr:col>
          <xdr:colOff>361950</xdr:colOff>
          <xdr:row>3</xdr:row>
          <xdr:rowOff>171450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474700</xdr:colOff>
      <xdr:row>16</xdr:row>
      <xdr:rowOff>2844</xdr:rowOff>
    </xdr:from>
    <xdr:to>
      <xdr:col>5</xdr:col>
      <xdr:colOff>896896</xdr:colOff>
      <xdr:row>18</xdr:row>
      <xdr:rowOff>75161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217900" y="3355644"/>
          <a:ext cx="1107996" cy="49141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시작날짜</a:t>
          </a:r>
          <a:endParaRPr lang="en-US" altLang="ko-KR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5</xdr:col>
      <xdr:colOff>847725</xdr:colOff>
      <xdr:row>16</xdr:row>
      <xdr:rowOff>59994</xdr:rowOff>
    </xdr:from>
    <xdr:to>
      <xdr:col>6</xdr:col>
      <xdr:colOff>1009649</xdr:colOff>
      <xdr:row>18</xdr:row>
      <xdr:rowOff>15035</xdr:rowOff>
    </xdr:to>
    <xdr:sp macro="" textlink="">
      <xdr:nvSpPr>
        <xdr:cNvPr id="4" name="shp날짜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276725" y="3412794"/>
          <a:ext cx="155257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ko-K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2021-10-04</a:t>
          </a:r>
        </a:p>
      </xdr:txBody>
    </xdr:sp>
    <xdr:clientData/>
  </xdr:twoCellAnchor>
  <xdr:twoCellAnchor>
    <xdr:from>
      <xdr:col>8</xdr:col>
      <xdr:colOff>990600</xdr:colOff>
      <xdr:row>16</xdr:row>
      <xdr:rowOff>66675</xdr:rowOff>
    </xdr:from>
    <xdr:to>
      <xdr:col>9</xdr:col>
      <xdr:colOff>76200</xdr:colOff>
      <xdr:row>18</xdr:row>
      <xdr:rowOff>57150</xdr:rowOff>
    </xdr:to>
    <xdr:sp macro="[0]!Sheet9.화살표_Click" textlink="">
      <xdr:nvSpPr>
        <xdr:cNvPr id="5" name="오른쪽 화살표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905750" y="3419475"/>
          <a:ext cx="476250" cy="409575"/>
        </a:xfrm>
        <a:prstGeom prst="rightArrow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222996</xdr:colOff>
      <xdr:row>0</xdr:row>
      <xdr:rowOff>0</xdr:rowOff>
    </xdr:from>
    <xdr:to>
      <xdr:col>9</xdr:col>
      <xdr:colOff>209550</xdr:colOff>
      <xdr:row>16</xdr:row>
      <xdr:rowOff>38101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42.469470833334" createdVersion="6" refreshedVersion="6" minRefreshableVersion="3" recordCount="520">
  <cacheSource type="worksheet">
    <worksheetSource name="표5"/>
  </cacheSource>
  <cacheFields count="10">
    <cacheField name="번호" numFmtId="0">
      <sharedItems containsSemiMixedTypes="0" containsString="0" containsNumber="1" containsInteger="1" minValue="1" maxValue="520"/>
    </cacheField>
    <cacheField name="회원번호" numFmtId="0">
      <sharedItems containsSemiMixedTypes="0" containsString="0" containsNumber="1" containsInteger="1" minValue="1" maxValue="30"/>
    </cacheField>
    <cacheField name="종목" numFmtId="0">
      <sharedItems containsSemiMixedTypes="0" containsString="0" containsNumber="1" containsInteger="1" minValue="1" maxValue="6" count="6">
        <n v="2"/>
        <n v="3"/>
        <n v="4"/>
        <n v="5"/>
        <n v="6"/>
        <n v="1"/>
      </sharedItems>
    </cacheField>
    <cacheField name="일정번호" numFmtId="0">
      <sharedItems containsSemiMixedTypes="0" containsString="0" containsNumber="1" containsInteger="1" minValue="1" maxValue="156"/>
    </cacheField>
    <cacheField name="회차" numFmtId="0">
      <sharedItems containsSemiMixedTypes="0" containsString="0" containsNumber="1" containsInteger="1" minValue="1" maxValue="39" count="39">
        <n v="1"/>
        <n v="38"/>
        <n v="16"/>
        <n v="8"/>
        <n v="9"/>
        <n v="11"/>
        <n v="19"/>
        <n v="36"/>
        <n v="12"/>
        <n v="13"/>
        <n v="14"/>
        <n v="15"/>
        <n v="2"/>
        <n v="20"/>
        <n v="17"/>
        <n v="39"/>
        <n v="3"/>
        <n v="4"/>
        <n v="18"/>
        <n v="24"/>
        <n v="5"/>
        <n v="6"/>
        <n v="7"/>
        <n v="10"/>
        <n v="23"/>
        <n v="21"/>
        <n v="22"/>
        <n v="25"/>
        <n v="30"/>
        <n v="26"/>
        <n v="37"/>
        <n v="27"/>
        <n v="28"/>
        <n v="29"/>
        <n v="32"/>
        <n v="31"/>
        <n v="33"/>
        <n v="34"/>
        <n v="35"/>
      </sharedItems>
    </cacheField>
    <cacheField name="접수일자" numFmtId="14">
      <sharedItems containsSemiMixedTypes="0" containsNonDate="0" containsDate="1" containsString="0" minDate="2021-05-10T00:00:00" maxDate="2021-07-13T00:00:00"/>
    </cacheField>
    <cacheField name="시험일자" numFmtId="14">
      <sharedItems containsSemiMixedTypes="0" containsNonDate="0" containsDate="1" containsString="0" minDate="2021-05-17T00:00:00" maxDate="2021-07-20T00:00:00" count="23">
        <d v="2021-05-17T00:00:00"/>
        <d v="2021-07-19T00:00:00"/>
        <d v="2021-06-28T00:00:00"/>
        <d v="2021-06-23T00:00:00"/>
        <d v="2021-06-25T00:00:00"/>
        <d v="2021-07-02T00:00:00"/>
        <d v="2021-07-18T00:00:00"/>
        <d v="2021-06-26T00:00:00"/>
        <d v="2021-05-24T00:00:00"/>
        <d v="2021-05-31T00:00:00"/>
        <d v="2021-06-02T00:00:00"/>
        <d v="2021-07-01T00:00:00"/>
        <d v="2021-07-09T00:00:00"/>
        <d v="2021-06-10T00:00:00"/>
        <d v="2021-07-06T00:00:00"/>
        <d v="2021-07-03T00:00:00"/>
        <d v="2021-07-04T00:00:00"/>
        <d v="2021-07-10T00:00:00"/>
        <d v="2021-07-13T00:00:00"/>
        <d v="2021-07-11T00:00:00"/>
        <d v="2021-07-14T00:00:00"/>
        <d v="2021-07-16T00:00:00"/>
        <d v="2021-07-17T00:00:00"/>
      </sharedItems>
    </cacheField>
    <cacheField name="발표일자" numFmtId="14">
      <sharedItems containsSemiMixedTypes="0" containsNonDate="0" containsDate="1" containsString="0" minDate="2021-05-17T00:00:00" maxDate="2021-07-21T00:00:00"/>
    </cacheField>
    <cacheField name="점수" numFmtId="0">
      <sharedItems containsSemiMixedTypes="0" containsString="0" containsNumber="1" containsInteger="1" minValue="0" maxValue="100"/>
    </cacheField>
    <cacheField name="합격여부" numFmtId="0">
      <sharedItems count="2">
        <s v="불합격"/>
        <s v="합격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0">
  <r>
    <n v="1"/>
    <n v="1"/>
    <x v="0"/>
    <n v="6"/>
    <x v="0"/>
    <d v="2021-05-10T00:00:00"/>
    <x v="0"/>
    <d v="2021-05-17T00:00:00"/>
    <n v="20"/>
    <x v="0"/>
  </r>
  <r>
    <n v="2"/>
    <n v="2"/>
    <x v="0"/>
    <n v="6"/>
    <x v="0"/>
    <d v="2021-05-10T00:00:00"/>
    <x v="0"/>
    <d v="2021-05-17T00:00:00"/>
    <n v="50"/>
    <x v="0"/>
  </r>
  <r>
    <n v="3"/>
    <n v="4"/>
    <x v="0"/>
    <n v="6"/>
    <x v="0"/>
    <d v="2021-05-10T00:00:00"/>
    <x v="0"/>
    <d v="2021-05-17T00:00:00"/>
    <n v="50"/>
    <x v="0"/>
  </r>
  <r>
    <n v="4"/>
    <n v="6"/>
    <x v="0"/>
    <n v="7"/>
    <x v="0"/>
    <d v="2021-05-10T00:00:00"/>
    <x v="0"/>
    <d v="2021-05-17T00:00:00"/>
    <n v="20"/>
    <x v="0"/>
  </r>
  <r>
    <n v="5"/>
    <n v="2"/>
    <x v="0"/>
    <n v="7"/>
    <x v="0"/>
    <d v="2021-05-10T00:00:00"/>
    <x v="0"/>
    <d v="2021-05-17T00:00:00"/>
    <n v="40"/>
    <x v="0"/>
  </r>
  <r>
    <n v="6"/>
    <n v="8"/>
    <x v="0"/>
    <n v="7"/>
    <x v="0"/>
    <d v="2021-05-10T00:00:00"/>
    <x v="0"/>
    <d v="2021-05-17T00:00:00"/>
    <n v="20"/>
    <x v="0"/>
  </r>
  <r>
    <n v="7"/>
    <n v="9"/>
    <x v="0"/>
    <n v="9"/>
    <x v="0"/>
    <d v="2021-05-10T00:00:00"/>
    <x v="0"/>
    <d v="2021-05-17T00:00:00"/>
    <n v="50"/>
    <x v="0"/>
  </r>
  <r>
    <n v="8"/>
    <n v="4"/>
    <x v="0"/>
    <n v="9"/>
    <x v="0"/>
    <d v="2021-05-10T00:00:00"/>
    <x v="0"/>
    <d v="2021-05-17T00:00:00"/>
    <n v="10"/>
    <x v="0"/>
  </r>
  <r>
    <n v="9"/>
    <n v="6"/>
    <x v="0"/>
    <n v="9"/>
    <x v="0"/>
    <d v="2021-05-10T00:00:00"/>
    <x v="0"/>
    <d v="2021-05-17T00:00:00"/>
    <n v="30"/>
    <x v="0"/>
  </r>
  <r>
    <n v="10"/>
    <n v="15"/>
    <x v="0"/>
    <n v="9"/>
    <x v="0"/>
    <d v="2021-05-10T00:00:00"/>
    <x v="0"/>
    <d v="2021-05-17T00:00:00"/>
    <n v="10"/>
    <x v="0"/>
  </r>
  <r>
    <n v="11"/>
    <n v="15"/>
    <x v="1"/>
    <n v="10"/>
    <x v="0"/>
    <d v="2021-05-10T00:00:00"/>
    <x v="0"/>
    <d v="2021-05-17T00:00:00"/>
    <n v="0"/>
    <x v="0"/>
  </r>
  <r>
    <n v="12"/>
    <n v="2"/>
    <x v="1"/>
    <n v="10"/>
    <x v="0"/>
    <d v="2021-05-10T00:00:00"/>
    <x v="0"/>
    <d v="2021-05-17T00:00:00"/>
    <n v="0"/>
    <x v="0"/>
  </r>
  <r>
    <n v="13"/>
    <n v="8"/>
    <x v="1"/>
    <n v="10"/>
    <x v="0"/>
    <d v="2021-05-10T00:00:00"/>
    <x v="0"/>
    <d v="2021-05-17T00:00:00"/>
    <n v="10"/>
    <x v="0"/>
  </r>
  <r>
    <n v="14"/>
    <n v="16"/>
    <x v="1"/>
    <n v="10"/>
    <x v="0"/>
    <d v="2021-05-10T00:00:00"/>
    <x v="0"/>
    <d v="2021-05-17T00:00:00"/>
    <n v="0"/>
    <x v="0"/>
  </r>
  <r>
    <n v="15"/>
    <n v="4"/>
    <x v="1"/>
    <n v="10"/>
    <x v="0"/>
    <d v="2021-05-10T00:00:00"/>
    <x v="0"/>
    <d v="2021-05-17T00:00:00"/>
    <n v="0"/>
    <x v="0"/>
  </r>
  <r>
    <n v="16"/>
    <n v="18"/>
    <x v="1"/>
    <n v="11"/>
    <x v="0"/>
    <d v="2021-05-10T00:00:00"/>
    <x v="0"/>
    <d v="2021-05-17T00:00:00"/>
    <n v="20"/>
    <x v="0"/>
  </r>
  <r>
    <n v="17"/>
    <n v="20"/>
    <x v="1"/>
    <n v="11"/>
    <x v="0"/>
    <d v="2021-05-10T00:00:00"/>
    <x v="0"/>
    <d v="2021-05-17T00:00:00"/>
    <n v="40"/>
    <x v="0"/>
  </r>
  <r>
    <n v="18"/>
    <n v="1"/>
    <x v="1"/>
    <n v="11"/>
    <x v="0"/>
    <d v="2021-05-10T00:00:00"/>
    <x v="0"/>
    <d v="2021-05-17T00:00:00"/>
    <n v="50"/>
    <x v="0"/>
  </r>
  <r>
    <n v="19"/>
    <n v="29"/>
    <x v="1"/>
    <n v="11"/>
    <x v="0"/>
    <d v="2021-05-10T00:00:00"/>
    <x v="0"/>
    <d v="2021-05-17T00:00:00"/>
    <n v="10"/>
    <x v="0"/>
  </r>
  <r>
    <n v="20"/>
    <n v="10"/>
    <x v="1"/>
    <n v="11"/>
    <x v="0"/>
    <d v="2021-05-10T00:00:00"/>
    <x v="0"/>
    <d v="2021-05-17T00:00:00"/>
    <n v="0"/>
    <x v="0"/>
  </r>
  <r>
    <n v="21"/>
    <n v="4"/>
    <x v="2"/>
    <n v="11"/>
    <x v="0"/>
    <d v="2021-05-10T00:00:00"/>
    <x v="0"/>
    <d v="2021-05-18T00:00:00"/>
    <n v="0"/>
    <x v="0"/>
  </r>
  <r>
    <n v="22"/>
    <n v="15"/>
    <x v="2"/>
    <n v="11"/>
    <x v="0"/>
    <d v="2021-05-10T00:00:00"/>
    <x v="0"/>
    <d v="2021-05-18T00:00:00"/>
    <n v="40"/>
    <x v="0"/>
  </r>
  <r>
    <n v="23"/>
    <n v="16"/>
    <x v="2"/>
    <n v="11"/>
    <x v="0"/>
    <d v="2021-05-10T00:00:00"/>
    <x v="0"/>
    <d v="2021-05-18T00:00:00"/>
    <n v="10"/>
    <x v="0"/>
  </r>
  <r>
    <n v="24"/>
    <n v="19"/>
    <x v="2"/>
    <n v="12"/>
    <x v="0"/>
    <d v="2021-05-10T00:00:00"/>
    <x v="0"/>
    <d v="2021-05-18T00:00:00"/>
    <n v="30"/>
    <x v="0"/>
  </r>
  <r>
    <n v="25"/>
    <n v="2"/>
    <x v="2"/>
    <n v="12"/>
    <x v="0"/>
    <d v="2021-05-10T00:00:00"/>
    <x v="0"/>
    <d v="2021-05-18T00:00:00"/>
    <n v="0"/>
    <x v="0"/>
  </r>
  <r>
    <n v="26"/>
    <n v="17"/>
    <x v="2"/>
    <n v="12"/>
    <x v="0"/>
    <d v="2021-05-10T00:00:00"/>
    <x v="0"/>
    <d v="2021-05-18T00:00:00"/>
    <n v="10"/>
    <x v="0"/>
  </r>
  <r>
    <n v="27"/>
    <n v="23"/>
    <x v="2"/>
    <n v="12"/>
    <x v="0"/>
    <d v="2021-05-10T00:00:00"/>
    <x v="0"/>
    <d v="2021-05-18T00:00:00"/>
    <n v="50"/>
    <x v="0"/>
  </r>
  <r>
    <n v="28"/>
    <n v="15"/>
    <x v="2"/>
    <n v="12"/>
    <x v="0"/>
    <d v="2021-05-10T00:00:00"/>
    <x v="0"/>
    <d v="2021-05-18T00:00:00"/>
    <n v="20"/>
    <x v="0"/>
  </r>
  <r>
    <n v="29"/>
    <n v="6"/>
    <x v="2"/>
    <n v="12"/>
    <x v="0"/>
    <d v="2021-05-10T00:00:00"/>
    <x v="0"/>
    <d v="2021-05-18T00:00:00"/>
    <n v="0"/>
    <x v="0"/>
  </r>
  <r>
    <n v="30"/>
    <n v="3"/>
    <x v="2"/>
    <n v="12"/>
    <x v="0"/>
    <d v="2021-05-10T00:00:00"/>
    <x v="0"/>
    <d v="2021-05-18T00:00:00"/>
    <n v="0"/>
    <x v="0"/>
  </r>
  <r>
    <n v="31"/>
    <n v="16"/>
    <x v="3"/>
    <n v="12"/>
    <x v="0"/>
    <d v="2021-05-10T00:00:00"/>
    <x v="0"/>
    <d v="2021-05-18T00:00:00"/>
    <n v="50"/>
    <x v="0"/>
  </r>
  <r>
    <n v="32"/>
    <n v="12"/>
    <x v="3"/>
    <n v="14"/>
    <x v="0"/>
    <d v="2021-05-10T00:00:00"/>
    <x v="0"/>
    <d v="2021-05-18T00:00:00"/>
    <n v="20"/>
    <x v="0"/>
  </r>
  <r>
    <n v="33"/>
    <n v="22"/>
    <x v="3"/>
    <n v="14"/>
    <x v="0"/>
    <d v="2021-05-10T00:00:00"/>
    <x v="0"/>
    <d v="2021-05-18T00:00:00"/>
    <n v="10"/>
    <x v="0"/>
  </r>
  <r>
    <n v="34"/>
    <n v="19"/>
    <x v="3"/>
    <n v="14"/>
    <x v="0"/>
    <d v="2021-05-10T00:00:00"/>
    <x v="0"/>
    <d v="2021-05-18T00:00:00"/>
    <n v="0"/>
    <x v="0"/>
  </r>
  <r>
    <n v="35"/>
    <n v="11"/>
    <x v="3"/>
    <n v="14"/>
    <x v="0"/>
    <d v="2021-05-10T00:00:00"/>
    <x v="0"/>
    <d v="2021-05-18T00:00:00"/>
    <n v="10"/>
    <x v="0"/>
  </r>
  <r>
    <n v="36"/>
    <n v="25"/>
    <x v="3"/>
    <n v="14"/>
    <x v="0"/>
    <d v="2021-05-10T00:00:00"/>
    <x v="0"/>
    <d v="2021-05-18T00:00:00"/>
    <n v="0"/>
    <x v="0"/>
  </r>
  <r>
    <n v="37"/>
    <n v="10"/>
    <x v="3"/>
    <n v="14"/>
    <x v="0"/>
    <d v="2021-05-10T00:00:00"/>
    <x v="0"/>
    <d v="2021-05-18T00:00:00"/>
    <n v="0"/>
    <x v="0"/>
  </r>
  <r>
    <n v="38"/>
    <n v="6"/>
    <x v="3"/>
    <n v="14"/>
    <x v="0"/>
    <d v="2021-05-10T00:00:00"/>
    <x v="0"/>
    <d v="2021-05-18T00:00:00"/>
    <n v="40"/>
    <x v="0"/>
  </r>
  <r>
    <n v="39"/>
    <n v="30"/>
    <x v="4"/>
    <n v="15"/>
    <x v="0"/>
    <d v="2021-05-10T00:00:00"/>
    <x v="0"/>
    <d v="2021-05-18T00:00:00"/>
    <n v="10"/>
    <x v="0"/>
  </r>
  <r>
    <n v="40"/>
    <n v="27"/>
    <x v="4"/>
    <n v="15"/>
    <x v="0"/>
    <d v="2021-05-10T00:00:00"/>
    <x v="0"/>
    <d v="2021-05-18T00:00:00"/>
    <n v="0"/>
    <x v="0"/>
  </r>
  <r>
    <n v="41"/>
    <n v="15"/>
    <x v="4"/>
    <n v="15"/>
    <x v="0"/>
    <d v="2021-05-10T00:00:00"/>
    <x v="0"/>
    <d v="2021-05-18T00:00:00"/>
    <n v="0"/>
    <x v="0"/>
  </r>
  <r>
    <n v="42"/>
    <n v="16"/>
    <x v="4"/>
    <n v="16"/>
    <x v="0"/>
    <d v="2021-05-10T00:00:00"/>
    <x v="0"/>
    <d v="2021-05-18T00:00:00"/>
    <n v="10"/>
    <x v="0"/>
  </r>
  <r>
    <n v="43"/>
    <n v="2"/>
    <x v="4"/>
    <n v="16"/>
    <x v="0"/>
    <d v="2021-05-10T00:00:00"/>
    <x v="0"/>
    <d v="2021-05-18T00:00:00"/>
    <n v="0"/>
    <x v="0"/>
  </r>
  <r>
    <n v="44"/>
    <n v="4"/>
    <x v="4"/>
    <n v="16"/>
    <x v="0"/>
    <d v="2021-05-10T00:00:00"/>
    <x v="0"/>
    <d v="2021-05-18T00:00:00"/>
    <n v="20"/>
    <x v="0"/>
  </r>
  <r>
    <n v="45"/>
    <n v="28"/>
    <x v="4"/>
    <n v="16"/>
    <x v="0"/>
    <d v="2021-05-10T00:00:00"/>
    <x v="0"/>
    <d v="2021-05-18T00:00:00"/>
    <n v="0"/>
    <x v="0"/>
  </r>
  <r>
    <n v="46"/>
    <n v="30"/>
    <x v="4"/>
    <n v="16"/>
    <x v="0"/>
    <d v="2021-05-10T00:00:00"/>
    <x v="0"/>
    <d v="2021-05-18T00:00:00"/>
    <n v="50"/>
    <x v="0"/>
  </r>
  <r>
    <n v="47"/>
    <n v="9"/>
    <x v="4"/>
    <n v="16"/>
    <x v="0"/>
    <d v="2021-05-10T00:00:00"/>
    <x v="0"/>
    <d v="2021-05-18T00:00:00"/>
    <n v="40"/>
    <x v="0"/>
  </r>
  <r>
    <n v="48"/>
    <n v="4"/>
    <x v="5"/>
    <n v="43"/>
    <x v="0"/>
    <d v="2021-05-10T00:00:00"/>
    <x v="0"/>
    <d v="2021-05-18T00:00:00"/>
    <n v="20"/>
    <x v="0"/>
  </r>
  <r>
    <n v="49"/>
    <n v="18"/>
    <x v="5"/>
    <n v="43"/>
    <x v="0"/>
    <d v="2021-05-10T00:00:00"/>
    <x v="0"/>
    <d v="2021-05-18T00:00:00"/>
    <n v="0"/>
    <x v="0"/>
  </r>
  <r>
    <n v="50"/>
    <n v="23"/>
    <x v="5"/>
    <n v="43"/>
    <x v="0"/>
    <d v="2021-05-10T00:00:00"/>
    <x v="0"/>
    <d v="2021-05-18T00:00:00"/>
    <n v="40"/>
    <x v="0"/>
  </r>
  <r>
    <n v="51"/>
    <n v="1"/>
    <x v="5"/>
    <n v="150"/>
    <x v="1"/>
    <d v="2021-07-12T00:00:00"/>
    <x v="1"/>
    <d v="2021-07-20T00:00:00"/>
    <n v="100"/>
    <x v="1"/>
  </r>
  <r>
    <n v="52"/>
    <n v="22"/>
    <x v="5"/>
    <n v="43"/>
    <x v="2"/>
    <d v="2021-06-21T00:00:00"/>
    <x v="2"/>
    <d v="2021-06-29T00:00:00"/>
    <n v="30"/>
    <x v="0"/>
  </r>
  <r>
    <n v="53"/>
    <n v="19"/>
    <x v="5"/>
    <n v="43"/>
    <x v="2"/>
    <d v="2021-06-21T00:00:00"/>
    <x v="2"/>
    <d v="2021-06-29T00:00:00"/>
    <n v="20"/>
    <x v="0"/>
  </r>
  <r>
    <n v="54"/>
    <n v="1"/>
    <x v="1"/>
    <n v="1"/>
    <x v="0"/>
    <d v="2021-05-10T00:00:00"/>
    <x v="0"/>
    <d v="2021-05-17T00:00:00"/>
    <n v="30"/>
    <x v="0"/>
  </r>
  <r>
    <n v="55"/>
    <n v="2"/>
    <x v="1"/>
    <n v="1"/>
    <x v="0"/>
    <d v="2021-05-10T00:00:00"/>
    <x v="0"/>
    <d v="2021-05-17T00:00:00"/>
    <n v="50"/>
    <x v="0"/>
  </r>
  <r>
    <n v="56"/>
    <n v="3"/>
    <x v="1"/>
    <n v="1"/>
    <x v="0"/>
    <d v="2021-05-10T00:00:00"/>
    <x v="0"/>
    <d v="2021-05-17T00:00:00"/>
    <n v="60"/>
    <x v="0"/>
  </r>
  <r>
    <n v="57"/>
    <n v="4"/>
    <x v="1"/>
    <n v="1"/>
    <x v="0"/>
    <d v="2021-05-10T00:00:00"/>
    <x v="0"/>
    <d v="2021-05-17T00:00:00"/>
    <n v="50"/>
    <x v="0"/>
  </r>
  <r>
    <n v="58"/>
    <n v="10"/>
    <x v="4"/>
    <n v="58"/>
    <x v="0"/>
    <d v="2021-05-10T00:00:00"/>
    <x v="0"/>
    <d v="2021-05-18T00:00:00"/>
    <n v="60"/>
    <x v="0"/>
  </r>
  <r>
    <n v="59"/>
    <n v="12"/>
    <x v="4"/>
    <n v="58"/>
    <x v="0"/>
    <d v="2021-05-10T00:00:00"/>
    <x v="0"/>
    <d v="2021-05-18T00:00:00"/>
    <n v="40"/>
    <x v="0"/>
  </r>
  <r>
    <n v="60"/>
    <n v="1"/>
    <x v="4"/>
    <n v="58"/>
    <x v="0"/>
    <d v="2021-05-10T00:00:00"/>
    <x v="0"/>
    <d v="2021-05-18T00:00:00"/>
    <n v="50"/>
    <x v="0"/>
  </r>
  <r>
    <n v="61"/>
    <n v="2"/>
    <x v="4"/>
    <n v="58"/>
    <x v="0"/>
    <d v="2021-05-10T00:00:00"/>
    <x v="0"/>
    <d v="2021-05-18T00:00:00"/>
    <n v="60"/>
    <x v="0"/>
  </r>
  <r>
    <n v="62"/>
    <n v="3"/>
    <x v="4"/>
    <n v="58"/>
    <x v="0"/>
    <d v="2021-05-10T00:00:00"/>
    <x v="0"/>
    <d v="2021-05-18T00:00:00"/>
    <n v="40"/>
    <x v="0"/>
  </r>
  <r>
    <n v="63"/>
    <n v="4"/>
    <x v="4"/>
    <n v="58"/>
    <x v="0"/>
    <d v="2021-05-10T00:00:00"/>
    <x v="0"/>
    <d v="2021-05-18T00:00:00"/>
    <n v="10"/>
    <x v="0"/>
  </r>
  <r>
    <n v="64"/>
    <n v="5"/>
    <x v="4"/>
    <n v="58"/>
    <x v="0"/>
    <d v="2021-05-10T00:00:00"/>
    <x v="0"/>
    <d v="2021-05-18T00:00:00"/>
    <n v="20"/>
    <x v="0"/>
  </r>
  <r>
    <n v="65"/>
    <n v="6"/>
    <x v="4"/>
    <n v="58"/>
    <x v="0"/>
    <d v="2021-05-10T00:00:00"/>
    <x v="0"/>
    <d v="2021-05-18T00:00:00"/>
    <n v="80"/>
    <x v="1"/>
  </r>
  <r>
    <n v="66"/>
    <n v="30"/>
    <x v="5"/>
    <n v="14"/>
    <x v="3"/>
    <d v="2021-06-16T00:00:00"/>
    <x v="3"/>
    <d v="2021-06-24T00:00:00"/>
    <n v="0"/>
    <x v="0"/>
  </r>
  <r>
    <n v="67"/>
    <n v="27"/>
    <x v="5"/>
    <n v="14"/>
    <x v="3"/>
    <d v="2021-06-16T00:00:00"/>
    <x v="3"/>
    <d v="2021-06-24T00:00:00"/>
    <n v="30"/>
    <x v="0"/>
  </r>
  <r>
    <n v="68"/>
    <n v="18"/>
    <x v="5"/>
    <n v="15"/>
    <x v="4"/>
    <d v="2021-06-18T00:00:00"/>
    <x v="4"/>
    <d v="2021-06-26T00:00:00"/>
    <n v="10"/>
    <x v="0"/>
  </r>
  <r>
    <n v="69"/>
    <n v="11"/>
    <x v="5"/>
    <n v="15"/>
    <x v="4"/>
    <d v="2021-06-18T00:00:00"/>
    <x v="4"/>
    <d v="2021-06-26T00:00:00"/>
    <n v="0"/>
    <x v="0"/>
  </r>
  <r>
    <n v="70"/>
    <n v="25"/>
    <x v="5"/>
    <n v="15"/>
    <x v="4"/>
    <d v="2021-06-18T00:00:00"/>
    <x v="4"/>
    <d v="2021-06-26T00:00:00"/>
    <n v="20"/>
    <x v="0"/>
  </r>
  <r>
    <n v="71"/>
    <n v="6"/>
    <x v="5"/>
    <n v="15"/>
    <x v="4"/>
    <d v="2021-06-18T00:00:00"/>
    <x v="4"/>
    <d v="2021-06-26T00:00:00"/>
    <n v="50"/>
    <x v="0"/>
  </r>
  <r>
    <n v="72"/>
    <n v="8"/>
    <x v="5"/>
    <n v="15"/>
    <x v="4"/>
    <d v="2021-06-18T00:00:00"/>
    <x v="4"/>
    <d v="2021-06-26T00:00:00"/>
    <n v="0"/>
    <x v="0"/>
  </r>
  <r>
    <n v="73"/>
    <n v="15"/>
    <x v="5"/>
    <n v="17"/>
    <x v="5"/>
    <d v="2021-06-18T00:00:00"/>
    <x v="4"/>
    <d v="2021-06-26T00:00:00"/>
    <n v="40"/>
    <x v="0"/>
  </r>
  <r>
    <n v="74"/>
    <n v="25"/>
    <x v="5"/>
    <n v="17"/>
    <x v="5"/>
    <d v="2021-06-18T00:00:00"/>
    <x v="4"/>
    <d v="2021-06-26T00:00:00"/>
    <n v="30"/>
    <x v="0"/>
  </r>
  <r>
    <n v="75"/>
    <n v="2"/>
    <x v="5"/>
    <n v="51"/>
    <x v="6"/>
    <d v="2021-06-25T00:00:00"/>
    <x v="5"/>
    <d v="2021-07-03T00:00:00"/>
    <n v="40"/>
    <x v="0"/>
  </r>
  <r>
    <n v="76"/>
    <n v="8"/>
    <x v="5"/>
    <n v="17"/>
    <x v="5"/>
    <d v="2021-06-18T00:00:00"/>
    <x v="4"/>
    <d v="2021-06-26T00:00:00"/>
    <n v="50"/>
    <x v="0"/>
  </r>
  <r>
    <n v="77"/>
    <n v="30"/>
    <x v="5"/>
    <n v="17"/>
    <x v="5"/>
    <d v="2021-06-18T00:00:00"/>
    <x v="4"/>
    <d v="2021-06-26T00:00:00"/>
    <n v="20"/>
    <x v="0"/>
  </r>
  <r>
    <n v="78"/>
    <n v="2"/>
    <x v="5"/>
    <n v="122"/>
    <x v="7"/>
    <d v="2021-07-11T00:00:00"/>
    <x v="6"/>
    <d v="2021-07-19T00:00:00"/>
    <n v="80"/>
    <x v="1"/>
  </r>
  <r>
    <n v="79"/>
    <n v="16"/>
    <x v="5"/>
    <n v="17"/>
    <x v="5"/>
    <d v="2021-06-18T00:00:00"/>
    <x v="4"/>
    <d v="2021-06-26T00:00:00"/>
    <n v="40"/>
    <x v="0"/>
  </r>
  <r>
    <n v="80"/>
    <n v="2"/>
    <x v="5"/>
    <n v="19"/>
    <x v="8"/>
    <d v="2021-06-18T00:00:00"/>
    <x v="4"/>
    <d v="2021-06-26T00:00:00"/>
    <n v="0"/>
    <x v="0"/>
  </r>
  <r>
    <n v="81"/>
    <n v="18"/>
    <x v="5"/>
    <n v="19"/>
    <x v="8"/>
    <d v="2021-06-18T00:00:00"/>
    <x v="4"/>
    <d v="2021-06-26T00:00:00"/>
    <n v="0"/>
    <x v="0"/>
  </r>
  <r>
    <n v="82"/>
    <n v="17"/>
    <x v="5"/>
    <n v="19"/>
    <x v="8"/>
    <d v="2021-06-18T00:00:00"/>
    <x v="4"/>
    <d v="2021-06-26T00:00:00"/>
    <n v="10"/>
    <x v="0"/>
  </r>
  <r>
    <n v="83"/>
    <n v="6"/>
    <x v="5"/>
    <n v="19"/>
    <x v="8"/>
    <d v="2021-06-18T00:00:00"/>
    <x v="4"/>
    <d v="2021-06-26T00:00:00"/>
    <n v="20"/>
    <x v="0"/>
  </r>
  <r>
    <n v="84"/>
    <n v="4"/>
    <x v="5"/>
    <n v="19"/>
    <x v="8"/>
    <d v="2021-06-18T00:00:00"/>
    <x v="4"/>
    <d v="2021-06-26T00:00:00"/>
    <n v="30"/>
    <x v="0"/>
  </r>
  <r>
    <n v="85"/>
    <n v="29"/>
    <x v="5"/>
    <n v="19"/>
    <x v="8"/>
    <d v="2021-06-18T00:00:00"/>
    <x v="4"/>
    <d v="2021-06-26T00:00:00"/>
    <n v="10"/>
    <x v="0"/>
  </r>
  <r>
    <n v="86"/>
    <n v="3"/>
    <x v="5"/>
    <n v="20"/>
    <x v="9"/>
    <d v="2021-06-19T00:00:00"/>
    <x v="7"/>
    <d v="2021-06-27T00:00:00"/>
    <n v="0"/>
    <x v="0"/>
  </r>
  <r>
    <n v="87"/>
    <n v="6"/>
    <x v="5"/>
    <n v="20"/>
    <x v="9"/>
    <d v="2021-06-19T00:00:00"/>
    <x v="7"/>
    <d v="2021-06-27T00:00:00"/>
    <n v="40"/>
    <x v="0"/>
  </r>
  <r>
    <n v="88"/>
    <n v="4"/>
    <x v="5"/>
    <n v="20"/>
    <x v="9"/>
    <d v="2021-06-19T00:00:00"/>
    <x v="7"/>
    <d v="2021-06-27T00:00:00"/>
    <n v="10"/>
    <x v="0"/>
  </r>
  <r>
    <n v="89"/>
    <n v="9"/>
    <x v="5"/>
    <n v="20"/>
    <x v="9"/>
    <d v="2021-06-19T00:00:00"/>
    <x v="7"/>
    <d v="2021-06-27T00:00:00"/>
    <n v="10"/>
    <x v="0"/>
  </r>
  <r>
    <n v="90"/>
    <n v="10"/>
    <x v="5"/>
    <n v="20"/>
    <x v="9"/>
    <d v="2021-06-19T00:00:00"/>
    <x v="7"/>
    <d v="2021-06-27T00:00:00"/>
    <n v="50"/>
    <x v="0"/>
  </r>
  <r>
    <n v="91"/>
    <n v="28"/>
    <x v="5"/>
    <n v="20"/>
    <x v="9"/>
    <d v="2021-06-19T00:00:00"/>
    <x v="7"/>
    <d v="2021-06-27T00:00:00"/>
    <n v="40"/>
    <x v="0"/>
  </r>
  <r>
    <n v="92"/>
    <n v="11"/>
    <x v="5"/>
    <n v="20"/>
    <x v="9"/>
    <d v="2021-06-19T00:00:00"/>
    <x v="7"/>
    <d v="2021-06-27T00:00:00"/>
    <n v="20"/>
    <x v="0"/>
  </r>
  <r>
    <n v="93"/>
    <n v="15"/>
    <x v="5"/>
    <n v="27"/>
    <x v="10"/>
    <d v="2021-06-21T00:00:00"/>
    <x v="2"/>
    <d v="2021-06-29T00:00:00"/>
    <n v="30"/>
    <x v="0"/>
  </r>
  <r>
    <n v="94"/>
    <n v="22"/>
    <x v="5"/>
    <n v="27"/>
    <x v="10"/>
    <d v="2021-06-21T00:00:00"/>
    <x v="2"/>
    <d v="2021-06-29T00:00:00"/>
    <n v="20"/>
    <x v="0"/>
  </r>
  <r>
    <n v="95"/>
    <n v="5"/>
    <x v="5"/>
    <n v="27"/>
    <x v="10"/>
    <d v="2021-06-21T00:00:00"/>
    <x v="2"/>
    <d v="2021-06-29T00:00:00"/>
    <n v="30"/>
    <x v="0"/>
  </r>
  <r>
    <n v="96"/>
    <n v="17"/>
    <x v="5"/>
    <n v="27"/>
    <x v="10"/>
    <d v="2021-06-21T00:00:00"/>
    <x v="2"/>
    <d v="2021-06-29T00:00:00"/>
    <n v="0"/>
    <x v="0"/>
  </r>
  <r>
    <n v="97"/>
    <n v="4"/>
    <x v="5"/>
    <n v="27"/>
    <x v="10"/>
    <d v="2021-06-21T00:00:00"/>
    <x v="2"/>
    <d v="2021-06-29T00:00:00"/>
    <n v="0"/>
    <x v="0"/>
  </r>
  <r>
    <n v="98"/>
    <n v="19"/>
    <x v="5"/>
    <n v="27"/>
    <x v="10"/>
    <d v="2021-06-21T00:00:00"/>
    <x v="2"/>
    <d v="2021-06-29T00:00:00"/>
    <n v="0"/>
    <x v="0"/>
  </r>
  <r>
    <n v="99"/>
    <n v="27"/>
    <x v="5"/>
    <n v="27"/>
    <x v="10"/>
    <d v="2021-06-21T00:00:00"/>
    <x v="2"/>
    <d v="2021-06-29T00:00:00"/>
    <n v="50"/>
    <x v="0"/>
  </r>
  <r>
    <n v="100"/>
    <n v="28"/>
    <x v="5"/>
    <n v="27"/>
    <x v="10"/>
    <d v="2021-06-21T00:00:00"/>
    <x v="2"/>
    <d v="2021-06-29T00:00:00"/>
    <n v="20"/>
    <x v="0"/>
  </r>
  <r>
    <n v="101"/>
    <n v="1"/>
    <x v="5"/>
    <n v="30"/>
    <x v="11"/>
    <d v="2021-06-21T00:00:00"/>
    <x v="2"/>
    <d v="2021-06-29T00:00:00"/>
    <n v="20"/>
    <x v="0"/>
  </r>
  <r>
    <n v="102"/>
    <n v="4"/>
    <x v="5"/>
    <n v="30"/>
    <x v="11"/>
    <d v="2021-06-21T00:00:00"/>
    <x v="2"/>
    <d v="2021-06-29T00:00:00"/>
    <n v="50"/>
    <x v="0"/>
  </r>
  <r>
    <n v="103"/>
    <n v="6"/>
    <x v="5"/>
    <n v="30"/>
    <x v="11"/>
    <d v="2021-06-21T00:00:00"/>
    <x v="2"/>
    <d v="2021-06-29T00:00:00"/>
    <n v="40"/>
    <x v="0"/>
  </r>
  <r>
    <n v="104"/>
    <n v="19"/>
    <x v="5"/>
    <n v="30"/>
    <x v="11"/>
    <d v="2021-06-21T00:00:00"/>
    <x v="2"/>
    <d v="2021-06-29T00:00:00"/>
    <n v="0"/>
    <x v="0"/>
  </r>
  <r>
    <n v="105"/>
    <n v="9"/>
    <x v="5"/>
    <n v="30"/>
    <x v="11"/>
    <d v="2021-06-21T00:00:00"/>
    <x v="2"/>
    <d v="2021-06-29T00:00:00"/>
    <n v="30"/>
    <x v="0"/>
  </r>
  <r>
    <n v="106"/>
    <n v="13"/>
    <x v="5"/>
    <n v="30"/>
    <x v="11"/>
    <d v="2021-06-21T00:00:00"/>
    <x v="2"/>
    <d v="2021-06-29T00:00:00"/>
    <n v="50"/>
    <x v="0"/>
  </r>
  <r>
    <n v="107"/>
    <n v="16"/>
    <x v="5"/>
    <n v="30"/>
    <x v="11"/>
    <d v="2021-06-21T00:00:00"/>
    <x v="2"/>
    <d v="2021-06-29T00:00:00"/>
    <n v="20"/>
    <x v="0"/>
  </r>
  <r>
    <n v="108"/>
    <n v="2"/>
    <x v="5"/>
    <n v="43"/>
    <x v="2"/>
    <d v="2021-06-21T00:00:00"/>
    <x v="2"/>
    <d v="2021-06-29T00:00:00"/>
    <n v="10"/>
    <x v="0"/>
  </r>
  <r>
    <n v="109"/>
    <n v="9"/>
    <x v="5"/>
    <n v="43"/>
    <x v="2"/>
    <d v="2021-06-21T00:00:00"/>
    <x v="2"/>
    <d v="2021-06-29T00:00:00"/>
    <n v="10"/>
    <x v="0"/>
  </r>
  <r>
    <n v="110"/>
    <n v="5"/>
    <x v="1"/>
    <n v="13"/>
    <x v="12"/>
    <d v="2021-05-17T00:00:00"/>
    <x v="8"/>
    <d v="2021-05-24T00:00:00"/>
    <n v="40"/>
    <x v="0"/>
  </r>
  <r>
    <n v="111"/>
    <n v="6"/>
    <x v="1"/>
    <n v="13"/>
    <x v="12"/>
    <d v="2021-05-17T00:00:00"/>
    <x v="8"/>
    <d v="2021-05-24T00:00:00"/>
    <n v="30"/>
    <x v="0"/>
  </r>
  <r>
    <n v="112"/>
    <n v="7"/>
    <x v="1"/>
    <n v="13"/>
    <x v="12"/>
    <d v="2021-05-17T00:00:00"/>
    <x v="8"/>
    <d v="2021-05-24T00:00:00"/>
    <n v="30"/>
    <x v="0"/>
  </r>
  <r>
    <n v="113"/>
    <n v="8"/>
    <x v="1"/>
    <n v="13"/>
    <x v="12"/>
    <d v="2021-05-17T00:00:00"/>
    <x v="8"/>
    <d v="2021-05-24T00:00:00"/>
    <n v="60"/>
    <x v="0"/>
  </r>
  <r>
    <n v="483"/>
    <n v="7"/>
    <x v="5"/>
    <n v="65"/>
    <x v="13"/>
    <d v="2021-06-25T00:00:00"/>
    <x v="5"/>
    <d v="2021-07-03T00:00:00"/>
    <n v="20"/>
    <x v="0"/>
  </r>
  <r>
    <n v="115"/>
    <n v="8"/>
    <x v="4"/>
    <n v="72"/>
    <x v="12"/>
    <d v="2021-05-17T00:00:00"/>
    <x v="8"/>
    <d v="2021-05-25T00:00:00"/>
    <n v="70"/>
    <x v="0"/>
  </r>
  <r>
    <n v="116"/>
    <n v="9"/>
    <x v="4"/>
    <n v="72"/>
    <x v="12"/>
    <d v="2021-05-17T00:00:00"/>
    <x v="8"/>
    <d v="2021-05-25T00:00:00"/>
    <n v="50"/>
    <x v="0"/>
  </r>
  <r>
    <n v="117"/>
    <n v="10"/>
    <x v="4"/>
    <n v="72"/>
    <x v="12"/>
    <d v="2021-05-17T00:00:00"/>
    <x v="8"/>
    <d v="2021-05-25T00:00:00"/>
    <n v="40"/>
    <x v="0"/>
  </r>
  <r>
    <n v="118"/>
    <n v="1"/>
    <x v="4"/>
    <n v="72"/>
    <x v="12"/>
    <d v="2021-05-17T00:00:00"/>
    <x v="8"/>
    <d v="2021-05-25T00:00:00"/>
    <n v="30"/>
    <x v="0"/>
  </r>
  <r>
    <n v="119"/>
    <n v="18"/>
    <x v="5"/>
    <n v="17"/>
    <x v="5"/>
    <d v="2021-06-18T00:00:00"/>
    <x v="4"/>
    <d v="2021-06-26T00:00:00"/>
    <n v="40"/>
    <x v="0"/>
  </r>
  <r>
    <n v="120"/>
    <n v="26"/>
    <x v="5"/>
    <n v="43"/>
    <x v="2"/>
    <d v="2021-06-21T00:00:00"/>
    <x v="2"/>
    <d v="2021-06-29T00:00:00"/>
    <n v="0"/>
    <x v="0"/>
  </r>
  <r>
    <n v="121"/>
    <n v="1"/>
    <x v="5"/>
    <n v="46"/>
    <x v="14"/>
    <d v="2021-06-21T00:00:00"/>
    <x v="2"/>
    <d v="2021-06-29T00:00:00"/>
    <n v="10"/>
    <x v="0"/>
  </r>
  <r>
    <n v="122"/>
    <n v="3"/>
    <x v="5"/>
    <n v="151"/>
    <x v="15"/>
    <d v="2021-07-12T00:00:00"/>
    <x v="1"/>
    <d v="2021-07-20T00:00:00"/>
    <n v="80"/>
    <x v="1"/>
  </r>
  <r>
    <n v="123"/>
    <n v="5"/>
    <x v="5"/>
    <n v="46"/>
    <x v="14"/>
    <d v="2021-06-21T00:00:00"/>
    <x v="2"/>
    <d v="2021-06-29T00:00:00"/>
    <n v="0"/>
    <x v="0"/>
  </r>
  <r>
    <n v="124"/>
    <n v="4"/>
    <x v="5"/>
    <n v="46"/>
    <x v="14"/>
    <d v="2021-06-21T00:00:00"/>
    <x v="2"/>
    <d v="2021-06-29T00:00:00"/>
    <n v="0"/>
    <x v="0"/>
  </r>
  <r>
    <n v="125"/>
    <n v="17"/>
    <x v="5"/>
    <n v="46"/>
    <x v="14"/>
    <d v="2021-06-21T00:00:00"/>
    <x v="2"/>
    <d v="2021-06-29T00:00:00"/>
    <n v="0"/>
    <x v="0"/>
  </r>
  <r>
    <n v="126"/>
    <n v="29"/>
    <x v="5"/>
    <n v="46"/>
    <x v="14"/>
    <d v="2021-06-21T00:00:00"/>
    <x v="2"/>
    <d v="2021-06-29T00:00:00"/>
    <n v="30"/>
    <x v="0"/>
  </r>
  <r>
    <n v="127"/>
    <n v="9"/>
    <x v="1"/>
    <n v="18"/>
    <x v="16"/>
    <d v="2021-05-24T00:00:00"/>
    <x v="9"/>
    <d v="2021-05-31T00:00:00"/>
    <n v="40"/>
    <x v="0"/>
  </r>
  <r>
    <n v="128"/>
    <n v="10"/>
    <x v="1"/>
    <n v="18"/>
    <x v="16"/>
    <d v="2021-05-24T00:00:00"/>
    <x v="9"/>
    <d v="2021-05-31T00:00:00"/>
    <n v="60"/>
    <x v="0"/>
  </r>
  <r>
    <n v="129"/>
    <n v="11"/>
    <x v="1"/>
    <n v="18"/>
    <x v="16"/>
    <d v="2021-05-24T00:00:00"/>
    <x v="9"/>
    <d v="2021-05-31T00:00:00"/>
    <n v="50"/>
    <x v="0"/>
  </r>
  <r>
    <n v="130"/>
    <n v="12"/>
    <x v="1"/>
    <n v="18"/>
    <x v="16"/>
    <d v="2021-05-24T00:00:00"/>
    <x v="9"/>
    <d v="2021-05-31T00:00:00"/>
    <n v="40"/>
    <x v="0"/>
  </r>
  <r>
    <n v="131"/>
    <n v="30"/>
    <x v="4"/>
    <n v="82"/>
    <x v="16"/>
    <d v="2021-05-24T00:00:00"/>
    <x v="9"/>
    <d v="2021-06-01T00:00:00"/>
    <n v="60"/>
    <x v="0"/>
  </r>
  <r>
    <n v="132"/>
    <n v="29"/>
    <x v="4"/>
    <n v="82"/>
    <x v="16"/>
    <d v="2021-05-24T00:00:00"/>
    <x v="9"/>
    <d v="2021-06-01T00:00:00"/>
    <n v="50"/>
    <x v="0"/>
  </r>
  <r>
    <n v="133"/>
    <n v="28"/>
    <x v="4"/>
    <n v="82"/>
    <x v="16"/>
    <d v="2021-05-24T00:00:00"/>
    <x v="9"/>
    <d v="2021-06-01T00:00:00"/>
    <n v="20"/>
    <x v="0"/>
  </r>
  <r>
    <n v="134"/>
    <n v="27"/>
    <x v="4"/>
    <n v="82"/>
    <x v="16"/>
    <d v="2021-05-24T00:00:00"/>
    <x v="9"/>
    <d v="2021-06-01T00:00:00"/>
    <n v="10"/>
    <x v="0"/>
  </r>
  <r>
    <n v="135"/>
    <n v="25"/>
    <x v="4"/>
    <n v="82"/>
    <x v="16"/>
    <d v="2021-05-24T00:00:00"/>
    <x v="9"/>
    <d v="2021-06-01T00:00:00"/>
    <n v="60"/>
    <x v="0"/>
  </r>
  <r>
    <n v="136"/>
    <n v="24"/>
    <x v="4"/>
    <n v="82"/>
    <x v="16"/>
    <d v="2021-05-24T00:00:00"/>
    <x v="9"/>
    <d v="2021-06-01T00:00:00"/>
    <n v="50"/>
    <x v="0"/>
  </r>
  <r>
    <n v="137"/>
    <n v="27"/>
    <x v="1"/>
    <n v="23"/>
    <x v="17"/>
    <d v="2021-05-26T00:00:00"/>
    <x v="10"/>
    <d v="2021-06-02T00:00:00"/>
    <n v="50"/>
    <x v="0"/>
  </r>
  <r>
    <n v="138"/>
    <n v="28"/>
    <x v="1"/>
    <n v="23"/>
    <x v="17"/>
    <d v="2021-05-26T00:00:00"/>
    <x v="10"/>
    <d v="2021-06-02T00:00:00"/>
    <n v="40"/>
    <x v="0"/>
  </r>
  <r>
    <n v="139"/>
    <n v="1"/>
    <x v="1"/>
    <n v="23"/>
    <x v="17"/>
    <d v="2021-05-26T00:00:00"/>
    <x v="10"/>
    <d v="2021-06-02T00:00:00"/>
    <n v="50"/>
    <x v="0"/>
  </r>
  <r>
    <n v="140"/>
    <n v="3"/>
    <x v="1"/>
    <n v="23"/>
    <x v="17"/>
    <d v="2021-05-26T00:00:00"/>
    <x v="10"/>
    <d v="2021-06-02T00:00:00"/>
    <n v="0"/>
    <x v="0"/>
  </r>
  <r>
    <n v="141"/>
    <n v="16"/>
    <x v="0"/>
    <n v="52"/>
    <x v="17"/>
    <d v="2021-05-26T00:00:00"/>
    <x v="10"/>
    <d v="2021-06-02T00:00:00"/>
    <n v="10"/>
    <x v="0"/>
  </r>
  <r>
    <n v="142"/>
    <n v="19"/>
    <x v="0"/>
    <n v="52"/>
    <x v="17"/>
    <d v="2021-05-26T00:00:00"/>
    <x v="10"/>
    <d v="2021-06-02T00:00:00"/>
    <n v="50"/>
    <x v="0"/>
  </r>
  <r>
    <n v="143"/>
    <n v="9"/>
    <x v="0"/>
    <n v="52"/>
    <x v="17"/>
    <d v="2021-05-26T00:00:00"/>
    <x v="10"/>
    <d v="2021-06-02T00:00:00"/>
    <n v="30"/>
    <x v="0"/>
  </r>
  <r>
    <n v="144"/>
    <n v="23"/>
    <x v="4"/>
    <n v="85"/>
    <x v="17"/>
    <d v="2021-05-26T00:00:00"/>
    <x v="10"/>
    <d v="2021-06-03T00:00:00"/>
    <n v="40"/>
    <x v="0"/>
  </r>
  <r>
    <n v="145"/>
    <n v="20"/>
    <x v="4"/>
    <n v="85"/>
    <x v="17"/>
    <d v="2021-05-26T00:00:00"/>
    <x v="10"/>
    <d v="2021-06-03T00:00:00"/>
    <n v="60"/>
    <x v="0"/>
  </r>
  <r>
    <n v="146"/>
    <n v="19"/>
    <x v="4"/>
    <n v="85"/>
    <x v="17"/>
    <d v="2021-05-26T00:00:00"/>
    <x v="10"/>
    <d v="2021-06-03T00:00:00"/>
    <n v="50"/>
    <x v="0"/>
  </r>
  <r>
    <n v="147"/>
    <n v="18"/>
    <x v="4"/>
    <n v="85"/>
    <x v="17"/>
    <d v="2021-05-26T00:00:00"/>
    <x v="10"/>
    <d v="2021-06-03T00:00:00"/>
    <n v="40"/>
    <x v="0"/>
  </r>
  <r>
    <n v="148"/>
    <n v="17"/>
    <x v="4"/>
    <n v="85"/>
    <x v="17"/>
    <d v="2021-05-26T00:00:00"/>
    <x v="10"/>
    <d v="2021-06-03T00:00:00"/>
    <n v="30"/>
    <x v="0"/>
  </r>
  <r>
    <n v="149"/>
    <n v="15"/>
    <x v="4"/>
    <n v="85"/>
    <x v="17"/>
    <d v="2021-05-26T00:00:00"/>
    <x v="10"/>
    <d v="2021-06-03T00:00:00"/>
    <n v="20"/>
    <x v="0"/>
  </r>
  <r>
    <n v="150"/>
    <n v="5"/>
    <x v="5"/>
    <n v="49"/>
    <x v="18"/>
    <d v="2021-06-24T00:00:00"/>
    <x v="11"/>
    <d v="2021-07-02T00:00:00"/>
    <n v="10"/>
    <x v="0"/>
  </r>
  <r>
    <n v="151"/>
    <n v="4"/>
    <x v="5"/>
    <n v="49"/>
    <x v="18"/>
    <d v="2021-06-24T00:00:00"/>
    <x v="11"/>
    <d v="2021-07-02T00:00:00"/>
    <n v="30"/>
    <x v="0"/>
  </r>
  <r>
    <n v="152"/>
    <n v="4"/>
    <x v="5"/>
    <n v="151"/>
    <x v="15"/>
    <d v="2021-07-12T00:00:00"/>
    <x v="1"/>
    <d v="2021-07-20T00:00:00"/>
    <n v="20"/>
    <x v="0"/>
  </r>
  <r>
    <n v="333"/>
    <n v="5"/>
    <x v="5"/>
    <n v="78"/>
    <x v="19"/>
    <d v="2021-07-02T00:00:00"/>
    <x v="12"/>
    <d v="2021-07-10T00:00:00"/>
    <n v="0"/>
    <x v="0"/>
  </r>
  <r>
    <n v="154"/>
    <n v="21"/>
    <x v="5"/>
    <n v="49"/>
    <x v="18"/>
    <d v="2021-06-24T00:00:00"/>
    <x v="11"/>
    <d v="2021-07-02T00:00:00"/>
    <n v="0"/>
    <x v="0"/>
  </r>
  <r>
    <n v="155"/>
    <n v="9"/>
    <x v="5"/>
    <n v="49"/>
    <x v="18"/>
    <d v="2021-06-24T00:00:00"/>
    <x v="11"/>
    <d v="2021-07-02T00:00:00"/>
    <n v="10"/>
    <x v="0"/>
  </r>
  <r>
    <n v="156"/>
    <n v="15"/>
    <x v="5"/>
    <n v="51"/>
    <x v="6"/>
    <d v="2021-06-25T00:00:00"/>
    <x v="5"/>
    <d v="2021-07-03T00:00:00"/>
    <n v="40"/>
    <x v="0"/>
  </r>
  <r>
    <n v="157"/>
    <n v="6"/>
    <x v="5"/>
    <n v="151"/>
    <x v="15"/>
    <d v="2021-07-12T00:00:00"/>
    <x v="1"/>
    <d v="2021-07-20T00:00:00"/>
    <n v="90"/>
    <x v="1"/>
  </r>
  <r>
    <n v="158"/>
    <n v="3"/>
    <x v="5"/>
    <n v="51"/>
    <x v="6"/>
    <d v="2021-06-25T00:00:00"/>
    <x v="5"/>
    <d v="2021-07-03T00:00:00"/>
    <n v="10"/>
    <x v="0"/>
  </r>
  <r>
    <n v="159"/>
    <n v="20"/>
    <x v="5"/>
    <n v="51"/>
    <x v="6"/>
    <d v="2021-06-25T00:00:00"/>
    <x v="5"/>
    <d v="2021-07-03T00:00:00"/>
    <n v="10"/>
    <x v="0"/>
  </r>
  <r>
    <n v="160"/>
    <n v="5"/>
    <x v="4"/>
    <n v="92"/>
    <x v="20"/>
    <d v="2021-06-03T00:00:00"/>
    <x v="13"/>
    <d v="2021-06-11T00:00:00"/>
    <n v="50"/>
    <x v="0"/>
  </r>
  <r>
    <n v="161"/>
    <n v="6"/>
    <x v="4"/>
    <n v="92"/>
    <x v="20"/>
    <d v="2021-06-03T00:00:00"/>
    <x v="13"/>
    <d v="2021-06-11T00:00:00"/>
    <n v="40"/>
    <x v="0"/>
  </r>
  <r>
    <n v="114"/>
    <n v="7"/>
    <x v="4"/>
    <n v="72"/>
    <x v="12"/>
    <d v="2021-05-17T00:00:00"/>
    <x v="8"/>
    <d v="2021-05-25T00:00:00"/>
    <n v="60"/>
    <x v="0"/>
  </r>
  <r>
    <n v="163"/>
    <n v="8"/>
    <x v="4"/>
    <n v="92"/>
    <x v="20"/>
    <d v="2021-06-03T00:00:00"/>
    <x v="13"/>
    <d v="2021-06-11T00:00:00"/>
    <n v="40"/>
    <x v="0"/>
  </r>
  <r>
    <n v="164"/>
    <n v="9"/>
    <x v="4"/>
    <n v="92"/>
    <x v="20"/>
    <d v="2021-06-03T00:00:00"/>
    <x v="13"/>
    <d v="2021-06-11T00:00:00"/>
    <n v="70"/>
    <x v="0"/>
  </r>
  <r>
    <n v="165"/>
    <n v="15"/>
    <x v="4"/>
    <n v="92"/>
    <x v="20"/>
    <d v="2021-06-03T00:00:00"/>
    <x v="13"/>
    <d v="2021-06-11T00:00:00"/>
    <n v="0"/>
    <x v="0"/>
  </r>
  <r>
    <n v="166"/>
    <n v="30"/>
    <x v="5"/>
    <n v="46"/>
    <x v="14"/>
    <d v="2021-06-21T00:00:00"/>
    <x v="2"/>
    <d v="2021-06-29T00:00:00"/>
    <n v="50"/>
    <x v="0"/>
  </r>
  <r>
    <n v="167"/>
    <n v="8"/>
    <x v="5"/>
    <n v="151"/>
    <x v="15"/>
    <d v="2021-07-12T00:00:00"/>
    <x v="1"/>
    <d v="2021-07-20T00:00:00"/>
    <n v="70"/>
    <x v="1"/>
  </r>
  <r>
    <n v="168"/>
    <n v="9"/>
    <x v="5"/>
    <n v="17"/>
    <x v="5"/>
    <d v="2021-06-18T00:00:00"/>
    <x v="4"/>
    <d v="2021-06-26T00:00:00"/>
    <n v="30"/>
    <x v="0"/>
  </r>
  <r>
    <n v="169"/>
    <n v="2"/>
    <x v="5"/>
    <n v="49"/>
    <x v="18"/>
    <d v="2021-06-24T00:00:00"/>
    <x v="11"/>
    <d v="2021-07-02T00:00:00"/>
    <n v="30"/>
    <x v="0"/>
  </r>
  <r>
    <n v="170"/>
    <n v="15"/>
    <x v="5"/>
    <n v="51"/>
    <x v="6"/>
    <d v="2021-06-25T00:00:00"/>
    <x v="5"/>
    <d v="2021-07-03T00:00:00"/>
    <n v="20"/>
    <x v="0"/>
  </r>
  <r>
    <n v="171"/>
    <n v="2"/>
    <x v="5"/>
    <n v="65"/>
    <x v="13"/>
    <d v="2021-06-25T00:00:00"/>
    <x v="5"/>
    <d v="2021-07-03T00:00:00"/>
    <n v="50"/>
    <x v="0"/>
  </r>
  <r>
    <n v="172"/>
    <n v="29"/>
    <x v="1"/>
    <n v="28"/>
    <x v="21"/>
    <d v="2021-06-16T00:00:00"/>
    <x v="3"/>
    <d v="2021-06-23T00:00:00"/>
    <n v="60"/>
    <x v="0"/>
  </r>
  <r>
    <n v="173"/>
    <n v="30"/>
    <x v="1"/>
    <n v="28"/>
    <x v="21"/>
    <d v="2021-06-16T00:00:00"/>
    <x v="3"/>
    <d v="2021-06-23T00:00:00"/>
    <n v="30"/>
    <x v="0"/>
  </r>
  <r>
    <n v="174"/>
    <n v="1"/>
    <x v="1"/>
    <n v="28"/>
    <x v="21"/>
    <d v="2021-06-16T00:00:00"/>
    <x v="3"/>
    <d v="2021-06-23T00:00:00"/>
    <n v="40"/>
    <x v="0"/>
  </r>
  <r>
    <n v="175"/>
    <n v="2"/>
    <x v="1"/>
    <n v="28"/>
    <x v="21"/>
    <d v="2021-06-16T00:00:00"/>
    <x v="3"/>
    <d v="2021-06-23T00:00:00"/>
    <n v="40"/>
    <x v="0"/>
  </r>
  <r>
    <n v="176"/>
    <n v="21"/>
    <x v="1"/>
    <n v="36"/>
    <x v="22"/>
    <d v="2021-06-16T00:00:00"/>
    <x v="3"/>
    <d v="2021-06-23T00:00:00"/>
    <n v="0"/>
    <x v="0"/>
  </r>
  <r>
    <n v="177"/>
    <n v="12"/>
    <x v="1"/>
    <n v="36"/>
    <x v="22"/>
    <d v="2021-06-16T00:00:00"/>
    <x v="3"/>
    <d v="2021-06-23T00:00:00"/>
    <n v="50"/>
    <x v="0"/>
  </r>
  <r>
    <n v="178"/>
    <n v="22"/>
    <x v="1"/>
    <n v="37"/>
    <x v="3"/>
    <d v="2021-06-16T00:00:00"/>
    <x v="3"/>
    <d v="2021-06-23T00:00:00"/>
    <n v="40"/>
    <x v="0"/>
  </r>
  <r>
    <n v="179"/>
    <n v="26"/>
    <x v="1"/>
    <n v="37"/>
    <x v="3"/>
    <d v="2021-06-16T00:00:00"/>
    <x v="3"/>
    <d v="2021-06-23T00:00:00"/>
    <n v="10"/>
    <x v="0"/>
  </r>
  <r>
    <n v="180"/>
    <n v="27"/>
    <x v="0"/>
    <n v="63"/>
    <x v="21"/>
    <d v="2021-06-16T00:00:00"/>
    <x v="3"/>
    <d v="2021-06-23T00:00:00"/>
    <n v="10"/>
    <x v="0"/>
  </r>
  <r>
    <n v="181"/>
    <n v="28"/>
    <x v="0"/>
    <n v="63"/>
    <x v="21"/>
    <d v="2021-06-16T00:00:00"/>
    <x v="3"/>
    <d v="2021-06-23T00:00:00"/>
    <n v="50"/>
    <x v="0"/>
  </r>
  <r>
    <n v="182"/>
    <n v="15"/>
    <x v="0"/>
    <n v="63"/>
    <x v="21"/>
    <d v="2021-06-16T00:00:00"/>
    <x v="3"/>
    <d v="2021-06-23T00:00:00"/>
    <n v="60"/>
    <x v="0"/>
  </r>
  <r>
    <n v="183"/>
    <n v="19"/>
    <x v="4"/>
    <n v="99"/>
    <x v="21"/>
    <d v="2021-06-16T00:00:00"/>
    <x v="3"/>
    <d v="2021-06-24T00:00:00"/>
    <n v="0"/>
    <x v="0"/>
  </r>
  <r>
    <n v="184"/>
    <n v="20"/>
    <x v="4"/>
    <n v="99"/>
    <x v="21"/>
    <d v="2021-06-16T00:00:00"/>
    <x v="3"/>
    <d v="2021-06-24T00:00:00"/>
    <n v="40"/>
    <x v="0"/>
  </r>
  <r>
    <n v="185"/>
    <n v="21"/>
    <x v="4"/>
    <n v="99"/>
    <x v="21"/>
    <d v="2021-06-16T00:00:00"/>
    <x v="3"/>
    <d v="2021-06-24T00:00:00"/>
    <n v="50"/>
    <x v="0"/>
  </r>
  <r>
    <n v="186"/>
    <n v="25"/>
    <x v="4"/>
    <n v="99"/>
    <x v="21"/>
    <d v="2021-06-16T00:00:00"/>
    <x v="3"/>
    <d v="2021-06-24T00:00:00"/>
    <n v="60"/>
    <x v="0"/>
  </r>
  <r>
    <n v="187"/>
    <n v="30"/>
    <x v="4"/>
    <n v="99"/>
    <x v="21"/>
    <d v="2021-06-16T00:00:00"/>
    <x v="3"/>
    <d v="2021-06-24T00:00:00"/>
    <n v="70"/>
    <x v="0"/>
  </r>
  <r>
    <n v="188"/>
    <n v="29"/>
    <x v="4"/>
    <n v="99"/>
    <x v="21"/>
    <d v="2021-06-16T00:00:00"/>
    <x v="3"/>
    <d v="2021-06-24T00:00:00"/>
    <n v="20"/>
    <x v="0"/>
  </r>
  <r>
    <n v="189"/>
    <n v="5"/>
    <x v="4"/>
    <n v="99"/>
    <x v="21"/>
    <d v="2021-06-16T00:00:00"/>
    <x v="3"/>
    <d v="2021-06-24T00:00:00"/>
    <n v="20"/>
    <x v="0"/>
  </r>
  <r>
    <n v="190"/>
    <n v="6"/>
    <x v="4"/>
    <n v="103"/>
    <x v="22"/>
    <d v="2021-06-16T00:00:00"/>
    <x v="3"/>
    <d v="2021-06-24T00:00:00"/>
    <n v="0"/>
    <x v="0"/>
  </r>
  <r>
    <n v="191"/>
    <n v="5"/>
    <x v="4"/>
    <n v="103"/>
    <x v="22"/>
    <d v="2021-06-16T00:00:00"/>
    <x v="3"/>
    <d v="2021-06-24T00:00:00"/>
    <n v="0"/>
    <x v="0"/>
  </r>
  <r>
    <n v="192"/>
    <n v="4"/>
    <x v="4"/>
    <n v="103"/>
    <x v="22"/>
    <d v="2021-06-16T00:00:00"/>
    <x v="3"/>
    <d v="2021-06-24T00:00:00"/>
    <n v="20"/>
    <x v="0"/>
  </r>
  <r>
    <n v="193"/>
    <n v="18"/>
    <x v="4"/>
    <n v="103"/>
    <x v="22"/>
    <d v="2021-06-16T00:00:00"/>
    <x v="3"/>
    <d v="2021-06-24T00:00:00"/>
    <n v="40"/>
    <x v="0"/>
  </r>
  <r>
    <n v="194"/>
    <n v="17"/>
    <x v="4"/>
    <n v="103"/>
    <x v="22"/>
    <d v="2021-06-16T00:00:00"/>
    <x v="3"/>
    <d v="2021-06-24T00:00:00"/>
    <n v="50"/>
    <x v="0"/>
  </r>
  <r>
    <n v="195"/>
    <n v="12"/>
    <x v="4"/>
    <n v="103"/>
    <x v="22"/>
    <d v="2021-06-16T00:00:00"/>
    <x v="3"/>
    <d v="2021-06-24T00:00:00"/>
    <n v="60"/>
    <x v="0"/>
  </r>
  <r>
    <n v="196"/>
    <n v="16"/>
    <x v="4"/>
    <n v="106"/>
    <x v="3"/>
    <d v="2021-06-16T00:00:00"/>
    <x v="3"/>
    <d v="2021-06-24T00:00:00"/>
    <n v="70"/>
    <x v="0"/>
  </r>
  <r>
    <n v="197"/>
    <n v="15"/>
    <x v="4"/>
    <n v="106"/>
    <x v="3"/>
    <d v="2021-06-16T00:00:00"/>
    <x v="3"/>
    <d v="2021-06-24T00:00:00"/>
    <n v="10"/>
    <x v="0"/>
  </r>
  <r>
    <n v="198"/>
    <n v="30"/>
    <x v="4"/>
    <n v="106"/>
    <x v="3"/>
    <d v="2021-06-16T00:00:00"/>
    <x v="3"/>
    <d v="2021-06-24T00:00:00"/>
    <n v="10"/>
    <x v="0"/>
  </r>
  <r>
    <n v="199"/>
    <n v="29"/>
    <x v="4"/>
    <n v="106"/>
    <x v="3"/>
    <d v="2021-06-16T00:00:00"/>
    <x v="3"/>
    <d v="2021-06-24T00:00:00"/>
    <n v="0"/>
    <x v="0"/>
  </r>
  <r>
    <n v="200"/>
    <n v="1"/>
    <x v="4"/>
    <n v="106"/>
    <x v="3"/>
    <d v="2021-06-16T00:00:00"/>
    <x v="3"/>
    <d v="2021-06-24T00:00:00"/>
    <n v="90"/>
    <x v="1"/>
  </r>
  <r>
    <n v="201"/>
    <n v="2"/>
    <x v="4"/>
    <n v="106"/>
    <x v="3"/>
    <d v="2021-06-16T00:00:00"/>
    <x v="3"/>
    <d v="2021-06-24T00:00:00"/>
    <n v="50"/>
    <x v="0"/>
  </r>
  <r>
    <n v="202"/>
    <n v="9"/>
    <x v="5"/>
    <n v="150"/>
    <x v="1"/>
    <d v="2021-07-12T00:00:00"/>
    <x v="1"/>
    <d v="2021-07-20T00:00:00"/>
    <n v="80"/>
    <x v="1"/>
  </r>
  <r>
    <n v="203"/>
    <n v="21"/>
    <x v="1"/>
    <n v="40"/>
    <x v="4"/>
    <d v="2021-06-18T00:00:00"/>
    <x v="4"/>
    <d v="2021-06-25T00:00:00"/>
    <n v="0"/>
    <x v="0"/>
  </r>
  <r>
    <n v="204"/>
    <n v="12"/>
    <x v="1"/>
    <n v="53"/>
    <x v="23"/>
    <d v="2021-06-18T00:00:00"/>
    <x v="4"/>
    <d v="2021-06-25T00:00:00"/>
    <n v="80"/>
    <x v="1"/>
  </r>
  <r>
    <n v="205"/>
    <n v="2"/>
    <x v="1"/>
    <n v="53"/>
    <x v="23"/>
    <d v="2021-06-18T00:00:00"/>
    <x v="4"/>
    <d v="2021-06-25T00:00:00"/>
    <n v="40"/>
    <x v="0"/>
  </r>
  <r>
    <n v="206"/>
    <n v="26"/>
    <x v="1"/>
    <n v="62"/>
    <x v="5"/>
    <d v="2021-06-18T00:00:00"/>
    <x v="4"/>
    <d v="2021-06-25T00:00:00"/>
    <n v="0"/>
    <x v="0"/>
  </r>
  <r>
    <n v="207"/>
    <n v="27"/>
    <x v="1"/>
    <n v="62"/>
    <x v="5"/>
    <d v="2021-06-18T00:00:00"/>
    <x v="4"/>
    <d v="2021-06-25T00:00:00"/>
    <n v="0"/>
    <x v="0"/>
  </r>
  <r>
    <n v="208"/>
    <n v="28"/>
    <x v="1"/>
    <n v="62"/>
    <x v="5"/>
    <d v="2021-06-18T00:00:00"/>
    <x v="4"/>
    <d v="2021-06-25T00:00:00"/>
    <n v="10"/>
    <x v="0"/>
  </r>
  <r>
    <n v="209"/>
    <n v="30"/>
    <x v="1"/>
    <n v="75"/>
    <x v="8"/>
    <d v="2021-06-18T00:00:00"/>
    <x v="4"/>
    <d v="2021-06-25T00:00:00"/>
    <n v="0"/>
    <x v="0"/>
  </r>
  <r>
    <n v="210"/>
    <n v="3"/>
    <x v="1"/>
    <n v="75"/>
    <x v="8"/>
    <d v="2021-06-18T00:00:00"/>
    <x v="4"/>
    <d v="2021-06-25T00:00:00"/>
    <n v="30"/>
    <x v="0"/>
  </r>
  <r>
    <n v="211"/>
    <n v="4"/>
    <x v="1"/>
    <n v="75"/>
    <x v="8"/>
    <d v="2021-06-18T00:00:00"/>
    <x v="4"/>
    <d v="2021-06-25T00:00:00"/>
    <n v="10"/>
    <x v="0"/>
  </r>
  <r>
    <n v="212"/>
    <n v="27"/>
    <x v="2"/>
    <n v="50"/>
    <x v="23"/>
    <d v="2021-06-18T00:00:00"/>
    <x v="4"/>
    <d v="2021-06-26T00:00:00"/>
    <n v="20"/>
    <x v="0"/>
  </r>
  <r>
    <n v="213"/>
    <n v="28"/>
    <x v="2"/>
    <n v="50"/>
    <x v="23"/>
    <d v="2021-06-18T00:00:00"/>
    <x v="4"/>
    <d v="2021-06-26T00:00:00"/>
    <n v="20"/>
    <x v="0"/>
  </r>
  <r>
    <n v="214"/>
    <n v="15"/>
    <x v="2"/>
    <n v="50"/>
    <x v="23"/>
    <d v="2021-06-18T00:00:00"/>
    <x v="4"/>
    <d v="2021-06-26T00:00:00"/>
    <n v="0"/>
    <x v="0"/>
  </r>
  <r>
    <n v="215"/>
    <n v="16"/>
    <x v="0"/>
    <n v="97"/>
    <x v="8"/>
    <d v="2021-06-18T00:00:00"/>
    <x v="4"/>
    <d v="2021-06-25T00:00:00"/>
    <n v="20"/>
    <x v="0"/>
  </r>
  <r>
    <n v="216"/>
    <n v="19"/>
    <x v="0"/>
    <n v="97"/>
    <x v="8"/>
    <d v="2021-06-18T00:00:00"/>
    <x v="4"/>
    <d v="2021-06-25T00:00:00"/>
    <n v="50"/>
    <x v="0"/>
  </r>
  <r>
    <n v="217"/>
    <n v="3"/>
    <x v="4"/>
    <n v="119"/>
    <x v="4"/>
    <d v="2021-06-18T00:00:00"/>
    <x v="4"/>
    <d v="2021-06-26T00:00:00"/>
    <n v="80"/>
    <x v="1"/>
  </r>
  <r>
    <n v="218"/>
    <n v="15"/>
    <x v="4"/>
    <n v="119"/>
    <x v="4"/>
    <d v="2021-06-18T00:00:00"/>
    <x v="4"/>
    <d v="2021-06-26T00:00:00"/>
    <n v="0"/>
    <x v="0"/>
  </r>
  <r>
    <n v="219"/>
    <n v="16"/>
    <x v="4"/>
    <n v="119"/>
    <x v="4"/>
    <d v="2021-06-18T00:00:00"/>
    <x v="4"/>
    <d v="2021-06-26T00:00:00"/>
    <n v="50"/>
    <x v="0"/>
  </r>
  <r>
    <n v="220"/>
    <n v="17"/>
    <x v="4"/>
    <n v="119"/>
    <x v="4"/>
    <d v="2021-06-18T00:00:00"/>
    <x v="4"/>
    <d v="2021-06-26T00:00:00"/>
    <n v="60"/>
    <x v="0"/>
  </r>
  <r>
    <n v="221"/>
    <n v="18"/>
    <x v="4"/>
    <n v="119"/>
    <x v="4"/>
    <d v="2021-06-18T00:00:00"/>
    <x v="4"/>
    <d v="2021-06-26T00:00:00"/>
    <n v="50"/>
    <x v="0"/>
  </r>
  <r>
    <n v="222"/>
    <n v="19"/>
    <x v="4"/>
    <n v="119"/>
    <x v="4"/>
    <d v="2021-06-18T00:00:00"/>
    <x v="4"/>
    <d v="2021-06-26T00:00:00"/>
    <n v="40"/>
    <x v="0"/>
  </r>
  <r>
    <n v="223"/>
    <n v="15"/>
    <x v="4"/>
    <n v="127"/>
    <x v="23"/>
    <d v="2021-06-18T00:00:00"/>
    <x v="4"/>
    <d v="2021-06-26T00:00:00"/>
    <n v="20"/>
    <x v="0"/>
  </r>
  <r>
    <n v="224"/>
    <n v="16"/>
    <x v="4"/>
    <n v="127"/>
    <x v="23"/>
    <d v="2021-06-18T00:00:00"/>
    <x v="4"/>
    <d v="2021-06-26T00:00:00"/>
    <n v="30"/>
    <x v="0"/>
  </r>
  <r>
    <n v="225"/>
    <n v="17"/>
    <x v="4"/>
    <n v="127"/>
    <x v="23"/>
    <d v="2021-06-18T00:00:00"/>
    <x v="4"/>
    <d v="2021-06-26T00:00:00"/>
    <n v="30"/>
    <x v="0"/>
  </r>
  <r>
    <n v="226"/>
    <n v="18"/>
    <x v="4"/>
    <n v="127"/>
    <x v="23"/>
    <d v="2021-06-18T00:00:00"/>
    <x v="4"/>
    <d v="2021-06-26T00:00:00"/>
    <n v="30"/>
    <x v="0"/>
  </r>
  <r>
    <n v="227"/>
    <n v="19"/>
    <x v="4"/>
    <n v="127"/>
    <x v="23"/>
    <d v="2021-06-18T00:00:00"/>
    <x v="4"/>
    <d v="2021-06-26T00:00:00"/>
    <n v="60"/>
    <x v="0"/>
  </r>
  <r>
    <n v="228"/>
    <n v="11"/>
    <x v="4"/>
    <n v="127"/>
    <x v="23"/>
    <d v="2021-06-18T00:00:00"/>
    <x v="4"/>
    <d v="2021-06-26T00:00:00"/>
    <n v="50"/>
    <x v="0"/>
  </r>
  <r>
    <n v="229"/>
    <n v="10"/>
    <x v="4"/>
    <n v="141"/>
    <x v="5"/>
    <d v="2021-06-18T00:00:00"/>
    <x v="4"/>
    <d v="2021-06-26T00:00:00"/>
    <n v="70"/>
    <x v="0"/>
  </r>
  <r>
    <n v="230"/>
    <n v="20"/>
    <x v="4"/>
    <n v="141"/>
    <x v="5"/>
    <d v="2021-06-18T00:00:00"/>
    <x v="4"/>
    <d v="2021-06-26T00:00:00"/>
    <n v="70"/>
    <x v="0"/>
  </r>
  <r>
    <n v="231"/>
    <n v="24"/>
    <x v="4"/>
    <n v="141"/>
    <x v="5"/>
    <d v="2021-06-18T00:00:00"/>
    <x v="4"/>
    <d v="2021-06-26T00:00:00"/>
    <n v="70"/>
    <x v="0"/>
  </r>
  <r>
    <n v="232"/>
    <n v="25"/>
    <x v="4"/>
    <n v="141"/>
    <x v="5"/>
    <d v="2021-06-18T00:00:00"/>
    <x v="4"/>
    <d v="2021-06-26T00:00:00"/>
    <n v="0"/>
    <x v="0"/>
  </r>
  <r>
    <n v="233"/>
    <n v="26"/>
    <x v="4"/>
    <n v="141"/>
    <x v="5"/>
    <d v="2021-06-18T00:00:00"/>
    <x v="4"/>
    <d v="2021-06-26T00:00:00"/>
    <n v="0"/>
    <x v="0"/>
  </r>
  <r>
    <n v="234"/>
    <n v="27"/>
    <x v="4"/>
    <n v="141"/>
    <x v="5"/>
    <d v="2021-06-18T00:00:00"/>
    <x v="4"/>
    <d v="2021-06-26T00:00:00"/>
    <n v="40"/>
    <x v="0"/>
  </r>
  <r>
    <n v="235"/>
    <n v="30"/>
    <x v="4"/>
    <n v="147"/>
    <x v="8"/>
    <d v="2021-06-18T00:00:00"/>
    <x v="4"/>
    <d v="2021-06-26T00:00:00"/>
    <n v="50"/>
    <x v="0"/>
  </r>
  <r>
    <n v="236"/>
    <n v="29"/>
    <x v="4"/>
    <n v="147"/>
    <x v="8"/>
    <d v="2021-06-18T00:00:00"/>
    <x v="4"/>
    <d v="2021-06-26T00:00:00"/>
    <n v="60"/>
    <x v="0"/>
  </r>
  <r>
    <n v="237"/>
    <n v="27"/>
    <x v="4"/>
    <n v="147"/>
    <x v="8"/>
    <d v="2021-06-18T00:00:00"/>
    <x v="4"/>
    <d v="2021-06-26T00:00:00"/>
    <n v="70"/>
    <x v="0"/>
  </r>
  <r>
    <n v="238"/>
    <n v="25"/>
    <x v="4"/>
    <n v="147"/>
    <x v="8"/>
    <d v="2021-06-18T00:00:00"/>
    <x v="4"/>
    <d v="2021-06-26T00:00:00"/>
    <n v="70"/>
    <x v="0"/>
  </r>
  <r>
    <n v="239"/>
    <n v="24"/>
    <x v="4"/>
    <n v="147"/>
    <x v="8"/>
    <d v="2021-06-18T00:00:00"/>
    <x v="4"/>
    <d v="2021-06-26T00:00:00"/>
    <n v="50"/>
    <x v="0"/>
  </r>
  <r>
    <n v="240"/>
    <n v="22"/>
    <x v="4"/>
    <n v="147"/>
    <x v="8"/>
    <d v="2021-06-18T00:00:00"/>
    <x v="4"/>
    <d v="2021-06-26T00:00:00"/>
    <n v="80"/>
    <x v="1"/>
  </r>
  <r>
    <n v="241"/>
    <n v="21"/>
    <x v="4"/>
    <n v="147"/>
    <x v="8"/>
    <d v="2021-06-18T00:00:00"/>
    <x v="4"/>
    <d v="2021-06-26T00:00:00"/>
    <n v="90"/>
    <x v="1"/>
  </r>
  <r>
    <n v="242"/>
    <n v="5"/>
    <x v="1"/>
    <n v="81"/>
    <x v="9"/>
    <d v="2021-06-19T00:00:00"/>
    <x v="7"/>
    <d v="2021-06-26T00:00:00"/>
    <n v="50"/>
    <x v="0"/>
  </r>
  <r>
    <n v="243"/>
    <n v="6"/>
    <x v="1"/>
    <n v="81"/>
    <x v="9"/>
    <d v="2021-06-19T00:00:00"/>
    <x v="7"/>
    <d v="2021-06-26T00:00:00"/>
    <n v="40"/>
    <x v="0"/>
  </r>
  <r>
    <n v="327"/>
    <n v="7"/>
    <x v="5"/>
    <n v="74"/>
    <x v="24"/>
    <d v="2021-06-29T00:00:00"/>
    <x v="14"/>
    <d v="2021-07-07T00:00:00"/>
    <n v="20"/>
    <x v="0"/>
  </r>
  <r>
    <n v="245"/>
    <n v="8"/>
    <x v="1"/>
    <n v="81"/>
    <x v="9"/>
    <d v="2021-06-19T00:00:00"/>
    <x v="7"/>
    <d v="2021-06-26T00:00:00"/>
    <n v="50"/>
    <x v="0"/>
  </r>
  <r>
    <n v="246"/>
    <n v="15"/>
    <x v="4"/>
    <n v="148"/>
    <x v="9"/>
    <d v="2021-06-19T00:00:00"/>
    <x v="7"/>
    <d v="2021-06-27T00:00:00"/>
    <n v="100"/>
    <x v="1"/>
  </r>
  <r>
    <n v="247"/>
    <n v="14"/>
    <x v="4"/>
    <n v="148"/>
    <x v="9"/>
    <d v="2021-06-19T00:00:00"/>
    <x v="7"/>
    <d v="2021-06-27T00:00:00"/>
    <n v="50"/>
    <x v="0"/>
  </r>
  <r>
    <n v="248"/>
    <n v="11"/>
    <x v="4"/>
    <n v="148"/>
    <x v="9"/>
    <d v="2021-06-19T00:00:00"/>
    <x v="7"/>
    <d v="2021-06-27T00:00:00"/>
    <n v="90"/>
    <x v="1"/>
  </r>
  <r>
    <n v="249"/>
    <n v="12"/>
    <x v="4"/>
    <n v="148"/>
    <x v="9"/>
    <d v="2021-06-19T00:00:00"/>
    <x v="7"/>
    <d v="2021-06-27T00:00:00"/>
    <n v="80"/>
    <x v="1"/>
  </r>
  <r>
    <n v="250"/>
    <n v="2"/>
    <x v="4"/>
    <n v="148"/>
    <x v="9"/>
    <d v="2021-06-19T00:00:00"/>
    <x v="7"/>
    <d v="2021-06-27T00:00:00"/>
    <n v="90"/>
    <x v="1"/>
  </r>
  <r>
    <n v="251"/>
    <n v="4"/>
    <x v="4"/>
    <n v="148"/>
    <x v="9"/>
    <d v="2021-06-19T00:00:00"/>
    <x v="7"/>
    <d v="2021-06-27T00:00:00"/>
    <n v="90"/>
    <x v="1"/>
  </r>
  <r>
    <n v="252"/>
    <n v="9"/>
    <x v="1"/>
    <n v="84"/>
    <x v="10"/>
    <d v="2021-06-21T00:00:00"/>
    <x v="2"/>
    <d v="2021-06-28T00:00:00"/>
    <n v="30"/>
    <x v="0"/>
  </r>
  <r>
    <n v="253"/>
    <n v="10"/>
    <x v="1"/>
    <n v="84"/>
    <x v="10"/>
    <d v="2021-06-21T00:00:00"/>
    <x v="2"/>
    <d v="2021-06-28T00:00:00"/>
    <n v="40"/>
    <x v="0"/>
  </r>
  <r>
    <n v="254"/>
    <n v="11"/>
    <x v="1"/>
    <n v="84"/>
    <x v="10"/>
    <d v="2021-06-21T00:00:00"/>
    <x v="2"/>
    <d v="2021-06-28T00:00:00"/>
    <n v="60"/>
    <x v="0"/>
  </r>
  <r>
    <n v="255"/>
    <n v="12"/>
    <x v="1"/>
    <n v="84"/>
    <x v="10"/>
    <d v="2021-06-21T00:00:00"/>
    <x v="2"/>
    <d v="2021-06-28T00:00:00"/>
    <n v="50"/>
    <x v="0"/>
  </r>
  <r>
    <n v="256"/>
    <n v="20"/>
    <x v="1"/>
    <n v="84"/>
    <x v="10"/>
    <d v="2021-06-21T00:00:00"/>
    <x v="2"/>
    <d v="2021-06-28T00:00:00"/>
    <n v="50"/>
    <x v="0"/>
  </r>
  <r>
    <n v="257"/>
    <n v="25"/>
    <x v="1"/>
    <n v="90"/>
    <x v="11"/>
    <d v="2021-06-21T00:00:00"/>
    <x v="2"/>
    <d v="2021-06-28T00:00:00"/>
    <n v="0"/>
    <x v="0"/>
  </r>
  <r>
    <n v="258"/>
    <n v="26"/>
    <x v="1"/>
    <n v="90"/>
    <x v="11"/>
    <d v="2021-06-21T00:00:00"/>
    <x v="2"/>
    <d v="2021-06-28T00:00:00"/>
    <n v="20"/>
    <x v="0"/>
  </r>
  <r>
    <n v="259"/>
    <n v="27"/>
    <x v="1"/>
    <n v="90"/>
    <x v="11"/>
    <d v="2021-06-21T00:00:00"/>
    <x v="2"/>
    <d v="2021-06-28T00:00:00"/>
    <n v="50"/>
    <x v="0"/>
  </r>
  <r>
    <n v="260"/>
    <n v="28"/>
    <x v="1"/>
    <n v="90"/>
    <x v="11"/>
    <d v="2021-06-21T00:00:00"/>
    <x v="2"/>
    <d v="2021-06-28T00:00:00"/>
    <n v="40"/>
    <x v="0"/>
  </r>
  <r>
    <n v="261"/>
    <n v="29"/>
    <x v="1"/>
    <n v="90"/>
    <x v="11"/>
    <d v="2021-06-21T00:00:00"/>
    <x v="2"/>
    <d v="2021-06-28T00:00:00"/>
    <n v="30"/>
    <x v="0"/>
  </r>
  <r>
    <n v="262"/>
    <n v="26"/>
    <x v="1"/>
    <n v="95"/>
    <x v="2"/>
    <d v="2021-06-21T00:00:00"/>
    <x v="2"/>
    <d v="2021-06-28T00:00:00"/>
    <n v="20"/>
    <x v="0"/>
  </r>
  <r>
    <n v="263"/>
    <n v="27"/>
    <x v="1"/>
    <n v="95"/>
    <x v="2"/>
    <d v="2021-06-21T00:00:00"/>
    <x v="2"/>
    <d v="2021-06-28T00:00:00"/>
    <n v="30"/>
    <x v="0"/>
  </r>
  <r>
    <n v="264"/>
    <n v="28"/>
    <x v="1"/>
    <n v="95"/>
    <x v="2"/>
    <d v="2021-06-21T00:00:00"/>
    <x v="2"/>
    <d v="2021-06-28T00:00:00"/>
    <n v="60"/>
    <x v="0"/>
  </r>
  <r>
    <n v="265"/>
    <n v="30"/>
    <x v="1"/>
    <n v="95"/>
    <x v="2"/>
    <d v="2021-06-21T00:00:00"/>
    <x v="2"/>
    <d v="2021-06-28T00:00:00"/>
    <n v="10"/>
    <x v="0"/>
  </r>
  <r>
    <n v="266"/>
    <n v="3"/>
    <x v="1"/>
    <n v="95"/>
    <x v="2"/>
    <d v="2021-06-21T00:00:00"/>
    <x v="2"/>
    <d v="2021-06-28T00:00:00"/>
    <n v="60"/>
    <x v="0"/>
  </r>
  <r>
    <n v="267"/>
    <n v="15"/>
    <x v="1"/>
    <n v="98"/>
    <x v="14"/>
    <d v="2021-06-21T00:00:00"/>
    <x v="2"/>
    <d v="2021-06-28T00:00:00"/>
    <n v="0"/>
    <x v="0"/>
  </r>
  <r>
    <n v="268"/>
    <n v="26"/>
    <x v="1"/>
    <n v="98"/>
    <x v="14"/>
    <d v="2021-06-21T00:00:00"/>
    <x v="2"/>
    <d v="2021-06-28T00:00:00"/>
    <n v="50"/>
    <x v="0"/>
  </r>
  <r>
    <n v="269"/>
    <n v="27"/>
    <x v="1"/>
    <n v="98"/>
    <x v="14"/>
    <d v="2021-06-21T00:00:00"/>
    <x v="2"/>
    <d v="2021-06-28T00:00:00"/>
    <n v="70"/>
    <x v="1"/>
  </r>
  <r>
    <n v="270"/>
    <n v="28"/>
    <x v="1"/>
    <n v="98"/>
    <x v="14"/>
    <d v="2021-06-21T00:00:00"/>
    <x v="2"/>
    <d v="2021-06-28T00:00:00"/>
    <n v="80"/>
    <x v="1"/>
  </r>
  <r>
    <n v="271"/>
    <n v="9"/>
    <x v="5"/>
    <n v="46"/>
    <x v="14"/>
    <d v="2021-06-21T00:00:00"/>
    <x v="2"/>
    <d v="2021-06-29T00:00:00"/>
    <n v="50"/>
    <x v="0"/>
  </r>
  <r>
    <n v="272"/>
    <n v="10"/>
    <x v="5"/>
    <n v="46"/>
    <x v="14"/>
    <d v="2021-06-21T00:00:00"/>
    <x v="2"/>
    <d v="2021-06-29T00:00:00"/>
    <n v="0"/>
    <x v="0"/>
  </r>
  <r>
    <n v="273"/>
    <n v="12"/>
    <x v="5"/>
    <n v="46"/>
    <x v="14"/>
    <d v="2021-06-21T00:00:00"/>
    <x v="2"/>
    <d v="2021-06-29T00:00:00"/>
    <n v="40"/>
    <x v="0"/>
  </r>
  <r>
    <n v="274"/>
    <n v="16"/>
    <x v="3"/>
    <n v="71"/>
    <x v="2"/>
    <d v="2021-06-21T00:00:00"/>
    <x v="2"/>
    <d v="2021-06-29T00:00:00"/>
    <n v="40"/>
    <x v="0"/>
  </r>
  <r>
    <n v="275"/>
    <n v="9"/>
    <x v="3"/>
    <n v="71"/>
    <x v="2"/>
    <d v="2021-06-21T00:00:00"/>
    <x v="2"/>
    <d v="2021-06-29T00:00:00"/>
    <n v="50"/>
    <x v="0"/>
  </r>
  <r>
    <n v="276"/>
    <n v="10"/>
    <x v="1"/>
    <n v="84"/>
    <x v="10"/>
    <d v="2021-06-21T00:00:00"/>
    <x v="2"/>
    <d v="2021-06-28T00:00:00"/>
    <n v="60"/>
    <x v="0"/>
  </r>
  <r>
    <n v="277"/>
    <n v="12"/>
    <x v="0"/>
    <n v="108"/>
    <x v="11"/>
    <d v="2021-06-21T00:00:00"/>
    <x v="2"/>
    <d v="2021-06-28T00:00:00"/>
    <n v="50"/>
    <x v="0"/>
  </r>
  <r>
    <n v="278"/>
    <n v="27"/>
    <x v="0"/>
    <n v="108"/>
    <x v="11"/>
    <d v="2021-06-21T00:00:00"/>
    <x v="2"/>
    <d v="2021-06-28T00:00:00"/>
    <n v="40"/>
    <x v="0"/>
  </r>
  <r>
    <n v="279"/>
    <n v="14"/>
    <x v="4"/>
    <n v="149"/>
    <x v="10"/>
    <d v="2021-06-21T00:00:00"/>
    <x v="2"/>
    <d v="2021-06-29T00:00:00"/>
    <n v="80"/>
    <x v="1"/>
  </r>
  <r>
    <n v="280"/>
    <n v="19"/>
    <x v="4"/>
    <n v="149"/>
    <x v="10"/>
    <d v="2021-06-21T00:00:00"/>
    <x v="2"/>
    <d v="2021-06-29T00:00:00"/>
    <n v="90"/>
    <x v="1"/>
  </r>
  <r>
    <n v="281"/>
    <n v="29"/>
    <x v="4"/>
    <n v="149"/>
    <x v="10"/>
    <d v="2021-06-21T00:00:00"/>
    <x v="2"/>
    <d v="2021-06-29T00:00:00"/>
    <n v="80"/>
    <x v="1"/>
  </r>
  <r>
    <n v="282"/>
    <n v="27"/>
    <x v="4"/>
    <n v="149"/>
    <x v="10"/>
    <d v="2021-06-21T00:00:00"/>
    <x v="2"/>
    <d v="2021-06-29T00:00:00"/>
    <n v="80"/>
    <x v="1"/>
  </r>
  <r>
    <n v="283"/>
    <n v="5"/>
    <x v="1"/>
    <n v="104"/>
    <x v="18"/>
    <d v="2021-06-24T00:00:00"/>
    <x v="11"/>
    <d v="2021-07-01T00:00:00"/>
    <n v="30"/>
    <x v="0"/>
  </r>
  <r>
    <n v="284"/>
    <n v="15"/>
    <x v="1"/>
    <n v="104"/>
    <x v="18"/>
    <d v="2021-06-24T00:00:00"/>
    <x v="11"/>
    <d v="2021-07-01T00:00:00"/>
    <n v="80"/>
    <x v="1"/>
  </r>
  <r>
    <n v="285"/>
    <n v="19"/>
    <x v="1"/>
    <n v="104"/>
    <x v="18"/>
    <d v="2021-06-24T00:00:00"/>
    <x v="11"/>
    <d v="2021-07-01T00:00:00"/>
    <n v="20"/>
    <x v="0"/>
  </r>
  <r>
    <n v="286"/>
    <n v="28"/>
    <x v="2"/>
    <n v="96"/>
    <x v="18"/>
    <d v="2021-06-24T00:00:00"/>
    <x v="11"/>
    <d v="2021-07-02T00:00:00"/>
    <n v="0"/>
    <x v="0"/>
  </r>
  <r>
    <n v="287"/>
    <n v="15"/>
    <x v="2"/>
    <n v="96"/>
    <x v="18"/>
    <d v="2021-06-24T00:00:00"/>
    <x v="11"/>
    <d v="2021-07-02T00:00:00"/>
    <n v="10"/>
    <x v="0"/>
  </r>
  <r>
    <n v="288"/>
    <n v="27"/>
    <x v="5"/>
    <n v="65"/>
    <x v="13"/>
    <d v="2021-06-25T00:00:00"/>
    <x v="5"/>
    <d v="2021-07-03T00:00:00"/>
    <n v="20"/>
    <x v="0"/>
  </r>
  <r>
    <n v="289"/>
    <n v="12"/>
    <x v="5"/>
    <n v="65"/>
    <x v="13"/>
    <d v="2021-06-25T00:00:00"/>
    <x v="5"/>
    <d v="2021-07-03T00:00:00"/>
    <n v="20"/>
    <x v="0"/>
  </r>
  <r>
    <n v="290"/>
    <n v="9"/>
    <x v="5"/>
    <n v="65"/>
    <x v="13"/>
    <d v="2021-06-25T00:00:00"/>
    <x v="5"/>
    <d v="2021-07-03T00:00:00"/>
    <n v="10"/>
    <x v="0"/>
  </r>
  <r>
    <n v="291"/>
    <n v="11"/>
    <x v="5"/>
    <n v="65"/>
    <x v="13"/>
    <d v="2021-06-25T00:00:00"/>
    <x v="5"/>
    <d v="2021-07-03T00:00:00"/>
    <n v="40"/>
    <x v="0"/>
  </r>
  <r>
    <n v="292"/>
    <n v="16"/>
    <x v="5"/>
    <n v="65"/>
    <x v="13"/>
    <d v="2021-06-25T00:00:00"/>
    <x v="5"/>
    <d v="2021-07-03T00:00:00"/>
    <n v="40"/>
    <x v="0"/>
  </r>
  <r>
    <n v="293"/>
    <n v="22"/>
    <x v="1"/>
    <n v="110"/>
    <x v="6"/>
    <d v="2021-06-25T00:00:00"/>
    <x v="5"/>
    <d v="2021-07-02T00:00:00"/>
    <n v="0"/>
    <x v="0"/>
  </r>
  <r>
    <n v="294"/>
    <n v="23"/>
    <x v="1"/>
    <n v="110"/>
    <x v="6"/>
    <d v="2021-06-25T00:00:00"/>
    <x v="5"/>
    <d v="2021-07-02T00:00:00"/>
    <n v="40"/>
    <x v="0"/>
  </r>
  <r>
    <n v="295"/>
    <n v="22"/>
    <x v="1"/>
    <n v="112"/>
    <x v="13"/>
    <d v="2021-06-25T00:00:00"/>
    <x v="5"/>
    <d v="2021-07-02T00:00:00"/>
    <n v="60"/>
    <x v="0"/>
  </r>
  <r>
    <n v="296"/>
    <n v="23"/>
    <x v="1"/>
    <n v="112"/>
    <x v="13"/>
    <d v="2021-06-25T00:00:00"/>
    <x v="5"/>
    <d v="2021-07-02T00:00:00"/>
    <n v="50"/>
    <x v="0"/>
  </r>
  <r>
    <n v="297"/>
    <n v="24"/>
    <x v="1"/>
    <n v="112"/>
    <x v="13"/>
    <d v="2021-06-25T00:00:00"/>
    <x v="5"/>
    <d v="2021-07-02T00:00:00"/>
    <n v="0"/>
    <x v="0"/>
  </r>
  <r>
    <n v="298"/>
    <n v="9"/>
    <x v="3"/>
    <n v="105"/>
    <x v="6"/>
    <d v="2021-06-25T00:00:00"/>
    <x v="5"/>
    <d v="2021-07-03T00:00:00"/>
    <n v="40"/>
    <x v="0"/>
  </r>
  <r>
    <n v="299"/>
    <n v="10"/>
    <x v="3"/>
    <n v="105"/>
    <x v="6"/>
    <d v="2021-06-25T00:00:00"/>
    <x v="5"/>
    <d v="2021-07-03T00:00:00"/>
    <n v="60"/>
    <x v="0"/>
  </r>
  <r>
    <n v="300"/>
    <n v="28"/>
    <x v="1"/>
    <n v="110"/>
    <x v="6"/>
    <d v="2021-06-25T00:00:00"/>
    <x v="5"/>
    <d v="2021-07-02T00:00:00"/>
    <n v="20"/>
    <x v="0"/>
  </r>
  <r>
    <n v="301"/>
    <n v="15"/>
    <x v="1"/>
    <n v="110"/>
    <x v="6"/>
    <d v="2021-06-25T00:00:00"/>
    <x v="5"/>
    <d v="2021-07-02T00:00:00"/>
    <n v="30"/>
    <x v="0"/>
  </r>
  <r>
    <n v="302"/>
    <n v="2"/>
    <x v="5"/>
    <n v="66"/>
    <x v="25"/>
    <d v="2021-06-26T00:00:00"/>
    <x v="15"/>
    <d v="2021-07-04T00:00:00"/>
    <n v="0"/>
    <x v="0"/>
  </r>
  <r>
    <n v="303"/>
    <n v="1"/>
    <x v="5"/>
    <n v="66"/>
    <x v="25"/>
    <d v="2021-06-26T00:00:00"/>
    <x v="15"/>
    <d v="2021-07-04T00:00:00"/>
    <n v="30"/>
    <x v="0"/>
  </r>
  <r>
    <n v="304"/>
    <n v="3"/>
    <x v="5"/>
    <n v="66"/>
    <x v="25"/>
    <d v="2021-06-26T00:00:00"/>
    <x v="15"/>
    <d v="2021-07-04T00:00:00"/>
    <n v="50"/>
    <x v="0"/>
  </r>
  <r>
    <n v="305"/>
    <n v="4"/>
    <x v="5"/>
    <n v="66"/>
    <x v="25"/>
    <d v="2021-06-26T00:00:00"/>
    <x v="15"/>
    <d v="2021-07-04T00:00:00"/>
    <n v="50"/>
    <x v="0"/>
  </r>
  <r>
    <n v="306"/>
    <n v="6"/>
    <x v="5"/>
    <n v="66"/>
    <x v="25"/>
    <d v="2021-06-26T00:00:00"/>
    <x v="15"/>
    <d v="2021-07-04T00:00:00"/>
    <n v="20"/>
    <x v="0"/>
  </r>
  <r>
    <n v="307"/>
    <n v="9"/>
    <x v="5"/>
    <n v="66"/>
    <x v="25"/>
    <d v="2021-06-26T00:00:00"/>
    <x v="15"/>
    <d v="2021-07-04T00:00:00"/>
    <n v="50"/>
    <x v="0"/>
  </r>
  <r>
    <n v="308"/>
    <n v="16"/>
    <x v="1"/>
    <n v="115"/>
    <x v="25"/>
    <d v="2021-06-26T00:00:00"/>
    <x v="15"/>
    <d v="2021-07-03T00:00:00"/>
    <n v="90"/>
    <x v="1"/>
  </r>
  <r>
    <n v="309"/>
    <n v="19"/>
    <x v="1"/>
    <n v="115"/>
    <x v="25"/>
    <d v="2021-06-26T00:00:00"/>
    <x v="15"/>
    <d v="2021-07-03T00:00:00"/>
    <n v="100"/>
    <x v="1"/>
  </r>
  <r>
    <n v="310"/>
    <n v="16"/>
    <x v="5"/>
    <n v="70"/>
    <x v="26"/>
    <d v="2021-06-27T00:00:00"/>
    <x v="16"/>
    <d v="2021-07-05T00:00:00"/>
    <n v="10"/>
    <x v="0"/>
  </r>
  <r>
    <n v="311"/>
    <n v="18"/>
    <x v="5"/>
    <n v="70"/>
    <x v="26"/>
    <d v="2021-06-27T00:00:00"/>
    <x v="16"/>
    <d v="2021-07-05T00:00:00"/>
    <n v="30"/>
    <x v="0"/>
  </r>
  <r>
    <n v="312"/>
    <n v="23"/>
    <x v="5"/>
    <n v="70"/>
    <x v="26"/>
    <d v="2021-06-27T00:00:00"/>
    <x v="16"/>
    <d v="2021-07-05T00:00:00"/>
    <n v="50"/>
    <x v="0"/>
  </r>
  <r>
    <n v="313"/>
    <n v="24"/>
    <x v="5"/>
    <n v="70"/>
    <x v="26"/>
    <d v="2021-06-27T00:00:00"/>
    <x v="16"/>
    <d v="2021-07-05T00:00:00"/>
    <n v="20"/>
    <x v="0"/>
  </r>
  <r>
    <n v="314"/>
    <n v="28"/>
    <x v="5"/>
    <n v="70"/>
    <x v="26"/>
    <d v="2021-06-27T00:00:00"/>
    <x v="16"/>
    <d v="2021-07-05T00:00:00"/>
    <n v="10"/>
    <x v="0"/>
  </r>
  <r>
    <n v="315"/>
    <n v="22"/>
    <x v="5"/>
    <n v="70"/>
    <x v="26"/>
    <d v="2021-06-27T00:00:00"/>
    <x v="16"/>
    <d v="2021-07-05T00:00:00"/>
    <n v="40"/>
    <x v="0"/>
  </r>
  <r>
    <n v="316"/>
    <n v="8"/>
    <x v="5"/>
    <n v="70"/>
    <x v="26"/>
    <d v="2021-06-27T00:00:00"/>
    <x v="16"/>
    <d v="2021-07-05T00:00:00"/>
    <n v="30"/>
    <x v="0"/>
  </r>
  <r>
    <n v="317"/>
    <n v="24"/>
    <x v="1"/>
    <n v="132"/>
    <x v="26"/>
    <d v="2021-06-27T00:00:00"/>
    <x v="16"/>
    <d v="2021-07-04T00:00:00"/>
    <n v="20"/>
    <x v="0"/>
  </r>
  <r>
    <n v="318"/>
    <n v="25"/>
    <x v="1"/>
    <n v="132"/>
    <x v="26"/>
    <d v="2021-06-27T00:00:00"/>
    <x v="16"/>
    <d v="2021-07-04T00:00:00"/>
    <n v="0"/>
    <x v="0"/>
  </r>
  <r>
    <n v="319"/>
    <n v="16"/>
    <x v="3"/>
    <n v="116"/>
    <x v="26"/>
    <d v="2021-06-27T00:00:00"/>
    <x v="16"/>
    <d v="2021-07-05T00:00:00"/>
    <n v="60"/>
    <x v="0"/>
  </r>
  <r>
    <n v="320"/>
    <n v="19"/>
    <x v="3"/>
    <n v="116"/>
    <x v="26"/>
    <d v="2021-06-27T00:00:00"/>
    <x v="16"/>
    <d v="2021-07-05T00:00:00"/>
    <n v="0"/>
    <x v="0"/>
  </r>
  <r>
    <n v="321"/>
    <n v="9"/>
    <x v="1"/>
    <n v="132"/>
    <x v="26"/>
    <d v="2021-06-27T00:00:00"/>
    <x v="16"/>
    <d v="2021-07-04T00:00:00"/>
    <n v="0"/>
    <x v="0"/>
  </r>
  <r>
    <n v="322"/>
    <n v="10"/>
    <x v="1"/>
    <n v="132"/>
    <x v="26"/>
    <d v="2021-06-27T00:00:00"/>
    <x v="16"/>
    <d v="2021-07-04T00:00:00"/>
    <n v="10"/>
    <x v="0"/>
  </r>
  <r>
    <n v="323"/>
    <n v="12"/>
    <x v="2"/>
    <n v="136"/>
    <x v="26"/>
    <d v="2021-06-27T00:00:00"/>
    <x v="16"/>
    <d v="2021-07-05T00:00:00"/>
    <n v="40"/>
    <x v="0"/>
  </r>
  <r>
    <n v="324"/>
    <n v="27"/>
    <x v="2"/>
    <n v="136"/>
    <x v="26"/>
    <d v="2021-06-27T00:00:00"/>
    <x v="16"/>
    <d v="2021-07-05T00:00:00"/>
    <n v="50"/>
    <x v="0"/>
  </r>
  <r>
    <n v="325"/>
    <n v="3"/>
    <x v="5"/>
    <n v="74"/>
    <x v="24"/>
    <d v="2021-06-29T00:00:00"/>
    <x v="14"/>
    <d v="2021-07-07T00:00:00"/>
    <n v="40"/>
    <x v="0"/>
  </r>
  <r>
    <n v="326"/>
    <n v="4"/>
    <x v="5"/>
    <n v="74"/>
    <x v="24"/>
    <d v="2021-06-29T00:00:00"/>
    <x v="14"/>
    <d v="2021-07-07T00:00:00"/>
    <n v="10"/>
    <x v="0"/>
  </r>
  <r>
    <n v="342"/>
    <n v="7"/>
    <x v="5"/>
    <n v="79"/>
    <x v="27"/>
    <d v="2021-07-03T00:00:00"/>
    <x v="17"/>
    <d v="2021-07-11T00:00:00"/>
    <n v="50"/>
    <x v="0"/>
  </r>
  <r>
    <n v="328"/>
    <n v="11"/>
    <x v="5"/>
    <n v="74"/>
    <x v="24"/>
    <d v="2021-06-29T00:00:00"/>
    <x v="14"/>
    <d v="2021-07-07T00:00:00"/>
    <n v="0"/>
    <x v="0"/>
  </r>
  <r>
    <n v="329"/>
    <n v="12"/>
    <x v="5"/>
    <n v="74"/>
    <x v="24"/>
    <d v="2021-06-29T00:00:00"/>
    <x v="14"/>
    <d v="2021-07-07T00:00:00"/>
    <n v="10"/>
    <x v="0"/>
  </r>
  <r>
    <n v="330"/>
    <n v="3"/>
    <x v="1"/>
    <n v="133"/>
    <x v="24"/>
    <d v="2021-06-29T00:00:00"/>
    <x v="14"/>
    <d v="2021-07-06T00:00:00"/>
    <n v="20"/>
    <x v="0"/>
  </r>
  <r>
    <n v="331"/>
    <n v="4"/>
    <x v="1"/>
    <n v="133"/>
    <x v="24"/>
    <d v="2021-06-29T00:00:00"/>
    <x v="14"/>
    <d v="2021-07-06T00:00:00"/>
    <n v="60"/>
    <x v="0"/>
  </r>
  <r>
    <n v="332"/>
    <n v="4"/>
    <x v="5"/>
    <n v="78"/>
    <x v="19"/>
    <d v="2021-07-02T00:00:00"/>
    <x v="12"/>
    <d v="2021-07-10T00:00:00"/>
    <n v="10"/>
    <x v="0"/>
  </r>
  <r>
    <n v="341"/>
    <n v="5"/>
    <x v="5"/>
    <n v="79"/>
    <x v="27"/>
    <d v="2021-07-03T00:00:00"/>
    <x v="17"/>
    <d v="2021-07-11T00:00:00"/>
    <n v="40"/>
    <x v="0"/>
  </r>
  <r>
    <n v="334"/>
    <n v="6"/>
    <x v="5"/>
    <n v="78"/>
    <x v="19"/>
    <d v="2021-07-02T00:00:00"/>
    <x v="12"/>
    <d v="2021-07-10T00:00:00"/>
    <n v="50"/>
    <x v="0"/>
  </r>
  <r>
    <n v="335"/>
    <n v="8"/>
    <x v="5"/>
    <n v="78"/>
    <x v="19"/>
    <d v="2021-07-02T00:00:00"/>
    <x v="12"/>
    <d v="2021-07-10T00:00:00"/>
    <n v="20"/>
    <x v="0"/>
  </r>
  <r>
    <n v="336"/>
    <n v="5"/>
    <x v="1"/>
    <n v="134"/>
    <x v="19"/>
    <d v="2021-07-02T00:00:00"/>
    <x v="12"/>
    <d v="2021-07-09T00:00:00"/>
    <n v="20"/>
    <x v="0"/>
  </r>
  <r>
    <n v="337"/>
    <n v="6"/>
    <x v="1"/>
    <n v="134"/>
    <x v="19"/>
    <d v="2021-07-02T00:00:00"/>
    <x v="12"/>
    <d v="2021-07-09T00:00:00"/>
    <n v="80"/>
    <x v="1"/>
  </r>
  <r>
    <n v="244"/>
    <n v="7"/>
    <x v="1"/>
    <n v="81"/>
    <x v="9"/>
    <d v="2021-06-19T00:00:00"/>
    <x v="7"/>
    <d v="2021-06-26T00:00:00"/>
    <n v="60"/>
    <x v="0"/>
  </r>
  <r>
    <n v="339"/>
    <n v="1"/>
    <x v="5"/>
    <n v="79"/>
    <x v="27"/>
    <d v="2021-07-03T00:00:00"/>
    <x v="17"/>
    <d v="2021-07-11T00:00:00"/>
    <n v="40"/>
    <x v="0"/>
  </r>
  <r>
    <n v="340"/>
    <n v="3"/>
    <x v="5"/>
    <n v="79"/>
    <x v="27"/>
    <d v="2021-07-03T00:00:00"/>
    <x v="17"/>
    <d v="2021-07-11T00:00:00"/>
    <n v="30"/>
    <x v="0"/>
  </r>
  <r>
    <n v="400"/>
    <n v="5"/>
    <x v="5"/>
    <n v="109"/>
    <x v="28"/>
    <d v="2021-07-06T00:00:00"/>
    <x v="18"/>
    <d v="2021-07-14T00:00:00"/>
    <n v="10"/>
    <x v="0"/>
  </r>
  <r>
    <n v="162"/>
    <n v="7"/>
    <x v="4"/>
    <n v="92"/>
    <x v="20"/>
    <d v="2021-06-03T00:00:00"/>
    <x v="13"/>
    <d v="2021-06-11T00:00:00"/>
    <n v="60"/>
    <x v="0"/>
  </r>
  <r>
    <n v="343"/>
    <n v="10"/>
    <x v="5"/>
    <n v="122"/>
    <x v="7"/>
    <d v="2021-07-11T00:00:00"/>
    <x v="6"/>
    <d v="2021-07-19T00:00:00"/>
    <n v="100"/>
    <x v="1"/>
  </r>
  <r>
    <n v="344"/>
    <n v="2"/>
    <x v="5"/>
    <n v="80"/>
    <x v="29"/>
    <d v="2021-07-03T00:00:00"/>
    <x v="17"/>
    <d v="2021-07-11T00:00:00"/>
    <n v="0"/>
    <x v="0"/>
  </r>
  <r>
    <n v="345"/>
    <n v="4"/>
    <x v="5"/>
    <n v="80"/>
    <x v="29"/>
    <d v="2021-07-03T00:00:00"/>
    <x v="17"/>
    <d v="2021-07-11T00:00:00"/>
    <n v="30"/>
    <x v="0"/>
  </r>
  <r>
    <n v="346"/>
    <n v="6"/>
    <x v="5"/>
    <n v="80"/>
    <x v="29"/>
    <d v="2021-07-03T00:00:00"/>
    <x v="17"/>
    <d v="2021-07-11T00:00:00"/>
    <n v="50"/>
    <x v="0"/>
  </r>
  <r>
    <n v="347"/>
    <n v="8"/>
    <x v="5"/>
    <n v="80"/>
    <x v="29"/>
    <d v="2021-07-03T00:00:00"/>
    <x v="17"/>
    <d v="2021-07-11T00:00:00"/>
    <n v="10"/>
    <x v="0"/>
  </r>
  <r>
    <n v="348"/>
    <n v="11"/>
    <x v="5"/>
    <n v="137"/>
    <x v="30"/>
    <d v="2021-07-12T00:00:00"/>
    <x v="1"/>
    <d v="2021-07-20T00:00:00"/>
    <n v="60"/>
    <x v="1"/>
  </r>
  <r>
    <n v="349"/>
    <n v="9"/>
    <x v="5"/>
    <n v="79"/>
    <x v="27"/>
    <d v="2021-07-03T00:00:00"/>
    <x v="17"/>
    <d v="2021-07-11T00:00:00"/>
    <n v="40"/>
    <x v="0"/>
  </r>
  <r>
    <n v="350"/>
    <n v="17"/>
    <x v="1"/>
    <n v="138"/>
    <x v="27"/>
    <d v="2021-07-03T00:00:00"/>
    <x v="17"/>
    <d v="2021-07-10T00:00:00"/>
    <n v="0"/>
    <x v="0"/>
  </r>
  <r>
    <n v="351"/>
    <n v="19"/>
    <x v="1"/>
    <n v="138"/>
    <x v="27"/>
    <d v="2021-07-03T00:00:00"/>
    <x v="17"/>
    <d v="2021-07-10T00:00:00"/>
    <n v="0"/>
    <x v="0"/>
  </r>
  <r>
    <n v="352"/>
    <n v="20"/>
    <x v="1"/>
    <n v="138"/>
    <x v="27"/>
    <d v="2021-07-03T00:00:00"/>
    <x v="17"/>
    <d v="2021-07-10T00:00:00"/>
    <n v="0"/>
    <x v="0"/>
  </r>
  <r>
    <n v="353"/>
    <n v="5"/>
    <x v="1"/>
    <n v="139"/>
    <x v="29"/>
    <d v="2021-07-03T00:00:00"/>
    <x v="17"/>
    <d v="2021-07-10T00:00:00"/>
    <n v="60"/>
    <x v="0"/>
  </r>
  <r>
    <n v="354"/>
    <n v="6"/>
    <x v="1"/>
    <n v="139"/>
    <x v="29"/>
    <d v="2021-07-03T00:00:00"/>
    <x v="17"/>
    <d v="2021-07-10T00:00:00"/>
    <n v="50"/>
    <x v="0"/>
  </r>
  <r>
    <n v="355"/>
    <n v="4"/>
    <x v="1"/>
    <n v="139"/>
    <x v="29"/>
    <d v="2021-07-03T00:00:00"/>
    <x v="17"/>
    <d v="2021-07-10T00:00:00"/>
    <n v="0"/>
    <x v="0"/>
  </r>
  <r>
    <n v="356"/>
    <n v="8"/>
    <x v="1"/>
    <n v="139"/>
    <x v="29"/>
    <d v="2021-07-03T00:00:00"/>
    <x v="17"/>
    <d v="2021-07-10T00:00:00"/>
    <n v="40"/>
    <x v="0"/>
  </r>
  <r>
    <n v="357"/>
    <n v="16"/>
    <x v="1"/>
    <n v="138"/>
    <x v="27"/>
    <d v="2021-07-03T00:00:00"/>
    <x v="17"/>
    <d v="2021-07-10T00:00:00"/>
    <n v="30"/>
    <x v="0"/>
  </r>
  <r>
    <n v="358"/>
    <n v="19"/>
    <x v="1"/>
    <n v="138"/>
    <x v="27"/>
    <d v="2021-07-03T00:00:00"/>
    <x v="17"/>
    <d v="2021-07-10T00:00:00"/>
    <n v="50"/>
    <x v="0"/>
  </r>
  <r>
    <n v="359"/>
    <n v="15"/>
    <x v="1"/>
    <n v="138"/>
    <x v="27"/>
    <d v="2021-07-03T00:00:00"/>
    <x v="17"/>
    <d v="2021-07-10T00:00:00"/>
    <n v="60"/>
    <x v="0"/>
  </r>
  <r>
    <n v="360"/>
    <n v="16"/>
    <x v="1"/>
    <n v="139"/>
    <x v="29"/>
    <d v="2021-07-03T00:00:00"/>
    <x v="17"/>
    <d v="2021-07-10T00:00:00"/>
    <n v="50"/>
    <x v="0"/>
  </r>
  <r>
    <n v="361"/>
    <n v="9"/>
    <x v="1"/>
    <n v="139"/>
    <x v="29"/>
    <d v="2021-07-03T00:00:00"/>
    <x v="17"/>
    <d v="2021-07-10T00:00:00"/>
    <n v="40"/>
    <x v="0"/>
  </r>
  <r>
    <n v="362"/>
    <n v="12"/>
    <x v="1"/>
    <n v="139"/>
    <x v="29"/>
    <d v="2021-07-03T00:00:00"/>
    <x v="17"/>
    <d v="2021-07-10T00:00:00"/>
    <n v="20"/>
    <x v="0"/>
  </r>
  <r>
    <n v="363"/>
    <n v="17"/>
    <x v="5"/>
    <n v="93"/>
    <x v="31"/>
    <d v="2021-07-04T00:00:00"/>
    <x v="19"/>
    <d v="2021-07-12T00:00:00"/>
    <n v="0"/>
    <x v="0"/>
  </r>
  <r>
    <n v="364"/>
    <n v="19"/>
    <x v="5"/>
    <n v="93"/>
    <x v="31"/>
    <d v="2021-07-04T00:00:00"/>
    <x v="19"/>
    <d v="2021-07-12T00:00:00"/>
    <n v="0"/>
    <x v="0"/>
  </r>
  <r>
    <n v="365"/>
    <n v="26"/>
    <x v="5"/>
    <n v="93"/>
    <x v="31"/>
    <d v="2021-07-04T00:00:00"/>
    <x v="19"/>
    <d v="2021-07-12T00:00:00"/>
    <n v="10"/>
    <x v="0"/>
  </r>
  <r>
    <n v="366"/>
    <n v="28"/>
    <x v="5"/>
    <n v="93"/>
    <x v="31"/>
    <d v="2021-07-04T00:00:00"/>
    <x v="19"/>
    <d v="2021-07-12T00:00:00"/>
    <n v="50"/>
    <x v="0"/>
  </r>
  <r>
    <n v="367"/>
    <n v="30"/>
    <x v="5"/>
    <n v="93"/>
    <x v="31"/>
    <d v="2021-07-04T00:00:00"/>
    <x v="19"/>
    <d v="2021-07-12T00:00:00"/>
    <n v="50"/>
    <x v="0"/>
  </r>
  <r>
    <n v="368"/>
    <n v="2"/>
    <x v="5"/>
    <n v="94"/>
    <x v="32"/>
    <d v="2021-07-04T00:00:00"/>
    <x v="19"/>
    <d v="2021-07-12T00:00:00"/>
    <n v="0"/>
    <x v="0"/>
  </r>
  <r>
    <n v="369"/>
    <n v="18"/>
    <x v="5"/>
    <n v="94"/>
    <x v="32"/>
    <d v="2021-07-04T00:00:00"/>
    <x v="19"/>
    <d v="2021-07-12T00:00:00"/>
    <n v="30"/>
    <x v="0"/>
  </r>
  <r>
    <n v="370"/>
    <n v="20"/>
    <x v="5"/>
    <n v="94"/>
    <x v="32"/>
    <d v="2021-07-04T00:00:00"/>
    <x v="19"/>
    <d v="2021-07-12T00:00:00"/>
    <n v="50"/>
    <x v="0"/>
  </r>
  <r>
    <n v="371"/>
    <n v="22"/>
    <x v="5"/>
    <n v="94"/>
    <x v="32"/>
    <d v="2021-07-04T00:00:00"/>
    <x v="19"/>
    <d v="2021-07-12T00:00:00"/>
    <n v="20"/>
    <x v="0"/>
  </r>
  <r>
    <n v="372"/>
    <n v="24"/>
    <x v="5"/>
    <n v="94"/>
    <x v="32"/>
    <d v="2021-07-04T00:00:00"/>
    <x v="19"/>
    <d v="2021-07-12T00:00:00"/>
    <n v="50"/>
    <x v="0"/>
  </r>
  <r>
    <n v="373"/>
    <n v="27"/>
    <x v="5"/>
    <n v="94"/>
    <x v="32"/>
    <d v="2021-07-04T00:00:00"/>
    <x v="19"/>
    <d v="2021-07-12T00:00:00"/>
    <n v="40"/>
    <x v="0"/>
  </r>
  <r>
    <n v="374"/>
    <n v="29"/>
    <x v="5"/>
    <n v="94"/>
    <x v="32"/>
    <d v="2021-07-04T00:00:00"/>
    <x v="19"/>
    <d v="2021-07-12T00:00:00"/>
    <n v="20"/>
    <x v="0"/>
  </r>
  <r>
    <n v="375"/>
    <n v="6"/>
    <x v="5"/>
    <n v="94"/>
    <x v="32"/>
    <d v="2021-07-04T00:00:00"/>
    <x v="19"/>
    <d v="2021-07-12T00:00:00"/>
    <n v="40"/>
    <x v="0"/>
  </r>
  <r>
    <n v="376"/>
    <n v="1"/>
    <x v="5"/>
    <n v="94"/>
    <x v="32"/>
    <d v="2021-07-04T00:00:00"/>
    <x v="19"/>
    <d v="2021-07-12T00:00:00"/>
    <n v="10"/>
    <x v="0"/>
  </r>
  <r>
    <n v="377"/>
    <n v="2"/>
    <x v="5"/>
    <n v="101"/>
    <x v="33"/>
    <d v="2021-07-04T00:00:00"/>
    <x v="19"/>
    <d v="2021-07-12T00:00:00"/>
    <n v="20"/>
    <x v="0"/>
  </r>
  <r>
    <n v="378"/>
    <n v="23"/>
    <x v="5"/>
    <n v="101"/>
    <x v="33"/>
    <d v="2021-07-04T00:00:00"/>
    <x v="19"/>
    <d v="2021-07-12T00:00:00"/>
    <n v="40"/>
    <x v="0"/>
  </r>
  <r>
    <n v="379"/>
    <n v="20"/>
    <x v="5"/>
    <n v="101"/>
    <x v="33"/>
    <d v="2021-07-04T00:00:00"/>
    <x v="19"/>
    <d v="2021-07-12T00:00:00"/>
    <n v="30"/>
    <x v="0"/>
  </r>
  <r>
    <n v="380"/>
    <n v="30"/>
    <x v="5"/>
    <n v="101"/>
    <x v="33"/>
    <d v="2021-07-04T00:00:00"/>
    <x v="19"/>
    <d v="2021-07-12T00:00:00"/>
    <n v="0"/>
    <x v="0"/>
  </r>
  <r>
    <n v="381"/>
    <n v="27"/>
    <x v="5"/>
    <n v="101"/>
    <x v="33"/>
    <d v="2021-07-04T00:00:00"/>
    <x v="19"/>
    <d v="2021-07-12T00:00:00"/>
    <n v="0"/>
    <x v="0"/>
  </r>
  <r>
    <n v="382"/>
    <n v="17"/>
    <x v="5"/>
    <n v="101"/>
    <x v="33"/>
    <d v="2021-07-04T00:00:00"/>
    <x v="19"/>
    <d v="2021-07-12T00:00:00"/>
    <n v="20"/>
    <x v="0"/>
  </r>
  <r>
    <n v="383"/>
    <n v="14"/>
    <x v="5"/>
    <n v="101"/>
    <x v="33"/>
    <d v="2021-07-04T00:00:00"/>
    <x v="19"/>
    <d v="2021-07-12T00:00:00"/>
    <n v="10"/>
    <x v="0"/>
  </r>
  <r>
    <n v="384"/>
    <n v="10"/>
    <x v="5"/>
    <n v="101"/>
    <x v="33"/>
    <d v="2021-07-04T00:00:00"/>
    <x v="19"/>
    <d v="2021-07-12T00:00:00"/>
    <n v="30"/>
    <x v="0"/>
  </r>
  <r>
    <n v="385"/>
    <n v="9"/>
    <x v="1"/>
    <n v="142"/>
    <x v="31"/>
    <d v="2021-07-04T00:00:00"/>
    <x v="19"/>
    <d v="2021-07-11T00:00:00"/>
    <n v="90"/>
    <x v="1"/>
  </r>
  <r>
    <n v="386"/>
    <n v="10"/>
    <x v="1"/>
    <n v="142"/>
    <x v="31"/>
    <d v="2021-07-04T00:00:00"/>
    <x v="19"/>
    <d v="2021-07-11T00:00:00"/>
    <n v="70"/>
    <x v="1"/>
  </r>
  <r>
    <n v="387"/>
    <n v="17"/>
    <x v="1"/>
    <n v="142"/>
    <x v="31"/>
    <d v="2021-07-04T00:00:00"/>
    <x v="19"/>
    <d v="2021-07-11T00:00:00"/>
    <n v="50"/>
    <x v="0"/>
  </r>
  <r>
    <n v="388"/>
    <n v="18"/>
    <x v="1"/>
    <n v="142"/>
    <x v="31"/>
    <d v="2021-07-04T00:00:00"/>
    <x v="19"/>
    <d v="2021-07-11T00:00:00"/>
    <n v="30"/>
    <x v="0"/>
  </r>
  <r>
    <n v="389"/>
    <n v="8"/>
    <x v="1"/>
    <n v="154"/>
    <x v="32"/>
    <d v="2021-07-04T00:00:00"/>
    <x v="19"/>
    <d v="2021-07-11T00:00:00"/>
    <n v="0"/>
    <x v="0"/>
  </r>
  <r>
    <n v="390"/>
    <n v="9"/>
    <x v="1"/>
    <n v="154"/>
    <x v="32"/>
    <d v="2021-07-04T00:00:00"/>
    <x v="19"/>
    <d v="2021-07-11T00:00:00"/>
    <n v="10"/>
    <x v="0"/>
  </r>
  <r>
    <n v="391"/>
    <n v="15"/>
    <x v="1"/>
    <n v="154"/>
    <x v="32"/>
    <d v="2021-07-04T00:00:00"/>
    <x v="19"/>
    <d v="2021-07-11T00:00:00"/>
    <n v="50"/>
    <x v="0"/>
  </r>
  <r>
    <n v="392"/>
    <n v="16"/>
    <x v="1"/>
    <n v="154"/>
    <x v="32"/>
    <d v="2021-07-04T00:00:00"/>
    <x v="19"/>
    <d v="2021-07-11T00:00:00"/>
    <n v="40"/>
    <x v="0"/>
  </r>
  <r>
    <n v="393"/>
    <n v="13"/>
    <x v="1"/>
    <n v="155"/>
    <x v="33"/>
    <d v="2021-07-04T00:00:00"/>
    <x v="19"/>
    <d v="2021-07-11T00:00:00"/>
    <n v="20"/>
    <x v="0"/>
  </r>
  <r>
    <n v="394"/>
    <n v="14"/>
    <x v="1"/>
    <n v="155"/>
    <x v="33"/>
    <d v="2021-07-04T00:00:00"/>
    <x v="19"/>
    <d v="2021-07-11T00:00:00"/>
    <n v="50"/>
    <x v="0"/>
  </r>
  <r>
    <n v="395"/>
    <n v="15"/>
    <x v="1"/>
    <n v="155"/>
    <x v="33"/>
    <d v="2021-07-04T00:00:00"/>
    <x v="19"/>
    <d v="2021-07-11T00:00:00"/>
    <n v="60"/>
    <x v="0"/>
  </r>
  <r>
    <n v="396"/>
    <n v="12"/>
    <x v="5"/>
    <n v="94"/>
    <x v="32"/>
    <d v="2021-07-04T00:00:00"/>
    <x v="19"/>
    <d v="2021-07-12T00:00:00"/>
    <n v="30"/>
    <x v="0"/>
  </r>
  <r>
    <n v="397"/>
    <n v="4"/>
    <x v="5"/>
    <n v="109"/>
    <x v="28"/>
    <d v="2021-07-06T00:00:00"/>
    <x v="18"/>
    <d v="2021-07-14T00:00:00"/>
    <n v="20"/>
    <x v="0"/>
  </r>
  <r>
    <n v="398"/>
    <n v="29"/>
    <x v="5"/>
    <n v="109"/>
    <x v="28"/>
    <d v="2021-07-06T00:00:00"/>
    <x v="18"/>
    <d v="2021-07-14T00:00:00"/>
    <n v="0"/>
    <x v="0"/>
  </r>
  <r>
    <n v="399"/>
    <n v="26"/>
    <x v="5"/>
    <n v="109"/>
    <x v="28"/>
    <d v="2021-07-06T00:00:00"/>
    <x v="18"/>
    <d v="2021-07-14T00:00:00"/>
    <n v="0"/>
    <x v="0"/>
  </r>
  <r>
    <n v="420"/>
    <n v="5"/>
    <x v="5"/>
    <n v="114"/>
    <x v="34"/>
    <d v="2021-07-06T00:00:00"/>
    <x v="18"/>
    <d v="2021-07-14T00:00:00"/>
    <n v="0"/>
    <x v="0"/>
  </r>
  <r>
    <n v="401"/>
    <n v="21"/>
    <x v="5"/>
    <n v="109"/>
    <x v="28"/>
    <d v="2021-07-06T00:00:00"/>
    <x v="18"/>
    <d v="2021-07-14T00:00:00"/>
    <n v="10"/>
    <x v="0"/>
  </r>
  <r>
    <n v="402"/>
    <n v="19"/>
    <x v="5"/>
    <n v="109"/>
    <x v="28"/>
    <d v="2021-07-06T00:00:00"/>
    <x v="18"/>
    <d v="2021-07-14T00:00:00"/>
    <n v="30"/>
    <x v="0"/>
  </r>
  <r>
    <n v="403"/>
    <n v="12"/>
    <x v="5"/>
    <n v="109"/>
    <x v="28"/>
    <d v="2021-07-06T00:00:00"/>
    <x v="18"/>
    <d v="2021-07-14T00:00:00"/>
    <n v="20"/>
    <x v="0"/>
  </r>
  <r>
    <n v="404"/>
    <n v="9"/>
    <x v="5"/>
    <n v="109"/>
    <x v="28"/>
    <d v="2021-07-06T00:00:00"/>
    <x v="18"/>
    <d v="2021-07-14T00:00:00"/>
    <n v="0"/>
    <x v="0"/>
  </r>
  <r>
    <n v="405"/>
    <n v="15"/>
    <x v="5"/>
    <n v="113"/>
    <x v="35"/>
    <d v="2021-07-06T00:00:00"/>
    <x v="18"/>
    <d v="2021-07-14T00:00:00"/>
    <n v="0"/>
    <x v="0"/>
  </r>
  <r>
    <n v="406"/>
    <n v="28"/>
    <x v="5"/>
    <n v="113"/>
    <x v="35"/>
    <d v="2021-07-06T00:00:00"/>
    <x v="18"/>
    <d v="2021-07-14T00:00:00"/>
    <n v="30"/>
    <x v="0"/>
  </r>
  <r>
    <n v="407"/>
    <n v="25"/>
    <x v="5"/>
    <n v="113"/>
    <x v="35"/>
    <d v="2021-07-06T00:00:00"/>
    <x v="18"/>
    <d v="2021-07-14T00:00:00"/>
    <n v="20"/>
    <x v="0"/>
  </r>
  <r>
    <n v="408"/>
    <n v="24"/>
    <x v="5"/>
    <n v="113"/>
    <x v="35"/>
    <d v="2021-07-06T00:00:00"/>
    <x v="18"/>
    <d v="2021-07-14T00:00:00"/>
    <n v="40"/>
    <x v="0"/>
  </r>
  <r>
    <n v="409"/>
    <n v="22"/>
    <x v="5"/>
    <n v="113"/>
    <x v="35"/>
    <d v="2021-07-06T00:00:00"/>
    <x v="18"/>
    <d v="2021-07-14T00:00:00"/>
    <n v="20"/>
    <x v="0"/>
  </r>
  <r>
    <n v="410"/>
    <n v="13"/>
    <x v="5"/>
    <n v="113"/>
    <x v="35"/>
    <d v="2021-07-06T00:00:00"/>
    <x v="18"/>
    <d v="2021-07-14T00:00:00"/>
    <n v="30"/>
    <x v="0"/>
  </r>
  <r>
    <n v="411"/>
    <n v="18"/>
    <x v="5"/>
    <n v="113"/>
    <x v="35"/>
    <d v="2021-07-06T00:00:00"/>
    <x v="18"/>
    <d v="2021-07-14T00:00:00"/>
    <n v="50"/>
    <x v="0"/>
  </r>
  <r>
    <n v="412"/>
    <n v="6"/>
    <x v="5"/>
    <n v="113"/>
    <x v="35"/>
    <d v="2021-07-06T00:00:00"/>
    <x v="18"/>
    <d v="2021-07-14T00:00:00"/>
    <n v="30"/>
    <x v="0"/>
  </r>
  <r>
    <n v="413"/>
    <n v="8"/>
    <x v="5"/>
    <n v="113"/>
    <x v="35"/>
    <d v="2021-07-06T00:00:00"/>
    <x v="18"/>
    <d v="2021-07-14T00:00:00"/>
    <n v="20"/>
    <x v="0"/>
  </r>
  <r>
    <n v="414"/>
    <n v="13"/>
    <x v="5"/>
    <n v="114"/>
    <x v="34"/>
    <d v="2021-07-06T00:00:00"/>
    <x v="18"/>
    <d v="2021-07-14T00:00:00"/>
    <n v="30"/>
    <x v="0"/>
  </r>
  <r>
    <n v="415"/>
    <n v="2"/>
    <x v="5"/>
    <n v="114"/>
    <x v="34"/>
    <d v="2021-07-06T00:00:00"/>
    <x v="18"/>
    <d v="2021-07-14T00:00:00"/>
    <n v="50"/>
    <x v="0"/>
  </r>
  <r>
    <n v="416"/>
    <n v="30"/>
    <x v="5"/>
    <n v="114"/>
    <x v="34"/>
    <d v="2021-07-06T00:00:00"/>
    <x v="18"/>
    <d v="2021-07-14T00:00:00"/>
    <n v="20"/>
    <x v="0"/>
  </r>
  <r>
    <n v="417"/>
    <n v="26"/>
    <x v="5"/>
    <n v="114"/>
    <x v="34"/>
    <d v="2021-07-06T00:00:00"/>
    <x v="18"/>
    <d v="2021-07-14T00:00:00"/>
    <n v="50"/>
    <x v="0"/>
  </r>
  <r>
    <n v="418"/>
    <n v="17"/>
    <x v="5"/>
    <n v="114"/>
    <x v="34"/>
    <d v="2021-07-06T00:00:00"/>
    <x v="18"/>
    <d v="2021-07-14T00:00:00"/>
    <n v="40"/>
    <x v="0"/>
  </r>
  <r>
    <n v="419"/>
    <n v="23"/>
    <x v="5"/>
    <n v="114"/>
    <x v="34"/>
    <d v="2021-07-06T00:00:00"/>
    <x v="18"/>
    <d v="2021-07-14T00:00:00"/>
    <n v="10"/>
    <x v="0"/>
  </r>
  <r>
    <n v="459"/>
    <n v="5"/>
    <x v="5"/>
    <n v="137"/>
    <x v="30"/>
    <d v="2021-07-12T00:00:00"/>
    <x v="1"/>
    <d v="2021-07-20T00:00:00"/>
    <n v="10"/>
    <x v="0"/>
  </r>
  <r>
    <n v="421"/>
    <n v="9"/>
    <x v="5"/>
    <n v="114"/>
    <x v="34"/>
    <d v="2021-07-06T00:00:00"/>
    <x v="18"/>
    <d v="2021-07-14T00:00:00"/>
    <n v="10"/>
    <x v="0"/>
  </r>
  <r>
    <n v="422"/>
    <n v="1"/>
    <x v="5"/>
    <n v="114"/>
    <x v="34"/>
    <d v="2021-07-06T00:00:00"/>
    <x v="18"/>
    <d v="2021-07-14T00:00:00"/>
    <n v="20"/>
    <x v="0"/>
  </r>
  <r>
    <n v="423"/>
    <n v="17"/>
    <x v="1"/>
    <n v="156"/>
    <x v="28"/>
    <d v="2021-07-06T00:00:00"/>
    <x v="18"/>
    <d v="2021-07-13T00:00:00"/>
    <n v="20"/>
    <x v="0"/>
  </r>
  <r>
    <n v="424"/>
    <n v="18"/>
    <x v="1"/>
    <n v="156"/>
    <x v="28"/>
    <d v="2021-07-06T00:00:00"/>
    <x v="18"/>
    <d v="2021-07-13T00:00:00"/>
    <n v="50"/>
    <x v="0"/>
  </r>
  <r>
    <n v="425"/>
    <n v="19"/>
    <x v="1"/>
    <n v="156"/>
    <x v="28"/>
    <d v="2021-07-06T00:00:00"/>
    <x v="18"/>
    <d v="2021-07-13T00:00:00"/>
    <n v="10"/>
    <x v="0"/>
  </r>
  <r>
    <n v="426"/>
    <n v="20"/>
    <x v="1"/>
    <n v="156"/>
    <x v="28"/>
    <d v="2021-07-06T00:00:00"/>
    <x v="18"/>
    <d v="2021-07-13T00:00:00"/>
    <n v="30"/>
    <x v="0"/>
  </r>
  <r>
    <n v="427"/>
    <n v="1"/>
    <x v="5"/>
    <n v="117"/>
    <x v="36"/>
    <d v="2021-07-07T00:00:00"/>
    <x v="20"/>
    <d v="2021-07-15T00:00:00"/>
    <n v="30"/>
    <x v="0"/>
  </r>
  <r>
    <n v="428"/>
    <n v="2"/>
    <x v="5"/>
    <n v="117"/>
    <x v="36"/>
    <d v="2021-07-07T00:00:00"/>
    <x v="20"/>
    <d v="2021-07-15T00:00:00"/>
    <n v="40"/>
    <x v="0"/>
  </r>
  <r>
    <n v="429"/>
    <n v="4"/>
    <x v="5"/>
    <n v="117"/>
    <x v="36"/>
    <d v="2021-07-07T00:00:00"/>
    <x v="20"/>
    <d v="2021-07-15T00:00:00"/>
    <n v="0"/>
    <x v="0"/>
  </r>
  <r>
    <n v="430"/>
    <n v="6"/>
    <x v="5"/>
    <n v="117"/>
    <x v="36"/>
    <d v="2021-07-07T00:00:00"/>
    <x v="20"/>
    <d v="2021-07-15T00:00:00"/>
    <n v="20"/>
    <x v="0"/>
  </r>
  <r>
    <n v="509"/>
    <n v="7"/>
    <x v="5"/>
    <n v="113"/>
    <x v="35"/>
    <d v="2021-07-06T00:00:00"/>
    <x v="18"/>
    <d v="2021-07-14T00:00:00"/>
    <n v="0"/>
    <x v="0"/>
  </r>
  <r>
    <n v="432"/>
    <n v="10"/>
    <x v="5"/>
    <n v="117"/>
    <x v="36"/>
    <d v="2021-07-07T00:00:00"/>
    <x v="20"/>
    <d v="2021-07-15T00:00:00"/>
    <n v="50"/>
    <x v="0"/>
  </r>
  <r>
    <n v="433"/>
    <n v="14"/>
    <x v="5"/>
    <n v="117"/>
    <x v="36"/>
    <d v="2021-07-07T00:00:00"/>
    <x v="20"/>
    <d v="2021-07-15T00:00:00"/>
    <n v="20"/>
    <x v="0"/>
  </r>
  <r>
    <n v="434"/>
    <n v="15"/>
    <x v="5"/>
    <n v="120"/>
    <x v="37"/>
    <d v="2021-07-09T00:00:00"/>
    <x v="21"/>
    <d v="2021-07-17T00:00:00"/>
    <n v="0"/>
    <x v="0"/>
  </r>
  <r>
    <n v="435"/>
    <n v="3"/>
    <x v="5"/>
    <n v="120"/>
    <x v="37"/>
    <d v="2021-07-09T00:00:00"/>
    <x v="21"/>
    <d v="2021-07-17T00:00:00"/>
    <n v="40"/>
    <x v="0"/>
  </r>
  <r>
    <n v="436"/>
    <n v="28"/>
    <x v="5"/>
    <n v="120"/>
    <x v="37"/>
    <d v="2021-07-09T00:00:00"/>
    <x v="21"/>
    <d v="2021-07-17T00:00:00"/>
    <n v="20"/>
    <x v="0"/>
  </r>
  <r>
    <n v="437"/>
    <n v="14"/>
    <x v="5"/>
    <n v="46"/>
    <x v="14"/>
    <d v="2021-06-21T00:00:00"/>
    <x v="2"/>
    <d v="2021-06-29T00:00:00"/>
    <n v="30"/>
    <x v="0"/>
  </r>
  <r>
    <n v="438"/>
    <n v="19"/>
    <x v="5"/>
    <n v="120"/>
    <x v="37"/>
    <d v="2021-07-09T00:00:00"/>
    <x v="21"/>
    <d v="2021-07-17T00:00:00"/>
    <n v="30"/>
    <x v="0"/>
  </r>
  <r>
    <n v="439"/>
    <n v="11"/>
    <x v="5"/>
    <n v="120"/>
    <x v="37"/>
    <d v="2021-07-09T00:00:00"/>
    <x v="21"/>
    <d v="2021-07-17T00:00:00"/>
    <n v="30"/>
    <x v="0"/>
  </r>
  <r>
    <n v="440"/>
    <n v="8"/>
    <x v="5"/>
    <n v="120"/>
    <x v="37"/>
    <d v="2021-07-09T00:00:00"/>
    <x v="21"/>
    <d v="2021-07-17T00:00:00"/>
    <n v="20"/>
    <x v="0"/>
  </r>
  <r>
    <n v="441"/>
    <n v="21"/>
    <x v="5"/>
    <n v="120"/>
    <x v="37"/>
    <d v="2021-07-09T00:00:00"/>
    <x v="21"/>
    <d v="2021-07-17T00:00:00"/>
    <n v="40"/>
    <x v="0"/>
  </r>
  <r>
    <n v="442"/>
    <n v="12"/>
    <x v="5"/>
    <n v="121"/>
    <x v="38"/>
    <d v="2021-07-10T00:00:00"/>
    <x v="22"/>
    <d v="2021-07-18T00:00:00"/>
    <n v="30"/>
    <x v="0"/>
  </r>
  <r>
    <n v="443"/>
    <n v="16"/>
    <x v="5"/>
    <n v="121"/>
    <x v="38"/>
    <d v="2021-07-10T00:00:00"/>
    <x v="22"/>
    <d v="2021-07-18T00:00:00"/>
    <n v="10"/>
    <x v="0"/>
  </r>
  <r>
    <n v="444"/>
    <n v="27"/>
    <x v="5"/>
    <n v="121"/>
    <x v="38"/>
    <d v="2021-07-10T00:00:00"/>
    <x v="22"/>
    <d v="2021-07-18T00:00:00"/>
    <n v="20"/>
    <x v="0"/>
  </r>
  <r>
    <n v="445"/>
    <n v="4"/>
    <x v="5"/>
    <n v="121"/>
    <x v="38"/>
    <d v="2021-07-10T00:00:00"/>
    <x v="22"/>
    <d v="2021-07-18T00:00:00"/>
    <n v="40"/>
    <x v="0"/>
  </r>
  <r>
    <n v="446"/>
    <n v="20"/>
    <x v="5"/>
    <n v="121"/>
    <x v="38"/>
    <d v="2021-07-10T00:00:00"/>
    <x v="22"/>
    <d v="2021-07-18T00:00:00"/>
    <n v="50"/>
    <x v="0"/>
  </r>
  <r>
    <n v="447"/>
    <n v="6"/>
    <x v="5"/>
    <n v="121"/>
    <x v="38"/>
    <d v="2021-07-10T00:00:00"/>
    <x v="22"/>
    <d v="2021-07-18T00:00:00"/>
    <n v="20"/>
    <x v="0"/>
  </r>
  <r>
    <n v="448"/>
    <n v="8"/>
    <x v="5"/>
    <n v="121"/>
    <x v="38"/>
    <d v="2021-07-10T00:00:00"/>
    <x v="22"/>
    <d v="2021-07-18T00:00:00"/>
    <n v="40"/>
    <x v="0"/>
  </r>
  <r>
    <n v="449"/>
    <n v="1"/>
    <x v="5"/>
    <n v="121"/>
    <x v="38"/>
    <d v="2021-07-10T00:00:00"/>
    <x v="22"/>
    <d v="2021-07-18T00:00:00"/>
    <n v="40"/>
    <x v="0"/>
  </r>
  <r>
    <n v="450"/>
    <n v="13"/>
    <x v="5"/>
    <n v="122"/>
    <x v="7"/>
    <d v="2021-07-11T00:00:00"/>
    <x v="6"/>
    <d v="2021-07-19T00:00:00"/>
    <n v="30"/>
    <x v="0"/>
  </r>
  <r>
    <n v="451"/>
    <n v="30"/>
    <x v="5"/>
    <n v="122"/>
    <x v="7"/>
    <d v="2021-07-11T00:00:00"/>
    <x v="6"/>
    <d v="2021-07-19T00:00:00"/>
    <n v="30"/>
    <x v="0"/>
  </r>
  <r>
    <n v="452"/>
    <n v="10"/>
    <x v="5"/>
    <n v="80"/>
    <x v="29"/>
    <d v="2021-07-03T00:00:00"/>
    <x v="17"/>
    <d v="2021-07-11T00:00:00"/>
    <n v="50"/>
    <x v="0"/>
  </r>
  <r>
    <n v="453"/>
    <n v="11"/>
    <x v="5"/>
    <n v="79"/>
    <x v="27"/>
    <d v="2021-07-03T00:00:00"/>
    <x v="17"/>
    <d v="2021-07-11T00:00:00"/>
    <n v="0"/>
    <x v="0"/>
  </r>
  <r>
    <n v="454"/>
    <n v="4"/>
    <x v="5"/>
    <n v="122"/>
    <x v="7"/>
    <d v="2021-07-11T00:00:00"/>
    <x v="6"/>
    <d v="2021-07-19T00:00:00"/>
    <n v="50"/>
    <x v="0"/>
  </r>
  <r>
    <n v="455"/>
    <n v="16"/>
    <x v="5"/>
    <n v="49"/>
    <x v="18"/>
    <d v="2021-06-24T00:00:00"/>
    <x v="11"/>
    <d v="2021-07-02T00:00:00"/>
    <n v="0"/>
    <x v="0"/>
  </r>
  <r>
    <n v="456"/>
    <n v="14"/>
    <x v="5"/>
    <n v="137"/>
    <x v="30"/>
    <d v="2021-07-12T00:00:00"/>
    <x v="1"/>
    <d v="2021-07-20T00:00:00"/>
    <n v="20"/>
    <x v="0"/>
  </r>
  <r>
    <n v="457"/>
    <n v="3"/>
    <x v="5"/>
    <n v="137"/>
    <x v="30"/>
    <d v="2021-07-12T00:00:00"/>
    <x v="1"/>
    <d v="2021-07-20T00:00:00"/>
    <n v="50"/>
    <x v="0"/>
  </r>
  <r>
    <n v="458"/>
    <n v="29"/>
    <x v="5"/>
    <n v="137"/>
    <x v="30"/>
    <d v="2021-07-12T00:00:00"/>
    <x v="1"/>
    <d v="2021-07-20T00:00:00"/>
    <n v="0"/>
    <x v="0"/>
  </r>
  <r>
    <n v="153"/>
    <n v="5"/>
    <x v="5"/>
    <n v="151"/>
    <x v="15"/>
    <d v="2021-07-12T00:00:00"/>
    <x v="1"/>
    <d v="2021-07-20T00:00:00"/>
    <n v="70"/>
    <x v="1"/>
  </r>
  <r>
    <n v="460"/>
    <n v="12"/>
    <x v="5"/>
    <n v="80"/>
    <x v="29"/>
    <d v="2021-07-03T00:00:00"/>
    <x v="17"/>
    <d v="2021-07-11T00:00:00"/>
    <n v="0"/>
    <x v="0"/>
  </r>
  <r>
    <n v="461"/>
    <n v="8"/>
    <x v="5"/>
    <n v="137"/>
    <x v="30"/>
    <d v="2021-07-12T00:00:00"/>
    <x v="1"/>
    <d v="2021-07-20T00:00:00"/>
    <n v="50"/>
    <x v="0"/>
  </r>
  <r>
    <n v="462"/>
    <n v="17"/>
    <x v="5"/>
    <n v="137"/>
    <x v="30"/>
    <d v="2021-07-12T00:00:00"/>
    <x v="1"/>
    <d v="2021-07-20T00:00:00"/>
    <n v="80"/>
    <x v="1"/>
  </r>
  <r>
    <n v="463"/>
    <n v="18"/>
    <x v="5"/>
    <n v="65"/>
    <x v="13"/>
    <d v="2021-06-25T00:00:00"/>
    <x v="5"/>
    <d v="2021-07-03T00:00:00"/>
    <n v="20"/>
    <x v="0"/>
  </r>
  <r>
    <n v="464"/>
    <n v="12"/>
    <x v="5"/>
    <n v="150"/>
    <x v="1"/>
    <d v="2021-07-12T00:00:00"/>
    <x v="1"/>
    <d v="2021-07-20T00:00:00"/>
    <n v="50"/>
    <x v="0"/>
  </r>
  <r>
    <n v="465"/>
    <n v="15"/>
    <x v="5"/>
    <n v="150"/>
    <x v="1"/>
    <d v="2021-07-12T00:00:00"/>
    <x v="1"/>
    <d v="2021-07-20T00:00:00"/>
    <n v="0"/>
    <x v="0"/>
  </r>
  <r>
    <n v="466"/>
    <n v="28"/>
    <x v="5"/>
    <n v="150"/>
    <x v="1"/>
    <d v="2021-07-12T00:00:00"/>
    <x v="1"/>
    <d v="2021-07-20T00:00:00"/>
    <n v="10"/>
    <x v="0"/>
  </r>
  <r>
    <n v="467"/>
    <n v="18"/>
    <x v="5"/>
    <n v="150"/>
    <x v="1"/>
    <d v="2021-07-12T00:00:00"/>
    <x v="1"/>
    <d v="2021-07-20T00:00:00"/>
    <n v="100"/>
    <x v="1"/>
  </r>
  <r>
    <n v="468"/>
    <n v="6"/>
    <x v="5"/>
    <n v="150"/>
    <x v="1"/>
    <d v="2021-07-12T00:00:00"/>
    <x v="1"/>
    <d v="2021-07-20T00:00:00"/>
    <n v="30"/>
    <x v="0"/>
  </r>
  <r>
    <n v="469"/>
    <n v="19"/>
    <x v="5"/>
    <n v="122"/>
    <x v="7"/>
    <d v="2021-07-11T00:00:00"/>
    <x v="6"/>
    <d v="2021-07-19T00:00:00"/>
    <n v="90"/>
    <x v="1"/>
  </r>
  <r>
    <n v="470"/>
    <n v="20"/>
    <x v="5"/>
    <n v="49"/>
    <x v="18"/>
    <d v="2021-06-24T00:00:00"/>
    <x v="11"/>
    <d v="2021-07-02T00:00:00"/>
    <n v="0"/>
    <x v="0"/>
  </r>
  <r>
    <n v="471"/>
    <n v="20"/>
    <x v="5"/>
    <n v="137"/>
    <x v="30"/>
    <d v="2021-07-12T00:00:00"/>
    <x v="1"/>
    <d v="2021-07-20T00:00:00"/>
    <n v="50"/>
    <x v="0"/>
  </r>
  <r>
    <n v="472"/>
    <n v="21"/>
    <x v="5"/>
    <n v="43"/>
    <x v="2"/>
    <d v="2021-06-21T00:00:00"/>
    <x v="2"/>
    <d v="2021-06-29T00:00:00"/>
    <n v="50"/>
    <x v="0"/>
  </r>
  <r>
    <n v="473"/>
    <n v="21"/>
    <x v="5"/>
    <n v="151"/>
    <x v="15"/>
    <d v="2021-07-12T00:00:00"/>
    <x v="1"/>
    <d v="2021-07-20T00:00:00"/>
    <n v="40"/>
    <x v="0"/>
  </r>
  <r>
    <n v="474"/>
    <n v="22"/>
    <x v="5"/>
    <n v="49"/>
    <x v="18"/>
    <d v="2021-06-24T00:00:00"/>
    <x v="11"/>
    <d v="2021-07-02T00:00:00"/>
    <n v="0"/>
    <x v="0"/>
  </r>
  <r>
    <n v="475"/>
    <n v="22"/>
    <x v="5"/>
    <n v="151"/>
    <x v="15"/>
    <d v="2021-07-12T00:00:00"/>
    <x v="1"/>
    <d v="2021-07-20T00:00:00"/>
    <n v="80"/>
    <x v="1"/>
  </r>
  <r>
    <n v="476"/>
    <n v="23"/>
    <x v="5"/>
    <n v="151"/>
    <x v="15"/>
    <d v="2021-07-12T00:00:00"/>
    <x v="1"/>
    <d v="2021-07-20T00:00:00"/>
    <n v="70"/>
    <x v="1"/>
  </r>
  <r>
    <n v="477"/>
    <n v="24"/>
    <x v="5"/>
    <n v="120"/>
    <x v="37"/>
    <d v="2021-07-09T00:00:00"/>
    <x v="21"/>
    <d v="2021-07-17T00:00:00"/>
    <n v="10"/>
    <x v="0"/>
  </r>
  <r>
    <n v="478"/>
    <n v="24"/>
    <x v="5"/>
    <n v="151"/>
    <x v="15"/>
    <d v="2021-07-12T00:00:00"/>
    <x v="1"/>
    <d v="2021-07-20T00:00:00"/>
    <n v="20"/>
    <x v="0"/>
  </r>
  <r>
    <n v="479"/>
    <n v="25"/>
    <x v="5"/>
    <n v="151"/>
    <x v="15"/>
    <d v="2021-07-12T00:00:00"/>
    <x v="1"/>
    <d v="2021-07-20T00:00:00"/>
    <n v="70"/>
    <x v="1"/>
  </r>
  <r>
    <n v="480"/>
    <n v="28"/>
    <x v="5"/>
    <n v="137"/>
    <x v="30"/>
    <d v="2021-07-12T00:00:00"/>
    <x v="1"/>
    <d v="2021-07-20T00:00:00"/>
    <n v="60"/>
    <x v="1"/>
  </r>
  <r>
    <n v="481"/>
    <n v="30"/>
    <x v="5"/>
    <n v="17"/>
    <x v="5"/>
    <d v="2021-06-18T00:00:00"/>
    <x v="4"/>
    <d v="2021-06-26T00:00:00"/>
    <n v="0"/>
    <x v="0"/>
  </r>
  <r>
    <n v="482"/>
    <n v="15"/>
    <x v="5"/>
    <n v="137"/>
    <x v="30"/>
    <d v="2021-07-12T00:00:00"/>
    <x v="1"/>
    <d v="2021-07-20T00:00:00"/>
    <n v="40"/>
    <x v="0"/>
  </r>
  <r>
    <n v="431"/>
    <n v="7"/>
    <x v="5"/>
    <n v="117"/>
    <x v="36"/>
    <d v="2021-07-07T00:00:00"/>
    <x v="20"/>
    <d v="2021-07-15T00:00:00"/>
    <n v="30"/>
    <x v="0"/>
  </r>
  <r>
    <n v="484"/>
    <n v="20"/>
    <x v="5"/>
    <n v="65"/>
    <x v="13"/>
    <d v="2021-06-25T00:00:00"/>
    <x v="5"/>
    <d v="2021-07-03T00:00:00"/>
    <n v="40"/>
    <x v="0"/>
  </r>
  <r>
    <n v="485"/>
    <n v="24"/>
    <x v="5"/>
    <n v="65"/>
    <x v="13"/>
    <d v="2021-06-25T00:00:00"/>
    <x v="5"/>
    <d v="2021-07-03T00:00:00"/>
    <n v="30"/>
    <x v="0"/>
  </r>
  <r>
    <n v="486"/>
    <n v="27"/>
    <x v="5"/>
    <n v="66"/>
    <x v="25"/>
    <d v="2021-06-26T00:00:00"/>
    <x v="15"/>
    <d v="2021-07-04T00:00:00"/>
    <n v="10"/>
    <x v="0"/>
  </r>
  <r>
    <n v="487"/>
    <n v="29"/>
    <x v="5"/>
    <n v="66"/>
    <x v="25"/>
    <d v="2021-06-26T00:00:00"/>
    <x v="15"/>
    <d v="2021-07-04T00:00:00"/>
    <n v="40"/>
    <x v="0"/>
  </r>
  <r>
    <n v="488"/>
    <n v="21"/>
    <x v="5"/>
    <n v="66"/>
    <x v="25"/>
    <d v="2021-06-26T00:00:00"/>
    <x v="15"/>
    <d v="2021-07-04T00:00:00"/>
    <n v="30"/>
    <x v="0"/>
  </r>
  <r>
    <n v="489"/>
    <n v="20"/>
    <x v="5"/>
    <n v="66"/>
    <x v="25"/>
    <d v="2021-06-26T00:00:00"/>
    <x v="15"/>
    <d v="2021-07-04T00:00:00"/>
    <n v="50"/>
    <x v="0"/>
  </r>
  <r>
    <n v="490"/>
    <n v="14"/>
    <x v="5"/>
    <n v="74"/>
    <x v="24"/>
    <d v="2021-06-29T00:00:00"/>
    <x v="14"/>
    <d v="2021-07-07T00:00:00"/>
    <n v="40"/>
    <x v="0"/>
  </r>
  <r>
    <n v="491"/>
    <n v="15"/>
    <x v="5"/>
    <n v="74"/>
    <x v="24"/>
    <d v="2021-06-29T00:00:00"/>
    <x v="14"/>
    <d v="2021-07-07T00:00:00"/>
    <n v="10"/>
    <x v="0"/>
  </r>
  <r>
    <n v="492"/>
    <n v="20"/>
    <x v="5"/>
    <n v="74"/>
    <x v="24"/>
    <d v="2021-06-29T00:00:00"/>
    <x v="14"/>
    <d v="2021-07-07T00:00:00"/>
    <n v="40"/>
    <x v="0"/>
  </r>
  <r>
    <n v="493"/>
    <n v="21"/>
    <x v="5"/>
    <n v="74"/>
    <x v="24"/>
    <d v="2021-06-29T00:00:00"/>
    <x v="14"/>
    <d v="2021-07-07T00:00:00"/>
    <n v="30"/>
    <x v="0"/>
  </r>
  <r>
    <n v="494"/>
    <n v="24"/>
    <x v="5"/>
    <n v="74"/>
    <x v="24"/>
    <d v="2021-06-29T00:00:00"/>
    <x v="14"/>
    <d v="2021-07-07T00:00:00"/>
    <n v="50"/>
    <x v="0"/>
  </r>
  <r>
    <n v="495"/>
    <n v="15"/>
    <x v="5"/>
    <n v="78"/>
    <x v="19"/>
    <d v="2021-07-02T00:00:00"/>
    <x v="12"/>
    <d v="2021-07-10T00:00:00"/>
    <n v="20"/>
    <x v="0"/>
  </r>
  <r>
    <n v="496"/>
    <n v="18"/>
    <x v="5"/>
    <n v="78"/>
    <x v="19"/>
    <d v="2021-07-02T00:00:00"/>
    <x v="12"/>
    <d v="2021-07-10T00:00:00"/>
    <n v="10"/>
    <x v="0"/>
  </r>
  <r>
    <n v="497"/>
    <n v="19"/>
    <x v="5"/>
    <n v="78"/>
    <x v="19"/>
    <d v="2021-07-02T00:00:00"/>
    <x v="12"/>
    <d v="2021-07-10T00:00:00"/>
    <n v="20"/>
    <x v="0"/>
  </r>
  <r>
    <n v="498"/>
    <n v="20"/>
    <x v="5"/>
    <n v="78"/>
    <x v="19"/>
    <d v="2021-07-02T00:00:00"/>
    <x v="12"/>
    <d v="2021-07-10T00:00:00"/>
    <n v="10"/>
    <x v="0"/>
  </r>
  <r>
    <n v="499"/>
    <n v="27"/>
    <x v="5"/>
    <n v="78"/>
    <x v="19"/>
    <d v="2021-07-02T00:00:00"/>
    <x v="12"/>
    <d v="2021-07-10T00:00:00"/>
    <n v="50"/>
    <x v="0"/>
  </r>
  <r>
    <n v="500"/>
    <n v="29"/>
    <x v="5"/>
    <n v="78"/>
    <x v="19"/>
    <d v="2021-07-02T00:00:00"/>
    <x v="12"/>
    <d v="2021-07-10T00:00:00"/>
    <n v="30"/>
    <x v="0"/>
  </r>
  <r>
    <n v="501"/>
    <n v="12"/>
    <x v="5"/>
    <n v="79"/>
    <x v="27"/>
    <d v="2021-07-03T00:00:00"/>
    <x v="17"/>
    <d v="2021-07-11T00:00:00"/>
    <n v="50"/>
    <x v="0"/>
  </r>
  <r>
    <n v="502"/>
    <n v="13"/>
    <x v="5"/>
    <n v="79"/>
    <x v="27"/>
    <d v="2021-07-03T00:00:00"/>
    <x v="17"/>
    <d v="2021-07-11T00:00:00"/>
    <n v="90"/>
    <x v="1"/>
  </r>
  <r>
    <n v="503"/>
    <n v="15"/>
    <x v="5"/>
    <n v="79"/>
    <x v="27"/>
    <d v="2021-07-03T00:00:00"/>
    <x v="17"/>
    <d v="2021-07-11T00:00:00"/>
    <n v="70"/>
    <x v="1"/>
  </r>
  <r>
    <n v="504"/>
    <n v="20"/>
    <x v="5"/>
    <n v="79"/>
    <x v="27"/>
    <d v="2021-07-03T00:00:00"/>
    <x v="17"/>
    <d v="2021-07-11T00:00:00"/>
    <n v="20"/>
    <x v="0"/>
  </r>
  <r>
    <n v="505"/>
    <n v="14"/>
    <x v="5"/>
    <n v="80"/>
    <x v="29"/>
    <d v="2021-07-03T00:00:00"/>
    <x v="17"/>
    <d v="2021-07-11T00:00:00"/>
    <n v="20"/>
    <x v="0"/>
  </r>
  <r>
    <n v="506"/>
    <n v="16"/>
    <x v="5"/>
    <n v="80"/>
    <x v="29"/>
    <d v="2021-07-03T00:00:00"/>
    <x v="17"/>
    <d v="2021-07-11T00:00:00"/>
    <n v="60"/>
    <x v="1"/>
  </r>
  <r>
    <n v="507"/>
    <n v="20"/>
    <x v="5"/>
    <n v="80"/>
    <x v="29"/>
    <d v="2021-07-03T00:00:00"/>
    <x v="17"/>
    <d v="2021-07-11T00:00:00"/>
    <n v="30"/>
    <x v="0"/>
  </r>
  <r>
    <n v="508"/>
    <n v="24"/>
    <x v="5"/>
    <n v="80"/>
    <x v="29"/>
    <d v="2021-07-03T00:00:00"/>
    <x v="17"/>
    <d v="2021-07-11T00:00:00"/>
    <n v="20"/>
    <x v="0"/>
  </r>
  <r>
    <n v="513"/>
    <n v="7"/>
    <x v="5"/>
    <n v="121"/>
    <x v="38"/>
    <d v="2021-07-10T00:00:00"/>
    <x v="22"/>
    <d v="2021-07-18T00:00:00"/>
    <n v="30"/>
    <x v="0"/>
  </r>
  <r>
    <n v="510"/>
    <n v="18"/>
    <x v="5"/>
    <n v="117"/>
    <x v="36"/>
    <d v="2021-07-07T00:00:00"/>
    <x v="20"/>
    <d v="2021-07-15T00:00:00"/>
    <n v="0"/>
    <x v="0"/>
  </r>
  <r>
    <n v="511"/>
    <n v="22"/>
    <x v="5"/>
    <n v="117"/>
    <x v="36"/>
    <d v="2021-07-07T00:00:00"/>
    <x v="20"/>
    <d v="2021-07-15T00:00:00"/>
    <n v="40"/>
    <x v="0"/>
  </r>
  <r>
    <n v="512"/>
    <n v="29"/>
    <x v="5"/>
    <n v="117"/>
    <x v="36"/>
    <d v="2021-07-07T00:00:00"/>
    <x v="20"/>
    <d v="2021-07-15T00:00:00"/>
    <n v="10"/>
    <x v="0"/>
  </r>
  <r>
    <n v="515"/>
    <n v="7"/>
    <x v="5"/>
    <n v="122"/>
    <x v="7"/>
    <d v="2021-07-11T00:00:00"/>
    <x v="6"/>
    <d v="2021-07-19T00:00:00"/>
    <n v="30"/>
    <x v="0"/>
  </r>
  <r>
    <n v="514"/>
    <n v="12"/>
    <x v="5"/>
    <n v="121"/>
    <x v="38"/>
    <d v="2021-07-10T00:00:00"/>
    <x v="22"/>
    <d v="2021-07-18T00:00:00"/>
    <n v="50"/>
    <x v="0"/>
  </r>
  <r>
    <n v="338"/>
    <n v="7"/>
    <x v="1"/>
    <n v="134"/>
    <x v="19"/>
    <d v="2021-07-02T00:00:00"/>
    <x v="12"/>
    <d v="2021-07-09T00:00:00"/>
    <n v="80"/>
    <x v="1"/>
  </r>
  <r>
    <n v="516"/>
    <n v="12"/>
    <x v="5"/>
    <n v="122"/>
    <x v="7"/>
    <d v="2021-07-11T00:00:00"/>
    <x v="6"/>
    <d v="2021-07-19T00:00:00"/>
    <n v="10"/>
    <x v="0"/>
  </r>
  <r>
    <n v="517"/>
    <n v="20"/>
    <x v="5"/>
    <n v="122"/>
    <x v="7"/>
    <d v="2021-07-11T00:00:00"/>
    <x v="6"/>
    <d v="2021-07-19T00:00:00"/>
    <n v="40"/>
    <x v="0"/>
  </r>
  <r>
    <n v="518"/>
    <n v="24"/>
    <x v="5"/>
    <n v="122"/>
    <x v="7"/>
    <d v="2021-07-11T00:00:00"/>
    <x v="6"/>
    <d v="2021-07-19T00:00:00"/>
    <n v="30"/>
    <x v="0"/>
  </r>
  <r>
    <n v="519"/>
    <n v="7"/>
    <x v="5"/>
    <n v="150"/>
    <x v="1"/>
    <d v="2021-07-12T00:00:00"/>
    <x v="1"/>
    <d v="2021-07-20T00:00:00"/>
    <n v="90"/>
    <x v="1"/>
  </r>
  <r>
    <n v="520"/>
    <n v="29"/>
    <x v="5"/>
    <n v="150"/>
    <x v="1"/>
    <d v="2021-07-12T00:00:00"/>
    <x v="1"/>
    <d v="2021-07-20T00:00:00"/>
    <n v="4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1" applyNumberFormats="0" applyBorderFormats="0" applyFontFormats="0" applyPatternFormats="0" applyAlignmentFormats="0" applyWidthHeightFormats="1" dataCaption="값" updatedVersion="7" minRefreshableVersion="5" useAutoFormatting="1" itemPrintTitles="1" createdVersion="6" indent="0" outline="1" outlineData="1" multipleFieldFilters="0" chartFormat="1">
  <location ref="W31:Z38" firstHeaderRow="1" firstDataRow="2" firstDataCol="1" rowPageCount="1" colPageCount="1"/>
  <pivotFields count="10">
    <pivotField showAll="0"/>
    <pivotField showAll="0"/>
    <pivotField axis="axisPage" showAll="0">
      <items count="7">
        <item x="5"/>
        <item x="0"/>
        <item n="4" x="1"/>
        <item n="5" x="2"/>
        <item n="6" x="3"/>
        <item n="8" x="4"/>
        <item t="default"/>
      </items>
    </pivotField>
    <pivotField showAll="0"/>
    <pivotField axis="axisRow" showAll="0">
      <items count="40">
        <item x="0"/>
        <item x="12"/>
        <item x="16"/>
        <item x="17"/>
        <item x="20"/>
        <item h="1" x="21"/>
        <item h="1" x="22"/>
        <item h="1" x="3"/>
        <item h="1" x="4"/>
        <item h="1" x="23"/>
        <item h="1" x="5"/>
        <item h="1" x="8"/>
        <item h="1" x="9"/>
        <item h="1" x="10"/>
        <item h="1" x="11"/>
        <item h="1" x="2"/>
        <item h="1" x="14"/>
        <item h="1" x="18"/>
        <item h="1" x="6"/>
        <item h="1" x="13"/>
        <item h="1" x="25"/>
        <item h="1" x="26"/>
        <item h="1" x="24"/>
        <item h="1" x="19"/>
        <item h="1" x="27"/>
        <item h="1" x="29"/>
        <item h="1" x="31"/>
        <item h="1" x="32"/>
        <item h="1" x="33"/>
        <item h="1" x="28"/>
        <item h="1" x="35"/>
        <item h="1" x="34"/>
        <item h="1" x="36"/>
        <item h="1" x="37"/>
        <item h="1" x="38"/>
        <item h="1" x="7"/>
        <item h="1" x="30"/>
        <item h="1" x="1"/>
        <item h="1" x="15"/>
        <item t="default"/>
      </items>
    </pivotField>
    <pivotField numFmtId="14" showAll="0"/>
    <pivotField numFmtId="14" showAll="0">
      <items count="24">
        <item x="0"/>
        <item x="8"/>
        <item x="9"/>
        <item x="10"/>
        <item x="13"/>
        <item x="3"/>
        <item x="4"/>
        <item x="7"/>
        <item x="2"/>
        <item x="11"/>
        <item x="5"/>
        <item x="15"/>
        <item x="16"/>
        <item x="14"/>
        <item x="12"/>
        <item x="17"/>
        <item x="19"/>
        <item x="18"/>
        <item x="20"/>
        <item x="21"/>
        <item x="22"/>
        <item x="6"/>
        <item x="1"/>
        <item t="default"/>
      </items>
    </pivotField>
    <pivotField numFmtId="14" showAll="0"/>
    <pivotField showAll="0"/>
    <pivotField axis="axisCol" dataField="1" showAll="0">
      <items count="3">
        <item x="0"/>
        <item x="1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9"/>
  </colFields>
  <colItems count="3">
    <i>
      <x/>
    </i>
    <i>
      <x v="1"/>
    </i>
    <i t="grand">
      <x/>
    </i>
  </colItems>
  <pageFields count="1">
    <pageField fld="2" hier="-1"/>
  </pageFields>
  <dataFields count="1">
    <dataField name="개수 : 합격여부" fld="9" subtotal="count" baseField="0" baseItem="0"/>
  </dataFields>
  <chartFormats count="2"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dateBetween" evalOrder="-1" id="18" name="시험일자">
      <autoFilter ref="A1">
        <filterColumn colId="0">
          <customFilters and="1">
            <customFilter operator="greaterThanOrEqual" val="44287"/>
            <customFilter operator="lessThanOrEqual" val="4450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6" indent="0" outline="1" outlineData="1" multipleFieldFilters="0" chartFormat="1">
  <location ref="W5:X8" firstHeaderRow="1" firstDataRow="1" firstDataCol="1" rowPageCount="1" colPageCount="1"/>
  <pivotFields count="10">
    <pivotField showAll="0"/>
    <pivotField showAll="0"/>
    <pivotField axis="axisPage" showAll="0">
      <items count="7">
        <item x="5"/>
        <item x="0"/>
        <item n="4" x="1"/>
        <item n="5" x="2"/>
        <item n="6" x="3"/>
        <item n="8" x="4"/>
        <item t="default"/>
      </items>
    </pivotField>
    <pivotField showAll="0"/>
    <pivotField showAll="0"/>
    <pivotField numFmtId="14" showAll="0"/>
    <pivotField numFmtId="14" showAll="0"/>
    <pivotField numFmtId="14" showAll="0"/>
    <pivotField showAll="0"/>
    <pivotField axis="axisRow" dataField="1" showAll="0">
      <items count="3">
        <item x="0"/>
        <item x="1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개수 : 합격여부" fld="9" subtotal="count" baseField="0" baseItem="0"/>
  </dataFields>
  <chartFormats count="3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표1" displayName="표1" ref="A1:H31" totalsRowShown="0" headerRowDxfId="59" dataDxfId="58">
  <autoFilter ref="A1:H3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번호" dataDxfId="57"/>
    <tableColumn id="2" name="이름" dataDxfId="56"/>
    <tableColumn id="3" name="아이디" dataDxfId="55"/>
    <tableColumn id="4" name="비밀번호" dataDxfId="54"/>
    <tableColumn id="5" name="이메일" dataDxfId="53"/>
    <tableColumn id="6" name="전화번호" dataDxfId="52"/>
    <tableColumn id="7" name="성별" dataDxfId="51"/>
    <tableColumn id="8" name="생년월일" dataDxfId="50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M7" totalsRowShown="0" headerRowDxfId="49" dataDxfId="48">
  <autoFilter ref="A1:M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13">
    <tableColumn id="1" name="번호" dataDxfId="47"/>
    <tableColumn id="2" name="종목" dataDxfId="46"/>
    <tableColumn id="3" name="등급" dataDxfId="45"/>
    <tableColumn id="4" name="접수마감" dataDxfId="44"/>
    <tableColumn id="5" name="발표일자" dataDxfId="43"/>
    <tableColumn id="6" name="문항수" dataDxfId="42"/>
    <tableColumn id="7" name="합격결정기준" dataDxfId="41"/>
    <tableColumn id="8" name="접수비" dataDxfId="40"/>
    <tableColumn id="9" name="제한시간" dataDxfId="39"/>
    <tableColumn id="10" name="열1" dataDxfId="38">
      <calculatedColumnFormula>MID(표2[[#This Row],[접수마감]], 4, 2)</calculatedColumnFormula>
    </tableColumn>
    <tableColumn id="11" name="열2" dataDxfId="37">
      <calculatedColumnFormula>IF(표2[[#This Row],[발표일자]] = "익일", 1, IF(표2[[#This Row],[발표일자]] = "당일날", 0, 1))</calculatedColumnFormula>
    </tableColumn>
    <tableColumn id="12" name="열3" dataDxfId="36">
      <calculatedColumnFormula>표2[[#This Row],[종목]] &amp; " "&amp; 표2[[#This Row],[등급]]</calculatedColumnFormula>
    </tableColumn>
    <tableColumn id="13" name="번호2" dataDxfId="35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5" name="표5" displayName="표5" ref="A1:K522" totalsRowShown="0" headerRowDxfId="27" dataDxfId="26">
  <tableColumns count="11">
    <tableColumn id="1" name="번호" dataDxfId="25"/>
    <tableColumn id="2" name="회원번호" dataDxfId="24"/>
    <tableColumn id="3" name="종목" dataDxfId="23"/>
    <tableColumn id="4" name="일정번호" dataDxfId="22"/>
    <tableColumn id="5" name="회차" dataDxfId="21"/>
    <tableColumn id="6" name="접수일자" dataDxfId="20"/>
    <tableColumn id="7" name="시험일자" dataDxfId="19"/>
    <tableColumn id="8" name="발표일자" dataDxfId="18"/>
    <tableColumn id="9" name="점수" dataDxfId="17"/>
    <tableColumn id="10" name="합격여부" dataDxfId="16"/>
    <tableColumn id="11" name="종목명" dataDxfId="15">
      <calculatedColumnFormula>VLOOKUP(표5[[#This Row],[종목]],표2[],2,FALSE)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9" name="표9" displayName="표9" ref="A1:E258" totalsRowShown="0" headerRowDxfId="13" dataDxfId="12">
  <autoFilter ref="A1:E25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문제번호" dataDxfId="11"/>
    <tableColumn id="2" name="보기1" dataDxfId="10"/>
    <tableColumn id="3" name="보기2" dataDxfId="9"/>
    <tableColumn id="4" name="보기3" dataDxfId="8"/>
    <tableColumn id="5" name="보기4" dataDxfId="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11" name="표11" displayName="표11" ref="F21:I32" totalsRowShown="0" headerRowDxfId="6" dataDxfId="5">
  <autoFilter ref="F21:I32"/>
  <tableColumns count="4">
    <tableColumn id="1" name="종목이름" dataDxfId="4"/>
    <tableColumn id="2" name="접수시작일" dataDxfId="3"/>
    <tableColumn id="3" name="남은일수" dataDxfId="2"/>
    <tableColumn id="4" name="접수마감일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8"/>
  <sheetViews>
    <sheetView zoomScale="70" zoomScaleNormal="70" workbookViewId="0">
      <selection activeCell="Z28" sqref="Z28"/>
    </sheetView>
  </sheetViews>
  <sheetFormatPr defaultRowHeight="16.5" x14ac:dyDescent="0.3"/>
  <cols>
    <col min="1" max="16" width="9" style="1"/>
    <col min="17" max="17" width="7.375" style="1" bestFit="1" customWidth="1"/>
    <col min="18" max="16384" width="9" style="1"/>
  </cols>
  <sheetData>
    <row r="1" spans="1:21" x14ac:dyDescent="0.3">
      <c r="A1" s="32"/>
    </row>
    <row r="7" spans="1:21" x14ac:dyDescent="0.3">
      <c r="U7" s="1" t="s">
        <v>1505</v>
      </c>
    </row>
    <row r="11" spans="1:21" ht="107.25" x14ac:dyDescent="0.3">
      <c r="Q11" s="33"/>
    </row>
    <row r="13" spans="1:21" x14ac:dyDescent="0.3">
      <c r="P13" s="37" t="s">
        <v>1507</v>
      </c>
    </row>
    <row r="19" spans="17:22" ht="35.25" x14ac:dyDescent="0.3">
      <c r="Q19" s="31"/>
    </row>
    <row r="20" spans="17:22" x14ac:dyDescent="0.3">
      <c r="R20" s="39"/>
    </row>
    <row r="28" spans="17:22" ht="39.75" x14ac:dyDescent="0.3">
      <c r="V28" s="3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"/>
  <sheetViews>
    <sheetView workbookViewId="0">
      <selection activeCell="H31" sqref="A1:H31"/>
    </sheetView>
  </sheetViews>
  <sheetFormatPr defaultRowHeight="16.5" x14ac:dyDescent="0.3"/>
  <cols>
    <col min="1" max="3" width="9.25" style="4" customWidth="1"/>
    <col min="4" max="4" width="10.25" style="4" customWidth="1"/>
    <col min="5" max="5" width="24" style="4" bestFit="1" customWidth="1"/>
    <col min="6" max="6" width="14.375" style="4" bestFit="1" customWidth="1"/>
    <col min="7" max="7" width="9.25" style="4" customWidth="1"/>
    <col min="8" max="8" width="10.25" style="4" customWidth="1"/>
  </cols>
  <sheetData>
    <row r="1" spans="1:8" x14ac:dyDescent="0.3">
      <c r="A1" s="4" t="s">
        <v>1490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</row>
    <row r="2" spans="1:8" x14ac:dyDescent="0.3">
      <c r="A2" s="4">
        <v>1</v>
      </c>
      <c r="B2" s="4" t="s">
        <v>9</v>
      </c>
      <c r="C2" s="4" t="s">
        <v>10</v>
      </c>
      <c r="D2" s="4" t="s">
        <v>11</v>
      </c>
      <c r="E2" s="4" t="s">
        <v>12</v>
      </c>
      <c r="F2" s="4" t="s">
        <v>13</v>
      </c>
      <c r="G2" s="4" t="s">
        <v>14</v>
      </c>
      <c r="H2" s="5">
        <v>35012</v>
      </c>
    </row>
    <row r="3" spans="1:8" x14ac:dyDescent="0.3">
      <c r="A3" s="4">
        <v>2</v>
      </c>
      <c r="B3" s="4" t="s">
        <v>15</v>
      </c>
      <c r="C3" s="4" t="s">
        <v>16</v>
      </c>
      <c r="D3" s="4" t="s">
        <v>17</v>
      </c>
      <c r="E3" s="4" t="s">
        <v>18</v>
      </c>
      <c r="F3" s="4" t="s">
        <v>19</v>
      </c>
      <c r="G3" s="4" t="s">
        <v>20</v>
      </c>
      <c r="H3" s="5">
        <v>35781</v>
      </c>
    </row>
    <row r="4" spans="1:8" x14ac:dyDescent="0.3">
      <c r="A4" s="4">
        <v>3</v>
      </c>
      <c r="B4" s="4" t="s">
        <v>21</v>
      </c>
      <c r="C4" s="4" t="s">
        <v>22</v>
      </c>
      <c r="D4" s="4" t="s">
        <v>23</v>
      </c>
      <c r="E4" s="4" t="s">
        <v>24</v>
      </c>
      <c r="F4" s="4" t="s">
        <v>25</v>
      </c>
      <c r="G4" s="4" t="s">
        <v>14</v>
      </c>
      <c r="H4" s="5">
        <v>36301</v>
      </c>
    </row>
    <row r="5" spans="1:8" x14ac:dyDescent="0.3">
      <c r="A5" s="4">
        <v>4</v>
      </c>
      <c r="B5" s="4" t="s">
        <v>26</v>
      </c>
      <c r="C5" s="4" t="s">
        <v>27</v>
      </c>
      <c r="D5" s="4" t="s">
        <v>28</v>
      </c>
      <c r="E5" s="4" t="s">
        <v>29</v>
      </c>
      <c r="F5" s="4" t="s">
        <v>30</v>
      </c>
      <c r="G5" s="4" t="s">
        <v>20</v>
      </c>
      <c r="H5" s="5">
        <v>32968</v>
      </c>
    </row>
    <row r="6" spans="1:8" x14ac:dyDescent="0.3">
      <c r="A6" s="4">
        <v>5</v>
      </c>
      <c r="B6" s="4" t="s">
        <v>31</v>
      </c>
      <c r="C6" s="4" t="s">
        <v>32</v>
      </c>
      <c r="D6" s="4" t="s">
        <v>33</v>
      </c>
      <c r="E6" s="4" t="s">
        <v>34</v>
      </c>
      <c r="F6" s="4" t="s">
        <v>35</v>
      </c>
      <c r="G6" s="4" t="s">
        <v>20</v>
      </c>
      <c r="H6" s="5">
        <v>29650</v>
      </c>
    </row>
    <row r="7" spans="1:8" x14ac:dyDescent="0.3">
      <c r="A7" s="4">
        <v>6</v>
      </c>
      <c r="B7" s="4" t="s">
        <v>36</v>
      </c>
      <c r="C7" s="4" t="s">
        <v>37</v>
      </c>
      <c r="D7" s="4" t="s">
        <v>38</v>
      </c>
      <c r="E7" s="4" t="s">
        <v>39</v>
      </c>
      <c r="F7" s="4" t="s">
        <v>40</v>
      </c>
      <c r="G7" s="4" t="s">
        <v>20</v>
      </c>
      <c r="H7" s="5">
        <v>36582</v>
      </c>
    </row>
    <row r="8" spans="1:8" x14ac:dyDescent="0.3">
      <c r="A8" s="4">
        <v>7</v>
      </c>
      <c r="B8" s="4" t="s">
        <v>41</v>
      </c>
      <c r="C8" s="4" t="s">
        <v>42</v>
      </c>
      <c r="D8" s="4" t="s">
        <v>43</v>
      </c>
      <c r="E8" s="4" t="s">
        <v>44</v>
      </c>
      <c r="F8" s="4" t="s">
        <v>45</v>
      </c>
      <c r="G8" s="4" t="s">
        <v>20</v>
      </c>
      <c r="H8" s="5">
        <v>32256</v>
      </c>
    </row>
    <row r="9" spans="1:8" x14ac:dyDescent="0.3">
      <c r="A9" s="4">
        <v>8</v>
      </c>
      <c r="B9" s="4" t="s">
        <v>46</v>
      </c>
      <c r="C9" s="4" t="s">
        <v>47</v>
      </c>
      <c r="D9" s="4" t="s">
        <v>48</v>
      </c>
      <c r="E9" s="4" t="s">
        <v>49</v>
      </c>
      <c r="F9" s="4" t="s">
        <v>50</v>
      </c>
      <c r="G9" s="4" t="s">
        <v>20</v>
      </c>
      <c r="H9" s="5">
        <v>31512</v>
      </c>
    </row>
    <row r="10" spans="1:8" x14ac:dyDescent="0.3">
      <c r="A10" s="4">
        <v>9</v>
      </c>
      <c r="B10" s="4" t="s">
        <v>51</v>
      </c>
      <c r="C10" s="4" t="s">
        <v>52</v>
      </c>
      <c r="D10" s="4" t="s">
        <v>53</v>
      </c>
      <c r="E10" s="4" t="s">
        <v>54</v>
      </c>
      <c r="F10" s="4" t="s">
        <v>55</v>
      </c>
      <c r="G10" s="4" t="s">
        <v>20</v>
      </c>
      <c r="H10" s="5">
        <v>29593</v>
      </c>
    </row>
    <row r="11" spans="1:8" x14ac:dyDescent="0.3">
      <c r="A11" s="4">
        <v>10</v>
      </c>
      <c r="B11" s="4" t="s">
        <v>56</v>
      </c>
      <c r="C11" s="4" t="s">
        <v>57</v>
      </c>
      <c r="D11" s="4" t="s">
        <v>58</v>
      </c>
      <c r="E11" s="4" t="s">
        <v>59</v>
      </c>
      <c r="F11" s="4" t="s">
        <v>60</v>
      </c>
      <c r="G11" s="4" t="s">
        <v>20</v>
      </c>
      <c r="H11" s="5">
        <v>31520</v>
      </c>
    </row>
    <row r="12" spans="1:8" x14ac:dyDescent="0.3">
      <c r="A12" s="4">
        <v>11</v>
      </c>
      <c r="B12" s="4" t="s">
        <v>61</v>
      </c>
      <c r="C12" s="4" t="s">
        <v>62</v>
      </c>
      <c r="D12" s="4" t="s">
        <v>63</v>
      </c>
      <c r="E12" s="4" t="s">
        <v>64</v>
      </c>
      <c r="F12" s="4" t="s">
        <v>65</v>
      </c>
      <c r="G12" s="4" t="s">
        <v>14</v>
      </c>
      <c r="H12" s="5">
        <v>33880</v>
      </c>
    </row>
    <row r="13" spans="1:8" x14ac:dyDescent="0.3">
      <c r="A13" s="4">
        <v>12</v>
      </c>
      <c r="B13" s="4" t="s">
        <v>66</v>
      </c>
      <c r="C13" s="4" t="s">
        <v>67</v>
      </c>
      <c r="D13" s="4" t="s">
        <v>68</v>
      </c>
      <c r="E13" s="4" t="s">
        <v>69</v>
      </c>
      <c r="F13" s="4" t="s">
        <v>70</v>
      </c>
      <c r="G13" s="4" t="s">
        <v>20</v>
      </c>
      <c r="H13" s="5">
        <v>31471</v>
      </c>
    </row>
    <row r="14" spans="1:8" x14ac:dyDescent="0.3">
      <c r="A14" s="4">
        <v>13</v>
      </c>
      <c r="B14" s="4" t="s">
        <v>71</v>
      </c>
      <c r="C14" s="4" t="s">
        <v>72</v>
      </c>
      <c r="D14" s="4" t="s">
        <v>73</v>
      </c>
      <c r="E14" s="4" t="s">
        <v>74</v>
      </c>
      <c r="F14" s="4" t="s">
        <v>75</v>
      </c>
      <c r="G14" s="4" t="s">
        <v>20</v>
      </c>
      <c r="H14" s="5">
        <v>30173</v>
      </c>
    </row>
    <row r="15" spans="1:8" x14ac:dyDescent="0.3">
      <c r="A15" s="4">
        <v>14</v>
      </c>
      <c r="B15" s="4" t="s">
        <v>76</v>
      </c>
      <c r="C15" s="4" t="s">
        <v>77</v>
      </c>
      <c r="D15" s="4" t="s">
        <v>78</v>
      </c>
      <c r="E15" s="4" t="s">
        <v>79</v>
      </c>
      <c r="F15" s="4" t="s">
        <v>80</v>
      </c>
      <c r="G15" s="4" t="s">
        <v>20</v>
      </c>
      <c r="H15" s="5">
        <v>34072</v>
      </c>
    </row>
    <row r="16" spans="1:8" x14ac:dyDescent="0.3">
      <c r="A16" s="4">
        <v>15</v>
      </c>
      <c r="B16" s="4" t="s">
        <v>81</v>
      </c>
      <c r="C16" s="4" t="s">
        <v>82</v>
      </c>
      <c r="D16" s="4" t="s">
        <v>83</v>
      </c>
      <c r="E16" s="4" t="s">
        <v>84</v>
      </c>
      <c r="F16" s="4" t="s">
        <v>85</v>
      </c>
      <c r="G16" s="4" t="s">
        <v>20</v>
      </c>
      <c r="H16" s="5">
        <v>32574</v>
      </c>
    </row>
    <row r="17" spans="1:8" x14ac:dyDescent="0.3">
      <c r="A17" s="4">
        <v>16</v>
      </c>
      <c r="B17" s="4" t="s">
        <v>86</v>
      </c>
      <c r="C17" s="4" t="s">
        <v>87</v>
      </c>
      <c r="D17" s="4" t="s">
        <v>88</v>
      </c>
      <c r="E17" s="4" t="s">
        <v>89</v>
      </c>
      <c r="F17" s="4" t="s">
        <v>90</v>
      </c>
      <c r="G17" s="4" t="s">
        <v>20</v>
      </c>
      <c r="H17" s="5">
        <v>32777</v>
      </c>
    </row>
    <row r="18" spans="1:8" x14ac:dyDescent="0.3">
      <c r="A18" s="4">
        <v>17</v>
      </c>
      <c r="B18" s="4" t="s">
        <v>91</v>
      </c>
      <c r="C18" s="4" t="s">
        <v>92</v>
      </c>
      <c r="D18" s="4" t="s">
        <v>93</v>
      </c>
      <c r="E18" s="4" t="s">
        <v>94</v>
      </c>
      <c r="F18" s="4" t="s">
        <v>95</v>
      </c>
      <c r="G18" s="4" t="s">
        <v>20</v>
      </c>
      <c r="H18" s="5">
        <v>36101</v>
      </c>
    </row>
    <row r="19" spans="1:8" x14ac:dyDescent="0.3">
      <c r="A19" s="4">
        <v>18</v>
      </c>
      <c r="B19" s="4" t="s">
        <v>96</v>
      </c>
      <c r="C19" s="4" t="s">
        <v>97</v>
      </c>
      <c r="D19" s="4" t="s">
        <v>98</v>
      </c>
      <c r="E19" s="4" t="s">
        <v>99</v>
      </c>
      <c r="F19" s="4" t="s">
        <v>100</v>
      </c>
      <c r="G19" s="4" t="s">
        <v>20</v>
      </c>
      <c r="H19" s="5">
        <v>32176</v>
      </c>
    </row>
    <row r="20" spans="1:8" x14ac:dyDescent="0.3">
      <c r="A20" s="4">
        <v>19</v>
      </c>
      <c r="B20" s="4" t="s">
        <v>101</v>
      </c>
      <c r="C20" s="4" t="s">
        <v>102</v>
      </c>
      <c r="D20" s="4" t="s">
        <v>103</v>
      </c>
      <c r="E20" s="4" t="s">
        <v>104</v>
      </c>
      <c r="F20" s="4" t="s">
        <v>105</v>
      </c>
      <c r="G20" s="4" t="s">
        <v>20</v>
      </c>
      <c r="H20" s="5">
        <v>31169</v>
      </c>
    </row>
    <row r="21" spans="1:8" x14ac:dyDescent="0.3">
      <c r="A21" s="4">
        <v>20</v>
      </c>
      <c r="B21" s="4" t="s">
        <v>106</v>
      </c>
      <c r="C21" s="4" t="s">
        <v>107</v>
      </c>
      <c r="D21" s="4" t="s">
        <v>108</v>
      </c>
      <c r="E21" s="4" t="s">
        <v>109</v>
      </c>
      <c r="F21" s="4" t="s">
        <v>110</v>
      </c>
      <c r="G21" s="4" t="s">
        <v>14</v>
      </c>
      <c r="H21" s="5">
        <v>31068</v>
      </c>
    </row>
    <row r="22" spans="1:8" x14ac:dyDescent="0.3">
      <c r="A22" s="4">
        <v>21</v>
      </c>
      <c r="B22" s="4" t="s">
        <v>111</v>
      </c>
      <c r="C22" s="4" t="s">
        <v>112</v>
      </c>
      <c r="D22" s="4" t="s">
        <v>113</v>
      </c>
      <c r="E22" s="4" t="s">
        <v>114</v>
      </c>
      <c r="F22" s="4" t="s">
        <v>115</v>
      </c>
      <c r="G22" s="4" t="s">
        <v>20</v>
      </c>
      <c r="H22" s="5">
        <v>15534</v>
      </c>
    </row>
    <row r="23" spans="1:8" x14ac:dyDescent="0.3">
      <c r="A23" s="4">
        <v>22</v>
      </c>
      <c r="B23" s="4" t="s">
        <v>116</v>
      </c>
      <c r="C23" s="4" t="s">
        <v>117</v>
      </c>
      <c r="D23" s="4" t="s">
        <v>118</v>
      </c>
      <c r="E23" s="4" t="s">
        <v>119</v>
      </c>
      <c r="F23" s="4" t="s">
        <v>120</v>
      </c>
      <c r="G23" s="4" t="s">
        <v>14</v>
      </c>
      <c r="H23" s="5">
        <v>27203</v>
      </c>
    </row>
    <row r="24" spans="1:8" x14ac:dyDescent="0.3">
      <c r="A24" s="4">
        <v>23</v>
      </c>
      <c r="B24" s="4" t="s">
        <v>121</v>
      </c>
      <c r="C24" s="4" t="s">
        <v>122</v>
      </c>
      <c r="D24" s="4" t="s">
        <v>123</v>
      </c>
      <c r="E24" s="4" t="s">
        <v>124</v>
      </c>
      <c r="F24" s="4" t="s">
        <v>125</v>
      </c>
      <c r="G24" s="4" t="s">
        <v>14</v>
      </c>
      <c r="H24" s="5">
        <v>28876</v>
      </c>
    </row>
    <row r="25" spans="1:8" x14ac:dyDescent="0.3">
      <c r="A25" s="4">
        <v>24</v>
      </c>
      <c r="B25" s="4" t="s">
        <v>126</v>
      </c>
      <c r="C25" s="4" t="s">
        <v>127</v>
      </c>
      <c r="D25" s="4" t="s">
        <v>128</v>
      </c>
      <c r="E25" s="4" t="s">
        <v>129</v>
      </c>
      <c r="F25" s="4" t="s">
        <v>130</v>
      </c>
      <c r="G25" s="4" t="s">
        <v>14</v>
      </c>
      <c r="H25" s="5">
        <v>21517</v>
      </c>
    </row>
    <row r="26" spans="1:8" x14ac:dyDescent="0.3">
      <c r="A26" s="4">
        <v>25</v>
      </c>
      <c r="B26" s="4" t="s">
        <v>131</v>
      </c>
      <c r="C26" s="4" t="s">
        <v>132</v>
      </c>
      <c r="D26" s="4" t="s">
        <v>133</v>
      </c>
      <c r="E26" s="4" t="s">
        <v>134</v>
      </c>
      <c r="F26" s="4" t="s">
        <v>135</v>
      </c>
      <c r="G26" s="4" t="s">
        <v>14</v>
      </c>
      <c r="H26" s="5">
        <v>20804</v>
      </c>
    </row>
    <row r="27" spans="1:8" x14ac:dyDescent="0.3">
      <c r="A27" s="4">
        <v>26</v>
      </c>
      <c r="B27" s="4" t="s">
        <v>136</v>
      </c>
      <c r="C27" s="4" t="s">
        <v>137</v>
      </c>
      <c r="D27" s="4" t="s">
        <v>138</v>
      </c>
      <c r="E27" s="4" t="s">
        <v>139</v>
      </c>
      <c r="F27" s="4" t="s">
        <v>140</v>
      </c>
      <c r="G27" s="4" t="s">
        <v>14</v>
      </c>
      <c r="H27" s="5">
        <v>31280</v>
      </c>
    </row>
    <row r="28" spans="1:8" x14ac:dyDescent="0.3">
      <c r="A28" s="4">
        <v>27</v>
      </c>
      <c r="B28" s="4" t="s">
        <v>141</v>
      </c>
      <c r="C28" s="4" t="s">
        <v>142</v>
      </c>
      <c r="D28" s="4" t="s">
        <v>143</v>
      </c>
      <c r="E28" s="4" t="s">
        <v>144</v>
      </c>
      <c r="F28" s="4" t="s">
        <v>145</v>
      </c>
      <c r="G28" s="4" t="s">
        <v>20</v>
      </c>
      <c r="H28" s="5">
        <v>33165</v>
      </c>
    </row>
    <row r="29" spans="1:8" x14ac:dyDescent="0.3">
      <c r="A29" s="4">
        <v>28</v>
      </c>
      <c r="B29" s="4" t="s">
        <v>146</v>
      </c>
      <c r="C29" s="4" t="s">
        <v>147</v>
      </c>
      <c r="D29" s="4" t="s">
        <v>148</v>
      </c>
      <c r="E29" s="4" t="s">
        <v>149</v>
      </c>
      <c r="F29" s="4" t="s">
        <v>150</v>
      </c>
      <c r="G29" s="4" t="s">
        <v>20</v>
      </c>
      <c r="H29" s="5">
        <v>40451</v>
      </c>
    </row>
    <row r="30" spans="1:8" x14ac:dyDescent="0.3">
      <c r="A30" s="4">
        <v>29</v>
      </c>
      <c r="B30" s="4" t="s">
        <v>151</v>
      </c>
      <c r="C30" s="4" t="s">
        <v>152</v>
      </c>
      <c r="D30" s="4" t="s">
        <v>153</v>
      </c>
      <c r="E30" s="4" t="s">
        <v>154</v>
      </c>
      <c r="F30" s="4" t="s">
        <v>155</v>
      </c>
      <c r="G30" s="4" t="s">
        <v>20</v>
      </c>
      <c r="H30" s="5">
        <v>31638</v>
      </c>
    </row>
    <row r="31" spans="1:8" x14ac:dyDescent="0.3">
      <c r="A31" s="4">
        <v>30</v>
      </c>
      <c r="B31" s="4" t="s">
        <v>156</v>
      </c>
      <c r="C31" s="4" t="s">
        <v>157</v>
      </c>
      <c r="D31" s="4" t="s">
        <v>158</v>
      </c>
      <c r="E31" s="4" t="s">
        <v>159</v>
      </c>
      <c r="F31" s="4" t="s">
        <v>160</v>
      </c>
      <c r="G31" s="4" t="s">
        <v>20</v>
      </c>
      <c r="H31" s="5">
        <v>38330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"/>
  <sheetViews>
    <sheetView workbookViewId="0">
      <selection activeCell="L3" sqref="L3"/>
    </sheetView>
  </sheetViews>
  <sheetFormatPr defaultRowHeight="16.5" x14ac:dyDescent="0.3"/>
  <cols>
    <col min="1" max="1" width="5.25" style="4" bestFit="1" customWidth="1"/>
    <col min="2" max="2" width="15.125" style="4" bestFit="1" customWidth="1"/>
    <col min="3" max="3" width="5.25" style="4" bestFit="1" customWidth="1"/>
    <col min="4" max="4" width="16.875" style="4" bestFit="1" customWidth="1"/>
    <col min="5" max="5" width="9" style="4" bestFit="1" customWidth="1"/>
    <col min="6" max="6" width="7.25" style="4" bestFit="1" customWidth="1"/>
    <col min="7" max="7" width="13" style="4" bestFit="1" customWidth="1"/>
    <col min="8" max="8" width="7.125" style="4" bestFit="1" customWidth="1"/>
    <col min="9" max="9" width="9" style="4" bestFit="1" customWidth="1"/>
    <col min="12" max="12" width="18.375" bestFit="1" customWidth="1"/>
  </cols>
  <sheetData>
    <row r="1" spans="1:16" x14ac:dyDescent="0.3">
      <c r="A1" s="4" t="s">
        <v>1</v>
      </c>
      <c r="B1" s="4" t="s">
        <v>161</v>
      </c>
      <c r="C1" s="4" t="s">
        <v>162</v>
      </c>
      <c r="D1" s="4" t="s">
        <v>163</v>
      </c>
      <c r="E1" s="4" t="s">
        <v>164</v>
      </c>
      <c r="F1" s="4" t="s">
        <v>165</v>
      </c>
      <c r="G1" s="4" t="s">
        <v>166</v>
      </c>
      <c r="H1" s="4" t="s">
        <v>167</v>
      </c>
      <c r="I1" s="4" t="s">
        <v>168</v>
      </c>
      <c r="J1" s="4" t="s">
        <v>1491</v>
      </c>
      <c r="K1" s="4" t="s">
        <v>1493</v>
      </c>
      <c r="L1" s="4" t="s">
        <v>1508</v>
      </c>
      <c r="M1" s="4" t="s">
        <v>1521</v>
      </c>
      <c r="O1" t="s">
        <v>1520</v>
      </c>
      <c r="P1" t="s">
        <v>1490</v>
      </c>
    </row>
    <row r="2" spans="1:16" x14ac:dyDescent="0.3">
      <c r="A2" s="4">
        <v>1</v>
      </c>
      <c r="B2" s="4" t="s">
        <v>169</v>
      </c>
      <c r="C2" s="4" t="s">
        <v>170</v>
      </c>
      <c r="D2" s="4" t="s">
        <v>171</v>
      </c>
      <c r="E2" s="4" t="s">
        <v>172</v>
      </c>
      <c r="F2" s="4" t="s">
        <v>173</v>
      </c>
      <c r="G2" s="4" t="s">
        <v>174</v>
      </c>
      <c r="H2" s="7">
        <v>18000</v>
      </c>
      <c r="I2" s="4" t="s">
        <v>175</v>
      </c>
      <c r="J2" s="4" t="str">
        <f>MID(표2[[#This Row],[접수마감]], 4, 2)</f>
        <v xml:space="preserve"> 4</v>
      </c>
      <c r="K2" s="4">
        <f>IF(표2[[#This Row],[발표일자]] = "익일", 1, IF(표2[[#This Row],[발표일자]] = "당일날", 0, 1))</f>
        <v>1</v>
      </c>
      <c r="L2" s="4" t="str">
        <f>표2[[#This Row],[종목]] &amp; " "&amp; 표2[[#This Row],[등급]]</f>
        <v>워드프로세서 단일</v>
      </c>
      <c r="M2" s="40">
        <v>1</v>
      </c>
      <c r="O2" s="6"/>
      <c r="P2">
        <f>IFERROR(VLOOKUP(O2,표2[[열3]:[번호2]],2,FALSE), 1)</f>
        <v>1</v>
      </c>
    </row>
    <row r="3" spans="1:16" x14ac:dyDescent="0.3">
      <c r="A3" s="4">
        <v>2</v>
      </c>
      <c r="B3" s="4" t="s">
        <v>176</v>
      </c>
      <c r="C3" s="4" t="s">
        <v>177</v>
      </c>
      <c r="D3" s="4" t="s">
        <v>178</v>
      </c>
      <c r="E3" s="4" t="s">
        <v>179</v>
      </c>
      <c r="F3" s="4" t="s">
        <v>173</v>
      </c>
      <c r="G3" s="4" t="s">
        <v>180</v>
      </c>
      <c r="H3" s="7">
        <v>19000</v>
      </c>
      <c r="I3" s="4" t="s">
        <v>175</v>
      </c>
      <c r="J3" s="4" t="str">
        <f>MID(표2[[#This Row],[접수마감]], 4, 2)</f>
        <v xml:space="preserve"> 5</v>
      </c>
      <c r="K3" s="4">
        <f>IF(표2[[#This Row],[발표일자]] = "익일", 1, IF(표2[[#This Row],[발표일자]] = "당일날", 0, 1))</f>
        <v>0</v>
      </c>
      <c r="L3" s="4" t="str">
        <f>표2[[#This Row],[종목]] &amp; " "&amp; 표2[[#This Row],[등급]]</f>
        <v>컴퓨터활용능력 1급</v>
      </c>
      <c r="M3" s="40">
        <v>2</v>
      </c>
    </row>
    <row r="4" spans="1:16" x14ac:dyDescent="0.3">
      <c r="A4" s="4">
        <v>3</v>
      </c>
      <c r="B4" s="4" t="s">
        <v>176</v>
      </c>
      <c r="C4" s="4" t="s">
        <v>181</v>
      </c>
      <c r="D4" s="4" t="s">
        <v>178</v>
      </c>
      <c r="E4" s="4" t="s">
        <v>179</v>
      </c>
      <c r="F4" s="4" t="s">
        <v>173</v>
      </c>
      <c r="G4" s="4" t="s">
        <v>180</v>
      </c>
      <c r="H4" s="7">
        <v>19000</v>
      </c>
      <c r="I4" s="4" t="s">
        <v>175</v>
      </c>
      <c r="J4" s="4" t="str">
        <f>MID(표2[[#This Row],[접수마감]], 4, 2)</f>
        <v xml:space="preserve"> 5</v>
      </c>
      <c r="K4" s="4">
        <f>IF(표2[[#This Row],[발표일자]] = "익일", 1, IF(표2[[#This Row],[발표일자]] = "당일날", 0, 1))</f>
        <v>0</v>
      </c>
      <c r="L4" s="4" t="str">
        <f>표2[[#This Row],[종목]] &amp; " "&amp; 표2[[#This Row],[등급]]</f>
        <v>컴퓨터활용능력 2급</v>
      </c>
      <c r="M4" s="40">
        <v>3</v>
      </c>
    </row>
    <row r="5" spans="1:16" x14ac:dyDescent="0.3">
      <c r="A5" s="4">
        <v>4</v>
      </c>
      <c r="B5" s="4" t="s">
        <v>182</v>
      </c>
      <c r="C5" s="4" t="s">
        <v>177</v>
      </c>
      <c r="D5" s="4" t="s">
        <v>183</v>
      </c>
      <c r="E5" s="4" t="s">
        <v>172</v>
      </c>
      <c r="F5" s="4" t="s">
        <v>173</v>
      </c>
      <c r="G5" s="4" t="s">
        <v>184</v>
      </c>
      <c r="H5" s="7">
        <v>22000</v>
      </c>
      <c r="I5" s="4" t="s">
        <v>185</v>
      </c>
      <c r="J5" s="4" t="str">
        <f>MID(표2[[#This Row],[접수마감]], 4, 2)</f>
        <v xml:space="preserve"> 9</v>
      </c>
      <c r="K5" s="4">
        <f>IF(표2[[#This Row],[발표일자]] = "익일", 1, IF(표2[[#This Row],[발표일자]] = "당일날", 0, 1))</f>
        <v>1</v>
      </c>
      <c r="L5" s="4" t="str">
        <f>표2[[#This Row],[종목]] &amp; " "&amp; 표2[[#This Row],[등급]]</f>
        <v>비서 1급</v>
      </c>
      <c r="M5" s="40">
        <v>4</v>
      </c>
    </row>
    <row r="6" spans="1:16" x14ac:dyDescent="0.3">
      <c r="A6" s="4">
        <v>5</v>
      </c>
      <c r="B6" s="4" t="s">
        <v>182</v>
      </c>
      <c r="C6" s="4" t="s">
        <v>181</v>
      </c>
      <c r="D6" s="4" t="s">
        <v>183</v>
      </c>
      <c r="E6" s="4" t="s">
        <v>172</v>
      </c>
      <c r="F6" s="4" t="s">
        <v>173</v>
      </c>
      <c r="G6" s="4" t="s">
        <v>184</v>
      </c>
      <c r="H6" s="7">
        <v>21000</v>
      </c>
      <c r="I6" s="4" t="s">
        <v>185</v>
      </c>
      <c r="J6" s="4" t="str">
        <f>MID(표2[[#This Row],[접수마감]], 4, 2)</f>
        <v xml:space="preserve"> 9</v>
      </c>
      <c r="K6" s="4">
        <f>IF(표2[[#This Row],[발표일자]] = "익일", 1, IF(표2[[#This Row],[발표일자]] = "당일날", 0, 1))</f>
        <v>1</v>
      </c>
      <c r="L6" s="4" t="str">
        <f>표2[[#This Row],[종목]] &amp; " "&amp; 표2[[#This Row],[등급]]</f>
        <v>비서 2급</v>
      </c>
      <c r="M6" s="40">
        <v>5</v>
      </c>
    </row>
    <row r="7" spans="1:16" x14ac:dyDescent="0.3">
      <c r="A7" s="4">
        <v>6</v>
      </c>
      <c r="B7" s="4" t="s">
        <v>182</v>
      </c>
      <c r="C7" s="4" t="s">
        <v>186</v>
      </c>
      <c r="D7" s="4" t="s">
        <v>183</v>
      </c>
      <c r="E7" s="4" t="s">
        <v>172</v>
      </c>
      <c r="F7" s="4" t="s">
        <v>173</v>
      </c>
      <c r="G7" s="4" t="s">
        <v>184</v>
      </c>
      <c r="H7" s="7">
        <v>20000</v>
      </c>
      <c r="I7" s="4" t="s">
        <v>185</v>
      </c>
      <c r="J7" s="4" t="str">
        <f>MID(표2[[#This Row],[접수마감]], 4, 2)</f>
        <v xml:space="preserve"> 9</v>
      </c>
      <c r="K7" s="4">
        <f>IF(표2[[#This Row],[발표일자]] = "익일", 1, IF(표2[[#This Row],[발표일자]] = "당일날", 0, 1))</f>
        <v>1</v>
      </c>
      <c r="L7" s="4" t="str">
        <f>표2[[#This Row],[종목]] &amp; " "&amp; 표2[[#This Row],[등급]]</f>
        <v>비서 3급</v>
      </c>
      <c r="M7" s="40">
        <v>6</v>
      </c>
    </row>
    <row r="8" spans="1:16" x14ac:dyDescent="0.3">
      <c r="H8" s="7"/>
      <c r="J8" s="40"/>
      <c r="K8" s="4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64"/>
  <sheetViews>
    <sheetView topLeftCell="A119" zoomScale="85" zoomScaleNormal="85" workbookViewId="0">
      <selection activeCell="F2" sqref="F2:F159"/>
    </sheetView>
  </sheetViews>
  <sheetFormatPr defaultRowHeight="16.5" x14ac:dyDescent="0.3"/>
  <cols>
    <col min="1" max="1" width="9.125" style="4" bestFit="1" customWidth="1"/>
    <col min="2" max="2" width="10.25" style="4" customWidth="1"/>
    <col min="3" max="3" width="9.125" style="4" bestFit="1" customWidth="1"/>
    <col min="4" max="4" width="23.125" style="4" bestFit="1" customWidth="1"/>
    <col min="5" max="5" width="12.625" style="4" bestFit="1" customWidth="1"/>
    <col min="6" max="6" width="10.25" style="4" customWidth="1"/>
    <col min="7" max="7" width="12.625" style="4" bestFit="1" customWidth="1"/>
    <col min="8" max="8" width="9.125" style="4" bestFit="1" customWidth="1"/>
    <col min="9" max="9" width="9" style="4"/>
    <col min="10" max="10" width="9.125" bestFit="1" customWidth="1"/>
    <col min="12" max="12" width="9.125" bestFit="1" customWidth="1"/>
    <col min="14" max="14" width="9.125" bestFit="1" customWidth="1"/>
    <col min="15" max="15" width="12.625" bestFit="1" customWidth="1"/>
    <col min="16" max="16" width="9" bestFit="1" customWidth="1"/>
    <col min="17" max="17" width="5.25" bestFit="1" customWidth="1"/>
    <col min="18" max="18" width="12.625" bestFit="1" customWidth="1"/>
  </cols>
  <sheetData>
    <row r="1" spans="1:18" x14ac:dyDescent="0.3">
      <c r="A1" s="10" t="s">
        <v>1</v>
      </c>
      <c r="B1" s="10" t="s">
        <v>187</v>
      </c>
      <c r="C1" s="10" t="s">
        <v>188</v>
      </c>
      <c r="D1" s="10" t="s">
        <v>189</v>
      </c>
      <c r="E1" s="10" t="s">
        <v>190</v>
      </c>
      <c r="F1" s="10" t="s">
        <v>191</v>
      </c>
      <c r="G1" s="10" t="s">
        <v>164</v>
      </c>
      <c r="H1" s="10" t="s">
        <v>192</v>
      </c>
      <c r="I1" s="11" t="s">
        <v>1492</v>
      </c>
      <c r="J1" s="46" t="s">
        <v>1522</v>
      </c>
      <c r="L1" t="s">
        <v>1511</v>
      </c>
      <c r="N1" s="44" t="s">
        <v>1490</v>
      </c>
      <c r="O1" s="44" t="s">
        <v>1514</v>
      </c>
      <c r="P1" s="44" t="s">
        <v>1515</v>
      </c>
      <c r="Q1" s="44" t="s">
        <v>1522</v>
      </c>
      <c r="R1" s="45" t="s">
        <v>1516</v>
      </c>
    </row>
    <row r="2" spans="1:18" x14ac:dyDescent="0.3">
      <c r="A2" s="12">
        <v>1</v>
      </c>
      <c r="B2" s="12">
        <v>3</v>
      </c>
      <c r="C2" s="12">
        <v>1</v>
      </c>
      <c r="D2" s="12" t="str">
        <f>TEXT(시험일정!$E2-14, "yyyy-mm-dd") &amp; "~" &amp; TEXT(시험일정!$E2 -시험일정!$I2, "yyyy-mm-dd")</f>
        <v>2021-05-03~2021-05-12</v>
      </c>
      <c r="E2" s="13">
        <v>44333</v>
      </c>
      <c r="F2" s="14">
        <v>0.54166666666666663</v>
      </c>
      <c r="G2" s="42">
        <f>시험일정!$E2 + VLOOKUP(시험일정!$B2,표2[],11, FALSE)</f>
        <v>44333</v>
      </c>
      <c r="H2" s="15">
        <f>IFERROR(COUNTIFS(표5[종목],시험일정!$B2,표5[회차],시험일정!$C2,표5[합격여부], "합격")/COUNTIFS(표5[종목],시험일정!$B2,표5[회차],시험일정!$C2),0)</f>
        <v>0</v>
      </c>
      <c r="I2" s="16" t="str">
        <f>VLOOKUP(시험일정!$B2,표2[],10, FALSE)</f>
        <v xml:space="preserve"> 5</v>
      </c>
      <c r="J2">
        <f>COUNTIF(표5[일정번호],시험일정!$A2)</f>
        <v>5</v>
      </c>
      <c r="K2" s="41"/>
      <c r="L2">
        <v>3</v>
      </c>
      <c r="N2" s="12">
        <v>1</v>
      </c>
      <c r="O2" s="13">
        <v>44333</v>
      </c>
      <c r="P2" s="14">
        <v>0.54166666666666663</v>
      </c>
      <c r="Q2">
        <v>4</v>
      </c>
      <c r="R2" s="42">
        <v>44333</v>
      </c>
    </row>
    <row r="3" spans="1:18" x14ac:dyDescent="0.3">
      <c r="A3" s="12">
        <v>2</v>
      </c>
      <c r="B3" s="12">
        <v>4</v>
      </c>
      <c r="C3" s="12">
        <v>1</v>
      </c>
      <c r="D3" s="12" t="str">
        <f>TEXT(시험일정!$E3-14, "yyyy-mm-dd") &amp; "~" &amp; TEXT(시험일정!$E3 -시험일정!$I3, "yyyy-mm-dd")</f>
        <v>2021-05-10~2021-05-15</v>
      </c>
      <c r="E3" s="13">
        <v>44340</v>
      </c>
      <c r="F3" s="14">
        <v>0.59722222222222221</v>
      </c>
      <c r="G3" s="42">
        <f>시험일정!$E3 + VLOOKUP(시험일정!$B3,표2[],11, FALSE)</f>
        <v>44341</v>
      </c>
      <c r="H3" s="15">
        <f>IFERROR(COUNTIFS(표5[종목],시험일정!$B3,표5[회차],시험일정!$C3,표5[합격여부], "합격")/COUNTIFS(표5[종목],시험일정!$B3,표5[회차],시험일정!$C3),0)</f>
        <v>0</v>
      </c>
      <c r="I3" s="16" t="str">
        <f>VLOOKUP(시험일정!$B3,표2[],10, FALSE)</f>
        <v xml:space="preserve"> 9</v>
      </c>
      <c r="J3">
        <f>COUNTIF(표5[일정번호],시험일정!$A3)</f>
        <v>0</v>
      </c>
      <c r="K3" s="41"/>
      <c r="N3" s="12">
        <v>13</v>
      </c>
      <c r="O3" s="13">
        <v>44373</v>
      </c>
      <c r="P3" s="14">
        <v>0.45833333333333331</v>
      </c>
      <c r="Q3">
        <v>4</v>
      </c>
      <c r="R3" s="42">
        <v>44373</v>
      </c>
    </row>
    <row r="4" spans="1:18" x14ac:dyDescent="0.3">
      <c r="A4" s="12">
        <v>3</v>
      </c>
      <c r="B4" s="12">
        <v>5</v>
      </c>
      <c r="C4" s="12">
        <v>1</v>
      </c>
      <c r="D4" s="12" t="str">
        <f>TEXT(시험일정!$E4-14, "yyyy-mm-dd") &amp; "~" &amp; TEXT(시험일정!$E4 -시험일정!$I4, "yyyy-mm-dd")</f>
        <v>2021-05-17~2021-05-22</v>
      </c>
      <c r="E4" s="13">
        <v>44347</v>
      </c>
      <c r="F4" s="14">
        <v>0.54166666666666663</v>
      </c>
      <c r="G4" s="42">
        <f>시험일정!$E4 + VLOOKUP(시험일정!$B4,표2[],11, FALSE)</f>
        <v>44348</v>
      </c>
      <c r="H4" s="15">
        <f>IFERROR(COUNTIFS(표5[종목],시험일정!$B4,표5[회차],시험일정!$C4,표5[합격여부], "합격")/COUNTIFS(표5[종목],시험일정!$B4,표5[회차],시험일정!$C4),0)</f>
        <v>0</v>
      </c>
      <c r="I4" s="16" t="str">
        <f>VLOOKUP(시험일정!$B4,표2[],10, FALSE)</f>
        <v xml:space="preserve"> 9</v>
      </c>
      <c r="J4">
        <f>COUNTIF(표5[일정번호],시험일정!$A4)</f>
        <v>0</v>
      </c>
      <c r="K4" s="41"/>
      <c r="L4" t="s">
        <v>1512</v>
      </c>
      <c r="N4" s="12">
        <v>18</v>
      </c>
      <c r="O4" s="13">
        <v>44378</v>
      </c>
      <c r="P4" s="14">
        <v>0.66666666666666663</v>
      </c>
      <c r="Q4">
        <v>4</v>
      </c>
      <c r="R4" s="42">
        <v>44378</v>
      </c>
    </row>
    <row r="5" spans="1:18" x14ac:dyDescent="0.3">
      <c r="A5" s="12">
        <v>4</v>
      </c>
      <c r="B5" s="12">
        <v>4</v>
      </c>
      <c r="C5" s="12">
        <v>2</v>
      </c>
      <c r="D5" s="12" t="str">
        <f>TEXT(시험일정!$E5-14, "yyyy-mm-dd") &amp; "~" &amp; TEXT(시험일정!$E5 -시험일정!$I5, "yyyy-mm-dd")</f>
        <v>2021-05-19~2021-05-24</v>
      </c>
      <c r="E5" s="13">
        <v>44349</v>
      </c>
      <c r="F5" s="14">
        <v>0.41666666666666669</v>
      </c>
      <c r="G5" s="42">
        <f>시험일정!$E5 + VLOOKUP(시험일정!$B5,표2[],11, FALSE)</f>
        <v>44350</v>
      </c>
      <c r="H5" s="15">
        <f>IFERROR(COUNTIFS(표5[종목],시험일정!$B5,표5[회차],시험일정!$C5,표5[합격여부], "합격")/COUNTIFS(표5[종목],시험일정!$B5,표5[회차],시험일정!$C5),0)</f>
        <v>0</v>
      </c>
      <c r="I5" s="16" t="str">
        <f>VLOOKUP(시험일정!$B5,표2[],10, FALSE)</f>
        <v xml:space="preserve"> 9</v>
      </c>
      <c r="J5">
        <f>COUNTIF(표5[일정번호],시험일정!$A5)</f>
        <v>0</v>
      </c>
      <c r="L5">
        <f>IFERROR(VLOOKUP(L2,표2[],8,FALSE),"")</f>
        <v>19000</v>
      </c>
      <c r="N5" s="12">
        <v>23</v>
      </c>
      <c r="O5" s="13">
        <v>44383</v>
      </c>
      <c r="P5" s="14">
        <v>0.375</v>
      </c>
      <c r="Q5">
        <v>4</v>
      </c>
      <c r="R5" s="42">
        <v>44383</v>
      </c>
    </row>
    <row r="6" spans="1:18" x14ac:dyDescent="0.3">
      <c r="A6" s="12">
        <v>5</v>
      </c>
      <c r="B6" s="12">
        <v>5</v>
      </c>
      <c r="C6" s="12">
        <v>2</v>
      </c>
      <c r="D6" s="12" t="str">
        <f>TEXT(시험일정!$E6-14, "yyyy-mm-dd") &amp; "~" &amp; TEXT(시험일정!$E6 -시험일정!$I6, "yyyy-mm-dd")</f>
        <v>2021-05-27~2021-06-01</v>
      </c>
      <c r="E6" s="13">
        <v>44357</v>
      </c>
      <c r="F6" s="14">
        <v>0.58333333333333337</v>
      </c>
      <c r="G6" s="42">
        <f>시험일정!$E6 + VLOOKUP(시험일정!$B6,표2[],11, FALSE)</f>
        <v>44358</v>
      </c>
      <c r="H6" s="15">
        <f>IFERROR(COUNTIFS(표5[종목],시험일정!$B6,표5[회차],시험일정!$C6,표5[합격여부], "합격")/COUNTIFS(표5[종목],시험일정!$B6,표5[회차],시험일정!$C6),0)</f>
        <v>0</v>
      </c>
      <c r="I6" s="16" t="str">
        <f>VLOOKUP(시험일정!$B6,표2[],10, FALSE)</f>
        <v xml:space="preserve"> 9</v>
      </c>
      <c r="J6">
        <f>COUNTIF(표5[일정번호],시험일정!$A6)</f>
        <v>0</v>
      </c>
      <c r="L6" t="s">
        <v>1513</v>
      </c>
      <c r="N6" s="12">
        <v>25</v>
      </c>
      <c r="O6" s="13">
        <v>44387</v>
      </c>
      <c r="P6" s="14">
        <v>0.41666666666666669</v>
      </c>
      <c r="Q6">
        <v>0</v>
      </c>
      <c r="R6" s="42">
        <v>44387</v>
      </c>
    </row>
    <row r="7" spans="1:18" x14ac:dyDescent="0.3">
      <c r="A7" s="12">
        <v>6</v>
      </c>
      <c r="B7" s="12">
        <v>1</v>
      </c>
      <c r="C7" s="12">
        <v>1</v>
      </c>
      <c r="D7" s="12" t="str">
        <f>TEXT(시험일정!$E7-14, "yyyy-mm-dd") &amp; "~" &amp; TEXT(시험일정!$E7 -시험일정!$I7, "yyyy-mm-dd")</f>
        <v>2021-06-09~2021-06-19</v>
      </c>
      <c r="E7" s="13">
        <v>44370</v>
      </c>
      <c r="F7" s="14">
        <v>0.375</v>
      </c>
      <c r="G7" s="42">
        <f>시험일정!$E7 + VLOOKUP(시험일정!$B7,표2[],11, FALSE)</f>
        <v>44371</v>
      </c>
      <c r="H7" s="15">
        <f>IFERROR(COUNTIFS(표5[종목],시험일정!$B7,표5[회차],시험일정!$C7,표5[합격여부], "합격")/COUNTIFS(표5[종목],시험일정!$B7,표5[회차],시험일정!$C7),0)</f>
        <v>0</v>
      </c>
      <c r="I7" s="16" t="str">
        <f>VLOOKUP(시험일정!$B7,표2[],10, FALSE)</f>
        <v xml:space="preserve"> 4</v>
      </c>
      <c r="J7">
        <f>COUNTIF(표5[일정번호],시험일정!$A7)</f>
        <v>3</v>
      </c>
      <c r="L7" cm="1">
        <f t="array" ref="L7">접수비*0.07 *0.0001</f>
        <v>0.13300000000000003</v>
      </c>
      <c r="N7" s="12">
        <v>28</v>
      </c>
      <c r="O7" s="13">
        <v>44388</v>
      </c>
      <c r="P7" s="14">
        <v>0.66666666666666663</v>
      </c>
      <c r="Q7">
        <v>4</v>
      </c>
      <c r="R7" s="42">
        <v>44388</v>
      </c>
    </row>
    <row r="8" spans="1:18" x14ac:dyDescent="0.3">
      <c r="A8" s="12">
        <v>7</v>
      </c>
      <c r="B8" s="12">
        <v>1</v>
      </c>
      <c r="C8" s="12">
        <v>2</v>
      </c>
      <c r="D8" s="12" t="str">
        <f>TEXT(시험일정!$E8-14, "yyyy-mm-dd") &amp; "~" &amp; TEXT(시험일정!$E8 -시험일정!$I8, "yyyy-mm-dd")</f>
        <v>2021-06-09~2021-06-19</v>
      </c>
      <c r="E8" s="13">
        <v>44370</v>
      </c>
      <c r="F8" s="14">
        <v>0.43055555555555558</v>
      </c>
      <c r="G8" s="42">
        <f>시험일정!$E8 + VLOOKUP(시험일정!$B8,표2[],11, FALSE)</f>
        <v>44371</v>
      </c>
      <c r="H8" s="15">
        <f>IFERROR(COUNTIFS(표5[종목],시험일정!$B8,표5[회차],시험일정!$C8,표5[합격여부], "합격")/COUNTIFS(표5[종목],시험일정!$B8,표5[회차],시험일정!$C8),0)</f>
        <v>0</v>
      </c>
      <c r="I8" s="16" t="str">
        <f>VLOOKUP(시험일정!$B8,표2[],10, FALSE)</f>
        <v xml:space="preserve"> 4</v>
      </c>
      <c r="J8">
        <f>COUNTIF(표5[일정번호],시험일정!$A8)</f>
        <v>3</v>
      </c>
      <c r="L8">
        <f>ROUND(L7,2)*10000</f>
        <v>1300</v>
      </c>
      <c r="N8" s="12">
        <v>36</v>
      </c>
      <c r="O8" s="13">
        <v>44395</v>
      </c>
      <c r="P8" s="14">
        <v>0.625</v>
      </c>
      <c r="Q8">
        <v>2</v>
      </c>
      <c r="R8" s="42">
        <v>44395</v>
      </c>
    </row>
    <row r="9" spans="1:18" x14ac:dyDescent="0.3">
      <c r="A9" s="12">
        <v>8</v>
      </c>
      <c r="B9" s="12">
        <v>1</v>
      </c>
      <c r="C9" s="12">
        <v>3</v>
      </c>
      <c r="D9" s="12" t="str">
        <f>TEXT(시험일정!$E9-14, "yyyy-mm-dd") &amp; "~" &amp; TEXT(시험일정!$E9 -시험일정!$I9, "yyyy-mm-dd")</f>
        <v>2021-06-09~2021-06-19</v>
      </c>
      <c r="E9" s="13">
        <v>44370</v>
      </c>
      <c r="F9" s="14">
        <v>0.625</v>
      </c>
      <c r="G9" s="42">
        <f>시험일정!$E9 + VLOOKUP(시험일정!$B9,표2[],11, FALSE)</f>
        <v>44371</v>
      </c>
      <c r="H9" s="15">
        <f>IFERROR(COUNTIFS(표5[종목],시험일정!$B9,표5[회차],시험일정!$C9,표5[합격여부], "합격")/COUNTIFS(표5[종목],시험일정!$B9,표5[회차],시험일정!$C9),0)</f>
        <v>0</v>
      </c>
      <c r="I9" s="16" t="str">
        <f>VLOOKUP(시험일정!$B9,표2[],10, FALSE)</f>
        <v xml:space="preserve"> 4</v>
      </c>
      <c r="J9">
        <f>COUNTIF(표5[일정번호],시험일정!$A9)</f>
        <v>0</v>
      </c>
      <c r="N9" s="12">
        <v>37</v>
      </c>
      <c r="O9" s="13">
        <v>44396</v>
      </c>
      <c r="P9" s="14">
        <v>0.41666666666666669</v>
      </c>
      <c r="Q9">
        <v>2</v>
      </c>
      <c r="R9" s="42">
        <v>44396</v>
      </c>
    </row>
    <row r="10" spans="1:18" x14ac:dyDescent="0.3">
      <c r="A10" s="12">
        <v>9</v>
      </c>
      <c r="B10" s="12">
        <v>1</v>
      </c>
      <c r="C10" s="12">
        <v>4</v>
      </c>
      <c r="D10" s="12" t="str">
        <f>TEXT(시험일정!$E10-14, "yyyy-mm-dd") &amp; "~" &amp; TEXT(시험일정!$E10 -시험일정!$I10, "yyyy-mm-dd")</f>
        <v>2021-06-11~2021-06-21</v>
      </c>
      <c r="E10" s="13">
        <v>44372</v>
      </c>
      <c r="F10" s="14">
        <v>0.45833333333333331</v>
      </c>
      <c r="G10" s="42">
        <f>시험일정!$E10 + VLOOKUP(시험일정!$B10,표2[],11, FALSE)</f>
        <v>44373</v>
      </c>
      <c r="H10" s="15">
        <f>IFERROR(COUNTIFS(표5[종목],시험일정!$B10,표5[회차],시험일정!$C10,표5[합격여부], "합격")/COUNTIFS(표5[종목],시험일정!$B10,표5[회차],시험일정!$C10),0)</f>
        <v>0</v>
      </c>
      <c r="I10" s="16" t="str">
        <f>VLOOKUP(시험일정!$B10,표2[],10, FALSE)</f>
        <v xml:space="preserve"> 4</v>
      </c>
      <c r="J10">
        <f>COUNTIF(표5[일정번호],시험일정!$A10)</f>
        <v>4</v>
      </c>
      <c r="N10" s="12">
        <v>40</v>
      </c>
      <c r="O10" s="13">
        <v>44397</v>
      </c>
      <c r="P10" s="14">
        <v>0.54166666666666663</v>
      </c>
      <c r="Q10">
        <v>1</v>
      </c>
      <c r="R10" s="42">
        <v>44397</v>
      </c>
    </row>
    <row r="11" spans="1:18" x14ac:dyDescent="0.3">
      <c r="A11" s="12">
        <v>10</v>
      </c>
      <c r="B11" s="12">
        <v>1</v>
      </c>
      <c r="C11" s="12">
        <v>5</v>
      </c>
      <c r="D11" s="12" t="str">
        <f>TEXT(시험일정!$E11-14, "yyyy-mm-dd") &amp; "~" &amp; TEXT(시험일정!$E11 -시험일정!$I11, "yyyy-mm-dd")</f>
        <v>2021-06-11~2021-06-21</v>
      </c>
      <c r="E11" s="13">
        <v>44372</v>
      </c>
      <c r="F11" s="14">
        <v>0.58333333333333337</v>
      </c>
      <c r="G11" s="42">
        <f>시험일정!$E11 + VLOOKUP(시험일정!$B11,표2[],11, FALSE)</f>
        <v>44373</v>
      </c>
      <c r="H11" s="15">
        <f>IFERROR(COUNTIFS(표5[종목],시험일정!$B11,표5[회차],시험일정!$C11,표5[합격여부], "합격")/COUNTIFS(표5[종목],시험일정!$B11,표5[회차],시험일정!$C11),0)</f>
        <v>0</v>
      </c>
      <c r="I11" s="16" t="str">
        <f>VLOOKUP(시험일정!$B11,표2[],10, FALSE)</f>
        <v xml:space="preserve"> 4</v>
      </c>
      <c r="J11">
        <f>COUNTIF(표5[일정번호],시험일정!$A11)</f>
        <v>5</v>
      </c>
      <c r="N11" s="12">
        <v>53</v>
      </c>
      <c r="O11" s="13">
        <v>44406</v>
      </c>
      <c r="P11" s="14">
        <v>0.58333333333333337</v>
      </c>
      <c r="Q11">
        <v>2</v>
      </c>
      <c r="R11" s="42">
        <v>44406</v>
      </c>
    </row>
    <row r="12" spans="1:18" x14ac:dyDescent="0.3">
      <c r="A12" s="12">
        <v>11</v>
      </c>
      <c r="B12" s="12">
        <v>1</v>
      </c>
      <c r="C12" s="12">
        <v>6</v>
      </c>
      <c r="D12" s="12" t="str">
        <f>TEXT(시험일정!$E12-14, "yyyy-mm-dd") &amp; "~" &amp; TEXT(시험일정!$E12 -시험일정!$I12, "yyyy-mm-dd")</f>
        <v>2021-06-11~2021-06-21</v>
      </c>
      <c r="E12" s="13">
        <v>44372</v>
      </c>
      <c r="F12" s="14">
        <v>0.63888888888888895</v>
      </c>
      <c r="G12" s="42">
        <f>시험일정!$E12 + VLOOKUP(시험일정!$B12,표2[],11, FALSE)</f>
        <v>44373</v>
      </c>
      <c r="H12" s="15">
        <f>IFERROR(COUNTIFS(표5[종목],시험일정!$B12,표5[회차],시험일정!$C12,표5[합격여부], "합격")/COUNTIFS(표5[종목],시험일정!$B12,표5[회차],시험일정!$C12),0)</f>
        <v>0</v>
      </c>
      <c r="I12" s="16" t="str">
        <f>VLOOKUP(시험일정!$B12,표2[],10, FALSE)</f>
        <v xml:space="preserve"> 4</v>
      </c>
      <c r="J12">
        <f>COUNTIF(표5[일정번호],시험일정!$A12)</f>
        <v>8</v>
      </c>
      <c r="N12" s="12">
        <v>62</v>
      </c>
      <c r="O12" s="13">
        <v>44416</v>
      </c>
      <c r="P12" s="14">
        <v>0.375</v>
      </c>
      <c r="Q12">
        <v>3</v>
      </c>
      <c r="R12" s="42">
        <v>44416</v>
      </c>
    </row>
    <row r="13" spans="1:18" x14ac:dyDescent="0.3">
      <c r="A13" s="12">
        <v>12</v>
      </c>
      <c r="B13" s="12">
        <v>1</v>
      </c>
      <c r="C13" s="12">
        <v>7</v>
      </c>
      <c r="D13" s="12" t="str">
        <f>TEXT(시험일정!$E13-14, "yyyy-mm-dd") &amp; "~" &amp; TEXT(시험일정!$E13 -시험일정!$I13, "yyyy-mm-dd")</f>
        <v>2021-06-11~2021-06-21</v>
      </c>
      <c r="E13" s="13">
        <v>44372</v>
      </c>
      <c r="F13" s="14">
        <v>0.70833333333333337</v>
      </c>
      <c r="G13" s="42">
        <f>시험일정!$E13 + VLOOKUP(시험일정!$B13,표2[],11, FALSE)</f>
        <v>44373</v>
      </c>
      <c r="H13" s="15">
        <f>IFERROR(COUNTIFS(표5[종목],시험일정!$B13,표5[회차],시험일정!$C13,표5[합격여부], "합격")/COUNTIFS(표5[종목],시험일정!$B13,표5[회차],시험일정!$C13),0)</f>
        <v>0</v>
      </c>
      <c r="I13" s="16" t="str">
        <f>VLOOKUP(시험일정!$B13,표2[],10, FALSE)</f>
        <v xml:space="preserve"> 4</v>
      </c>
      <c r="J13">
        <f>COUNTIF(표5[일정번호],시험일정!$A13)</f>
        <v>8</v>
      </c>
      <c r="N13" s="12">
        <v>75</v>
      </c>
      <c r="O13" s="13">
        <v>44429</v>
      </c>
      <c r="P13" s="14">
        <v>0.54166666666666663</v>
      </c>
      <c r="Q13">
        <v>3</v>
      </c>
      <c r="R13" s="42">
        <v>44429</v>
      </c>
    </row>
    <row r="14" spans="1:18" x14ac:dyDescent="0.3">
      <c r="A14" s="12">
        <v>13</v>
      </c>
      <c r="B14" s="12">
        <v>3</v>
      </c>
      <c r="C14" s="12">
        <v>2</v>
      </c>
      <c r="D14" s="12" t="str">
        <f>TEXT(시험일정!$E14-14, "yyyy-mm-dd") &amp; "~" &amp; TEXT(시험일정!$E14 -시험일정!$I14, "yyyy-mm-dd")</f>
        <v>2021-06-12~2021-06-21</v>
      </c>
      <c r="E14" s="13">
        <v>44373</v>
      </c>
      <c r="F14" s="14">
        <v>0.45833333333333331</v>
      </c>
      <c r="G14" s="42">
        <f>시험일정!$E14 + VLOOKUP(시험일정!$B14,표2[],11, FALSE)</f>
        <v>44373</v>
      </c>
      <c r="H14" s="15">
        <f>IFERROR(COUNTIFS(표5[종목],시험일정!$B14,표5[회차],시험일정!$C14,표5[합격여부], "합격")/COUNTIFS(표5[종목],시험일정!$B14,표5[회차],시험일정!$C14),0)</f>
        <v>0</v>
      </c>
      <c r="I14" s="16" t="str">
        <f>VLOOKUP(시험일정!$B14,표2[],10, FALSE)</f>
        <v xml:space="preserve"> 5</v>
      </c>
      <c r="J14">
        <f>COUNTIF(표5[일정번호],시험일정!$A14)</f>
        <v>4</v>
      </c>
      <c r="N14" s="12">
        <v>81</v>
      </c>
      <c r="O14" s="13">
        <v>44433</v>
      </c>
      <c r="P14" s="14">
        <v>0.45833333333333331</v>
      </c>
      <c r="Q14">
        <v>4</v>
      </c>
      <c r="R14" s="42">
        <v>44433</v>
      </c>
    </row>
    <row r="15" spans="1:18" x14ac:dyDescent="0.3">
      <c r="A15" s="12">
        <v>14</v>
      </c>
      <c r="B15" s="12">
        <v>1</v>
      </c>
      <c r="C15" s="12">
        <v>8</v>
      </c>
      <c r="D15" s="12" t="str">
        <f>TEXT(시험일정!$E15-14, "yyyy-mm-dd") &amp; "~" &amp; TEXT(시험일정!$E15 -시험일정!$I15, "yyyy-mm-dd")</f>
        <v>2021-06-14~2021-06-24</v>
      </c>
      <c r="E15" s="13">
        <v>44375</v>
      </c>
      <c r="F15" s="14">
        <v>0.45833333333333331</v>
      </c>
      <c r="G15" s="42">
        <f>시험일정!$E15 + VLOOKUP(시험일정!$B15,표2[],11, FALSE)</f>
        <v>44376</v>
      </c>
      <c r="H15" s="15">
        <f>IFERROR(COUNTIFS(표5[종목],시험일정!$B15,표5[회차],시험일정!$C15,표5[합격여부], "합격")/COUNTIFS(표5[종목],시험일정!$B15,표5[회차],시험일정!$C15),0)</f>
        <v>0</v>
      </c>
      <c r="I15" s="16" t="str">
        <f>VLOOKUP(시험일정!$B15,표2[],10, FALSE)</f>
        <v xml:space="preserve"> 4</v>
      </c>
      <c r="J15">
        <f>COUNTIF(표5[일정번호],시험일정!$A15)</f>
        <v>9</v>
      </c>
      <c r="N15" s="12">
        <v>84</v>
      </c>
      <c r="O15" s="13">
        <v>44437</v>
      </c>
      <c r="P15" s="14">
        <v>0.58333333333333337</v>
      </c>
      <c r="Q15">
        <v>6</v>
      </c>
      <c r="R15" s="42">
        <v>44437</v>
      </c>
    </row>
    <row r="16" spans="1:18" x14ac:dyDescent="0.3">
      <c r="A16" s="12">
        <v>15</v>
      </c>
      <c r="B16" s="12">
        <v>1</v>
      </c>
      <c r="C16" s="12">
        <v>9</v>
      </c>
      <c r="D16" s="12" t="str">
        <f>TEXT(시험일정!$E16-14, "yyyy-mm-dd") &amp; "~" &amp; TEXT(시험일정!$E16 -시험일정!$I16, "yyyy-mm-dd")</f>
        <v>2021-06-14~2021-06-24</v>
      </c>
      <c r="E16" s="13">
        <v>44375</v>
      </c>
      <c r="F16" s="14">
        <v>0.54166666666666663</v>
      </c>
      <c r="G16" s="42">
        <f>시험일정!$E16 + VLOOKUP(시험일정!$B16,표2[],11, FALSE)</f>
        <v>44376</v>
      </c>
      <c r="H16" s="15">
        <f>IFERROR(COUNTIFS(표5[종목],시험일정!$B16,표5[회차],시험일정!$C16,표5[합격여부], "합격")/COUNTIFS(표5[종목],시험일정!$B16,표5[회차],시험일정!$C16),0)</f>
        <v>0</v>
      </c>
      <c r="I16" s="16" t="str">
        <f>VLOOKUP(시험일정!$B16,표2[],10, FALSE)</f>
        <v xml:space="preserve"> 4</v>
      </c>
      <c r="J16">
        <f>COUNTIF(표5[일정번호],시험일정!$A16)</f>
        <v>8</v>
      </c>
      <c r="N16" s="12">
        <v>90</v>
      </c>
      <c r="O16" s="13">
        <v>44440</v>
      </c>
      <c r="P16" s="14">
        <v>0.375</v>
      </c>
      <c r="Q16">
        <v>5</v>
      </c>
      <c r="R16" s="42">
        <v>44440</v>
      </c>
    </row>
    <row r="17" spans="1:18" x14ac:dyDescent="0.3">
      <c r="A17" s="12">
        <v>16</v>
      </c>
      <c r="B17" s="12">
        <v>1</v>
      </c>
      <c r="C17" s="12">
        <v>10</v>
      </c>
      <c r="D17" s="12" t="str">
        <f>TEXT(시험일정!$E17-14, "yyyy-mm-dd") &amp; "~" &amp; TEXT(시험일정!$E17 -시험일정!$I17, "yyyy-mm-dd")</f>
        <v>2021-06-14~2021-06-24</v>
      </c>
      <c r="E17" s="13">
        <v>44375</v>
      </c>
      <c r="F17" s="14">
        <v>0.625</v>
      </c>
      <c r="G17" s="42">
        <f>시험일정!$E17 + VLOOKUP(시험일정!$B17,표2[],11, FALSE)</f>
        <v>44376</v>
      </c>
      <c r="H17" s="15">
        <f>IFERROR(COUNTIFS(표5[종목],시험일정!$B17,표5[회차],시험일정!$C17,표5[합격여부], "합격")/COUNTIFS(표5[종목],시험일정!$B17,표5[회차],시험일정!$C17),0)</f>
        <v>0</v>
      </c>
      <c r="I17" s="16" t="str">
        <f>VLOOKUP(시험일정!$B17,표2[],10, FALSE)</f>
        <v xml:space="preserve"> 4</v>
      </c>
      <c r="J17">
        <f>COUNTIF(표5[일정번호],시험일정!$A17)</f>
        <v>6</v>
      </c>
      <c r="N17" s="12">
        <v>95</v>
      </c>
      <c r="O17" s="13">
        <v>44444</v>
      </c>
      <c r="P17" s="14">
        <v>0.54166666666666663</v>
      </c>
      <c r="Q17">
        <v>5</v>
      </c>
      <c r="R17" s="42">
        <v>44444</v>
      </c>
    </row>
    <row r="18" spans="1:18" x14ac:dyDescent="0.3">
      <c r="A18" s="12">
        <v>17</v>
      </c>
      <c r="B18" s="12">
        <v>1</v>
      </c>
      <c r="C18" s="12">
        <v>11</v>
      </c>
      <c r="D18" s="12" t="str">
        <f>TEXT(시험일정!$E18-14, "yyyy-mm-dd") &amp; "~" &amp; TEXT(시험일정!$E18 -시험일정!$I18, "yyyy-mm-dd")</f>
        <v>2021-06-14~2021-06-24</v>
      </c>
      <c r="E18" s="13">
        <v>44375</v>
      </c>
      <c r="F18" s="14">
        <v>0.68055555555555547</v>
      </c>
      <c r="G18" s="42">
        <f>시험일정!$E18 + VLOOKUP(시험일정!$B18,표2[],11, FALSE)</f>
        <v>44376</v>
      </c>
      <c r="H18" s="15">
        <f>IFERROR(COUNTIFS(표5[종목],시험일정!$B18,표5[회차],시험일정!$C18,표5[합격여부], "합격")/COUNTIFS(표5[종목],시험일정!$B18,표5[회차],시험일정!$C18),0)</f>
        <v>0</v>
      </c>
      <c r="I18" s="16" t="str">
        <f>VLOOKUP(시험일정!$B18,표2[],10, FALSE)</f>
        <v xml:space="preserve"> 4</v>
      </c>
      <c r="J18">
        <f>COUNTIF(표5[일정번호],시험일정!$A18)</f>
        <v>8</v>
      </c>
      <c r="N18" s="12">
        <v>98</v>
      </c>
      <c r="O18" s="13">
        <v>44449</v>
      </c>
      <c r="P18" s="14">
        <v>0.45833333333333331</v>
      </c>
      <c r="Q18">
        <v>4</v>
      </c>
      <c r="R18" s="42">
        <v>44449</v>
      </c>
    </row>
    <row r="19" spans="1:18" x14ac:dyDescent="0.3">
      <c r="A19" s="12">
        <v>18</v>
      </c>
      <c r="B19" s="12">
        <v>3</v>
      </c>
      <c r="C19" s="12">
        <v>3</v>
      </c>
      <c r="D19" s="12" t="str">
        <f>TEXT(시험일정!$E19-14, "yyyy-mm-dd") &amp; "~" &amp; TEXT(시험일정!$E19 -시험일정!$I19, "yyyy-mm-dd")</f>
        <v>2021-06-17~2021-06-26</v>
      </c>
      <c r="E19" s="13">
        <v>44378</v>
      </c>
      <c r="F19" s="14">
        <v>0.66666666666666663</v>
      </c>
      <c r="G19" s="42">
        <f>시험일정!$E19 + VLOOKUP(시험일정!$B19,표2[],11, FALSE)</f>
        <v>44378</v>
      </c>
      <c r="H19" s="15">
        <f>IFERROR(COUNTIFS(표5[종목],시험일정!$B19,표5[회차],시험일정!$C19,표5[합격여부], "합격")/COUNTIFS(표5[종목],시험일정!$B19,표5[회차],시험일정!$C19),0)</f>
        <v>0</v>
      </c>
      <c r="I19" s="16" t="str">
        <f>VLOOKUP(시험일정!$B19,표2[],10, FALSE)</f>
        <v xml:space="preserve"> 5</v>
      </c>
      <c r="J19">
        <f>COUNTIF(표5[일정번호],시험일정!$A19)</f>
        <v>4</v>
      </c>
      <c r="N19" s="12">
        <v>104</v>
      </c>
      <c r="O19" s="13">
        <v>44454</v>
      </c>
      <c r="P19" s="14">
        <v>0.54166666666666663</v>
      </c>
      <c r="Q19">
        <v>3</v>
      </c>
      <c r="R19" s="42">
        <v>44454</v>
      </c>
    </row>
    <row r="20" spans="1:18" x14ac:dyDescent="0.3">
      <c r="A20" s="12">
        <v>19</v>
      </c>
      <c r="B20" s="12">
        <v>1</v>
      </c>
      <c r="C20" s="12">
        <v>12</v>
      </c>
      <c r="D20" s="12" t="str">
        <f>TEXT(시험일정!$E20-14, "yyyy-mm-dd") &amp; "~" &amp; TEXT(시험일정!$E20 -시험일정!$I20, "yyyy-mm-dd")</f>
        <v>2021-06-18~2021-06-28</v>
      </c>
      <c r="E20" s="13">
        <v>44379</v>
      </c>
      <c r="F20" s="14">
        <v>0.625</v>
      </c>
      <c r="G20" s="42">
        <f>시험일정!$E20 + VLOOKUP(시험일정!$B20,표2[],11, FALSE)</f>
        <v>44380</v>
      </c>
      <c r="H20" s="15">
        <f>IFERROR(COUNTIFS(표5[종목],시험일정!$B20,표5[회차],시험일정!$C20,표5[합격여부], "합격")/COUNTIFS(표5[종목],시험일정!$B20,표5[회차],시험일정!$C20),0)</f>
        <v>0</v>
      </c>
      <c r="I20" s="16" t="str">
        <f>VLOOKUP(시험일정!$B20,표2[],10, FALSE)</f>
        <v xml:space="preserve"> 4</v>
      </c>
      <c r="J20">
        <f>COUNTIF(표5[일정번호],시험일정!$A20)</f>
        <v>6</v>
      </c>
      <c r="N20" s="12">
        <v>110</v>
      </c>
      <c r="O20" s="13">
        <v>44457</v>
      </c>
      <c r="P20" s="14">
        <v>0.45833333333333331</v>
      </c>
      <c r="Q20">
        <v>4</v>
      </c>
      <c r="R20" s="42">
        <v>44457</v>
      </c>
    </row>
    <row r="21" spans="1:18" x14ac:dyDescent="0.3">
      <c r="A21" s="12">
        <v>20</v>
      </c>
      <c r="B21" s="12">
        <v>1</v>
      </c>
      <c r="C21" s="12">
        <v>13</v>
      </c>
      <c r="D21" s="12" t="str">
        <f>TEXT(시험일정!$E21-14, "yyyy-mm-dd") &amp; "~" &amp; TEXT(시험일정!$E21 -시험일정!$I21, "yyyy-mm-dd")</f>
        <v>2021-06-18~2021-06-28</v>
      </c>
      <c r="E21" s="13">
        <v>44379</v>
      </c>
      <c r="F21" s="14">
        <v>0.68055555555555547</v>
      </c>
      <c r="G21" s="42">
        <f>시험일정!$E21 + VLOOKUP(시험일정!$B21,표2[],11, FALSE)</f>
        <v>44380</v>
      </c>
      <c r="H21" s="15">
        <f>IFERROR(COUNTIFS(표5[종목],시험일정!$B21,표5[회차],시험일정!$C21,표5[합격여부], "합격")/COUNTIFS(표5[종목],시험일정!$B21,표5[회차],시험일정!$C21),0)</f>
        <v>0</v>
      </c>
      <c r="I21" s="16" t="str">
        <f>VLOOKUP(시험일정!$B21,표2[],10, FALSE)</f>
        <v xml:space="preserve"> 4</v>
      </c>
      <c r="J21">
        <f>COUNTIF(표5[일정번호],시험일정!$A21)</f>
        <v>7</v>
      </c>
      <c r="N21" s="12">
        <v>112</v>
      </c>
      <c r="O21" s="13">
        <v>44458</v>
      </c>
      <c r="P21" s="14">
        <v>0.41666666666666669</v>
      </c>
      <c r="Q21">
        <v>3</v>
      </c>
      <c r="R21" s="42">
        <v>44458</v>
      </c>
    </row>
    <row r="22" spans="1:18" x14ac:dyDescent="0.3">
      <c r="A22" s="12">
        <v>21</v>
      </c>
      <c r="B22" s="12">
        <v>4</v>
      </c>
      <c r="C22" s="12">
        <v>3</v>
      </c>
      <c r="D22" s="12" t="str">
        <f>TEXT(시험일정!$E22-14, "yyyy-mm-dd") &amp; "~" &amp; TEXT(시험일정!$E22 -시험일정!$I22, "yyyy-mm-dd")</f>
        <v>2021-06-19~2021-06-24</v>
      </c>
      <c r="E22" s="13">
        <v>44380</v>
      </c>
      <c r="F22" s="14">
        <v>0.625</v>
      </c>
      <c r="G22" s="42">
        <f>시험일정!$E22 + VLOOKUP(시험일정!$B22,표2[],11, FALSE)</f>
        <v>44381</v>
      </c>
      <c r="H22" s="15">
        <f>IFERROR(COUNTIFS(표5[종목],시험일정!$B22,표5[회차],시험일정!$C22,표5[합격여부], "합격")/COUNTIFS(표5[종목],시험일정!$B22,표5[회차],시험일정!$C22),0)</f>
        <v>0</v>
      </c>
      <c r="I22" s="16" t="str">
        <f>VLOOKUP(시험일정!$B22,표2[],10, FALSE)</f>
        <v xml:space="preserve"> 9</v>
      </c>
      <c r="J22">
        <f>COUNTIF(표5[일정번호],시험일정!$A22)</f>
        <v>0</v>
      </c>
      <c r="N22" s="12">
        <v>115</v>
      </c>
      <c r="O22" s="13">
        <v>44462</v>
      </c>
      <c r="P22" s="14">
        <v>0.375</v>
      </c>
      <c r="Q22">
        <v>2</v>
      </c>
      <c r="R22" s="42">
        <v>44462</v>
      </c>
    </row>
    <row r="23" spans="1:18" x14ac:dyDescent="0.3">
      <c r="A23" s="12">
        <v>22</v>
      </c>
      <c r="B23" s="12">
        <v>4</v>
      </c>
      <c r="C23" s="12">
        <v>4</v>
      </c>
      <c r="D23" s="12" t="str">
        <f>TEXT(시험일정!$E23-14, "yyyy-mm-dd") &amp; "~" &amp; TEXT(시험일정!$E23 -시험일정!$I23, "yyyy-mm-dd")</f>
        <v>2021-06-20~2021-06-25</v>
      </c>
      <c r="E23" s="13">
        <v>44381</v>
      </c>
      <c r="F23" s="14">
        <v>0.58333333333333337</v>
      </c>
      <c r="G23" s="42">
        <f>시험일정!$E23 + VLOOKUP(시험일정!$B23,표2[],11, FALSE)</f>
        <v>44382</v>
      </c>
      <c r="H23" s="15">
        <f>IFERROR(COUNTIFS(표5[종목],시험일정!$B23,표5[회차],시험일정!$C23,표5[합격여부], "합격")/COUNTIFS(표5[종목],시험일정!$B23,표5[회차],시험일정!$C23),0)</f>
        <v>0</v>
      </c>
      <c r="I23" s="16" t="str">
        <f>VLOOKUP(시험일정!$B23,표2[],10, FALSE)</f>
        <v xml:space="preserve"> 9</v>
      </c>
      <c r="J23">
        <f>COUNTIF(표5[일정번호],시험일정!$A23)</f>
        <v>0</v>
      </c>
      <c r="N23" s="12">
        <v>132</v>
      </c>
      <c r="O23" s="13">
        <v>44497</v>
      </c>
      <c r="P23" s="14">
        <v>0.54166666666666663</v>
      </c>
      <c r="Q23">
        <v>4</v>
      </c>
      <c r="R23" s="42">
        <v>44497</v>
      </c>
    </row>
    <row r="24" spans="1:18" x14ac:dyDescent="0.3">
      <c r="A24" s="12">
        <v>23</v>
      </c>
      <c r="B24" s="12">
        <v>3</v>
      </c>
      <c r="C24" s="12">
        <v>4</v>
      </c>
      <c r="D24" s="12" t="str">
        <f>TEXT(시험일정!$E24-14, "yyyy-mm-dd") &amp; "~" &amp; TEXT(시험일정!$E24 -시험일정!$I24, "yyyy-mm-dd")</f>
        <v>2021-06-22~2021-07-01</v>
      </c>
      <c r="E24" s="13">
        <v>44383</v>
      </c>
      <c r="F24" s="14">
        <v>0.375</v>
      </c>
      <c r="G24" s="42">
        <f>시험일정!$E24 + VLOOKUP(시험일정!$B24,표2[],11, FALSE)</f>
        <v>44383</v>
      </c>
      <c r="H24" s="15">
        <f>IFERROR(COUNTIFS(표5[종목],시험일정!$B24,표5[회차],시험일정!$C24,표5[합격여부], "합격")/COUNTIFS(표5[종목],시험일정!$B24,표5[회차],시험일정!$C24),0)</f>
        <v>0</v>
      </c>
      <c r="I24" s="16" t="str">
        <f>VLOOKUP(시험일정!$B24,표2[],10, FALSE)</f>
        <v xml:space="preserve"> 5</v>
      </c>
      <c r="J24">
        <f>COUNTIF(표5[일정번호],시험일정!$A24)</f>
        <v>4</v>
      </c>
      <c r="N24" s="12">
        <v>133</v>
      </c>
      <c r="O24" s="13">
        <v>44499</v>
      </c>
      <c r="P24" s="14">
        <v>0.59722222222222221</v>
      </c>
      <c r="Q24">
        <v>2</v>
      </c>
      <c r="R24" s="42">
        <v>44499</v>
      </c>
    </row>
    <row r="25" spans="1:18" x14ac:dyDescent="0.3">
      <c r="A25" s="12">
        <v>24</v>
      </c>
      <c r="B25" s="12">
        <v>4</v>
      </c>
      <c r="C25" s="12">
        <v>5</v>
      </c>
      <c r="D25" s="12" t="str">
        <f>TEXT(시험일정!$E25-14, "yyyy-mm-dd") &amp; "~" &amp; TEXT(시험일정!$E25 -시험일정!$I25, "yyyy-mm-dd")</f>
        <v>2021-06-25~2021-06-30</v>
      </c>
      <c r="E25" s="13">
        <v>44386</v>
      </c>
      <c r="F25" s="14">
        <v>0.70833333333333337</v>
      </c>
      <c r="G25" s="42">
        <f>시험일정!$E25 + VLOOKUP(시험일정!$B25,표2[],11, FALSE)</f>
        <v>44387</v>
      </c>
      <c r="H25" s="15">
        <f>IFERROR(COUNTIFS(표5[종목],시험일정!$B25,표5[회차],시험일정!$C25,표5[합격여부], "합격")/COUNTIFS(표5[종목],시험일정!$B25,표5[회차],시험일정!$C25),0)</f>
        <v>0</v>
      </c>
      <c r="I25" s="16" t="str">
        <f>VLOOKUP(시험일정!$B25,표2[],10, FALSE)</f>
        <v xml:space="preserve"> 9</v>
      </c>
      <c r="J25">
        <f>COUNTIF(표5[일정번호],시험일정!$A25)</f>
        <v>0</v>
      </c>
      <c r="N25" s="12">
        <v>134</v>
      </c>
      <c r="O25" s="13">
        <v>44502</v>
      </c>
      <c r="P25" s="14">
        <v>0.66666666666666663</v>
      </c>
      <c r="Q25">
        <v>3</v>
      </c>
      <c r="R25" s="42">
        <v>44502</v>
      </c>
    </row>
    <row r="26" spans="1:18" x14ac:dyDescent="0.3">
      <c r="A26" s="12">
        <v>25</v>
      </c>
      <c r="B26" s="12">
        <v>3</v>
      </c>
      <c r="C26" s="12">
        <v>5</v>
      </c>
      <c r="D26" s="12" t="str">
        <f>TEXT(시험일정!$E26-14, "yyyy-mm-dd") &amp; "~" &amp; TEXT(시험일정!$E26 -시험일정!$I26, "yyyy-mm-dd")</f>
        <v>2021-06-26~2021-07-05</v>
      </c>
      <c r="E26" s="13">
        <v>44387</v>
      </c>
      <c r="F26" s="14">
        <v>0.41666666666666669</v>
      </c>
      <c r="G26" s="42">
        <f>시험일정!$E26 + VLOOKUP(시험일정!$B26,표2[],11, FALSE)</f>
        <v>44387</v>
      </c>
      <c r="H26" s="15">
        <f>IFERROR(COUNTIFS(표5[종목],시험일정!$B26,표5[회차],시험일정!$C26,표5[합격여부], "합격")/COUNTIFS(표5[종목],시험일정!$B26,표5[회차],시험일정!$C26),0)</f>
        <v>0</v>
      </c>
      <c r="I26" s="16" t="str">
        <f>VLOOKUP(시험일정!$B26,표2[],10, FALSE)</f>
        <v xml:space="preserve"> 5</v>
      </c>
      <c r="J26">
        <f>COUNTIF(표5[일정번호],시험일정!$A26)</f>
        <v>0</v>
      </c>
      <c r="N26" s="12">
        <v>138</v>
      </c>
      <c r="O26" s="13">
        <v>44503</v>
      </c>
      <c r="P26" s="14">
        <v>0.375</v>
      </c>
      <c r="Q26">
        <v>6</v>
      </c>
      <c r="R26" s="42">
        <v>44503</v>
      </c>
    </row>
    <row r="27" spans="1:18" x14ac:dyDescent="0.3">
      <c r="A27" s="12">
        <v>26</v>
      </c>
      <c r="B27" s="12">
        <v>5</v>
      </c>
      <c r="C27" s="12">
        <v>3</v>
      </c>
      <c r="D27" s="12" t="str">
        <f>TEXT(시험일정!$E27-14, "yyyy-mm-dd") &amp; "~" &amp; TEXT(시험일정!$E27 -시험일정!$I27, "yyyy-mm-dd")</f>
        <v>2021-06-26~2021-07-01</v>
      </c>
      <c r="E27" s="13">
        <v>44387</v>
      </c>
      <c r="F27" s="14">
        <v>0.625</v>
      </c>
      <c r="G27" s="42">
        <f>시험일정!$E27 + VLOOKUP(시험일정!$B27,표2[],11, FALSE)</f>
        <v>44388</v>
      </c>
      <c r="H27" s="15">
        <f>IFERROR(COUNTIFS(표5[종목],시험일정!$B27,표5[회차],시험일정!$C27,표5[합격여부], "합격")/COUNTIFS(표5[종목],시험일정!$B27,표5[회차],시험일정!$C27),0)</f>
        <v>0</v>
      </c>
      <c r="I27" s="16" t="str">
        <f>VLOOKUP(시험일정!$B27,표2[],10, FALSE)</f>
        <v xml:space="preserve"> 9</v>
      </c>
      <c r="J27">
        <f>COUNTIF(표5[일정번호],시험일정!$A27)</f>
        <v>0</v>
      </c>
      <c r="N27" s="12">
        <v>139</v>
      </c>
      <c r="O27" s="13">
        <v>44504</v>
      </c>
      <c r="P27" s="14">
        <v>0.43055555555555558</v>
      </c>
      <c r="Q27">
        <v>7</v>
      </c>
      <c r="R27" s="42">
        <v>44504</v>
      </c>
    </row>
    <row r="28" spans="1:18" x14ac:dyDescent="0.3">
      <c r="A28" s="12">
        <v>27</v>
      </c>
      <c r="B28" s="12">
        <v>1</v>
      </c>
      <c r="C28" s="12">
        <v>14</v>
      </c>
      <c r="D28" s="12" t="str">
        <f>TEXT(시험일정!$E28-14, "yyyy-mm-dd") &amp; "~" &amp; TEXT(시험일정!$E28 -시험일정!$I28, "yyyy-mm-dd")</f>
        <v>2021-06-27~2021-07-07</v>
      </c>
      <c r="E28" s="13">
        <v>44388</v>
      </c>
      <c r="F28" s="14">
        <v>0.375</v>
      </c>
      <c r="G28" s="42">
        <f>시험일정!$E28 + VLOOKUP(시험일정!$B28,표2[],11, FALSE)</f>
        <v>44389</v>
      </c>
      <c r="H28" s="15">
        <f>IFERROR(COUNTIFS(표5[종목],시험일정!$B28,표5[회차],시험일정!$C28,표5[합격여부], "합격")/COUNTIFS(표5[종목],시험일정!$B28,표5[회차],시험일정!$C28),0)</f>
        <v>0</v>
      </c>
      <c r="I28" s="16" t="str">
        <f>VLOOKUP(시험일정!$B28,표2[],10, FALSE)</f>
        <v xml:space="preserve"> 4</v>
      </c>
      <c r="J28">
        <f>COUNTIF(표5[일정번호],시험일정!$A28)</f>
        <v>8</v>
      </c>
      <c r="N28" s="12">
        <v>142</v>
      </c>
      <c r="O28" s="13">
        <v>44505</v>
      </c>
      <c r="P28" s="14">
        <v>0.54166666666666663</v>
      </c>
      <c r="Q28">
        <v>4</v>
      </c>
      <c r="R28" s="42">
        <v>44505</v>
      </c>
    </row>
    <row r="29" spans="1:18" x14ac:dyDescent="0.3">
      <c r="A29" s="12">
        <v>28</v>
      </c>
      <c r="B29" s="12">
        <v>3</v>
      </c>
      <c r="C29" s="12">
        <v>6</v>
      </c>
      <c r="D29" s="12" t="str">
        <f>TEXT(시험일정!$E29-14, "yyyy-mm-dd") &amp; "~" &amp; TEXT(시험일정!$E29 -시험일정!$I29, "yyyy-mm-dd")</f>
        <v>2021-06-27~2021-07-06</v>
      </c>
      <c r="E29" s="13">
        <v>44388</v>
      </c>
      <c r="F29" s="14">
        <v>0.66666666666666663</v>
      </c>
      <c r="G29" s="42">
        <f>시험일정!$E29 + VLOOKUP(시험일정!$B29,표2[],11, FALSE)</f>
        <v>44388</v>
      </c>
      <c r="H29" s="15">
        <f>IFERROR(COUNTIFS(표5[종목],시험일정!$B29,표5[회차],시험일정!$C29,표5[합격여부], "합격")/COUNTIFS(표5[종목],시험일정!$B29,표5[회차],시험일정!$C29),0)</f>
        <v>0</v>
      </c>
      <c r="I29" s="16" t="str">
        <f>VLOOKUP(시험일정!$B29,표2[],10, FALSE)</f>
        <v xml:space="preserve"> 5</v>
      </c>
      <c r="J29">
        <f>COUNTIF(표5[일정번호],시험일정!$A29)</f>
        <v>4</v>
      </c>
      <c r="N29" s="12">
        <v>154</v>
      </c>
      <c r="O29" s="13">
        <v>44476</v>
      </c>
      <c r="P29" s="14">
        <v>0.41666666666666669</v>
      </c>
      <c r="Q29">
        <v>4</v>
      </c>
      <c r="R29" s="42">
        <v>44476</v>
      </c>
    </row>
    <row r="30" spans="1:18" x14ac:dyDescent="0.3">
      <c r="A30" s="12">
        <v>29</v>
      </c>
      <c r="B30" s="12">
        <v>4</v>
      </c>
      <c r="C30" s="12">
        <v>6</v>
      </c>
      <c r="D30" s="12" t="str">
        <f>TEXT(시험일정!$E30-14, "yyyy-mm-dd") &amp; "~" &amp; TEXT(시험일정!$E30 -시험일정!$I30, "yyyy-mm-dd")</f>
        <v>2021-06-27~2021-07-02</v>
      </c>
      <c r="E30" s="13">
        <v>44388</v>
      </c>
      <c r="F30" s="14">
        <v>0.41666666666666669</v>
      </c>
      <c r="G30" s="42">
        <f>시험일정!$E30 + VLOOKUP(시험일정!$B30,표2[],11, FALSE)</f>
        <v>44389</v>
      </c>
      <c r="H30" s="15">
        <f>IFERROR(COUNTIFS(표5[종목],시험일정!$B30,표5[회차],시험일정!$C30,표5[합격여부], "합격")/COUNTIFS(표5[종목],시험일정!$B30,표5[회차],시험일정!$C30),0)</f>
        <v>0</v>
      </c>
      <c r="I30" s="16" t="str">
        <f>VLOOKUP(시험일정!$B30,표2[],10, FALSE)</f>
        <v xml:space="preserve"> 9</v>
      </c>
      <c r="J30">
        <f>COUNTIF(표5[일정번호],시험일정!$A30)</f>
        <v>0</v>
      </c>
      <c r="N30" s="12">
        <v>155</v>
      </c>
      <c r="O30" s="13">
        <v>44476</v>
      </c>
      <c r="P30" s="14">
        <v>0.58333333333333337</v>
      </c>
      <c r="Q30">
        <v>3</v>
      </c>
      <c r="R30" s="42">
        <v>44476</v>
      </c>
    </row>
    <row r="31" spans="1:18" x14ac:dyDescent="0.3">
      <c r="A31" s="12">
        <v>30</v>
      </c>
      <c r="B31" s="12">
        <v>1</v>
      </c>
      <c r="C31" s="12">
        <v>15</v>
      </c>
      <c r="D31" s="12" t="str">
        <f>TEXT(시험일정!$E31-14, "yyyy-mm-dd") &amp; "~" &amp; TEXT(시험일정!$E31 -시험일정!$I31, "yyyy-mm-dd")</f>
        <v>2021-06-29~2021-07-09</v>
      </c>
      <c r="E31" s="13">
        <v>44390</v>
      </c>
      <c r="F31" s="14">
        <v>0.54166666666666663</v>
      </c>
      <c r="G31" s="42">
        <f>시험일정!$E31 + VLOOKUP(시험일정!$B31,표2[],11, FALSE)</f>
        <v>44391</v>
      </c>
      <c r="H31" s="15">
        <f>IFERROR(COUNTIFS(표5[종목],시험일정!$B31,표5[회차],시험일정!$C31,표5[합격여부], "합격")/COUNTIFS(표5[종목],시험일정!$B31,표5[회차],시험일정!$C31),0)</f>
        <v>0</v>
      </c>
      <c r="I31" s="16" t="str">
        <f>VLOOKUP(시험일정!$B31,표2[],10, FALSE)</f>
        <v xml:space="preserve"> 4</v>
      </c>
      <c r="J31">
        <f>COUNTIF(표5[일정번호],시험일정!$A31)</f>
        <v>7</v>
      </c>
      <c r="N31" s="12">
        <v>156</v>
      </c>
      <c r="O31" s="13">
        <v>44476</v>
      </c>
      <c r="P31" s="14">
        <v>0.63888888888888895</v>
      </c>
      <c r="Q31">
        <v>4</v>
      </c>
      <c r="R31" s="42">
        <v>44476</v>
      </c>
    </row>
    <row r="32" spans="1:18" x14ac:dyDescent="0.3">
      <c r="A32" s="12">
        <v>31</v>
      </c>
      <c r="B32" s="12">
        <v>5</v>
      </c>
      <c r="C32" s="12">
        <v>4</v>
      </c>
      <c r="D32" s="12" t="str">
        <f>TEXT(시험일정!$E32-14, "yyyy-mm-dd") &amp; "~" &amp; TEXT(시험일정!$E32 -시험일정!$I32, "yyyy-mm-dd")</f>
        <v>2021-06-29~2021-07-04</v>
      </c>
      <c r="E32" s="13">
        <v>44390</v>
      </c>
      <c r="F32" s="14">
        <v>0.375</v>
      </c>
      <c r="G32" s="42">
        <f>시험일정!$E32 + VLOOKUP(시험일정!$B32,표2[],11, FALSE)</f>
        <v>44391</v>
      </c>
      <c r="H32" s="15">
        <f>IFERROR(COUNTIFS(표5[종목],시험일정!$B32,표5[회차],시험일정!$C32,표5[합격여부], "합격")/COUNTIFS(표5[종목],시험일정!$B32,표5[회차],시험일정!$C32),0)</f>
        <v>0</v>
      </c>
      <c r="I32" s="16" t="str">
        <f>VLOOKUP(시험일정!$B32,표2[],10, FALSE)</f>
        <v xml:space="preserve"> 9</v>
      </c>
      <c r="J32">
        <f>COUNTIF(표5[일정번호],시험일정!$A32)</f>
        <v>0</v>
      </c>
    </row>
    <row r="33" spans="1:10" x14ac:dyDescent="0.3">
      <c r="A33" s="12">
        <v>32</v>
      </c>
      <c r="B33" s="12">
        <v>5</v>
      </c>
      <c r="C33" s="12">
        <v>5</v>
      </c>
      <c r="D33" s="12" t="str">
        <f>TEXT(시험일정!$E33-14, "yyyy-mm-dd") &amp; "~" &amp; TEXT(시험일정!$E33 -시험일정!$I33, "yyyy-mm-dd")</f>
        <v>2021-06-29~2021-07-04</v>
      </c>
      <c r="E33" s="13">
        <v>44390</v>
      </c>
      <c r="F33" s="14">
        <v>0.70833333333333337</v>
      </c>
      <c r="G33" s="42">
        <f>시험일정!$E33 + VLOOKUP(시험일정!$B33,표2[],11, FALSE)</f>
        <v>44391</v>
      </c>
      <c r="H33" s="15">
        <f>IFERROR(COUNTIFS(표5[종목],시험일정!$B33,표5[회차],시험일정!$C33,표5[합격여부], "합격")/COUNTIFS(표5[종목],시험일정!$B33,표5[회차],시험일정!$C33),0)</f>
        <v>0</v>
      </c>
      <c r="I33" s="16" t="str">
        <f>VLOOKUP(시험일정!$B33,표2[],10, FALSE)</f>
        <v xml:space="preserve"> 9</v>
      </c>
      <c r="J33">
        <f>COUNTIF(표5[일정번호],시험일정!$A33)</f>
        <v>0</v>
      </c>
    </row>
    <row r="34" spans="1:10" x14ac:dyDescent="0.3">
      <c r="A34" s="12">
        <v>33</v>
      </c>
      <c r="B34" s="12">
        <v>5</v>
      </c>
      <c r="C34" s="12">
        <v>6</v>
      </c>
      <c r="D34" s="12" t="str">
        <f>TEXT(시험일정!$E34-14, "yyyy-mm-dd") &amp; "~" &amp; TEXT(시험일정!$E34 -시험일정!$I34, "yyyy-mm-dd")</f>
        <v>2021-06-30~2021-07-05</v>
      </c>
      <c r="E34" s="13">
        <v>44391</v>
      </c>
      <c r="F34" s="14">
        <v>0.54166666666666663</v>
      </c>
      <c r="G34" s="42">
        <f>시험일정!$E34 + VLOOKUP(시험일정!$B34,표2[],11, FALSE)</f>
        <v>44392</v>
      </c>
      <c r="H34" s="15">
        <f>IFERROR(COUNTIFS(표5[종목],시험일정!$B34,표5[회차],시험일정!$C34,표5[합격여부], "합격")/COUNTIFS(표5[종목],시험일정!$B34,표5[회차],시험일정!$C34),0)</f>
        <v>0</v>
      </c>
      <c r="I34" s="16" t="str">
        <f>VLOOKUP(시험일정!$B34,표2[],10, FALSE)</f>
        <v xml:space="preserve"> 9</v>
      </c>
      <c r="J34">
        <f>COUNTIF(표5[일정번호],시험일정!$A34)</f>
        <v>0</v>
      </c>
    </row>
    <row r="35" spans="1:10" x14ac:dyDescent="0.3">
      <c r="A35" s="12">
        <v>34</v>
      </c>
      <c r="B35" s="12">
        <v>4</v>
      </c>
      <c r="C35" s="12">
        <v>7</v>
      </c>
      <c r="D35" s="12" t="str">
        <f>TEXT(시험일정!$E35-14, "yyyy-mm-dd") &amp; "~" &amp; TEXT(시험일정!$E35 -시험일정!$I35, "yyyy-mm-dd")</f>
        <v>2021-07-02~2021-07-07</v>
      </c>
      <c r="E35" s="13">
        <v>44393</v>
      </c>
      <c r="F35" s="14">
        <v>0.625</v>
      </c>
      <c r="G35" s="42">
        <f>시험일정!$E35 + VLOOKUP(시험일정!$B35,표2[],11, FALSE)</f>
        <v>44394</v>
      </c>
      <c r="H35" s="15">
        <f>IFERROR(COUNTIFS(표5[종목],시험일정!$B35,표5[회차],시험일정!$C35,표5[합격여부], "합격")/COUNTIFS(표5[종목],시험일정!$B35,표5[회차],시험일정!$C35),0)</f>
        <v>0</v>
      </c>
      <c r="I35" s="16" t="str">
        <f>VLOOKUP(시험일정!$B35,표2[],10, FALSE)</f>
        <v xml:space="preserve"> 9</v>
      </c>
      <c r="J35">
        <f>COUNTIF(표5[일정번호],시험일정!$A35)</f>
        <v>0</v>
      </c>
    </row>
    <row r="36" spans="1:10" x14ac:dyDescent="0.3">
      <c r="A36" s="12">
        <v>35</v>
      </c>
      <c r="B36" s="12">
        <v>5</v>
      </c>
      <c r="C36" s="12">
        <v>7</v>
      </c>
      <c r="D36" s="12" t="str">
        <f>TEXT(시험일정!$E36-14, "yyyy-mm-dd") &amp; "~" &amp; TEXT(시험일정!$E36 -시험일정!$I36, "yyyy-mm-dd")</f>
        <v>2021-07-03~2021-07-08</v>
      </c>
      <c r="E36" s="13">
        <v>44394</v>
      </c>
      <c r="F36" s="14">
        <v>0.375</v>
      </c>
      <c r="G36" s="42">
        <f>시험일정!$E36 + VLOOKUP(시험일정!$B36,표2[],11, FALSE)</f>
        <v>44395</v>
      </c>
      <c r="H36" s="15">
        <f>IFERROR(COUNTIFS(표5[종목],시험일정!$B36,표5[회차],시험일정!$C36,표5[합격여부], "합격")/COUNTIFS(표5[종목],시험일정!$B36,표5[회차],시험일정!$C36),0)</f>
        <v>0</v>
      </c>
      <c r="I36" s="16" t="str">
        <f>VLOOKUP(시험일정!$B36,표2[],10, FALSE)</f>
        <v xml:space="preserve"> 9</v>
      </c>
      <c r="J36">
        <f>COUNTIF(표5[일정번호],시험일정!$A36)</f>
        <v>0</v>
      </c>
    </row>
    <row r="37" spans="1:10" x14ac:dyDescent="0.3">
      <c r="A37" s="12">
        <v>36</v>
      </c>
      <c r="B37" s="12">
        <v>3</v>
      </c>
      <c r="C37" s="12">
        <v>7</v>
      </c>
      <c r="D37" s="12" t="str">
        <f>TEXT(시험일정!$E37-14, "yyyy-mm-dd") &amp; "~" &amp; TEXT(시험일정!$E37 -시험일정!$I37, "yyyy-mm-dd")</f>
        <v>2021-07-04~2021-07-13</v>
      </c>
      <c r="E37" s="13">
        <v>44395</v>
      </c>
      <c r="F37" s="14">
        <v>0.625</v>
      </c>
      <c r="G37" s="42">
        <f>시험일정!$E37 + VLOOKUP(시험일정!$B37,표2[],11, FALSE)</f>
        <v>44395</v>
      </c>
      <c r="H37" s="15">
        <f>IFERROR(COUNTIFS(표5[종목],시험일정!$B37,표5[회차],시험일정!$C37,표5[합격여부], "합격")/COUNTIFS(표5[종목],시험일정!$B37,표5[회차],시험일정!$C37),0)</f>
        <v>0</v>
      </c>
      <c r="I37" s="16" t="str">
        <f>VLOOKUP(시험일정!$B37,표2[],10, FALSE)</f>
        <v xml:space="preserve"> 5</v>
      </c>
      <c r="J37">
        <f>COUNTIF(표5[일정번호],시험일정!$A37)</f>
        <v>2</v>
      </c>
    </row>
    <row r="38" spans="1:10" x14ac:dyDescent="0.3">
      <c r="A38" s="12">
        <v>37</v>
      </c>
      <c r="B38" s="12">
        <v>3</v>
      </c>
      <c r="C38" s="12">
        <v>8</v>
      </c>
      <c r="D38" s="12" t="str">
        <f>TEXT(시험일정!$E38-14, "yyyy-mm-dd") &amp; "~" &amp; TEXT(시험일정!$E38 -시험일정!$I38, "yyyy-mm-dd")</f>
        <v>2021-07-05~2021-07-14</v>
      </c>
      <c r="E38" s="13">
        <v>44396</v>
      </c>
      <c r="F38" s="14">
        <v>0.41666666666666669</v>
      </c>
      <c r="G38" s="42">
        <f>시험일정!$E38 + VLOOKUP(시험일정!$B38,표2[],11, FALSE)</f>
        <v>44396</v>
      </c>
      <c r="H38" s="15">
        <f>IFERROR(COUNTIFS(표5[종목],시험일정!$B38,표5[회차],시험일정!$C38,표5[합격여부], "합격")/COUNTIFS(표5[종목],시험일정!$B38,표5[회차],시험일정!$C38),0)</f>
        <v>0</v>
      </c>
      <c r="I38" s="16" t="str">
        <f>VLOOKUP(시험일정!$B38,표2[],10, FALSE)</f>
        <v xml:space="preserve"> 5</v>
      </c>
      <c r="J38">
        <f>COUNTIF(표5[일정번호],시험일정!$A38)</f>
        <v>2</v>
      </c>
    </row>
    <row r="39" spans="1:10" x14ac:dyDescent="0.3">
      <c r="A39" s="12">
        <v>38</v>
      </c>
      <c r="B39" s="12">
        <v>4</v>
      </c>
      <c r="C39" s="12">
        <v>8</v>
      </c>
      <c r="D39" s="12" t="str">
        <f>TEXT(시험일정!$E39-14, "yyyy-mm-dd") &amp; "~" &amp; TEXT(시험일정!$E39 -시험일정!$I39, "yyyy-mm-dd")</f>
        <v>2021-07-05~2021-07-10</v>
      </c>
      <c r="E39" s="13">
        <v>44396</v>
      </c>
      <c r="F39" s="14">
        <v>0.45833333333333331</v>
      </c>
      <c r="G39" s="42">
        <f>시험일정!$E39 + VLOOKUP(시험일정!$B39,표2[],11, FALSE)</f>
        <v>44397</v>
      </c>
      <c r="H39" s="15">
        <f>IFERROR(COUNTIFS(표5[종목],시험일정!$B39,표5[회차],시험일정!$C39,표5[합격여부], "합격")/COUNTIFS(표5[종목],시험일정!$B39,표5[회차],시험일정!$C39),0)</f>
        <v>0</v>
      </c>
      <c r="I39" s="16" t="str">
        <f>VLOOKUP(시험일정!$B39,표2[],10, FALSE)</f>
        <v xml:space="preserve"> 9</v>
      </c>
      <c r="J39">
        <f>COUNTIF(표5[일정번호],시험일정!$A39)</f>
        <v>0</v>
      </c>
    </row>
    <row r="40" spans="1:10" x14ac:dyDescent="0.3">
      <c r="A40" s="12">
        <v>39</v>
      </c>
      <c r="B40" s="12">
        <v>5</v>
      </c>
      <c r="C40" s="12">
        <v>8</v>
      </c>
      <c r="D40" s="12" t="str">
        <f>TEXT(시험일정!$E40-14, "yyyy-mm-dd") &amp; "~" &amp; TEXT(시험일정!$E40 -시험일정!$I40, "yyyy-mm-dd")</f>
        <v>2021-07-05~2021-07-10</v>
      </c>
      <c r="E40" s="13">
        <v>44396</v>
      </c>
      <c r="F40" s="14">
        <v>0.45833333333333331</v>
      </c>
      <c r="G40" s="42">
        <f>시험일정!$E40 + VLOOKUP(시험일정!$B40,표2[],11, FALSE)</f>
        <v>44397</v>
      </c>
      <c r="H40" s="15">
        <f>IFERROR(COUNTIFS(표5[종목],시험일정!$B40,표5[회차],시험일정!$C40,표5[합격여부], "합격")/COUNTIFS(표5[종목],시험일정!$B40,표5[회차],시험일정!$C40),0)</f>
        <v>0</v>
      </c>
      <c r="I40" s="16" t="str">
        <f>VLOOKUP(시험일정!$B40,표2[],10, FALSE)</f>
        <v xml:space="preserve"> 9</v>
      </c>
      <c r="J40">
        <f>COUNTIF(표5[일정번호],시험일정!$A40)</f>
        <v>0</v>
      </c>
    </row>
    <row r="41" spans="1:10" x14ac:dyDescent="0.3">
      <c r="A41" s="12">
        <v>40</v>
      </c>
      <c r="B41" s="12">
        <v>3</v>
      </c>
      <c r="C41" s="12">
        <v>9</v>
      </c>
      <c r="D41" s="12" t="str">
        <f>TEXT(시험일정!$E41-14, "yyyy-mm-dd") &amp; "~" &amp; TEXT(시험일정!$E41 -시험일정!$I41, "yyyy-mm-dd")</f>
        <v>2021-07-06~2021-07-15</v>
      </c>
      <c r="E41" s="13">
        <v>44397</v>
      </c>
      <c r="F41" s="14">
        <v>0.54166666666666663</v>
      </c>
      <c r="G41" s="42">
        <f>시험일정!$E41 + VLOOKUP(시험일정!$B41,표2[],11, FALSE)</f>
        <v>44397</v>
      </c>
      <c r="H41" s="15">
        <f>IFERROR(COUNTIFS(표5[종목],시험일정!$B41,표5[회차],시험일정!$C41,표5[합격여부], "합격")/COUNTIFS(표5[종목],시험일정!$B41,표5[회차],시험일정!$C41),0)</f>
        <v>0</v>
      </c>
      <c r="I41" s="16" t="str">
        <f>VLOOKUP(시험일정!$B41,표2[],10, FALSE)</f>
        <v xml:space="preserve"> 5</v>
      </c>
      <c r="J41">
        <f>COUNTIF(표5[일정번호],시험일정!$A41)</f>
        <v>1</v>
      </c>
    </row>
    <row r="42" spans="1:10" x14ac:dyDescent="0.3">
      <c r="A42" s="12">
        <v>41</v>
      </c>
      <c r="B42" s="12">
        <v>4</v>
      </c>
      <c r="C42" s="12">
        <v>9</v>
      </c>
      <c r="D42" s="12" t="str">
        <f>TEXT(시험일정!$E42-14, "yyyy-mm-dd") &amp; "~" &amp; TEXT(시험일정!$E42 -시험일정!$I42, "yyyy-mm-dd")</f>
        <v>2021-07-06~2021-07-11</v>
      </c>
      <c r="E42" s="13">
        <v>44397</v>
      </c>
      <c r="F42" s="14">
        <v>0.625</v>
      </c>
      <c r="G42" s="42">
        <f>시험일정!$E42 + VLOOKUP(시험일정!$B42,표2[],11, FALSE)</f>
        <v>44398</v>
      </c>
      <c r="H42" s="15">
        <f>IFERROR(COUNTIFS(표5[종목],시험일정!$B42,표5[회차],시험일정!$C42,표5[합격여부], "합격")/COUNTIFS(표5[종목],시험일정!$B42,표5[회차],시험일정!$C42),0)</f>
        <v>0</v>
      </c>
      <c r="I42" s="16" t="str">
        <f>VLOOKUP(시험일정!$B42,표2[],10, FALSE)</f>
        <v xml:space="preserve"> 9</v>
      </c>
      <c r="J42">
        <f>COUNTIF(표5[일정번호],시험일정!$A42)</f>
        <v>0</v>
      </c>
    </row>
    <row r="43" spans="1:10" x14ac:dyDescent="0.3">
      <c r="A43" s="12">
        <v>42</v>
      </c>
      <c r="B43" s="12">
        <v>2</v>
      </c>
      <c r="C43" s="12">
        <v>1</v>
      </c>
      <c r="D43" s="12" t="str">
        <f>TEXT(시험일정!$E43-14, "yyyy-mm-dd") &amp; "~" &amp; TEXT(시험일정!$E43 -시험일정!$I43, "yyyy-mm-dd")</f>
        <v>2021-07-07~2021-07-16</v>
      </c>
      <c r="E43" s="13">
        <v>44398</v>
      </c>
      <c r="F43" s="14">
        <v>0.41666666666666669</v>
      </c>
      <c r="G43" s="42">
        <f>시험일정!$E43 + VLOOKUP(시험일정!$B43,표2[],11, FALSE)</f>
        <v>44398</v>
      </c>
      <c r="H43" s="15">
        <f>IFERROR(COUNTIFS(표5[종목],시험일정!$B43,표5[회차],시험일정!$C43,표5[합격여부], "합격")/COUNTIFS(표5[종목],시험일정!$B43,표5[회차],시험일정!$C43),0)</f>
        <v>0</v>
      </c>
      <c r="I43" s="16" t="str">
        <f>VLOOKUP(시험일정!$B43,표2[],10, FALSE)</f>
        <v xml:space="preserve"> 5</v>
      </c>
      <c r="J43">
        <f>COUNTIF(표5[일정번호],시험일정!$A43)</f>
        <v>0</v>
      </c>
    </row>
    <row r="44" spans="1:10" x14ac:dyDescent="0.3">
      <c r="A44" s="12">
        <v>43</v>
      </c>
      <c r="B44" s="12">
        <v>1</v>
      </c>
      <c r="C44" s="12">
        <v>16</v>
      </c>
      <c r="D44" s="12" t="str">
        <f>TEXT(시험일정!$E44-14, "yyyy-mm-dd") &amp; "~" &amp; TEXT(시험일정!$E44 -시험일정!$I44, "yyyy-mm-dd")</f>
        <v>2021-07-08~2021-07-18</v>
      </c>
      <c r="E44" s="13">
        <v>44399</v>
      </c>
      <c r="F44" s="14">
        <v>0.58333333333333337</v>
      </c>
      <c r="G44" s="42">
        <f>시험일정!$E44 + VLOOKUP(시험일정!$B44,표2[],11, FALSE)</f>
        <v>44400</v>
      </c>
      <c r="H44" s="15">
        <f>IFERROR(COUNTIFS(표5[종목],시험일정!$B44,표5[회차],시험일정!$C44,표5[합격여부], "합격")/COUNTIFS(표5[종목],시험일정!$B44,표5[회차],시험일정!$C44),0)</f>
        <v>0</v>
      </c>
      <c r="I44" s="16" t="str">
        <f>VLOOKUP(시험일정!$B44,표2[],10, FALSE)</f>
        <v xml:space="preserve"> 4</v>
      </c>
      <c r="J44">
        <f>COUNTIF(표5[일정번호],시험일정!$A44)</f>
        <v>9</v>
      </c>
    </row>
    <row r="45" spans="1:10" x14ac:dyDescent="0.3">
      <c r="A45" s="12">
        <v>44</v>
      </c>
      <c r="B45" s="12">
        <v>5</v>
      </c>
      <c r="C45" s="12">
        <v>9</v>
      </c>
      <c r="D45" s="12" t="str">
        <f>TEXT(시험일정!$E45-14, "yyyy-mm-dd") &amp; "~" &amp; TEXT(시험일정!$E45 -시험일정!$I45, "yyyy-mm-dd")</f>
        <v>2021-07-08~2021-07-13</v>
      </c>
      <c r="E45" s="13">
        <v>44399</v>
      </c>
      <c r="F45" s="14">
        <v>0.58333333333333337</v>
      </c>
      <c r="G45" s="42">
        <f>시험일정!$E45 + VLOOKUP(시험일정!$B45,표2[],11, FALSE)</f>
        <v>44400</v>
      </c>
      <c r="H45" s="15">
        <f>IFERROR(COUNTIFS(표5[종목],시험일정!$B45,표5[회차],시험일정!$C45,표5[합격여부], "합격")/COUNTIFS(표5[종목],시험일정!$B45,표5[회차],시험일정!$C45),0)</f>
        <v>0</v>
      </c>
      <c r="I45" s="16" t="str">
        <f>VLOOKUP(시험일정!$B45,표2[],10, FALSE)</f>
        <v xml:space="preserve"> 9</v>
      </c>
      <c r="J45">
        <f>COUNTIF(표5[일정번호],시험일정!$A45)</f>
        <v>0</v>
      </c>
    </row>
    <row r="46" spans="1:10" x14ac:dyDescent="0.3">
      <c r="A46" s="12">
        <v>45</v>
      </c>
      <c r="B46" s="12">
        <v>2</v>
      </c>
      <c r="C46" s="12">
        <v>2</v>
      </c>
      <c r="D46" s="12" t="str">
        <f>TEXT(시험일정!$E46-14, "yyyy-mm-dd") &amp; "~" &amp; TEXT(시험일정!$E46 -시험일정!$I46, "yyyy-mm-dd")</f>
        <v>2021-07-09~2021-07-18</v>
      </c>
      <c r="E46" s="13">
        <v>44400</v>
      </c>
      <c r="F46" s="14">
        <v>0.625</v>
      </c>
      <c r="G46" s="42">
        <f>시험일정!$E46 + VLOOKUP(시험일정!$B46,표2[],11, FALSE)</f>
        <v>44400</v>
      </c>
      <c r="H46" s="15">
        <f>IFERROR(COUNTIFS(표5[종목],시험일정!$B46,표5[회차],시험일정!$C46,표5[합격여부], "합격")/COUNTIFS(표5[종목],시험일정!$B46,표5[회차],시험일정!$C46),0)</f>
        <v>0</v>
      </c>
      <c r="I46" s="16" t="str">
        <f>VLOOKUP(시험일정!$B46,표2[],10, FALSE)</f>
        <v xml:space="preserve"> 5</v>
      </c>
      <c r="J46">
        <f>COUNTIF(표5[일정번호],시험일정!$A46)</f>
        <v>0</v>
      </c>
    </row>
    <row r="47" spans="1:10" x14ac:dyDescent="0.3">
      <c r="A47" s="12">
        <v>46</v>
      </c>
      <c r="B47" s="12">
        <v>1</v>
      </c>
      <c r="C47" s="12">
        <v>17</v>
      </c>
      <c r="D47" s="12" t="str">
        <f>TEXT(시험일정!$E47-14, "yyyy-mm-dd") &amp; "~" &amp; TEXT(시험일정!$E47 -시험일정!$I47, "yyyy-mm-dd")</f>
        <v>2021-07-10~2021-07-20</v>
      </c>
      <c r="E47" s="13">
        <v>44401</v>
      </c>
      <c r="F47" s="14">
        <v>0.58333333333333337</v>
      </c>
      <c r="G47" s="42">
        <f>시험일정!$E47 + VLOOKUP(시험일정!$B47,표2[],11, FALSE)</f>
        <v>44402</v>
      </c>
      <c r="H47" s="15">
        <f>IFERROR(COUNTIFS(표5[종목],시험일정!$B47,표5[회차],시험일정!$C47,표5[합격여부], "합격")/COUNTIFS(표5[종목],시험일정!$B47,표5[회차],시험일정!$C47),0)</f>
        <v>0</v>
      </c>
      <c r="I47" s="16" t="str">
        <f>VLOOKUP(시험일정!$B47,표2[],10, FALSE)</f>
        <v xml:space="preserve"> 4</v>
      </c>
      <c r="J47">
        <f>COUNTIF(표5[일정번호],시험일정!$A47)</f>
        <v>10</v>
      </c>
    </row>
    <row r="48" spans="1:10" x14ac:dyDescent="0.3">
      <c r="A48" s="12">
        <v>47</v>
      </c>
      <c r="B48" s="12">
        <v>2</v>
      </c>
      <c r="C48" s="12">
        <v>3</v>
      </c>
      <c r="D48" s="12" t="str">
        <f>TEXT(시험일정!$E48-14, "yyyy-mm-dd") &amp; "~" &amp; TEXT(시험일정!$E48 -시험일정!$I48, "yyyy-mm-dd")</f>
        <v>2021-07-10~2021-07-19</v>
      </c>
      <c r="E48" s="13">
        <v>44401</v>
      </c>
      <c r="F48" s="14">
        <v>0.66666666666666663</v>
      </c>
      <c r="G48" s="42">
        <f>시험일정!$E48 + VLOOKUP(시험일정!$B48,표2[],11, FALSE)</f>
        <v>44401</v>
      </c>
      <c r="H48" s="15">
        <f>IFERROR(COUNTIFS(표5[종목],시험일정!$B48,표5[회차],시험일정!$C48,표5[합격여부], "합격")/COUNTIFS(표5[종목],시험일정!$B48,표5[회차],시험일정!$C48),0)</f>
        <v>0</v>
      </c>
      <c r="I48" s="16" t="str">
        <f>VLOOKUP(시험일정!$B48,표2[],10, FALSE)</f>
        <v xml:space="preserve"> 5</v>
      </c>
      <c r="J48">
        <f>COUNTIF(표5[일정번호],시험일정!$A48)</f>
        <v>0</v>
      </c>
    </row>
    <row r="49" spans="1:10" x14ac:dyDescent="0.3">
      <c r="A49" s="12">
        <v>48</v>
      </c>
      <c r="B49" s="12">
        <v>5</v>
      </c>
      <c r="C49" s="12">
        <v>10</v>
      </c>
      <c r="D49" s="12" t="str">
        <f>TEXT(시험일정!$E49-14, "yyyy-mm-dd") &amp; "~" &amp; TEXT(시험일정!$E49 -시험일정!$I49, "yyyy-mm-dd")</f>
        <v>2021-07-10~2021-07-15</v>
      </c>
      <c r="E49" s="13">
        <v>44401</v>
      </c>
      <c r="F49" s="14">
        <v>0.41666666666666669</v>
      </c>
      <c r="G49" s="42">
        <f>시험일정!$E49 + VLOOKUP(시험일정!$B49,표2[],11, FALSE)</f>
        <v>44402</v>
      </c>
      <c r="H49" s="15">
        <f>IFERROR(COUNTIFS(표5[종목],시험일정!$B49,표5[회차],시험일정!$C49,표5[합격여부], "합격")/COUNTIFS(표5[종목],시험일정!$B49,표5[회차],시험일정!$C49),0)</f>
        <v>0</v>
      </c>
      <c r="I49" s="16" t="str">
        <f>VLOOKUP(시험일정!$B49,표2[],10, FALSE)</f>
        <v xml:space="preserve"> 9</v>
      </c>
      <c r="J49">
        <f>COUNTIF(표5[일정번호],시험일정!$A49)</f>
        <v>0</v>
      </c>
    </row>
    <row r="50" spans="1:10" x14ac:dyDescent="0.3">
      <c r="A50" s="12">
        <v>49</v>
      </c>
      <c r="B50" s="12">
        <v>1</v>
      </c>
      <c r="C50" s="12">
        <v>18</v>
      </c>
      <c r="D50" s="12" t="str">
        <f>TEXT(시험일정!$E50-14, "yyyy-mm-dd") &amp; "~" &amp; TEXT(시험일정!$E50 -시험일정!$I50, "yyyy-mm-dd")</f>
        <v>2021-07-12~2021-07-22</v>
      </c>
      <c r="E50" s="13">
        <v>44403</v>
      </c>
      <c r="F50" s="14">
        <v>0.375</v>
      </c>
      <c r="G50" s="42">
        <f>시험일정!$E50 + VLOOKUP(시험일정!$B50,표2[],11, FALSE)</f>
        <v>44404</v>
      </c>
      <c r="H50" s="15">
        <f>IFERROR(COUNTIFS(표5[종목],시험일정!$B50,표5[회차],시험일정!$C50,표5[합격여부], "합격")/COUNTIFS(표5[종목],시험일정!$B50,표5[회차],시험일정!$C50),0)</f>
        <v>0</v>
      </c>
      <c r="I50" s="16" t="str">
        <f>VLOOKUP(시험일정!$B50,표2[],10, FALSE)</f>
        <v xml:space="preserve"> 4</v>
      </c>
      <c r="J50">
        <f>COUNTIF(표5[일정번호],시험일정!$A50)</f>
        <v>8</v>
      </c>
    </row>
    <row r="51" spans="1:10" x14ac:dyDescent="0.3">
      <c r="A51" s="12">
        <v>50</v>
      </c>
      <c r="B51" s="12">
        <v>4</v>
      </c>
      <c r="C51" s="12">
        <v>10</v>
      </c>
      <c r="D51" s="12" t="str">
        <f>TEXT(시험일정!$E51-14, "yyyy-mm-dd") &amp; "~" &amp; TEXT(시험일정!$E51 -시험일정!$I51, "yyyy-mm-dd")</f>
        <v>2021-07-12~2021-07-17</v>
      </c>
      <c r="E51" s="13">
        <v>44403</v>
      </c>
      <c r="F51" s="14">
        <v>0.41666666666666669</v>
      </c>
      <c r="G51" s="42">
        <f>시험일정!$E51 + VLOOKUP(시험일정!$B51,표2[],11, FALSE)</f>
        <v>44404</v>
      </c>
      <c r="H51" s="15">
        <f>IFERROR(COUNTIFS(표5[종목],시험일정!$B51,표5[회차],시험일정!$C51,표5[합격여부], "합격")/COUNTIFS(표5[종목],시험일정!$B51,표5[회차],시험일정!$C51),0)</f>
        <v>0</v>
      </c>
      <c r="I51" s="16" t="str">
        <f>VLOOKUP(시험일정!$B51,표2[],10, FALSE)</f>
        <v xml:space="preserve"> 9</v>
      </c>
      <c r="J51">
        <f>COUNTIF(표5[일정번호],시험일정!$A51)</f>
        <v>3</v>
      </c>
    </row>
    <row r="52" spans="1:10" x14ac:dyDescent="0.3">
      <c r="A52" s="12">
        <v>51</v>
      </c>
      <c r="B52" s="12">
        <v>1</v>
      </c>
      <c r="C52" s="12">
        <v>19</v>
      </c>
      <c r="D52" s="12" t="str">
        <f>TEXT(시험일정!$E52-14, "yyyy-mm-dd") &amp; "~" &amp; TEXT(시험일정!$E52 -시험일정!$I52, "yyyy-mm-dd")</f>
        <v>2021-07-13~2021-07-23</v>
      </c>
      <c r="E52" s="13">
        <v>44404</v>
      </c>
      <c r="F52" s="14">
        <v>0.45833333333333331</v>
      </c>
      <c r="G52" s="42">
        <f>시험일정!$E52 + VLOOKUP(시험일정!$B52,표2[],11, FALSE)</f>
        <v>44405</v>
      </c>
      <c r="H52" s="15">
        <f>IFERROR(COUNTIFS(표5[종목],시험일정!$B52,표5[회차],시험일정!$C52,표5[합격여부], "합격")/COUNTIFS(표5[종목],시험일정!$B52,표5[회차],시험일정!$C52),0)</f>
        <v>0</v>
      </c>
      <c r="I52" s="16" t="str">
        <f>VLOOKUP(시험일정!$B52,표2[],10, FALSE)</f>
        <v xml:space="preserve"> 4</v>
      </c>
      <c r="J52">
        <f>COUNTIF(표5[일정번호],시험일정!$A52)</f>
        <v>5</v>
      </c>
    </row>
    <row r="53" spans="1:10" x14ac:dyDescent="0.3">
      <c r="A53" s="12">
        <v>52</v>
      </c>
      <c r="B53" s="12">
        <v>2</v>
      </c>
      <c r="C53" s="12">
        <v>4</v>
      </c>
      <c r="D53" s="12" t="str">
        <f>TEXT(시험일정!$E53-14, "yyyy-mm-dd") &amp; "~" &amp; TEXT(시험일정!$E53 -시험일정!$I53, "yyyy-mm-dd")</f>
        <v>2021-07-15~2021-07-24</v>
      </c>
      <c r="E53" s="13">
        <v>44406</v>
      </c>
      <c r="F53" s="14">
        <v>0.70833333333333337</v>
      </c>
      <c r="G53" s="42">
        <f>시험일정!$E53 + VLOOKUP(시험일정!$B53,표2[],11, FALSE)</f>
        <v>44406</v>
      </c>
      <c r="H53" s="15">
        <f>IFERROR(COUNTIFS(표5[종목],시험일정!$B53,표5[회차],시험일정!$C53,표5[합격여부], "합격")/COUNTIFS(표5[종목],시험일정!$B53,표5[회차],시험일정!$C53),0)</f>
        <v>0</v>
      </c>
      <c r="I53" s="16" t="str">
        <f>VLOOKUP(시험일정!$B53,표2[],10, FALSE)</f>
        <v xml:space="preserve"> 5</v>
      </c>
      <c r="J53">
        <f>COUNTIF(표5[일정번호],시험일정!$A53)</f>
        <v>3</v>
      </c>
    </row>
    <row r="54" spans="1:10" x14ac:dyDescent="0.3">
      <c r="A54" s="12">
        <v>53</v>
      </c>
      <c r="B54" s="12">
        <v>3</v>
      </c>
      <c r="C54" s="12">
        <v>10</v>
      </c>
      <c r="D54" s="12" t="str">
        <f>TEXT(시험일정!$E54-14, "yyyy-mm-dd") &amp; "~" &amp; TEXT(시험일정!$E54 -시험일정!$I54, "yyyy-mm-dd")</f>
        <v>2021-07-15~2021-07-24</v>
      </c>
      <c r="E54" s="13">
        <v>44406</v>
      </c>
      <c r="F54" s="14">
        <v>0.58333333333333337</v>
      </c>
      <c r="G54" s="42">
        <f>시험일정!$E54 + VLOOKUP(시험일정!$B54,표2[],11, FALSE)</f>
        <v>44406</v>
      </c>
      <c r="H54" s="15">
        <f>IFERROR(COUNTIFS(표5[종목],시험일정!$B54,표5[회차],시험일정!$C54,표5[합격여부], "합격")/COUNTIFS(표5[종목],시험일정!$B54,표5[회차],시험일정!$C54),0)</f>
        <v>0.5</v>
      </c>
      <c r="I54" s="16" t="str">
        <f>VLOOKUP(시험일정!$B54,표2[],10, FALSE)</f>
        <v xml:space="preserve"> 5</v>
      </c>
      <c r="J54">
        <f>COUNTIF(표5[일정번호],시험일정!$A54)</f>
        <v>2</v>
      </c>
    </row>
    <row r="55" spans="1:10" x14ac:dyDescent="0.3">
      <c r="A55" s="12">
        <v>54</v>
      </c>
      <c r="B55" s="12">
        <v>5</v>
      </c>
      <c r="C55" s="12">
        <v>11</v>
      </c>
      <c r="D55" s="12" t="str">
        <f>TEXT(시험일정!$E55-14, "yyyy-mm-dd") &amp; "~" &amp; TEXT(시험일정!$E55 -시험일정!$I55, "yyyy-mm-dd")</f>
        <v>2021-07-15~2021-07-20</v>
      </c>
      <c r="E55" s="13">
        <v>44406</v>
      </c>
      <c r="F55" s="14">
        <v>0.58333333333333337</v>
      </c>
      <c r="G55" s="42">
        <f>시험일정!$E55 + VLOOKUP(시험일정!$B55,표2[],11, FALSE)</f>
        <v>44407</v>
      </c>
      <c r="H55" s="15">
        <f>IFERROR(COUNTIFS(표5[종목],시험일정!$B55,표5[회차],시험일정!$C55,표5[합격여부], "합격")/COUNTIFS(표5[종목],시험일정!$B55,표5[회차],시험일정!$C55),0)</f>
        <v>0</v>
      </c>
      <c r="I55" s="16" t="str">
        <f>VLOOKUP(시험일정!$B55,표2[],10, FALSE)</f>
        <v xml:space="preserve"> 9</v>
      </c>
      <c r="J55">
        <f>COUNTIF(표5[일정번호],시험일정!$A55)</f>
        <v>0</v>
      </c>
    </row>
    <row r="56" spans="1:10" x14ac:dyDescent="0.3">
      <c r="A56" s="12">
        <v>55</v>
      </c>
      <c r="B56" s="12">
        <v>2</v>
      </c>
      <c r="C56" s="12">
        <v>5</v>
      </c>
      <c r="D56" s="12" t="str">
        <f>TEXT(시험일정!$E56-14, "yyyy-mm-dd") &amp; "~" &amp; TEXT(시험일정!$E56 -시험일정!$I56, "yyyy-mm-dd")</f>
        <v>2021-07-19~2021-07-28</v>
      </c>
      <c r="E56" s="13">
        <v>44410</v>
      </c>
      <c r="F56" s="14">
        <v>0.58333333333333337</v>
      </c>
      <c r="G56" s="42">
        <f>시험일정!$E56 + VLOOKUP(시험일정!$B56,표2[],11, FALSE)</f>
        <v>44410</v>
      </c>
      <c r="H56" s="15">
        <f>IFERROR(COUNTIFS(표5[종목],시험일정!$B56,표5[회차],시험일정!$C56,표5[합격여부], "합격")/COUNTIFS(표5[종목],시험일정!$B56,표5[회차],시험일정!$C56),0)</f>
        <v>0</v>
      </c>
      <c r="I56" s="16" t="str">
        <f>VLOOKUP(시험일정!$B56,표2[],10, FALSE)</f>
        <v xml:space="preserve"> 5</v>
      </c>
      <c r="J56">
        <f>COUNTIF(표5[일정번호],시험일정!$A56)</f>
        <v>0</v>
      </c>
    </row>
    <row r="57" spans="1:10" x14ac:dyDescent="0.3">
      <c r="A57" s="12">
        <v>56</v>
      </c>
      <c r="B57" s="12">
        <v>4</v>
      </c>
      <c r="C57" s="12">
        <v>11</v>
      </c>
      <c r="D57" s="12" t="str">
        <f>TEXT(시험일정!$E57-14, "yyyy-mm-dd") &amp; "~" &amp; TEXT(시험일정!$E57 -시험일정!$I57, "yyyy-mm-dd")</f>
        <v>2021-07-20~2021-07-25</v>
      </c>
      <c r="E57" s="13">
        <v>44411</v>
      </c>
      <c r="F57" s="14">
        <v>0.45833333333333331</v>
      </c>
      <c r="G57" s="42">
        <f>시험일정!$E57 + VLOOKUP(시험일정!$B57,표2[],11, FALSE)</f>
        <v>44412</v>
      </c>
      <c r="H57" s="15">
        <f>IFERROR(COUNTIFS(표5[종목],시험일정!$B57,표5[회차],시험일정!$C57,표5[합격여부], "합격")/COUNTIFS(표5[종목],시험일정!$B57,표5[회차],시험일정!$C57),0)</f>
        <v>0</v>
      </c>
      <c r="I57" s="16" t="str">
        <f>VLOOKUP(시험일정!$B57,표2[],10, FALSE)</f>
        <v xml:space="preserve"> 9</v>
      </c>
      <c r="J57">
        <f>COUNTIF(표5[일정번호],시험일정!$A57)</f>
        <v>0</v>
      </c>
    </row>
    <row r="58" spans="1:10" x14ac:dyDescent="0.3">
      <c r="A58" s="12">
        <v>57</v>
      </c>
      <c r="B58" s="12">
        <v>5</v>
      </c>
      <c r="C58" s="12">
        <v>12</v>
      </c>
      <c r="D58" s="12" t="str">
        <f>TEXT(시험일정!$E58-14, "yyyy-mm-dd") &amp; "~" &amp; TEXT(시험일정!$E58 -시험일정!$I58, "yyyy-mm-dd")</f>
        <v>2021-07-23~2021-07-28</v>
      </c>
      <c r="E58" s="13">
        <v>44414</v>
      </c>
      <c r="F58" s="14">
        <v>0.58333333333333337</v>
      </c>
      <c r="G58" s="42">
        <f>시험일정!$E58 + VLOOKUP(시험일정!$B58,표2[],11, FALSE)</f>
        <v>44415</v>
      </c>
      <c r="H58" s="15">
        <f>IFERROR(COUNTIFS(표5[종목],시험일정!$B58,표5[회차],시험일정!$C58,표5[합격여부], "합격")/COUNTIFS(표5[종목],시험일정!$B58,표5[회차],시험일정!$C58),0)</f>
        <v>0</v>
      </c>
      <c r="I58" s="16" t="str">
        <f>VLOOKUP(시험일정!$B58,표2[],10, FALSE)</f>
        <v xml:space="preserve"> 9</v>
      </c>
      <c r="J58">
        <f>COUNTIF(표5[일정번호],시험일정!$A58)</f>
        <v>0</v>
      </c>
    </row>
    <row r="59" spans="1:10" x14ac:dyDescent="0.3">
      <c r="A59" s="12">
        <v>58</v>
      </c>
      <c r="B59" s="12">
        <v>6</v>
      </c>
      <c r="C59" s="12">
        <v>1</v>
      </c>
      <c r="D59" s="12" t="str">
        <f>TEXT(시험일정!$E59-14, "yyyy-mm-dd") &amp; "~" &amp; TEXT(시험일정!$E59 -시험일정!$I59, "yyyy-mm-dd")</f>
        <v>2021-07-23~2021-07-28</v>
      </c>
      <c r="E59" s="13">
        <v>44414</v>
      </c>
      <c r="F59" s="14">
        <v>0.54166666666666663</v>
      </c>
      <c r="G59" s="42">
        <f>시험일정!$E59 + VLOOKUP(시험일정!$B59,표2[],11, FALSE)</f>
        <v>44415</v>
      </c>
      <c r="H59" s="15">
        <f>IFERROR(COUNTIFS(표5[종목],시험일정!$B59,표5[회차],시험일정!$C59,표5[합격여부], "합격")/COUNTIFS(표5[종목],시험일정!$B59,표5[회차],시험일정!$C59),0)</f>
        <v>5.8823529411764705E-2</v>
      </c>
      <c r="I59" s="16" t="str">
        <f>VLOOKUP(시험일정!$B59,표2[],10, FALSE)</f>
        <v xml:space="preserve"> 9</v>
      </c>
      <c r="J59">
        <f>COUNTIF(표5[일정번호],시험일정!$A59)</f>
        <v>8</v>
      </c>
    </row>
    <row r="60" spans="1:10" x14ac:dyDescent="0.3">
      <c r="A60" s="12">
        <v>59</v>
      </c>
      <c r="B60" s="12">
        <v>4</v>
      </c>
      <c r="C60" s="12">
        <v>12</v>
      </c>
      <c r="D60" s="12" t="str">
        <f>TEXT(시험일정!$E60-14, "yyyy-mm-dd") &amp; "~" &amp; TEXT(시험일정!$E60 -시험일정!$I60, "yyyy-mm-dd")</f>
        <v>2021-07-24~2021-07-29</v>
      </c>
      <c r="E60" s="13">
        <v>44415</v>
      </c>
      <c r="F60" s="14">
        <v>0.58333333333333337</v>
      </c>
      <c r="G60" s="42">
        <f>시험일정!$E60 + VLOOKUP(시험일정!$B60,표2[],11, FALSE)</f>
        <v>44416</v>
      </c>
      <c r="H60" s="15">
        <f>IFERROR(COUNTIFS(표5[종목],시험일정!$B60,표5[회차],시험일정!$C60,표5[합격여부], "합격")/COUNTIFS(표5[종목],시험일정!$B60,표5[회차],시험일정!$C60),0)</f>
        <v>0</v>
      </c>
      <c r="I60" s="16" t="str">
        <f>VLOOKUP(시험일정!$B60,표2[],10, FALSE)</f>
        <v xml:space="preserve"> 9</v>
      </c>
      <c r="J60">
        <f>COUNTIF(표5[일정번호],시험일정!$A60)</f>
        <v>0</v>
      </c>
    </row>
    <row r="61" spans="1:10" x14ac:dyDescent="0.3">
      <c r="A61" s="12">
        <v>60</v>
      </c>
      <c r="B61" s="12">
        <v>5</v>
      </c>
      <c r="C61" s="12">
        <v>13</v>
      </c>
      <c r="D61" s="12" t="str">
        <f>TEXT(시험일정!$E61-14, "yyyy-mm-dd") &amp; "~" &amp; TEXT(시험일정!$E61 -시험일정!$I61, "yyyy-mm-dd")</f>
        <v>2021-07-24~2021-07-29</v>
      </c>
      <c r="E61" s="13">
        <v>44415</v>
      </c>
      <c r="F61" s="14">
        <v>0.375</v>
      </c>
      <c r="G61" s="42">
        <f>시험일정!$E61 + VLOOKUP(시험일정!$B61,표2[],11, FALSE)</f>
        <v>44416</v>
      </c>
      <c r="H61" s="15">
        <f>IFERROR(COUNTIFS(표5[종목],시험일정!$B61,표5[회차],시험일정!$C61,표5[합격여부], "합격")/COUNTIFS(표5[종목],시험일정!$B61,표5[회차],시험일정!$C61),0)</f>
        <v>0</v>
      </c>
      <c r="I61" s="16" t="str">
        <f>VLOOKUP(시험일정!$B61,표2[],10, FALSE)</f>
        <v xml:space="preserve"> 9</v>
      </c>
      <c r="J61">
        <f>COUNTIF(표5[일정번호],시험일정!$A61)</f>
        <v>0</v>
      </c>
    </row>
    <row r="62" spans="1:10" x14ac:dyDescent="0.3">
      <c r="A62" s="12">
        <v>61</v>
      </c>
      <c r="B62" s="12">
        <v>5</v>
      </c>
      <c r="C62" s="12">
        <v>14</v>
      </c>
      <c r="D62" s="12" t="str">
        <f>TEXT(시험일정!$E62-14, "yyyy-mm-dd") &amp; "~" &amp; TEXT(시험일정!$E62 -시험일정!$I62, "yyyy-mm-dd")</f>
        <v>2021-07-24~2021-07-29</v>
      </c>
      <c r="E62" s="13">
        <v>44415</v>
      </c>
      <c r="F62" s="14">
        <v>0.625</v>
      </c>
      <c r="G62" s="42">
        <f>시험일정!$E62 + VLOOKUP(시험일정!$B62,표2[],11, FALSE)</f>
        <v>44416</v>
      </c>
      <c r="H62" s="15">
        <f>IFERROR(COUNTIFS(표5[종목],시험일정!$B62,표5[회차],시험일정!$C62,표5[합격여부], "합격")/COUNTIFS(표5[종목],시험일정!$B62,표5[회차],시험일정!$C62),0)</f>
        <v>0</v>
      </c>
      <c r="I62" s="16" t="str">
        <f>VLOOKUP(시험일정!$B62,표2[],10, FALSE)</f>
        <v xml:space="preserve"> 9</v>
      </c>
      <c r="J62">
        <f>COUNTIF(표5[일정번호],시험일정!$A62)</f>
        <v>0</v>
      </c>
    </row>
    <row r="63" spans="1:10" x14ac:dyDescent="0.3">
      <c r="A63" s="12">
        <v>62</v>
      </c>
      <c r="B63" s="12">
        <v>3</v>
      </c>
      <c r="C63" s="12">
        <v>11</v>
      </c>
      <c r="D63" s="12" t="str">
        <f>TEXT(시험일정!$E63-14, "yyyy-mm-dd") &amp; "~" &amp; TEXT(시험일정!$E63 -시험일정!$I63, "yyyy-mm-dd")</f>
        <v>2021-07-25~2021-08-03</v>
      </c>
      <c r="E63" s="13">
        <v>44416</v>
      </c>
      <c r="F63" s="14">
        <v>0.375</v>
      </c>
      <c r="G63" s="42">
        <f>시험일정!$E63 + VLOOKUP(시험일정!$B63,표2[],11, FALSE)</f>
        <v>44416</v>
      </c>
      <c r="H63" s="15">
        <f>IFERROR(COUNTIFS(표5[종목],시험일정!$B63,표5[회차],시험일정!$C63,표5[합격여부], "합격")/COUNTIFS(표5[종목],시험일정!$B63,표5[회차],시험일정!$C63),0)</f>
        <v>0</v>
      </c>
      <c r="I63" s="16" t="str">
        <f>VLOOKUP(시험일정!$B63,표2[],10, FALSE)</f>
        <v xml:space="preserve"> 5</v>
      </c>
      <c r="J63">
        <f>COUNTIF(표5[일정번호],시험일정!$A63)</f>
        <v>3</v>
      </c>
    </row>
    <row r="64" spans="1:10" x14ac:dyDescent="0.3">
      <c r="A64" s="12">
        <v>63</v>
      </c>
      <c r="B64" s="12">
        <v>2</v>
      </c>
      <c r="C64" s="12">
        <v>6</v>
      </c>
      <c r="D64" s="12" t="str">
        <f>TEXT(시험일정!$E64-14, "yyyy-mm-dd") &amp; "~" &amp; TEXT(시험일정!$E64 -시험일정!$I64, "yyyy-mm-dd")</f>
        <v>2021-07-27~2021-08-05</v>
      </c>
      <c r="E64" s="13">
        <v>44418</v>
      </c>
      <c r="F64" s="14">
        <v>0.66666666666666663</v>
      </c>
      <c r="G64" s="42">
        <f>시험일정!$E64 + VLOOKUP(시험일정!$B64,표2[],11, FALSE)</f>
        <v>44418</v>
      </c>
      <c r="H64" s="15">
        <f>IFERROR(COUNTIFS(표5[종목],시험일정!$B64,표5[회차],시험일정!$C64,표5[합격여부], "합격")/COUNTIFS(표5[종목],시험일정!$B64,표5[회차],시험일정!$C64),0)</f>
        <v>0</v>
      </c>
      <c r="I64" s="16" t="str">
        <f>VLOOKUP(시험일정!$B64,표2[],10, FALSE)</f>
        <v xml:space="preserve"> 5</v>
      </c>
      <c r="J64">
        <f>COUNTIF(표5[일정번호],시험일정!$A64)</f>
        <v>3</v>
      </c>
    </row>
    <row r="65" spans="1:10" x14ac:dyDescent="0.3">
      <c r="A65" s="12">
        <v>64</v>
      </c>
      <c r="B65" s="12">
        <v>4</v>
      </c>
      <c r="C65" s="12">
        <v>13</v>
      </c>
      <c r="D65" s="12" t="str">
        <f>TEXT(시험일정!$E65-14, "yyyy-mm-dd") &amp; "~" &amp; TEXT(시험일정!$E65 -시험일정!$I65, "yyyy-mm-dd")</f>
        <v>2021-07-29~2021-08-03</v>
      </c>
      <c r="E65" s="13">
        <v>44420</v>
      </c>
      <c r="F65" s="14">
        <v>0.70833333333333337</v>
      </c>
      <c r="G65" s="42">
        <f>시험일정!$E65 + VLOOKUP(시험일정!$B65,표2[],11, FALSE)</f>
        <v>44421</v>
      </c>
      <c r="H65" s="15">
        <f>IFERROR(COUNTIFS(표5[종목],시험일정!$B65,표5[회차],시험일정!$C65,표5[합격여부], "합격")/COUNTIFS(표5[종목],시험일정!$B65,표5[회차],시험일정!$C65),0)</f>
        <v>0</v>
      </c>
      <c r="I65" s="16" t="str">
        <f>VLOOKUP(시험일정!$B65,표2[],10, FALSE)</f>
        <v xml:space="preserve"> 9</v>
      </c>
      <c r="J65">
        <f>COUNTIF(표5[일정번호],시험일정!$A65)</f>
        <v>0</v>
      </c>
    </row>
    <row r="66" spans="1:10" x14ac:dyDescent="0.3">
      <c r="A66" s="12">
        <v>65</v>
      </c>
      <c r="B66" s="12">
        <v>1</v>
      </c>
      <c r="C66" s="12">
        <v>20</v>
      </c>
      <c r="D66" s="12" t="str">
        <f>TEXT(시험일정!$E66-14, "yyyy-mm-dd") &amp; "~" &amp; TEXT(시험일정!$E66 -시험일정!$I66, "yyyy-mm-dd")</f>
        <v>2021-07-31~2021-08-10</v>
      </c>
      <c r="E66" s="13">
        <v>44422</v>
      </c>
      <c r="F66" s="14">
        <v>0.54166666666666663</v>
      </c>
      <c r="G66" s="42">
        <f>시험일정!$E66 + VLOOKUP(시험일정!$B66,표2[],11, FALSE)</f>
        <v>44423</v>
      </c>
      <c r="H66" s="15">
        <f>IFERROR(COUNTIFS(표5[종목],시험일정!$B66,표5[회차],시험일정!$C66,표5[합격여부], "합격")/COUNTIFS(표5[종목],시험일정!$B66,표5[회차],시험일정!$C66),0)</f>
        <v>0</v>
      </c>
      <c r="I66" s="16" t="str">
        <f>VLOOKUP(시험일정!$B66,표2[],10, FALSE)</f>
        <v xml:space="preserve"> 4</v>
      </c>
      <c r="J66">
        <f>COUNTIF(표5[일정번호],시험일정!$A66)</f>
        <v>10</v>
      </c>
    </row>
    <row r="67" spans="1:10" x14ac:dyDescent="0.3">
      <c r="A67" s="12">
        <v>66</v>
      </c>
      <c r="B67" s="12">
        <v>1</v>
      </c>
      <c r="C67" s="12">
        <v>21</v>
      </c>
      <c r="D67" s="12" t="str">
        <f>TEXT(시험일정!$E67-14, "yyyy-mm-dd") &amp; "~" &amp; TEXT(시험일정!$E67 -시험일정!$I67, "yyyy-mm-dd")</f>
        <v>2021-08-02~2021-08-12</v>
      </c>
      <c r="E67" s="13">
        <v>44424</v>
      </c>
      <c r="F67" s="14">
        <v>0.625</v>
      </c>
      <c r="G67" s="42">
        <f>시험일정!$E67 + VLOOKUP(시험일정!$B67,표2[],11, FALSE)</f>
        <v>44425</v>
      </c>
      <c r="H67" s="15">
        <f>IFERROR(COUNTIFS(표5[종목],시험일정!$B67,표5[회차],시험일정!$C67,표5[합격여부], "합격")/COUNTIFS(표5[종목],시험일정!$B67,표5[회차],시험일정!$C67),0)</f>
        <v>0</v>
      </c>
      <c r="I67" s="16" t="str">
        <f>VLOOKUP(시험일정!$B67,표2[],10, FALSE)</f>
        <v xml:space="preserve"> 4</v>
      </c>
      <c r="J67">
        <f>COUNTIF(표5[일정번호],시험일정!$A67)</f>
        <v>10</v>
      </c>
    </row>
    <row r="68" spans="1:10" x14ac:dyDescent="0.3">
      <c r="A68" s="12">
        <v>67</v>
      </c>
      <c r="B68" s="12">
        <v>4</v>
      </c>
      <c r="C68" s="12">
        <v>14</v>
      </c>
      <c r="D68" s="12" t="str">
        <f>TEXT(시험일정!$E68-14, "yyyy-mm-dd") &amp; "~" &amp; TEXT(시험일정!$E68 -시험일정!$I68, "yyyy-mm-dd")</f>
        <v>2021-08-03~2021-08-08</v>
      </c>
      <c r="E68" s="13">
        <v>44425</v>
      </c>
      <c r="F68" s="14">
        <v>0.41666666666666669</v>
      </c>
      <c r="G68" s="42">
        <f>시험일정!$E68 + VLOOKUP(시험일정!$B68,표2[],11, FALSE)</f>
        <v>44426</v>
      </c>
      <c r="H68" s="15">
        <f>IFERROR(COUNTIFS(표5[종목],시험일정!$B68,표5[회차],시험일정!$C68,표5[합격여부], "합격")/COUNTIFS(표5[종목],시험일정!$B68,표5[회차],시험일정!$C68),0)</f>
        <v>0</v>
      </c>
      <c r="I68" s="16" t="str">
        <f>VLOOKUP(시험일정!$B68,표2[],10, FALSE)</f>
        <v xml:space="preserve"> 9</v>
      </c>
      <c r="J68">
        <f>COUNTIF(표5[일정번호],시험일정!$A68)</f>
        <v>0</v>
      </c>
    </row>
    <row r="69" spans="1:10" x14ac:dyDescent="0.3">
      <c r="A69" s="12">
        <v>68</v>
      </c>
      <c r="B69" s="12">
        <v>5</v>
      </c>
      <c r="C69" s="12">
        <v>15</v>
      </c>
      <c r="D69" s="12" t="str">
        <f>TEXT(시험일정!$E69-14, "yyyy-mm-dd") &amp; "~" &amp; TEXT(시험일정!$E69 -시험일정!$I69, "yyyy-mm-dd")</f>
        <v>2021-08-03~2021-08-08</v>
      </c>
      <c r="E69" s="13">
        <v>44425</v>
      </c>
      <c r="F69" s="14">
        <v>0.625</v>
      </c>
      <c r="G69" s="42">
        <f>시험일정!$E69 + VLOOKUP(시험일정!$B69,표2[],11, FALSE)</f>
        <v>44426</v>
      </c>
      <c r="H69" s="15">
        <f>IFERROR(COUNTIFS(표5[종목],시험일정!$B69,표5[회차],시험일정!$C69,표5[합격여부], "합격")/COUNTIFS(표5[종목],시험일정!$B69,표5[회차],시험일정!$C69),0)</f>
        <v>0</v>
      </c>
      <c r="I69" s="16" t="str">
        <f>VLOOKUP(시험일정!$B69,표2[],10, FALSE)</f>
        <v xml:space="preserve"> 9</v>
      </c>
      <c r="J69">
        <f>COUNTIF(표5[일정번호],시험일정!$A69)</f>
        <v>0</v>
      </c>
    </row>
    <row r="70" spans="1:10" x14ac:dyDescent="0.3">
      <c r="A70" s="12">
        <v>69</v>
      </c>
      <c r="B70" s="12">
        <v>2</v>
      </c>
      <c r="C70" s="12">
        <v>7</v>
      </c>
      <c r="D70" s="12" t="str">
        <f>TEXT(시험일정!$E70-14, "yyyy-mm-dd") &amp; "~" &amp; TEXT(시험일정!$E70 -시험일정!$I70, "yyyy-mm-dd")</f>
        <v>2021-08-04~2021-08-13</v>
      </c>
      <c r="E70" s="13">
        <v>44426</v>
      </c>
      <c r="F70" s="14">
        <v>0.41666666666666669</v>
      </c>
      <c r="G70" s="42">
        <f>시험일정!$E70 + VLOOKUP(시험일정!$B70,표2[],11, FALSE)</f>
        <v>44426</v>
      </c>
      <c r="H70" s="15">
        <f>IFERROR(COUNTIFS(표5[종목],시험일정!$B70,표5[회차],시험일정!$C70,표5[합격여부], "합격")/COUNTIFS(표5[종목],시험일정!$B70,표5[회차],시험일정!$C70),0)</f>
        <v>0</v>
      </c>
      <c r="I70" s="16" t="str">
        <f>VLOOKUP(시험일정!$B70,표2[],10, FALSE)</f>
        <v xml:space="preserve"> 5</v>
      </c>
      <c r="J70">
        <f>COUNTIF(표5[일정번호],시험일정!$A70)</f>
        <v>0</v>
      </c>
    </row>
    <row r="71" spans="1:10" x14ac:dyDescent="0.3">
      <c r="A71" s="12">
        <v>70</v>
      </c>
      <c r="B71" s="12">
        <v>1</v>
      </c>
      <c r="C71" s="12">
        <v>22</v>
      </c>
      <c r="D71" s="12" t="str">
        <f>TEXT(시험일정!$E71-14, "yyyy-mm-dd") &amp; "~" &amp; TEXT(시험일정!$E71 -시험일정!$I71, "yyyy-mm-dd")</f>
        <v>2021-08-05~2021-08-15</v>
      </c>
      <c r="E71" s="13">
        <v>44427</v>
      </c>
      <c r="F71" s="14">
        <v>0.70833333333333337</v>
      </c>
      <c r="G71" s="42">
        <f>시험일정!$E71 + VLOOKUP(시험일정!$B71,표2[],11, FALSE)</f>
        <v>44428</v>
      </c>
      <c r="H71" s="15">
        <f>IFERROR(COUNTIFS(표5[종목],시험일정!$B71,표5[회차],시험일정!$C71,표5[합격여부], "합격")/COUNTIFS(표5[종목],시험일정!$B71,표5[회차],시험일정!$C71),0)</f>
        <v>0</v>
      </c>
      <c r="I71" s="16" t="str">
        <f>VLOOKUP(시험일정!$B71,표2[],10, FALSE)</f>
        <v xml:space="preserve"> 4</v>
      </c>
      <c r="J71">
        <f>COUNTIF(표5[일정번호],시험일정!$A71)</f>
        <v>7</v>
      </c>
    </row>
    <row r="72" spans="1:10" x14ac:dyDescent="0.3">
      <c r="A72" s="12">
        <v>71</v>
      </c>
      <c r="B72" s="12">
        <v>5</v>
      </c>
      <c r="C72" s="12">
        <v>16</v>
      </c>
      <c r="D72" s="12" t="str">
        <f>TEXT(시험일정!$E72-14, "yyyy-mm-dd") &amp; "~" &amp; TEXT(시험일정!$E72 -시험일정!$I72, "yyyy-mm-dd")</f>
        <v>2021-08-05~2021-08-10</v>
      </c>
      <c r="E72" s="13">
        <v>44427</v>
      </c>
      <c r="F72" s="14">
        <v>0.45833333333333331</v>
      </c>
      <c r="G72" s="42">
        <f>시험일정!$E72 + VLOOKUP(시험일정!$B72,표2[],11, FALSE)</f>
        <v>44428</v>
      </c>
      <c r="H72" s="15">
        <f>IFERROR(COUNTIFS(표5[종목],시험일정!$B72,표5[회차],시험일정!$C72,표5[합격여부], "합격")/COUNTIFS(표5[종목],시험일정!$B72,표5[회차],시험일정!$C72),0)</f>
        <v>0</v>
      </c>
      <c r="I72" s="16" t="str">
        <f>VLOOKUP(시험일정!$B72,표2[],10, FALSE)</f>
        <v xml:space="preserve"> 9</v>
      </c>
      <c r="J72">
        <f>COUNTIF(표5[일정번호],시험일정!$A72)</f>
        <v>2</v>
      </c>
    </row>
    <row r="73" spans="1:10" x14ac:dyDescent="0.3">
      <c r="A73" s="12">
        <v>72</v>
      </c>
      <c r="B73" s="12">
        <v>6</v>
      </c>
      <c r="C73" s="12">
        <v>2</v>
      </c>
      <c r="D73" s="12" t="str">
        <f>TEXT(시험일정!$E73-14, "yyyy-mm-dd") &amp; "~" &amp; TEXT(시험일정!$E73 -시험일정!$I73, "yyyy-mm-dd")</f>
        <v>2021-08-05~2021-08-10</v>
      </c>
      <c r="E73" s="13">
        <v>44427</v>
      </c>
      <c r="F73" s="14">
        <v>0.58333333333333337</v>
      </c>
      <c r="G73" s="42">
        <f>시험일정!$E73 + VLOOKUP(시험일정!$B73,표2[],11, FALSE)</f>
        <v>44428</v>
      </c>
      <c r="H73" s="15">
        <f>IFERROR(COUNTIFS(표5[종목],시험일정!$B73,표5[회차],시험일정!$C73,표5[합격여부], "합격")/COUNTIFS(표5[종목],시험일정!$B73,표5[회차],시험일정!$C73),0)</f>
        <v>0</v>
      </c>
      <c r="I73" s="16" t="str">
        <f>VLOOKUP(시험일정!$B73,표2[],10, FALSE)</f>
        <v xml:space="preserve"> 9</v>
      </c>
      <c r="J73">
        <f>COUNTIF(표5[일정번호],시험일정!$A73)</f>
        <v>5</v>
      </c>
    </row>
    <row r="74" spans="1:10" x14ac:dyDescent="0.3">
      <c r="A74" s="12">
        <v>73</v>
      </c>
      <c r="B74" s="12">
        <v>5</v>
      </c>
      <c r="C74" s="12">
        <v>17</v>
      </c>
      <c r="D74" s="12" t="str">
        <f>TEXT(시험일정!$E74-14, "yyyy-mm-dd") &amp; "~" &amp; TEXT(시험일정!$E74 -시험일정!$I74, "yyyy-mm-dd")</f>
        <v>2021-08-06~2021-08-11</v>
      </c>
      <c r="E74" s="13">
        <v>44428</v>
      </c>
      <c r="F74" s="14">
        <v>0.375</v>
      </c>
      <c r="G74" s="42">
        <f>시험일정!$E74 + VLOOKUP(시험일정!$B74,표2[],11, FALSE)</f>
        <v>44429</v>
      </c>
      <c r="H74" s="15">
        <f>IFERROR(COUNTIFS(표5[종목],시험일정!$B74,표5[회차],시험일정!$C74,표5[합격여부], "합격")/COUNTIFS(표5[종목],시험일정!$B74,표5[회차],시험일정!$C74),0)</f>
        <v>0</v>
      </c>
      <c r="I74" s="16" t="str">
        <f>VLOOKUP(시험일정!$B74,표2[],10, FALSE)</f>
        <v xml:space="preserve"> 9</v>
      </c>
      <c r="J74">
        <f>COUNTIF(표5[일정번호],시험일정!$A74)</f>
        <v>0</v>
      </c>
    </row>
    <row r="75" spans="1:10" x14ac:dyDescent="0.3">
      <c r="A75" s="12">
        <v>74</v>
      </c>
      <c r="B75" s="12">
        <v>1</v>
      </c>
      <c r="C75" s="12">
        <v>23</v>
      </c>
      <c r="D75" s="12" t="str">
        <f>TEXT(시험일정!$E75-14, "yyyy-mm-dd") &amp; "~" &amp; TEXT(시험일정!$E75 -시험일정!$I75, "yyyy-mm-dd")</f>
        <v>2021-08-07~2021-08-17</v>
      </c>
      <c r="E75" s="13">
        <v>44429</v>
      </c>
      <c r="F75" s="14">
        <v>0.58333333333333337</v>
      </c>
      <c r="G75" s="42">
        <f>시험일정!$E75 + VLOOKUP(시험일정!$B75,표2[],11, FALSE)</f>
        <v>44430</v>
      </c>
      <c r="H75" s="15">
        <f>IFERROR(COUNTIFS(표5[종목],시험일정!$B75,표5[회차],시험일정!$C75,표5[합격여부], "합격")/COUNTIFS(표5[종목],시험일정!$B75,표5[회차],시험일정!$C75),0)</f>
        <v>0</v>
      </c>
      <c r="I75" s="16" t="str">
        <f>VLOOKUP(시험일정!$B75,표2[],10, FALSE)</f>
        <v xml:space="preserve"> 4</v>
      </c>
      <c r="J75">
        <f>COUNTIF(표5[일정번호],시험일정!$A75)</f>
        <v>10</v>
      </c>
    </row>
    <row r="76" spans="1:10" x14ac:dyDescent="0.3">
      <c r="A76" s="12">
        <v>75</v>
      </c>
      <c r="B76" s="12">
        <v>3</v>
      </c>
      <c r="C76" s="12">
        <v>12</v>
      </c>
      <c r="D76" s="12" t="str">
        <f>TEXT(시험일정!$E76-14, "yyyy-mm-dd") &amp; "~" &amp; TEXT(시험일정!$E76 -시험일정!$I76, "yyyy-mm-dd")</f>
        <v>2021-08-07~2021-08-16</v>
      </c>
      <c r="E76" s="13">
        <v>44429</v>
      </c>
      <c r="F76" s="14">
        <v>0.54166666666666663</v>
      </c>
      <c r="G76" s="42">
        <f>시험일정!$E76 + VLOOKUP(시험일정!$B76,표2[],11, FALSE)</f>
        <v>44429</v>
      </c>
      <c r="H76" s="15">
        <f>IFERROR(COUNTIFS(표5[종목],시험일정!$B76,표5[회차],시험일정!$C76,표5[합격여부], "합격")/COUNTIFS(표5[종목],시험일정!$B76,표5[회차],시험일정!$C76),0)</f>
        <v>0</v>
      </c>
      <c r="I76" s="16" t="str">
        <f>VLOOKUP(시험일정!$B76,표2[],10, FALSE)</f>
        <v xml:space="preserve"> 5</v>
      </c>
      <c r="J76">
        <f>COUNTIF(표5[일정번호],시험일정!$A76)</f>
        <v>3</v>
      </c>
    </row>
    <row r="77" spans="1:10" x14ac:dyDescent="0.3">
      <c r="A77" s="12">
        <v>76</v>
      </c>
      <c r="B77" s="12">
        <v>2</v>
      </c>
      <c r="C77" s="12">
        <v>8</v>
      </c>
      <c r="D77" s="12" t="str">
        <f>TEXT(시험일정!$E77-14, "yyyy-mm-dd") &amp; "~" &amp; TEXT(시험일정!$E77 -시험일정!$I77, "yyyy-mm-dd")</f>
        <v>2021-08-08~2021-08-17</v>
      </c>
      <c r="E77" s="13">
        <v>44430</v>
      </c>
      <c r="F77" s="14">
        <v>0.45833333333333331</v>
      </c>
      <c r="G77" s="42">
        <f>시험일정!$E77 + VLOOKUP(시험일정!$B77,표2[],11, FALSE)</f>
        <v>44430</v>
      </c>
      <c r="H77" s="15">
        <f>IFERROR(COUNTIFS(표5[종목],시험일정!$B77,표5[회차],시험일정!$C77,표5[합격여부], "합격")/COUNTIFS(표5[종목],시험일정!$B77,표5[회차],시험일정!$C77),0)</f>
        <v>0</v>
      </c>
      <c r="I77" s="16" t="str">
        <f>VLOOKUP(시험일정!$B77,표2[],10, FALSE)</f>
        <v xml:space="preserve"> 5</v>
      </c>
      <c r="J77">
        <f>COUNTIF(표5[일정번호],시험일정!$A77)</f>
        <v>0</v>
      </c>
    </row>
    <row r="78" spans="1:10" x14ac:dyDescent="0.3">
      <c r="A78" s="12">
        <v>77</v>
      </c>
      <c r="B78" s="12">
        <v>4</v>
      </c>
      <c r="C78" s="12">
        <v>15</v>
      </c>
      <c r="D78" s="12" t="str">
        <f>TEXT(시험일정!$E78-14, "yyyy-mm-dd") &amp; "~" &amp; TEXT(시험일정!$E78 -시험일정!$I78, "yyyy-mm-dd")</f>
        <v>2021-08-08~2021-08-13</v>
      </c>
      <c r="E78" s="13">
        <v>44430</v>
      </c>
      <c r="F78" s="14">
        <v>0.375</v>
      </c>
      <c r="G78" s="42">
        <f>시험일정!$E78 + VLOOKUP(시험일정!$B78,표2[],11, FALSE)</f>
        <v>44431</v>
      </c>
      <c r="H78" s="15">
        <f>IFERROR(COUNTIFS(표5[종목],시험일정!$B78,표5[회차],시험일정!$C78,표5[합격여부], "합격")/COUNTIFS(표5[종목],시험일정!$B78,표5[회차],시험일정!$C78),0)</f>
        <v>0</v>
      </c>
      <c r="I78" s="16" t="str">
        <f>VLOOKUP(시험일정!$B78,표2[],10, FALSE)</f>
        <v xml:space="preserve"> 9</v>
      </c>
      <c r="J78">
        <f>COUNTIF(표5[일정번호],시험일정!$A78)</f>
        <v>0</v>
      </c>
    </row>
    <row r="79" spans="1:10" x14ac:dyDescent="0.3">
      <c r="A79" s="12">
        <v>78</v>
      </c>
      <c r="B79" s="12">
        <v>1</v>
      </c>
      <c r="C79" s="12">
        <v>24</v>
      </c>
      <c r="D79" s="12" t="str">
        <f>TEXT(시험일정!$E79-14, "yyyy-mm-dd") &amp; "~" &amp; TEXT(시험일정!$E79 -시험일정!$I79, "yyyy-mm-dd")</f>
        <v>2021-08-09~2021-08-19</v>
      </c>
      <c r="E79" s="13">
        <v>44431</v>
      </c>
      <c r="F79" s="14">
        <v>0.41666666666666669</v>
      </c>
      <c r="G79" s="42">
        <f>시험일정!$E79 + VLOOKUP(시험일정!$B79,표2[],11, FALSE)</f>
        <v>44432</v>
      </c>
      <c r="H79" s="15">
        <f>IFERROR(COUNTIFS(표5[종목],시험일정!$B79,표5[회차],시험일정!$C79,표5[합격여부], "합격")/COUNTIFS(표5[종목],시험일정!$B79,표5[회차],시험일정!$C79),0)</f>
        <v>0</v>
      </c>
      <c r="I79" s="16" t="str">
        <f>VLOOKUP(시험일정!$B79,표2[],10, FALSE)</f>
        <v xml:space="preserve"> 4</v>
      </c>
      <c r="J79">
        <f>COUNTIF(표5[일정번호],시험일정!$A79)</f>
        <v>10</v>
      </c>
    </row>
    <row r="80" spans="1:10" x14ac:dyDescent="0.3">
      <c r="A80" s="12">
        <v>79</v>
      </c>
      <c r="B80" s="12">
        <v>1</v>
      </c>
      <c r="C80" s="12">
        <v>25</v>
      </c>
      <c r="D80" s="12" t="str">
        <f>TEXT(시험일정!$E80-14, "yyyy-mm-dd") &amp; "~" &amp; TEXT(시험일정!$E80 -시험일정!$I80, "yyyy-mm-dd")</f>
        <v>2021-08-10~2021-08-20</v>
      </c>
      <c r="E80" s="13">
        <v>44432</v>
      </c>
      <c r="F80" s="14">
        <v>0.45833333333333331</v>
      </c>
      <c r="G80" s="42">
        <f>시험일정!$E80 + VLOOKUP(시험일정!$B80,표2[],11, FALSE)</f>
        <v>44433</v>
      </c>
      <c r="H80" s="15">
        <f>IFERROR(COUNTIFS(표5[종목],시험일정!$B80,표5[회차],시험일정!$C80,표5[합격여부], "합격")/COUNTIFS(표5[종목],시험일정!$B80,표5[회차],시험일정!$C80),0)</f>
        <v>0.2</v>
      </c>
      <c r="I80" s="16" t="str">
        <f>VLOOKUP(시험일정!$B80,표2[],10, FALSE)</f>
        <v xml:space="preserve"> 4</v>
      </c>
      <c r="J80">
        <f>COUNTIF(표5[일정번호],시험일정!$A80)</f>
        <v>10</v>
      </c>
    </row>
    <row r="81" spans="1:10" x14ac:dyDescent="0.3">
      <c r="A81" s="12">
        <v>80</v>
      </c>
      <c r="B81" s="12">
        <v>1</v>
      </c>
      <c r="C81" s="12">
        <v>26</v>
      </c>
      <c r="D81" s="12" t="str">
        <f>TEXT(시험일정!$E81-14, "yyyy-mm-dd") &amp; "~" &amp; TEXT(시험일정!$E81 -시험일정!$I81, "yyyy-mm-dd")</f>
        <v>2021-08-11~2021-08-21</v>
      </c>
      <c r="E81" s="13">
        <v>44433</v>
      </c>
      <c r="F81" s="14">
        <v>0.41666666666666669</v>
      </c>
      <c r="G81" s="42">
        <f>시험일정!$E81 + VLOOKUP(시험일정!$B81,표2[],11, FALSE)</f>
        <v>44434</v>
      </c>
      <c r="H81" s="15">
        <f>IFERROR(COUNTIFS(표5[종목],시험일정!$B81,표5[회차],시험일정!$C81,표5[합격여부], "합격")/COUNTIFS(표5[종목],시험일정!$B81,표5[회차],시험일정!$C81),0)</f>
        <v>0.1</v>
      </c>
      <c r="I81" s="16" t="str">
        <f>VLOOKUP(시험일정!$B81,표2[],10, FALSE)</f>
        <v xml:space="preserve"> 4</v>
      </c>
      <c r="J81">
        <f>COUNTIF(표5[일정번호],시험일정!$A81)</f>
        <v>10</v>
      </c>
    </row>
    <row r="82" spans="1:10" x14ac:dyDescent="0.3">
      <c r="A82" s="12">
        <v>81</v>
      </c>
      <c r="B82" s="12">
        <v>3</v>
      </c>
      <c r="C82" s="12">
        <v>13</v>
      </c>
      <c r="D82" s="12" t="str">
        <f>TEXT(시험일정!$E82-14, "yyyy-mm-dd") &amp; "~" &amp; TEXT(시험일정!$E82 -시험일정!$I82, "yyyy-mm-dd")</f>
        <v>2021-08-11~2021-08-20</v>
      </c>
      <c r="E82" s="13">
        <v>44433</v>
      </c>
      <c r="F82" s="14">
        <v>0.45833333333333331</v>
      </c>
      <c r="G82" s="42">
        <f>시험일정!$E82 + VLOOKUP(시험일정!$B82,표2[],11, FALSE)</f>
        <v>44433</v>
      </c>
      <c r="H82" s="15">
        <f>IFERROR(COUNTIFS(표5[종목],시험일정!$B82,표5[회차],시험일정!$C82,표5[합격여부], "합격")/COUNTIFS(표5[종목],시험일정!$B82,표5[회차],시험일정!$C82),0)</f>
        <v>0</v>
      </c>
      <c r="I82" s="16" t="str">
        <f>VLOOKUP(시험일정!$B82,표2[],10, FALSE)</f>
        <v xml:space="preserve"> 5</v>
      </c>
      <c r="J82">
        <f>COUNTIF(표5[일정번호],시험일정!$A82)</f>
        <v>4</v>
      </c>
    </row>
    <row r="83" spans="1:10" x14ac:dyDescent="0.3">
      <c r="A83" s="12">
        <v>82</v>
      </c>
      <c r="B83" s="12">
        <v>6</v>
      </c>
      <c r="C83" s="12">
        <v>3</v>
      </c>
      <c r="D83" s="12" t="str">
        <f>TEXT(시험일정!$E83-14, "yyyy-mm-dd") &amp; "~" &amp; TEXT(시험일정!$E83 -시험일정!$I83, "yyyy-mm-dd")</f>
        <v>2021-08-12~2021-08-17</v>
      </c>
      <c r="E83" s="13">
        <v>44434</v>
      </c>
      <c r="F83" s="14">
        <v>0.375</v>
      </c>
      <c r="G83" s="42">
        <f>시험일정!$E83 + VLOOKUP(시험일정!$B83,표2[],11, FALSE)</f>
        <v>44435</v>
      </c>
      <c r="H83" s="15">
        <f>IFERROR(COUNTIFS(표5[종목],시험일정!$B83,표5[회차],시험일정!$C83,표5[합격여부], "합격")/COUNTIFS(표5[종목],시험일정!$B83,표5[회차],시험일정!$C83),0)</f>
        <v>0</v>
      </c>
      <c r="I83" s="16" t="str">
        <f>VLOOKUP(시험일정!$B83,표2[],10, FALSE)</f>
        <v xml:space="preserve"> 9</v>
      </c>
      <c r="J83">
        <f>COUNTIF(표5[일정번호],시험일정!$A83)</f>
        <v>6</v>
      </c>
    </row>
    <row r="84" spans="1:10" x14ac:dyDescent="0.3">
      <c r="A84" s="12">
        <v>83</v>
      </c>
      <c r="B84" s="12">
        <v>5</v>
      </c>
      <c r="C84" s="12">
        <v>18</v>
      </c>
      <c r="D84" s="12" t="str">
        <f>TEXT(시험일정!$E84-14, "yyyy-mm-dd") &amp; "~" &amp; TEXT(시험일정!$E84 -시험일정!$I84, "yyyy-mm-dd")</f>
        <v>2021-08-14~2021-08-19</v>
      </c>
      <c r="E84" s="13">
        <v>44436</v>
      </c>
      <c r="F84" s="14">
        <v>0.66666666666666663</v>
      </c>
      <c r="G84" s="42">
        <f>시험일정!$E84 + VLOOKUP(시험일정!$B84,표2[],11, FALSE)</f>
        <v>44437</v>
      </c>
      <c r="H84" s="15">
        <f>IFERROR(COUNTIFS(표5[종목],시험일정!$B84,표5[회차],시험일정!$C84,표5[합격여부], "합격")/COUNTIFS(표5[종목],시험일정!$B84,표5[회차],시험일정!$C84),0)</f>
        <v>0</v>
      </c>
      <c r="I84" s="16" t="str">
        <f>VLOOKUP(시험일정!$B84,표2[],10, FALSE)</f>
        <v xml:space="preserve"> 9</v>
      </c>
      <c r="J84">
        <f>COUNTIF(표5[일정번호],시험일정!$A84)</f>
        <v>0</v>
      </c>
    </row>
    <row r="85" spans="1:10" x14ac:dyDescent="0.3">
      <c r="A85" s="12">
        <v>84</v>
      </c>
      <c r="B85" s="12">
        <v>3</v>
      </c>
      <c r="C85" s="12">
        <v>14</v>
      </c>
      <c r="D85" s="12" t="str">
        <f>TEXT(시험일정!$E85-14, "yyyy-mm-dd") &amp; "~" &amp; TEXT(시험일정!$E85 -시험일정!$I85, "yyyy-mm-dd")</f>
        <v>2021-08-15~2021-08-24</v>
      </c>
      <c r="E85" s="13">
        <v>44437</v>
      </c>
      <c r="F85" s="14">
        <v>0.58333333333333337</v>
      </c>
      <c r="G85" s="42">
        <f>시험일정!$E85 + VLOOKUP(시험일정!$B85,표2[],11, FALSE)</f>
        <v>44437</v>
      </c>
      <c r="H85" s="15">
        <f>IFERROR(COUNTIFS(표5[종목],시험일정!$B85,표5[회차],시험일정!$C85,표5[합격여부], "합격")/COUNTIFS(표5[종목],시험일정!$B85,표5[회차],시험일정!$C85),0)</f>
        <v>0</v>
      </c>
      <c r="I85" s="16" t="str">
        <f>VLOOKUP(시험일정!$B85,표2[],10, FALSE)</f>
        <v xml:space="preserve"> 5</v>
      </c>
      <c r="J85">
        <f>COUNTIF(표5[일정번호],시험일정!$A85)</f>
        <v>6</v>
      </c>
    </row>
    <row r="86" spans="1:10" x14ac:dyDescent="0.3">
      <c r="A86" s="12">
        <v>85</v>
      </c>
      <c r="B86" s="12">
        <v>6</v>
      </c>
      <c r="C86" s="12">
        <v>4</v>
      </c>
      <c r="D86" s="12" t="str">
        <f>TEXT(시험일정!$E86-14, "yyyy-mm-dd") &amp; "~" &amp; TEXT(시험일정!$E86 -시험일정!$I86, "yyyy-mm-dd")</f>
        <v>2021-08-15~2021-08-20</v>
      </c>
      <c r="E86" s="13">
        <v>44437</v>
      </c>
      <c r="F86" s="14">
        <v>0.41666666666666669</v>
      </c>
      <c r="G86" s="42">
        <f>시험일정!$E86 + VLOOKUP(시험일정!$B86,표2[],11, FALSE)</f>
        <v>44438</v>
      </c>
      <c r="H86" s="15">
        <f>IFERROR(COUNTIFS(표5[종목],시험일정!$B86,표5[회차],시험일정!$C86,표5[합격여부], "합격")/COUNTIFS(표5[종목],시험일정!$B86,표5[회차],시험일정!$C86),0)</f>
        <v>0</v>
      </c>
      <c r="I86" s="16" t="str">
        <f>VLOOKUP(시험일정!$B86,표2[],10, FALSE)</f>
        <v xml:space="preserve"> 9</v>
      </c>
      <c r="J86">
        <f>COUNTIF(표5[일정번호],시험일정!$A86)</f>
        <v>6</v>
      </c>
    </row>
    <row r="87" spans="1:10" x14ac:dyDescent="0.3">
      <c r="A87" s="12">
        <v>86</v>
      </c>
      <c r="B87" s="12">
        <v>2</v>
      </c>
      <c r="C87" s="12">
        <v>9</v>
      </c>
      <c r="D87" s="12" t="str">
        <f>TEXT(시험일정!$E87-14, "yyyy-mm-dd") &amp; "~" &amp; TEXT(시험일정!$E87 -시험일정!$I87, "yyyy-mm-dd")</f>
        <v>2021-08-16~2021-08-25</v>
      </c>
      <c r="E87" s="13">
        <v>44438</v>
      </c>
      <c r="F87" s="14">
        <v>0.375</v>
      </c>
      <c r="G87" s="42">
        <f>시험일정!$E87 + VLOOKUP(시험일정!$B87,표2[],11, FALSE)</f>
        <v>44438</v>
      </c>
      <c r="H87" s="15">
        <f>IFERROR(COUNTIFS(표5[종목],시험일정!$B87,표5[회차],시험일정!$C87,표5[합격여부], "합격")/COUNTIFS(표5[종목],시험일정!$B87,표5[회차],시험일정!$C87),0)</f>
        <v>0</v>
      </c>
      <c r="I87" s="16" t="str">
        <f>VLOOKUP(시험일정!$B87,표2[],10, FALSE)</f>
        <v xml:space="preserve"> 5</v>
      </c>
      <c r="J87">
        <f>COUNTIF(표5[일정번호],시험일정!$A87)</f>
        <v>0</v>
      </c>
    </row>
    <row r="88" spans="1:10" x14ac:dyDescent="0.3">
      <c r="A88" s="12">
        <v>87</v>
      </c>
      <c r="B88" s="12">
        <v>4</v>
      </c>
      <c r="C88" s="12">
        <v>16</v>
      </c>
      <c r="D88" s="12" t="str">
        <f>TEXT(시험일정!$E88-14, "yyyy-mm-dd") &amp; "~" &amp; TEXT(시험일정!$E88 -시험일정!$I88, "yyyy-mm-dd")</f>
        <v>2021-08-16~2021-08-21</v>
      </c>
      <c r="E88" s="13">
        <v>44438</v>
      </c>
      <c r="F88" s="14">
        <v>0.625</v>
      </c>
      <c r="G88" s="42">
        <f>시험일정!$E88 + VLOOKUP(시험일정!$B88,표2[],11, FALSE)</f>
        <v>44439</v>
      </c>
      <c r="H88" s="15">
        <f>IFERROR(COUNTIFS(표5[종목],시험일정!$B88,표5[회차],시험일정!$C88,표5[합격여부], "합격")/COUNTIFS(표5[종목],시험일정!$B88,표5[회차],시험일정!$C88),0)</f>
        <v>0</v>
      </c>
      <c r="I88" s="16" t="str">
        <f>VLOOKUP(시험일정!$B88,표2[],10, FALSE)</f>
        <v xml:space="preserve"> 9</v>
      </c>
      <c r="J88">
        <f>COUNTIF(표5[일정번호],시험일정!$A88)</f>
        <v>0</v>
      </c>
    </row>
    <row r="89" spans="1:10" x14ac:dyDescent="0.3">
      <c r="A89" s="12">
        <v>88</v>
      </c>
      <c r="B89" s="12">
        <v>2</v>
      </c>
      <c r="C89" s="12">
        <v>10</v>
      </c>
      <c r="D89" s="12" t="str">
        <f>TEXT(시험일정!$E89-14, "yyyy-mm-dd") &amp; "~" &amp; TEXT(시험일정!$E89 -시험일정!$I89, "yyyy-mm-dd")</f>
        <v>2021-08-18~2021-08-27</v>
      </c>
      <c r="E89" s="13">
        <v>44440</v>
      </c>
      <c r="F89" s="14">
        <v>0.45833333333333331</v>
      </c>
      <c r="G89" s="42">
        <f>시험일정!$E89 + VLOOKUP(시험일정!$B89,표2[],11, FALSE)</f>
        <v>44440</v>
      </c>
      <c r="H89" s="15">
        <f>IFERROR(COUNTIFS(표5[종목],시험일정!$B89,표5[회차],시험일정!$C89,표5[합격여부], "합격")/COUNTIFS(표5[종목],시험일정!$B89,표5[회차],시험일정!$C89),0)</f>
        <v>0</v>
      </c>
      <c r="I89" s="16" t="str">
        <f>VLOOKUP(시험일정!$B89,표2[],10, FALSE)</f>
        <v xml:space="preserve"> 5</v>
      </c>
      <c r="J89">
        <f>COUNTIF(표5[일정번호],시험일정!$A89)</f>
        <v>0</v>
      </c>
    </row>
    <row r="90" spans="1:10" x14ac:dyDescent="0.3">
      <c r="A90" s="12">
        <v>89</v>
      </c>
      <c r="B90" s="12">
        <v>2</v>
      </c>
      <c r="C90" s="12">
        <v>11</v>
      </c>
      <c r="D90" s="12" t="str">
        <f>TEXT(시험일정!$E90-14, "yyyy-mm-dd") &amp; "~" &amp; TEXT(시험일정!$E90 -시험일정!$I90, "yyyy-mm-dd")</f>
        <v>2021-08-18~2021-08-27</v>
      </c>
      <c r="E90" s="13">
        <v>44440</v>
      </c>
      <c r="F90" s="14">
        <v>0.54166666666666663</v>
      </c>
      <c r="G90" s="42">
        <f>시험일정!$E90 + VLOOKUP(시험일정!$B90,표2[],11, FALSE)</f>
        <v>44440</v>
      </c>
      <c r="H90" s="15">
        <f>IFERROR(COUNTIFS(표5[종목],시험일정!$B90,표5[회차],시험일정!$C90,표5[합격여부], "합격")/COUNTIFS(표5[종목],시험일정!$B90,표5[회차],시험일정!$C90),0)</f>
        <v>0</v>
      </c>
      <c r="I90" s="16" t="str">
        <f>VLOOKUP(시험일정!$B90,표2[],10, FALSE)</f>
        <v xml:space="preserve"> 5</v>
      </c>
      <c r="J90">
        <f>COUNTIF(표5[일정번호],시험일정!$A90)</f>
        <v>0</v>
      </c>
    </row>
    <row r="91" spans="1:10" x14ac:dyDescent="0.3">
      <c r="A91" s="12">
        <v>90</v>
      </c>
      <c r="B91" s="12">
        <v>3</v>
      </c>
      <c r="C91" s="12">
        <v>15</v>
      </c>
      <c r="D91" s="12" t="str">
        <f>TEXT(시험일정!$E91-14, "yyyy-mm-dd") &amp; "~" &amp; TEXT(시험일정!$E91 -시험일정!$I91, "yyyy-mm-dd")</f>
        <v>2021-08-18~2021-08-27</v>
      </c>
      <c r="E91" s="13">
        <v>44440</v>
      </c>
      <c r="F91" s="14">
        <v>0.375</v>
      </c>
      <c r="G91" s="42">
        <f>시험일정!$E91 + VLOOKUP(시험일정!$B91,표2[],11, FALSE)</f>
        <v>44440</v>
      </c>
      <c r="H91" s="15">
        <f>IFERROR(COUNTIFS(표5[종목],시험일정!$B91,표5[회차],시험일정!$C91,표5[합격여부], "합격")/COUNTIFS(표5[종목],시험일정!$B91,표5[회차],시험일정!$C91),0)</f>
        <v>0</v>
      </c>
      <c r="I91" s="16" t="str">
        <f>VLOOKUP(시험일정!$B91,표2[],10, FALSE)</f>
        <v xml:space="preserve"> 5</v>
      </c>
      <c r="J91">
        <f>COUNTIF(표5[일정번호],시험일정!$A91)</f>
        <v>5</v>
      </c>
    </row>
    <row r="92" spans="1:10" x14ac:dyDescent="0.3">
      <c r="A92" s="12">
        <v>91</v>
      </c>
      <c r="B92" s="12">
        <v>4</v>
      </c>
      <c r="C92" s="12">
        <v>17</v>
      </c>
      <c r="D92" s="12" t="str">
        <f>TEXT(시험일정!$E92-14, "yyyy-mm-dd") &amp; "~" &amp; TEXT(시험일정!$E92 -시험일정!$I92, "yyyy-mm-dd")</f>
        <v>2021-08-18~2021-08-23</v>
      </c>
      <c r="E92" s="13">
        <v>44440</v>
      </c>
      <c r="F92" s="14">
        <v>0.54166666666666663</v>
      </c>
      <c r="G92" s="42">
        <f>시험일정!$E92 + VLOOKUP(시험일정!$B92,표2[],11, FALSE)</f>
        <v>44441</v>
      </c>
      <c r="H92" s="15">
        <f>IFERROR(COUNTIFS(표5[종목],시험일정!$B92,표5[회차],시험일정!$C92,표5[합격여부], "합격")/COUNTIFS(표5[종목],시험일정!$B92,표5[회차],시험일정!$C92),0)</f>
        <v>0</v>
      </c>
      <c r="I92" s="16" t="str">
        <f>VLOOKUP(시험일정!$B92,표2[],10, FALSE)</f>
        <v xml:space="preserve"> 9</v>
      </c>
      <c r="J92">
        <f>COUNTIF(표5[일정번호],시험일정!$A92)</f>
        <v>0</v>
      </c>
    </row>
    <row r="93" spans="1:10" x14ac:dyDescent="0.3">
      <c r="A93" s="12">
        <v>92</v>
      </c>
      <c r="B93" s="12">
        <v>6</v>
      </c>
      <c r="C93" s="12">
        <v>5</v>
      </c>
      <c r="D93" s="12" t="str">
        <f>TEXT(시험일정!$E93-14, "yyyy-mm-dd") &amp; "~" &amp; TEXT(시험일정!$E93 -시험일정!$I93, "yyyy-mm-dd")</f>
        <v>2021-08-18~2021-08-23</v>
      </c>
      <c r="E93" s="13">
        <v>44440</v>
      </c>
      <c r="F93" s="14">
        <v>0.54166666666666663</v>
      </c>
      <c r="G93" s="42">
        <f>시험일정!$E93 + VLOOKUP(시험일정!$B93,표2[],11, FALSE)</f>
        <v>44441</v>
      </c>
      <c r="H93" s="15">
        <f>IFERROR(COUNTIFS(표5[종목],시험일정!$B93,표5[회차],시험일정!$C93,표5[합격여부], "합격")/COUNTIFS(표5[종목],시험일정!$B93,표5[회차],시험일정!$C93),0)</f>
        <v>0</v>
      </c>
      <c r="I93" s="16" t="str">
        <f>VLOOKUP(시험일정!$B93,표2[],10, FALSE)</f>
        <v xml:space="preserve"> 9</v>
      </c>
      <c r="J93">
        <f>COUNTIF(표5[일정번호],시험일정!$A93)</f>
        <v>6</v>
      </c>
    </row>
    <row r="94" spans="1:10" x14ac:dyDescent="0.3">
      <c r="A94" s="12">
        <v>93</v>
      </c>
      <c r="B94" s="12">
        <v>1</v>
      </c>
      <c r="C94" s="12">
        <v>27</v>
      </c>
      <c r="D94" s="12" t="str">
        <f>TEXT(시험일정!$E94-14, "yyyy-mm-dd") &amp; "~" &amp; TEXT(시험일정!$E94 -시험일정!$I94, "yyyy-mm-dd")</f>
        <v>2021-08-21~2021-08-31</v>
      </c>
      <c r="E94" s="13">
        <v>44443</v>
      </c>
      <c r="F94" s="14">
        <v>0.54166666666666663</v>
      </c>
      <c r="G94" s="42">
        <f>시험일정!$E94 + VLOOKUP(시험일정!$B94,표2[],11, FALSE)</f>
        <v>44444</v>
      </c>
      <c r="H94" s="15">
        <f>IFERROR(COUNTIFS(표5[종목],시험일정!$B94,표5[회차],시험일정!$C94,표5[합격여부], "합격")/COUNTIFS(표5[종목],시험일정!$B94,표5[회차],시험일정!$C94),0)</f>
        <v>0</v>
      </c>
      <c r="I94" s="16" t="str">
        <f>VLOOKUP(시험일정!$B94,표2[],10, FALSE)</f>
        <v xml:space="preserve"> 4</v>
      </c>
      <c r="J94">
        <f>COUNTIF(표5[일정번호],시험일정!$A94)</f>
        <v>5</v>
      </c>
    </row>
    <row r="95" spans="1:10" x14ac:dyDescent="0.3">
      <c r="A95" s="12">
        <v>94</v>
      </c>
      <c r="B95" s="12">
        <v>1</v>
      </c>
      <c r="C95" s="12">
        <v>28</v>
      </c>
      <c r="D95" s="12" t="str">
        <f>TEXT(시험일정!$E95-14, "yyyy-mm-dd") &amp; "~" &amp; TEXT(시험일정!$E95 -시험일정!$I95, "yyyy-mm-dd")</f>
        <v>2021-08-21~2021-08-31</v>
      </c>
      <c r="E95" s="13">
        <v>44443</v>
      </c>
      <c r="F95" s="14">
        <v>0.59722222222222221</v>
      </c>
      <c r="G95" s="42">
        <f>시험일정!$E95 + VLOOKUP(시험일정!$B95,표2[],11, FALSE)</f>
        <v>44444</v>
      </c>
      <c r="H95" s="15">
        <f>IFERROR(COUNTIFS(표5[종목],시험일정!$B95,표5[회차],시험일정!$C95,표5[합격여부], "합격")/COUNTIFS(표5[종목],시험일정!$B95,표5[회차],시험일정!$C95),0)</f>
        <v>0</v>
      </c>
      <c r="I95" s="16" t="str">
        <f>VLOOKUP(시험일정!$B95,표2[],10, FALSE)</f>
        <v xml:space="preserve"> 4</v>
      </c>
      <c r="J95">
        <f>COUNTIF(표5[일정번호],시험일정!$A95)</f>
        <v>10</v>
      </c>
    </row>
    <row r="96" spans="1:10" x14ac:dyDescent="0.3">
      <c r="A96" s="12">
        <v>95</v>
      </c>
      <c r="B96" s="12">
        <v>3</v>
      </c>
      <c r="C96" s="12">
        <v>16</v>
      </c>
      <c r="D96" s="12" t="str">
        <f>TEXT(시험일정!$E96-14, "yyyy-mm-dd") &amp; "~" &amp; TEXT(시험일정!$E96 -시험일정!$I96, "yyyy-mm-dd")</f>
        <v>2021-08-22~2021-08-31</v>
      </c>
      <c r="E96" s="13">
        <v>44444</v>
      </c>
      <c r="F96" s="14">
        <v>0.54166666666666663</v>
      </c>
      <c r="G96" s="42">
        <f>시험일정!$E96 + VLOOKUP(시험일정!$B96,표2[],11, FALSE)</f>
        <v>44444</v>
      </c>
      <c r="H96" s="15">
        <f>IFERROR(COUNTIFS(표5[종목],시험일정!$B96,표5[회차],시험일정!$C96,표5[합격여부], "합격")/COUNTIFS(표5[종목],시험일정!$B96,표5[회차],시험일정!$C96),0)</f>
        <v>0</v>
      </c>
      <c r="I96" s="16" t="str">
        <f>VLOOKUP(시험일정!$B96,표2[],10, FALSE)</f>
        <v xml:space="preserve"> 5</v>
      </c>
      <c r="J96">
        <f>COUNTIF(표5[일정번호],시험일정!$A96)</f>
        <v>5</v>
      </c>
    </row>
    <row r="97" spans="1:10" x14ac:dyDescent="0.3">
      <c r="A97" s="12">
        <v>96</v>
      </c>
      <c r="B97" s="12">
        <v>4</v>
      </c>
      <c r="C97" s="12">
        <v>18</v>
      </c>
      <c r="D97" s="12" t="str">
        <f>TEXT(시험일정!$E97-14, "yyyy-mm-dd") &amp; "~" &amp; TEXT(시험일정!$E97 -시험일정!$I97, "yyyy-mm-dd")</f>
        <v>2021-08-22~2021-08-27</v>
      </c>
      <c r="E97" s="13">
        <v>44444</v>
      </c>
      <c r="F97" s="14">
        <v>0.375</v>
      </c>
      <c r="G97" s="42">
        <f>시험일정!$E97 + VLOOKUP(시험일정!$B97,표2[],11, FALSE)</f>
        <v>44445</v>
      </c>
      <c r="H97" s="15">
        <f>IFERROR(COUNTIFS(표5[종목],시험일정!$B97,표5[회차],시험일정!$C97,표5[합격여부], "합격")/COUNTIFS(표5[종목],시험일정!$B97,표5[회차],시험일정!$C97),0)</f>
        <v>0</v>
      </c>
      <c r="I97" s="16" t="str">
        <f>VLOOKUP(시험일정!$B97,표2[],10, FALSE)</f>
        <v xml:space="preserve"> 9</v>
      </c>
      <c r="J97">
        <f>COUNTIF(표5[일정번호],시험일정!$A97)</f>
        <v>2</v>
      </c>
    </row>
    <row r="98" spans="1:10" x14ac:dyDescent="0.3">
      <c r="A98" s="12">
        <v>97</v>
      </c>
      <c r="B98" s="12">
        <v>2</v>
      </c>
      <c r="C98" s="12">
        <v>12</v>
      </c>
      <c r="D98" s="12" t="str">
        <f>TEXT(시험일정!$E98-14, "yyyy-mm-dd") &amp; "~" &amp; TEXT(시험일정!$E98 -시험일정!$I98, "yyyy-mm-dd")</f>
        <v>2021-08-24~2021-09-02</v>
      </c>
      <c r="E98" s="13">
        <v>44446</v>
      </c>
      <c r="F98" s="14">
        <v>0.625</v>
      </c>
      <c r="G98" s="42">
        <f>시험일정!$E98 + VLOOKUP(시험일정!$B98,표2[],11, FALSE)</f>
        <v>44446</v>
      </c>
      <c r="H98" s="15">
        <f>IFERROR(COUNTIFS(표5[종목],시험일정!$B98,표5[회차],시험일정!$C98,표5[합격여부], "합격")/COUNTIFS(표5[종목],시험일정!$B98,표5[회차],시험일정!$C98),0)</f>
        <v>0</v>
      </c>
      <c r="I98" s="16" t="str">
        <f>VLOOKUP(시험일정!$B98,표2[],10, FALSE)</f>
        <v xml:space="preserve"> 5</v>
      </c>
      <c r="J98">
        <f>COUNTIF(표5[일정번호],시험일정!$A98)</f>
        <v>2</v>
      </c>
    </row>
    <row r="99" spans="1:10" x14ac:dyDescent="0.3">
      <c r="A99" s="12">
        <v>98</v>
      </c>
      <c r="B99" s="12">
        <v>3</v>
      </c>
      <c r="C99" s="12">
        <v>17</v>
      </c>
      <c r="D99" s="12" t="str">
        <f>TEXT(시험일정!$E99-14, "yyyy-mm-dd") &amp; "~" &amp; TEXT(시험일정!$E99 -시험일정!$I99, "yyyy-mm-dd")</f>
        <v>2021-08-27~2021-09-05</v>
      </c>
      <c r="E99" s="13">
        <v>44449</v>
      </c>
      <c r="F99" s="14">
        <v>0.45833333333333331</v>
      </c>
      <c r="G99" s="42">
        <f>시험일정!$E99 + VLOOKUP(시험일정!$B99,표2[],11, FALSE)</f>
        <v>44449</v>
      </c>
      <c r="H99" s="15">
        <f>IFERROR(COUNTIFS(표5[종목],시험일정!$B99,표5[회차],시험일정!$C99,표5[합격여부], "합격")/COUNTIFS(표5[종목],시험일정!$B99,표5[회차],시험일정!$C99),0)</f>
        <v>0.5</v>
      </c>
      <c r="I99" s="16" t="str">
        <f>VLOOKUP(시험일정!$B99,표2[],10, FALSE)</f>
        <v xml:space="preserve"> 5</v>
      </c>
      <c r="J99">
        <f>COUNTIF(표5[일정번호],시험일정!$A99)</f>
        <v>4</v>
      </c>
    </row>
    <row r="100" spans="1:10" x14ac:dyDescent="0.3">
      <c r="A100" s="12">
        <v>99</v>
      </c>
      <c r="B100" s="12">
        <v>6</v>
      </c>
      <c r="C100" s="12">
        <v>6</v>
      </c>
      <c r="D100" s="12" t="str">
        <f>TEXT(시험일정!$E100-14, "yyyy-mm-dd") &amp; "~" &amp; TEXT(시험일정!$E100 -시험일정!$I100, "yyyy-mm-dd")</f>
        <v>2021-08-27~2021-09-01</v>
      </c>
      <c r="E100" s="13">
        <v>44449</v>
      </c>
      <c r="F100" s="14">
        <v>0.625</v>
      </c>
      <c r="G100" s="42">
        <f>시험일정!$E100 + VLOOKUP(시험일정!$B100,표2[],11, FALSE)</f>
        <v>44450</v>
      </c>
      <c r="H100" s="15">
        <f>IFERROR(COUNTIFS(표5[종목],시험일정!$B100,표5[회차],시험일정!$C100,표5[합격여부], "합격")/COUNTIFS(표5[종목],시험일정!$B100,표5[회차],시험일정!$C100),0)</f>
        <v>0</v>
      </c>
      <c r="I100" s="16" t="str">
        <f>VLOOKUP(시험일정!$B100,표2[],10, FALSE)</f>
        <v xml:space="preserve"> 9</v>
      </c>
      <c r="J100">
        <f>COUNTIF(표5[일정번호],시험일정!$A100)</f>
        <v>7</v>
      </c>
    </row>
    <row r="101" spans="1:10" x14ac:dyDescent="0.3">
      <c r="A101" s="12">
        <v>100</v>
      </c>
      <c r="B101" s="12">
        <v>2</v>
      </c>
      <c r="C101" s="12">
        <v>13</v>
      </c>
      <c r="D101" s="12" t="str">
        <f>TEXT(시험일정!$E101-14, "yyyy-mm-dd") &amp; "~" &amp; TEXT(시험일정!$E101 -시험일정!$I101, "yyyy-mm-dd")</f>
        <v>2021-08-28~2021-09-06</v>
      </c>
      <c r="E101" s="13">
        <v>44450</v>
      </c>
      <c r="F101" s="14">
        <v>0.45833333333333331</v>
      </c>
      <c r="G101" s="42">
        <f>시험일정!$E101 + VLOOKUP(시험일정!$B101,표2[],11, FALSE)</f>
        <v>44450</v>
      </c>
      <c r="H101" s="15">
        <f>IFERROR(COUNTIFS(표5[종목],시험일정!$B101,표5[회차],시험일정!$C101,표5[합격여부], "합격")/COUNTIFS(표5[종목],시험일정!$B101,표5[회차],시험일정!$C101),0)</f>
        <v>0</v>
      </c>
      <c r="I101" s="16" t="str">
        <f>VLOOKUP(시험일정!$B101,표2[],10, FALSE)</f>
        <v xml:space="preserve"> 5</v>
      </c>
      <c r="J101">
        <f>COUNTIF(표5[일정번호],시험일정!$A101)</f>
        <v>0</v>
      </c>
    </row>
    <row r="102" spans="1:10" x14ac:dyDescent="0.3">
      <c r="A102" s="12">
        <v>101</v>
      </c>
      <c r="B102" s="12">
        <v>1</v>
      </c>
      <c r="C102" s="12">
        <v>29</v>
      </c>
      <c r="D102" s="12" t="str">
        <f>TEXT(시험일정!$E102-14, "yyyy-mm-dd") &amp; "~" &amp; TEXT(시험일정!$E102 -시험일정!$I102, "yyyy-mm-dd")</f>
        <v>2021-08-29~2021-09-08</v>
      </c>
      <c r="E102" s="13">
        <v>44451</v>
      </c>
      <c r="F102" s="14">
        <v>0.45833333333333331</v>
      </c>
      <c r="G102" s="42">
        <f>시험일정!$E102 + VLOOKUP(시험일정!$B102,표2[],11, FALSE)</f>
        <v>44452</v>
      </c>
      <c r="H102" s="15">
        <f>IFERROR(COUNTIFS(표5[종목],시험일정!$B102,표5[회차],시험일정!$C102,표5[합격여부], "합격")/COUNTIFS(표5[종목],시험일정!$B102,표5[회차],시험일정!$C102),0)</f>
        <v>0</v>
      </c>
      <c r="I102" s="16" t="str">
        <f>VLOOKUP(시험일정!$B102,표2[],10, FALSE)</f>
        <v xml:space="preserve"> 4</v>
      </c>
      <c r="J102">
        <f>COUNTIF(표5[일정번호],시험일정!$A102)</f>
        <v>8</v>
      </c>
    </row>
    <row r="103" spans="1:10" x14ac:dyDescent="0.3">
      <c r="A103" s="12">
        <v>102</v>
      </c>
      <c r="B103" s="12">
        <v>2</v>
      </c>
      <c r="C103" s="12">
        <v>14</v>
      </c>
      <c r="D103" s="12" t="str">
        <f>TEXT(시험일정!$E103-14, "yyyy-mm-dd") &amp; "~" &amp; TEXT(시험일정!$E103 -시험일정!$I103, "yyyy-mm-dd")</f>
        <v>2021-08-29~2021-09-07</v>
      </c>
      <c r="E103" s="13">
        <v>44451</v>
      </c>
      <c r="F103" s="14">
        <v>0.54166666666666663</v>
      </c>
      <c r="G103" s="42">
        <f>시험일정!$E103 + VLOOKUP(시험일정!$B103,표2[],11, FALSE)</f>
        <v>44451</v>
      </c>
      <c r="H103" s="15">
        <f>IFERROR(COUNTIFS(표5[종목],시험일정!$B103,표5[회차],시험일정!$C103,표5[합격여부], "합격")/COUNTIFS(표5[종목],시험일정!$B103,표5[회차],시험일정!$C103),0)</f>
        <v>0</v>
      </c>
      <c r="I103" s="16" t="str">
        <f>VLOOKUP(시험일정!$B103,표2[],10, FALSE)</f>
        <v xml:space="preserve"> 5</v>
      </c>
      <c r="J103">
        <f>COUNTIF(표5[일정번호],시험일정!$A103)</f>
        <v>0</v>
      </c>
    </row>
    <row r="104" spans="1:10" x14ac:dyDescent="0.3">
      <c r="A104" s="12">
        <v>103</v>
      </c>
      <c r="B104" s="12">
        <v>6</v>
      </c>
      <c r="C104" s="12">
        <v>7</v>
      </c>
      <c r="D104" s="12" t="str">
        <f>TEXT(시험일정!$E104-14, "yyyy-mm-dd") &amp; "~" &amp; TEXT(시험일정!$E104 -시험일정!$I104, "yyyy-mm-dd")</f>
        <v>2021-08-31~2021-09-05</v>
      </c>
      <c r="E104" s="13">
        <v>44453</v>
      </c>
      <c r="F104" s="14">
        <v>0.375</v>
      </c>
      <c r="G104" s="42">
        <f>시험일정!$E104 + VLOOKUP(시험일정!$B104,표2[],11, FALSE)</f>
        <v>44454</v>
      </c>
      <c r="H104" s="15">
        <f>IFERROR(COUNTIFS(표5[종목],시험일정!$B104,표5[회차],시험일정!$C104,표5[합격여부], "합격")/COUNTIFS(표5[종목],시험일정!$B104,표5[회차],시험일정!$C104),0)</f>
        <v>0</v>
      </c>
      <c r="I104" s="16" t="str">
        <f>VLOOKUP(시험일정!$B104,표2[],10, FALSE)</f>
        <v xml:space="preserve"> 9</v>
      </c>
      <c r="J104">
        <f>COUNTIF(표5[일정번호],시험일정!$A104)</f>
        <v>6</v>
      </c>
    </row>
    <row r="105" spans="1:10" x14ac:dyDescent="0.3">
      <c r="A105" s="12">
        <v>104</v>
      </c>
      <c r="B105" s="12">
        <v>3</v>
      </c>
      <c r="C105" s="12">
        <v>18</v>
      </c>
      <c r="D105" s="12" t="str">
        <f>TEXT(시험일정!$E105-14, "yyyy-mm-dd") &amp; "~" &amp; TEXT(시험일정!$E105 -시험일정!$I105, "yyyy-mm-dd")</f>
        <v>2021-09-01~2021-09-10</v>
      </c>
      <c r="E105" s="13">
        <v>44454</v>
      </c>
      <c r="F105" s="14">
        <v>0.54166666666666663</v>
      </c>
      <c r="G105" s="42">
        <f>시험일정!$E105 + VLOOKUP(시험일정!$B105,표2[],11, FALSE)</f>
        <v>44454</v>
      </c>
      <c r="H105" s="15">
        <f>IFERROR(COUNTIFS(표5[종목],시험일정!$B105,표5[회차],시험일정!$C105,표5[합격여부], "합격")/COUNTIFS(표5[종목],시험일정!$B105,표5[회차],시험일정!$C105),0)</f>
        <v>0.33333333333333331</v>
      </c>
      <c r="I105" s="16" t="str">
        <f>VLOOKUP(시험일정!$B105,표2[],10, FALSE)</f>
        <v xml:space="preserve"> 5</v>
      </c>
      <c r="J105">
        <f>COUNTIF(표5[일정번호],시험일정!$A105)</f>
        <v>3</v>
      </c>
    </row>
    <row r="106" spans="1:10" x14ac:dyDescent="0.3">
      <c r="A106" s="12">
        <v>105</v>
      </c>
      <c r="B106" s="12">
        <v>5</v>
      </c>
      <c r="C106" s="12">
        <v>19</v>
      </c>
      <c r="D106" s="12" t="str">
        <f>TEXT(시험일정!$E106-14, "yyyy-mm-dd") &amp; "~" &amp; TEXT(시험일정!$E106 -시험일정!$I106, "yyyy-mm-dd")</f>
        <v>2021-09-01~2021-09-06</v>
      </c>
      <c r="E106" s="13">
        <v>44454</v>
      </c>
      <c r="F106" s="14">
        <v>0.625</v>
      </c>
      <c r="G106" s="42">
        <f>시험일정!$E106 + VLOOKUP(시험일정!$B106,표2[],11, FALSE)</f>
        <v>44455</v>
      </c>
      <c r="H106" s="15">
        <f>IFERROR(COUNTIFS(표5[종목],시험일정!$B106,표5[회차],시험일정!$C106,표5[합격여부], "합격")/COUNTIFS(표5[종목],시험일정!$B106,표5[회차],시험일정!$C106),0)</f>
        <v>0</v>
      </c>
      <c r="I106" s="16" t="str">
        <f>VLOOKUP(시험일정!$B106,표2[],10, FALSE)</f>
        <v xml:space="preserve"> 9</v>
      </c>
      <c r="J106">
        <f>COUNTIF(표5[일정번호],시험일정!$A106)</f>
        <v>2</v>
      </c>
    </row>
    <row r="107" spans="1:10" x14ac:dyDescent="0.3">
      <c r="A107" s="12">
        <v>106</v>
      </c>
      <c r="B107" s="12">
        <v>6</v>
      </c>
      <c r="C107" s="12">
        <v>8</v>
      </c>
      <c r="D107" s="12" t="str">
        <f>TEXT(시험일정!$E107-14, "yyyy-mm-dd") &amp; "~" &amp; TEXT(시험일정!$E107 -시험일정!$I107, "yyyy-mm-dd")</f>
        <v>2021-09-01~2021-09-06</v>
      </c>
      <c r="E107" s="13">
        <v>44454</v>
      </c>
      <c r="F107" s="14">
        <v>0.54166666666666663</v>
      </c>
      <c r="G107" s="42">
        <f>시험일정!$E107 + VLOOKUP(시험일정!$B107,표2[],11, FALSE)</f>
        <v>44455</v>
      </c>
      <c r="H107" s="15">
        <f>IFERROR(COUNTIFS(표5[종목],시험일정!$B107,표5[회차],시험일정!$C107,표5[합격여부], "합격")/COUNTIFS(표5[종목],시험일정!$B107,표5[회차],시험일정!$C107),0)</f>
        <v>0.16666666666666666</v>
      </c>
      <c r="I107" s="16" t="str">
        <f>VLOOKUP(시험일정!$B107,표2[],10, FALSE)</f>
        <v xml:space="preserve"> 9</v>
      </c>
      <c r="J107">
        <f>COUNTIF(표5[일정번호],시험일정!$A107)</f>
        <v>6</v>
      </c>
    </row>
    <row r="108" spans="1:10" x14ac:dyDescent="0.3">
      <c r="A108" s="12">
        <v>107</v>
      </c>
      <c r="B108" s="12">
        <v>5</v>
      </c>
      <c r="C108" s="12">
        <v>20</v>
      </c>
      <c r="D108" s="12" t="str">
        <f>TEXT(시험일정!$E108-14, "yyyy-mm-dd") &amp; "~" &amp; TEXT(시험일정!$E108 -시험일정!$I108, "yyyy-mm-dd")</f>
        <v>2021-09-02~2021-09-07</v>
      </c>
      <c r="E108" s="13">
        <v>44455</v>
      </c>
      <c r="F108" s="14">
        <v>0.625</v>
      </c>
      <c r="G108" s="42">
        <f>시험일정!$E108 + VLOOKUP(시험일정!$B108,표2[],11, FALSE)</f>
        <v>44456</v>
      </c>
      <c r="H108" s="15">
        <f>IFERROR(COUNTIFS(표5[종목],시험일정!$B108,표5[회차],시험일정!$C108,표5[합격여부], "합격")/COUNTIFS(표5[종목],시험일정!$B108,표5[회차],시험일정!$C108),0)</f>
        <v>0</v>
      </c>
      <c r="I108" s="16" t="str">
        <f>VLOOKUP(시험일정!$B108,표2[],10, FALSE)</f>
        <v xml:space="preserve"> 9</v>
      </c>
      <c r="J108">
        <f>COUNTIF(표5[일정번호],시험일정!$A108)</f>
        <v>0</v>
      </c>
    </row>
    <row r="109" spans="1:10" x14ac:dyDescent="0.3">
      <c r="A109" s="12">
        <v>108</v>
      </c>
      <c r="B109" s="12">
        <v>2</v>
      </c>
      <c r="C109" s="12">
        <v>15</v>
      </c>
      <c r="D109" s="12" t="str">
        <f>TEXT(시험일정!$E109-14, "yyyy-mm-dd") &amp; "~" &amp; TEXT(시험일정!$E109 -시험일정!$I109, "yyyy-mm-dd")</f>
        <v>2021-09-03~2021-09-12</v>
      </c>
      <c r="E109" s="13">
        <v>44456</v>
      </c>
      <c r="F109" s="14">
        <v>0.66666666666666663</v>
      </c>
      <c r="G109" s="42">
        <f>시험일정!$E109 + VLOOKUP(시험일정!$B109,표2[],11, FALSE)</f>
        <v>44456</v>
      </c>
      <c r="H109" s="15">
        <f>IFERROR(COUNTIFS(표5[종목],시험일정!$B109,표5[회차],시험일정!$C109,표5[합격여부], "합격")/COUNTIFS(표5[종목],시험일정!$B109,표5[회차],시험일정!$C109),0)</f>
        <v>0</v>
      </c>
      <c r="I109" s="16" t="str">
        <f>VLOOKUP(시험일정!$B109,표2[],10, FALSE)</f>
        <v xml:space="preserve"> 5</v>
      </c>
      <c r="J109">
        <f>COUNTIF(표5[일정번호],시험일정!$A109)</f>
        <v>2</v>
      </c>
    </row>
    <row r="110" spans="1:10" x14ac:dyDescent="0.3">
      <c r="A110" s="12">
        <v>109</v>
      </c>
      <c r="B110" s="12">
        <v>1</v>
      </c>
      <c r="C110" s="12">
        <v>30</v>
      </c>
      <c r="D110" s="12" t="str">
        <f>TEXT(시험일정!$E110-14, "yyyy-mm-dd") &amp; "~" &amp; TEXT(시험일정!$E110 -시험일정!$I110, "yyyy-mm-dd")</f>
        <v>2021-09-04~2021-09-14</v>
      </c>
      <c r="E110" s="13">
        <v>44457</v>
      </c>
      <c r="F110" s="14">
        <v>0.58333333333333337</v>
      </c>
      <c r="G110" s="42">
        <f>시험일정!$E110 + VLOOKUP(시험일정!$B110,표2[],11, FALSE)</f>
        <v>44458</v>
      </c>
      <c r="H110" s="15">
        <f>IFERROR(COUNTIFS(표5[종목],시험일정!$B110,표5[회차],시험일정!$C110,표5[합격여부], "합격")/COUNTIFS(표5[종목],시험일정!$B110,표5[회차],시험일정!$C110),0)</f>
        <v>0</v>
      </c>
      <c r="I110" s="16" t="str">
        <f>VLOOKUP(시험일정!$B110,표2[],10, FALSE)</f>
        <v xml:space="preserve"> 4</v>
      </c>
      <c r="J110">
        <f>COUNTIF(표5[일정번호],시험일정!$A110)</f>
        <v>8</v>
      </c>
    </row>
    <row r="111" spans="1:10" x14ac:dyDescent="0.3">
      <c r="A111" s="12">
        <v>110</v>
      </c>
      <c r="B111" s="12">
        <v>3</v>
      </c>
      <c r="C111" s="12">
        <v>19</v>
      </c>
      <c r="D111" s="12" t="str">
        <f>TEXT(시험일정!$E111-14, "yyyy-mm-dd") &amp; "~" &amp; TEXT(시험일정!$E111 -시험일정!$I111, "yyyy-mm-dd")</f>
        <v>2021-09-04~2021-09-13</v>
      </c>
      <c r="E111" s="13">
        <v>44457</v>
      </c>
      <c r="F111" s="14">
        <v>0.45833333333333331</v>
      </c>
      <c r="G111" s="42">
        <f>시험일정!$E111 + VLOOKUP(시험일정!$B111,표2[],11, FALSE)</f>
        <v>44457</v>
      </c>
      <c r="H111" s="15">
        <f>IFERROR(COUNTIFS(표5[종목],시험일정!$B111,표5[회차],시험일정!$C111,표5[합격여부], "합격")/COUNTIFS(표5[종목],시험일정!$B111,표5[회차],시험일정!$C111),0)</f>
        <v>0</v>
      </c>
      <c r="I111" s="16" t="str">
        <f>VLOOKUP(시험일정!$B111,표2[],10, FALSE)</f>
        <v xml:space="preserve"> 5</v>
      </c>
      <c r="J111">
        <f>COUNTIF(표5[일정번호],시험일정!$A111)</f>
        <v>4</v>
      </c>
    </row>
    <row r="112" spans="1:10" x14ac:dyDescent="0.3">
      <c r="A112" s="12">
        <v>111</v>
      </c>
      <c r="B112" s="12">
        <v>5</v>
      </c>
      <c r="C112" s="12">
        <v>21</v>
      </c>
      <c r="D112" s="12" t="str">
        <f>TEXT(시험일정!$E112-14, "yyyy-mm-dd") &amp; "~" &amp; TEXT(시험일정!$E112 -시험일정!$I112, "yyyy-mm-dd")</f>
        <v>2021-09-04~2021-09-09</v>
      </c>
      <c r="E112" s="13">
        <v>44457</v>
      </c>
      <c r="F112" s="14">
        <v>0.375</v>
      </c>
      <c r="G112" s="42">
        <f>시험일정!$E112 + VLOOKUP(시험일정!$B112,표2[],11, FALSE)</f>
        <v>44458</v>
      </c>
      <c r="H112" s="15">
        <f>IFERROR(COUNTIFS(표5[종목],시험일정!$B112,표5[회차],시험일정!$C112,표5[합격여부], "합격")/COUNTIFS(표5[종목],시험일정!$B112,표5[회차],시험일정!$C112),0)</f>
        <v>0</v>
      </c>
      <c r="I112" s="16" t="str">
        <f>VLOOKUP(시험일정!$B112,표2[],10, FALSE)</f>
        <v xml:space="preserve"> 9</v>
      </c>
      <c r="J112">
        <f>COUNTIF(표5[일정번호],시험일정!$A112)</f>
        <v>0</v>
      </c>
    </row>
    <row r="113" spans="1:10" x14ac:dyDescent="0.3">
      <c r="A113" s="12">
        <v>112</v>
      </c>
      <c r="B113" s="12">
        <v>3</v>
      </c>
      <c r="C113" s="12">
        <v>20</v>
      </c>
      <c r="D113" s="12" t="str">
        <f>TEXT(시험일정!$E113-14, "yyyy-mm-dd") &amp; "~" &amp; TEXT(시험일정!$E113 -시험일정!$I113, "yyyy-mm-dd")</f>
        <v>2021-09-05~2021-09-14</v>
      </c>
      <c r="E113" s="13">
        <v>44458</v>
      </c>
      <c r="F113" s="14">
        <v>0.41666666666666669</v>
      </c>
      <c r="G113" s="42">
        <f>시험일정!$E113 + VLOOKUP(시험일정!$B113,표2[],11, FALSE)</f>
        <v>44458</v>
      </c>
      <c r="H113" s="15">
        <f>IFERROR(COUNTIFS(표5[종목],시험일정!$B113,표5[회차],시험일정!$C113,표5[합격여부], "합격")/COUNTIFS(표5[종목],시험일정!$B113,표5[회차],시험일정!$C113),0)</f>
        <v>0</v>
      </c>
      <c r="I113" s="16" t="str">
        <f>VLOOKUP(시험일정!$B113,표2[],10, FALSE)</f>
        <v xml:space="preserve"> 5</v>
      </c>
      <c r="J113">
        <f>COUNTIF(표5[일정번호],시험일정!$A113)</f>
        <v>3</v>
      </c>
    </row>
    <row r="114" spans="1:10" x14ac:dyDescent="0.3">
      <c r="A114" s="12">
        <v>113</v>
      </c>
      <c r="B114" s="12">
        <v>1</v>
      </c>
      <c r="C114" s="12">
        <v>31</v>
      </c>
      <c r="D114" s="12" t="str">
        <f>TEXT(시험일정!$E114-14, "yyyy-mm-dd") &amp; "~" &amp; TEXT(시험일정!$E114 -시험일정!$I114, "yyyy-mm-dd")</f>
        <v>2021-09-06~2021-09-16</v>
      </c>
      <c r="E114" s="13">
        <v>44459</v>
      </c>
      <c r="F114" s="14">
        <v>0.625</v>
      </c>
      <c r="G114" s="42">
        <f>시험일정!$E114 + VLOOKUP(시험일정!$B114,표2[],11, FALSE)</f>
        <v>44460</v>
      </c>
      <c r="H114" s="15">
        <f>IFERROR(COUNTIFS(표5[종목],시험일정!$B114,표5[회차],시험일정!$C114,표5[합격여부], "합격")/COUNTIFS(표5[종목],시험일정!$B114,표5[회차],시험일정!$C114),0)</f>
        <v>0</v>
      </c>
      <c r="I114" s="16" t="str">
        <f>VLOOKUP(시험일정!$B114,표2[],10, FALSE)</f>
        <v xml:space="preserve"> 4</v>
      </c>
      <c r="J114">
        <f>COUNTIF(표5[일정번호],시험일정!$A114)</f>
        <v>10</v>
      </c>
    </row>
    <row r="115" spans="1:10" x14ac:dyDescent="0.3">
      <c r="A115" s="12">
        <v>114</v>
      </c>
      <c r="B115" s="12">
        <v>1</v>
      </c>
      <c r="C115" s="12">
        <v>32</v>
      </c>
      <c r="D115" s="12" t="str">
        <f>TEXT(시험일정!$E115-14, "yyyy-mm-dd") &amp; "~" &amp; TEXT(시험일정!$E115 -시험일정!$I115, "yyyy-mm-dd")</f>
        <v>2021-09-09~2021-09-19</v>
      </c>
      <c r="E115" s="13">
        <v>44462</v>
      </c>
      <c r="F115" s="14">
        <v>0.41666666666666669</v>
      </c>
      <c r="G115" s="42">
        <f>시험일정!$E115 + VLOOKUP(시험일정!$B115,표2[],11, FALSE)</f>
        <v>44463</v>
      </c>
      <c r="H115" s="15">
        <f>IFERROR(COUNTIFS(표5[종목],시험일정!$B115,표5[회차],시험일정!$C115,표5[합격여부], "합격")/COUNTIFS(표5[종목],시험일정!$B115,표5[회차],시험일정!$C115),0)</f>
        <v>0</v>
      </c>
      <c r="I115" s="16" t="str">
        <f>VLOOKUP(시험일정!$B115,표2[],10, FALSE)</f>
        <v xml:space="preserve"> 4</v>
      </c>
      <c r="J115">
        <f>COUNTIF(표5[일정번호],시험일정!$A115)</f>
        <v>9</v>
      </c>
    </row>
    <row r="116" spans="1:10" x14ac:dyDescent="0.3">
      <c r="A116" s="12">
        <v>115</v>
      </c>
      <c r="B116" s="12">
        <v>3</v>
      </c>
      <c r="C116" s="12">
        <v>21</v>
      </c>
      <c r="D116" s="12" t="str">
        <f>TEXT(시험일정!$E116-14, "yyyy-mm-dd") &amp; "~" &amp; TEXT(시험일정!$E116 -시험일정!$I116, "yyyy-mm-dd")</f>
        <v>2021-09-09~2021-09-18</v>
      </c>
      <c r="E116" s="13">
        <v>44462</v>
      </c>
      <c r="F116" s="14">
        <v>0.375</v>
      </c>
      <c r="G116" s="42">
        <f>시험일정!$E116 + VLOOKUP(시험일정!$B116,표2[],11, FALSE)</f>
        <v>44462</v>
      </c>
      <c r="H116" s="15">
        <f>IFERROR(COUNTIFS(표5[종목],시험일정!$B116,표5[회차],시험일정!$C116,표5[합격여부], "합격")/COUNTIFS(표5[종목],시험일정!$B116,표5[회차],시험일정!$C116),0)</f>
        <v>1</v>
      </c>
      <c r="I116" s="16" t="str">
        <f>VLOOKUP(시험일정!$B116,표2[],10, FALSE)</f>
        <v xml:space="preserve"> 5</v>
      </c>
      <c r="J116">
        <f>COUNTIF(표5[일정번호],시험일정!$A116)</f>
        <v>2</v>
      </c>
    </row>
    <row r="117" spans="1:10" x14ac:dyDescent="0.3">
      <c r="A117" s="12">
        <v>116</v>
      </c>
      <c r="B117" s="12">
        <v>5</v>
      </c>
      <c r="C117" s="12">
        <v>22</v>
      </c>
      <c r="D117" s="12" t="str">
        <f>TEXT(시험일정!$E117-14, "yyyy-mm-dd") &amp; "~" &amp; TEXT(시험일정!$E117 -시험일정!$I117, "yyyy-mm-dd")</f>
        <v>2021-09-09~2021-09-14</v>
      </c>
      <c r="E117" s="13">
        <v>44462</v>
      </c>
      <c r="F117" s="14">
        <v>0.375</v>
      </c>
      <c r="G117" s="42">
        <f>시험일정!$E117 + VLOOKUP(시험일정!$B117,표2[],11, FALSE)</f>
        <v>44463</v>
      </c>
      <c r="H117" s="15">
        <f>IFERROR(COUNTIFS(표5[종목],시험일정!$B117,표5[회차],시험일정!$C117,표5[합격여부], "합격")/COUNTIFS(표5[종목],시험일정!$B117,표5[회차],시험일정!$C117),0)</f>
        <v>0</v>
      </c>
      <c r="I117" s="16" t="str">
        <f>VLOOKUP(시험일정!$B117,표2[],10, FALSE)</f>
        <v xml:space="preserve"> 9</v>
      </c>
      <c r="J117">
        <f>COUNTIF(표5[일정번호],시험일정!$A117)</f>
        <v>2</v>
      </c>
    </row>
    <row r="118" spans="1:10" x14ac:dyDescent="0.3">
      <c r="A118" s="12">
        <v>117</v>
      </c>
      <c r="B118" s="12">
        <v>1</v>
      </c>
      <c r="C118" s="12">
        <v>33</v>
      </c>
      <c r="D118" s="12" t="str">
        <f>TEXT(시험일정!$E118-14, "yyyy-mm-dd") &amp; "~" &amp; TEXT(시험일정!$E118 -시험일정!$I118, "yyyy-mm-dd")</f>
        <v>2021-09-11~2021-09-21</v>
      </c>
      <c r="E118" s="13">
        <v>44464</v>
      </c>
      <c r="F118" s="14">
        <v>0.66666666666666663</v>
      </c>
      <c r="G118" s="42">
        <f>시험일정!$E118 + VLOOKUP(시험일정!$B118,표2[],11, FALSE)</f>
        <v>44465</v>
      </c>
      <c r="H118" s="15">
        <f>IFERROR(COUNTIFS(표5[종목],시험일정!$B118,표5[회차],시험일정!$C118,표5[합격여부], "합격")/COUNTIFS(표5[종목],시험일정!$B118,표5[회차],시험일정!$C118),0)</f>
        <v>0</v>
      </c>
      <c r="I118" s="16" t="str">
        <f>VLOOKUP(시험일정!$B118,표2[],10, FALSE)</f>
        <v xml:space="preserve"> 4</v>
      </c>
      <c r="J118">
        <f>COUNTIF(표5[일정번호],시험일정!$A118)</f>
        <v>10</v>
      </c>
    </row>
    <row r="119" spans="1:10" x14ac:dyDescent="0.3">
      <c r="A119" s="12">
        <v>118</v>
      </c>
      <c r="B119" s="12">
        <v>5</v>
      </c>
      <c r="C119" s="12">
        <v>23</v>
      </c>
      <c r="D119" s="12" t="str">
        <f>TEXT(시험일정!$E119-14, "yyyy-mm-dd") &amp; "~" &amp; TEXT(시험일정!$E119 -시험일정!$I119, "yyyy-mm-dd")</f>
        <v>2021-09-11~2021-09-16</v>
      </c>
      <c r="E119" s="13">
        <v>44464</v>
      </c>
      <c r="F119" s="14">
        <v>0.54166666666666663</v>
      </c>
      <c r="G119" s="42">
        <f>시험일정!$E119 + VLOOKUP(시험일정!$B119,표2[],11, FALSE)</f>
        <v>44465</v>
      </c>
      <c r="H119" s="15">
        <f>IFERROR(COUNTIFS(표5[종목],시험일정!$B119,표5[회차],시험일정!$C119,표5[합격여부], "합격")/COUNTIFS(표5[종목],시험일정!$B119,표5[회차],시험일정!$C119),0)</f>
        <v>0</v>
      </c>
      <c r="I119" s="16" t="str">
        <f>VLOOKUP(시험일정!$B119,표2[],10, FALSE)</f>
        <v xml:space="preserve"> 9</v>
      </c>
      <c r="J119">
        <f>COUNTIF(표5[일정번호],시험일정!$A119)</f>
        <v>0</v>
      </c>
    </row>
    <row r="120" spans="1:10" x14ac:dyDescent="0.3">
      <c r="A120" s="12">
        <v>119</v>
      </c>
      <c r="B120" s="12">
        <v>6</v>
      </c>
      <c r="C120" s="12">
        <v>9</v>
      </c>
      <c r="D120" s="12" t="str">
        <f>TEXT(시험일정!$E120-14, "yyyy-mm-dd") &amp; "~" &amp; TEXT(시험일정!$E120 -시험일정!$I120, "yyyy-mm-dd")</f>
        <v>2021-09-11~2021-09-16</v>
      </c>
      <c r="E120" s="13">
        <v>44464</v>
      </c>
      <c r="F120" s="14">
        <v>0.66666666666666663</v>
      </c>
      <c r="G120" s="42">
        <f>시험일정!$E120 + VLOOKUP(시험일정!$B120,표2[],11, FALSE)</f>
        <v>44465</v>
      </c>
      <c r="H120" s="15">
        <f>IFERROR(COUNTIFS(표5[종목],시험일정!$B120,표5[회차],시험일정!$C120,표5[합격여부], "합격")/COUNTIFS(표5[종목],시험일정!$B120,표5[회차],시험일정!$C120),0)</f>
        <v>0.16666666666666666</v>
      </c>
      <c r="I120" s="16" t="str">
        <f>VLOOKUP(시험일정!$B120,표2[],10, FALSE)</f>
        <v xml:space="preserve"> 9</v>
      </c>
      <c r="J120">
        <f>COUNTIF(표5[일정번호],시험일정!$A120)</f>
        <v>6</v>
      </c>
    </row>
    <row r="121" spans="1:10" x14ac:dyDescent="0.3">
      <c r="A121" s="12">
        <v>120</v>
      </c>
      <c r="B121" s="12">
        <v>1</v>
      </c>
      <c r="C121" s="12">
        <v>34</v>
      </c>
      <c r="D121" s="12" t="str">
        <f>TEXT(시험일정!$E121-14, "yyyy-mm-dd") &amp; "~" &amp; TEXT(시험일정!$E121 -시험일정!$I121, "yyyy-mm-dd")</f>
        <v>2021-09-12~2021-09-22</v>
      </c>
      <c r="E121" s="13">
        <v>44465</v>
      </c>
      <c r="F121" s="14">
        <v>0.375</v>
      </c>
      <c r="G121" s="42">
        <f>시험일정!$E121 + VLOOKUP(시험일정!$B121,표2[],11, FALSE)</f>
        <v>44466</v>
      </c>
      <c r="H121" s="15">
        <f>IFERROR(COUNTIFS(표5[종목],시험일정!$B121,표5[회차],시험일정!$C121,표5[합격여부], "합격")/COUNTIFS(표5[종목],시험일정!$B121,표5[회차],시험일정!$C121),0)</f>
        <v>0</v>
      </c>
      <c r="I121" s="16" t="str">
        <f>VLOOKUP(시험일정!$B121,표2[],10, FALSE)</f>
        <v xml:space="preserve"> 4</v>
      </c>
      <c r="J121">
        <f>COUNTIF(표5[일정번호],시험일정!$A121)</f>
        <v>8</v>
      </c>
    </row>
    <row r="122" spans="1:10" x14ac:dyDescent="0.3">
      <c r="A122" s="12">
        <v>121</v>
      </c>
      <c r="B122" s="12">
        <v>1</v>
      </c>
      <c r="C122" s="12">
        <v>35</v>
      </c>
      <c r="D122" s="12" t="str">
        <f>TEXT(시험일정!$E122-14, "yyyy-mm-dd") &amp; "~" &amp; TEXT(시험일정!$E122 -시험일정!$I122, "yyyy-mm-dd")</f>
        <v>2021-09-13~2021-09-23</v>
      </c>
      <c r="E122" s="13">
        <v>44466</v>
      </c>
      <c r="F122" s="14">
        <v>0.375</v>
      </c>
      <c r="G122" s="42">
        <f>시험일정!$E122 + VLOOKUP(시험일정!$B122,표2[],11, FALSE)</f>
        <v>44467</v>
      </c>
      <c r="H122" s="15">
        <f>IFERROR(COUNTIFS(표5[종목],시험일정!$B122,표5[회차],시험일정!$C122,표5[합격여부], "합격")/COUNTIFS(표5[종목],시험일정!$B122,표5[회차],시험일정!$C122),0)</f>
        <v>0</v>
      </c>
      <c r="I122" s="16" t="str">
        <f>VLOOKUP(시험일정!$B122,표2[],10, FALSE)</f>
        <v xml:space="preserve"> 4</v>
      </c>
      <c r="J122">
        <f>COUNTIF(표5[일정번호],시험일정!$A122)</f>
        <v>10</v>
      </c>
    </row>
    <row r="123" spans="1:10" x14ac:dyDescent="0.3">
      <c r="A123" s="12">
        <v>122</v>
      </c>
      <c r="B123" s="12">
        <v>1</v>
      </c>
      <c r="C123" s="12">
        <v>36</v>
      </c>
      <c r="D123" s="12" t="str">
        <f>TEXT(시험일정!$E123-14, "yyyy-mm-dd") &amp; "~" &amp; TEXT(시험일정!$E123 -시험일정!$I123, "yyyy-mm-dd")</f>
        <v>2021-09-13~2021-09-23</v>
      </c>
      <c r="E123" s="13">
        <v>44466</v>
      </c>
      <c r="F123" s="14">
        <v>0.45833333333333331</v>
      </c>
      <c r="G123" s="42">
        <f>시험일정!$E123 + VLOOKUP(시험일정!$B123,표2[],11, FALSE)</f>
        <v>44467</v>
      </c>
      <c r="H123" s="15">
        <f>IFERROR(COUNTIFS(표5[종목],시험일정!$B123,표5[회차],시험일정!$C123,표5[합격여부], "합격")/COUNTIFS(표5[종목],시험일정!$B123,표5[회차],시험일정!$C123),0)</f>
        <v>0.3</v>
      </c>
      <c r="I123" s="16" t="str">
        <f>VLOOKUP(시험일정!$B123,표2[],10, FALSE)</f>
        <v xml:space="preserve"> 4</v>
      </c>
      <c r="J123">
        <f>COUNTIF(표5[일정번호],시험일정!$A123)</f>
        <v>10</v>
      </c>
    </row>
    <row r="124" spans="1:10" x14ac:dyDescent="0.3">
      <c r="A124" s="12">
        <v>123</v>
      </c>
      <c r="B124" s="12">
        <v>4</v>
      </c>
      <c r="C124" s="12">
        <v>19</v>
      </c>
      <c r="D124" s="12" t="str">
        <f>TEXT(시험일정!$E124-14, "yyyy-mm-dd") &amp; "~" &amp; TEXT(시험일정!$E124 -시험일정!$I124, "yyyy-mm-dd")</f>
        <v>2021-09-13~2021-09-18</v>
      </c>
      <c r="E124" s="13">
        <v>44466</v>
      </c>
      <c r="F124" s="14">
        <v>0.54166666666666663</v>
      </c>
      <c r="G124" s="42">
        <f>시험일정!$E124 + VLOOKUP(시험일정!$B124,표2[],11, FALSE)</f>
        <v>44467</v>
      </c>
      <c r="H124" s="15">
        <f>IFERROR(COUNTIFS(표5[종목],시험일정!$B124,표5[회차],시험일정!$C124,표5[합격여부], "합격")/COUNTIFS(표5[종목],시험일정!$B124,표5[회차],시험일정!$C124),0)</f>
        <v>0</v>
      </c>
      <c r="I124" s="16" t="str">
        <f>VLOOKUP(시험일정!$B124,표2[],10, FALSE)</f>
        <v xml:space="preserve"> 9</v>
      </c>
      <c r="J124">
        <f>COUNTIF(표5[일정번호],시험일정!$A124)</f>
        <v>0</v>
      </c>
    </row>
    <row r="125" spans="1:10" x14ac:dyDescent="0.3">
      <c r="A125" s="12">
        <v>124</v>
      </c>
      <c r="B125" s="12">
        <v>2</v>
      </c>
      <c r="C125" s="12">
        <v>16</v>
      </c>
      <c r="D125" s="12" t="str">
        <f>TEXT(시험일정!$E125-14, "yyyy-mm-dd") &amp; "~" &amp; TEXT(시험일정!$E125 -시험일정!$I125, "yyyy-mm-dd")</f>
        <v>2021-09-14~2021-09-23</v>
      </c>
      <c r="E125" s="13">
        <v>44467</v>
      </c>
      <c r="F125" s="14">
        <v>0.58333333333333337</v>
      </c>
      <c r="G125" s="42">
        <f>시험일정!$E125 + VLOOKUP(시험일정!$B125,표2[],11, FALSE)</f>
        <v>44467</v>
      </c>
      <c r="H125" s="15">
        <f>IFERROR(COUNTIFS(표5[종목],시험일정!$B125,표5[회차],시험일정!$C125,표5[합격여부], "합격")/COUNTIFS(표5[종목],시험일정!$B125,표5[회차],시험일정!$C125),0)</f>
        <v>0</v>
      </c>
      <c r="I125" s="16" t="str">
        <f>VLOOKUP(시험일정!$B125,표2[],10, FALSE)</f>
        <v xml:space="preserve"> 5</v>
      </c>
      <c r="J125">
        <f>COUNTIF(표5[일정번호],시험일정!$A125)</f>
        <v>0</v>
      </c>
    </row>
    <row r="126" spans="1:10" x14ac:dyDescent="0.3">
      <c r="A126" s="12">
        <v>125</v>
      </c>
      <c r="B126" s="12">
        <v>4</v>
      </c>
      <c r="C126" s="12">
        <v>20</v>
      </c>
      <c r="D126" s="12" t="str">
        <f>TEXT(시험일정!$E126-14, "yyyy-mm-dd") &amp; "~" &amp; TEXT(시험일정!$E126 -시험일정!$I126, "yyyy-mm-dd")</f>
        <v>2021-09-14~2021-09-19</v>
      </c>
      <c r="E126" s="13">
        <v>44467</v>
      </c>
      <c r="F126" s="14">
        <v>0.45833333333333331</v>
      </c>
      <c r="G126" s="42">
        <f>시험일정!$E126 + VLOOKUP(시험일정!$B126,표2[],11, FALSE)</f>
        <v>44468</v>
      </c>
      <c r="H126" s="15">
        <f>IFERROR(COUNTIFS(표5[종목],시험일정!$B126,표5[회차],시험일정!$C126,표5[합격여부], "합격")/COUNTIFS(표5[종목],시험일정!$B126,표5[회차],시험일정!$C126),0)</f>
        <v>0</v>
      </c>
      <c r="I126" s="16" t="str">
        <f>VLOOKUP(시험일정!$B126,표2[],10, FALSE)</f>
        <v xml:space="preserve"> 9</v>
      </c>
      <c r="J126">
        <f>COUNTIF(표5[일정번호],시험일정!$A126)</f>
        <v>0</v>
      </c>
    </row>
    <row r="127" spans="1:10" x14ac:dyDescent="0.3">
      <c r="A127" s="12">
        <v>126</v>
      </c>
      <c r="B127" s="12">
        <v>5</v>
      </c>
      <c r="C127" s="12">
        <v>24</v>
      </c>
      <c r="D127" s="12" t="str">
        <f>TEXT(시험일정!$E127-14, "yyyy-mm-dd") &amp; "~" &amp; TEXT(시험일정!$E127 -시험일정!$I127, "yyyy-mm-dd")</f>
        <v>2021-09-14~2021-09-19</v>
      </c>
      <c r="E127" s="13">
        <v>44467</v>
      </c>
      <c r="F127" s="14">
        <v>0.54166666666666663</v>
      </c>
      <c r="G127" s="42">
        <f>시험일정!$E127 + VLOOKUP(시험일정!$B127,표2[],11, FALSE)</f>
        <v>44468</v>
      </c>
      <c r="H127" s="15">
        <f>IFERROR(COUNTIFS(표5[종목],시험일정!$B127,표5[회차],시험일정!$C127,표5[합격여부], "합격")/COUNTIFS(표5[종목],시험일정!$B127,표5[회차],시험일정!$C127),0)</f>
        <v>0</v>
      </c>
      <c r="I127" s="16" t="str">
        <f>VLOOKUP(시험일정!$B127,표2[],10, FALSE)</f>
        <v xml:space="preserve"> 9</v>
      </c>
      <c r="J127">
        <f>COUNTIF(표5[일정번호],시험일정!$A127)</f>
        <v>0</v>
      </c>
    </row>
    <row r="128" spans="1:10" x14ac:dyDescent="0.3">
      <c r="A128" s="12">
        <v>127</v>
      </c>
      <c r="B128" s="12">
        <v>6</v>
      </c>
      <c r="C128" s="12">
        <v>10</v>
      </c>
      <c r="D128" s="12" t="str">
        <f>TEXT(시험일정!$E128-14, "yyyy-mm-dd") &amp; "~" &amp; TEXT(시험일정!$E128 -시험일정!$I128, "yyyy-mm-dd")</f>
        <v>2021-09-14~2021-09-19</v>
      </c>
      <c r="E128" s="13">
        <v>44467</v>
      </c>
      <c r="F128" s="14">
        <v>0.625</v>
      </c>
      <c r="G128" s="42">
        <f>시험일정!$E128 + VLOOKUP(시험일정!$B128,표2[],11, FALSE)</f>
        <v>44468</v>
      </c>
      <c r="H128" s="15">
        <f>IFERROR(COUNTIFS(표5[종목],시험일정!$B128,표5[회차],시험일정!$C128,표5[합격여부], "합격")/COUNTIFS(표5[종목],시험일정!$B128,표5[회차],시험일정!$C128),0)</f>
        <v>0</v>
      </c>
      <c r="I128" s="16" t="str">
        <f>VLOOKUP(시험일정!$B128,표2[],10, FALSE)</f>
        <v xml:space="preserve"> 9</v>
      </c>
      <c r="J128">
        <f>COUNTIF(표5[일정번호],시험일정!$A128)</f>
        <v>6</v>
      </c>
    </row>
    <row r="129" spans="1:10" x14ac:dyDescent="0.3">
      <c r="A129" s="12">
        <v>128</v>
      </c>
      <c r="B129" s="12">
        <v>2</v>
      </c>
      <c r="C129" s="12">
        <v>17</v>
      </c>
      <c r="D129" s="12" t="str">
        <f>TEXT(시험일정!$E129-14, "yyyy-mm-dd") &amp; "~" &amp; TEXT(시험일정!$E129 -시험일정!$I129, "yyyy-mm-dd")</f>
        <v>2021-10-04~2021-10-13</v>
      </c>
      <c r="E129" s="13">
        <v>44487</v>
      </c>
      <c r="F129" s="14">
        <v>0.375</v>
      </c>
      <c r="G129" s="42">
        <f>시험일정!$E129 + VLOOKUP(시험일정!$B129,표2[],11, FALSE)</f>
        <v>44487</v>
      </c>
      <c r="H129" s="15">
        <f>IFERROR(COUNTIFS(표5[종목],시험일정!$B129,표5[회차],시험일정!$C129,표5[합격여부], "합격")/COUNTIFS(표5[종목],시험일정!$B129,표5[회차],시험일정!$C129),0)</f>
        <v>0</v>
      </c>
      <c r="I129" s="16" t="str">
        <f>VLOOKUP(시험일정!$B129,표2[],10, FALSE)</f>
        <v xml:space="preserve"> 5</v>
      </c>
      <c r="J129">
        <f>COUNTIF(표5[일정번호],시험일정!$A129)</f>
        <v>0</v>
      </c>
    </row>
    <row r="130" spans="1:10" x14ac:dyDescent="0.3">
      <c r="A130" s="12">
        <v>129</v>
      </c>
      <c r="B130" s="12">
        <v>2</v>
      </c>
      <c r="C130" s="12">
        <v>18</v>
      </c>
      <c r="D130" s="12" t="str">
        <f>TEXT(시험일정!$E130-14, "yyyy-mm-dd") &amp; "~" &amp; TEXT(시험일정!$E130 -시험일정!$I130, "yyyy-mm-dd")</f>
        <v>2021-10-06~2021-10-15</v>
      </c>
      <c r="E130" s="13">
        <v>44489</v>
      </c>
      <c r="F130" s="14">
        <v>0.43055555555555558</v>
      </c>
      <c r="G130" s="42">
        <f>시험일정!$E130 + VLOOKUP(시험일정!$B130,표2[],11, FALSE)</f>
        <v>44489</v>
      </c>
      <c r="H130" s="15">
        <f>IFERROR(COUNTIFS(표5[종목],시험일정!$B130,표5[회차],시험일정!$C130,표5[합격여부], "합격")/COUNTIFS(표5[종목],시험일정!$B130,표5[회차],시험일정!$C130),0)</f>
        <v>0</v>
      </c>
      <c r="I130" s="16" t="str">
        <f>VLOOKUP(시험일정!$B130,표2[],10, FALSE)</f>
        <v xml:space="preserve"> 5</v>
      </c>
      <c r="J130">
        <f>COUNTIF(표5[일정번호],시험일정!$A130)</f>
        <v>0</v>
      </c>
    </row>
    <row r="131" spans="1:10" x14ac:dyDescent="0.3">
      <c r="A131" s="12">
        <v>130</v>
      </c>
      <c r="B131" s="12">
        <v>2</v>
      </c>
      <c r="C131" s="12">
        <v>19</v>
      </c>
      <c r="D131" s="12" t="str">
        <f>TEXT(시험일정!$E131-14, "yyyy-mm-dd") &amp; "~" &amp; TEXT(시험일정!$E131 -시험일정!$I131, "yyyy-mm-dd")</f>
        <v>2021-10-08~2021-10-17</v>
      </c>
      <c r="E131" s="13">
        <v>44491</v>
      </c>
      <c r="F131" s="14">
        <v>0.625</v>
      </c>
      <c r="G131" s="42">
        <f>시험일정!$E131 + VLOOKUP(시험일정!$B131,표2[],11, FALSE)</f>
        <v>44491</v>
      </c>
      <c r="H131" s="15">
        <f>IFERROR(COUNTIFS(표5[종목],시험일정!$B131,표5[회차],시험일정!$C131,표5[합격여부], "합격")/COUNTIFS(표5[종목],시험일정!$B131,표5[회차],시험일정!$C131),0)</f>
        <v>0</v>
      </c>
      <c r="I131" s="16" t="str">
        <f>VLOOKUP(시험일정!$B131,표2[],10, FALSE)</f>
        <v xml:space="preserve"> 5</v>
      </c>
      <c r="J131">
        <f>COUNTIF(표5[일정번호],시험일정!$A131)</f>
        <v>0</v>
      </c>
    </row>
    <row r="132" spans="1:10" x14ac:dyDescent="0.3">
      <c r="A132" s="12">
        <v>131</v>
      </c>
      <c r="B132" s="12">
        <v>2</v>
      </c>
      <c r="C132" s="12">
        <v>20</v>
      </c>
      <c r="D132" s="12" t="str">
        <f>TEXT(시험일정!$E132-14, "yyyy-mm-dd") &amp; "~" &amp; TEXT(시험일정!$E132 -시험일정!$I132, "yyyy-mm-dd")</f>
        <v>2021-10-11~2021-10-20</v>
      </c>
      <c r="E132" s="13">
        <v>44494</v>
      </c>
      <c r="F132" s="14">
        <v>0.68055555555555547</v>
      </c>
      <c r="G132" s="42">
        <f>시험일정!$E132 + VLOOKUP(시험일정!$B132,표2[],11, FALSE)</f>
        <v>44494</v>
      </c>
      <c r="H132" s="15">
        <f>IFERROR(COUNTIFS(표5[종목],시험일정!$B132,표5[회차],시험일정!$C132,표5[합격여부], "합격")/COUNTIFS(표5[종목],시험일정!$B132,표5[회차],시험일정!$C132),0)</f>
        <v>0</v>
      </c>
      <c r="I132" s="16" t="str">
        <f>VLOOKUP(시험일정!$B132,표2[],10, FALSE)</f>
        <v xml:space="preserve"> 5</v>
      </c>
      <c r="J132">
        <f>COUNTIF(표5[일정번호],시험일정!$A132)</f>
        <v>0</v>
      </c>
    </row>
    <row r="133" spans="1:10" x14ac:dyDescent="0.3">
      <c r="A133" s="12">
        <v>132</v>
      </c>
      <c r="B133" s="12">
        <v>3</v>
      </c>
      <c r="C133" s="12">
        <v>22</v>
      </c>
      <c r="D133" s="12" t="str">
        <f>TEXT(시험일정!$E133-14, "yyyy-mm-dd") &amp; "~" &amp; TEXT(시험일정!$E133 -시험일정!$I133, "yyyy-mm-dd")</f>
        <v>2021-10-14~2021-10-23</v>
      </c>
      <c r="E133" s="13">
        <v>44497</v>
      </c>
      <c r="F133" s="14">
        <v>0.54166666666666663</v>
      </c>
      <c r="G133" s="42">
        <f>시험일정!$E133 + VLOOKUP(시험일정!$B133,표2[],11, FALSE)</f>
        <v>44497</v>
      </c>
      <c r="H133" s="15">
        <f>IFERROR(COUNTIFS(표5[종목],시험일정!$B133,표5[회차],시험일정!$C133,표5[합격여부], "합격")/COUNTIFS(표5[종목],시험일정!$B133,표5[회차],시험일정!$C133),0)</f>
        <v>0</v>
      </c>
      <c r="I133" s="16" t="str">
        <f>VLOOKUP(시험일정!$B133,표2[],10, FALSE)</f>
        <v xml:space="preserve"> 5</v>
      </c>
      <c r="J133">
        <f>COUNTIF(표5[일정번호],시험일정!$A133)</f>
        <v>4</v>
      </c>
    </row>
    <row r="134" spans="1:10" x14ac:dyDescent="0.3">
      <c r="A134" s="12">
        <v>133</v>
      </c>
      <c r="B134" s="12">
        <v>3</v>
      </c>
      <c r="C134" s="12">
        <v>23</v>
      </c>
      <c r="D134" s="12" t="str">
        <f>TEXT(시험일정!$E134-14, "yyyy-mm-dd") &amp; "~" &amp; TEXT(시험일정!$E134 -시험일정!$I134, "yyyy-mm-dd")</f>
        <v>2021-10-16~2021-10-25</v>
      </c>
      <c r="E134" s="13">
        <v>44499</v>
      </c>
      <c r="F134" s="14">
        <v>0.59722222222222221</v>
      </c>
      <c r="G134" s="42">
        <f>시험일정!$E134 + VLOOKUP(시험일정!$B134,표2[],11, FALSE)</f>
        <v>44499</v>
      </c>
      <c r="H134" s="15">
        <f>IFERROR(COUNTIFS(표5[종목],시험일정!$B134,표5[회차],시험일정!$C134,표5[합격여부], "합격")/COUNTIFS(표5[종목],시험일정!$B134,표5[회차],시험일정!$C134),0)</f>
        <v>0</v>
      </c>
      <c r="I134" s="16" t="str">
        <f>VLOOKUP(시험일정!$B134,표2[],10, FALSE)</f>
        <v xml:space="preserve"> 5</v>
      </c>
      <c r="J134">
        <f>COUNTIF(표5[일정번호],시험일정!$A134)</f>
        <v>2</v>
      </c>
    </row>
    <row r="135" spans="1:10" x14ac:dyDescent="0.3">
      <c r="A135" s="12">
        <v>134</v>
      </c>
      <c r="B135" s="12">
        <v>3</v>
      </c>
      <c r="C135" s="12">
        <v>24</v>
      </c>
      <c r="D135" s="12" t="str">
        <f>TEXT(시험일정!$E135-14, "yyyy-mm-dd") &amp; "~" &amp; TEXT(시험일정!$E135 -시험일정!$I135, "yyyy-mm-dd")</f>
        <v>2021-10-19~2021-10-28</v>
      </c>
      <c r="E135" s="13">
        <v>44502</v>
      </c>
      <c r="F135" s="14">
        <v>0.66666666666666663</v>
      </c>
      <c r="G135" s="42">
        <f>시험일정!$E135 + VLOOKUP(시험일정!$B135,표2[],11, FALSE)</f>
        <v>44502</v>
      </c>
      <c r="H135" s="15">
        <f>IFERROR(COUNTIFS(표5[종목],시험일정!$B135,표5[회차],시험일정!$C135,표5[합격여부], "합격")/COUNTIFS(표5[종목],시험일정!$B135,표5[회차],시험일정!$C135),0)</f>
        <v>0.66666666666666663</v>
      </c>
      <c r="I135" s="16" t="str">
        <f>VLOOKUP(시험일정!$B135,표2[],10, FALSE)</f>
        <v xml:space="preserve"> 5</v>
      </c>
      <c r="J135">
        <f>COUNTIF(표5[일정번호],시험일정!$A135)</f>
        <v>3</v>
      </c>
    </row>
    <row r="136" spans="1:10" x14ac:dyDescent="0.3">
      <c r="A136" s="12">
        <v>135</v>
      </c>
      <c r="B136" s="12">
        <v>4</v>
      </c>
      <c r="C136" s="12">
        <v>21</v>
      </c>
      <c r="D136" s="12" t="str">
        <f>TEXT(시험일정!$E136-14, "yyyy-mm-dd") &amp; "~" &amp; TEXT(시험일정!$E136 -시험일정!$I136, "yyyy-mm-dd")</f>
        <v>2021-10-19~2021-10-24</v>
      </c>
      <c r="E136" s="13">
        <v>44502</v>
      </c>
      <c r="F136" s="14">
        <v>0.375</v>
      </c>
      <c r="G136" s="42">
        <f>시험일정!$E136 + VLOOKUP(시험일정!$B136,표2[],11, FALSE)</f>
        <v>44503</v>
      </c>
      <c r="H136" s="15">
        <f>IFERROR(COUNTIFS(표5[종목],시험일정!$B136,표5[회차],시험일정!$C136,표5[합격여부], "합격")/COUNTIFS(표5[종목],시험일정!$B136,표5[회차],시험일정!$C136),0)</f>
        <v>0</v>
      </c>
      <c r="I136" s="16" t="str">
        <f>VLOOKUP(시험일정!$B136,표2[],10, FALSE)</f>
        <v xml:space="preserve"> 9</v>
      </c>
      <c r="J136">
        <f>COUNTIF(표5[일정번호],시험일정!$A136)</f>
        <v>0</v>
      </c>
    </row>
    <row r="137" spans="1:10" x14ac:dyDescent="0.3">
      <c r="A137" s="12">
        <v>136</v>
      </c>
      <c r="B137" s="12">
        <v>4</v>
      </c>
      <c r="C137" s="12">
        <v>22</v>
      </c>
      <c r="D137" s="12" t="str">
        <f>TEXT(시험일정!$E137-14, "yyyy-mm-dd") &amp; "~" &amp; TEXT(시험일정!$E137 -시험일정!$I137, "yyyy-mm-dd")</f>
        <v>2021-10-20~2021-10-25</v>
      </c>
      <c r="E137" s="13">
        <v>44503</v>
      </c>
      <c r="F137" s="14">
        <v>0.625</v>
      </c>
      <c r="G137" s="42">
        <f>시험일정!$E137 + VLOOKUP(시험일정!$B137,표2[],11, FALSE)</f>
        <v>44504</v>
      </c>
      <c r="H137" s="15">
        <f>IFERROR(COUNTIFS(표5[종목],시험일정!$B137,표5[회차],시험일정!$C137,표5[합격여부], "합격")/COUNTIFS(표5[종목],시험일정!$B137,표5[회차],시험일정!$C137),0)</f>
        <v>0</v>
      </c>
      <c r="I137" s="16" t="str">
        <f>VLOOKUP(시험일정!$B137,표2[],10, FALSE)</f>
        <v xml:space="preserve"> 9</v>
      </c>
      <c r="J137">
        <f>COUNTIF(표5[일정번호],시험일정!$A137)</f>
        <v>2</v>
      </c>
    </row>
    <row r="138" spans="1:10" x14ac:dyDescent="0.3">
      <c r="A138" s="12">
        <v>137</v>
      </c>
      <c r="B138" s="12">
        <v>1</v>
      </c>
      <c r="C138" s="12">
        <v>37</v>
      </c>
      <c r="D138" s="12" t="str">
        <f>TEXT(시험일정!$E138-14, "yyyy-mm-dd") &amp; "~" &amp; TEXT(시험일정!$E138 -시험일정!$I138, "yyyy-mm-dd")</f>
        <v>2021-10-20~2021-10-30</v>
      </c>
      <c r="E138" s="13">
        <v>44503</v>
      </c>
      <c r="F138" s="14">
        <v>0.5</v>
      </c>
      <c r="G138" s="42">
        <f>시험일정!$E138 + VLOOKUP(시험일정!$B138,표2[],11, FALSE)</f>
        <v>44504</v>
      </c>
      <c r="H138" s="15">
        <f>IFERROR(COUNTIFS(표5[종목],시험일정!$B138,표5[회차],시험일정!$C138,표5[합격여부], "합격")/COUNTIFS(표5[종목],시험일정!$B138,표5[회차],시험일정!$C138),0)</f>
        <v>0.3</v>
      </c>
      <c r="I138" s="16" t="str">
        <f>VLOOKUP(시험일정!$B138,표2[],10, FALSE)</f>
        <v xml:space="preserve"> 4</v>
      </c>
      <c r="J138">
        <f>COUNTIF(표5[일정번호],시험일정!$A138)</f>
        <v>10</v>
      </c>
    </row>
    <row r="139" spans="1:10" x14ac:dyDescent="0.3">
      <c r="A139" s="12">
        <v>138</v>
      </c>
      <c r="B139" s="12">
        <v>3</v>
      </c>
      <c r="C139" s="12">
        <v>25</v>
      </c>
      <c r="D139" s="12" t="str">
        <f>TEXT(시험일정!$E139-14, "yyyy-mm-dd") &amp; "~" &amp; TEXT(시험일정!$E139 -시험일정!$I139, "yyyy-mm-dd")</f>
        <v>2021-10-20~2021-10-29</v>
      </c>
      <c r="E139" s="13">
        <v>44503</v>
      </c>
      <c r="F139" s="14">
        <v>0.375</v>
      </c>
      <c r="G139" s="42">
        <f>시험일정!$E139 + VLOOKUP(시험일정!$B139,표2[],11, FALSE)</f>
        <v>44503</v>
      </c>
      <c r="H139" s="15">
        <f>IFERROR(COUNTIFS(표5[종목],시험일정!$B139,표5[회차],시험일정!$C139,표5[합격여부], "합격")/COUNTIFS(표5[종목],시험일정!$B139,표5[회차],시험일정!$C139),0)</f>
        <v>0</v>
      </c>
      <c r="I139" s="16" t="str">
        <f>VLOOKUP(시험일정!$B139,표2[],10, FALSE)</f>
        <v xml:space="preserve"> 5</v>
      </c>
      <c r="J139">
        <f>COUNTIF(표5[일정번호],시험일정!$A139)</f>
        <v>6</v>
      </c>
    </row>
    <row r="140" spans="1:10" x14ac:dyDescent="0.3">
      <c r="A140" s="12">
        <v>139</v>
      </c>
      <c r="B140" s="12">
        <v>3</v>
      </c>
      <c r="C140" s="12">
        <v>26</v>
      </c>
      <c r="D140" s="12" t="str">
        <f>TEXT(시험일정!$E140-14, "yyyy-mm-dd") &amp; "~" &amp; TEXT(시험일정!$E140 -시험일정!$I140, "yyyy-mm-dd")</f>
        <v>2021-10-21~2021-10-30</v>
      </c>
      <c r="E140" s="13">
        <v>44504</v>
      </c>
      <c r="F140" s="14">
        <v>0.43055555555555558</v>
      </c>
      <c r="G140" s="42">
        <f>시험일정!$E140 + VLOOKUP(시험일정!$B140,표2[],11, FALSE)</f>
        <v>44504</v>
      </c>
      <c r="H140" s="15">
        <f>IFERROR(COUNTIFS(표5[종목],시험일정!$B140,표5[회차],시험일정!$C140,표5[합격여부], "합격")/COUNTIFS(표5[종목],시험일정!$B140,표5[회차],시험일정!$C140),0)</f>
        <v>0</v>
      </c>
      <c r="I140" s="16" t="str">
        <f>VLOOKUP(시험일정!$B140,표2[],10, FALSE)</f>
        <v xml:space="preserve"> 5</v>
      </c>
      <c r="J140">
        <f>COUNTIF(표5[일정번호],시험일정!$A140)</f>
        <v>7</v>
      </c>
    </row>
    <row r="141" spans="1:10" x14ac:dyDescent="0.3">
      <c r="A141" s="12">
        <v>140</v>
      </c>
      <c r="B141" s="12">
        <v>4</v>
      </c>
      <c r="C141" s="12">
        <v>23</v>
      </c>
      <c r="D141" s="12" t="str">
        <f>TEXT(시험일정!$E141-14, "yyyy-mm-dd") &amp; "~" &amp; TEXT(시험일정!$E141 -시험일정!$I141, "yyyy-mm-dd")</f>
        <v>2021-10-21~2021-10-26</v>
      </c>
      <c r="E141" s="13">
        <v>44504</v>
      </c>
      <c r="F141" s="14">
        <v>0.41666666666666669</v>
      </c>
      <c r="G141" s="42">
        <f>시험일정!$E141 + VLOOKUP(시험일정!$B141,표2[],11, FALSE)</f>
        <v>44505</v>
      </c>
      <c r="H141" s="15">
        <f>IFERROR(COUNTIFS(표5[종목],시험일정!$B141,표5[회차],시험일정!$C141,표5[합격여부], "합격")/COUNTIFS(표5[종목],시험일정!$B141,표5[회차],시험일정!$C141),0)</f>
        <v>0</v>
      </c>
      <c r="I141" s="16" t="str">
        <f>VLOOKUP(시험일정!$B141,표2[],10, FALSE)</f>
        <v xml:space="preserve"> 9</v>
      </c>
      <c r="J141">
        <f>COUNTIF(표5[일정번호],시험일정!$A141)</f>
        <v>0</v>
      </c>
    </row>
    <row r="142" spans="1:10" x14ac:dyDescent="0.3">
      <c r="A142" s="12">
        <v>141</v>
      </c>
      <c r="B142" s="12">
        <v>6</v>
      </c>
      <c r="C142" s="12">
        <v>11</v>
      </c>
      <c r="D142" s="12" t="str">
        <f>TEXT(시험일정!$E142-14, "yyyy-mm-dd") &amp; "~" &amp; TEXT(시험일정!$E142 -시험일정!$I142, "yyyy-mm-dd")</f>
        <v>2021-10-22~2021-10-27</v>
      </c>
      <c r="E142" s="13">
        <v>44505</v>
      </c>
      <c r="F142" s="14">
        <v>0.66666666666666663</v>
      </c>
      <c r="G142" s="42">
        <f>시험일정!$E142 + VLOOKUP(시험일정!$B142,표2[],11, FALSE)</f>
        <v>44506</v>
      </c>
      <c r="H142" s="15">
        <f>IFERROR(COUNTIFS(표5[종목],시험일정!$B142,표5[회차],시험일정!$C142,표5[합격여부], "합격")/COUNTIFS(표5[종목],시험일정!$B142,표5[회차],시험일정!$C142),0)</f>
        <v>0</v>
      </c>
      <c r="I142" s="16" t="str">
        <f>VLOOKUP(시험일정!$B142,표2[],10, FALSE)</f>
        <v xml:space="preserve"> 9</v>
      </c>
      <c r="J142">
        <f>COUNTIF(표5[일정번호],시험일정!$A142)</f>
        <v>6</v>
      </c>
    </row>
    <row r="143" spans="1:10" x14ac:dyDescent="0.3">
      <c r="A143" s="12">
        <v>142</v>
      </c>
      <c r="B143" s="12">
        <v>3</v>
      </c>
      <c r="C143" s="12">
        <v>27</v>
      </c>
      <c r="D143" s="12" t="str">
        <f>TEXT(시험일정!$E143-14, "yyyy-mm-dd") &amp; "~" &amp; TEXT(시험일정!$E143 -시험일정!$I143, "yyyy-mm-dd")</f>
        <v>2021-10-22~2021-10-31</v>
      </c>
      <c r="E143" s="13">
        <v>44505</v>
      </c>
      <c r="F143" s="14">
        <v>0.54166666666666663</v>
      </c>
      <c r="G143" s="42">
        <f>시험일정!$E143 + VLOOKUP(시험일정!$B143,표2[],11, FALSE)</f>
        <v>44505</v>
      </c>
      <c r="H143" s="15">
        <f>IFERROR(COUNTIFS(표5[종목],시험일정!$B143,표5[회차],시험일정!$C143,표5[합격여부], "합격")/COUNTIFS(표5[종목],시험일정!$B143,표5[회차],시험일정!$C143),0)</f>
        <v>0.5</v>
      </c>
      <c r="I143" s="16" t="str">
        <f>VLOOKUP(시험일정!$B143,표2[],10, FALSE)</f>
        <v xml:space="preserve"> 5</v>
      </c>
      <c r="J143">
        <f>COUNTIF(표5[일정번호],시험일정!$A143)</f>
        <v>4</v>
      </c>
    </row>
    <row r="144" spans="1:10" x14ac:dyDescent="0.3">
      <c r="A144" s="12">
        <v>143</v>
      </c>
      <c r="B144" s="12">
        <v>4</v>
      </c>
      <c r="C144" s="12">
        <v>24</v>
      </c>
      <c r="D144" s="12" t="str">
        <f>TEXT(시험일정!$E144-14, "yyyy-mm-dd") &amp; "~" &amp; TEXT(시험일정!$E144 -시험일정!$I144, "yyyy-mm-dd")</f>
        <v>2021-10-24~2021-10-29</v>
      </c>
      <c r="E144" s="13">
        <v>44507</v>
      </c>
      <c r="F144" s="14">
        <v>0.41666666666666669</v>
      </c>
      <c r="G144" s="42">
        <f>시험일정!$E144 + VLOOKUP(시험일정!$B144,표2[],11, FALSE)</f>
        <v>44508</v>
      </c>
      <c r="H144" s="15">
        <f>IFERROR(COUNTIFS(표5[종목],시험일정!$B144,표5[회차],시험일정!$C144,표5[합격여부], "합격")/COUNTIFS(표5[종목],시험일정!$B144,표5[회차],시험일정!$C144),0)</f>
        <v>0</v>
      </c>
      <c r="I144" s="16" t="str">
        <f>VLOOKUP(시험일정!$B144,표2[],10, FALSE)</f>
        <v xml:space="preserve"> 9</v>
      </c>
      <c r="J144">
        <f>COUNTIF(표5[일정번호],시험일정!$A144)</f>
        <v>0</v>
      </c>
    </row>
    <row r="145" spans="1:10" x14ac:dyDescent="0.3">
      <c r="A145" s="12">
        <v>144</v>
      </c>
      <c r="B145" s="12">
        <v>4</v>
      </c>
      <c r="C145" s="12">
        <v>25</v>
      </c>
      <c r="D145" s="12" t="str">
        <f>TEXT(시험일정!$E145-14, "yyyy-mm-dd") &amp; "~" &amp; TEXT(시험일정!$E145 -시험일정!$I145, "yyyy-mm-dd")</f>
        <v>2021-10-24~2021-10-29</v>
      </c>
      <c r="E145" s="13">
        <v>44507</v>
      </c>
      <c r="F145" s="14">
        <v>0.625</v>
      </c>
      <c r="G145" s="42">
        <f>시험일정!$E145 + VLOOKUP(시험일정!$B145,표2[],11, FALSE)</f>
        <v>44508</v>
      </c>
      <c r="H145" s="15">
        <f>IFERROR(COUNTIFS(표5[종목],시험일정!$B145,표5[회차],시험일정!$C145,표5[합격여부], "합격")/COUNTIFS(표5[종목],시험일정!$B145,표5[회차],시험일정!$C145),0)</f>
        <v>0</v>
      </c>
      <c r="I145" s="16" t="str">
        <f>VLOOKUP(시험일정!$B145,표2[],10, FALSE)</f>
        <v xml:space="preserve"> 9</v>
      </c>
      <c r="J145">
        <f>COUNTIF(표5[일정번호],시험일정!$A145)</f>
        <v>0</v>
      </c>
    </row>
    <row r="146" spans="1:10" x14ac:dyDescent="0.3">
      <c r="A146" s="12">
        <v>145</v>
      </c>
      <c r="B146" s="12">
        <v>5</v>
      </c>
      <c r="C146" s="12">
        <v>25</v>
      </c>
      <c r="D146" s="12" t="str">
        <f>TEXT(시험일정!$E146-14, "yyyy-mm-dd") &amp; "~" &amp; TEXT(시험일정!$E146 -시험일정!$I146, "yyyy-mm-dd")</f>
        <v>2021-10-25~2021-10-30</v>
      </c>
      <c r="E146" s="13">
        <v>44508</v>
      </c>
      <c r="F146" s="14">
        <v>0.41666666666666669</v>
      </c>
      <c r="G146" s="42">
        <f>시험일정!$E146 + VLOOKUP(시험일정!$B146,표2[],11, FALSE)</f>
        <v>44509</v>
      </c>
      <c r="H146" s="15">
        <f>IFERROR(COUNTIFS(표5[종목],시험일정!$B146,표5[회차],시험일정!$C146,표5[합격여부], "합격")/COUNTIFS(표5[종목],시험일정!$B146,표5[회차],시험일정!$C146),0)</f>
        <v>0</v>
      </c>
      <c r="I146" s="16" t="str">
        <f>VLOOKUP(시험일정!$B146,표2[],10, FALSE)</f>
        <v xml:space="preserve"> 9</v>
      </c>
      <c r="J146">
        <f>COUNTIF(표5[일정번호],시험일정!$A146)</f>
        <v>0</v>
      </c>
    </row>
    <row r="147" spans="1:10" x14ac:dyDescent="0.3">
      <c r="A147" s="12">
        <v>146</v>
      </c>
      <c r="B147" s="12">
        <v>5</v>
      </c>
      <c r="C147" s="12">
        <v>26</v>
      </c>
      <c r="D147" s="12" t="str">
        <f>TEXT(시험일정!$E147-14, "yyyy-mm-dd") &amp; "~" &amp; TEXT(시험일정!$E147 -시험일정!$I147, "yyyy-mm-dd")</f>
        <v>2021-10-25~2021-10-30</v>
      </c>
      <c r="E147" s="13">
        <v>44508</v>
      </c>
      <c r="F147" s="14">
        <v>0.58333333333333337</v>
      </c>
      <c r="G147" s="42">
        <f>시험일정!$E147 + VLOOKUP(시험일정!$B147,표2[],11, FALSE)</f>
        <v>44509</v>
      </c>
      <c r="H147" s="15">
        <f>IFERROR(COUNTIFS(표5[종목],시험일정!$B147,표5[회차],시험일정!$C147,표5[합격여부], "합격")/COUNTIFS(표5[종목],시험일정!$B147,표5[회차],시험일정!$C147),0)</f>
        <v>0</v>
      </c>
      <c r="I147" s="16" t="str">
        <f>VLOOKUP(시험일정!$B147,표2[],10, FALSE)</f>
        <v xml:space="preserve"> 9</v>
      </c>
      <c r="J147">
        <f>COUNTIF(표5[일정번호],시험일정!$A147)</f>
        <v>0</v>
      </c>
    </row>
    <row r="148" spans="1:10" x14ac:dyDescent="0.3">
      <c r="A148" s="12">
        <v>147</v>
      </c>
      <c r="B148" s="12">
        <v>6</v>
      </c>
      <c r="C148" s="12">
        <v>12</v>
      </c>
      <c r="D148" s="12" t="str">
        <f>TEXT(시험일정!$E148-14, "yyyy-mm-dd") &amp; "~" &amp; TEXT(시험일정!$E148 -시험일정!$I148, "yyyy-mm-dd")</f>
        <v>2021-10-25~2021-10-30</v>
      </c>
      <c r="E148" s="13">
        <v>44508</v>
      </c>
      <c r="F148" s="14">
        <v>0.41666666666666669</v>
      </c>
      <c r="G148" s="42">
        <f>시험일정!$E148 + VLOOKUP(시험일정!$B148,표2[],11, FALSE)</f>
        <v>44509</v>
      </c>
      <c r="H148" s="15">
        <f>IFERROR(COUNTIFS(표5[종목],시험일정!$B148,표5[회차],시험일정!$C148,표5[합격여부], "합격")/COUNTIFS(표5[종목],시험일정!$B148,표5[회차],시험일정!$C148),0)</f>
        <v>0.2857142857142857</v>
      </c>
      <c r="I148" s="16" t="str">
        <f>VLOOKUP(시험일정!$B148,표2[],10, FALSE)</f>
        <v xml:space="preserve"> 9</v>
      </c>
      <c r="J148">
        <f>COUNTIF(표5[일정번호],시험일정!$A148)</f>
        <v>7</v>
      </c>
    </row>
    <row r="149" spans="1:10" x14ac:dyDescent="0.3">
      <c r="A149" s="12">
        <v>148</v>
      </c>
      <c r="B149" s="12">
        <v>6</v>
      </c>
      <c r="C149" s="12">
        <v>13</v>
      </c>
      <c r="D149" s="12" t="str">
        <f>TEXT(시험일정!$E149-14, "yyyy-mm-dd") &amp; "~" &amp; TEXT(시험일정!$E149 -시험일정!$I149, "yyyy-mm-dd")</f>
        <v>2021-10-25~2021-10-30</v>
      </c>
      <c r="E149" s="13">
        <v>44508</v>
      </c>
      <c r="F149" s="14">
        <v>0.47916666666666669</v>
      </c>
      <c r="G149" s="42">
        <f>시험일정!$E149 + VLOOKUP(시험일정!$B149,표2[],11, FALSE)</f>
        <v>44509</v>
      </c>
      <c r="H149" s="15">
        <f>IFERROR(COUNTIFS(표5[종목],시험일정!$B149,표5[회차],시험일정!$C149,표5[합격여부], "합격")/COUNTIFS(표5[종목],시험일정!$B149,표5[회차],시험일정!$C149),0)</f>
        <v>0.83333333333333337</v>
      </c>
      <c r="I149" s="16" t="str">
        <f>VLOOKUP(시험일정!$B149,표2[],10, FALSE)</f>
        <v xml:space="preserve"> 9</v>
      </c>
      <c r="J149">
        <f>COUNTIF(표5[일정번호],시험일정!$A149)</f>
        <v>6</v>
      </c>
    </row>
    <row r="150" spans="1:10" x14ac:dyDescent="0.3">
      <c r="A150" s="12">
        <v>149</v>
      </c>
      <c r="B150" s="12">
        <v>6</v>
      </c>
      <c r="C150" s="12">
        <v>14</v>
      </c>
      <c r="D150" s="12" t="str">
        <f>TEXT(시험일정!$E150-14, "yyyy-mm-dd") &amp; "~" &amp; TEXT(시험일정!$E150 -시험일정!$I150, "yyyy-mm-dd")</f>
        <v>2021-10-20~2021-10-25</v>
      </c>
      <c r="E150" s="13">
        <v>44503</v>
      </c>
      <c r="F150" s="14">
        <v>0.58333333333333337</v>
      </c>
      <c r="G150" s="42">
        <f>시험일정!$E150 + VLOOKUP(시험일정!$B150,표2[],11, FALSE)</f>
        <v>44504</v>
      </c>
      <c r="H150" s="15">
        <f>IFERROR(COUNTIFS(표5[종목],시험일정!$B150,표5[회차],시험일정!$C150,표5[합격여부], "합격")/COUNTIFS(표5[종목],시험일정!$B150,표5[회차],시험일정!$C150),0)</f>
        <v>1</v>
      </c>
      <c r="I150" s="16" t="str">
        <f>VLOOKUP(시험일정!$B150,표2[],10, FALSE)</f>
        <v xml:space="preserve"> 9</v>
      </c>
      <c r="J150">
        <f>COUNTIF(표5[일정번호],시험일정!$A150)</f>
        <v>4</v>
      </c>
    </row>
    <row r="151" spans="1:10" x14ac:dyDescent="0.3">
      <c r="A151" s="12">
        <v>150</v>
      </c>
      <c r="B151" s="12">
        <v>1</v>
      </c>
      <c r="C151" s="12">
        <v>38</v>
      </c>
      <c r="D151" s="12" t="str">
        <f>TEXT(시험일정!$E151-14, "yyyy-mm-dd") &amp; "~" &amp; TEXT(시험일정!$E151 -시험일정!$I151, "yyyy-mm-dd")</f>
        <v>2021-10-25~2021-11-04</v>
      </c>
      <c r="E151" s="13">
        <v>44508</v>
      </c>
      <c r="F151" s="14">
        <v>0.41666666666666669</v>
      </c>
      <c r="G151" s="42">
        <f>시험일정!$E151 + VLOOKUP(시험일정!$B151,표2[],11, FALSE)</f>
        <v>44509</v>
      </c>
      <c r="H151" s="15">
        <f>IFERROR(COUNTIFS(표5[종목],시험일정!$B151,표5[회차],시험일정!$C151,표5[합격여부], "합격")/COUNTIFS(표5[종목],시험일정!$B151,표5[회차],시험일정!$C151),0)</f>
        <v>0.44444444444444442</v>
      </c>
      <c r="I151" s="16" t="str">
        <f>VLOOKUP(시험일정!$B151,표2[],10, FALSE)</f>
        <v xml:space="preserve"> 4</v>
      </c>
      <c r="J151">
        <f>COUNTIF(표5[일정번호],시험일정!$A151)</f>
        <v>9</v>
      </c>
    </row>
    <row r="152" spans="1:10" x14ac:dyDescent="0.3">
      <c r="A152" s="12">
        <v>151</v>
      </c>
      <c r="B152" s="12">
        <v>1</v>
      </c>
      <c r="C152" s="12">
        <v>39</v>
      </c>
      <c r="D152" s="12" t="str">
        <f>TEXT(시험일정!$E152-14, "yyyy-mm-dd") &amp; "~" &amp; TEXT(시험일정!$E152 -시험일정!$I152, "yyyy-mm-dd")</f>
        <v>2021-09-20~2021-09-30</v>
      </c>
      <c r="E152" s="13">
        <v>44473</v>
      </c>
      <c r="F152" s="14">
        <v>0.54166666666666663</v>
      </c>
      <c r="G152" s="42">
        <f>시험일정!$E152 + VLOOKUP(시험일정!$B152,표2[],11, FALSE)</f>
        <v>44474</v>
      </c>
      <c r="H152" s="15">
        <f>IFERROR(COUNTIFS(표5[종목],시험일정!$B152,표5[회차],시험일정!$C152,표5[합격여부], "합격")/COUNTIFS(표5[종목],시험일정!$B152,표5[회차],시험일정!$C152),0)</f>
        <v>0.7</v>
      </c>
      <c r="I152" s="16" t="str">
        <f>VLOOKUP(시험일정!$B152,표2[],10, FALSE)</f>
        <v xml:space="preserve"> 4</v>
      </c>
      <c r="J152">
        <f>COUNTIF(표5[일정번호],시험일정!$A152)</f>
        <v>10</v>
      </c>
    </row>
    <row r="153" spans="1:10" x14ac:dyDescent="0.3">
      <c r="A153" s="12">
        <v>152</v>
      </c>
      <c r="B153" s="12">
        <v>2</v>
      </c>
      <c r="C153" s="12">
        <v>21</v>
      </c>
      <c r="D153" s="12" t="str">
        <f>TEXT(시험일정!$E153-14, "yyyy-mm-dd") &amp; "~" &amp; TEXT(시험일정!$E153 -시험일정!$I153, "yyyy-mm-dd")</f>
        <v>2021-09-21~2021-09-30</v>
      </c>
      <c r="E153" s="13">
        <v>44474</v>
      </c>
      <c r="F153" s="14">
        <v>0.375</v>
      </c>
      <c r="G153" s="42">
        <f>시험일정!$E153 + VLOOKUP(시험일정!$B153,표2[],11, FALSE)</f>
        <v>44474</v>
      </c>
      <c r="H153" s="15">
        <f>IFERROR(COUNTIFS(표5[종목],시험일정!$B153,표5[회차],시험일정!$C153,표5[합격여부], "합격")/COUNTIFS(표5[종목],시험일정!$B153,표5[회차],시험일정!$C153),0)</f>
        <v>0</v>
      </c>
      <c r="I153" s="16" t="str">
        <f>VLOOKUP(시험일정!$B153,표2[],10, FALSE)</f>
        <v xml:space="preserve"> 5</v>
      </c>
      <c r="J153">
        <f>COUNTIF(표5[일정번호],시험일정!$A153)</f>
        <v>0</v>
      </c>
    </row>
    <row r="154" spans="1:10" x14ac:dyDescent="0.3">
      <c r="A154" s="12">
        <v>153</v>
      </c>
      <c r="B154" s="12">
        <v>2</v>
      </c>
      <c r="C154" s="12">
        <v>22</v>
      </c>
      <c r="D154" s="12" t="str">
        <f>TEXT(시험일정!$E154-14, "yyyy-mm-dd") &amp; "~" &amp; TEXT(시험일정!$E154 -시험일정!$I154, "yyyy-mm-dd")</f>
        <v>2021-09-21~2021-09-30</v>
      </c>
      <c r="E154" s="13">
        <v>44474</v>
      </c>
      <c r="F154" s="14">
        <v>0.66666666666666663</v>
      </c>
      <c r="G154" s="42">
        <f>시험일정!$E154 + VLOOKUP(시험일정!$B154,표2[],11, FALSE)</f>
        <v>44474</v>
      </c>
      <c r="H154" s="15">
        <f>IFERROR(COUNTIFS(표5[종목],시험일정!$B154,표5[회차],시험일정!$C154,표5[합격여부], "합격")/COUNTIFS(표5[종목],시험일정!$B154,표5[회차],시험일정!$C154),0)</f>
        <v>0</v>
      </c>
      <c r="I154" s="16" t="str">
        <f>VLOOKUP(시험일정!$B154,표2[],10, FALSE)</f>
        <v xml:space="preserve"> 5</v>
      </c>
      <c r="J154">
        <f>COUNTIF(표5[일정번호],시험일정!$A154)</f>
        <v>0</v>
      </c>
    </row>
    <row r="155" spans="1:10" x14ac:dyDescent="0.3">
      <c r="A155" s="12">
        <v>154</v>
      </c>
      <c r="B155" s="12">
        <v>3</v>
      </c>
      <c r="C155" s="12">
        <v>28</v>
      </c>
      <c r="D155" s="12" t="str">
        <f>TEXT(시험일정!$E155-14, "yyyy-mm-dd") &amp; "~" &amp; TEXT(시험일정!$E155 -시험일정!$I155, "yyyy-mm-dd")</f>
        <v>2021-09-23~2021-10-02</v>
      </c>
      <c r="E155" s="13">
        <v>44476</v>
      </c>
      <c r="F155" s="14">
        <v>0.41666666666666669</v>
      </c>
      <c r="G155" s="42">
        <f>시험일정!$E155 + VLOOKUP(시험일정!$B155,표2[],11, FALSE)</f>
        <v>44476</v>
      </c>
      <c r="H155" s="15">
        <f>IFERROR(COUNTIFS(표5[종목],시험일정!$B155,표5[회차],시험일정!$C155,표5[합격여부], "합격")/COUNTIFS(표5[종목],시험일정!$B155,표5[회차],시험일정!$C155),0)</f>
        <v>0</v>
      </c>
      <c r="I155" s="16" t="str">
        <f>VLOOKUP(시험일정!$B155,표2[],10, FALSE)</f>
        <v xml:space="preserve"> 5</v>
      </c>
      <c r="J155">
        <f>COUNTIF(표5[일정번호],시험일정!$A155)</f>
        <v>4</v>
      </c>
    </row>
    <row r="156" spans="1:10" x14ac:dyDescent="0.3">
      <c r="A156" s="12">
        <v>155</v>
      </c>
      <c r="B156" s="12">
        <v>3</v>
      </c>
      <c r="C156" s="12">
        <v>29</v>
      </c>
      <c r="D156" s="12" t="str">
        <f>TEXT(시험일정!$E156-14, "yyyy-mm-dd") &amp; "~" &amp; TEXT(시험일정!$E156 -시험일정!$I156, "yyyy-mm-dd")</f>
        <v>2021-09-23~2021-10-02</v>
      </c>
      <c r="E156" s="13">
        <v>44476</v>
      </c>
      <c r="F156" s="14">
        <v>0.58333333333333337</v>
      </c>
      <c r="G156" s="42">
        <f>시험일정!$E156 + VLOOKUP(시험일정!$B156,표2[],11, FALSE)</f>
        <v>44476</v>
      </c>
      <c r="H156" s="15">
        <f>IFERROR(COUNTIFS(표5[종목],시험일정!$B156,표5[회차],시험일정!$C156,표5[합격여부], "합격")/COUNTIFS(표5[종목],시험일정!$B156,표5[회차],시험일정!$C156),0)</f>
        <v>0</v>
      </c>
      <c r="I156" s="16" t="str">
        <f>VLOOKUP(시험일정!$B156,표2[],10, FALSE)</f>
        <v xml:space="preserve"> 5</v>
      </c>
      <c r="J156">
        <f>COUNTIF(표5[일정번호],시험일정!$A156)</f>
        <v>3</v>
      </c>
    </row>
    <row r="157" spans="1:10" x14ac:dyDescent="0.3">
      <c r="A157" s="12">
        <v>156</v>
      </c>
      <c r="B157" s="12">
        <v>3</v>
      </c>
      <c r="C157" s="12">
        <v>30</v>
      </c>
      <c r="D157" s="12" t="str">
        <f>TEXT(시험일정!$E157-14, "yyyy-mm-dd") &amp; "~" &amp; TEXT(시험일정!$E157 -시험일정!$I157, "yyyy-mm-dd")</f>
        <v>2021-09-23~2021-10-02</v>
      </c>
      <c r="E157" s="13">
        <v>44476</v>
      </c>
      <c r="F157" s="14">
        <v>0.63888888888888895</v>
      </c>
      <c r="G157" s="42">
        <f>시험일정!$E157 + VLOOKUP(시험일정!$B157,표2[],11, FALSE)</f>
        <v>44476</v>
      </c>
      <c r="H157" s="15">
        <f>IFERROR(COUNTIFS(표5[종목],시험일정!$B157,표5[회차],시험일정!$C157,표5[합격여부], "합격")/COUNTIFS(표5[종목],시험일정!$B157,표5[회차],시험일정!$C157),0)</f>
        <v>0</v>
      </c>
      <c r="I157" s="16" t="str">
        <f>VLOOKUP(시험일정!$B157,표2[],10, FALSE)</f>
        <v xml:space="preserve"> 5</v>
      </c>
      <c r="J157">
        <f>COUNTIF(표5[일정번호],시험일정!$A157)</f>
        <v>4</v>
      </c>
    </row>
    <row r="158" spans="1:10" x14ac:dyDescent="0.3">
      <c r="A158" s="12">
        <v>157</v>
      </c>
      <c r="B158" s="12">
        <v>4</v>
      </c>
      <c r="C158" s="12">
        <v>26</v>
      </c>
      <c r="D158" s="12" t="str">
        <f>TEXT(시험일정!$E158-14, "yyyy-mm-dd") &amp; "~" &amp; TEXT(시험일정!$E158 -시험일정!$I158, "yyyy-mm-dd")</f>
        <v>2021-09-24~2021-09-29</v>
      </c>
      <c r="E158" s="13">
        <v>44477</v>
      </c>
      <c r="F158" s="14">
        <v>0.375</v>
      </c>
      <c r="G158" s="42">
        <f>시험일정!$E158 + VLOOKUP(시험일정!$B158,표2[],11, FALSE)</f>
        <v>44478</v>
      </c>
      <c r="H158" s="15">
        <f>IFERROR(COUNTIFS(표5[종목],시험일정!$B158,표5[회차],시험일정!$C158,표5[합격여부], "합격")/COUNTIFS(표5[종목],시험일정!$B158,표5[회차],시험일정!$C158),0)</f>
        <v>0</v>
      </c>
      <c r="I158" s="16" t="str">
        <f>VLOOKUP(시험일정!$B158,표2[],10, FALSE)</f>
        <v xml:space="preserve"> 9</v>
      </c>
      <c r="J158">
        <f>COUNTIF(표5[일정번호],시험일정!$A158)</f>
        <v>0</v>
      </c>
    </row>
    <row r="159" spans="1:10" x14ac:dyDescent="0.3">
      <c r="A159" s="17">
        <v>158</v>
      </c>
      <c r="B159" s="17">
        <v>4</v>
      </c>
      <c r="C159" s="17">
        <v>27</v>
      </c>
      <c r="D159" s="12" t="str">
        <f>TEXT(시험일정!$E159-14, "yyyy-mm-dd") &amp; "~" &amp; TEXT(시험일정!$E159 -시험일정!$I159, "yyyy-mm-dd")</f>
        <v>2021-09-24~2021-09-29</v>
      </c>
      <c r="E159" s="18">
        <v>44477</v>
      </c>
      <c r="F159" s="19">
        <v>0.4375</v>
      </c>
      <c r="G159" s="42">
        <f>시험일정!$E159 + VLOOKUP(시험일정!$B159,표2[],11, FALSE)</f>
        <v>44478</v>
      </c>
      <c r="H159" s="15">
        <f>IFERROR(COUNTIFS(표5[종목],시험일정!$B159,표5[회차],시험일정!$C159,표5[합격여부], "합격")/COUNTIFS(표5[종목],시험일정!$B159,표5[회차],시험일정!$C159),0)</f>
        <v>0</v>
      </c>
      <c r="I159" s="6" t="str">
        <f>VLOOKUP(시험일정!$B159,표2[],10, FALSE)</f>
        <v xml:space="preserve"> 9</v>
      </c>
      <c r="J159">
        <f>COUNTIF(표5[일정번호],시험일정!$A159)</f>
        <v>0</v>
      </c>
    </row>
    <row r="160" spans="1:10" x14ac:dyDescent="0.3">
      <c r="A160"/>
      <c r="B160"/>
      <c r="C160"/>
      <c r="D160"/>
      <c r="E160"/>
      <c r="F160"/>
      <c r="G160"/>
      <c r="H160"/>
      <c r="I160"/>
    </row>
    <row r="161" customFormat="1" x14ac:dyDescent="0.3"/>
    <row r="162" customFormat="1" x14ac:dyDescent="0.3"/>
    <row r="163" customFormat="1" x14ac:dyDescent="0.3"/>
    <row r="164" customFormat="1" x14ac:dyDescent="0.3"/>
  </sheetData>
  <phoneticPr fontId="1" type="noConversion"/>
  <conditionalFormatting sqref="A2:I159 A165:I1048576">
    <cfRule type="expression" dxfId="34" priority="1">
      <formula>$B2 = 6</formula>
    </cfRule>
    <cfRule type="expression" dxfId="33" priority="2">
      <formula>$B2 = 5</formula>
    </cfRule>
    <cfRule type="expression" dxfId="32" priority="3">
      <formula>$B2 = 4</formula>
    </cfRule>
    <cfRule type="expression" dxfId="31" priority="4">
      <formula>$B2 = 3</formula>
    </cfRule>
    <cfRule type="expression" dxfId="30" priority="5">
      <formula>$B2 = 2</formula>
    </cfRule>
    <cfRule type="expression" dxfId="29" priority="6">
      <formula>$B2 = 1</formula>
    </cfRule>
    <cfRule type="expression" dxfId="28" priority="7">
      <formula>$A2 &lt;&gt; 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22"/>
  <sheetViews>
    <sheetView tabSelected="1" zoomScale="85" zoomScaleNormal="85" workbookViewId="0">
      <selection activeCell="R19" sqref="R19"/>
    </sheetView>
  </sheetViews>
  <sheetFormatPr defaultRowHeight="16.5" x14ac:dyDescent="0.3"/>
  <cols>
    <col min="1" max="1" width="6.5" style="4" customWidth="1"/>
    <col min="2" max="2" width="10.25" style="4" customWidth="1"/>
    <col min="3" max="3" width="6.5" style="4" customWidth="1"/>
    <col min="4" max="4" width="10.25" style="4" customWidth="1"/>
    <col min="5" max="5" width="6.5" style="4" customWidth="1"/>
    <col min="6" max="8" width="11.125" style="4" bestFit="1" customWidth="1"/>
    <col min="9" max="9" width="6.5" style="4" customWidth="1"/>
    <col min="10" max="10" width="10.25" style="4" customWidth="1"/>
    <col min="11" max="11" width="15.125" bestFit="1" customWidth="1"/>
  </cols>
  <sheetData>
    <row r="1" spans="1:11" x14ac:dyDescent="0.3">
      <c r="A1" s="4" t="s">
        <v>1</v>
      </c>
      <c r="B1" s="4" t="s">
        <v>193</v>
      </c>
      <c r="C1" s="4" t="s">
        <v>161</v>
      </c>
      <c r="D1" s="4" t="s">
        <v>194</v>
      </c>
      <c r="E1" s="4" t="s">
        <v>188</v>
      </c>
      <c r="F1" s="4" t="s">
        <v>195</v>
      </c>
      <c r="G1" s="4" t="s">
        <v>190</v>
      </c>
      <c r="H1" s="4" t="s">
        <v>164</v>
      </c>
      <c r="I1" s="4" t="s">
        <v>196</v>
      </c>
      <c r="J1" s="4" t="s">
        <v>197</v>
      </c>
      <c r="K1" s="4" t="s">
        <v>1499</v>
      </c>
    </row>
    <row r="2" spans="1:11" x14ac:dyDescent="0.3">
      <c r="A2" s="4">
        <v>1</v>
      </c>
      <c r="B2" s="4">
        <v>1</v>
      </c>
      <c r="C2" s="4">
        <v>2</v>
      </c>
      <c r="D2" s="4">
        <v>6</v>
      </c>
      <c r="E2" s="4">
        <v>1</v>
      </c>
      <c r="F2" s="5">
        <v>44326</v>
      </c>
      <c r="G2" s="5">
        <v>44333</v>
      </c>
      <c r="H2" s="5">
        <v>44333</v>
      </c>
      <c r="I2" s="4">
        <v>20</v>
      </c>
      <c r="J2" s="4" t="s">
        <v>198</v>
      </c>
      <c r="K2" s="5" t="str">
        <f>VLOOKUP(표5[[#This Row],[종목]],표2[],2,FALSE)</f>
        <v>컴퓨터활용능력</v>
      </c>
    </row>
    <row r="3" spans="1:11" x14ac:dyDescent="0.3">
      <c r="A3" s="4">
        <v>2</v>
      </c>
      <c r="B3" s="4">
        <v>2</v>
      </c>
      <c r="C3" s="4">
        <v>2</v>
      </c>
      <c r="D3" s="4">
        <v>6</v>
      </c>
      <c r="E3" s="4">
        <v>1</v>
      </c>
      <c r="F3" s="5">
        <v>44326</v>
      </c>
      <c r="G3" s="5">
        <v>44333</v>
      </c>
      <c r="H3" s="5">
        <v>44333</v>
      </c>
      <c r="I3" s="4">
        <v>50</v>
      </c>
      <c r="J3" s="4" t="s">
        <v>198</v>
      </c>
      <c r="K3" s="5" t="str">
        <f>VLOOKUP(표5[[#This Row],[종목]],표2[],2,FALSE)</f>
        <v>컴퓨터활용능력</v>
      </c>
    </row>
    <row r="4" spans="1:11" x14ac:dyDescent="0.3">
      <c r="A4" s="4">
        <v>3</v>
      </c>
      <c r="B4" s="4">
        <v>4</v>
      </c>
      <c r="C4" s="4">
        <v>2</v>
      </c>
      <c r="D4" s="4">
        <v>6</v>
      </c>
      <c r="E4" s="4">
        <v>1</v>
      </c>
      <c r="F4" s="5">
        <v>44326</v>
      </c>
      <c r="G4" s="5">
        <v>44333</v>
      </c>
      <c r="H4" s="5">
        <v>44333</v>
      </c>
      <c r="I4" s="4">
        <v>50</v>
      </c>
      <c r="J4" s="4" t="s">
        <v>198</v>
      </c>
      <c r="K4" s="5" t="str">
        <f>VLOOKUP(표5[[#This Row],[종목]],표2[],2,FALSE)</f>
        <v>컴퓨터활용능력</v>
      </c>
    </row>
    <row r="5" spans="1:11" x14ac:dyDescent="0.3">
      <c r="A5" s="4">
        <v>4</v>
      </c>
      <c r="B5" s="4">
        <v>6</v>
      </c>
      <c r="C5" s="4">
        <v>2</v>
      </c>
      <c r="D5" s="4">
        <v>7</v>
      </c>
      <c r="E5" s="4">
        <v>1</v>
      </c>
      <c r="F5" s="5">
        <v>44326</v>
      </c>
      <c r="G5" s="5">
        <v>44333</v>
      </c>
      <c r="H5" s="5">
        <v>44333</v>
      </c>
      <c r="I5" s="4">
        <v>20</v>
      </c>
      <c r="J5" s="4" t="s">
        <v>198</v>
      </c>
      <c r="K5" s="5" t="str">
        <f>VLOOKUP(표5[[#This Row],[종목]],표2[],2,FALSE)</f>
        <v>컴퓨터활용능력</v>
      </c>
    </row>
    <row r="6" spans="1:11" x14ac:dyDescent="0.3">
      <c r="A6" s="4">
        <v>5</v>
      </c>
      <c r="B6" s="4">
        <v>2</v>
      </c>
      <c r="C6" s="4">
        <v>2</v>
      </c>
      <c r="D6" s="4">
        <v>7</v>
      </c>
      <c r="E6" s="4">
        <v>1</v>
      </c>
      <c r="F6" s="5">
        <v>44326</v>
      </c>
      <c r="G6" s="5">
        <v>44333</v>
      </c>
      <c r="H6" s="5">
        <v>44333</v>
      </c>
      <c r="I6" s="4">
        <v>40</v>
      </c>
      <c r="J6" s="4" t="s">
        <v>198</v>
      </c>
      <c r="K6" s="5" t="str">
        <f>VLOOKUP(표5[[#This Row],[종목]],표2[],2,FALSE)</f>
        <v>컴퓨터활용능력</v>
      </c>
    </row>
    <row r="7" spans="1:11" x14ac:dyDescent="0.3">
      <c r="A7" s="4">
        <v>6</v>
      </c>
      <c r="B7" s="4">
        <v>8</v>
      </c>
      <c r="C7" s="4">
        <v>2</v>
      </c>
      <c r="D7" s="4">
        <v>7</v>
      </c>
      <c r="E7" s="4">
        <v>1</v>
      </c>
      <c r="F7" s="5">
        <v>44326</v>
      </c>
      <c r="G7" s="5">
        <v>44333</v>
      </c>
      <c r="H7" s="5">
        <v>44333</v>
      </c>
      <c r="I7" s="4">
        <v>20</v>
      </c>
      <c r="J7" s="4" t="s">
        <v>198</v>
      </c>
      <c r="K7" s="5" t="str">
        <f>VLOOKUP(표5[[#This Row],[종목]],표2[],2,FALSE)</f>
        <v>컴퓨터활용능력</v>
      </c>
    </row>
    <row r="8" spans="1:11" x14ac:dyDescent="0.3">
      <c r="A8" s="4">
        <v>7</v>
      </c>
      <c r="B8" s="4">
        <v>9</v>
      </c>
      <c r="C8" s="4">
        <v>2</v>
      </c>
      <c r="D8" s="4">
        <v>9</v>
      </c>
      <c r="E8" s="4">
        <v>1</v>
      </c>
      <c r="F8" s="5">
        <v>44326</v>
      </c>
      <c r="G8" s="5">
        <v>44333</v>
      </c>
      <c r="H8" s="5">
        <v>44333</v>
      </c>
      <c r="I8" s="4">
        <v>50</v>
      </c>
      <c r="J8" s="4" t="s">
        <v>198</v>
      </c>
      <c r="K8" s="5" t="str">
        <f>VLOOKUP(표5[[#This Row],[종목]],표2[],2,FALSE)</f>
        <v>컴퓨터활용능력</v>
      </c>
    </row>
    <row r="9" spans="1:11" x14ac:dyDescent="0.3">
      <c r="A9" s="4">
        <v>8</v>
      </c>
      <c r="B9" s="4">
        <v>4</v>
      </c>
      <c r="C9" s="4">
        <v>2</v>
      </c>
      <c r="D9" s="4">
        <v>9</v>
      </c>
      <c r="E9" s="4">
        <v>1</v>
      </c>
      <c r="F9" s="5">
        <v>44326</v>
      </c>
      <c r="G9" s="5">
        <v>44333</v>
      </c>
      <c r="H9" s="5">
        <v>44333</v>
      </c>
      <c r="I9" s="4">
        <v>10</v>
      </c>
      <c r="J9" s="4" t="s">
        <v>198</v>
      </c>
      <c r="K9" s="5" t="str">
        <f>VLOOKUP(표5[[#This Row],[종목]],표2[],2,FALSE)</f>
        <v>컴퓨터활용능력</v>
      </c>
    </row>
    <row r="10" spans="1:11" x14ac:dyDescent="0.3">
      <c r="A10" s="4">
        <v>9</v>
      </c>
      <c r="B10" s="4">
        <v>6</v>
      </c>
      <c r="C10" s="4">
        <v>2</v>
      </c>
      <c r="D10" s="4">
        <v>9</v>
      </c>
      <c r="E10" s="4">
        <v>1</v>
      </c>
      <c r="F10" s="5">
        <v>44326</v>
      </c>
      <c r="G10" s="5">
        <v>44333</v>
      </c>
      <c r="H10" s="5">
        <v>44333</v>
      </c>
      <c r="I10" s="4">
        <v>30</v>
      </c>
      <c r="J10" s="4" t="s">
        <v>198</v>
      </c>
      <c r="K10" s="5" t="str">
        <f>VLOOKUP(표5[[#This Row],[종목]],표2[],2,FALSE)</f>
        <v>컴퓨터활용능력</v>
      </c>
    </row>
    <row r="11" spans="1:11" x14ac:dyDescent="0.3">
      <c r="A11" s="4">
        <v>10</v>
      </c>
      <c r="B11" s="4">
        <v>15</v>
      </c>
      <c r="C11" s="4">
        <v>2</v>
      </c>
      <c r="D11" s="4">
        <v>9</v>
      </c>
      <c r="E11" s="4">
        <v>1</v>
      </c>
      <c r="F11" s="5">
        <v>44326</v>
      </c>
      <c r="G11" s="5">
        <v>44333</v>
      </c>
      <c r="H11" s="5">
        <v>44333</v>
      </c>
      <c r="I11" s="4">
        <v>10</v>
      </c>
      <c r="J11" s="4" t="s">
        <v>198</v>
      </c>
      <c r="K11" s="5" t="str">
        <f>VLOOKUP(표5[[#This Row],[종목]],표2[],2,FALSE)</f>
        <v>컴퓨터활용능력</v>
      </c>
    </row>
    <row r="12" spans="1:11" x14ac:dyDescent="0.3">
      <c r="A12" s="4">
        <v>11</v>
      </c>
      <c r="B12" s="4">
        <v>15</v>
      </c>
      <c r="C12" s="4">
        <v>3</v>
      </c>
      <c r="D12" s="4">
        <v>10</v>
      </c>
      <c r="E12" s="4">
        <v>1</v>
      </c>
      <c r="F12" s="5">
        <v>44326</v>
      </c>
      <c r="G12" s="5">
        <v>44333</v>
      </c>
      <c r="H12" s="5">
        <v>44333</v>
      </c>
      <c r="I12" s="4">
        <v>0</v>
      </c>
      <c r="J12" s="4" t="s">
        <v>198</v>
      </c>
      <c r="K12" s="5" t="str">
        <f>VLOOKUP(표5[[#This Row],[종목]],표2[],2,FALSE)</f>
        <v>컴퓨터활용능력</v>
      </c>
    </row>
    <row r="13" spans="1:11" x14ac:dyDescent="0.3">
      <c r="A13" s="4">
        <v>12</v>
      </c>
      <c r="B13" s="4">
        <v>2</v>
      </c>
      <c r="C13" s="4">
        <v>3</v>
      </c>
      <c r="D13" s="4">
        <v>10</v>
      </c>
      <c r="E13" s="4">
        <v>1</v>
      </c>
      <c r="F13" s="5">
        <v>44326</v>
      </c>
      <c r="G13" s="5">
        <v>44333</v>
      </c>
      <c r="H13" s="5">
        <v>44333</v>
      </c>
      <c r="I13" s="4">
        <v>0</v>
      </c>
      <c r="J13" s="4" t="s">
        <v>198</v>
      </c>
      <c r="K13" s="5" t="str">
        <f>VLOOKUP(표5[[#This Row],[종목]],표2[],2,FALSE)</f>
        <v>컴퓨터활용능력</v>
      </c>
    </row>
    <row r="14" spans="1:11" x14ac:dyDescent="0.3">
      <c r="A14" s="4">
        <v>13</v>
      </c>
      <c r="B14" s="4">
        <v>8</v>
      </c>
      <c r="C14" s="4">
        <v>3</v>
      </c>
      <c r="D14" s="4">
        <v>10</v>
      </c>
      <c r="E14" s="4">
        <v>1</v>
      </c>
      <c r="F14" s="5">
        <v>44326</v>
      </c>
      <c r="G14" s="5">
        <v>44333</v>
      </c>
      <c r="H14" s="5">
        <v>44333</v>
      </c>
      <c r="I14" s="4">
        <v>10</v>
      </c>
      <c r="J14" s="4" t="s">
        <v>198</v>
      </c>
      <c r="K14" s="5" t="str">
        <f>VLOOKUP(표5[[#This Row],[종목]],표2[],2,FALSE)</f>
        <v>컴퓨터활용능력</v>
      </c>
    </row>
    <row r="15" spans="1:11" x14ac:dyDescent="0.3">
      <c r="A15" s="4">
        <v>14</v>
      </c>
      <c r="B15" s="4">
        <v>16</v>
      </c>
      <c r="C15" s="4">
        <v>3</v>
      </c>
      <c r="D15" s="4">
        <v>10</v>
      </c>
      <c r="E15" s="4">
        <v>1</v>
      </c>
      <c r="F15" s="5">
        <v>44326</v>
      </c>
      <c r="G15" s="5">
        <v>44333</v>
      </c>
      <c r="H15" s="5">
        <v>44333</v>
      </c>
      <c r="I15" s="4">
        <v>0</v>
      </c>
      <c r="J15" s="4" t="s">
        <v>198</v>
      </c>
      <c r="K15" s="5" t="str">
        <f>VLOOKUP(표5[[#This Row],[종목]],표2[],2,FALSE)</f>
        <v>컴퓨터활용능력</v>
      </c>
    </row>
    <row r="16" spans="1:11" x14ac:dyDescent="0.3">
      <c r="A16" s="4">
        <v>15</v>
      </c>
      <c r="B16" s="4">
        <v>4</v>
      </c>
      <c r="C16" s="4">
        <v>3</v>
      </c>
      <c r="D16" s="4">
        <v>10</v>
      </c>
      <c r="E16" s="4">
        <v>1</v>
      </c>
      <c r="F16" s="5">
        <v>44326</v>
      </c>
      <c r="G16" s="5">
        <v>44333</v>
      </c>
      <c r="H16" s="5">
        <v>44333</v>
      </c>
      <c r="I16" s="4">
        <v>0</v>
      </c>
      <c r="J16" s="4" t="s">
        <v>198</v>
      </c>
      <c r="K16" s="5" t="str">
        <f>VLOOKUP(표5[[#This Row],[종목]],표2[],2,FALSE)</f>
        <v>컴퓨터활용능력</v>
      </c>
    </row>
    <row r="17" spans="1:11" x14ac:dyDescent="0.3">
      <c r="A17" s="4">
        <v>16</v>
      </c>
      <c r="B17" s="4">
        <v>18</v>
      </c>
      <c r="C17" s="4">
        <v>3</v>
      </c>
      <c r="D17" s="4">
        <v>11</v>
      </c>
      <c r="E17" s="4">
        <v>1</v>
      </c>
      <c r="F17" s="5">
        <v>44326</v>
      </c>
      <c r="G17" s="5">
        <v>44333</v>
      </c>
      <c r="H17" s="5">
        <v>44333</v>
      </c>
      <c r="I17" s="4">
        <v>20</v>
      </c>
      <c r="J17" s="4" t="s">
        <v>198</v>
      </c>
      <c r="K17" s="5" t="str">
        <f>VLOOKUP(표5[[#This Row],[종목]],표2[],2,FALSE)</f>
        <v>컴퓨터활용능력</v>
      </c>
    </row>
    <row r="18" spans="1:11" x14ac:dyDescent="0.3">
      <c r="A18" s="4">
        <v>17</v>
      </c>
      <c r="B18" s="4">
        <v>20</v>
      </c>
      <c r="C18" s="4">
        <v>3</v>
      </c>
      <c r="D18" s="4">
        <v>11</v>
      </c>
      <c r="E18" s="4">
        <v>1</v>
      </c>
      <c r="F18" s="5">
        <v>44326</v>
      </c>
      <c r="G18" s="5">
        <v>44333</v>
      </c>
      <c r="H18" s="5">
        <v>44333</v>
      </c>
      <c r="I18" s="4">
        <v>40</v>
      </c>
      <c r="J18" s="4" t="s">
        <v>198</v>
      </c>
      <c r="K18" s="5" t="str">
        <f>VLOOKUP(표5[[#This Row],[종목]],표2[],2,FALSE)</f>
        <v>컴퓨터활용능력</v>
      </c>
    </row>
    <row r="19" spans="1:11" x14ac:dyDescent="0.3">
      <c r="A19" s="4">
        <v>18</v>
      </c>
      <c r="B19" s="4">
        <v>1</v>
      </c>
      <c r="C19" s="4">
        <v>3</v>
      </c>
      <c r="D19" s="4">
        <v>11</v>
      </c>
      <c r="E19" s="4">
        <v>1</v>
      </c>
      <c r="F19" s="5">
        <v>44326</v>
      </c>
      <c r="G19" s="5">
        <v>44333</v>
      </c>
      <c r="H19" s="5">
        <v>44333</v>
      </c>
      <c r="I19" s="4">
        <v>50</v>
      </c>
      <c r="J19" s="4" t="s">
        <v>198</v>
      </c>
      <c r="K19" s="5" t="str">
        <f>VLOOKUP(표5[[#This Row],[종목]],표2[],2,FALSE)</f>
        <v>컴퓨터활용능력</v>
      </c>
    </row>
    <row r="20" spans="1:11" x14ac:dyDescent="0.3">
      <c r="A20" s="4">
        <v>19</v>
      </c>
      <c r="B20" s="4">
        <v>29</v>
      </c>
      <c r="C20" s="4">
        <v>3</v>
      </c>
      <c r="D20" s="4">
        <v>11</v>
      </c>
      <c r="E20" s="4">
        <v>1</v>
      </c>
      <c r="F20" s="5">
        <v>44326</v>
      </c>
      <c r="G20" s="5">
        <v>44333</v>
      </c>
      <c r="H20" s="5">
        <v>44333</v>
      </c>
      <c r="I20" s="4">
        <v>10</v>
      </c>
      <c r="J20" s="4" t="s">
        <v>198</v>
      </c>
      <c r="K20" s="5" t="str">
        <f>VLOOKUP(표5[[#This Row],[종목]],표2[],2,FALSE)</f>
        <v>컴퓨터활용능력</v>
      </c>
    </row>
    <row r="21" spans="1:11" x14ac:dyDescent="0.3">
      <c r="A21" s="4">
        <v>20</v>
      </c>
      <c r="B21" s="4">
        <v>10</v>
      </c>
      <c r="C21" s="4">
        <v>3</v>
      </c>
      <c r="D21" s="4">
        <v>11</v>
      </c>
      <c r="E21" s="4">
        <v>1</v>
      </c>
      <c r="F21" s="5">
        <v>44326</v>
      </c>
      <c r="G21" s="5">
        <v>44333</v>
      </c>
      <c r="H21" s="5">
        <v>44333</v>
      </c>
      <c r="I21" s="4">
        <v>0</v>
      </c>
      <c r="J21" s="4" t="s">
        <v>198</v>
      </c>
      <c r="K21" s="5" t="str">
        <f>VLOOKUP(표5[[#This Row],[종목]],표2[],2,FALSE)</f>
        <v>컴퓨터활용능력</v>
      </c>
    </row>
    <row r="22" spans="1:11" x14ac:dyDescent="0.3">
      <c r="A22" s="4">
        <v>21</v>
      </c>
      <c r="B22" s="4">
        <v>4</v>
      </c>
      <c r="C22" s="4">
        <v>4</v>
      </c>
      <c r="D22" s="4">
        <v>11</v>
      </c>
      <c r="E22" s="4">
        <v>1</v>
      </c>
      <c r="F22" s="5">
        <v>44326</v>
      </c>
      <c r="G22" s="5">
        <v>44333</v>
      </c>
      <c r="H22" s="5">
        <v>44334</v>
      </c>
      <c r="I22" s="4">
        <v>0</v>
      </c>
      <c r="J22" s="4" t="s">
        <v>198</v>
      </c>
      <c r="K22" s="5" t="str">
        <f>VLOOKUP(표5[[#This Row],[종목]],표2[],2,FALSE)</f>
        <v>비서</v>
      </c>
    </row>
    <row r="23" spans="1:11" x14ac:dyDescent="0.3">
      <c r="A23" s="4">
        <v>22</v>
      </c>
      <c r="B23" s="4">
        <v>15</v>
      </c>
      <c r="C23" s="4">
        <v>4</v>
      </c>
      <c r="D23" s="4">
        <v>11</v>
      </c>
      <c r="E23" s="4">
        <v>1</v>
      </c>
      <c r="F23" s="5">
        <v>44326</v>
      </c>
      <c r="G23" s="5">
        <v>44333</v>
      </c>
      <c r="H23" s="5">
        <v>44334</v>
      </c>
      <c r="I23" s="4">
        <v>40</v>
      </c>
      <c r="J23" s="4" t="s">
        <v>198</v>
      </c>
      <c r="K23" s="5" t="str">
        <f>VLOOKUP(표5[[#This Row],[종목]],표2[],2,FALSE)</f>
        <v>비서</v>
      </c>
    </row>
    <row r="24" spans="1:11" x14ac:dyDescent="0.3">
      <c r="A24" s="4">
        <v>23</v>
      </c>
      <c r="B24" s="4">
        <v>16</v>
      </c>
      <c r="C24" s="4">
        <v>4</v>
      </c>
      <c r="D24" s="4">
        <v>11</v>
      </c>
      <c r="E24" s="4">
        <v>1</v>
      </c>
      <c r="F24" s="5">
        <v>44326</v>
      </c>
      <c r="G24" s="5">
        <v>44333</v>
      </c>
      <c r="H24" s="5">
        <v>44334</v>
      </c>
      <c r="I24" s="4">
        <v>10</v>
      </c>
      <c r="J24" s="4" t="s">
        <v>198</v>
      </c>
      <c r="K24" s="5" t="str">
        <f>VLOOKUP(표5[[#This Row],[종목]],표2[],2,FALSE)</f>
        <v>비서</v>
      </c>
    </row>
    <row r="25" spans="1:11" x14ac:dyDescent="0.3">
      <c r="A25" s="4">
        <v>24</v>
      </c>
      <c r="B25" s="4">
        <v>19</v>
      </c>
      <c r="C25" s="4">
        <v>4</v>
      </c>
      <c r="D25" s="4">
        <v>12</v>
      </c>
      <c r="E25" s="4">
        <v>1</v>
      </c>
      <c r="F25" s="5">
        <v>44326</v>
      </c>
      <c r="G25" s="5">
        <v>44333</v>
      </c>
      <c r="H25" s="5">
        <v>44334</v>
      </c>
      <c r="I25" s="4">
        <v>30</v>
      </c>
      <c r="J25" s="4" t="s">
        <v>198</v>
      </c>
      <c r="K25" s="5" t="str">
        <f>VLOOKUP(표5[[#This Row],[종목]],표2[],2,FALSE)</f>
        <v>비서</v>
      </c>
    </row>
    <row r="26" spans="1:11" x14ac:dyDescent="0.3">
      <c r="A26" s="4">
        <v>25</v>
      </c>
      <c r="B26" s="4">
        <v>2</v>
      </c>
      <c r="C26" s="4">
        <v>4</v>
      </c>
      <c r="D26" s="4">
        <v>12</v>
      </c>
      <c r="E26" s="4">
        <v>1</v>
      </c>
      <c r="F26" s="5">
        <v>44326</v>
      </c>
      <c r="G26" s="5">
        <v>44333</v>
      </c>
      <c r="H26" s="5">
        <v>44334</v>
      </c>
      <c r="I26" s="4">
        <v>0</v>
      </c>
      <c r="J26" s="4" t="s">
        <v>198</v>
      </c>
      <c r="K26" s="5" t="str">
        <f>VLOOKUP(표5[[#This Row],[종목]],표2[],2,FALSE)</f>
        <v>비서</v>
      </c>
    </row>
    <row r="27" spans="1:11" x14ac:dyDescent="0.3">
      <c r="A27" s="4">
        <v>26</v>
      </c>
      <c r="B27" s="4">
        <v>17</v>
      </c>
      <c r="C27" s="4">
        <v>4</v>
      </c>
      <c r="D27" s="4">
        <v>12</v>
      </c>
      <c r="E27" s="4">
        <v>1</v>
      </c>
      <c r="F27" s="5">
        <v>44326</v>
      </c>
      <c r="G27" s="5">
        <v>44333</v>
      </c>
      <c r="H27" s="5">
        <v>44334</v>
      </c>
      <c r="I27" s="4">
        <v>10</v>
      </c>
      <c r="J27" s="4" t="s">
        <v>198</v>
      </c>
      <c r="K27" s="5" t="str">
        <f>VLOOKUP(표5[[#This Row],[종목]],표2[],2,FALSE)</f>
        <v>비서</v>
      </c>
    </row>
    <row r="28" spans="1:11" x14ac:dyDescent="0.3">
      <c r="A28" s="4">
        <v>27</v>
      </c>
      <c r="B28" s="4">
        <v>23</v>
      </c>
      <c r="C28" s="4">
        <v>4</v>
      </c>
      <c r="D28" s="4">
        <v>12</v>
      </c>
      <c r="E28" s="4">
        <v>1</v>
      </c>
      <c r="F28" s="5">
        <v>44326</v>
      </c>
      <c r="G28" s="5">
        <v>44333</v>
      </c>
      <c r="H28" s="5">
        <v>44334</v>
      </c>
      <c r="I28" s="4">
        <v>50</v>
      </c>
      <c r="J28" s="4" t="s">
        <v>198</v>
      </c>
      <c r="K28" s="5" t="str">
        <f>VLOOKUP(표5[[#This Row],[종목]],표2[],2,FALSE)</f>
        <v>비서</v>
      </c>
    </row>
    <row r="29" spans="1:11" x14ac:dyDescent="0.3">
      <c r="A29" s="4">
        <v>28</v>
      </c>
      <c r="B29" s="4">
        <v>15</v>
      </c>
      <c r="C29" s="4">
        <v>4</v>
      </c>
      <c r="D29" s="4">
        <v>12</v>
      </c>
      <c r="E29" s="4">
        <v>1</v>
      </c>
      <c r="F29" s="5">
        <v>44326</v>
      </c>
      <c r="G29" s="5">
        <v>44333</v>
      </c>
      <c r="H29" s="5">
        <v>44334</v>
      </c>
      <c r="I29" s="4">
        <v>20</v>
      </c>
      <c r="J29" s="4" t="s">
        <v>198</v>
      </c>
      <c r="K29" s="5" t="str">
        <f>VLOOKUP(표5[[#This Row],[종목]],표2[],2,FALSE)</f>
        <v>비서</v>
      </c>
    </row>
    <row r="30" spans="1:11" x14ac:dyDescent="0.3">
      <c r="A30" s="4">
        <v>29</v>
      </c>
      <c r="B30" s="4">
        <v>6</v>
      </c>
      <c r="C30" s="4">
        <v>4</v>
      </c>
      <c r="D30" s="4">
        <v>12</v>
      </c>
      <c r="E30" s="4">
        <v>1</v>
      </c>
      <c r="F30" s="5">
        <v>44326</v>
      </c>
      <c r="G30" s="5">
        <v>44333</v>
      </c>
      <c r="H30" s="5">
        <v>44334</v>
      </c>
      <c r="I30" s="4">
        <v>0</v>
      </c>
      <c r="J30" s="4" t="s">
        <v>198</v>
      </c>
      <c r="K30" s="5" t="str">
        <f>VLOOKUP(표5[[#This Row],[종목]],표2[],2,FALSE)</f>
        <v>비서</v>
      </c>
    </row>
    <row r="31" spans="1:11" x14ac:dyDescent="0.3">
      <c r="A31" s="4">
        <v>30</v>
      </c>
      <c r="B31" s="4">
        <v>3</v>
      </c>
      <c r="C31" s="4">
        <v>4</v>
      </c>
      <c r="D31" s="4">
        <v>12</v>
      </c>
      <c r="E31" s="4">
        <v>1</v>
      </c>
      <c r="F31" s="5">
        <v>44326</v>
      </c>
      <c r="G31" s="5">
        <v>44333</v>
      </c>
      <c r="H31" s="5">
        <v>44334</v>
      </c>
      <c r="I31" s="4">
        <v>0</v>
      </c>
      <c r="J31" s="4" t="s">
        <v>198</v>
      </c>
      <c r="K31" s="5" t="str">
        <f>VLOOKUP(표5[[#This Row],[종목]],표2[],2,FALSE)</f>
        <v>비서</v>
      </c>
    </row>
    <row r="32" spans="1:11" x14ac:dyDescent="0.3">
      <c r="A32" s="4">
        <v>31</v>
      </c>
      <c r="B32" s="4">
        <v>16</v>
      </c>
      <c r="C32" s="4">
        <v>5</v>
      </c>
      <c r="D32" s="4">
        <v>12</v>
      </c>
      <c r="E32" s="4">
        <v>1</v>
      </c>
      <c r="F32" s="5">
        <v>44326</v>
      </c>
      <c r="G32" s="5">
        <v>44333</v>
      </c>
      <c r="H32" s="5">
        <v>44334</v>
      </c>
      <c r="I32" s="4">
        <v>50</v>
      </c>
      <c r="J32" s="4" t="s">
        <v>198</v>
      </c>
      <c r="K32" s="5" t="str">
        <f>VLOOKUP(표5[[#This Row],[종목]],표2[],2,FALSE)</f>
        <v>비서</v>
      </c>
    </row>
    <row r="33" spans="1:11" x14ac:dyDescent="0.3">
      <c r="A33" s="4">
        <v>32</v>
      </c>
      <c r="B33" s="4">
        <v>12</v>
      </c>
      <c r="C33" s="4">
        <v>5</v>
      </c>
      <c r="D33" s="4">
        <v>14</v>
      </c>
      <c r="E33" s="4">
        <v>1</v>
      </c>
      <c r="F33" s="5">
        <v>44326</v>
      </c>
      <c r="G33" s="5">
        <v>44333</v>
      </c>
      <c r="H33" s="5">
        <v>44334</v>
      </c>
      <c r="I33" s="4">
        <v>20</v>
      </c>
      <c r="J33" s="4" t="s">
        <v>198</v>
      </c>
      <c r="K33" s="5" t="str">
        <f>VLOOKUP(표5[[#This Row],[종목]],표2[],2,FALSE)</f>
        <v>비서</v>
      </c>
    </row>
    <row r="34" spans="1:11" x14ac:dyDescent="0.3">
      <c r="A34" s="4">
        <v>33</v>
      </c>
      <c r="B34" s="4">
        <v>22</v>
      </c>
      <c r="C34" s="4">
        <v>5</v>
      </c>
      <c r="D34" s="4">
        <v>14</v>
      </c>
      <c r="E34" s="4">
        <v>1</v>
      </c>
      <c r="F34" s="5">
        <v>44326</v>
      </c>
      <c r="G34" s="5">
        <v>44333</v>
      </c>
      <c r="H34" s="5">
        <v>44334</v>
      </c>
      <c r="I34" s="4">
        <v>10</v>
      </c>
      <c r="J34" s="4" t="s">
        <v>198</v>
      </c>
      <c r="K34" s="5" t="str">
        <f>VLOOKUP(표5[[#This Row],[종목]],표2[],2,FALSE)</f>
        <v>비서</v>
      </c>
    </row>
    <row r="35" spans="1:11" x14ac:dyDescent="0.3">
      <c r="A35" s="4">
        <v>34</v>
      </c>
      <c r="B35" s="4">
        <v>19</v>
      </c>
      <c r="C35" s="4">
        <v>5</v>
      </c>
      <c r="D35" s="4">
        <v>14</v>
      </c>
      <c r="E35" s="4">
        <v>1</v>
      </c>
      <c r="F35" s="5">
        <v>44326</v>
      </c>
      <c r="G35" s="5">
        <v>44333</v>
      </c>
      <c r="H35" s="5">
        <v>44334</v>
      </c>
      <c r="I35" s="4">
        <v>0</v>
      </c>
      <c r="J35" s="4" t="s">
        <v>198</v>
      </c>
      <c r="K35" s="5" t="str">
        <f>VLOOKUP(표5[[#This Row],[종목]],표2[],2,FALSE)</f>
        <v>비서</v>
      </c>
    </row>
    <row r="36" spans="1:11" x14ac:dyDescent="0.3">
      <c r="A36" s="4">
        <v>35</v>
      </c>
      <c r="B36" s="4">
        <v>11</v>
      </c>
      <c r="C36" s="4">
        <v>5</v>
      </c>
      <c r="D36" s="4">
        <v>14</v>
      </c>
      <c r="E36" s="4">
        <v>1</v>
      </c>
      <c r="F36" s="5">
        <v>44326</v>
      </c>
      <c r="G36" s="5">
        <v>44333</v>
      </c>
      <c r="H36" s="5">
        <v>44334</v>
      </c>
      <c r="I36" s="4">
        <v>10</v>
      </c>
      <c r="J36" s="4" t="s">
        <v>198</v>
      </c>
      <c r="K36" s="5" t="str">
        <f>VLOOKUP(표5[[#This Row],[종목]],표2[],2,FALSE)</f>
        <v>비서</v>
      </c>
    </row>
    <row r="37" spans="1:11" x14ac:dyDescent="0.3">
      <c r="A37" s="4">
        <v>36</v>
      </c>
      <c r="B37" s="4">
        <v>25</v>
      </c>
      <c r="C37" s="4">
        <v>5</v>
      </c>
      <c r="D37" s="4">
        <v>14</v>
      </c>
      <c r="E37" s="4">
        <v>1</v>
      </c>
      <c r="F37" s="5">
        <v>44326</v>
      </c>
      <c r="G37" s="5">
        <v>44333</v>
      </c>
      <c r="H37" s="5">
        <v>44334</v>
      </c>
      <c r="I37" s="4">
        <v>0</v>
      </c>
      <c r="J37" s="4" t="s">
        <v>198</v>
      </c>
      <c r="K37" s="5" t="str">
        <f>VLOOKUP(표5[[#This Row],[종목]],표2[],2,FALSE)</f>
        <v>비서</v>
      </c>
    </row>
    <row r="38" spans="1:11" x14ac:dyDescent="0.3">
      <c r="A38" s="4">
        <v>37</v>
      </c>
      <c r="B38" s="4">
        <v>10</v>
      </c>
      <c r="C38" s="4">
        <v>5</v>
      </c>
      <c r="D38" s="4">
        <v>14</v>
      </c>
      <c r="E38" s="4">
        <v>1</v>
      </c>
      <c r="F38" s="5">
        <v>44326</v>
      </c>
      <c r="G38" s="5">
        <v>44333</v>
      </c>
      <c r="H38" s="5">
        <v>44334</v>
      </c>
      <c r="I38" s="4">
        <v>0</v>
      </c>
      <c r="J38" s="4" t="s">
        <v>198</v>
      </c>
      <c r="K38" s="5" t="str">
        <f>VLOOKUP(표5[[#This Row],[종목]],표2[],2,FALSE)</f>
        <v>비서</v>
      </c>
    </row>
    <row r="39" spans="1:11" x14ac:dyDescent="0.3">
      <c r="A39" s="4">
        <v>38</v>
      </c>
      <c r="B39" s="4">
        <v>6</v>
      </c>
      <c r="C39" s="4">
        <v>5</v>
      </c>
      <c r="D39" s="4">
        <v>14</v>
      </c>
      <c r="E39" s="4">
        <v>1</v>
      </c>
      <c r="F39" s="5">
        <v>44326</v>
      </c>
      <c r="G39" s="5">
        <v>44333</v>
      </c>
      <c r="H39" s="5">
        <v>44334</v>
      </c>
      <c r="I39" s="4">
        <v>40</v>
      </c>
      <c r="J39" s="4" t="s">
        <v>198</v>
      </c>
      <c r="K39" s="5" t="str">
        <f>VLOOKUP(표5[[#This Row],[종목]],표2[],2,FALSE)</f>
        <v>비서</v>
      </c>
    </row>
    <row r="40" spans="1:11" x14ac:dyDescent="0.3">
      <c r="A40" s="4">
        <v>39</v>
      </c>
      <c r="B40" s="4">
        <v>30</v>
      </c>
      <c r="C40" s="4">
        <v>6</v>
      </c>
      <c r="D40" s="4">
        <v>15</v>
      </c>
      <c r="E40" s="4">
        <v>1</v>
      </c>
      <c r="F40" s="5">
        <v>44326</v>
      </c>
      <c r="G40" s="5">
        <v>44333</v>
      </c>
      <c r="H40" s="5">
        <v>44334</v>
      </c>
      <c r="I40" s="4">
        <v>10</v>
      </c>
      <c r="J40" s="4" t="s">
        <v>198</v>
      </c>
      <c r="K40" s="5" t="str">
        <f>VLOOKUP(표5[[#This Row],[종목]],표2[],2,FALSE)</f>
        <v>비서</v>
      </c>
    </row>
    <row r="41" spans="1:11" x14ac:dyDescent="0.3">
      <c r="A41" s="4">
        <v>40</v>
      </c>
      <c r="B41" s="4">
        <v>27</v>
      </c>
      <c r="C41" s="4">
        <v>6</v>
      </c>
      <c r="D41" s="4">
        <v>15</v>
      </c>
      <c r="E41" s="4">
        <v>1</v>
      </c>
      <c r="F41" s="5">
        <v>44326</v>
      </c>
      <c r="G41" s="5">
        <v>44333</v>
      </c>
      <c r="H41" s="5">
        <v>44334</v>
      </c>
      <c r="I41" s="4">
        <v>0</v>
      </c>
      <c r="J41" s="4" t="s">
        <v>198</v>
      </c>
      <c r="K41" s="5" t="str">
        <f>VLOOKUP(표5[[#This Row],[종목]],표2[],2,FALSE)</f>
        <v>비서</v>
      </c>
    </row>
    <row r="42" spans="1:11" x14ac:dyDescent="0.3">
      <c r="A42" s="4">
        <v>41</v>
      </c>
      <c r="B42" s="4">
        <v>15</v>
      </c>
      <c r="C42" s="4">
        <v>6</v>
      </c>
      <c r="D42" s="4">
        <v>15</v>
      </c>
      <c r="E42" s="4">
        <v>1</v>
      </c>
      <c r="F42" s="5">
        <v>44326</v>
      </c>
      <c r="G42" s="5">
        <v>44333</v>
      </c>
      <c r="H42" s="5">
        <v>44334</v>
      </c>
      <c r="I42" s="4">
        <v>0</v>
      </c>
      <c r="J42" s="4" t="s">
        <v>198</v>
      </c>
      <c r="K42" s="5" t="str">
        <f>VLOOKUP(표5[[#This Row],[종목]],표2[],2,FALSE)</f>
        <v>비서</v>
      </c>
    </row>
    <row r="43" spans="1:11" x14ac:dyDescent="0.3">
      <c r="A43" s="4">
        <v>42</v>
      </c>
      <c r="B43" s="4">
        <v>16</v>
      </c>
      <c r="C43" s="4">
        <v>6</v>
      </c>
      <c r="D43" s="4">
        <v>16</v>
      </c>
      <c r="E43" s="4">
        <v>1</v>
      </c>
      <c r="F43" s="5">
        <v>44326</v>
      </c>
      <c r="G43" s="5">
        <v>44333</v>
      </c>
      <c r="H43" s="5">
        <v>44334</v>
      </c>
      <c r="I43" s="4">
        <v>10</v>
      </c>
      <c r="J43" s="4" t="s">
        <v>198</v>
      </c>
      <c r="K43" s="5" t="str">
        <f>VLOOKUP(표5[[#This Row],[종목]],표2[],2,FALSE)</f>
        <v>비서</v>
      </c>
    </row>
    <row r="44" spans="1:11" x14ac:dyDescent="0.3">
      <c r="A44" s="4">
        <v>43</v>
      </c>
      <c r="B44" s="4">
        <v>2</v>
      </c>
      <c r="C44" s="4">
        <v>6</v>
      </c>
      <c r="D44" s="4">
        <v>16</v>
      </c>
      <c r="E44" s="4">
        <v>1</v>
      </c>
      <c r="F44" s="5">
        <v>44326</v>
      </c>
      <c r="G44" s="5">
        <v>44333</v>
      </c>
      <c r="H44" s="5">
        <v>44334</v>
      </c>
      <c r="I44" s="4">
        <v>0</v>
      </c>
      <c r="J44" s="4" t="s">
        <v>198</v>
      </c>
      <c r="K44" s="5" t="str">
        <f>VLOOKUP(표5[[#This Row],[종목]],표2[],2,FALSE)</f>
        <v>비서</v>
      </c>
    </row>
    <row r="45" spans="1:11" x14ac:dyDescent="0.3">
      <c r="A45" s="4">
        <v>44</v>
      </c>
      <c r="B45" s="4">
        <v>4</v>
      </c>
      <c r="C45" s="4">
        <v>6</v>
      </c>
      <c r="D45" s="4">
        <v>16</v>
      </c>
      <c r="E45" s="4">
        <v>1</v>
      </c>
      <c r="F45" s="5">
        <v>44326</v>
      </c>
      <c r="G45" s="5">
        <v>44333</v>
      </c>
      <c r="H45" s="5">
        <v>44334</v>
      </c>
      <c r="I45" s="4">
        <v>20</v>
      </c>
      <c r="J45" s="4" t="s">
        <v>198</v>
      </c>
      <c r="K45" s="5" t="str">
        <f>VLOOKUP(표5[[#This Row],[종목]],표2[],2,FALSE)</f>
        <v>비서</v>
      </c>
    </row>
    <row r="46" spans="1:11" x14ac:dyDescent="0.3">
      <c r="A46" s="4">
        <v>45</v>
      </c>
      <c r="B46" s="4">
        <v>28</v>
      </c>
      <c r="C46" s="4">
        <v>6</v>
      </c>
      <c r="D46" s="4">
        <v>16</v>
      </c>
      <c r="E46" s="4">
        <v>1</v>
      </c>
      <c r="F46" s="5">
        <v>44326</v>
      </c>
      <c r="G46" s="5">
        <v>44333</v>
      </c>
      <c r="H46" s="5">
        <v>44334</v>
      </c>
      <c r="I46" s="4">
        <v>0</v>
      </c>
      <c r="J46" s="4" t="s">
        <v>198</v>
      </c>
      <c r="K46" s="5" t="str">
        <f>VLOOKUP(표5[[#This Row],[종목]],표2[],2,FALSE)</f>
        <v>비서</v>
      </c>
    </row>
    <row r="47" spans="1:11" x14ac:dyDescent="0.3">
      <c r="A47" s="4">
        <v>46</v>
      </c>
      <c r="B47" s="4">
        <v>30</v>
      </c>
      <c r="C47" s="4">
        <v>6</v>
      </c>
      <c r="D47" s="4">
        <v>16</v>
      </c>
      <c r="E47" s="4">
        <v>1</v>
      </c>
      <c r="F47" s="5">
        <v>44326</v>
      </c>
      <c r="G47" s="5">
        <v>44333</v>
      </c>
      <c r="H47" s="5">
        <v>44334</v>
      </c>
      <c r="I47" s="4">
        <v>50</v>
      </c>
      <c r="J47" s="4" t="s">
        <v>198</v>
      </c>
      <c r="K47" s="5" t="str">
        <f>VLOOKUP(표5[[#This Row],[종목]],표2[],2,FALSE)</f>
        <v>비서</v>
      </c>
    </row>
    <row r="48" spans="1:11" x14ac:dyDescent="0.3">
      <c r="A48" s="4">
        <v>47</v>
      </c>
      <c r="B48" s="4">
        <v>9</v>
      </c>
      <c r="C48" s="4">
        <v>6</v>
      </c>
      <c r="D48" s="4">
        <v>16</v>
      </c>
      <c r="E48" s="4">
        <v>1</v>
      </c>
      <c r="F48" s="5">
        <v>44326</v>
      </c>
      <c r="G48" s="5">
        <v>44333</v>
      </c>
      <c r="H48" s="5">
        <v>44334</v>
      </c>
      <c r="I48" s="4">
        <v>40</v>
      </c>
      <c r="J48" s="4" t="s">
        <v>198</v>
      </c>
      <c r="K48" s="5" t="str">
        <f>VLOOKUP(표5[[#This Row],[종목]],표2[],2,FALSE)</f>
        <v>비서</v>
      </c>
    </row>
    <row r="49" spans="1:11" x14ac:dyDescent="0.3">
      <c r="A49" s="4">
        <v>48</v>
      </c>
      <c r="B49" s="4">
        <v>4</v>
      </c>
      <c r="C49" s="4">
        <v>1</v>
      </c>
      <c r="D49" s="4">
        <v>43</v>
      </c>
      <c r="E49" s="4">
        <v>1</v>
      </c>
      <c r="F49" s="5">
        <v>44326</v>
      </c>
      <c r="G49" s="5">
        <v>44333</v>
      </c>
      <c r="H49" s="5">
        <v>44334</v>
      </c>
      <c r="I49" s="4">
        <v>20</v>
      </c>
      <c r="J49" s="4" t="s">
        <v>198</v>
      </c>
      <c r="K49" s="5" t="str">
        <f>VLOOKUP(표5[[#This Row],[종목]],표2[],2,FALSE)</f>
        <v>워드프로세서</v>
      </c>
    </row>
    <row r="50" spans="1:11" x14ac:dyDescent="0.3">
      <c r="A50" s="4">
        <v>49</v>
      </c>
      <c r="B50" s="4">
        <v>18</v>
      </c>
      <c r="C50" s="4">
        <v>1</v>
      </c>
      <c r="D50" s="4">
        <v>43</v>
      </c>
      <c r="E50" s="4">
        <v>1</v>
      </c>
      <c r="F50" s="5">
        <v>44326</v>
      </c>
      <c r="G50" s="5">
        <v>44333</v>
      </c>
      <c r="H50" s="5">
        <v>44334</v>
      </c>
      <c r="I50" s="4">
        <v>0</v>
      </c>
      <c r="J50" s="4" t="s">
        <v>198</v>
      </c>
      <c r="K50" s="5" t="str">
        <f>VLOOKUP(표5[[#This Row],[종목]],표2[],2,FALSE)</f>
        <v>워드프로세서</v>
      </c>
    </row>
    <row r="51" spans="1:11" x14ac:dyDescent="0.3">
      <c r="A51" s="4">
        <v>50</v>
      </c>
      <c r="B51" s="4">
        <v>23</v>
      </c>
      <c r="C51" s="4">
        <v>1</v>
      </c>
      <c r="D51" s="4">
        <v>43</v>
      </c>
      <c r="E51" s="4">
        <v>1</v>
      </c>
      <c r="F51" s="5">
        <v>44326</v>
      </c>
      <c r="G51" s="5">
        <v>44333</v>
      </c>
      <c r="H51" s="5">
        <v>44334</v>
      </c>
      <c r="I51" s="4">
        <v>40</v>
      </c>
      <c r="J51" s="4" t="s">
        <v>198</v>
      </c>
      <c r="K51" s="5" t="str">
        <f>VLOOKUP(표5[[#This Row],[종목]],표2[],2,FALSE)</f>
        <v>워드프로세서</v>
      </c>
    </row>
    <row r="52" spans="1:11" x14ac:dyDescent="0.3">
      <c r="A52" s="4">
        <v>51</v>
      </c>
      <c r="B52" s="4">
        <v>1</v>
      </c>
      <c r="C52" s="4">
        <v>1</v>
      </c>
      <c r="D52" s="4">
        <v>150</v>
      </c>
      <c r="E52" s="4">
        <v>38</v>
      </c>
      <c r="F52" s="5">
        <v>44389</v>
      </c>
      <c r="G52" s="5">
        <v>44396</v>
      </c>
      <c r="H52" s="5">
        <v>44397</v>
      </c>
      <c r="I52" s="4">
        <v>100</v>
      </c>
      <c r="J52" s="4" t="s">
        <v>199</v>
      </c>
      <c r="K52" s="5" t="str">
        <f>VLOOKUP(표5[[#This Row],[종목]],표2[],2,FALSE)</f>
        <v>워드프로세서</v>
      </c>
    </row>
    <row r="53" spans="1:11" x14ac:dyDescent="0.3">
      <c r="A53" s="4">
        <v>52</v>
      </c>
      <c r="B53" s="4">
        <v>22</v>
      </c>
      <c r="C53" s="4">
        <v>1</v>
      </c>
      <c r="D53" s="4">
        <v>43</v>
      </c>
      <c r="E53" s="4">
        <v>16</v>
      </c>
      <c r="F53" s="5">
        <v>44368</v>
      </c>
      <c r="G53" s="5">
        <v>44375</v>
      </c>
      <c r="H53" s="5">
        <v>44376</v>
      </c>
      <c r="I53" s="4">
        <v>30</v>
      </c>
      <c r="J53" s="4" t="s">
        <v>198</v>
      </c>
      <c r="K53" s="5" t="str">
        <f>VLOOKUP(표5[[#This Row],[종목]],표2[],2,FALSE)</f>
        <v>워드프로세서</v>
      </c>
    </row>
    <row r="54" spans="1:11" x14ac:dyDescent="0.3">
      <c r="A54" s="4">
        <v>53</v>
      </c>
      <c r="B54" s="4">
        <v>19</v>
      </c>
      <c r="C54" s="4">
        <v>1</v>
      </c>
      <c r="D54" s="4">
        <v>43</v>
      </c>
      <c r="E54" s="4">
        <v>16</v>
      </c>
      <c r="F54" s="5">
        <v>44368</v>
      </c>
      <c r="G54" s="5">
        <v>44375</v>
      </c>
      <c r="H54" s="5">
        <v>44376</v>
      </c>
      <c r="I54" s="4">
        <v>20</v>
      </c>
      <c r="J54" s="4" t="s">
        <v>198</v>
      </c>
      <c r="K54" s="5" t="str">
        <f>VLOOKUP(표5[[#This Row],[종목]],표2[],2,FALSE)</f>
        <v>워드프로세서</v>
      </c>
    </row>
    <row r="55" spans="1:11" x14ac:dyDescent="0.3">
      <c r="A55" s="4">
        <v>54</v>
      </c>
      <c r="B55" s="4">
        <v>1</v>
      </c>
      <c r="C55" s="4">
        <v>3</v>
      </c>
      <c r="D55" s="4">
        <v>1</v>
      </c>
      <c r="E55" s="4">
        <v>1</v>
      </c>
      <c r="F55" s="5">
        <v>44326</v>
      </c>
      <c r="G55" s="5">
        <v>44333</v>
      </c>
      <c r="H55" s="5">
        <v>44333</v>
      </c>
      <c r="I55" s="4">
        <v>30</v>
      </c>
      <c r="J55" s="4" t="s">
        <v>198</v>
      </c>
      <c r="K55" s="5" t="str">
        <f>VLOOKUP(표5[[#This Row],[종목]],표2[],2,FALSE)</f>
        <v>컴퓨터활용능력</v>
      </c>
    </row>
    <row r="56" spans="1:11" x14ac:dyDescent="0.3">
      <c r="A56" s="4">
        <v>55</v>
      </c>
      <c r="B56" s="4">
        <v>2</v>
      </c>
      <c r="C56" s="4">
        <v>3</v>
      </c>
      <c r="D56" s="4">
        <v>1</v>
      </c>
      <c r="E56" s="4">
        <v>1</v>
      </c>
      <c r="F56" s="5">
        <v>44326</v>
      </c>
      <c r="G56" s="5">
        <v>44333</v>
      </c>
      <c r="H56" s="5">
        <v>44333</v>
      </c>
      <c r="I56" s="4">
        <v>50</v>
      </c>
      <c r="J56" s="4" t="s">
        <v>198</v>
      </c>
      <c r="K56" s="5" t="str">
        <f>VLOOKUP(표5[[#This Row],[종목]],표2[],2,FALSE)</f>
        <v>컴퓨터활용능력</v>
      </c>
    </row>
    <row r="57" spans="1:11" x14ac:dyDescent="0.3">
      <c r="A57" s="4">
        <v>56</v>
      </c>
      <c r="B57" s="4">
        <v>3</v>
      </c>
      <c r="C57" s="4">
        <v>3</v>
      </c>
      <c r="D57" s="4">
        <v>1</v>
      </c>
      <c r="E57" s="4">
        <v>1</v>
      </c>
      <c r="F57" s="5">
        <v>44326</v>
      </c>
      <c r="G57" s="5">
        <v>44333</v>
      </c>
      <c r="H57" s="5">
        <v>44333</v>
      </c>
      <c r="I57" s="4">
        <v>60</v>
      </c>
      <c r="J57" s="4" t="s">
        <v>198</v>
      </c>
      <c r="K57" s="5" t="str">
        <f>VLOOKUP(표5[[#This Row],[종목]],표2[],2,FALSE)</f>
        <v>컴퓨터활용능력</v>
      </c>
    </row>
    <row r="58" spans="1:11" x14ac:dyDescent="0.3">
      <c r="A58" s="4">
        <v>57</v>
      </c>
      <c r="B58" s="4">
        <v>4</v>
      </c>
      <c r="C58" s="4">
        <v>3</v>
      </c>
      <c r="D58" s="4">
        <v>1</v>
      </c>
      <c r="E58" s="4">
        <v>1</v>
      </c>
      <c r="F58" s="5">
        <v>44326</v>
      </c>
      <c r="G58" s="5">
        <v>44333</v>
      </c>
      <c r="H58" s="5">
        <v>44333</v>
      </c>
      <c r="I58" s="4">
        <v>50</v>
      </c>
      <c r="J58" s="4" t="s">
        <v>198</v>
      </c>
      <c r="K58" s="5" t="str">
        <f>VLOOKUP(표5[[#This Row],[종목]],표2[],2,FALSE)</f>
        <v>컴퓨터활용능력</v>
      </c>
    </row>
    <row r="59" spans="1:11" x14ac:dyDescent="0.3">
      <c r="A59" s="4">
        <v>58</v>
      </c>
      <c r="B59" s="4">
        <v>10</v>
      </c>
      <c r="C59" s="4">
        <v>6</v>
      </c>
      <c r="D59" s="4">
        <v>58</v>
      </c>
      <c r="E59" s="4">
        <v>1</v>
      </c>
      <c r="F59" s="5">
        <v>44326</v>
      </c>
      <c r="G59" s="5">
        <v>44333</v>
      </c>
      <c r="H59" s="5">
        <v>44334</v>
      </c>
      <c r="I59" s="4">
        <v>60</v>
      </c>
      <c r="J59" s="4" t="s">
        <v>198</v>
      </c>
      <c r="K59" s="5" t="str">
        <f>VLOOKUP(표5[[#This Row],[종목]],표2[],2,FALSE)</f>
        <v>비서</v>
      </c>
    </row>
    <row r="60" spans="1:11" x14ac:dyDescent="0.3">
      <c r="A60" s="4">
        <v>59</v>
      </c>
      <c r="B60" s="4">
        <v>12</v>
      </c>
      <c r="C60" s="4">
        <v>6</v>
      </c>
      <c r="D60" s="4">
        <v>58</v>
      </c>
      <c r="E60" s="4">
        <v>1</v>
      </c>
      <c r="F60" s="5">
        <v>44326</v>
      </c>
      <c r="G60" s="5">
        <v>44333</v>
      </c>
      <c r="H60" s="5">
        <v>44334</v>
      </c>
      <c r="I60" s="4">
        <v>40</v>
      </c>
      <c r="J60" s="4" t="s">
        <v>198</v>
      </c>
      <c r="K60" s="5" t="str">
        <f>VLOOKUP(표5[[#This Row],[종목]],표2[],2,FALSE)</f>
        <v>비서</v>
      </c>
    </row>
    <row r="61" spans="1:11" x14ac:dyDescent="0.3">
      <c r="A61" s="4">
        <v>60</v>
      </c>
      <c r="B61" s="4">
        <v>1</v>
      </c>
      <c r="C61" s="4">
        <v>6</v>
      </c>
      <c r="D61" s="4">
        <v>58</v>
      </c>
      <c r="E61" s="4">
        <v>1</v>
      </c>
      <c r="F61" s="5">
        <v>44326</v>
      </c>
      <c r="G61" s="5">
        <v>44333</v>
      </c>
      <c r="H61" s="5">
        <v>44334</v>
      </c>
      <c r="I61" s="4">
        <v>50</v>
      </c>
      <c r="J61" s="4" t="s">
        <v>198</v>
      </c>
      <c r="K61" s="5" t="str">
        <f>VLOOKUP(표5[[#This Row],[종목]],표2[],2,FALSE)</f>
        <v>비서</v>
      </c>
    </row>
    <row r="62" spans="1:11" x14ac:dyDescent="0.3">
      <c r="A62" s="4">
        <v>61</v>
      </c>
      <c r="B62" s="4">
        <v>2</v>
      </c>
      <c r="C62" s="4">
        <v>6</v>
      </c>
      <c r="D62" s="4">
        <v>58</v>
      </c>
      <c r="E62" s="4">
        <v>1</v>
      </c>
      <c r="F62" s="5">
        <v>44326</v>
      </c>
      <c r="G62" s="5">
        <v>44333</v>
      </c>
      <c r="H62" s="5">
        <v>44334</v>
      </c>
      <c r="I62" s="4">
        <v>60</v>
      </c>
      <c r="J62" s="4" t="s">
        <v>198</v>
      </c>
      <c r="K62" s="5" t="str">
        <f>VLOOKUP(표5[[#This Row],[종목]],표2[],2,FALSE)</f>
        <v>비서</v>
      </c>
    </row>
    <row r="63" spans="1:11" x14ac:dyDescent="0.3">
      <c r="A63" s="4">
        <v>62</v>
      </c>
      <c r="B63" s="4">
        <v>3</v>
      </c>
      <c r="C63" s="4">
        <v>6</v>
      </c>
      <c r="D63" s="4">
        <v>58</v>
      </c>
      <c r="E63" s="4">
        <v>1</v>
      </c>
      <c r="F63" s="5">
        <v>44326</v>
      </c>
      <c r="G63" s="5">
        <v>44333</v>
      </c>
      <c r="H63" s="5">
        <v>44334</v>
      </c>
      <c r="I63" s="4">
        <v>40</v>
      </c>
      <c r="J63" s="4" t="s">
        <v>198</v>
      </c>
      <c r="K63" s="5" t="str">
        <f>VLOOKUP(표5[[#This Row],[종목]],표2[],2,FALSE)</f>
        <v>비서</v>
      </c>
    </row>
    <row r="64" spans="1:11" x14ac:dyDescent="0.3">
      <c r="A64" s="4">
        <v>63</v>
      </c>
      <c r="B64" s="4">
        <v>4</v>
      </c>
      <c r="C64" s="4">
        <v>6</v>
      </c>
      <c r="D64" s="4">
        <v>58</v>
      </c>
      <c r="E64" s="4">
        <v>1</v>
      </c>
      <c r="F64" s="5">
        <v>44326</v>
      </c>
      <c r="G64" s="5">
        <v>44333</v>
      </c>
      <c r="H64" s="5">
        <v>44334</v>
      </c>
      <c r="I64" s="4">
        <v>10</v>
      </c>
      <c r="J64" s="4" t="s">
        <v>198</v>
      </c>
      <c r="K64" s="5" t="str">
        <f>VLOOKUP(표5[[#This Row],[종목]],표2[],2,FALSE)</f>
        <v>비서</v>
      </c>
    </row>
    <row r="65" spans="1:11" x14ac:dyDescent="0.3">
      <c r="A65" s="4">
        <v>64</v>
      </c>
      <c r="B65" s="4">
        <v>5</v>
      </c>
      <c r="C65" s="4">
        <v>6</v>
      </c>
      <c r="D65" s="4">
        <v>58</v>
      </c>
      <c r="E65" s="4">
        <v>1</v>
      </c>
      <c r="F65" s="5">
        <v>44326</v>
      </c>
      <c r="G65" s="5">
        <v>44333</v>
      </c>
      <c r="H65" s="5">
        <v>44334</v>
      </c>
      <c r="I65" s="4">
        <v>20</v>
      </c>
      <c r="J65" s="4" t="s">
        <v>198</v>
      </c>
      <c r="K65" s="5" t="str">
        <f>VLOOKUP(표5[[#This Row],[종목]],표2[],2,FALSE)</f>
        <v>비서</v>
      </c>
    </row>
    <row r="66" spans="1:11" x14ac:dyDescent="0.3">
      <c r="A66" s="4">
        <v>65</v>
      </c>
      <c r="B66" s="4">
        <v>6</v>
      </c>
      <c r="C66" s="4">
        <v>6</v>
      </c>
      <c r="D66" s="4">
        <v>58</v>
      </c>
      <c r="E66" s="4">
        <v>1</v>
      </c>
      <c r="F66" s="5">
        <v>44326</v>
      </c>
      <c r="G66" s="5">
        <v>44333</v>
      </c>
      <c r="H66" s="5">
        <v>44334</v>
      </c>
      <c r="I66" s="4">
        <v>80</v>
      </c>
      <c r="J66" s="4" t="s">
        <v>199</v>
      </c>
      <c r="K66" s="5" t="str">
        <f>VLOOKUP(표5[[#This Row],[종목]],표2[],2,FALSE)</f>
        <v>비서</v>
      </c>
    </row>
    <row r="67" spans="1:11" x14ac:dyDescent="0.3">
      <c r="A67" s="4">
        <v>66</v>
      </c>
      <c r="B67" s="4">
        <v>30</v>
      </c>
      <c r="C67" s="4">
        <v>1</v>
      </c>
      <c r="D67" s="4">
        <v>14</v>
      </c>
      <c r="E67" s="4">
        <v>8</v>
      </c>
      <c r="F67" s="5">
        <v>44363</v>
      </c>
      <c r="G67" s="5">
        <v>44370</v>
      </c>
      <c r="H67" s="5">
        <v>44371</v>
      </c>
      <c r="I67" s="4">
        <v>0</v>
      </c>
      <c r="J67" s="4" t="s">
        <v>198</v>
      </c>
      <c r="K67" s="5" t="str">
        <f>VLOOKUP(표5[[#This Row],[종목]],표2[],2,FALSE)</f>
        <v>워드프로세서</v>
      </c>
    </row>
    <row r="68" spans="1:11" x14ac:dyDescent="0.3">
      <c r="A68" s="4">
        <v>67</v>
      </c>
      <c r="B68" s="4">
        <v>27</v>
      </c>
      <c r="C68" s="4">
        <v>1</v>
      </c>
      <c r="D68" s="4">
        <v>14</v>
      </c>
      <c r="E68" s="4">
        <v>8</v>
      </c>
      <c r="F68" s="5">
        <v>44363</v>
      </c>
      <c r="G68" s="5">
        <v>44370</v>
      </c>
      <c r="H68" s="5">
        <v>44371</v>
      </c>
      <c r="I68" s="4">
        <v>30</v>
      </c>
      <c r="J68" s="4" t="s">
        <v>198</v>
      </c>
      <c r="K68" s="5" t="str">
        <f>VLOOKUP(표5[[#This Row],[종목]],표2[],2,FALSE)</f>
        <v>워드프로세서</v>
      </c>
    </row>
    <row r="69" spans="1:11" x14ac:dyDescent="0.3">
      <c r="A69" s="4">
        <v>68</v>
      </c>
      <c r="B69" s="4">
        <v>18</v>
      </c>
      <c r="C69" s="4">
        <v>1</v>
      </c>
      <c r="D69" s="4">
        <v>15</v>
      </c>
      <c r="E69" s="4">
        <v>9</v>
      </c>
      <c r="F69" s="5">
        <v>44365</v>
      </c>
      <c r="G69" s="5">
        <v>44372</v>
      </c>
      <c r="H69" s="5">
        <v>44373</v>
      </c>
      <c r="I69" s="4">
        <v>10</v>
      </c>
      <c r="J69" s="4" t="s">
        <v>198</v>
      </c>
      <c r="K69" s="5" t="str">
        <f>VLOOKUP(표5[[#This Row],[종목]],표2[],2,FALSE)</f>
        <v>워드프로세서</v>
      </c>
    </row>
    <row r="70" spans="1:11" x14ac:dyDescent="0.3">
      <c r="A70" s="4">
        <v>69</v>
      </c>
      <c r="B70" s="4">
        <v>11</v>
      </c>
      <c r="C70" s="4">
        <v>1</v>
      </c>
      <c r="D70" s="4">
        <v>15</v>
      </c>
      <c r="E70" s="4">
        <v>9</v>
      </c>
      <c r="F70" s="5">
        <v>44365</v>
      </c>
      <c r="G70" s="5">
        <v>44372</v>
      </c>
      <c r="H70" s="5">
        <v>44373</v>
      </c>
      <c r="I70" s="4">
        <v>0</v>
      </c>
      <c r="J70" s="4" t="s">
        <v>198</v>
      </c>
      <c r="K70" s="5" t="str">
        <f>VLOOKUP(표5[[#This Row],[종목]],표2[],2,FALSE)</f>
        <v>워드프로세서</v>
      </c>
    </row>
    <row r="71" spans="1:11" x14ac:dyDescent="0.3">
      <c r="A71" s="4">
        <v>70</v>
      </c>
      <c r="B71" s="4">
        <v>25</v>
      </c>
      <c r="C71" s="4">
        <v>1</v>
      </c>
      <c r="D71" s="4">
        <v>15</v>
      </c>
      <c r="E71" s="4">
        <v>9</v>
      </c>
      <c r="F71" s="5">
        <v>44365</v>
      </c>
      <c r="G71" s="5">
        <v>44372</v>
      </c>
      <c r="H71" s="5">
        <v>44373</v>
      </c>
      <c r="I71" s="4">
        <v>20</v>
      </c>
      <c r="J71" s="4" t="s">
        <v>198</v>
      </c>
      <c r="K71" s="5" t="str">
        <f>VLOOKUP(표5[[#This Row],[종목]],표2[],2,FALSE)</f>
        <v>워드프로세서</v>
      </c>
    </row>
    <row r="72" spans="1:11" x14ac:dyDescent="0.3">
      <c r="A72" s="4">
        <v>71</v>
      </c>
      <c r="B72" s="4">
        <v>6</v>
      </c>
      <c r="C72" s="4">
        <v>1</v>
      </c>
      <c r="D72" s="4">
        <v>15</v>
      </c>
      <c r="E72" s="4">
        <v>9</v>
      </c>
      <c r="F72" s="5">
        <v>44365</v>
      </c>
      <c r="G72" s="5">
        <v>44372</v>
      </c>
      <c r="H72" s="5">
        <v>44373</v>
      </c>
      <c r="I72" s="4">
        <v>50</v>
      </c>
      <c r="J72" s="4" t="s">
        <v>198</v>
      </c>
      <c r="K72" s="5" t="str">
        <f>VLOOKUP(표5[[#This Row],[종목]],표2[],2,FALSE)</f>
        <v>워드프로세서</v>
      </c>
    </row>
    <row r="73" spans="1:11" x14ac:dyDescent="0.3">
      <c r="A73" s="4">
        <v>72</v>
      </c>
      <c r="B73" s="4">
        <v>8</v>
      </c>
      <c r="C73" s="4">
        <v>1</v>
      </c>
      <c r="D73" s="4">
        <v>15</v>
      </c>
      <c r="E73" s="4">
        <v>9</v>
      </c>
      <c r="F73" s="5">
        <v>44365</v>
      </c>
      <c r="G73" s="5">
        <v>44372</v>
      </c>
      <c r="H73" s="5">
        <v>44373</v>
      </c>
      <c r="I73" s="4">
        <v>0</v>
      </c>
      <c r="J73" s="4" t="s">
        <v>198</v>
      </c>
      <c r="K73" s="5" t="str">
        <f>VLOOKUP(표5[[#This Row],[종목]],표2[],2,FALSE)</f>
        <v>워드프로세서</v>
      </c>
    </row>
    <row r="74" spans="1:11" x14ac:dyDescent="0.3">
      <c r="A74" s="4">
        <v>73</v>
      </c>
      <c r="B74" s="4">
        <v>15</v>
      </c>
      <c r="C74" s="4">
        <v>1</v>
      </c>
      <c r="D74" s="4">
        <v>17</v>
      </c>
      <c r="E74" s="4">
        <v>11</v>
      </c>
      <c r="F74" s="5">
        <v>44365</v>
      </c>
      <c r="G74" s="5">
        <v>44372</v>
      </c>
      <c r="H74" s="5">
        <v>44373</v>
      </c>
      <c r="I74" s="4">
        <v>40</v>
      </c>
      <c r="J74" s="4" t="s">
        <v>198</v>
      </c>
      <c r="K74" s="5" t="str">
        <f>VLOOKUP(표5[[#This Row],[종목]],표2[],2,FALSE)</f>
        <v>워드프로세서</v>
      </c>
    </row>
    <row r="75" spans="1:11" x14ac:dyDescent="0.3">
      <c r="A75" s="4">
        <v>74</v>
      </c>
      <c r="B75" s="4">
        <v>25</v>
      </c>
      <c r="C75" s="4">
        <v>1</v>
      </c>
      <c r="D75" s="4">
        <v>17</v>
      </c>
      <c r="E75" s="4">
        <v>11</v>
      </c>
      <c r="F75" s="5">
        <v>44365</v>
      </c>
      <c r="G75" s="5">
        <v>44372</v>
      </c>
      <c r="H75" s="5">
        <v>44373</v>
      </c>
      <c r="I75" s="4">
        <v>30</v>
      </c>
      <c r="J75" s="4" t="s">
        <v>198</v>
      </c>
      <c r="K75" s="5" t="str">
        <f>VLOOKUP(표5[[#This Row],[종목]],표2[],2,FALSE)</f>
        <v>워드프로세서</v>
      </c>
    </row>
    <row r="76" spans="1:11" x14ac:dyDescent="0.3">
      <c r="A76" s="4">
        <v>75</v>
      </c>
      <c r="B76" s="4">
        <v>2</v>
      </c>
      <c r="C76" s="4">
        <v>1</v>
      </c>
      <c r="D76" s="4">
        <v>51</v>
      </c>
      <c r="E76" s="4">
        <v>19</v>
      </c>
      <c r="F76" s="5">
        <v>44372</v>
      </c>
      <c r="G76" s="5">
        <v>44379</v>
      </c>
      <c r="H76" s="5">
        <v>44380</v>
      </c>
      <c r="I76" s="4">
        <v>40</v>
      </c>
      <c r="J76" s="4" t="s">
        <v>198</v>
      </c>
      <c r="K76" s="5" t="str">
        <f>VLOOKUP(표5[[#This Row],[종목]],표2[],2,FALSE)</f>
        <v>워드프로세서</v>
      </c>
    </row>
    <row r="77" spans="1:11" x14ac:dyDescent="0.3">
      <c r="A77" s="4">
        <v>76</v>
      </c>
      <c r="B77" s="4">
        <v>8</v>
      </c>
      <c r="C77" s="4">
        <v>1</v>
      </c>
      <c r="D77" s="4">
        <v>17</v>
      </c>
      <c r="E77" s="4">
        <v>11</v>
      </c>
      <c r="F77" s="5">
        <v>44365</v>
      </c>
      <c r="G77" s="5">
        <v>44372</v>
      </c>
      <c r="H77" s="5">
        <v>44373</v>
      </c>
      <c r="I77" s="4">
        <v>50</v>
      </c>
      <c r="J77" s="4" t="s">
        <v>198</v>
      </c>
      <c r="K77" s="5" t="str">
        <f>VLOOKUP(표5[[#This Row],[종목]],표2[],2,FALSE)</f>
        <v>워드프로세서</v>
      </c>
    </row>
    <row r="78" spans="1:11" x14ac:dyDescent="0.3">
      <c r="A78" s="4">
        <v>77</v>
      </c>
      <c r="B78" s="4">
        <v>30</v>
      </c>
      <c r="C78" s="4">
        <v>1</v>
      </c>
      <c r="D78" s="4">
        <v>17</v>
      </c>
      <c r="E78" s="4">
        <v>11</v>
      </c>
      <c r="F78" s="5">
        <v>44365</v>
      </c>
      <c r="G78" s="5">
        <v>44372</v>
      </c>
      <c r="H78" s="5">
        <v>44373</v>
      </c>
      <c r="I78" s="4">
        <v>20</v>
      </c>
      <c r="J78" s="4" t="s">
        <v>198</v>
      </c>
      <c r="K78" s="5" t="str">
        <f>VLOOKUP(표5[[#This Row],[종목]],표2[],2,FALSE)</f>
        <v>워드프로세서</v>
      </c>
    </row>
    <row r="79" spans="1:11" x14ac:dyDescent="0.3">
      <c r="A79" s="4">
        <v>78</v>
      </c>
      <c r="B79" s="4">
        <v>2</v>
      </c>
      <c r="C79" s="4">
        <v>1</v>
      </c>
      <c r="D79" s="4">
        <v>122</v>
      </c>
      <c r="E79" s="4">
        <v>36</v>
      </c>
      <c r="F79" s="5">
        <v>44388</v>
      </c>
      <c r="G79" s="5">
        <v>44395</v>
      </c>
      <c r="H79" s="5">
        <v>44396</v>
      </c>
      <c r="I79" s="4">
        <v>80</v>
      </c>
      <c r="J79" s="4" t="s">
        <v>199</v>
      </c>
      <c r="K79" s="5" t="str">
        <f>VLOOKUP(표5[[#This Row],[종목]],표2[],2,FALSE)</f>
        <v>워드프로세서</v>
      </c>
    </row>
    <row r="80" spans="1:11" x14ac:dyDescent="0.3">
      <c r="A80" s="4">
        <v>79</v>
      </c>
      <c r="B80" s="4">
        <v>16</v>
      </c>
      <c r="C80" s="4">
        <v>1</v>
      </c>
      <c r="D80" s="4">
        <v>17</v>
      </c>
      <c r="E80" s="4">
        <v>11</v>
      </c>
      <c r="F80" s="5">
        <v>44365</v>
      </c>
      <c r="G80" s="5">
        <v>44372</v>
      </c>
      <c r="H80" s="5">
        <v>44373</v>
      </c>
      <c r="I80" s="4">
        <v>40</v>
      </c>
      <c r="J80" s="4" t="s">
        <v>198</v>
      </c>
      <c r="K80" s="5" t="str">
        <f>VLOOKUP(표5[[#This Row],[종목]],표2[],2,FALSE)</f>
        <v>워드프로세서</v>
      </c>
    </row>
    <row r="81" spans="1:11" x14ac:dyDescent="0.3">
      <c r="A81" s="4">
        <v>80</v>
      </c>
      <c r="B81" s="4">
        <v>2</v>
      </c>
      <c r="C81" s="4">
        <v>1</v>
      </c>
      <c r="D81" s="4">
        <v>19</v>
      </c>
      <c r="E81" s="4">
        <v>12</v>
      </c>
      <c r="F81" s="5">
        <v>44365</v>
      </c>
      <c r="G81" s="5">
        <v>44372</v>
      </c>
      <c r="H81" s="5">
        <v>44373</v>
      </c>
      <c r="I81" s="4">
        <v>0</v>
      </c>
      <c r="J81" s="4" t="s">
        <v>198</v>
      </c>
      <c r="K81" s="5" t="str">
        <f>VLOOKUP(표5[[#This Row],[종목]],표2[],2,FALSE)</f>
        <v>워드프로세서</v>
      </c>
    </row>
    <row r="82" spans="1:11" x14ac:dyDescent="0.3">
      <c r="A82" s="4">
        <v>81</v>
      </c>
      <c r="B82" s="4">
        <v>18</v>
      </c>
      <c r="C82" s="4">
        <v>1</v>
      </c>
      <c r="D82" s="4">
        <v>19</v>
      </c>
      <c r="E82" s="4">
        <v>12</v>
      </c>
      <c r="F82" s="5">
        <v>44365</v>
      </c>
      <c r="G82" s="5">
        <v>44372</v>
      </c>
      <c r="H82" s="5">
        <v>44373</v>
      </c>
      <c r="I82" s="4">
        <v>0</v>
      </c>
      <c r="J82" s="4" t="s">
        <v>198</v>
      </c>
      <c r="K82" s="5" t="str">
        <f>VLOOKUP(표5[[#This Row],[종목]],표2[],2,FALSE)</f>
        <v>워드프로세서</v>
      </c>
    </row>
    <row r="83" spans="1:11" x14ac:dyDescent="0.3">
      <c r="A83" s="4">
        <v>82</v>
      </c>
      <c r="B83" s="4">
        <v>17</v>
      </c>
      <c r="C83" s="4">
        <v>1</v>
      </c>
      <c r="D83" s="4">
        <v>19</v>
      </c>
      <c r="E83" s="4">
        <v>12</v>
      </c>
      <c r="F83" s="5">
        <v>44365</v>
      </c>
      <c r="G83" s="5">
        <v>44372</v>
      </c>
      <c r="H83" s="5">
        <v>44373</v>
      </c>
      <c r="I83" s="4">
        <v>10</v>
      </c>
      <c r="J83" s="4" t="s">
        <v>198</v>
      </c>
      <c r="K83" s="5" t="str">
        <f>VLOOKUP(표5[[#This Row],[종목]],표2[],2,FALSE)</f>
        <v>워드프로세서</v>
      </c>
    </row>
    <row r="84" spans="1:11" x14ac:dyDescent="0.3">
      <c r="A84" s="4">
        <v>83</v>
      </c>
      <c r="B84" s="4">
        <v>6</v>
      </c>
      <c r="C84" s="4">
        <v>1</v>
      </c>
      <c r="D84" s="4">
        <v>19</v>
      </c>
      <c r="E84" s="4">
        <v>12</v>
      </c>
      <c r="F84" s="5">
        <v>44365</v>
      </c>
      <c r="G84" s="5">
        <v>44372</v>
      </c>
      <c r="H84" s="5">
        <v>44373</v>
      </c>
      <c r="I84" s="4">
        <v>20</v>
      </c>
      <c r="J84" s="4" t="s">
        <v>198</v>
      </c>
      <c r="K84" s="5" t="str">
        <f>VLOOKUP(표5[[#This Row],[종목]],표2[],2,FALSE)</f>
        <v>워드프로세서</v>
      </c>
    </row>
    <row r="85" spans="1:11" x14ac:dyDescent="0.3">
      <c r="A85" s="4">
        <v>84</v>
      </c>
      <c r="B85" s="4">
        <v>4</v>
      </c>
      <c r="C85" s="4">
        <v>1</v>
      </c>
      <c r="D85" s="4">
        <v>19</v>
      </c>
      <c r="E85" s="4">
        <v>12</v>
      </c>
      <c r="F85" s="5">
        <v>44365</v>
      </c>
      <c r="G85" s="5">
        <v>44372</v>
      </c>
      <c r="H85" s="5">
        <v>44373</v>
      </c>
      <c r="I85" s="4">
        <v>30</v>
      </c>
      <c r="J85" s="4" t="s">
        <v>198</v>
      </c>
      <c r="K85" s="5" t="str">
        <f>VLOOKUP(표5[[#This Row],[종목]],표2[],2,FALSE)</f>
        <v>워드프로세서</v>
      </c>
    </row>
    <row r="86" spans="1:11" x14ac:dyDescent="0.3">
      <c r="A86" s="4">
        <v>85</v>
      </c>
      <c r="B86" s="4">
        <v>29</v>
      </c>
      <c r="C86" s="4">
        <v>1</v>
      </c>
      <c r="D86" s="4">
        <v>19</v>
      </c>
      <c r="E86" s="4">
        <v>12</v>
      </c>
      <c r="F86" s="5">
        <v>44365</v>
      </c>
      <c r="G86" s="5">
        <v>44372</v>
      </c>
      <c r="H86" s="5">
        <v>44373</v>
      </c>
      <c r="I86" s="4">
        <v>10</v>
      </c>
      <c r="J86" s="4" t="s">
        <v>198</v>
      </c>
      <c r="K86" s="5" t="str">
        <f>VLOOKUP(표5[[#This Row],[종목]],표2[],2,FALSE)</f>
        <v>워드프로세서</v>
      </c>
    </row>
    <row r="87" spans="1:11" x14ac:dyDescent="0.3">
      <c r="A87" s="4">
        <v>86</v>
      </c>
      <c r="B87" s="4">
        <v>3</v>
      </c>
      <c r="C87" s="4">
        <v>1</v>
      </c>
      <c r="D87" s="4">
        <v>20</v>
      </c>
      <c r="E87" s="4">
        <v>13</v>
      </c>
      <c r="F87" s="5">
        <v>44366</v>
      </c>
      <c r="G87" s="5">
        <v>44373</v>
      </c>
      <c r="H87" s="5">
        <v>44374</v>
      </c>
      <c r="I87" s="4">
        <v>0</v>
      </c>
      <c r="J87" s="4" t="s">
        <v>198</v>
      </c>
      <c r="K87" s="5" t="str">
        <f>VLOOKUP(표5[[#This Row],[종목]],표2[],2,FALSE)</f>
        <v>워드프로세서</v>
      </c>
    </row>
    <row r="88" spans="1:11" x14ac:dyDescent="0.3">
      <c r="A88" s="4">
        <v>87</v>
      </c>
      <c r="B88" s="4">
        <v>6</v>
      </c>
      <c r="C88" s="4">
        <v>1</v>
      </c>
      <c r="D88" s="4">
        <v>20</v>
      </c>
      <c r="E88" s="4">
        <v>13</v>
      </c>
      <c r="F88" s="5">
        <v>44366</v>
      </c>
      <c r="G88" s="5">
        <v>44373</v>
      </c>
      <c r="H88" s="5">
        <v>44374</v>
      </c>
      <c r="I88" s="4">
        <v>40</v>
      </c>
      <c r="J88" s="4" t="s">
        <v>198</v>
      </c>
      <c r="K88" s="5" t="str">
        <f>VLOOKUP(표5[[#This Row],[종목]],표2[],2,FALSE)</f>
        <v>워드프로세서</v>
      </c>
    </row>
    <row r="89" spans="1:11" x14ac:dyDescent="0.3">
      <c r="A89" s="4">
        <v>88</v>
      </c>
      <c r="B89" s="4">
        <v>4</v>
      </c>
      <c r="C89" s="4">
        <v>1</v>
      </c>
      <c r="D89" s="4">
        <v>20</v>
      </c>
      <c r="E89" s="4">
        <v>13</v>
      </c>
      <c r="F89" s="5">
        <v>44366</v>
      </c>
      <c r="G89" s="5">
        <v>44373</v>
      </c>
      <c r="H89" s="5">
        <v>44374</v>
      </c>
      <c r="I89" s="4">
        <v>10</v>
      </c>
      <c r="J89" s="4" t="s">
        <v>198</v>
      </c>
      <c r="K89" s="5" t="str">
        <f>VLOOKUP(표5[[#This Row],[종목]],표2[],2,FALSE)</f>
        <v>워드프로세서</v>
      </c>
    </row>
    <row r="90" spans="1:11" x14ac:dyDescent="0.3">
      <c r="A90" s="4">
        <v>89</v>
      </c>
      <c r="B90" s="4">
        <v>9</v>
      </c>
      <c r="C90" s="4">
        <v>1</v>
      </c>
      <c r="D90" s="4">
        <v>20</v>
      </c>
      <c r="E90" s="4">
        <v>13</v>
      </c>
      <c r="F90" s="5">
        <v>44366</v>
      </c>
      <c r="G90" s="5">
        <v>44373</v>
      </c>
      <c r="H90" s="5">
        <v>44374</v>
      </c>
      <c r="I90" s="4">
        <v>10</v>
      </c>
      <c r="J90" s="4" t="s">
        <v>198</v>
      </c>
      <c r="K90" s="5" t="str">
        <f>VLOOKUP(표5[[#This Row],[종목]],표2[],2,FALSE)</f>
        <v>워드프로세서</v>
      </c>
    </row>
    <row r="91" spans="1:11" x14ac:dyDescent="0.3">
      <c r="A91" s="4">
        <v>90</v>
      </c>
      <c r="B91" s="4">
        <v>10</v>
      </c>
      <c r="C91" s="4">
        <v>1</v>
      </c>
      <c r="D91" s="4">
        <v>20</v>
      </c>
      <c r="E91" s="4">
        <v>13</v>
      </c>
      <c r="F91" s="5">
        <v>44366</v>
      </c>
      <c r="G91" s="5">
        <v>44373</v>
      </c>
      <c r="H91" s="5">
        <v>44374</v>
      </c>
      <c r="I91" s="4">
        <v>50</v>
      </c>
      <c r="J91" s="4" t="s">
        <v>198</v>
      </c>
      <c r="K91" s="5" t="str">
        <f>VLOOKUP(표5[[#This Row],[종목]],표2[],2,FALSE)</f>
        <v>워드프로세서</v>
      </c>
    </row>
    <row r="92" spans="1:11" x14ac:dyDescent="0.3">
      <c r="A92" s="4">
        <v>91</v>
      </c>
      <c r="B92" s="4">
        <v>28</v>
      </c>
      <c r="C92" s="4">
        <v>1</v>
      </c>
      <c r="D92" s="4">
        <v>20</v>
      </c>
      <c r="E92" s="4">
        <v>13</v>
      </c>
      <c r="F92" s="5">
        <v>44366</v>
      </c>
      <c r="G92" s="5">
        <v>44373</v>
      </c>
      <c r="H92" s="5">
        <v>44374</v>
      </c>
      <c r="I92" s="4">
        <v>40</v>
      </c>
      <c r="J92" s="4" t="s">
        <v>198</v>
      </c>
      <c r="K92" s="5" t="str">
        <f>VLOOKUP(표5[[#This Row],[종목]],표2[],2,FALSE)</f>
        <v>워드프로세서</v>
      </c>
    </row>
    <row r="93" spans="1:11" x14ac:dyDescent="0.3">
      <c r="A93" s="4">
        <v>92</v>
      </c>
      <c r="B93" s="4">
        <v>11</v>
      </c>
      <c r="C93" s="4">
        <v>1</v>
      </c>
      <c r="D93" s="4">
        <v>20</v>
      </c>
      <c r="E93" s="4">
        <v>13</v>
      </c>
      <c r="F93" s="5">
        <v>44366</v>
      </c>
      <c r="G93" s="5">
        <v>44373</v>
      </c>
      <c r="H93" s="5">
        <v>44374</v>
      </c>
      <c r="I93" s="4">
        <v>20</v>
      </c>
      <c r="J93" s="4" t="s">
        <v>198</v>
      </c>
      <c r="K93" s="5" t="str">
        <f>VLOOKUP(표5[[#This Row],[종목]],표2[],2,FALSE)</f>
        <v>워드프로세서</v>
      </c>
    </row>
    <row r="94" spans="1:11" x14ac:dyDescent="0.3">
      <c r="A94" s="4">
        <v>93</v>
      </c>
      <c r="B94" s="4">
        <v>15</v>
      </c>
      <c r="C94" s="4">
        <v>1</v>
      </c>
      <c r="D94" s="4">
        <v>27</v>
      </c>
      <c r="E94" s="4">
        <v>14</v>
      </c>
      <c r="F94" s="5">
        <v>44368</v>
      </c>
      <c r="G94" s="5">
        <v>44375</v>
      </c>
      <c r="H94" s="5">
        <v>44376</v>
      </c>
      <c r="I94" s="4">
        <v>30</v>
      </c>
      <c r="J94" s="4" t="s">
        <v>198</v>
      </c>
      <c r="K94" s="5" t="str">
        <f>VLOOKUP(표5[[#This Row],[종목]],표2[],2,FALSE)</f>
        <v>워드프로세서</v>
      </c>
    </row>
    <row r="95" spans="1:11" x14ac:dyDescent="0.3">
      <c r="A95" s="4">
        <v>94</v>
      </c>
      <c r="B95" s="4">
        <v>22</v>
      </c>
      <c r="C95" s="4">
        <v>1</v>
      </c>
      <c r="D95" s="4">
        <v>27</v>
      </c>
      <c r="E95" s="4">
        <v>14</v>
      </c>
      <c r="F95" s="5">
        <v>44368</v>
      </c>
      <c r="G95" s="5">
        <v>44375</v>
      </c>
      <c r="H95" s="5">
        <v>44376</v>
      </c>
      <c r="I95" s="4">
        <v>20</v>
      </c>
      <c r="J95" s="4" t="s">
        <v>198</v>
      </c>
      <c r="K95" s="5" t="str">
        <f>VLOOKUP(표5[[#This Row],[종목]],표2[],2,FALSE)</f>
        <v>워드프로세서</v>
      </c>
    </row>
    <row r="96" spans="1:11" x14ac:dyDescent="0.3">
      <c r="A96" s="4">
        <v>95</v>
      </c>
      <c r="B96" s="4">
        <v>5</v>
      </c>
      <c r="C96" s="4">
        <v>1</v>
      </c>
      <c r="D96" s="4">
        <v>27</v>
      </c>
      <c r="E96" s="4">
        <v>14</v>
      </c>
      <c r="F96" s="5">
        <v>44368</v>
      </c>
      <c r="G96" s="5">
        <v>44375</v>
      </c>
      <c r="H96" s="5">
        <v>44376</v>
      </c>
      <c r="I96" s="4">
        <v>30</v>
      </c>
      <c r="J96" s="4" t="s">
        <v>198</v>
      </c>
      <c r="K96" s="5" t="str">
        <f>VLOOKUP(표5[[#This Row],[종목]],표2[],2,FALSE)</f>
        <v>워드프로세서</v>
      </c>
    </row>
    <row r="97" spans="1:11" x14ac:dyDescent="0.3">
      <c r="A97" s="4">
        <v>96</v>
      </c>
      <c r="B97" s="4">
        <v>17</v>
      </c>
      <c r="C97" s="4">
        <v>1</v>
      </c>
      <c r="D97" s="4">
        <v>27</v>
      </c>
      <c r="E97" s="4">
        <v>14</v>
      </c>
      <c r="F97" s="5">
        <v>44368</v>
      </c>
      <c r="G97" s="5">
        <v>44375</v>
      </c>
      <c r="H97" s="5">
        <v>44376</v>
      </c>
      <c r="I97" s="4">
        <v>0</v>
      </c>
      <c r="J97" s="4" t="s">
        <v>198</v>
      </c>
      <c r="K97" s="5" t="str">
        <f>VLOOKUP(표5[[#This Row],[종목]],표2[],2,FALSE)</f>
        <v>워드프로세서</v>
      </c>
    </row>
    <row r="98" spans="1:11" x14ac:dyDescent="0.3">
      <c r="A98" s="4">
        <v>97</v>
      </c>
      <c r="B98" s="4">
        <v>4</v>
      </c>
      <c r="C98" s="4">
        <v>1</v>
      </c>
      <c r="D98" s="4">
        <v>27</v>
      </c>
      <c r="E98" s="4">
        <v>14</v>
      </c>
      <c r="F98" s="5">
        <v>44368</v>
      </c>
      <c r="G98" s="5">
        <v>44375</v>
      </c>
      <c r="H98" s="5">
        <v>44376</v>
      </c>
      <c r="I98" s="4">
        <v>0</v>
      </c>
      <c r="J98" s="4" t="s">
        <v>198</v>
      </c>
      <c r="K98" s="5" t="str">
        <f>VLOOKUP(표5[[#This Row],[종목]],표2[],2,FALSE)</f>
        <v>워드프로세서</v>
      </c>
    </row>
    <row r="99" spans="1:11" x14ac:dyDescent="0.3">
      <c r="A99" s="4">
        <v>98</v>
      </c>
      <c r="B99" s="4">
        <v>19</v>
      </c>
      <c r="C99" s="4">
        <v>1</v>
      </c>
      <c r="D99" s="4">
        <v>27</v>
      </c>
      <c r="E99" s="4">
        <v>14</v>
      </c>
      <c r="F99" s="5">
        <v>44368</v>
      </c>
      <c r="G99" s="5">
        <v>44375</v>
      </c>
      <c r="H99" s="5">
        <v>44376</v>
      </c>
      <c r="I99" s="4">
        <v>0</v>
      </c>
      <c r="J99" s="4" t="s">
        <v>198</v>
      </c>
      <c r="K99" s="5" t="str">
        <f>VLOOKUP(표5[[#This Row],[종목]],표2[],2,FALSE)</f>
        <v>워드프로세서</v>
      </c>
    </row>
    <row r="100" spans="1:11" x14ac:dyDescent="0.3">
      <c r="A100" s="4">
        <v>99</v>
      </c>
      <c r="B100" s="4">
        <v>27</v>
      </c>
      <c r="C100" s="4">
        <v>1</v>
      </c>
      <c r="D100" s="4">
        <v>27</v>
      </c>
      <c r="E100" s="4">
        <v>14</v>
      </c>
      <c r="F100" s="5">
        <v>44368</v>
      </c>
      <c r="G100" s="5">
        <v>44375</v>
      </c>
      <c r="H100" s="5">
        <v>44376</v>
      </c>
      <c r="I100" s="4">
        <v>50</v>
      </c>
      <c r="J100" s="4" t="s">
        <v>198</v>
      </c>
      <c r="K100" s="5" t="str">
        <f>VLOOKUP(표5[[#This Row],[종목]],표2[],2,FALSE)</f>
        <v>워드프로세서</v>
      </c>
    </row>
    <row r="101" spans="1:11" x14ac:dyDescent="0.3">
      <c r="A101" s="4">
        <v>100</v>
      </c>
      <c r="B101" s="4">
        <v>28</v>
      </c>
      <c r="C101" s="4">
        <v>1</v>
      </c>
      <c r="D101" s="4">
        <v>27</v>
      </c>
      <c r="E101" s="4">
        <v>14</v>
      </c>
      <c r="F101" s="5">
        <v>44368</v>
      </c>
      <c r="G101" s="5">
        <v>44375</v>
      </c>
      <c r="H101" s="5">
        <v>44376</v>
      </c>
      <c r="I101" s="4">
        <v>20</v>
      </c>
      <c r="J101" s="4" t="s">
        <v>198</v>
      </c>
      <c r="K101" s="5" t="str">
        <f>VLOOKUP(표5[[#This Row],[종목]],표2[],2,FALSE)</f>
        <v>워드프로세서</v>
      </c>
    </row>
    <row r="102" spans="1:11" x14ac:dyDescent="0.3">
      <c r="A102" s="4">
        <v>101</v>
      </c>
      <c r="B102" s="4">
        <v>1</v>
      </c>
      <c r="C102" s="4">
        <v>6</v>
      </c>
      <c r="D102" s="4">
        <v>30</v>
      </c>
      <c r="E102" s="4">
        <v>15</v>
      </c>
      <c r="F102" s="5">
        <v>44326</v>
      </c>
      <c r="G102" s="5">
        <v>44333</v>
      </c>
      <c r="H102" s="5">
        <v>44376</v>
      </c>
      <c r="I102" s="4">
        <v>20</v>
      </c>
      <c r="J102" s="4" t="s">
        <v>198</v>
      </c>
      <c r="K102" s="5" t="str">
        <f>VLOOKUP(표5[[#This Row],[종목]],표2[],2,FALSE)</f>
        <v>비서</v>
      </c>
    </row>
    <row r="103" spans="1:11" x14ac:dyDescent="0.3">
      <c r="A103" s="4">
        <v>102</v>
      </c>
      <c r="B103" s="4">
        <v>4</v>
      </c>
      <c r="C103" s="4">
        <v>1</v>
      </c>
      <c r="D103" s="4">
        <v>30</v>
      </c>
      <c r="E103" s="4">
        <v>15</v>
      </c>
      <c r="F103" s="5">
        <v>44368</v>
      </c>
      <c r="G103" s="5">
        <v>44375</v>
      </c>
      <c r="H103" s="5">
        <v>44376</v>
      </c>
      <c r="I103" s="4">
        <v>50</v>
      </c>
      <c r="J103" s="4" t="s">
        <v>198</v>
      </c>
      <c r="K103" s="5" t="str">
        <f>VLOOKUP(표5[[#This Row],[종목]],표2[],2,FALSE)</f>
        <v>워드프로세서</v>
      </c>
    </row>
    <row r="104" spans="1:11" x14ac:dyDescent="0.3">
      <c r="A104" s="4">
        <v>103</v>
      </c>
      <c r="B104" s="4">
        <v>6</v>
      </c>
      <c r="C104" s="4">
        <v>1</v>
      </c>
      <c r="D104" s="4">
        <v>30</v>
      </c>
      <c r="E104" s="4">
        <v>15</v>
      </c>
      <c r="F104" s="5">
        <v>44368</v>
      </c>
      <c r="G104" s="5">
        <v>44375</v>
      </c>
      <c r="H104" s="5">
        <v>44376</v>
      </c>
      <c r="I104" s="4">
        <v>40</v>
      </c>
      <c r="J104" s="4" t="s">
        <v>198</v>
      </c>
      <c r="K104" s="5" t="str">
        <f>VLOOKUP(표5[[#This Row],[종목]],표2[],2,FALSE)</f>
        <v>워드프로세서</v>
      </c>
    </row>
    <row r="105" spans="1:11" x14ac:dyDescent="0.3">
      <c r="A105" s="4">
        <v>104</v>
      </c>
      <c r="B105" s="4">
        <v>19</v>
      </c>
      <c r="C105" s="4">
        <v>1</v>
      </c>
      <c r="D105" s="4">
        <v>30</v>
      </c>
      <c r="E105" s="4">
        <v>15</v>
      </c>
      <c r="F105" s="5">
        <v>44368</v>
      </c>
      <c r="G105" s="5">
        <v>44375</v>
      </c>
      <c r="H105" s="5">
        <v>44376</v>
      </c>
      <c r="I105" s="4">
        <v>0</v>
      </c>
      <c r="J105" s="4" t="s">
        <v>198</v>
      </c>
      <c r="K105" s="5" t="str">
        <f>VLOOKUP(표5[[#This Row],[종목]],표2[],2,FALSE)</f>
        <v>워드프로세서</v>
      </c>
    </row>
    <row r="106" spans="1:11" x14ac:dyDescent="0.3">
      <c r="A106" s="4">
        <v>105</v>
      </c>
      <c r="B106" s="4">
        <v>9</v>
      </c>
      <c r="C106" s="4">
        <v>1</v>
      </c>
      <c r="D106" s="4">
        <v>30</v>
      </c>
      <c r="E106" s="4">
        <v>15</v>
      </c>
      <c r="F106" s="5">
        <v>44368</v>
      </c>
      <c r="G106" s="5">
        <v>44375</v>
      </c>
      <c r="H106" s="5">
        <v>44376</v>
      </c>
      <c r="I106" s="4">
        <v>30</v>
      </c>
      <c r="J106" s="4" t="s">
        <v>198</v>
      </c>
      <c r="K106" s="5" t="str">
        <f>VLOOKUP(표5[[#This Row],[종목]],표2[],2,FALSE)</f>
        <v>워드프로세서</v>
      </c>
    </row>
    <row r="107" spans="1:11" x14ac:dyDescent="0.3">
      <c r="A107" s="4">
        <v>106</v>
      </c>
      <c r="B107" s="4">
        <v>13</v>
      </c>
      <c r="C107" s="4">
        <v>1</v>
      </c>
      <c r="D107" s="4">
        <v>30</v>
      </c>
      <c r="E107" s="4">
        <v>15</v>
      </c>
      <c r="F107" s="5">
        <v>44368</v>
      </c>
      <c r="G107" s="5">
        <v>44375</v>
      </c>
      <c r="H107" s="5">
        <v>44376</v>
      </c>
      <c r="I107" s="4">
        <v>50</v>
      </c>
      <c r="J107" s="4" t="s">
        <v>198</v>
      </c>
      <c r="K107" s="5" t="str">
        <f>VLOOKUP(표5[[#This Row],[종목]],표2[],2,FALSE)</f>
        <v>워드프로세서</v>
      </c>
    </row>
    <row r="108" spans="1:11" x14ac:dyDescent="0.3">
      <c r="A108" s="4">
        <v>107</v>
      </c>
      <c r="B108" s="4">
        <v>16</v>
      </c>
      <c r="C108" s="4">
        <v>1</v>
      </c>
      <c r="D108" s="4">
        <v>30</v>
      </c>
      <c r="E108" s="4">
        <v>15</v>
      </c>
      <c r="F108" s="5">
        <v>44368</v>
      </c>
      <c r="G108" s="5">
        <v>44375</v>
      </c>
      <c r="H108" s="5">
        <v>44376</v>
      </c>
      <c r="I108" s="4">
        <v>20</v>
      </c>
      <c r="J108" s="4" t="s">
        <v>198</v>
      </c>
      <c r="K108" s="5" t="str">
        <f>VLOOKUP(표5[[#This Row],[종목]],표2[],2,FALSE)</f>
        <v>워드프로세서</v>
      </c>
    </row>
    <row r="109" spans="1:11" x14ac:dyDescent="0.3">
      <c r="A109" s="4">
        <v>108</v>
      </c>
      <c r="B109" s="4">
        <v>2</v>
      </c>
      <c r="C109" s="4">
        <v>1</v>
      </c>
      <c r="D109" s="4">
        <v>43</v>
      </c>
      <c r="E109" s="4">
        <v>16</v>
      </c>
      <c r="F109" s="5">
        <v>44368</v>
      </c>
      <c r="G109" s="5">
        <v>44375</v>
      </c>
      <c r="H109" s="5">
        <v>44376</v>
      </c>
      <c r="I109" s="4">
        <v>10</v>
      </c>
      <c r="J109" s="4" t="s">
        <v>198</v>
      </c>
      <c r="K109" s="5" t="str">
        <f>VLOOKUP(표5[[#This Row],[종목]],표2[],2,FALSE)</f>
        <v>워드프로세서</v>
      </c>
    </row>
    <row r="110" spans="1:11" x14ac:dyDescent="0.3">
      <c r="A110" s="4">
        <v>109</v>
      </c>
      <c r="B110" s="4">
        <v>9</v>
      </c>
      <c r="C110" s="4">
        <v>1</v>
      </c>
      <c r="D110" s="4">
        <v>43</v>
      </c>
      <c r="E110" s="4">
        <v>16</v>
      </c>
      <c r="F110" s="5">
        <v>44368</v>
      </c>
      <c r="G110" s="5">
        <v>44375</v>
      </c>
      <c r="H110" s="5">
        <v>44376</v>
      </c>
      <c r="I110" s="4">
        <v>10</v>
      </c>
      <c r="J110" s="4" t="s">
        <v>198</v>
      </c>
      <c r="K110" s="5" t="str">
        <f>VLOOKUP(표5[[#This Row],[종목]],표2[],2,FALSE)</f>
        <v>워드프로세서</v>
      </c>
    </row>
    <row r="111" spans="1:11" x14ac:dyDescent="0.3">
      <c r="A111" s="4">
        <v>110</v>
      </c>
      <c r="B111" s="4">
        <v>5</v>
      </c>
      <c r="C111" s="4">
        <v>3</v>
      </c>
      <c r="D111" s="4">
        <v>13</v>
      </c>
      <c r="E111" s="4">
        <v>2</v>
      </c>
      <c r="F111" s="5">
        <v>44333</v>
      </c>
      <c r="G111" s="5">
        <v>44340</v>
      </c>
      <c r="H111" s="5">
        <v>44340</v>
      </c>
      <c r="I111" s="4">
        <v>40</v>
      </c>
      <c r="J111" s="4" t="s">
        <v>198</v>
      </c>
      <c r="K111" s="5" t="str">
        <f>VLOOKUP(표5[[#This Row],[종목]],표2[],2,FALSE)</f>
        <v>컴퓨터활용능력</v>
      </c>
    </row>
    <row r="112" spans="1:11" x14ac:dyDescent="0.3">
      <c r="A112" s="4">
        <v>111</v>
      </c>
      <c r="B112" s="4">
        <v>6</v>
      </c>
      <c r="C112" s="4">
        <v>3</v>
      </c>
      <c r="D112" s="4">
        <v>13</v>
      </c>
      <c r="E112" s="4">
        <v>2</v>
      </c>
      <c r="F112" s="5">
        <v>44333</v>
      </c>
      <c r="G112" s="5">
        <v>44340</v>
      </c>
      <c r="H112" s="5">
        <v>44340</v>
      </c>
      <c r="I112" s="4">
        <v>30</v>
      </c>
      <c r="J112" s="4" t="s">
        <v>198</v>
      </c>
      <c r="K112" s="5" t="str">
        <f>VLOOKUP(표5[[#This Row],[종목]],표2[],2,FALSE)</f>
        <v>컴퓨터활용능력</v>
      </c>
    </row>
    <row r="113" spans="1:11" x14ac:dyDescent="0.3">
      <c r="A113" s="4">
        <v>112</v>
      </c>
      <c r="B113" s="4">
        <v>7</v>
      </c>
      <c r="C113" s="4">
        <v>3</v>
      </c>
      <c r="D113" s="4">
        <v>13</v>
      </c>
      <c r="E113" s="4">
        <v>2</v>
      </c>
      <c r="F113" s="5">
        <v>44333</v>
      </c>
      <c r="G113" s="5">
        <v>44340</v>
      </c>
      <c r="H113" s="5">
        <v>44340</v>
      </c>
      <c r="I113" s="4">
        <v>30</v>
      </c>
      <c r="J113" s="4" t="s">
        <v>198</v>
      </c>
      <c r="K113" s="5" t="str">
        <f>VLOOKUP(표5[[#This Row],[종목]],표2[],2,FALSE)</f>
        <v>컴퓨터활용능력</v>
      </c>
    </row>
    <row r="114" spans="1:11" x14ac:dyDescent="0.3">
      <c r="A114" s="4">
        <v>113</v>
      </c>
      <c r="B114" s="4">
        <v>8</v>
      </c>
      <c r="C114" s="4">
        <v>3</v>
      </c>
      <c r="D114" s="4">
        <v>13</v>
      </c>
      <c r="E114" s="4">
        <v>2</v>
      </c>
      <c r="F114" s="5">
        <v>44333</v>
      </c>
      <c r="G114" s="5">
        <v>44340</v>
      </c>
      <c r="H114" s="5">
        <v>44340</v>
      </c>
      <c r="I114" s="4">
        <v>60</v>
      </c>
      <c r="J114" s="4" t="s">
        <v>198</v>
      </c>
      <c r="K114" s="5" t="str">
        <f>VLOOKUP(표5[[#This Row],[종목]],표2[],2,FALSE)</f>
        <v>컴퓨터활용능력</v>
      </c>
    </row>
    <row r="115" spans="1:11" x14ac:dyDescent="0.3">
      <c r="A115" s="4">
        <v>483</v>
      </c>
      <c r="B115" s="4">
        <v>7</v>
      </c>
      <c r="C115" s="4">
        <v>1</v>
      </c>
      <c r="D115" s="4">
        <v>65</v>
      </c>
      <c r="E115" s="4">
        <v>20</v>
      </c>
      <c r="F115" s="5">
        <v>44372</v>
      </c>
      <c r="G115" s="5">
        <v>44379</v>
      </c>
      <c r="H115" s="5">
        <v>44380</v>
      </c>
      <c r="I115" s="4">
        <v>20</v>
      </c>
      <c r="J115" s="4" t="s">
        <v>198</v>
      </c>
      <c r="K115" s="5" t="str">
        <f>VLOOKUP(표5[[#This Row],[종목]],표2[],2,FALSE)</f>
        <v>워드프로세서</v>
      </c>
    </row>
    <row r="116" spans="1:11" x14ac:dyDescent="0.3">
      <c r="A116" s="4">
        <v>115</v>
      </c>
      <c r="B116" s="4">
        <v>8</v>
      </c>
      <c r="C116" s="4">
        <v>6</v>
      </c>
      <c r="D116" s="4">
        <v>72</v>
      </c>
      <c r="E116" s="4">
        <v>2</v>
      </c>
      <c r="F116" s="5">
        <v>44333</v>
      </c>
      <c r="G116" s="5">
        <v>44340</v>
      </c>
      <c r="H116" s="5">
        <v>44341</v>
      </c>
      <c r="I116" s="4">
        <v>70</v>
      </c>
      <c r="J116" s="4" t="s">
        <v>198</v>
      </c>
      <c r="K116" s="5" t="str">
        <f>VLOOKUP(표5[[#This Row],[종목]],표2[],2,FALSE)</f>
        <v>비서</v>
      </c>
    </row>
    <row r="117" spans="1:11" x14ac:dyDescent="0.3">
      <c r="A117" s="4">
        <v>116</v>
      </c>
      <c r="B117" s="4">
        <v>9</v>
      </c>
      <c r="C117" s="4">
        <v>6</v>
      </c>
      <c r="D117" s="4">
        <v>72</v>
      </c>
      <c r="E117" s="4">
        <v>2</v>
      </c>
      <c r="F117" s="5">
        <v>44333</v>
      </c>
      <c r="G117" s="5">
        <v>44340</v>
      </c>
      <c r="H117" s="5">
        <v>44341</v>
      </c>
      <c r="I117" s="4">
        <v>50</v>
      </c>
      <c r="J117" s="4" t="s">
        <v>198</v>
      </c>
      <c r="K117" s="5" t="str">
        <f>VLOOKUP(표5[[#This Row],[종목]],표2[],2,FALSE)</f>
        <v>비서</v>
      </c>
    </row>
    <row r="118" spans="1:11" x14ac:dyDescent="0.3">
      <c r="A118" s="4">
        <v>117</v>
      </c>
      <c r="B118" s="4">
        <v>10</v>
      </c>
      <c r="C118" s="4">
        <v>6</v>
      </c>
      <c r="D118" s="4">
        <v>72</v>
      </c>
      <c r="E118" s="4">
        <v>2</v>
      </c>
      <c r="F118" s="5">
        <v>44333</v>
      </c>
      <c r="G118" s="5">
        <v>44340</v>
      </c>
      <c r="H118" s="5">
        <v>44341</v>
      </c>
      <c r="I118" s="4">
        <v>40</v>
      </c>
      <c r="J118" s="4" t="s">
        <v>198</v>
      </c>
      <c r="K118" s="5" t="str">
        <f>VLOOKUP(표5[[#This Row],[종목]],표2[],2,FALSE)</f>
        <v>비서</v>
      </c>
    </row>
    <row r="119" spans="1:11" x14ac:dyDescent="0.3">
      <c r="A119" s="4">
        <v>118</v>
      </c>
      <c r="B119" s="4">
        <v>1</v>
      </c>
      <c r="C119" s="4">
        <v>6</v>
      </c>
      <c r="D119" s="4">
        <v>72</v>
      </c>
      <c r="E119" s="4">
        <v>2</v>
      </c>
      <c r="F119" s="5">
        <v>44333</v>
      </c>
      <c r="G119" s="5">
        <v>44340</v>
      </c>
      <c r="H119" s="5">
        <v>44341</v>
      </c>
      <c r="I119" s="4">
        <v>30</v>
      </c>
      <c r="J119" s="4" t="s">
        <v>198</v>
      </c>
      <c r="K119" s="5" t="str">
        <f>VLOOKUP(표5[[#This Row],[종목]],표2[],2,FALSE)</f>
        <v>비서</v>
      </c>
    </row>
    <row r="120" spans="1:11" x14ac:dyDescent="0.3">
      <c r="A120" s="4">
        <v>119</v>
      </c>
      <c r="B120" s="4">
        <v>18</v>
      </c>
      <c r="C120" s="4">
        <v>1</v>
      </c>
      <c r="D120" s="4">
        <v>17</v>
      </c>
      <c r="E120" s="4">
        <v>11</v>
      </c>
      <c r="F120" s="5">
        <v>44365</v>
      </c>
      <c r="G120" s="5">
        <v>44372</v>
      </c>
      <c r="H120" s="5">
        <v>44373</v>
      </c>
      <c r="I120" s="4">
        <v>40</v>
      </c>
      <c r="J120" s="4" t="s">
        <v>198</v>
      </c>
      <c r="K120" s="5" t="str">
        <f>VLOOKUP(표5[[#This Row],[종목]],표2[],2,FALSE)</f>
        <v>워드프로세서</v>
      </c>
    </row>
    <row r="121" spans="1:11" x14ac:dyDescent="0.3">
      <c r="A121" s="4">
        <v>120</v>
      </c>
      <c r="B121" s="4">
        <v>26</v>
      </c>
      <c r="C121" s="4">
        <v>1</v>
      </c>
      <c r="D121" s="4">
        <v>43</v>
      </c>
      <c r="E121" s="4">
        <v>16</v>
      </c>
      <c r="F121" s="5">
        <v>44368</v>
      </c>
      <c r="G121" s="5">
        <v>44375</v>
      </c>
      <c r="H121" s="5">
        <v>44376</v>
      </c>
      <c r="I121" s="4">
        <v>0</v>
      </c>
      <c r="J121" s="4" t="s">
        <v>198</v>
      </c>
      <c r="K121" s="5" t="str">
        <f>VLOOKUP(표5[[#This Row],[종목]],표2[],2,FALSE)</f>
        <v>워드프로세서</v>
      </c>
    </row>
    <row r="122" spans="1:11" x14ac:dyDescent="0.3">
      <c r="A122" s="4">
        <v>121</v>
      </c>
      <c r="B122" s="4">
        <v>1</v>
      </c>
      <c r="C122" s="4">
        <v>1</v>
      </c>
      <c r="D122" s="4">
        <v>46</v>
      </c>
      <c r="E122" s="4">
        <v>17</v>
      </c>
      <c r="F122" s="5">
        <v>44368</v>
      </c>
      <c r="G122" s="5">
        <v>44375</v>
      </c>
      <c r="H122" s="5">
        <v>44376</v>
      </c>
      <c r="I122" s="4">
        <v>10</v>
      </c>
      <c r="J122" s="4" t="s">
        <v>198</v>
      </c>
      <c r="K122" s="5" t="str">
        <f>VLOOKUP(표5[[#This Row],[종목]],표2[],2,FALSE)</f>
        <v>워드프로세서</v>
      </c>
    </row>
    <row r="123" spans="1:11" x14ac:dyDescent="0.3">
      <c r="A123" s="4">
        <v>122</v>
      </c>
      <c r="B123" s="4">
        <v>3</v>
      </c>
      <c r="C123" s="4">
        <v>1</v>
      </c>
      <c r="D123" s="4">
        <v>151</v>
      </c>
      <c r="E123" s="4">
        <v>39</v>
      </c>
      <c r="F123" s="5">
        <v>44389</v>
      </c>
      <c r="G123" s="5">
        <v>44396</v>
      </c>
      <c r="H123" s="5">
        <v>44397</v>
      </c>
      <c r="I123" s="4">
        <v>80</v>
      </c>
      <c r="J123" s="4" t="s">
        <v>199</v>
      </c>
      <c r="K123" s="5" t="str">
        <f>VLOOKUP(표5[[#This Row],[종목]],표2[],2,FALSE)</f>
        <v>워드프로세서</v>
      </c>
    </row>
    <row r="124" spans="1:11" x14ac:dyDescent="0.3">
      <c r="A124" s="4">
        <v>123</v>
      </c>
      <c r="B124" s="4">
        <v>5</v>
      </c>
      <c r="C124" s="4">
        <v>1</v>
      </c>
      <c r="D124" s="4">
        <v>46</v>
      </c>
      <c r="E124" s="4">
        <v>17</v>
      </c>
      <c r="F124" s="5">
        <v>44368</v>
      </c>
      <c r="G124" s="5">
        <v>44375</v>
      </c>
      <c r="H124" s="5">
        <v>44376</v>
      </c>
      <c r="I124" s="4">
        <v>0</v>
      </c>
      <c r="J124" s="4" t="s">
        <v>198</v>
      </c>
      <c r="K124" s="5" t="str">
        <f>VLOOKUP(표5[[#This Row],[종목]],표2[],2,FALSE)</f>
        <v>워드프로세서</v>
      </c>
    </row>
    <row r="125" spans="1:11" x14ac:dyDescent="0.3">
      <c r="A125" s="4">
        <v>124</v>
      </c>
      <c r="B125" s="4">
        <v>4</v>
      </c>
      <c r="C125" s="4">
        <v>1</v>
      </c>
      <c r="D125" s="4">
        <v>46</v>
      </c>
      <c r="E125" s="4">
        <v>17</v>
      </c>
      <c r="F125" s="5">
        <v>44368</v>
      </c>
      <c r="G125" s="5">
        <v>44375</v>
      </c>
      <c r="H125" s="5">
        <v>44376</v>
      </c>
      <c r="I125" s="4">
        <v>0</v>
      </c>
      <c r="J125" s="4" t="s">
        <v>198</v>
      </c>
      <c r="K125" s="5" t="str">
        <f>VLOOKUP(표5[[#This Row],[종목]],표2[],2,FALSE)</f>
        <v>워드프로세서</v>
      </c>
    </row>
    <row r="126" spans="1:11" x14ac:dyDescent="0.3">
      <c r="A126" s="4">
        <v>125</v>
      </c>
      <c r="B126" s="4">
        <v>17</v>
      </c>
      <c r="C126" s="4">
        <v>1</v>
      </c>
      <c r="D126" s="4">
        <v>46</v>
      </c>
      <c r="E126" s="4">
        <v>17</v>
      </c>
      <c r="F126" s="5">
        <v>44368</v>
      </c>
      <c r="G126" s="5">
        <v>44375</v>
      </c>
      <c r="H126" s="5">
        <v>44376</v>
      </c>
      <c r="I126" s="4">
        <v>0</v>
      </c>
      <c r="J126" s="4" t="s">
        <v>198</v>
      </c>
      <c r="K126" s="5" t="str">
        <f>VLOOKUP(표5[[#This Row],[종목]],표2[],2,FALSE)</f>
        <v>워드프로세서</v>
      </c>
    </row>
    <row r="127" spans="1:11" x14ac:dyDescent="0.3">
      <c r="A127" s="4">
        <v>126</v>
      </c>
      <c r="B127" s="4">
        <v>29</v>
      </c>
      <c r="C127" s="4">
        <v>1</v>
      </c>
      <c r="D127" s="4">
        <v>46</v>
      </c>
      <c r="E127" s="4">
        <v>17</v>
      </c>
      <c r="F127" s="5">
        <v>44368</v>
      </c>
      <c r="G127" s="5">
        <v>44375</v>
      </c>
      <c r="H127" s="5">
        <v>44376</v>
      </c>
      <c r="I127" s="4">
        <v>30</v>
      </c>
      <c r="J127" s="4" t="s">
        <v>198</v>
      </c>
      <c r="K127" s="5" t="str">
        <f>VLOOKUP(표5[[#This Row],[종목]],표2[],2,FALSE)</f>
        <v>워드프로세서</v>
      </c>
    </row>
    <row r="128" spans="1:11" x14ac:dyDescent="0.3">
      <c r="A128" s="4">
        <v>127</v>
      </c>
      <c r="B128" s="4">
        <v>9</v>
      </c>
      <c r="C128" s="4">
        <v>3</v>
      </c>
      <c r="D128" s="4">
        <v>18</v>
      </c>
      <c r="E128" s="4">
        <v>3</v>
      </c>
      <c r="F128" s="5">
        <v>44340</v>
      </c>
      <c r="G128" s="5">
        <v>44347</v>
      </c>
      <c r="H128" s="5">
        <v>44347</v>
      </c>
      <c r="I128" s="4">
        <v>40</v>
      </c>
      <c r="J128" s="4" t="s">
        <v>198</v>
      </c>
      <c r="K128" s="5" t="str">
        <f>VLOOKUP(표5[[#This Row],[종목]],표2[],2,FALSE)</f>
        <v>컴퓨터활용능력</v>
      </c>
    </row>
    <row r="129" spans="1:11" x14ac:dyDescent="0.3">
      <c r="A129" s="4">
        <v>128</v>
      </c>
      <c r="B129" s="4">
        <v>10</v>
      </c>
      <c r="C129" s="4">
        <v>3</v>
      </c>
      <c r="D129" s="4">
        <v>18</v>
      </c>
      <c r="E129" s="4">
        <v>3</v>
      </c>
      <c r="F129" s="5">
        <v>44340</v>
      </c>
      <c r="G129" s="5">
        <v>44347</v>
      </c>
      <c r="H129" s="5">
        <v>44347</v>
      </c>
      <c r="I129" s="4">
        <v>60</v>
      </c>
      <c r="J129" s="4" t="s">
        <v>198</v>
      </c>
      <c r="K129" s="5" t="str">
        <f>VLOOKUP(표5[[#This Row],[종목]],표2[],2,FALSE)</f>
        <v>컴퓨터활용능력</v>
      </c>
    </row>
    <row r="130" spans="1:11" x14ac:dyDescent="0.3">
      <c r="A130" s="4">
        <v>129</v>
      </c>
      <c r="B130" s="4">
        <v>11</v>
      </c>
      <c r="C130" s="4">
        <v>3</v>
      </c>
      <c r="D130" s="4">
        <v>18</v>
      </c>
      <c r="E130" s="4">
        <v>3</v>
      </c>
      <c r="F130" s="5">
        <v>44340</v>
      </c>
      <c r="G130" s="5">
        <v>44347</v>
      </c>
      <c r="H130" s="5">
        <v>44347</v>
      </c>
      <c r="I130" s="4">
        <v>50</v>
      </c>
      <c r="J130" s="4" t="s">
        <v>198</v>
      </c>
      <c r="K130" s="5" t="str">
        <f>VLOOKUP(표5[[#This Row],[종목]],표2[],2,FALSE)</f>
        <v>컴퓨터활용능력</v>
      </c>
    </row>
    <row r="131" spans="1:11" x14ac:dyDescent="0.3">
      <c r="A131" s="4">
        <v>130</v>
      </c>
      <c r="B131" s="4">
        <v>12</v>
      </c>
      <c r="C131" s="4">
        <v>3</v>
      </c>
      <c r="D131" s="4">
        <v>18</v>
      </c>
      <c r="E131" s="4">
        <v>3</v>
      </c>
      <c r="F131" s="5">
        <v>44340</v>
      </c>
      <c r="G131" s="5">
        <v>44347</v>
      </c>
      <c r="H131" s="5">
        <v>44347</v>
      </c>
      <c r="I131" s="4">
        <v>40</v>
      </c>
      <c r="J131" s="4" t="s">
        <v>198</v>
      </c>
      <c r="K131" s="5" t="str">
        <f>VLOOKUP(표5[[#This Row],[종목]],표2[],2,FALSE)</f>
        <v>컴퓨터활용능력</v>
      </c>
    </row>
    <row r="132" spans="1:11" x14ac:dyDescent="0.3">
      <c r="A132" s="4">
        <v>131</v>
      </c>
      <c r="B132" s="4">
        <v>30</v>
      </c>
      <c r="C132" s="4">
        <v>6</v>
      </c>
      <c r="D132" s="4">
        <v>82</v>
      </c>
      <c r="E132" s="4">
        <v>3</v>
      </c>
      <c r="F132" s="5">
        <v>44340</v>
      </c>
      <c r="G132" s="5">
        <v>44347</v>
      </c>
      <c r="H132" s="5">
        <v>44348</v>
      </c>
      <c r="I132" s="4">
        <v>60</v>
      </c>
      <c r="J132" s="4" t="s">
        <v>198</v>
      </c>
      <c r="K132" s="5" t="str">
        <f>VLOOKUP(표5[[#This Row],[종목]],표2[],2,FALSE)</f>
        <v>비서</v>
      </c>
    </row>
    <row r="133" spans="1:11" x14ac:dyDescent="0.3">
      <c r="A133" s="4">
        <v>132</v>
      </c>
      <c r="B133" s="4">
        <v>29</v>
      </c>
      <c r="C133" s="4">
        <v>6</v>
      </c>
      <c r="D133" s="4">
        <v>82</v>
      </c>
      <c r="E133" s="4">
        <v>3</v>
      </c>
      <c r="F133" s="5">
        <v>44340</v>
      </c>
      <c r="G133" s="5">
        <v>44347</v>
      </c>
      <c r="H133" s="5">
        <v>44348</v>
      </c>
      <c r="I133" s="4">
        <v>50</v>
      </c>
      <c r="J133" s="4" t="s">
        <v>198</v>
      </c>
      <c r="K133" s="5" t="str">
        <f>VLOOKUP(표5[[#This Row],[종목]],표2[],2,FALSE)</f>
        <v>비서</v>
      </c>
    </row>
    <row r="134" spans="1:11" x14ac:dyDescent="0.3">
      <c r="A134" s="4">
        <v>133</v>
      </c>
      <c r="B134" s="4">
        <v>28</v>
      </c>
      <c r="C134" s="4">
        <v>6</v>
      </c>
      <c r="D134" s="4">
        <v>82</v>
      </c>
      <c r="E134" s="4">
        <v>3</v>
      </c>
      <c r="F134" s="5">
        <v>44340</v>
      </c>
      <c r="G134" s="5">
        <v>44347</v>
      </c>
      <c r="H134" s="5">
        <v>44348</v>
      </c>
      <c r="I134" s="4">
        <v>20</v>
      </c>
      <c r="J134" s="4" t="s">
        <v>198</v>
      </c>
      <c r="K134" s="5" t="str">
        <f>VLOOKUP(표5[[#This Row],[종목]],표2[],2,FALSE)</f>
        <v>비서</v>
      </c>
    </row>
    <row r="135" spans="1:11" x14ac:dyDescent="0.3">
      <c r="A135" s="4">
        <v>134</v>
      </c>
      <c r="B135" s="4">
        <v>27</v>
      </c>
      <c r="C135" s="4">
        <v>6</v>
      </c>
      <c r="D135" s="4">
        <v>82</v>
      </c>
      <c r="E135" s="4">
        <v>3</v>
      </c>
      <c r="F135" s="5">
        <v>44340</v>
      </c>
      <c r="G135" s="5">
        <v>44347</v>
      </c>
      <c r="H135" s="5">
        <v>44348</v>
      </c>
      <c r="I135" s="4">
        <v>10</v>
      </c>
      <c r="J135" s="4" t="s">
        <v>198</v>
      </c>
      <c r="K135" s="5" t="str">
        <f>VLOOKUP(표5[[#This Row],[종목]],표2[],2,FALSE)</f>
        <v>비서</v>
      </c>
    </row>
    <row r="136" spans="1:11" x14ac:dyDescent="0.3">
      <c r="A136" s="4">
        <v>135</v>
      </c>
      <c r="B136" s="4">
        <v>25</v>
      </c>
      <c r="C136" s="4">
        <v>6</v>
      </c>
      <c r="D136" s="4">
        <v>82</v>
      </c>
      <c r="E136" s="4">
        <v>3</v>
      </c>
      <c r="F136" s="5">
        <v>44340</v>
      </c>
      <c r="G136" s="5">
        <v>44347</v>
      </c>
      <c r="H136" s="5">
        <v>44348</v>
      </c>
      <c r="I136" s="4">
        <v>60</v>
      </c>
      <c r="J136" s="4" t="s">
        <v>198</v>
      </c>
      <c r="K136" s="5" t="str">
        <f>VLOOKUP(표5[[#This Row],[종목]],표2[],2,FALSE)</f>
        <v>비서</v>
      </c>
    </row>
    <row r="137" spans="1:11" x14ac:dyDescent="0.3">
      <c r="A137" s="4">
        <v>136</v>
      </c>
      <c r="B137" s="4">
        <v>24</v>
      </c>
      <c r="C137" s="4">
        <v>6</v>
      </c>
      <c r="D137" s="4">
        <v>82</v>
      </c>
      <c r="E137" s="4">
        <v>3</v>
      </c>
      <c r="F137" s="5">
        <v>44340</v>
      </c>
      <c r="G137" s="5">
        <v>44347</v>
      </c>
      <c r="H137" s="5">
        <v>44348</v>
      </c>
      <c r="I137" s="4">
        <v>50</v>
      </c>
      <c r="J137" s="4" t="s">
        <v>198</v>
      </c>
      <c r="K137" s="5" t="str">
        <f>VLOOKUP(표5[[#This Row],[종목]],표2[],2,FALSE)</f>
        <v>비서</v>
      </c>
    </row>
    <row r="138" spans="1:11" x14ac:dyDescent="0.3">
      <c r="A138" s="4">
        <v>137</v>
      </c>
      <c r="B138" s="4">
        <v>27</v>
      </c>
      <c r="C138" s="4">
        <v>3</v>
      </c>
      <c r="D138" s="4">
        <v>23</v>
      </c>
      <c r="E138" s="4">
        <v>4</v>
      </c>
      <c r="F138" s="5">
        <v>44342</v>
      </c>
      <c r="G138" s="5">
        <v>44349</v>
      </c>
      <c r="H138" s="5">
        <v>44349</v>
      </c>
      <c r="I138" s="4">
        <v>50</v>
      </c>
      <c r="J138" s="4" t="s">
        <v>198</v>
      </c>
      <c r="K138" s="5" t="str">
        <f>VLOOKUP(표5[[#This Row],[종목]],표2[],2,FALSE)</f>
        <v>컴퓨터활용능력</v>
      </c>
    </row>
    <row r="139" spans="1:11" x14ac:dyDescent="0.3">
      <c r="A139" s="4">
        <v>138</v>
      </c>
      <c r="B139" s="4">
        <v>28</v>
      </c>
      <c r="C139" s="4">
        <v>3</v>
      </c>
      <c r="D139" s="4">
        <v>23</v>
      </c>
      <c r="E139" s="4">
        <v>4</v>
      </c>
      <c r="F139" s="5">
        <v>44342</v>
      </c>
      <c r="G139" s="5">
        <v>44349</v>
      </c>
      <c r="H139" s="5">
        <v>44349</v>
      </c>
      <c r="I139" s="4">
        <v>40</v>
      </c>
      <c r="J139" s="4" t="s">
        <v>198</v>
      </c>
      <c r="K139" s="5" t="str">
        <f>VLOOKUP(표5[[#This Row],[종목]],표2[],2,FALSE)</f>
        <v>컴퓨터활용능력</v>
      </c>
    </row>
    <row r="140" spans="1:11" x14ac:dyDescent="0.3">
      <c r="A140" s="4">
        <v>139</v>
      </c>
      <c r="B140" s="4">
        <v>1</v>
      </c>
      <c r="C140" s="4">
        <v>3</v>
      </c>
      <c r="D140" s="4">
        <v>23</v>
      </c>
      <c r="E140" s="4">
        <v>4</v>
      </c>
      <c r="F140" s="5">
        <v>44342</v>
      </c>
      <c r="G140" s="5">
        <v>44349</v>
      </c>
      <c r="H140" s="5">
        <v>44349</v>
      </c>
      <c r="I140" s="4">
        <v>50</v>
      </c>
      <c r="J140" s="4" t="s">
        <v>198</v>
      </c>
      <c r="K140" s="5" t="str">
        <f>VLOOKUP(표5[[#This Row],[종목]],표2[],2,FALSE)</f>
        <v>컴퓨터활용능력</v>
      </c>
    </row>
    <row r="141" spans="1:11" x14ac:dyDescent="0.3">
      <c r="A141" s="4">
        <v>140</v>
      </c>
      <c r="B141" s="4">
        <v>3</v>
      </c>
      <c r="C141" s="4">
        <v>3</v>
      </c>
      <c r="D141" s="4">
        <v>23</v>
      </c>
      <c r="E141" s="4">
        <v>4</v>
      </c>
      <c r="F141" s="5">
        <v>44342</v>
      </c>
      <c r="G141" s="5">
        <v>44349</v>
      </c>
      <c r="H141" s="5">
        <v>44349</v>
      </c>
      <c r="I141" s="4">
        <v>0</v>
      </c>
      <c r="J141" s="4" t="s">
        <v>198</v>
      </c>
      <c r="K141" s="5" t="str">
        <f>VLOOKUP(표5[[#This Row],[종목]],표2[],2,FALSE)</f>
        <v>컴퓨터활용능력</v>
      </c>
    </row>
    <row r="142" spans="1:11" x14ac:dyDescent="0.3">
      <c r="A142" s="4">
        <v>141</v>
      </c>
      <c r="B142" s="4">
        <v>16</v>
      </c>
      <c r="C142" s="4">
        <v>2</v>
      </c>
      <c r="D142" s="4">
        <v>52</v>
      </c>
      <c r="E142" s="4">
        <v>4</v>
      </c>
      <c r="F142" s="5">
        <v>44342</v>
      </c>
      <c r="G142" s="5">
        <v>44349</v>
      </c>
      <c r="H142" s="5">
        <v>44349</v>
      </c>
      <c r="I142" s="4">
        <v>10</v>
      </c>
      <c r="J142" s="4" t="s">
        <v>198</v>
      </c>
      <c r="K142" s="5" t="str">
        <f>VLOOKUP(표5[[#This Row],[종목]],표2[],2,FALSE)</f>
        <v>컴퓨터활용능력</v>
      </c>
    </row>
    <row r="143" spans="1:11" x14ac:dyDescent="0.3">
      <c r="A143" s="4">
        <v>142</v>
      </c>
      <c r="B143" s="4">
        <v>19</v>
      </c>
      <c r="C143" s="4">
        <v>2</v>
      </c>
      <c r="D143" s="4">
        <v>52</v>
      </c>
      <c r="E143" s="4">
        <v>4</v>
      </c>
      <c r="F143" s="5">
        <v>44342</v>
      </c>
      <c r="G143" s="5">
        <v>44349</v>
      </c>
      <c r="H143" s="5">
        <v>44349</v>
      </c>
      <c r="I143" s="4">
        <v>50</v>
      </c>
      <c r="J143" s="4" t="s">
        <v>198</v>
      </c>
      <c r="K143" s="5" t="str">
        <f>VLOOKUP(표5[[#This Row],[종목]],표2[],2,FALSE)</f>
        <v>컴퓨터활용능력</v>
      </c>
    </row>
    <row r="144" spans="1:11" x14ac:dyDescent="0.3">
      <c r="A144" s="4">
        <v>143</v>
      </c>
      <c r="B144" s="4">
        <v>9</v>
      </c>
      <c r="C144" s="4">
        <v>2</v>
      </c>
      <c r="D144" s="4">
        <v>52</v>
      </c>
      <c r="E144" s="4">
        <v>4</v>
      </c>
      <c r="F144" s="5">
        <v>44342</v>
      </c>
      <c r="G144" s="5">
        <v>44349</v>
      </c>
      <c r="H144" s="5">
        <v>44349</v>
      </c>
      <c r="I144" s="4">
        <v>30</v>
      </c>
      <c r="J144" s="4" t="s">
        <v>198</v>
      </c>
      <c r="K144" s="5" t="str">
        <f>VLOOKUP(표5[[#This Row],[종목]],표2[],2,FALSE)</f>
        <v>컴퓨터활용능력</v>
      </c>
    </row>
    <row r="145" spans="1:11" x14ac:dyDescent="0.3">
      <c r="A145" s="4">
        <v>144</v>
      </c>
      <c r="B145" s="4">
        <v>23</v>
      </c>
      <c r="C145" s="4">
        <v>6</v>
      </c>
      <c r="D145" s="4">
        <v>85</v>
      </c>
      <c r="E145" s="4">
        <v>4</v>
      </c>
      <c r="F145" s="5">
        <v>44342</v>
      </c>
      <c r="G145" s="5">
        <v>44349</v>
      </c>
      <c r="H145" s="5">
        <v>44350</v>
      </c>
      <c r="I145" s="4">
        <v>40</v>
      </c>
      <c r="J145" s="4" t="s">
        <v>198</v>
      </c>
      <c r="K145" s="5" t="str">
        <f>VLOOKUP(표5[[#This Row],[종목]],표2[],2,FALSE)</f>
        <v>비서</v>
      </c>
    </row>
    <row r="146" spans="1:11" x14ac:dyDescent="0.3">
      <c r="A146" s="4">
        <v>145</v>
      </c>
      <c r="B146" s="4">
        <v>20</v>
      </c>
      <c r="C146" s="4">
        <v>6</v>
      </c>
      <c r="D146" s="4">
        <v>85</v>
      </c>
      <c r="E146" s="4">
        <v>4</v>
      </c>
      <c r="F146" s="5">
        <v>44342</v>
      </c>
      <c r="G146" s="5">
        <v>44349</v>
      </c>
      <c r="H146" s="5">
        <v>44350</v>
      </c>
      <c r="I146" s="4">
        <v>60</v>
      </c>
      <c r="J146" s="4" t="s">
        <v>198</v>
      </c>
      <c r="K146" s="5" t="str">
        <f>VLOOKUP(표5[[#This Row],[종목]],표2[],2,FALSE)</f>
        <v>비서</v>
      </c>
    </row>
    <row r="147" spans="1:11" x14ac:dyDescent="0.3">
      <c r="A147" s="4">
        <v>146</v>
      </c>
      <c r="B147" s="4">
        <v>19</v>
      </c>
      <c r="C147" s="4">
        <v>6</v>
      </c>
      <c r="D147" s="4">
        <v>85</v>
      </c>
      <c r="E147" s="4">
        <v>4</v>
      </c>
      <c r="F147" s="5">
        <v>44342</v>
      </c>
      <c r="G147" s="5">
        <v>44349</v>
      </c>
      <c r="H147" s="5">
        <v>44350</v>
      </c>
      <c r="I147" s="4">
        <v>50</v>
      </c>
      <c r="J147" s="4" t="s">
        <v>198</v>
      </c>
      <c r="K147" s="5" t="str">
        <f>VLOOKUP(표5[[#This Row],[종목]],표2[],2,FALSE)</f>
        <v>비서</v>
      </c>
    </row>
    <row r="148" spans="1:11" x14ac:dyDescent="0.3">
      <c r="A148" s="4">
        <v>147</v>
      </c>
      <c r="B148" s="4">
        <v>18</v>
      </c>
      <c r="C148" s="4">
        <v>6</v>
      </c>
      <c r="D148" s="4">
        <v>85</v>
      </c>
      <c r="E148" s="4">
        <v>4</v>
      </c>
      <c r="F148" s="5">
        <v>44342</v>
      </c>
      <c r="G148" s="5">
        <v>44349</v>
      </c>
      <c r="H148" s="5">
        <v>44350</v>
      </c>
      <c r="I148" s="4">
        <v>40</v>
      </c>
      <c r="J148" s="4" t="s">
        <v>198</v>
      </c>
      <c r="K148" s="5" t="str">
        <f>VLOOKUP(표5[[#This Row],[종목]],표2[],2,FALSE)</f>
        <v>비서</v>
      </c>
    </row>
    <row r="149" spans="1:11" x14ac:dyDescent="0.3">
      <c r="A149" s="4">
        <v>148</v>
      </c>
      <c r="B149" s="4">
        <v>17</v>
      </c>
      <c r="C149" s="4">
        <v>6</v>
      </c>
      <c r="D149" s="4">
        <v>85</v>
      </c>
      <c r="E149" s="4">
        <v>4</v>
      </c>
      <c r="F149" s="5">
        <v>44342</v>
      </c>
      <c r="G149" s="5">
        <v>44349</v>
      </c>
      <c r="H149" s="5">
        <v>44350</v>
      </c>
      <c r="I149" s="4">
        <v>30</v>
      </c>
      <c r="J149" s="4" t="s">
        <v>198</v>
      </c>
      <c r="K149" s="5" t="str">
        <f>VLOOKUP(표5[[#This Row],[종목]],표2[],2,FALSE)</f>
        <v>비서</v>
      </c>
    </row>
    <row r="150" spans="1:11" x14ac:dyDescent="0.3">
      <c r="A150" s="4">
        <v>149</v>
      </c>
      <c r="B150" s="4">
        <v>15</v>
      </c>
      <c r="C150" s="4">
        <v>6</v>
      </c>
      <c r="D150" s="4">
        <v>85</v>
      </c>
      <c r="E150" s="4">
        <v>4</v>
      </c>
      <c r="F150" s="5">
        <v>44342</v>
      </c>
      <c r="G150" s="5">
        <v>44349</v>
      </c>
      <c r="H150" s="5">
        <v>44350</v>
      </c>
      <c r="I150" s="4">
        <v>20</v>
      </c>
      <c r="J150" s="4" t="s">
        <v>198</v>
      </c>
      <c r="K150" s="5" t="str">
        <f>VLOOKUP(표5[[#This Row],[종목]],표2[],2,FALSE)</f>
        <v>비서</v>
      </c>
    </row>
    <row r="151" spans="1:11" x14ac:dyDescent="0.3">
      <c r="A151" s="4">
        <v>150</v>
      </c>
      <c r="B151" s="4">
        <v>5</v>
      </c>
      <c r="C151" s="4">
        <v>1</v>
      </c>
      <c r="D151" s="4">
        <v>49</v>
      </c>
      <c r="E151" s="4">
        <v>18</v>
      </c>
      <c r="F151" s="5">
        <v>44371</v>
      </c>
      <c r="G151" s="5">
        <v>44378</v>
      </c>
      <c r="H151" s="5">
        <v>44379</v>
      </c>
      <c r="I151" s="4">
        <v>10</v>
      </c>
      <c r="J151" s="4" t="s">
        <v>198</v>
      </c>
      <c r="K151" s="5" t="str">
        <f>VLOOKUP(표5[[#This Row],[종목]],표2[],2,FALSE)</f>
        <v>워드프로세서</v>
      </c>
    </row>
    <row r="152" spans="1:11" x14ac:dyDescent="0.3">
      <c r="A152" s="4">
        <v>151</v>
      </c>
      <c r="B152" s="4">
        <v>4</v>
      </c>
      <c r="C152" s="4">
        <v>1</v>
      </c>
      <c r="D152" s="4">
        <v>49</v>
      </c>
      <c r="E152" s="4">
        <v>18</v>
      </c>
      <c r="F152" s="5">
        <v>44371</v>
      </c>
      <c r="G152" s="5">
        <v>44378</v>
      </c>
      <c r="H152" s="5">
        <v>44379</v>
      </c>
      <c r="I152" s="4">
        <v>30</v>
      </c>
      <c r="J152" s="4" t="s">
        <v>198</v>
      </c>
      <c r="K152" s="5" t="str">
        <f>VLOOKUP(표5[[#This Row],[종목]],표2[],2,FALSE)</f>
        <v>워드프로세서</v>
      </c>
    </row>
    <row r="153" spans="1:11" x14ac:dyDescent="0.3">
      <c r="A153" s="4">
        <v>152</v>
      </c>
      <c r="B153" s="4">
        <v>4</v>
      </c>
      <c r="C153" s="4">
        <v>1</v>
      </c>
      <c r="D153" s="4">
        <v>151</v>
      </c>
      <c r="E153" s="4">
        <v>39</v>
      </c>
      <c r="F153" s="5">
        <v>44389</v>
      </c>
      <c r="G153" s="5">
        <v>44396</v>
      </c>
      <c r="H153" s="5">
        <v>44397</v>
      </c>
      <c r="I153" s="4">
        <v>20</v>
      </c>
      <c r="J153" s="4" t="s">
        <v>198</v>
      </c>
      <c r="K153" s="5" t="str">
        <f>VLOOKUP(표5[[#This Row],[종목]],표2[],2,FALSE)</f>
        <v>워드프로세서</v>
      </c>
    </row>
    <row r="154" spans="1:11" x14ac:dyDescent="0.3">
      <c r="A154" s="4">
        <v>333</v>
      </c>
      <c r="B154" s="4">
        <v>5</v>
      </c>
      <c r="C154" s="4">
        <v>1</v>
      </c>
      <c r="D154" s="4">
        <v>78</v>
      </c>
      <c r="E154" s="4">
        <v>24</v>
      </c>
      <c r="F154" s="5">
        <v>44379</v>
      </c>
      <c r="G154" s="5">
        <v>44386</v>
      </c>
      <c r="H154" s="5">
        <v>44387</v>
      </c>
      <c r="I154" s="4">
        <v>0</v>
      </c>
      <c r="J154" s="4" t="s">
        <v>198</v>
      </c>
      <c r="K154" s="5" t="str">
        <f>VLOOKUP(표5[[#This Row],[종목]],표2[],2,FALSE)</f>
        <v>워드프로세서</v>
      </c>
    </row>
    <row r="155" spans="1:11" x14ac:dyDescent="0.3">
      <c r="A155" s="4">
        <v>154</v>
      </c>
      <c r="B155" s="4">
        <v>21</v>
      </c>
      <c r="C155" s="4">
        <v>1</v>
      </c>
      <c r="D155" s="4">
        <v>49</v>
      </c>
      <c r="E155" s="4">
        <v>18</v>
      </c>
      <c r="F155" s="5">
        <v>44371</v>
      </c>
      <c r="G155" s="5">
        <v>44378</v>
      </c>
      <c r="H155" s="5">
        <v>44379</v>
      </c>
      <c r="I155" s="4">
        <v>0</v>
      </c>
      <c r="J155" s="4" t="s">
        <v>198</v>
      </c>
      <c r="K155" s="5" t="str">
        <f>VLOOKUP(표5[[#This Row],[종목]],표2[],2,FALSE)</f>
        <v>워드프로세서</v>
      </c>
    </row>
    <row r="156" spans="1:11" x14ac:dyDescent="0.3">
      <c r="A156" s="4">
        <v>155</v>
      </c>
      <c r="B156" s="4">
        <v>9</v>
      </c>
      <c r="C156" s="4">
        <v>1</v>
      </c>
      <c r="D156" s="4">
        <v>49</v>
      </c>
      <c r="E156" s="4">
        <v>18</v>
      </c>
      <c r="F156" s="5">
        <v>44371</v>
      </c>
      <c r="G156" s="5">
        <v>44378</v>
      </c>
      <c r="H156" s="5">
        <v>44379</v>
      </c>
      <c r="I156" s="4">
        <v>10</v>
      </c>
      <c r="J156" s="4" t="s">
        <v>198</v>
      </c>
      <c r="K156" s="5" t="str">
        <f>VLOOKUP(표5[[#This Row],[종목]],표2[],2,FALSE)</f>
        <v>워드프로세서</v>
      </c>
    </row>
    <row r="157" spans="1:11" x14ac:dyDescent="0.3">
      <c r="A157" s="4">
        <v>156</v>
      </c>
      <c r="B157" s="4">
        <v>15</v>
      </c>
      <c r="C157" s="4">
        <v>1</v>
      </c>
      <c r="D157" s="4">
        <v>51</v>
      </c>
      <c r="E157" s="4">
        <v>19</v>
      </c>
      <c r="F157" s="5">
        <v>44372</v>
      </c>
      <c r="G157" s="5">
        <v>44379</v>
      </c>
      <c r="H157" s="5">
        <v>44380</v>
      </c>
      <c r="I157" s="4">
        <v>40</v>
      </c>
      <c r="J157" s="4" t="s">
        <v>198</v>
      </c>
      <c r="K157" s="5" t="str">
        <f>VLOOKUP(표5[[#This Row],[종목]],표2[],2,FALSE)</f>
        <v>워드프로세서</v>
      </c>
    </row>
    <row r="158" spans="1:11" x14ac:dyDescent="0.3">
      <c r="A158" s="4">
        <v>157</v>
      </c>
      <c r="B158" s="4">
        <v>6</v>
      </c>
      <c r="C158" s="4">
        <v>1</v>
      </c>
      <c r="D158" s="4">
        <v>151</v>
      </c>
      <c r="E158" s="4">
        <v>39</v>
      </c>
      <c r="F158" s="5">
        <v>44389</v>
      </c>
      <c r="G158" s="5">
        <v>44396</v>
      </c>
      <c r="H158" s="5">
        <v>44397</v>
      </c>
      <c r="I158" s="4">
        <v>90</v>
      </c>
      <c r="J158" s="4" t="s">
        <v>199</v>
      </c>
      <c r="K158" s="5" t="str">
        <f>VLOOKUP(표5[[#This Row],[종목]],표2[],2,FALSE)</f>
        <v>워드프로세서</v>
      </c>
    </row>
    <row r="159" spans="1:11" x14ac:dyDescent="0.3">
      <c r="A159" s="4">
        <v>158</v>
      </c>
      <c r="B159" s="4">
        <v>3</v>
      </c>
      <c r="C159" s="4">
        <v>1</v>
      </c>
      <c r="D159" s="4">
        <v>51</v>
      </c>
      <c r="E159" s="4">
        <v>19</v>
      </c>
      <c r="F159" s="5">
        <v>44372</v>
      </c>
      <c r="G159" s="5">
        <v>44379</v>
      </c>
      <c r="H159" s="5">
        <v>44380</v>
      </c>
      <c r="I159" s="4">
        <v>10</v>
      </c>
      <c r="J159" s="4" t="s">
        <v>198</v>
      </c>
      <c r="K159" s="5" t="str">
        <f>VLOOKUP(표5[[#This Row],[종목]],표2[],2,FALSE)</f>
        <v>워드프로세서</v>
      </c>
    </row>
    <row r="160" spans="1:11" x14ac:dyDescent="0.3">
      <c r="A160" s="4">
        <v>159</v>
      </c>
      <c r="B160" s="4">
        <v>20</v>
      </c>
      <c r="C160" s="4">
        <v>1</v>
      </c>
      <c r="D160" s="4">
        <v>51</v>
      </c>
      <c r="E160" s="4">
        <v>19</v>
      </c>
      <c r="F160" s="5">
        <v>44372</v>
      </c>
      <c r="G160" s="5">
        <v>44379</v>
      </c>
      <c r="H160" s="5">
        <v>44380</v>
      </c>
      <c r="I160" s="4">
        <v>10</v>
      </c>
      <c r="J160" s="4" t="s">
        <v>198</v>
      </c>
      <c r="K160" s="5" t="str">
        <f>VLOOKUP(표5[[#This Row],[종목]],표2[],2,FALSE)</f>
        <v>워드프로세서</v>
      </c>
    </row>
    <row r="161" spans="1:11" x14ac:dyDescent="0.3">
      <c r="A161" s="4">
        <v>160</v>
      </c>
      <c r="B161" s="4">
        <v>5</v>
      </c>
      <c r="C161" s="4">
        <v>6</v>
      </c>
      <c r="D161" s="4">
        <v>92</v>
      </c>
      <c r="E161" s="4">
        <v>5</v>
      </c>
      <c r="F161" s="5">
        <v>44350</v>
      </c>
      <c r="G161" s="5">
        <v>44357</v>
      </c>
      <c r="H161" s="5">
        <v>44358</v>
      </c>
      <c r="I161" s="4">
        <v>50</v>
      </c>
      <c r="J161" s="4" t="s">
        <v>198</v>
      </c>
      <c r="K161" s="5" t="str">
        <f>VLOOKUP(표5[[#This Row],[종목]],표2[],2,FALSE)</f>
        <v>비서</v>
      </c>
    </row>
    <row r="162" spans="1:11" x14ac:dyDescent="0.3">
      <c r="A162" s="4">
        <v>161</v>
      </c>
      <c r="B162" s="4">
        <v>6</v>
      </c>
      <c r="C162" s="4">
        <v>6</v>
      </c>
      <c r="D162" s="4">
        <v>92</v>
      </c>
      <c r="E162" s="4">
        <v>5</v>
      </c>
      <c r="F162" s="5">
        <v>44350</v>
      </c>
      <c r="G162" s="5">
        <v>44357</v>
      </c>
      <c r="H162" s="5">
        <v>44358</v>
      </c>
      <c r="I162" s="4">
        <v>40</v>
      </c>
      <c r="J162" s="4" t="s">
        <v>198</v>
      </c>
      <c r="K162" s="5" t="str">
        <f>VLOOKUP(표5[[#This Row],[종목]],표2[],2,FALSE)</f>
        <v>비서</v>
      </c>
    </row>
    <row r="163" spans="1:11" x14ac:dyDescent="0.3">
      <c r="A163" s="4">
        <v>114</v>
      </c>
      <c r="B163" s="4">
        <v>7</v>
      </c>
      <c r="C163" s="4">
        <v>6</v>
      </c>
      <c r="D163" s="4">
        <v>72</v>
      </c>
      <c r="E163" s="4">
        <v>2</v>
      </c>
      <c r="F163" s="5">
        <v>44333</v>
      </c>
      <c r="G163" s="5">
        <v>44340</v>
      </c>
      <c r="H163" s="5">
        <v>44341</v>
      </c>
      <c r="I163" s="4">
        <v>60</v>
      </c>
      <c r="J163" s="4" t="s">
        <v>198</v>
      </c>
      <c r="K163" s="5" t="str">
        <f>VLOOKUP(표5[[#This Row],[종목]],표2[],2,FALSE)</f>
        <v>비서</v>
      </c>
    </row>
    <row r="164" spans="1:11" x14ac:dyDescent="0.3">
      <c r="A164" s="4">
        <v>163</v>
      </c>
      <c r="B164" s="4">
        <v>8</v>
      </c>
      <c r="C164" s="4">
        <v>6</v>
      </c>
      <c r="D164" s="4">
        <v>92</v>
      </c>
      <c r="E164" s="4">
        <v>5</v>
      </c>
      <c r="F164" s="5">
        <v>44350</v>
      </c>
      <c r="G164" s="5">
        <v>44357</v>
      </c>
      <c r="H164" s="5">
        <v>44358</v>
      </c>
      <c r="I164" s="4">
        <v>40</v>
      </c>
      <c r="J164" s="4" t="s">
        <v>198</v>
      </c>
      <c r="K164" s="5" t="str">
        <f>VLOOKUP(표5[[#This Row],[종목]],표2[],2,FALSE)</f>
        <v>비서</v>
      </c>
    </row>
    <row r="165" spans="1:11" x14ac:dyDescent="0.3">
      <c r="A165" s="4">
        <v>164</v>
      </c>
      <c r="B165" s="4">
        <v>9</v>
      </c>
      <c r="C165" s="4">
        <v>6</v>
      </c>
      <c r="D165" s="4">
        <v>92</v>
      </c>
      <c r="E165" s="4">
        <v>5</v>
      </c>
      <c r="F165" s="5">
        <v>44350</v>
      </c>
      <c r="G165" s="5">
        <v>44357</v>
      </c>
      <c r="H165" s="5">
        <v>44358</v>
      </c>
      <c r="I165" s="4">
        <v>70</v>
      </c>
      <c r="J165" s="4" t="s">
        <v>198</v>
      </c>
      <c r="K165" s="5" t="str">
        <f>VLOOKUP(표5[[#This Row],[종목]],표2[],2,FALSE)</f>
        <v>비서</v>
      </c>
    </row>
    <row r="166" spans="1:11" x14ac:dyDescent="0.3">
      <c r="A166" s="4">
        <v>165</v>
      </c>
      <c r="B166" s="4">
        <v>15</v>
      </c>
      <c r="C166" s="4">
        <v>6</v>
      </c>
      <c r="D166" s="4">
        <v>92</v>
      </c>
      <c r="E166" s="4">
        <v>5</v>
      </c>
      <c r="F166" s="5">
        <v>44350</v>
      </c>
      <c r="G166" s="5">
        <v>44357</v>
      </c>
      <c r="H166" s="5">
        <v>44358</v>
      </c>
      <c r="I166" s="4">
        <v>0</v>
      </c>
      <c r="J166" s="4" t="s">
        <v>198</v>
      </c>
      <c r="K166" s="5" t="str">
        <f>VLOOKUP(표5[[#This Row],[종목]],표2[],2,FALSE)</f>
        <v>비서</v>
      </c>
    </row>
    <row r="167" spans="1:11" x14ac:dyDescent="0.3">
      <c r="A167" s="4">
        <v>166</v>
      </c>
      <c r="B167" s="4">
        <v>30</v>
      </c>
      <c r="C167" s="4">
        <v>1</v>
      </c>
      <c r="D167" s="4">
        <v>46</v>
      </c>
      <c r="E167" s="4">
        <v>17</v>
      </c>
      <c r="F167" s="5">
        <v>44368</v>
      </c>
      <c r="G167" s="5">
        <v>44375</v>
      </c>
      <c r="H167" s="5">
        <v>44376</v>
      </c>
      <c r="I167" s="4">
        <v>50</v>
      </c>
      <c r="J167" s="4" t="s">
        <v>198</v>
      </c>
      <c r="K167" s="5" t="str">
        <f>VLOOKUP(표5[[#This Row],[종목]],표2[],2,FALSE)</f>
        <v>워드프로세서</v>
      </c>
    </row>
    <row r="168" spans="1:11" x14ac:dyDescent="0.3">
      <c r="A168" s="4">
        <v>167</v>
      </c>
      <c r="B168" s="4">
        <v>8</v>
      </c>
      <c r="C168" s="4">
        <v>1</v>
      </c>
      <c r="D168" s="4">
        <v>151</v>
      </c>
      <c r="E168" s="4">
        <v>39</v>
      </c>
      <c r="F168" s="5">
        <v>44389</v>
      </c>
      <c r="G168" s="5">
        <v>44396</v>
      </c>
      <c r="H168" s="5">
        <v>44397</v>
      </c>
      <c r="I168" s="4">
        <v>70</v>
      </c>
      <c r="J168" s="4" t="s">
        <v>199</v>
      </c>
      <c r="K168" s="5" t="str">
        <f>VLOOKUP(표5[[#This Row],[종목]],표2[],2,FALSE)</f>
        <v>워드프로세서</v>
      </c>
    </row>
    <row r="169" spans="1:11" x14ac:dyDescent="0.3">
      <c r="A169" s="4">
        <v>168</v>
      </c>
      <c r="B169" s="4">
        <v>9</v>
      </c>
      <c r="C169" s="4">
        <v>1</v>
      </c>
      <c r="D169" s="4">
        <v>17</v>
      </c>
      <c r="E169" s="4">
        <v>11</v>
      </c>
      <c r="F169" s="5">
        <v>44365</v>
      </c>
      <c r="G169" s="5">
        <v>44372</v>
      </c>
      <c r="H169" s="5">
        <v>44373</v>
      </c>
      <c r="I169" s="4">
        <v>30</v>
      </c>
      <c r="J169" s="4" t="s">
        <v>198</v>
      </c>
      <c r="K169" s="5" t="str">
        <f>VLOOKUP(표5[[#This Row],[종목]],표2[],2,FALSE)</f>
        <v>워드프로세서</v>
      </c>
    </row>
    <row r="170" spans="1:11" x14ac:dyDescent="0.3">
      <c r="A170" s="4">
        <v>169</v>
      </c>
      <c r="B170" s="4">
        <v>2</v>
      </c>
      <c r="C170" s="4">
        <v>1</v>
      </c>
      <c r="D170" s="4">
        <v>49</v>
      </c>
      <c r="E170" s="4">
        <v>18</v>
      </c>
      <c r="F170" s="5">
        <v>44371</v>
      </c>
      <c r="G170" s="5">
        <v>44378</v>
      </c>
      <c r="H170" s="5">
        <v>44379</v>
      </c>
      <c r="I170" s="4">
        <v>30</v>
      </c>
      <c r="J170" s="4" t="s">
        <v>198</v>
      </c>
      <c r="K170" s="5" t="str">
        <f>VLOOKUP(표5[[#This Row],[종목]],표2[],2,FALSE)</f>
        <v>워드프로세서</v>
      </c>
    </row>
    <row r="171" spans="1:11" x14ac:dyDescent="0.3">
      <c r="A171" s="4">
        <v>170</v>
      </c>
      <c r="B171" s="4">
        <v>15</v>
      </c>
      <c r="C171" s="4">
        <v>1</v>
      </c>
      <c r="D171" s="4">
        <v>51</v>
      </c>
      <c r="E171" s="4">
        <v>19</v>
      </c>
      <c r="F171" s="5">
        <v>44372</v>
      </c>
      <c r="G171" s="5">
        <v>44379</v>
      </c>
      <c r="H171" s="5">
        <v>44380</v>
      </c>
      <c r="I171" s="4">
        <v>20</v>
      </c>
      <c r="J171" s="4" t="s">
        <v>198</v>
      </c>
      <c r="K171" s="5" t="str">
        <f>VLOOKUP(표5[[#This Row],[종목]],표2[],2,FALSE)</f>
        <v>워드프로세서</v>
      </c>
    </row>
    <row r="172" spans="1:11" x14ac:dyDescent="0.3">
      <c r="A172" s="4">
        <v>171</v>
      </c>
      <c r="B172" s="4">
        <v>2</v>
      </c>
      <c r="C172" s="4">
        <v>1</v>
      </c>
      <c r="D172" s="4">
        <v>65</v>
      </c>
      <c r="E172" s="4">
        <v>20</v>
      </c>
      <c r="F172" s="5">
        <v>44372</v>
      </c>
      <c r="G172" s="5">
        <v>44379</v>
      </c>
      <c r="H172" s="5">
        <v>44380</v>
      </c>
      <c r="I172" s="4">
        <v>50</v>
      </c>
      <c r="J172" s="4" t="s">
        <v>198</v>
      </c>
      <c r="K172" s="5" t="str">
        <f>VLOOKUP(표5[[#This Row],[종목]],표2[],2,FALSE)</f>
        <v>워드프로세서</v>
      </c>
    </row>
    <row r="173" spans="1:11" x14ac:dyDescent="0.3">
      <c r="A173" s="4">
        <v>172</v>
      </c>
      <c r="B173" s="4">
        <v>29</v>
      </c>
      <c r="C173" s="4">
        <v>3</v>
      </c>
      <c r="D173" s="4">
        <v>28</v>
      </c>
      <c r="E173" s="4">
        <v>6</v>
      </c>
      <c r="F173" s="5">
        <v>44363</v>
      </c>
      <c r="G173" s="5">
        <v>44370</v>
      </c>
      <c r="H173" s="5">
        <v>44370</v>
      </c>
      <c r="I173" s="4">
        <v>60</v>
      </c>
      <c r="J173" s="4" t="s">
        <v>198</v>
      </c>
      <c r="K173" s="5" t="str">
        <f>VLOOKUP(표5[[#This Row],[종목]],표2[],2,FALSE)</f>
        <v>컴퓨터활용능력</v>
      </c>
    </row>
    <row r="174" spans="1:11" x14ac:dyDescent="0.3">
      <c r="A174" s="4">
        <v>173</v>
      </c>
      <c r="B174" s="4">
        <v>30</v>
      </c>
      <c r="C174" s="4">
        <v>3</v>
      </c>
      <c r="D174" s="4">
        <v>28</v>
      </c>
      <c r="E174" s="4">
        <v>6</v>
      </c>
      <c r="F174" s="5">
        <v>44363</v>
      </c>
      <c r="G174" s="5">
        <v>44370</v>
      </c>
      <c r="H174" s="5">
        <v>44370</v>
      </c>
      <c r="I174" s="4">
        <v>30</v>
      </c>
      <c r="J174" s="4" t="s">
        <v>198</v>
      </c>
      <c r="K174" s="5" t="str">
        <f>VLOOKUP(표5[[#This Row],[종목]],표2[],2,FALSE)</f>
        <v>컴퓨터활용능력</v>
      </c>
    </row>
    <row r="175" spans="1:11" x14ac:dyDescent="0.3">
      <c r="A175" s="4">
        <v>174</v>
      </c>
      <c r="B175" s="4">
        <v>1</v>
      </c>
      <c r="C175" s="4">
        <v>3</v>
      </c>
      <c r="D175" s="4">
        <v>28</v>
      </c>
      <c r="E175" s="4">
        <v>6</v>
      </c>
      <c r="F175" s="5">
        <v>44363</v>
      </c>
      <c r="G175" s="5">
        <v>44370</v>
      </c>
      <c r="H175" s="5">
        <v>44370</v>
      </c>
      <c r="I175" s="4">
        <v>40</v>
      </c>
      <c r="J175" s="4" t="s">
        <v>198</v>
      </c>
      <c r="K175" s="5" t="str">
        <f>VLOOKUP(표5[[#This Row],[종목]],표2[],2,FALSE)</f>
        <v>컴퓨터활용능력</v>
      </c>
    </row>
    <row r="176" spans="1:11" x14ac:dyDescent="0.3">
      <c r="A176" s="4">
        <v>175</v>
      </c>
      <c r="B176" s="4">
        <v>2</v>
      </c>
      <c r="C176" s="4">
        <v>3</v>
      </c>
      <c r="D176" s="4">
        <v>28</v>
      </c>
      <c r="E176" s="4">
        <v>6</v>
      </c>
      <c r="F176" s="5">
        <v>44363</v>
      </c>
      <c r="G176" s="5">
        <v>44370</v>
      </c>
      <c r="H176" s="5">
        <v>44370</v>
      </c>
      <c r="I176" s="4">
        <v>40</v>
      </c>
      <c r="J176" s="4" t="s">
        <v>198</v>
      </c>
      <c r="K176" s="5" t="str">
        <f>VLOOKUP(표5[[#This Row],[종목]],표2[],2,FALSE)</f>
        <v>컴퓨터활용능력</v>
      </c>
    </row>
    <row r="177" spans="1:11" x14ac:dyDescent="0.3">
      <c r="A177" s="4">
        <v>176</v>
      </c>
      <c r="B177" s="4">
        <v>21</v>
      </c>
      <c r="C177" s="4">
        <v>3</v>
      </c>
      <c r="D177" s="4">
        <v>36</v>
      </c>
      <c r="E177" s="4">
        <v>7</v>
      </c>
      <c r="F177" s="5">
        <v>44363</v>
      </c>
      <c r="G177" s="5">
        <v>44370</v>
      </c>
      <c r="H177" s="5">
        <v>44370</v>
      </c>
      <c r="I177" s="4">
        <v>0</v>
      </c>
      <c r="J177" s="4" t="s">
        <v>198</v>
      </c>
      <c r="K177" s="5" t="str">
        <f>VLOOKUP(표5[[#This Row],[종목]],표2[],2,FALSE)</f>
        <v>컴퓨터활용능력</v>
      </c>
    </row>
    <row r="178" spans="1:11" x14ac:dyDescent="0.3">
      <c r="A178" s="4">
        <v>177</v>
      </c>
      <c r="B178" s="4">
        <v>12</v>
      </c>
      <c r="C178" s="4">
        <v>3</v>
      </c>
      <c r="D178" s="4">
        <v>36</v>
      </c>
      <c r="E178" s="4">
        <v>7</v>
      </c>
      <c r="F178" s="5">
        <v>44363</v>
      </c>
      <c r="G178" s="5">
        <v>44370</v>
      </c>
      <c r="H178" s="5">
        <v>44370</v>
      </c>
      <c r="I178" s="4">
        <v>50</v>
      </c>
      <c r="J178" s="4" t="s">
        <v>198</v>
      </c>
      <c r="K178" s="5" t="str">
        <f>VLOOKUP(표5[[#This Row],[종목]],표2[],2,FALSE)</f>
        <v>컴퓨터활용능력</v>
      </c>
    </row>
    <row r="179" spans="1:11" x14ac:dyDescent="0.3">
      <c r="A179" s="4">
        <v>178</v>
      </c>
      <c r="B179" s="4">
        <v>22</v>
      </c>
      <c r="C179" s="4">
        <v>3</v>
      </c>
      <c r="D179" s="4">
        <v>37</v>
      </c>
      <c r="E179" s="4">
        <v>8</v>
      </c>
      <c r="F179" s="5">
        <v>44363</v>
      </c>
      <c r="G179" s="5">
        <v>44370</v>
      </c>
      <c r="H179" s="5">
        <v>44370</v>
      </c>
      <c r="I179" s="4">
        <v>40</v>
      </c>
      <c r="J179" s="4" t="s">
        <v>198</v>
      </c>
      <c r="K179" s="5" t="str">
        <f>VLOOKUP(표5[[#This Row],[종목]],표2[],2,FALSE)</f>
        <v>컴퓨터활용능력</v>
      </c>
    </row>
    <row r="180" spans="1:11" x14ac:dyDescent="0.3">
      <c r="A180" s="4">
        <v>179</v>
      </c>
      <c r="B180" s="4">
        <v>26</v>
      </c>
      <c r="C180" s="4">
        <v>3</v>
      </c>
      <c r="D180" s="4">
        <v>37</v>
      </c>
      <c r="E180" s="4">
        <v>8</v>
      </c>
      <c r="F180" s="5">
        <v>44363</v>
      </c>
      <c r="G180" s="5">
        <v>44370</v>
      </c>
      <c r="H180" s="5">
        <v>44370</v>
      </c>
      <c r="I180" s="4">
        <v>10</v>
      </c>
      <c r="J180" s="4" t="s">
        <v>198</v>
      </c>
      <c r="K180" s="5" t="str">
        <f>VLOOKUP(표5[[#This Row],[종목]],표2[],2,FALSE)</f>
        <v>컴퓨터활용능력</v>
      </c>
    </row>
    <row r="181" spans="1:11" x14ac:dyDescent="0.3">
      <c r="A181" s="4">
        <v>180</v>
      </c>
      <c r="B181" s="4">
        <v>27</v>
      </c>
      <c r="C181" s="4">
        <v>2</v>
      </c>
      <c r="D181" s="4">
        <v>63</v>
      </c>
      <c r="E181" s="4">
        <v>6</v>
      </c>
      <c r="F181" s="5">
        <v>44363</v>
      </c>
      <c r="G181" s="5">
        <v>44370</v>
      </c>
      <c r="H181" s="5">
        <v>44370</v>
      </c>
      <c r="I181" s="4">
        <v>10</v>
      </c>
      <c r="J181" s="4" t="s">
        <v>198</v>
      </c>
      <c r="K181" s="5" t="str">
        <f>VLOOKUP(표5[[#This Row],[종목]],표2[],2,FALSE)</f>
        <v>컴퓨터활용능력</v>
      </c>
    </row>
    <row r="182" spans="1:11" x14ac:dyDescent="0.3">
      <c r="A182" s="4">
        <v>181</v>
      </c>
      <c r="B182" s="4">
        <v>28</v>
      </c>
      <c r="C182" s="4">
        <v>2</v>
      </c>
      <c r="D182" s="4">
        <v>63</v>
      </c>
      <c r="E182" s="4">
        <v>6</v>
      </c>
      <c r="F182" s="5">
        <v>44363</v>
      </c>
      <c r="G182" s="5">
        <v>44370</v>
      </c>
      <c r="H182" s="5">
        <v>44370</v>
      </c>
      <c r="I182" s="4">
        <v>50</v>
      </c>
      <c r="J182" s="4" t="s">
        <v>198</v>
      </c>
      <c r="K182" s="5" t="str">
        <f>VLOOKUP(표5[[#This Row],[종목]],표2[],2,FALSE)</f>
        <v>컴퓨터활용능력</v>
      </c>
    </row>
    <row r="183" spans="1:11" x14ac:dyDescent="0.3">
      <c r="A183" s="4">
        <v>182</v>
      </c>
      <c r="B183" s="4">
        <v>15</v>
      </c>
      <c r="C183" s="4">
        <v>2</v>
      </c>
      <c r="D183" s="4">
        <v>63</v>
      </c>
      <c r="E183" s="4">
        <v>6</v>
      </c>
      <c r="F183" s="5">
        <v>44363</v>
      </c>
      <c r="G183" s="5">
        <v>44370</v>
      </c>
      <c r="H183" s="5">
        <v>44370</v>
      </c>
      <c r="I183" s="4">
        <v>60</v>
      </c>
      <c r="J183" s="4" t="s">
        <v>198</v>
      </c>
      <c r="K183" s="5" t="str">
        <f>VLOOKUP(표5[[#This Row],[종목]],표2[],2,FALSE)</f>
        <v>컴퓨터활용능력</v>
      </c>
    </row>
    <row r="184" spans="1:11" x14ac:dyDescent="0.3">
      <c r="A184" s="4">
        <v>183</v>
      </c>
      <c r="B184" s="4">
        <v>19</v>
      </c>
      <c r="C184" s="4">
        <v>6</v>
      </c>
      <c r="D184" s="4">
        <v>99</v>
      </c>
      <c r="E184" s="4">
        <v>6</v>
      </c>
      <c r="F184" s="5">
        <v>44363</v>
      </c>
      <c r="G184" s="5">
        <v>44370</v>
      </c>
      <c r="H184" s="5">
        <v>44371</v>
      </c>
      <c r="I184" s="4">
        <v>0</v>
      </c>
      <c r="J184" s="4" t="s">
        <v>198</v>
      </c>
      <c r="K184" s="5" t="str">
        <f>VLOOKUP(표5[[#This Row],[종목]],표2[],2,FALSE)</f>
        <v>비서</v>
      </c>
    </row>
    <row r="185" spans="1:11" x14ac:dyDescent="0.3">
      <c r="A185" s="4">
        <v>184</v>
      </c>
      <c r="B185" s="4">
        <v>20</v>
      </c>
      <c r="C185" s="4">
        <v>6</v>
      </c>
      <c r="D185" s="4">
        <v>99</v>
      </c>
      <c r="E185" s="4">
        <v>6</v>
      </c>
      <c r="F185" s="5">
        <v>44363</v>
      </c>
      <c r="G185" s="5">
        <v>44370</v>
      </c>
      <c r="H185" s="5">
        <v>44371</v>
      </c>
      <c r="I185" s="4">
        <v>40</v>
      </c>
      <c r="J185" s="4" t="s">
        <v>198</v>
      </c>
      <c r="K185" s="5" t="str">
        <f>VLOOKUP(표5[[#This Row],[종목]],표2[],2,FALSE)</f>
        <v>비서</v>
      </c>
    </row>
    <row r="186" spans="1:11" x14ac:dyDescent="0.3">
      <c r="A186" s="4">
        <v>185</v>
      </c>
      <c r="B186" s="4">
        <v>21</v>
      </c>
      <c r="C186" s="4">
        <v>6</v>
      </c>
      <c r="D186" s="4">
        <v>99</v>
      </c>
      <c r="E186" s="4">
        <v>6</v>
      </c>
      <c r="F186" s="5">
        <v>44363</v>
      </c>
      <c r="G186" s="5">
        <v>44370</v>
      </c>
      <c r="H186" s="5">
        <v>44371</v>
      </c>
      <c r="I186" s="4">
        <v>50</v>
      </c>
      <c r="J186" s="4" t="s">
        <v>198</v>
      </c>
      <c r="K186" s="5" t="str">
        <f>VLOOKUP(표5[[#This Row],[종목]],표2[],2,FALSE)</f>
        <v>비서</v>
      </c>
    </row>
    <row r="187" spans="1:11" x14ac:dyDescent="0.3">
      <c r="A187" s="4">
        <v>186</v>
      </c>
      <c r="B187" s="4">
        <v>25</v>
      </c>
      <c r="C187" s="4">
        <v>6</v>
      </c>
      <c r="D187" s="4">
        <v>99</v>
      </c>
      <c r="E187" s="4">
        <v>6</v>
      </c>
      <c r="F187" s="5">
        <v>44363</v>
      </c>
      <c r="G187" s="5">
        <v>44370</v>
      </c>
      <c r="H187" s="5">
        <v>44371</v>
      </c>
      <c r="I187" s="4">
        <v>60</v>
      </c>
      <c r="J187" s="4" t="s">
        <v>198</v>
      </c>
      <c r="K187" s="5" t="str">
        <f>VLOOKUP(표5[[#This Row],[종목]],표2[],2,FALSE)</f>
        <v>비서</v>
      </c>
    </row>
    <row r="188" spans="1:11" x14ac:dyDescent="0.3">
      <c r="A188" s="4">
        <v>187</v>
      </c>
      <c r="B188" s="4">
        <v>30</v>
      </c>
      <c r="C188" s="4">
        <v>6</v>
      </c>
      <c r="D188" s="4">
        <v>99</v>
      </c>
      <c r="E188" s="4">
        <v>6</v>
      </c>
      <c r="F188" s="5">
        <v>44363</v>
      </c>
      <c r="G188" s="5">
        <v>44370</v>
      </c>
      <c r="H188" s="5">
        <v>44371</v>
      </c>
      <c r="I188" s="4">
        <v>70</v>
      </c>
      <c r="J188" s="4" t="s">
        <v>198</v>
      </c>
      <c r="K188" s="5" t="str">
        <f>VLOOKUP(표5[[#This Row],[종목]],표2[],2,FALSE)</f>
        <v>비서</v>
      </c>
    </row>
    <row r="189" spans="1:11" x14ac:dyDescent="0.3">
      <c r="A189" s="4">
        <v>188</v>
      </c>
      <c r="B189" s="4">
        <v>29</v>
      </c>
      <c r="C189" s="4">
        <v>6</v>
      </c>
      <c r="D189" s="4">
        <v>99</v>
      </c>
      <c r="E189" s="4">
        <v>6</v>
      </c>
      <c r="F189" s="5">
        <v>44363</v>
      </c>
      <c r="G189" s="5">
        <v>44370</v>
      </c>
      <c r="H189" s="5">
        <v>44371</v>
      </c>
      <c r="I189" s="4">
        <v>20</v>
      </c>
      <c r="J189" s="4" t="s">
        <v>198</v>
      </c>
      <c r="K189" s="5" t="str">
        <f>VLOOKUP(표5[[#This Row],[종목]],표2[],2,FALSE)</f>
        <v>비서</v>
      </c>
    </row>
    <row r="190" spans="1:11" x14ac:dyDescent="0.3">
      <c r="A190" s="4">
        <v>189</v>
      </c>
      <c r="B190" s="4">
        <v>5</v>
      </c>
      <c r="C190" s="4">
        <v>6</v>
      </c>
      <c r="D190" s="4">
        <v>99</v>
      </c>
      <c r="E190" s="4">
        <v>6</v>
      </c>
      <c r="F190" s="5">
        <v>44363</v>
      </c>
      <c r="G190" s="5">
        <v>44370</v>
      </c>
      <c r="H190" s="5">
        <v>44371</v>
      </c>
      <c r="I190" s="4">
        <v>20</v>
      </c>
      <c r="J190" s="4" t="s">
        <v>198</v>
      </c>
      <c r="K190" s="5" t="str">
        <f>VLOOKUP(표5[[#This Row],[종목]],표2[],2,FALSE)</f>
        <v>비서</v>
      </c>
    </row>
    <row r="191" spans="1:11" x14ac:dyDescent="0.3">
      <c r="A191" s="4">
        <v>190</v>
      </c>
      <c r="B191" s="4">
        <v>6</v>
      </c>
      <c r="C191" s="4">
        <v>6</v>
      </c>
      <c r="D191" s="4">
        <v>103</v>
      </c>
      <c r="E191" s="4">
        <v>7</v>
      </c>
      <c r="F191" s="5">
        <v>44363</v>
      </c>
      <c r="G191" s="5">
        <v>44370</v>
      </c>
      <c r="H191" s="5">
        <v>44371</v>
      </c>
      <c r="I191" s="4">
        <v>0</v>
      </c>
      <c r="J191" s="4" t="s">
        <v>198</v>
      </c>
      <c r="K191" s="5" t="str">
        <f>VLOOKUP(표5[[#This Row],[종목]],표2[],2,FALSE)</f>
        <v>비서</v>
      </c>
    </row>
    <row r="192" spans="1:11" x14ac:dyDescent="0.3">
      <c r="A192" s="4">
        <v>191</v>
      </c>
      <c r="B192" s="4">
        <v>5</v>
      </c>
      <c r="C192" s="4">
        <v>6</v>
      </c>
      <c r="D192" s="4">
        <v>103</v>
      </c>
      <c r="E192" s="4">
        <v>7</v>
      </c>
      <c r="F192" s="5">
        <v>44363</v>
      </c>
      <c r="G192" s="5">
        <v>44370</v>
      </c>
      <c r="H192" s="5">
        <v>44371</v>
      </c>
      <c r="I192" s="4">
        <v>0</v>
      </c>
      <c r="J192" s="4" t="s">
        <v>198</v>
      </c>
      <c r="K192" s="5" t="str">
        <f>VLOOKUP(표5[[#This Row],[종목]],표2[],2,FALSE)</f>
        <v>비서</v>
      </c>
    </row>
    <row r="193" spans="1:11" x14ac:dyDescent="0.3">
      <c r="A193" s="4">
        <v>192</v>
      </c>
      <c r="B193" s="4">
        <v>4</v>
      </c>
      <c r="C193" s="4">
        <v>6</v>
      </c>
      <c r="D193" s="4">
        <v>103</v>
      </c>
      <c r="E193" s="4">
        <v>7</v>
      </c>
      <c r="F193" s="5">
        <v>44363</v>
      </c>
      <c r="G193" s="5">
        <v>44370</v>
      </c>
      <c r="H193" s="5">
        <v>44371</v>
      </c>
      <c r="I193" s="4">
        <v>20</v>
      </c>
      <c r="J193" s="4" t="s">
        <v>198</v>
      </c>
      <c r="K193" s="5" t="str">
        <f>VLOOKUP(표5[[#This Row],[종목]],표2[],2,FALSE)</f>
        <v>비서</v>
      </c>
    </row>
    <row r="194" spans="1:11" x14ac:dyDescent="0.3">
      <c r="A194" s="4">
        <v>193</v>
      </c>
      <c r="B194" s="4">
        <v>18</v>
      </c>
      <c r="C194" s="4">
        <v>6</v>
      </c>
      <c r="D194" s="4">
        <v>103</v>
      </c>
      <c r="E194" s="4">
        <v>7</v>
      </c>
      <c r="F194" s="5">
        <v>44363</v>
      </c>
      <c r="G194" s="5">
        <v>44370</v>
      </c>
      <c r="H194" s="5">
        <v>44371</v>
      </c>
      <c r="I194" s="4">
        <v>40</v>
      </c>
      <c r="J194" s="4" t="s">
        <v>198</v>
      </c>
      <c r="K194" s="5" t="str">
        <f>VLOOKUP(표5[[#This Row],[종목]],표2[],2,FALSE)</f>
        <v>비서</v>
      </c>
    </row>
    <row r="195" spans="1:11" x14ac:dyDescent="0.3">
      <c r="A195" s="4">
        <v>194</v>
      </c>
      <c r="B195" s="4">
        <v>17</v>
      </c>
      <c r="C195" s="4">
        <v>6</v>
      </c>
      <c r="D195" s="4">
        <v>103</v>
      </c>
      <c r="E195" s="4">
        <v>7</v>
      </c>
      <c r="F195" s="5">
        <v>44363</v>
      </c>
      <c r="G195" s="5">
        <v>44370</v>
      </c>
      <c r="H195" s="5">
        <v>44371</v>
      </c>
      <c r="I195" s="4">
        <v>50</v>
      </c>
      <c r="J195" s="4" t="s">
        <v>198</v>
      </c>
      <c r="K195" s="5" t="str">
        <f>VLOOKUP(표5[[#This Row],[종목]],표2[],2,FALSE)</f>
        <v>비서</v>
      </c>
    </row>
    <row r="196" spans="1:11" x14ac:dyDescent="0.3">
      <c r="A196" s="4">
        <v>195</v>
      </c>
      <c r="B196" s="4">
        <v>12</v>
      </c>
      <c r="C196" s="4">
        <v>6</v>
      </c>
      <c r="D196" s="4">
        <v>103</v>
      </c>
      <c r="E196" s="4">
        <v>7</v>
      </c>
      <c r="F196" s="5">
        <v>44363</v>
      </c>
      <c r="G196" s="5">
        <v>44370</v>
      </c>
      <c r="H196" s="5">
        <v>44371</v>
      </c>
      <c r="I196" s="4">
        <v>60</v>
      </c>
      <c r="J196" s="4" t="s">
        <v>198</v>
      </c>
      <c r="K196" s="5" t="str">
        <f>VLOOKUP(표5[[#This Row],[종목]],표2[],2,FALSE)</f>
        <v>비서</v>
      </c>
    </row>
    <row r="197" spans="1:11" x14ac:dyDescent="0.3">
      <c r="A197" s="4">
        <v>196</v>
      </c>
      <c r="B197" s="4">
        <v>16</v>
      </c>
      <c r="C197" s="4">
        <v>6</v>
      </c>
      <c r="D197" s="4">
        <v>106</v>
      </c>
      <c r="E197" s="4">
        <v>8</v>
      </c>
      <c r="F197" s="5">
        <v>44363</v>
      </c>
      <c r="G197" s="5">
        <v>44370</v>
      </c>
      <c r="H197" s="5">
        <v>44371</v>
      </c>
      <c r="I197" s="4">
        <v>70</v>
      </c>
      <c r="J197" s="4" t="s">
        <v>198</v>
      </c>
      <c r="K197" s="5" t="str">
        <f>VLOOKUP(표5[[#This Row],[종목]],표2[],2,FALSE)</f>
        <v>비서</v>
      </c>
    </row>
    <row r="198" spans="1:11" x14ac:dyDescent="0.3">
      <c r="A198" s="4">
        <v>197</v>
      </c>
      <c r="B198" s="4">
        <v>15</v>
      </c>
      <c r="C198" s="4">
        <v>6</v>
      </c>
      <c r="D198" s="4">
        <v>106</v>
      </c>
      <c r="E198" s="4">
        <v>8</v>
      </c>
      <c r="F198" s="5">
        <v>44363</v>
      </c>
      <c r="G198" s="5">
        <v>44370</v>
      </c>
      <c r="H198" s="5">
        <v>44371</v>
      </c>
      <c r="I198" s="4">
        <v>10</v>
      </c>
      <c r="J198" s="4" t="s">
        <v>198</v>
      </c>
      <c r="K198" s="5" t="str">
        <f>VLOOKUP(표5[[#This Row],[종목]],표2[],2,FALSE)</f>
        <v>비서</v>
      </c>
    </row>
    <row r="199" spans="1:11" x14ac:dyDescent="0.3">
      <c r="A199" s="4">
        <v>198</v>
      </c>
      <c r="B199" s="4">
        <v>30</v>
      </c>
      <c r="C199" s="4">
        <v>6</v>
      </c>
      <c r="D199" s="4">
        <v>106</v>
      </c>
      <c r="E199" s="4">
        <v>8</v>
      </c>
      <c r="F199" s="5">
        <v>44363</v>
      </c>
      <c r="G199" s="5">
        <v>44370</v>
      </c>
      <c r="H199" s="5">
        <v>44371</v>
      </c>
      <c r="I199" s="4">
        <v>10</v>
      </c>
      <c r="J199" s="4" t="s">
        <v>198</v>
      </c>
      <c r="K199" s="5" t="str">
        <f>VLOOKUP(표5[[#This Row],[종목]],표2[],2,FALSE)</f>
        <v>비서</v>
      </c>
    </row>
    <row r="200" spans="1:11" x14ac:dyDescent="0.3">
      <c r="A200" s="4">
        <v>199</v>
      </c>
      <c r="B200" s="4">
        <v>29</v>
      </c>
      <c r="C200" s="4">
        <v>6</v>
      </c>
      <c r="D200" s="4">
        <v>106</v>
      </c>
      <c r="E200" s="4">
        <v>8</v>
      </c>
      <c r="F200" s="5">
        <v>44363</v>
      </c>
      <c r="G200" s="5">
        <v>44370</v>
      </c>
      <c r="H200" s="5">
        <v>44371</v>
      </c>
      <c r="I200" s="4">
        <v>0</v>
      </c>
      <c r="J200" s="4" t="s">
        <v>198</v>
      </c>
      <c r="K200" s="5" t="str">
        <f>VLOOKUP(표5[[#This Row],[종목]],표2[],2,FALSE)</f>
        <v>비서</v>
      </c>
    </row>
    <row r="201" spans="1:11" x14ac:dyDescent="0.3">
      <c r="A201" s="4">
        <v>200</v>
      </c>
      <c r="B201" s="4">
        <v>1</v>
      </c>
      <c r="C201" s="4">
        <v>6</v>
      </c>
      <c r="D201" s="4">
        <v>106</v>
      </c>
      <c r="E201" s="4">
        <v>8</v>
      </c>
      <c r="F201" s="5">
        <v>44363</v>
      </c>
      <c r="G201" s="5">
        <v>44370</v>
      </c>
      <c r="H201" s="5">
        <v>44371</v>
      </c>
      <c r="I201" s="4">
        <v>90</v>
      </c>
      <c r="J201" s="4" t="s">
        <v>199</v>
      </c>
      <c r="K201" s="5" t="str">
        <f>VLOOKUP(표5[[#This Row],[종목]],표2[],2,FALSE)</f>
        <v>비서</v>
      </c>
    </row>
    <row r="202" spans="1:11" x14ac:dyDescent="0.3">
      <c r="A202" s="4">
        <v>201</v>
      </c>
      <c r="B202" s="4">
        <v>2</v>
      </c>
      <c r="C202" s="4">
        <v>6</v>
      </c>
      <c r="D202" s="4">
        <v>106</v>
      </c>
      <c r="E202" s="4">
        <v>8</v>
      </c>
      <c r="F202" s="5">
        <v>44363</v>
      </c>
      <c r="G202" s="5">
        <v>44370</v>
      </c>
      <c r="H202" s="5">
        <v>44371</v>
      </c>
      <c r="I202" s="4">
        <v>50</v>
      </c>
      <c r="J202" s="4" t="s">
        <v>198</v>
      </c>
      <c r="K202" s="5" t="str">
        <f>VLOOKUP(표5[[#This Row],[종목]],표2[],2,FALSE)</f>
        <v>비서</v>
      </c>
    </row>
    <row r="203" spans="1:11" x14ac:dyDescent="0.3">
      <c r="A203" s="4">
        <v>202</v>
      </c>
      <c r="B203" s="4">
        <v>9</v>
      </c>
      <c r="C203" s="4">
        <v>1</v>
      </c>
      <c r="D203" s="4">
        <v>150</v>
      </c>
      <c r="E203" s="4">
        <v>38</v>
      </c>
      <c r="F203" s="5">
        <v>44389</v>
      </c>
      <c r="G203" s="5">
        <v>44396</v>
      </c>
      <c r="H203" s="5">
        <v>44397</v>
      </c>
      <c r="I203" s="4">
        <v>80</v>
      </c>
      <c r="J203" s="4" t="s">
        <v>199</v>
      </c>
      <c r="K203" s="5" t="str">
        <f>VLOOKUP(표5[[#This Row],[종목]],표2[],2,FALSE)</f>
        <v>워드프로세서</v>
      </c>
    </row>
    <row r="204" spans="1:11" x14ac:dyDescent="0.3">
      <c r="A204" s="4">
        <v>203</v>
      </c>
      <c r="B204" s="4">
        <v>21</v>
      </c>
      <c r="C204" s="4">
        <v>3</v>
      </c>
      <c r="D204" s="4">
        <v>40</v>
      </c>
      <c r="E204" s="4">
        <v>9</v>
      </c>
      <c r="F204" s="5">
        <v>44365</v>
      </c>
      <c r="G204" s="5">
        <v>44372</v>
      </c>
      <c r="H204" s="5">
        <v>44372</v>
      </c>
      <c r="I204" s="4">
        <v>0</v>
      </c>
      <c r="J204" s="4" t="s">
        <v>198</v>
      </c>
      <c r="K204" s="5" t="str">
        <f>VLOOKUP(표5[[#This Row],[종목]],표2[],2,FALSE)</f>
        <v>컴퓨터활용능력</v>
      </c>
    </row>
    <row r="205" spans="1:11" x14ac:dyDescent="0.3">
      <c r="A205" s="4">
        <v>204</v>
      </c>
      <c r="B205" s="4">
        <v>12</v>
      </c>
      <c r="C205" s="4">
        <v>3</v>
      </c>
      <c r="D205" s="4">
        <v>53</v>
      </c>
      <c r="E205" s="4">
        <v>10</v>
      </c>
      <c r="F205" s="5">
        <v>44365</v>
      </c>
      <c r="G205" s="5">
        <v>44372</v>
      </c>
      <c r="H205" s="5">
        <v>44372</v>
      </c>
      <c r="I205" s="4">
        <v>80</v>
      </c>
      <c r="J205" s="4" t="s">
        <v>199</v>
      </c>
      <c r="K205" s="5" t="str">
        <f>VLOOKUP(표5[[#This Row],[종목]],표2[],2,FALSE)</f>
        <v>컴퓨터활용능력</v>
      </c>
    </row>
    <row r="206" spans="1:11" x14ac:dyDescent="0.3">
      <c r="A206" s="4">
        <v>205</v>
      </c>
      <c r="B206" s="4">
        <v>2</v>
      </c>
      <c r="C206" s="4">
        <v>3</v>
      </c>
      <c r="D206" s="4">
        <v>53</v>
      </c>
      <c r="E206" s="4">
        <v>10</v>
      </c>
      <c r="F206" s="5">
        <v>44365</v>
      </c>
      <c r="G206" s="5">
        <v>44372</v>
      </c>
      <c r="H206" s="5">
        <v>44372</v>
      </c>
      <c r="I206" s="4">
        <v>40</v>
      </c>
      <c r="J206" s="4" t="s">
        <v>198</v>
      </c>
      <c r="K206" s="5" t="str">
        <f>VLOOKUP(표5[[#This Row],[종목]],표2[],2,FALSE)</f>
        <v>컴퓨터활용능력</v>
      </c>
    </row>
    <row r="207" spans="1:11" x14ac:dyDescent="0.3">
      <c r="A207" s="4">
        <v>206</v>
      </c>
      <c r="B207" s="4">
        <v>26</v>
      </c>
      <c r="C207" s="4">
        <v>3</v>
      </c>
      <c r="D207" s="4">
        <v>62</v>
      </c>
      <c r="E207" s="4">
        <v>11</v>
      </c>
      <c r="F207" s="5">
        <v>44365</v>
      </c>
      <c r="G207" s="5">
        <v>44372</v>
      </c>
      <c r="H207" s="5">
        <v>44372</v>
      </c>
      <c r="I207" s="4">
        <v>0</v>
      </c>
      <c r="J207" s="4" t="s">
        <v>198</v>
      </c>
      <c r="K207" s="5" t="str">
        <f>VLOOKUP(표5[[#This Row],[종목]],표2[],2,FALSE)</f>
        <v>컴퓨터활용능력</v>
      </c>
    </row>
    <row r="208" spans="1:11" x14ac:dyDescent="0.3">
      <c r="A208" s="4">
        <v>207</v>
      </c>
      <c r="B208" s="4">
        <v>27</v>
      </c>
      <c r="C208" s="4">
        <v>3</v>
      </c>
      <c r="D208" s="4">
        <v>62</v>
      </c>
      <c r="E208" s="4">
        <v>11</v>
      </c>
      <c r="F208" s="5">
        <v>44365</v>
      </c>
      <c r="G208" s="5">
        <v>44372</v>
      </c>
      <c r="H208" s="5">
        <v>44372</v>
      </c>
      <c r="I208" s="4">
        <v>0</v>
      </c>
      <c r="J208" s="4" t="s">
        <v>198</v>
      </c>
      <c r="K208" s="5" t="str">
        <f>VLOOKUP(표5[[#This Row],[종목]],표2[],2,FALSE)</f>
        <v>컴퓨터활용능력</v>
      </c>
    </row>
    <row r="209" spans="1:11" x14ac:dyDescent="0.3">
      <c r="A209" s="4">
        <v>208</v>
      </c>
      <c r="B209" s="4">
        <v>28</v>
      </c>
      <c r="C209" s="4">
        <v>3</v>
      </c>
      <c r="D209" s="4">
        <v>62</v>
      </c>
      <c r="E209" s="4">
        <v>11</v>
      </c>
      <c r="F209" s="5">
        <v>44365</v>
      </c>
      <c r="G209" s="5">
        <v>44372</v>
      </c>
      <c r="H209" s="5">
        <v>44372</v>
      </c>
      <c r="I209" s="4">
        <v>10</v>
      </c>
      <c r="J209" s="4" t="s">
        <v>198</v>
      </c>
      <c r="K209" s="5" t="str">
        <f>VLOOKUP(표5[[#This Row],[종목]],표2[],2,FALSE)</f>
        <v>컴퓨터활용능력</v>
      </c>
    </row>
    <row r="210" spans="1:11" x14ac:dyDescent="0.3">
      <c r="A210" s="4">
        <v>209</v>
      </c>
      <c r="B210" s="4">
        <v>30</v>
      </c>
      <c r="C210" s="4">
        <v>3</v>
      </c>
      <c r="D210" s="4">
        <v>75</v>
      </c>
      <c r="E210" s="4">
        <v>12</v>
      </c>
      <c r="F210" s="5">
        <v>44365</v>
      </c>
      <c r="G210" s="5">
        <v>44372</v>
      </c>
      <c r="H210" s="5">
        <v>44372</v>
      </c>
      <c r="I210" s="4">
        <v>0</v>
      </c>
      <c r="J210" s="4" t="s">
        <v>198</v>
      </c>
      <c r="K210" s="5" t="str">
        <f>VLOOKUP(표5[[#This Row],[종목]],표2[],2,FALSE)</f>
        <v>컴퓨터활용능력</v>
      </c>
    </row>
    <row r="211" spans="1:11" x14ac:dyDescent="0.3">
      <c r="A211" s="4">
        <v>210</v>
      </c>
      <c r="B211" s="4">
        <v>3</v>
      </c>
      <c r="C211" s="4">
        <v>3</v>
      </c>
      <c r="D211" s="4">
        <v>75</v>
      </c>
      <c r="E211" s="4">
        <v>12</v>
      </c>
      <c r="F211" s="5">
        <v>44365</v>
      </c>
      <c r="G211" s="5">
        <v>44372</v>
      </c>
      <c r="H211" s="5">
        <v>44372</v>
      </c>
      <c r="I211" s="4">
        <v>30</v>
      </c>
      <c r="J211" s="4" t="s">
        <v>198</v>
      </c>
      <c r="K211" s="5" t="str">
        <f>VLOOKUP(표5[[#This Row],[종목]],표2[],2,FALSE)</f>
        <v>컴퓨터활용능력</v>
      </c>
    </row>
    <row r="212" spans="1:11" x14ac:dyDescent="0.3">
      <c r="A212" s="4">
        <v>211</v>
      </c>
      <c r="B212" s="4">
        <v>4</v>
      </c>
      <c r="C212" s="4">
        <v>3</v>
      </c>
      <c r="D212" s="4">
        <v>75</v>
      </c>
      <c r="E212" s="4">
        <v>12</v>
      </c>
      <c r="F212" s="5">
        <v>44365</v>
      </c>
      <c r="G212" s="5">
        <v>44372</v>
      </c>
      <c r="H212" s="5">
        <v>44372</v>
      </c>
      <c r="I212" s="4">
        <v>10</v>
      </c>
      <c r="J212" s="4" t="s">
        <v>198</v>
      </c>
      <c r="K212" s="5" t="str">
        <f>VLOOKUP(표5[[#This Row],[종목]],표2[],2,FALSE)</f>
        <v>컴퓨터활용능력</v>
      </c>
    </row>
    <row r="213" spans="1:11" x14ac:dyDescent="0.3">
      <c r="A213" s="4">
        <v>212</v>
      </c>
      <c r="B213" s="4">
        <v>27</v>
      </c>
      <c r="C213" s="4">
        <v>4</v>
      </c>
      <c r="D213" s="4">
        <v>50</v>
      </c>
      <c r="E213" s="4">
        <v>10</v>
      </c>
      <c r="F213" s="5">
        <v>44365</v>
      </c>
      <c r="G213" s="5">
        <v>44372</v>
      </c>
      <c r="H213" s="5">
        <v>44373</v>
      </c>
      <c r="I213" s="4">
        <v>20</v>
      </c>
      <c r="J213" s="4" t="s">
        <v>198</v>
      </c>
      <c r="K213" s="5" t="str">
        <f>VLOOKUP(표5[[#This Row],[종목]],표2[],2,FALSE)</f>
        <v>비서</v>
      </c>
    </row>
    <row r="214" spans="1:11" x14ac:dyDescent="0.3">
      <c r="A214" s="4">
        <v>213</v>
      </c>
      <c r="B214" s="4">
        <v>28</v>
      </c>
      <c r="C214" s="4">
        <v>4</v>
      </c>
      <c r="D214" s="4">
        <v>50</v>
      </c>
      <c r="E214" s="4">
        <v>10</v>
      </c>
      <c r="F214" s="5">
        <v>44365</v>
      </c>
      <c r="G214" s="5">
        <v>44372</v>
      </c>
      <c r="H214" s="5">
        <v>44373</v>
      </c>
      <c r="I214" s="4">
        <v>20</v>
      </c>
      <c r="J214" s="4" t="s">
        <v>198</v>
      </c>
      <c r="K214" s="5" t="str">
        <f>VLOOKUP(표5[[#This Row],[종목]],표2[],2,FALSE)</f>
        <v>비서</v>
      </c>
    </row>
    <row r="215" spans="1:11" x14ac:dyDescent="0.3">
      <c r="A215" s="4">
        <v>214</v>
      </c>
      <c r="B215" s="4">
        <v>15</v>
      </c>
      <c r="C215" s="4">
        <v>4</v>
      </c>
      <c r="D215" s="4">
        <v>50</v>
      </c>
      <c r="E215" s="4">
        <v>10</v>
      </c>
      <c r="F215" s="5">
        <v>44365</v>
      </c>
      <c r="G215" s="5">
        <v>44372</v>
      </c>
      <c r="H215" s="5">
        <v>44373</v>
      </c>
      <c r="I215" s="4">
        <v>0</v>
      </c>
      <c r="J215" s="4" t="s">
        <v>198</v>
      </c>
      <c r="K215" s="5" t="str">
        <f>VLOOKUP(표5[[#This Row],[종목]],표2[],2,FALSE)</f>
        <v>비서</v>
      </c>
    </row>
    <row r="216" spans="1:11" x14ac:dyDescent="0.3">
      <c r="A216" s="4">
        <v>215</v>
      </c>
      <c r="B216" s="4">
        <v>16</v>
      </c>
      <c r="C216" s="4">
        <v>2</v>
      </c>
      <c r="D216" s="4">
        <v>97</v>
      </c>
      <c r="E216" s="4">
        <v>12</v>
      </c>
      <c r="F216" s="5">
        <v>44365</v>
      </c>
      <c r="G216" s="5">
        <v>44372</v>
      </c>
      <c r="H216" s="5">
        <v>44372</v>
      </c>
      <c r="I216" s="4">
        <v>20</v>
      </c>
      <c r="J216" s="4" t="s">
        <v>198</v>
      </c>
      <c r="K216" s="5" t="str">
        <f>VLOOKUP(표5[[#This Row],[종목]],표2[],2,FALSE)</f>
        <v>컴퓨터활용능력</v>
      </c>
    </row>
    <row r="217" spans="1:11" x14ac:dyDescent="0.3">
      <c r="A217" s="4">
        <v>216</v>
      </c>
      <c r="B217" s="4">
        <v>19</v>
      </c>
      <c r="C217" s="4">
        <v>2</v>
      </c>
      <c r="D217" s="4">
        <v>97</v>
      </c>
      <c r="E217" s="4">
        <v>12</v>
      </c>
      <c r="F217" s="5">
        <v>44365</v>
      </c>
      <c r="G217" s="5">
        <v>44372</v>
      </c>
      <c r="H217" s="5">
        <v>44372</v>
      </c>
      <c r="I217" s="4">
        <v>50</v>
      </c>
      <c r="J217" s="4" t="s">
        <v>198</v>
      </c>
      <c r="K217" s="5" t="str">
        <f>VLOOKUP(표5[[#This Row],[종목]],표2[],2,FALSE)</f>
        <v>컴퓨터활용능력</v>
      </c>
    </row>
    <row r="218" spans="1:11" x14ac:dyDescent="0.3">
      <c r="A218" s="4">
        <v>217</v>
      </c>
      <c r="B218" s="4">
        <v>3</v>
      </c>
      <c r="C218" s="4">
        <v>6</v>
      </c>
      <c r="D218" s="4">
        <v>119</v>
      </c>
      <c r="E218" s="4">
        <v>9</v>
      </c>
      <c r="F218" s="5">
        <v>44365</v>
      </c>
      <c r="G218" s="5">
        <v>44372</v>
      </c>
      <c r="H218" s="5">
        <v>44373</v>
      </c>
      <c r="I218" s="4">
        <v>80</v>
      </c>
      <c r="J218" s="4" t="s">
        <v>199</v>
      </c>
      <c r="K218" s="5" t="str">
        <f>VLOOKUP(표5[[#This Row],[종목]],표2[],2,FALSE)</f>
        <v>비서</v>
      </c>
    </row>
    <row r="219" spans="1:11" x14ac:dyDescent="0.3">
      <c r="A219" s="4">
        <v>218</v>
      </c>
      <c r="B219" s="4">
        <v>15</v>
      </c>
      <c r="C219" s="4">
        <v>6</v>
      </c>
      <c r="D219" s="4">
        <v>119</v>
      </c>
      <c r="E219" s="4">
        <v>9</v>
      </c>
      <c r="F219" s="5">
        <v>44365</v>
      </c>
      <c r="G219" s="5">
        <v>44372</v>
      </c>
      <c r="H219" s="5">
        <v>44373</v>
      </c>
      <c r="I219" s="4">
        <v>0</v>
      </c>
      <c r="J219" s="4" t="s">
        <v>198</v>
      </c>
      <c r="K219" s="5" t="str">
        <f>VLOOKUP(표5[[#This Row],[종목]],표2[],2,FALSE)</f>
        <v>비서</v>
      </c>
    </row>
    <row r="220" spans="1:11" x14ac:dyDescent="0.3">
      <c r="A220" s="4">
        <v>219</v>
      </c>
      <c r="B220" s="4">
        <v>16</v>
      </c>
      <c r="C220" s="4">
        <v>6</v>
      </c>
      <c r="D220" s="4">
        <v>119</v>
      </c>
      <c r="E220" s="4">
        <v>9</v>
      </c>
      <c r="F220" s="5">
        <v>44365</v>
      </c>
      <c r="G220" s="5">
        <v>44372</v>
      </c>
      <c r="H220" s="5">
        <v>44373</v>
      </c>
      <c r="I220" s="4">
        <v>50</v>
      </c>
      <c r="J220" s="4" t="s">
        <v>198</v>
      </c>
      <c r="K220" s="5" t="str">
        <f>VLOOKUP(표5[[#This Row],[종목]],표2[],2,FALSE)</f>
        <v>비서</v>
      </c>
    </row>
    <row r="221" spans="1:11" x14ac:dyDescent="0.3">
      <c r="A221" s="4">
        <v>220</v>
      </c>
      <c r="B221" s="4">
        <v>17</v>
      </c>
      <c r="C221" s="4">
        <v>6</v>
      </c>
      <c r="D221" s="4">
        <v>119</v>
      </c>
      <c r="E221" s="4">
        <v>9</v>
      </c>
      <c r="F221" s="5">
        <v>44365</v>
      </c>
      <c r="G221" s="5">
        <v>44372</v>
      </c>
      <c r="H221" s="5">
        <v>44373</v>
      </c>
      <c r="I221" s="4">
        <v>60</v>
      </c>
      <c r="J221" s="4" t="s">
        <v>198</v>
      </c>
      <c r="K221" s="5" t="str">
        <f>VLOOKUP(표5[[#This Row],[종목]],표2[],2,FALSE)</f>
        <v>비서</v>
      </c>
    </row>
    <row r="222" spans="1:11" x14ac:dyDescent="0.3">
      <c r="A222" s="4">
        <v>221</v>
      </c>
      <c r="B222" s="4">
        <v>18</v>
      </c>
      <c r="C222" s="4">
        <v>6</v>
      </c>
      <c r="D222" s="4">
        <v>119</v>
      </c>
      <c r="E222" s="4">
        <v>9</v>
      </c>
      <c r="F222" s="5">
        <v>44365</v>
      </c>
      <c r="G222" s="5">
        <v>44372</v>
      </c>
      <c r="H222" s="5">
        <v>44373</v>
      </c>
      <c r="I222" s="4">
        <v>50</v>
      </c>
      <c r="J222" s="4" t="s">
        <v>198</v>
      </c>
      <c r="K222" s="5" t="str">
        <f>VLOOKUP(표5[[#This Row],[종목]],표2[],2,FALSE)</f>
        <v>비서</v>
      </c>
    </row>
    <row r="223" spans="1:11" x14ac:dyDescent="0.3">
      <c r="A223" s="4">
        <v>222</v>
      </c>
      <c r="B223" s="4">
        <v>19</v>
      </c>
      <c r="C223" s="4">
        <v>6</v>
      </c>
      <c r="D223" s="4">
        <v>119</v>
      </c>
      <c r="E223" s="4">
        <v>9</v>
      </c>
      <c r="F223" s="5">
        <v>44365</v>
      </c>
      <c r="G223" s="5">
        <v>44372</v>
      </c>
      <c r="H223" s="5">
        <v>44373</v>
      </c>
      <c r="I223" s="4">
        <v>40</v>
      </c>
      <c r="J223" s="4" t="s">
        <v>198</v>
      </c>
      <c r="K223" s="5" t="str">
        <f>VLOOKUP(표5[[#This Row],[종목]],표2[],2,FALSE)</f>
        <v>비서</v>
      </c>
    </row>
    <row r="224" spans="1:11" x14ac:dyDescent="0.3">
      <c r="A224" s="4">
        <v>223</v>
      </c>
      <c r="B224" s="4">
        <v>15</v>
      </c>
      <c r="C224" s="4">
        <v>6</v>
      </c>
      <c r="D224" s="4">
        <v>127</v>
      </c>
      <c r="E224" s="4">
        <v>10</v>
      </c>
      <c r="F224" s="5">
        <v>44365</v>
      </c>
      <c r="G224" s="5">
        <v>44372</v>
      </c>
      <c r="H224" s="5">
        <v>44373</v>
      </c>
      <c r="I224" s="4">
        <v>20</v>
      </c>
      <c r="J224" s="4" t="s">
        <v>198</v>
      </c>
      <c r="K224" s="5" t="str">
        <f>VLOOKUP(표5[[#This Row],[종목]],표2[],2,FALSE)</f>
        <v>비서</v>
      </c>
    </row>
    <row r="225" spans="1:11" x14ac:dyDescent="0.3">
      <c r="A225" s="4">
        <v>224</v>
      </c>
      <c r="B225" s="4">
        <v>16</v>
      </c>
      <c r="C225" s="4">
        <v>6</v>
      </c>
      <c r="D225" s="4">
        <v>127</v>
      </c>
      <c r="E225" s="4">
        <v>10</v>
      </c>
      <c r="F225" s="5">
        <v>44365</v>
      </c>
      <c r="G225" s="5">
        <v>44372</v>
      </c>
      <c r="H225" s="5">
        <v>44373</v>
      </c>
      <c r="I225" s="4">
        <v>30</v>
      </c>
      <c r="J225" s="4" t="s">
        <v>198</v>
      </c>
      <c r="K225" s="5" t="str">
        <f>VLOOKUP(표5[[#This Row],[종목]],표2[],2,FALSE)</f>
        <v>비서</v>
      </c>
    </row>
    <row r="226" spans="1:11" x14ac:dyDescent="0.3">
      <c r="A226" s="4">
        <v>225</v>
      </c>
      <c r="B226" s="4">
        <v>17</v>
      </c>
      <c r="C226" s="4">
        <v>6</v>
      </c>
      <c r="D226" s="4">
        <v>127</v>
      </c>
      <c r="E226" s="4">
        <v>10</v>
      </c>
      <c r="F226" s="5">
        <v>44365</v>
      </c>
      <c r="G226" s="5">
        <v>44372</v>
      </c>
      <c r="H226" s="5">
        <v>44373</v>
      </c>
      <c r="I226" s="4">
        <v>30</v>
      </c>
      <c r="J226" s="4" t="s">
        <v>198</v>
      </c>
      <c r="K226" s="5" t="str">
        <f>VLOOKUP(표5[[#This Row],[종목]],표2[],2,FALSE)</f>
        <v>비서</v>
      </c>
    </row>
    <row r="227" spans="1:11" x14ac:dyDescent="0.3">
      <c r="A227" s="4">
        <v>226</v>
      </c>
      <c r="B227" s="4">
        <v>18</v>
      </c>
      <c r="C227" s="4">
        <v>6</v>
      </c>
      <c r="D227" s="4">
        <v>127</v>
      </c>
      <c r="E227" s="4">
        <v>10</v>
      </c>
      <c r="F227" s="5">
        <v>44365</v>
      </c>
      <c r="G227" s="5">
        <v>44372</v>
      </c>
      <c r="H227" s="5">
        <v>44373</v>
      </c>
      <c r="I227" s="4">
        <v>30</v>
      </c>
      <c r="J227" s="4" t="s">
        <v>198</v>
      </c>
      <c r="K227" s="5" t="str">
        <f>VLOOKUP(표5[[#This Row],[종목]],표2[],2,FALSE)</f>
        <v>비서</v>
      </c>
    </row>
    <row r="228" spans="1:11" x14ac:dyDescent="0.3">
      <c r="A228" s="4">
        <v>227</v>
      </c>
      <c r="B228" s="4">
        <v>19</v>
      </c>
      <c r="C228" s="4">
        <v>6</v>
      </c>
      <c r="D228" s="4">
        <v>127</v>
      </c>
      <c r="E228" s="4">
        <v>10</v>
      </c>
      <c r="F228" s="5">
        <v>44365</v>
      </c>
      <c r="G228" s="5">
        <v>44372</v>
      </c>
      <c r="H228" s="5">
        <v>44373</v>
      </c>
      <c r="I228" s="4">
        <v>60</v>
      </c>
      <c r="J228" s="4" t="s">
        <v>198</v>
      </c>
      <c r="K228" s="5" t="str">
        <f>VLOOKUP(표5[[#This Row],[종목]],표2[],2,FALSE)</f>
        <v>비서</v>
      </c>
    </row>
    <row r="229" spans="1:11" x14ac:dyDescent="0.3">
      <c r="A229" s="4">
        <v>228</v>
      </c>
      <c r="B229" s="4">
        <v>11</v>
      </c>
      <c r="C229" s="4">
        <v>6</v>
      </c>
      <c r="D229" s="4">
        <v>127</v>
      </c>
      <c r="E229" s="4">
        <v>10</v>
      </c>
      <c r="F229" s="5">
        <v>44365</v>
      </c>
      <c r="G229" s="5">
        <v>44372</v>
      </c>
      <c r="H229" s="5">
        <v>44373</v>
      </c>
      <c r="I229" s="4">
        <v>50</v>
      </c>
      <c r="J229" s="4" t="s">
        <v>198</v>
      </c>
      <c r="K229" s="5" t="str">
        <f>VLOOKUP(표5[[#This Row],[종목]],표2[],2,FALSE)</f>
        <v>비서</v>
      </c>
    </row>
    <row r="230" spans="1:11" x14ac:dyDescent="0.3">
      <c r="A230" s="4">
        <v>229</v>
      </c>
      <c r="B230" s="4">
        <v>10</v>
      </c>
      <c r="C230" s="4">
        <v>6</v>
      </c>
      <c r="D230" s="4">
        <v>141</v>
      </c>
      <c r="E230" s="4">
        <v>11</v>
      </c>
      <c r="F230" s="5">
        <v>44365</v>
      </c>
      <c r="G230" s="5">
        <v>44372</v>
      </c>
      <c r="H230" s="5">
        <v>44373</v>
      </c>
      <c r="I230" s="4">
        <v>70</v>
      </c>
      <c r="J230" s="4" t="s">
        <v>198</v>
      </c>
      <c r="K230" s="5" t="str">
        <f>VLOOKUP(표5[[#This Row],[종목]],표2[],2,FALSE)</f>
        <v>비서</v>
      </c>
    </row>
    <row r="231" spans="1:11" x14ac:dyDescent="0.3">
      <c r="A231" s="4">
        <v>230</v>
      </c>
      <c r="B231" s="4">
        <v>20</v>
      </c>
      <c r="C231" s="4">
        <v>6</v>
      </c>
      <c r="D231" s="4">
        <v>141</v>
      </c>
      <c r="E231" s="4">
        <v>11</v>
      </c>
      <c r="F231" s="5">
        <v>44365</v>
      </c>
      <c r="G231" s="5">
        <v>44372</v>
      </c>
      <c r="H231" s="5">
        <v>44373</v>
      </c>
      <c r="I231" s="4">
        <v>70</v>
      </c>
      <c r="J231" s="4" t="s">
        <v>198</v>
      </c>
      <c r="K231" s="5" t="str">
        <f>VLOOKUP(표5[[#This Row],[종목]],표2[],2,FALSE)</f>
        <v>비서</v>
      </c>
    </row>
    <row r="232" spans="1:11" x14ac:dyDescent="0.3">
      <c r="A232" s="4">
        <v>231</v>
      </c>
      <c r="B232" s="4">
        <v>24</v>
      </c>
      <c r="C232" s="4">
        <v>6</v>
      </c>
      <c r="D232" s="4">
        <v>141</v>
      </c>
      <c r="E232" s="4">
        <v>11</v>
      </c>
      <c r="F232" s="5">
        <v>44365</v>
      </c>
      <c r="G232" s="5">
        <v>44372</v>
      </c>
      <c r="H232" s="5">
        <v>44373</v>
      </c>
      <c r="I232" s="4">
        <v>70</v>
      </c>
      <c r="J232" s="4" t="s">
        <v>198</v>
      </c>
      <c r="K232" s="5" t="str">
        <f>VLOOKUP(표5[[#This Row],[종목]],표2[],2,FALSE)</f>
        <v>비서</v>
      </c>
    </row>
    <row r="233" spans="1:11" x14ac:dyDescent="0.3">
      <c r="A233" s="4">
        <v>232</v>
      </c>
      <c r="B233" s="4">
        <v>25</v>
      </c>
      <c r="C233" s="4">
        <v>6</v>
      </c>
      <c r="D233" s="4">
        <v>141</v>
      </c>
      <c r="E233" s="4">
        <v>11</v>
      </c>
      <c r="F233" s="5">
        <v>44365</v>
      </c>
      <c r="G233" s="5">
        <v>44372</v>
      </c>
      <c r="H233" s="5">
        <v>44373</v>
      </c>
      <c r="I233" s="4">
        <v>0</v>
      </c>
      <c r="J233" s="4" t="s">
        <v>198</v>
      </c>
      <c r="K233" s="5" t="str">
        <f>VLOOKUP(표5[[#This Row],[종목]],표2[],2,FALSE)</f>
        <v>비서</v>
      </c>
    </row>
    <row r="234" spans="1:11" x14ac:dyDescent="0.3">
      <c r="A234" s="4">
        <v>233</v>
      </c>
      <c r="B234" s="4">
        <v>26</v>
      </c>
      <c r="C234" s="4">
        <v>6</v>
      </c>
      <c r="D234" s="4">
        <v>141</v>
      </c>
      <c r="E234" s="4">
        <v>11</v>
      </c>
      <c r="F234" s="5">
        <v>44365</v>
      </c>
      <c r="G234" s="5">
        <v>44372</v>
      </c>
      <c r="H234" s="5">
        <v>44373</v>
      </c>
      <c r="I234" s="4">
        <v>0</v>
      </c>
      <c r="J234" s="4" t="s">
        <v>198</v>
      </c>
      <c r="K234" s="5" t="str">
        <f>VLOOKUP(표5[[#This Row],[종목]],표2[],2,FALSE)</f>
        <v>비서</v>
      </c>
    </row>
    <row r="235" spans="1:11" x14ac:dyDescent="0.3">
      <c r="A235" s="4">
        <v>234</v>
      </c>
      <c r="B235" s="4">
        <v>27</v>
      </c>
      <c r="C235" s="4">
        <v>6</v>
      </c>
      <c r="D235" s="4">
        <v>141</v>
      </c>
      <c r="E235" s="4">
        <v>11</v>
      </c>
      <c r="F235" s="5">
        <v>44365</v>
      </c>
      <c r="G235" s="5">
        <v>44372</v>
      </c>
      <c r="H235" s="5">
        <v>44373</v>
      </c>
      <c r="I235" s="4">
        <v>40</v>
      </c>
      <c r="J235" s="4" t="s">
        <v>198</v>
      </c>
      <c r="K235" s="5" t="str">
        <f>VLOOKUP(표5[[#This Row],[종목]],표2[],2,FALSE)</f>
        <v>비서</v>
      </c>
    </row>
    <row r="236" spans="1:11" x14ac:dyDescent="0.3">
      <c r="A236" s="4">
        <v>235</v>
      </c>
      <c r="B236" s="4">
        <v>30</v>
      </c>
      <c r="C236" s="4">
        <v>6</v>
      </c>
      <c r="D236" s="4">
        <v>147</v>
      </c>
      <c r="E236" s="4">
        <v>12</v>
      </c>
      <c r="F236" s="5">
        <v>44365</v>
      </c>
      <c r="G236" s="5">
        <v>44372</v>
      </c>
      <c r="H236" s="5">
        <v>44373</v>
      </c>
      <c r="I236" s="4">
        <v>50</v>
      </c>
      <c r="J236" s="4" t="s">
        <v>198</v>
      </c>
      <c r="K236" s="5" t="str">
        <f>VLOOKUP(표5[[#This Row],[종목]],표2[],2,FALSE)</f>
        <v>비서</v>
      </c>
    </row>
    <row r="237" spans="1:11" x14ac:dyDescent="0.3">
      <c r="A237" s="4">
        <v>236</v>
      </c>
      <c r="B237" s="4">
        <v>29</v>
      </c>
      <c r="C237" s="4">
        <v>6</v>
      </c>
      <c r="D237" s="4">
        <v>147</v>
      </c>
      <c r="E237" s="4">
        <v>12</v>
      </c>
      <c r="F237" s="5">
        <v>44365</v>
      </c>
      <c r="G237" s="5">
        <v>44372</v>
      </c>
      <c r="H237" s="5">
        <v>44373</v>
      </c>
      <c r="I237" s="4">
        <v>60</v>
      </c>
      <c r="J237" s="4" t="s">
        <v>198</v>
      </c>
      <c r="K237" s="5" t="str">
        <f>VLOOKUP(표5[[#This Row],[종목]],표2[],2,FALSE)</f>
        <v>비서</v>
      </c>
    </row>
    <row r="238" spans="1:11" x14ac:dyDescent="0.3">
      <c r="A238" s="4">
        <v>237</v>
      </c>
      <c r="B238" s="4">
        <v>27</v>
      </c>
      <c r="C238" s="4">
        <v>6</v>
      </c>
      <c r="D238" s="4">
        <v>147</v>
      </c>
      <c r="E238" s="4">
        <v>12</v>
      </c>
      <c r="F238" s="5">
        <v>44365</v>
      </c>
      <c r="G238" s="5">
        <v>44372</v>
      </c>
      <c r="H238" s="5">
        <v>44373</v>
      </c>
      <c r="I238" s="4">
        <v>70</v>
      </c>
      <c r="J238" s="4" t="s">
        <v>198</v>
      </c>
      <c r="K238" s="5" t="str">
        <f>VLOOKUP(표5[[#This Row],[종목]],표2[],2,FALSE)</f>
        <v>비서</v>
      </c>
    </row>
    <row r="239" spans="1:11" x14ac:dyDescent="0.3">
      <c r="A239" s="4">
        <v>238</v>
      </c>
      <c r="B239" s="4">
        <v>25</v>
      </c>
      <c r="C239" s="4">
        <v>6</v>
      </c>
      <c r="D239" s="4">
        <v>147</v>
      </c>
      <c r="E239" s="4">
        <v>12</v>
      </c>
      <c r="F239" s="5">
        <v>44365</v>
      </c>
      <c r="G239" s="5">
        <v>44372</v>
      </c>
      <c r="H239" s="5">
        <v>44373</v>
      </c>
      <c r="I239" s="4">
        <v>70</v>
      </c>
      <c r="J239" s="4" t="s">
        <v>198</v>
      </c>
      <c r="K239" s="5" t="str">
        <f>VLOOKUP(표5[[#This Row],[종목]],표2[],2,FALSE)</f>
        <v>비서</v>
      </c>
    </row>
    <row r="240" spans="1:11" x14ac:dyDescent="0.3">
      <c r="A240" s="4">
        <v>239</v>
      </c>
      <c r="B240" s="4">
        <v>24</v>
      </c>
      <c r="C240" s="4">
        <v>6</v>
      </c>
      <c r="D240" s="4">
        <v>147</v>
      </c>
      <c r="E240" s="4">
        <v>12</v>
      </c>
      <c r="F240" s="5">
        <v>44365</v>
      </c>
      <c r="G240" s="5">
        <v>44372</v>
      </c>
      <c r="H240" s="5">
        <v>44373</v>
      </c>
      <c r="I240" s="4">
        <v>50</v>
      </c>
      <c r="J240" s="4" t="s">
        <v>198</v>
      </c>
      <c r="K240" s="5" t="str">
        <f>VLOOKUP(표5[[#This Row],[종목]],표2[],2,FALSE)</f>
        <v>비서</v>
      </c>
    </row>
    <row r="241" spans="1:11" x14ac:dyDescent="0.3">
      <c r="A241" s="4">
        <v>240</v>
      </c>
      <c r="B241" s="4">
        <v>22</v>
      </c>
      <c r="C241" s="4">
        <v>6</v>
      </c>
      <c r="D241" s="4">
        <v>147</v>
      </c>
      <c r="E241" s="4">
        <v>12</v>
      </c>
      <c r="F241" s="5">
        <v>44365</v>
      </c>
      <c r="G241" s="5">
        <v>44372</v>
      </c>
      <c r="H241" s="5">
        <v>44373</v>
      </c>
      <c r="I241" s="4">
        <v>80</v>
      </c>
      <c r="J241" s="4" t="s">
        <v>199</v>
      </c>
      <c r="K241" s="5" t="str">
        <f>VLOOKUP(표5[[#This Row],[종목]],표2[],2,FALSE)</f>
        <v>비서</v>
      </c>
    </row>
    <row r="242" spans="1:11" x14ac:dyDescent="0.3">
      <c r="A242" s="4">
        <v>241</v>
      </c>
      <c r="B242" s="4">
        <v>21</v>
      </c>
      <c r="C242" s="4">
        <v>6</v>
      </c>
      <c r="D242" s="4">
        <v>147</v>
      </c>
      <c r="E242" s="4">
        <v>12</v>
      </c>
      <c r="F242" s="5">
        <v>44365</v>
      </c>
      <c r="G242" s="5">
        <v>44372</v>
      </c>
      <c r="H242" s="5">
        <v>44373</v>
      </c>
      <c r="I242" s="4">
        <v>90</v>
      </c>
      <c r="J242" s="4" t="s">
        <v>199</v>
      </c>
      <c r="K242" s="5" t="str">
        <f>VLOOKUP(표5[[#This Row],[종목]],표2[],2,FALSE)</f>
        <v>비서</v>
      </c>
    </row>
    <row r="243" spans="1:11" x14ac:dyDescent="0.3">
      <c r="A243" s="4">
        <v>242</v>
      </c>
      <c r="B243" s="4">
        <v>5</v>
      </c>
      <c r="C243" s="4">
        <v>3</v>
      </c>
      <c r="D243" s="4">
        <v>81</v>
      </c>
      <c r="E243" s="4">
        <v>13</v>
      </c>
      <c r="F243" s="5">
        <v>44366</v>
      </c>
      <c r="G243" s="5">
        <v>44373</v>
      </c>
      <c r="H243" s="5">
        <v>44373</v>
      </c>
      <c r="I243" s="4">
        <v>50</v>
      </c>
      <c r="J243" s="4" t="s">
        <v>198</v>
      </c>
      <c r="K243" s="5" t="str">
        <f>VLOOKUP(표5[[#This Row],[종목]],표2[],2,FALSE)</f>
        <v>컴퓨터활용능력</v>
      </c>
    </row>
    <row r="244" spans="1:11" x14ac:dyDescent="0.3">
      <c r="A244" s="4">
        <v>243</v>
      </c>
      <c r="B244" s="4">
        <v>6</v>
      </c>
      <c r="C244" s="4">
        <v>3</v>
      </c>
      <c r="D244" s="4">
        <v>81</v>
      </c>
      <c r="E244" s="4">
        <v>13</v>
      </c>
      <c r="F244" s="5">
        <v>44366</v>
      </c>
      <c r="G244" s="5">
        <v>44373</v>
      </c>
      <c r="H244" s="5">
        <v>44373</v>
      </c>
      <c r="I244" s="4">
        <v>40</v>
      </c>
      <c r="J244" s="4" t="s">
        <v>198</v>
      </c>
      <c r="K244" s="5" t="str">
        <f>VLOOKUP(표5[[#This Row],[종목]],표2[],2,FALSE)</f>
        <v>컴퓨터활용능력</v>
      </c>
    </row>
    <row r="245" spans="1:11" x14ac:dyDescent="0.3">
      <c r="A245" s="4">
        <v>327</v>
      </c>
      <c r="B245" s="4">
        <v>7</v>
      </c>
      <c r="C245" s="4">
        <v>1</v>
      </c>
      <c r="D245" s="4">
        <v>74</v>
      </c>
      <c r="E245" s="4">
        <v>23</v>
      </c>
      <c r="F245" s="5">
        <v>44376</v>
      </c>
      <c r="G245" s="5">
        <v>44383</v>
      </c>
      <c r="H245" s="5">
        <v>44384</v>
      </c>
      <c r="I245" s="4">
        <v>20</v>
      </c>
      <c r="J245" s="4" t="s">
        <v>198</v>
      </c>
      <c r="K245" s="5" t="str">
        <f>VLOOKUP(표5[[#This Row],[종목]],표2[],2,FALSE)</f>
        <v>워드프로세서</v>
      </c>
    </row>
    <row r="246" spans="1:11" x14ac:dyDescent="0.3">
      <c r="A246" s="4">
        <v>245</v>
      </c>
      <c r="B246" s="4">
        <v>8</v>
      </c>
      <c r="C246" s="4">
        <v>3</v>
      </c>
      <c r="D246" s="4">
        <v>81</v>
      </c>
      <c r="E246" s="4">
        <v>13</v>
      </c>
      <c r="F246" s="5">
        <v>44366</v>
      </c>
      <c r="G246" s="5">
        <v>44373</v>
      </c>
      <c r="H246" s="5">
        <v>44373</v>
      </c>
      <c r="I246" s="4">
        <v>50</v>
      </c>
      <c r="J246" s="4" t="s">
        <v>198</v>
      </c>
      <c r="K246" s="5" t="str">
        <f>VLOOKUP(표5[[#This Row],[종목]],표2[],2,FALSE)</f>
        <v>컴퓨터활용능력</v>
      </c>
    </row>
    <row r="247" spans="1:11" x14ac:dyDescent="0.3">
      <c r="A247" s="4">
        <v>246</v>
      </c>
      <c r="B247" s="4">
        <v>15</v>
      </c>
      <c r="C247" s="4">
        <v>6</v>
      </c>
      <c r="D247" s="4">
        <v>148</v>
      </c>
      <c r="E247" s="4">
        <v>13</v>
      </c>
      <c r="F247" s="5">
        <v>44366</v>
      </c>
      <c r="G247" s="5">
        <v>44373</v>
      </c>
      <c r="H247" s="5">
        <v>44374</v>
      </c>
      <c r="I247" s="4">
        <v>100</v>
      </c>
      <c r="J247" s="4" t="s">
        <v>199</v>
      </c>
      <c r="K247" s="5" t="str">
        <f>VLOOKUP(표5[[#This Row],[종목]],표2[],2,FALSE)</f>
        <v>비서</v>
      </c>
    </row>
    <row r="248" spans="1:11" x14ac:dyDescent="0.3">
      <c r="A248" s="4">
        <v>247</v>
      </c>
      <c r="B248" s="4">
        <v>14</v>
      </c>
      <c r="C248" s="4">
        <v>6</v>
      </c>
      <c r="D248" s="4">
        <v>148</v>
      </c>
      <c r="E248" s="4">
        <v>13</v>
      </c>
      <c r="F248" s="5">
        <v>44366</v>
      </c>
      <c r="G248" s="5">
        <v>44373</v>
      </c>
      <c r="H248" s="5">
        <v>44374</v>
      </c>
      <c r="I248" s="4">
        <v>50</v>
      </c>
      <c r="J248" s="4" t="s">
        <v>198</v>
      </c>
      <c r="K248" s="5" t="str">
        <f>VLOOKUP(표5[[#This Row],[종목]],표2[],2,FALSE)</f>
        <v>비서</v>
      </c>
    </row>
    <row r="249" spans="1:11" x14ac:dyDescent="0.3">
      <c r="A249" s="4">
        <v>248</v>
      </c>
      <c r="B249" s="4">
        <v>11</v>
      </c>
      <c r="C249" s="4">
        <v>6</v>
      </c>
      <c r="D249" s="4">
        <v>148</v>
      </c>
      <c r="E249" s="4">
        <v>13</v>
      </c>
      <c r="F249" s="5">
        <v>44366</v>
      </c>
      <c r="G249" s="5">
        <v>44373</v>
      </c>
      <c r="H249" s="5">
        <v>44374</v>
      </c>
      <c r="I249" s="4">
        <v>90</v>
      </c>
      <c r="J249" s="4" t="s">
        <v>199</v>
      </c>
      <c r="K249" s="5" t="str">
        <f>VLOOKUP(표5[[#This Row],[종목]],표2[],2,FALSE)</f>
        <v>비서</v>
      </c>
    </row>
    <row r="250" spans="1:11" x14ac:dyDescent="0.3">
      <c r="A250" s="4">
        <v>249</v>
      </c>
      <c r="B250" s="4">
        <v>12</v>
      </c>
      <c r="C250" s="4">
        <v>6</v>
      </c>
      <c r="D250" s="4">
        <v>148</v>
      </c>
      <c r="E250" s="4">
        <v>13</v>
      </c>
      <c r="F250" s="5">
        <v>44366</v>
      </c>
      <c r="G250" s="5">
        <v>44373</v>
      </c>
      <c r="H250" s="5">
        <v>44374</v>
      </c>
      <c r="I250" s="4">
        <v>80</v>
      </c>
      <c r="J250" s="4" t="s">
        <v>199</v>
      </c>
      <c r="K250" s="5" t="str">
        <f>VLOOKUP(표5[[#This Row],[종목]],표2[],2,FALSE)</f>
        <v>비서</v>
      </c>
    </row>
    <row r="251" spans="1:11" x14ac:dyDescent="0.3">
      <c r="A251" s="4">
        <v>250</v>
      </c>
      <c r="B251" s="4">
        <v>2</v>
      </c>
      <c r="C251" s="4">
        <v>6</v>
      </c>
      <c r="D251" s="4">
        <v>148</v>
      </c>
      <c r="E251" s="4">
        <v>13</v>
      </c>
      <c r="F251" s="5">
        <v>44366</v>
      </c>
      <c r="G251" s="5">
        <v>44373</v>
      </c>
      <c r="H251" s="5">
        <v>44374</v>
      </c>
      <c r="I251" s="4">
        <v>90</v>
      </c>
      <c r="J251" s="4" t="s">
        <v>199</v>
      </c>
      <c r="K251" s="5" t="str">
        <f>VLOOKUP(표5[[#This Row],[종목]],표2[],2,FALSE)</f>
        <v>비서</v>
      </c>
    </row>
    <row r="252" spans="1:11" x14ac:dyDescent="0.3">
      <c r="A252" s="4">
        <v>251</v>
      </c>
      <c r="B252" s="4">
        <v>4</v>
      </c>
      <c r="C252" s="4">
        <v>6</v>
      </c>
      <c r="D252" s="4">
        <v>148</v>
      </c>
      <c r="E252" s="4">
        <v>13</v>
      </c>
      <c r="F252" s="5">
        <v>44366</v>
      </c>
      <c r="G252" s="5">
        <v>44373</v>
      </c>
      <c r="H252" s="5">
        <v>44374</v>
      </c>
      <c r="I252" s="4">
        <v>90</v>
      </c>
      <c r="J252" s="4" t="s">
        <v>199</v>
      </c>
      <c r="K252" s="5" t="str">
        <f>VLOOKUP(표5[[#This Row],[종목]],표2[],2,FALSE)</f>
        <v>비서</v>
      </c>
    </row>
    <row r="253" spans="1:11" x14ac:dyDescent="0.3">
      <c r="A253" s="4">
        <v>252</v>
      </c>
      <c r="B253" s="4">
        <v>9</v>
      </c>
      <c r="C253" s="4">
        <v>3</v>
      </c>
      <c r="D253" s="4">
        <v>84</v>
      </c>
      <c r="E253" s="4">
        <v>14</v>
      </c>
      <c r="F253" s="5">
        <v>44368</v>
      </c>
      <c r="G253" s="5">
        <v>44375</v>
      </c>
      <c r="H253" s="5">
        <v>44375</v>
      </c>
      <c r="I253" s="4">
        <v>30</v>
      </c>
      <c r="J253" s="4" t="s">
        <v>198</v>
      </c>
      <c r="K253" s="5" t="str">
        <f>VLOOKUP(표5[[#This Row],[종목]],표2[],2,FALSE)</f>
        <v>컴퓨터활용능력</v>
      </c>
    </row>
    <row r="254" spans="1:11" x14ac:dyDescent="0.3">
      <c r="A254" s="4">
        <v>253</v>
      </c>
      <c r="B254" s="4">
        <v>10</v>
      </c>
      <c r="C254" s="4">
        <v>3</v>
      </c>
      <c r="D254" s="4">
        <v>84</v>
      </c>
      <c r="E254" s="4">
        <v>14</v>
      </c>
      <c r="F254" s="5">
        <v>44368</v>
      </c>
      <c r="G254" s="5">
        <v>44375</v>
      </c>
      <c r="H254" s="5">
        <v>44375</v>
      </c>
      <c r="I254" s="4">
        <v>40</v>
      </c>
      <c r="J254" s="4" t="s">
        <v>198</v>
      </c>
      <c r="K254" s="5" t="str">
        <f>VLOOKUP(표5[[#This Row],[종목]],표2[],2,FALSE)</f>
        <v>컴퓨터활용능력</v>
      </c>
    </row>
    <row r="255" spans="1:11" x14ac:dyDescent="0.3">
      <c r="A255" s="4">
        <v>254</v>
      </c>
      <c r="B255" s="4">
        <v>11</v>
      </c>
      <c r="C255" s="4">
        <v>3</v>
      </c>
      <c r="D255" s="4">
        <v>84</v>
      </c>
      <c r="E255" s="4">
        <v>14</v>
      </c>
      <c r="F255" s="5">
        <v>44368</v>
      </c>
      <c r="G255" s="5">
        <v>44375</v>
      </c>
      <c r="H255" s="5">
        <v>44375</v>
      </c>
      <c r="I255" s="4">
        <v>60</v>
      </c>
      <c r="J255" s="4" t="s">
        <v>198</v>
      </c>
      <c r="K255" s="5" t="str">
        <f>VLOOKUP(표5[[#This Row],[종목]],표2[],2,FALSE)</f>
        <v>컴퓨터활용능력</v>
      </c>
    </row>
    <row r="256" spans="1:11" x14ac:dyDescent="0.3">
      <c r="A256" s="4">
        <v>255</v>
      </c>
      <c r="B256" s="4">
        <v>12</v>
      </c>
      <c r="C256" s="4">
        <v>3</v>
      </c>
      <c r="D256" s="4">
        <v>84</v>
      </c>
      <c r="E256" s="4">
        <v>14</v>
      </c>
      <c r="F256" s="5">
        <v>44368</v>
      </c>
      <c r="G256" s="5">
        <v>44375</v>
      </c>
      <c r="H256" s="5">
        <v>44375</v>
      </c>
      <c r="I256" s="4">
        <v>50</v>
      </c>
      <c r="J256" s="4" t="s">
        <v>198</v>
      </c>
      <c r="K256" s="5" t="str">
        <f>VLOOKUP(표5[[#This Row],[종목]],표2[],2,FALSE)</f>
        <v>컴퓨터활용능력</v>
      </c>
    </row>
    <row r="257" spans="1:11" x14ac:dyDescent="0.3">
      <c r="A257" s="4">
        <v>256</v>
      </c>
      <c r="B257" s="4">
        <v>20</v>
      </c>
      <c r="C257" s="4">
        <v>3</v>
      </c>
      <c r="D257" s="4">
        <v>84</v>
      </c>
      <c r="E257" s="4">
        <v>14</v>
      </c>
      <c r="F257" s="5">
        <v>44368</v>
      </c>
      <c r="G257" s="5">
        <v>44375</v>
      </c>
      <c r="H257" s="5">
        <v>44375</v>
      </c>
      <c r="I257" s="4">
        <v>50</v>
      </c>
      <c r="J257" s="4" t="s">
        <v>198</v>
      </c>
      <c r="K257" s="5" t="str">
        <f>VLOOKUP(표5[[#This Row],[종목]],표2[],2,FALSE)</f>
        <v>컴퓨터활용능력</v>
      </c>
    </row>
    <row r="258" spans="1:11" x14ac:dyDescent="0.3">
      <c r="A258" s="4">
        <v>257</v>
      </c>
      <c r="B258" s="4">
        <v>25</v>
      </c>
      <c r="C258" s="4">
        <v>3</v>
      </c>
      <c r="D258" s="4">
        <v>90</v>
      </c>
      <c r="E258" s="4">
        <v>15</v>
      </c>
      <c r="F258" s="5">
        <v>44368</v>
      </c>
      <c r="G258" s="5">
        <v>44375</v>
      </c>
      <c r="H258" s="5">
        <v>44375</v>
      </c>
      <c r="I258" s="4">
        <v>0</v>
      </c>
      <c r="J258" s="4" t="s">
        <v>198</v>
      </c>
      <c r="K258" s="5" t="str">
        <f>VLOOKUP(표5[[#This Row],[종목]],표2[],2,FALSE)</f>
        <v>컴퓨터활용능력</v>
      </c>
    </row>
    <row r="259" spans="1:11" x14ac:dyDescent="0.3">
      <c r="A259" s="4">
        <v>258</v>
      </c>
      <c r="B259" s="4">
        <v>26</v>
      </c>
      <c r="C259" s="4">
        <v>3</v>
      </c>
      <c r="D259" s="4">
        <v>90</v>
      </c>
      <c r="E259" s="4">
        <v>15</v>
      </c>
      <c r="F259" s="5">
        <v>44368</v>
      </c>
      <c r="G259" s="5">
        <v>44375</v>
      </c>
      <c r="H259" s="5">
        <v>44375</v>
      </c>
      <c r="I259" s="4">
        <v>20</v>
      </c>
      <c r="J259" s="4" t="s">
        <v>198</v>
      </c>
      <c r="K259" s="5" t="str">
        <f>VLOOKUP(표5[[#This Row],[종목]],표2[],2,FALSE)</f>
        <v>컴퓨터활용능력</v>
      </c>
    </row>
    <row r="260" spans="1:11" x14ac:dyDescent="0.3">
      <c r="A260" s="4">
        <v>259</v>
      </c>
      <c r="B260" s="4">
        <v>27</v>
      </c>
      <c r="C260" s="4">
        <v>3</v>
      </c>
      <c r="D260" s="4">
        <v>90</v>
      </c>
      <c r="E260" s="4">
        <v>15</v>
      </c>
      <c r="F260" s="5">
        <v>44368</v>
      </c>
      <c r="G260" s="5">
        <v>44375</v>
      </c>
      <c r="H260" s="5">
        <v>44375</v>
      </c>
      <c r="I260" s="4">
        <v>50</v>
      </c>
      <c r="J260" s="4" t="s">
        <v>198</v>
      </c>
      <c r="K260" s="5" t="str">
        <f>VLOOKUP(표5[[#This Row],[종목]],표2[],2,FALSE)</f>
        <v>컴퓨터활용능력</v>
      </c>
    </row>
    <row r="261" spans="1:11" x14ac:dyDescent="0.3">
      <c r="A261" s="4">
        <v>260</v>
      </c>
      <c r="B261" s="4">
        <v>28</v>
      </c>
      <c r="C261" s="4">
        <v>3</v>
      </c>
      <c r="D261" s="4">
        <v>90</v>
      </c>
      <c r="E261" s="4">
        <v>15</v>
      </c>
      <c r="F261" s="5">
        <v>44368</v>
      </c>
      <c r="G261" s="5">
        <v>44375</v>
      </c>
      <c r="H261" s="5">
        <v>44375</v>
      </c>
      <c r="I261" s="4">
        <v>40</v>
      </c>
      <c r="J261" s="4" t="s">
        <v>198</v>
      </c>
      <c r="K261" s="5" t="str">
        <f>VLOOKUP(표5[[#This Row],[종목]],표2[],2,FALSE)</f>
        <v>컴퓨터활용능력</v>
      </c>
    </row>
    <row r="262" spans="1:11" x14ac:dyDescent="0.3">
      <c r="A262" s="4">
        <v>261</v>
      </c>
      <c r="B262" s="4">
        <v>29</v>
      </c>
      <c r="C262" s="4">
        <v>3</v>
      </c>
      <c r="D262" s="4">
        <v>90</v>
      </c>
      <c r="E262" s="4">
        <v>15</v>
      </c>
      <c r="F262" s="5">
        <v>44368</v>
      </c>
      <c r="G262" s="5">
        <v>44375</v>
      </c>
      <c r="H262" s="5">
        <v>44375</v>
      </c>
      <c r="I262" s="4">
        <v>30</v>
      </c>
      <c r="J262" s="4" t="s">
        <v>198</v>
      </c>
      <c r="K262" s="5" t="str">
        <f>VLOOKUP(표5[[#This Row],[종목]],표2[],2,FALSE)</f>
        <v>컴퓨터활용능력</v>
      </c>
    </row>
    <row r="263" spans="1:11" x14ac:dyDescent="0.3">
      <c r="A263" s="4">
        <v>262</v>
      </c>
      <c r="B263" s="4">
        <v>26</v>
      </c>
      <c r="C263" s="4">
        <v>3</v>
      </c>
      <c r="D263" s="4">
        <v>95</v>
      </c>
      <c r="E263" s="4">
        <v>16</v>
      </c>
      <c r="F263" s="5">
        <v>44368</v>
      </c>
      <c r="G263" s="5">
        <v>44375</v>
      </c>
      <c r="H263" s="5">
        <v>44375</v>
      </c>
      <c r="I263" s="4">
        <v>20</v>
      </c>
      <c r="J263" s="4" t="s">
        <v>198</v>
      </c>
      <c r="K263" s="5" t="str">
        <f>VLOOKUP(표5[[#This Row],[종목]],표2[],2,FALSE)</f>
        <v>컴퓨터활용능력</v>
      </c>
    </row>
    <row r="264" spans="1:11" x14ac:dyDescent="0.3">
      <c r="A264" s="4">
        <v>263</v>
      </c>
      <c r="B264" s="4">
        <v>27</v>
      </c>
      <c r="C264" s="4">
        <v>3</v>
      </c>
      <c r="D264" s="4">
        <v>95</v>
      </c>
      <c r="E264" s="4">
        <v>16</v>
      </c>
      <c r="F264" s="5">
        <v>44368</v>
      </c>
      <c r="G264" s="5">
        <v>44375</v>
      </c>
      <c r="H264" s="5">
        <v>44375</v>
      </c>
      <c r="I264" s="4">
        <v>30</v>
      </c>
      <c r="J264" s="4" t="s">
        <v>198</v>
      </c>
      <c r="K264" s="5" t="str">
        <f>VLOOKUP(표5[[#This Row],[종목]],표2[],2,FALSE)</f>
        <v>컴퓨터활용능력</v>
      </c>
    </row>
    <row r="265" spans="1:11" x14ac:dyDescent="0.3">
      <c r="A265" s="4">
        <v>264</v>
      </c>
      <c r="B265" s="4">
        <v>28</v>
      </c>
      <c r="C265" s="4">
        <v>3</v>
      </c>
      <c r="D265" s="4">
        <v>95</v>
      </c>
      <c r="E265" s="4">
        <v>16</v>
      </c>
      <c r="F265" s="5">
        <v>44368</v>
      </c>
      <c r="G265" s="5">
        <v>44375</v>
      </c>
      <c r="H265" s="5">
        <v>44375</v>
      </c>
      <c r="I265" s="4">
        <v>60</v>
      </c>
      <c r="J265" s="4" t="s">
        <v>198</v>
      </c>
      <c r="K265" s="5" t="str">
        <f>VLOOKUP(표5[[#This Row],[종목]],표2[],2,FALSE)</f>
        <v>컴퓨터활용능력</v>
      </c>
    </row>
    <row r="266" spans="1:11" x14ac:dyDescent="0.3">
      <c r="A266" s="4">
        <v>265</v>
      </c>
      <c r="B266" s="4">
        <v>30</v>
      </c>
      <c r="C266" s="4">
        <v>3</v>
      </c>
      <c r="D266" s="4">
        <v>95</v>
      </c>
      <c r="E266" s="4">
        <v>16</v>
      </c>
      <c r="F266" s="5">
        <v>44368</v>
      </c>
      <c r="G266" s="5">
        <v>44375</v>
      </c>
      <c r="H266" s="5">
        <v>44375</v>
      </c>
      <c r="I266" s="4">
        <v>10</v>
      </c>
      <c r="J266" s="4" t="s">
        <v>198</v>
      </c>
      <c r="K266" s="5" t="str">
        <f>VLOOKUP(표5[[#This Row],[종목]],표2[],2,FALSE)</f>
        <v>컴퓨터활용능력</v>
      </c>
    </row>
    <row r="267" spans="1:11" x14ac:dyDescent="0.3">
      <c r="A267" s="4">
        <v>266</v>
      </c>
      <c r="B267" s="4">
        <v>3</v>
      </c>
      <c r="C267" s="4">
        <v>3</v>
      </c>
      <c r="D267" s="4">
        <v>95</v>
      </c>
      <c r="E267" s="4">
        <v>16</v>
      </c>
      <c r="F267" s="5">
        <v>44368</v>
      </c>
      <c r="G267" s="5">
        <v>44375</v>
      </c>
      <c r="H267" s="5">
        <v>44375</v>
      </c>
      <c r="I267" s="4">
        <v>60</v>
      </c>
      <c r="J267" s="4" t="s">
        <v>198</v>
      </c>
      <c r="K267" s="5" t="str">
        <f>VLOOKUP(표5[[#This Row],[종목]],표2[],2,FALSE)</f>
        <v>컴퓨터활용능력</v>
      </c>
    </row>
    <row r="268" spans="1:11" x14ac:dyDescent="0.3">
      <c r="A268" s="4">
        <v>267</v>
      </c>
      <c r="B268" s="4">
        <v>15</v>
      </c>
      <c r="C268" s="4">
        <v>3</v>
      </c>
      <c r="D268" s="4">
        <v>98</v>
      </c>
      <c r="E268" s="4">
        <v>17</v>
      </c>
      <c r="F268" s="5">
        <v>44368</v>
      </c>
      <c r="G268" s="5">
        <v>44375</v>
      </c>
      <c r="H268" s="5">
        <v>44375</v>
      </c>
      <c r="I268" s="4">
        <v>0</v>
      </c>
      <c r="J268" s="4" t="s">
        <v>198</v>
      </c>
      <c r="K268" s="5" t="str">
        <f>VLOOKUP(표5[[#This Row],[종목]],표2[],2,FALSE)</f>
        <v>컴퓨터활용능력</v>
      </c>
    </row>
    <row r="269" spans="1:11" x14ac:dyDescent="0.3">
      <c r="A269" s="4">
        <v>268</v>
      </c>
      <c r="B269" s="4">
        <v>26</v>
      </c>
      <c r="C269" s="4">
        <v>3</v>
      </c>
      <c r="D269" s="4">
        <v>98</v>
      </c>
      <c r="E269" s="4">
        <v>17</v>
      </c>
      <c r="F269" s="5">
        <v>44368</v>
      </c>
      <c r="G269" s="5">
        <v>44375</v>
      </c>
      <c r="H269" s="5">
        <v>44375</v>
      </c>
      <c r="I269" s="4">
        <v>50</v>
      </c>
      <c r="J269" s="4" t="s">
        <v>198</v>
      </c>
      <c r="K269" s="5" t="str">
        <f>VLOOKUP(표5[[#This Row],[종목]],표2[],2,FALSE)</f>
        <v>컴퓨터활용능력</v>
      </c>
    </row>
    <row r="270" spans="1:11" x14ac:dyDescent="0.3">
      <c r="A270" s="4">
        <v>269</v>
      </c>
      <c r="B270" s="4">
        <v>27</v>
      </c>
      <c r="C270" s="4">
        <v>3</v>
      </c>
      <c r="D270" s="4">
        <v>98</v>
      </c>
      <c r="E270" s="4">
        <v>17</v>
      </c>
      <c r="F270" s="5">
        <v>44368</v>
      </c>
      <c r="G270" s="5">
        <v>44375</v>
      </c>
      <c r="H270" s="5">
        <v>44375</v>
      </c>
      <c r="I270" s="4">
        <v>70</v>
      </c>
      <c r="J270" s="4" t="s">
        <v>199</v>
      </c>
      <c r="K270" s="5" t="str">
        <f>VLOOKUP(표5[[#This Row],[종목]],표2[],2,FALSE)</f>
        <v>컴퓨터활용능력</v>
      </c>
    </row>
    <row r="271" spans="1:11" x14ac:dyDescent="0.3">
      <c r="A271" s="4">
        <v>270</v>
      </c>
      <c r="B271" s="4">
        <v>28</v>
      </c>
      <c r="C271" s="4">
        <v>3</v>
      </c>
      <c r="D271" s="4">
        <v>98</v>
      </c>
      <c r="E271" s="4">
        <v>17</v>
      </c>
      <c r="F271" s="5">
        <v>44368</v>
      </c>
      <c r="G271" s="5">
        <v>44375</v>
      </c>
      <c r="H271" s="5">
        <v>44375</v>
      </c>
      <c r="I271" s="4">
        <v>80</v>
      </c>
      <c r="J271" s="4" t="s">
        <v>199</v>
      </c>
      <c r="K271" s="5" t="str">
        <f>VLOOKUP(표5[[#This Row],[종목]],표2[],2,FALSE)</f>
        <v>컴퓨터활용능력</v>
      </c>
    </row>
    <row r="272" spans="1:11" x14ac:dyDescent="0.3">
      <c r="A272" s="4">
        <v>271</v>
      </c>
      <c r="B272" s="4">
        <v>9</v>
      </c>
      <c r="C272" s="4">
        <v>1</v>
      </c>
      <c r="D272" s="4">
        <v>46</v>
      </c>
      <c r="E272" s="4">
        <v>17</v>
      </c>
      <c r="F272" s="5">
        <v>44368</v>
      </c>
      <c r="G272" s="5">
        <v>44375</v>
      </c>
      <c r="H272" s="5">
        <v>44376</v>
      </c>
      <c r="I272" s="4">
        <v>50</v>
      </c>
      <c r="J272" s="4" t="s">
        <v>198</v>
      </c>
      <c r="K272" s="5" t="str">
        <f>VLOOKUP(표5[[#This Row],[종목]],표2[],2,FALSE)</f>
        <v>워드프로세서</v>
      </c>
    </row>
    <row r="273" spans="1:11" x14ac:dyDescent="0.3">
      <c r="A273" s="4">
        <v>272</v>
      </c>
      <c r="B273" s="4">
        <v>10</v>
      </c>
      <c r="C273" s="4">
        <v>1</v>
      </c>
      <c r="D273" s="4">
        <v>46</v>
      </c>
      <c r="E273" s="4">
        <v>17</v>
      </c>
      <c r="F273" s="5">
        <v>44368</v>
      </c>
      <c r="G273" s="5">
        <v>44375</v>
      </c>
      <c r="H273" s="5">
        <v>44376</v>
      </c>
      <c r="I273" s="4">
        <v>0</v>
      </c>
      <c r="J273" s="4" t="s">
        <v>198</v>
      </c>
      <c r="K273" s="5" t="str">
        <f>VLOOKUP(표5[[#This Row],[종목]],표2[],2,FALSE)</f>
        <v>워드프로세서</v>
      </c>
    </row>
    <row r="274" spans="1:11" x14ac:dyDescent="0.3">
      <c r="A274" s="4">
        <v>273</v>
      </c>
      <c r="B274" s="4">
        <v>12</v>
      </c>
      <c r="C274" s="4">
        <v>1</v>
      </c>
      <c r="D274" s="4">
        <v>46</v>
      </c>
      <c r="E274" s="4">
        <v>17</v>
      </c>
      <c r="F274" s="5">
        <v>44368</v>
      </c>
      <c r="G274" s="5">
        <v>44375</v>
      </c>
      <c r="H274" s="5">
        <v>44376</v>
      </c>
      <c r="I274" s="4">
        <v>40</v>
      </c>
      <c r="J274" s="4" t="s">
        <v>198</v>
      </c>
      <c r="K274" s="5" t="str">
        <f>VLOOKUP(표5[[#This Row],[종목]],표2[],2,FALSE)</f>
        <v>워드프로세서</v>
      </c>
    </row>
    <row r="275" spans="1:11" x14ac:dyDescent="0.3">
      <c r="A275" s="4">
        <v>274</v>
      </c>
      <c r="B275" s="4">
        <v>16</v>
      </c>
      <c r="C275" s="4">
        <v>5</v>
      </c>
      <c r="D275" s="4">
        <v>71</v>
      </c>
      <c r="E275" s="4">
        <v>16</v>
      </c>
      <c r="F275" s="5">
        <v>44368</v>
      </c>
      <c r="G275" s="5">
        <v>44375</v>
      </c>
      <c r="H275" s="5">
        <v>44376</v>
      </c>
      <c r="I275" s="4">
        <v>40</v>
      </c>
      <c r="J275" s="4" t="s">
        <v>198</v>
      </c>
      <c r="K275" s="5" t="str">
        <f>VLOOKUP(표5[[#This Row],[종목]],표2[],2,FALSE)</f>
        <v>비서</v>
      </c>
    </row>
    <row r="276" spans="1:11" x14ac:dyDescent="0.3">
      <c r="A276" s="4">
        <v>275</v>
      </c>
      <c r="B276" s="4">
        <v>9</v>
      </c>
      <c r="C276" s="4">
        <v>5</v>
      </c>
      <c r="D276" s="4">
        <v>71</v>
      </c>
      <c r="E276" s="4">
        <v>16</v>
      </c>
      <c r="F276" s="5">
        <v>44368</v>
      </c>
      <c r="G276" s="5">
        <v>44375</v>
      </c>
      <c r="H276" s="5">
        <v>44376</v>
      </c>
      <c r="I276" s="4">
        <v>50</v>
      </c>
      <c r="J276" s="4" t="s">
        <v>198</v>
      </c>
      <c r="K276" s="5" t="str">
        <f>VLOOKUP(표5[[#This Row],[종목]],표2[],2,FALSE)</f>
        <v>비서</v>
      </c>
    </row>
    <row r="277" spans="1:11" x14ac:dyDescent="0.3">
      <c r="A277" s="4">
        <v>276</v>
      </c>
      <c r="B277" s="4">
        <v>10</v>
      </c>
      <c r="C277" s="4">
        <v>3</v>
      </c>
      <c r="D277" s="4">
        <v>84</v>
      </c>
      <c r="E277" s="4">
        <v>14</v>
      </c>
      <c r="F277" s="5">
        <v>44368</v>
      </c>
      <c r="G277" s="5">
        <v>44375</v>
      </c>
      <c r="H277" s="5">
        <v>44375</v>
      </c>
      <c r="I277" s="4">
        <v>60</v>
      </c>
      <c r="J277" s="4" t="s">
        <v>198</v>
      </c>
      <c r="K277" s="5" t="str">
        <f>VLOOKUP(표5[[#This Row],[종목]],표2[],2,FALSE)</f>
        <v>컴퓨터활용능력</v>
      </c>
    </row>
    <row r="278" spans="1:11" x14ac:dyDescent="0.3">
      <c r="A278" s="4">
        <v>277</v>
      </c>
      <c r="B278" s="4">
        <v>12</v>
      </c>
      <c r="C278" s="4">
        <v>2</v>
      </c>
      <c r="D278" s="4">
        <v>108</v>
      </c>
      <c r="E278" s="4">
        <v>15</v>
      </c>
      <c r="F278" s="5">
        <v>44368</v>
      </c>
      <c r="G278" s="5">
        <v>44375</v>
      </c>
      <c r="H278" s="5">
        <v>44375</v>
      </c>
      <c r="I278" s="4">
        <v>50</v>
      </c>
      <c r="J278" s="4" t="s">
        <v>198</v>
      </c>
      <c r="K278" s="5" t="str">
        <f>VLOOKUP(표5[[#This Row],[종목]],표2[],2,FALSE)</f>
        <v>컴퓨터활용능력</v>
      </c>
    </row>
    <row r="279" spans="1:11" x14ac:dyDescent="0.3">
      <c r="A279" s="4">
        <v>278</v>
      </c>
      <c r="B279" s="4">
        <v>27</v>
      </c>
      <c r="C279" s="4">
        <v>2</v>
      </c>
      <c r="D279" s="4">
        <v>108</v>
      </c>
      <c r="E279" s="4">
        <v>15</v>
      </c>
      <c r="F279" s="5">
        <v>44368</v>
      </c>
      <c r="G279" s="5">
        <v>44375</v>
      </c>
      <c r="H279" s="5">
        <v>44375</v>
      </c>
      <c r="I279" s="4">
        <v>40</v>
      </c>
      <c r="J279" s="4" t="s">
        <v>198</v>
      </c>
      <c r="K279" s="5" t="str">
        <f>VLOOKUP(표5[[#This Row],[종목]],표2[],2,FALSE)</f>
        <v>컴퓨터활용능력</v>
      </c>
    </row>
    <row r="280" spans="1:11" x14ac:dyDescent="0.3">
      <c r="A280" s="4">
        <v>279</v>
      </c>
      <c r="B280" s="4">
        <v>14</v>
      </c>
      <c r="C280" s="4">
        <v>6</v>
      </c>
      <c r="D280" s="4">
        <v>149</v>
      </c>
      <c r="E280" s="4">
        <v>14</v>
      </c>
      <c r="F280" s="5">
        <v>44368</v>
      </c>
      <c r="G280" s="5">
        <v>44375</v>
      </c>
      <c r="H280" s="5">
        <v>44376</v>
      </c>
      <c r="I280" s="4">
        <v>80</v>
      </c>
      <c r="J280" s="4" t="s">
        <v>199</v>
      </c>
      <c r="K280" s="5" t="str">
        <f>VLOOKUP(표5[[#This Row],[종목]],표2[],2,FALSE)</f>
        <v>비서</v>
      </c>
    </row>
    <row r="281" spans="1:11" x14ac:dyDescent="0.3">
      <c r="A281" s="4">
        <v>280</v>
      </c>
      <c r="B281" s="4">
        <v>19</v>
      </c>
      <c r="C281" s="4">
        <v>6</v>
      </c>
      <c r="D281" s="4">
        <v>149</v>
      </c>
      <c r="E281" s="4">
        <v>14</v>
      </c>
      <c r="F281" s="5">
        <v>44368</v>
      </c>
      <c r="G281" s="5">
        <v>44375</v>
      </c>
      <c r="H281" s="5">
        <v>44376</v>
      </c>
      <c r="I281" s="4">
        <v>90</v>
      </c>
      <c r="J281" s="4" t="s">
        <v>199</v>
      </c>
      <c r="K281" s="5" t="str">
        <f>VLOOKUP(표5[[#This Row],[종목]],표2[],2,FALSE)</f>
        <v>비서</v>
      </c>
    </row>
    <row r="282" spans="1:11" x14ac:dyDescent="0.3">
      <c r="A282" s="4">
        <v>281</v>
      </c>
      <c r="B282" s="4">
        <v>29</v>
      </c>
      <c r="C282" s="4">
        <v>6</v>
      </c>
      <c r="D282" s="4">
        <v>149</v>
      </c>
      <c r="E282" s="4">
        <v>14</v>
      </c>
      <c r="F282" s="5">
        <v>44368</v>
      </c>
      <c r="G282" s="5">
        <v>44375</v>
      </c>
      <c r="H282" s="5">
        <v>44376</v>
      </c>
      <c r="I282" s="4">
        <v>80</v>
      </c>
      <c r="J282" s="4" t="s">
        <v>199</v>
      </c>
      <c r="K282" s="5" t="str">
        <f>VLOOKUP(표5[[#This Row],[종목]],표2[],2,FALSE)</f>
        <v>비서</v>
      </c>
    </row>
    <row r="283" spans="1:11" x14ac:dyDescent="0.3">
      <c r="A283" s="4">
        <v>282</v>
      </c>
      <c r="B283" s="4">
        <v>27</v>
      </c>
      <c r="C283" s="4">
        <v>6</v>
      </c>
      <c r="D283" s="4">
        <v>149</v>
      </c>
      <c r="E283" s="4">
        <v>14</v>
      </c>
      <c r="F283" s="5">
        <v>44368</v>
      </c>
      <c r="G283" s="5">
        <v>44375</v>
      </c>
      <c r="H283" s="5">
        <v>44376</v>
      </c>
      <c r="I283" s="4">
        <v>80</v>
      </c>
      <c r="J283" s="4" t="s">
        <v>199</v>
      </c>
      <c r="K283" s="5" t="str">
        <f>VLOOKUP(표5[[#This Row],[종목]],표2[],2,FALSE)</f>
        <v>비서</v>
      </c>
    </row>
    <row r="284" spans="1:11" x14ac:dyDescent="0.3">
      <c r="A284" s="4">
        <v>283</v>
      </c>
      <c r="B284" s="4">
        <v>5</v>
      </c>
      <c r="C284" s="4">
        <v>3</v>
      </c>
      <c r="D284" s="4">
        <v>104</v>
      </c>
      <c r="E284" s="4">
        <v>18</v>
      </c>
      <c r="F284" s="5">
        <v>44371</v>
      </c>
      <c r="G284" s="5">
        <v>44378</v>
      </c>
      <c r="H284" s="5">
        <v>44378</v>
      </c>
      <c r="I284" s="4">
        <v>30</v>
      </c>
      <c r="J284" s="4" t="s">
        <v>198</v>
      </c>
      <c r="K284" s="5" t="str">
        <f>VLOOKUP(표5[[#This Row],[종목]],표2[],2,FALSE)</f>
        <v>컴퓨터활용능력</v>
      </c>
    </row>
    <row r="285" spans="1:11" x14ac:dyDescent="0.3">
      <c r="A285" s="4">
        <v>284</v>
      </c>
      <c r="B285" s="4">
        <v>15</v>
      </c>
      <c r="C285" s="4">
        <v>3</v>
      </c>
      <c r="D285" s="4">
        <v>104</v>
      </c>
      <c r="E285" s="4">
        <v>18</v>
      </c>
      <c r="F285" s="5">
        <v>44371</v>
      </c>
      <c r="G285" s="5">
        <v>44378</v>
      </c>
      <c r="H285" s="5">
        <v>44378</v>
      </c>
      <c r="I285" s="4">
        <v>80</v>
      </c>
      <c r="J285" s="4" t="s">
        <v>199</v>
      </c>
      <c r="K285" s="5" t="str">
        <f>VLOOKUP(표5[[#This Row],[종목]],표2[],2,FALSE)</f>
        <v>컴퓨터활용능력</v>
      </c>
    </row>
    <row r="286" spans="1:11" x14ac:dyDescent="0.3">
      <c r="A286" s="4">
        <v>285</v>
      </c>
      <c r="B286" s="4">
        <v>19</v>
      </c>
      <c r="C286" s="4">
        <v>3</v>
      </c>
      <c r="D286" s="4">
        <v>104</v>
      </c>
      <c r="E286" s="4">
        <v>18</v>
      </c>
      <c r="F286" s="5">
        <v>44371</v>
      </c>
      <c r="G286" s="5">
        <v>44378</v>
      </c>
      <c r="H286" s="5">
        <v>44378</v>
      </c>
      <c r="I286" s="4">
        <v>20</v>
      </c>
      <c r="J286" s="4" t="s">
        <v>198</v>
      </c>
      <c r="K286" s="5" t="str">
        <f>VLOOKUP(표5[[#This Row],[종목]],표2[],2,FALSE)</f>
        <v>컴퓨터활용능력</v>
      </c>
    </row>
    <row r="287" spans="1:11" x14ac:dyDescent="0.3">
      <c r="A287" s="4">
        <v>286</v>
      </c>
      <c r="B287" s="4">
        <v>28</v>
      </c>
      <c r="C287" s="4">
        <v>4</v>
      </c>
      <c r="D287" s="4">
        <v>96</v>
      </c>
      <c r="E287" s="4">
        <v>18</v>
      </c>
      <c r="F287" s="5">
        <v>44371</v>
      </c>
      <c r="G287" s="5">
        <v>44378</v>
      </c>
      <c r="H287" s="5">
        <v>44379</v>
      </c>
      <c r="I287" s="4">
        <v>0</v>
      </c>
      <c r="J287" s="4" t="s">
        <v>198</v>
      </c>
      <c r="K287" s="5" t="str">
        <f>VLOOKUP(표5[[#This Row],[종목]],표2[],2,FALSE)</f>
        <v>비서</v>
      </c>
    </row>
    <row r="288" spans="1:11" x14ac:dyDescent="0.3">
      <c r="A288" s="4">
        <v>287</v>
      </c>
      <c r="B288" s="4">
        <v>15</v>
      </c>
      <c r="C288" s="4">
        <v>4</v>
      </c>
      <c r="D288" s="4">
        <v>96</v>
      </c>
      <c r="E288" s="4">
        <v>18</v>
      </c>
      <c r="F288" s="5">
        <v>44371</v>
      </c>
      <c r="G288" s="5">
        <v>44378</v>
      </c>
      <c r="H288" s="5">
        <v>44379</v>
      </c>
      <c r="I288" s="4">
        <v>10</v>
      </c>
      <c r="J288" s="4" t="s">
        <v>198</v>
      </c>
      <c r="K288" s="5" t="str">
        <f>VLOOKUP(표5[[#This Row],[종목]],표2[],2,FALSE)</f>
        <v>비서</v>
      </c>
    </row>
    <row r="289" spans="1:11" x14ac:dyDescent="0.3">
      <c r="A289" s="4">
        <v>288</v>
      </c>
      <c r="B289" s="4">
        <v>27</v>
      </c>
      <c r="C289" s="4">
        <v>1</v>
      </c>
      <c r="D289" s="4">
        <v>65</v>
      </c>
      <c r="E289" s="4">
        <v>20</v>
      </c>
      <c r="F289" s="5">
        <v>44372</v>
      </c>
      <c r="G289" s="5">
        <v>44379</v>
      </c>
      <c r="H289" s="5">
        <v>44380</v>
      </c>
      <c r="I289" s="4">
        <v>20</v>
      </c>
      <c r="J289" s="4" t="s">
        <v>198</v>
      </c>
      <c r="K289" s="5" t="str">
        <f>VLOOKUP(표5[[#This Row],[종목]],표2[],2,FALSE)</f>
        <v>워드프로세서</v>
      </c>
    </row>
    <row r="290" spans="1:11" x14ac:dyDescent="0.3">
      <c r="A290" s="4">
        <v>289</v>
      </c>
      <c r="B290" s="4">
        <v>12</v>
      </c>
      <c r="C290" s="4">
        <v>1</v>
      </c>
      <c r="D290" s="4">
        <v>65</v>
      </c>
      <c r="E290" s="4">
        <v>20</v>
      </c>
      <c r="F290" s="5">
        <v>44372</v>
      </c>
      <c r="G290" s="5">
        <v>44379</v>
      </c>
      <c r="H290" s="5">
        <v>44380</v>
      </c>
      <c r="I290" s="4">
        <v>20</v>
      </c>
      <c r="J290" s="4" t="s">
        <v>198</v>
      </c>
      <c r="K290" s="5" t="str">
        <f>VLOOKUP(표5[[#This Row],[종목]],표2[],2,FALSE)</f>
        <v>워드프로세서</v>
      </c>
    </row>
    <row r="291" spans="1:11" x14ac:dyDescent="0.3">
      <c r="A291" s="4">
        <v>290</v>
      </c>
      <c r="B291" s="4">
        <v>9</v>
      </c>
      <c r="C291" s="4">
        <v>1</v>
      </c>
      <c r="D291" s="4">
        <v>65</v>
      </c>
      <c r="E291" s="4">
        <v>20</v>
      </c>
      <c r="F291" s="5">
        <v>44372</v>
      </c>
      <c r="G291" s="5">
        <v>44379</v>
      </c>
      <c r="H291" s="5">
        <v>44380</v>
      </c>
      <c r="I291" s="4">
        <v>10</v>
      </c>
      <c r="J291" s="4" t="s">
        <v>198</v>
      </c>
      <c r="K291" s="5" t="str">
        <f>VLOOKUP(표5[[#This Row],[종목]],표2[],2,FALSE)</f>
        <v>워드프로세서</v>
      </c>
    </row>
    <row r="292" spans="1:11" x14ac:dyDescent="0.3">
      <c r="A292" s="4">
        <v>291</v>
      </c>
      <c r="B292" s="4">
        <v>11</v>
      </c>
      <c r="C292" s="4">
        <v>1</v>
      </c>
      <c r="D292" s="4">
        <v>65</v>
      </c>
      <c r="E292" s="4">
        <v>20</v>
      </c>
      <c r="F292" s="5">
        <v>44372</v>
      </c>
      <c r="G292" s="5">
        <v>44379</v>
      </c>
      <c r="H292" s="5">
        <v>44380</v>
      </c>
      <c r="I292" s="4">
        <v>40</v>
      </c>
      <c r="J292" s="4" t="s">
        <v>198</v>
      </c>
      <c r="K292" s="5" t="str">
        <f>VLOOKUP(표5[[#This Row],[종목]],표2[],2,FALSE)</f>
        <v>워드프로세서</v>
      </c>
    </row>
    <row r="293" spans="1:11" x14ac:dyDescent="0.3">
      <c r="A293" s="4">
        <v>292</v>
      </c>
      <c r="B293" s="4">
        <v>16</v>
      </c>
      <c r="C293" s="4">
        <v>1</v>
      </c>
      <c r="D293" s="4">
        <v>65</v>
      </c>
      <c r="E293" s="4">
        <v>20</v>
      </c>
      <c r="F293" s="5">
        <v>44372</v>
      </c>
      <c r="G293" s="5">
        <v>44379</v>
      </c>
      <c r="H293" s="5">
        <v>44380</v>
      </c>
      <c r="I293" s="4">
        <v>40</v>
      </c>
      <c r="J293" s="4" t="s">
        <v>198</v>
      </c>
      <c r="K293" s="5" t="str">
        <f>VLOOKUP(표5[[#This Row],[종목]],표2[],2,FALSE)</f>
        <v>워드프로세서</v>
      </c>
    </row>
    <row r="294" spans="1:11" x14ac:dyDescent="0.3">
      <c r="A294" s="4">
        <v>293</v>
      </c>
      <c r="B294" s="4">
        <v>22</v>
      </c>
      <c r="C294" s="4">
        <v>3</v>
      </c>
      <c r="D294" s="4">
        <v>110</v>
      </c>
      <c r="E294" s="4">
        <v>19</v>
      </c>
      <c r="F294" s="5">
        <v>44372</v>
      </c>
      <c r="G294" s="5">
        <v>44379</v>
      </c>
      <c r="H294" s="5">
        <v>44379</v>
      </c>
      <c r="I294" s="4">
        <v>0</v>
      </c>
      <c r="J294" s="4" t="s">
        <v>198</v>
      </c>
      <c r="K294" s="5" t="str">
        <f>VLOOKUP(표5[[#This Row],[종목]],표2[],2,FALSE)</f>
        <v>컴퓨터활용능력</v>
      </c>
    </row>
    <row r="295" spans="1:11" x14ac:dyDescent="0.3">
      <c r="A295" s="4">
        <v>294</v>
      </c>
      <c r="B295" s="4">
        <v>23</v>
      </c>
      <c r="C295" s="4">
        <v>3</v>
      </c>
      <c r="D295" s="4">
        <v>110</v>
      </c>
      <c r="E295" s="4">
        <v>19</v>
      </c>
      <c r="F295" s="5">
        <v>44372</v>
      </c>
      <c r="G295" s="5">
        <v>44379</v>
      </c>
      <c r="H295" s="5">
        <v>44379</v>
      </c>
      <c r="I295" s="4">
        <v>40</v>
      </c>
      <c r="J295" s="4" t="s">
        <v>198</v>
      </c>
      <c r="K295" s="5" t="str">
        <f>VLOOKUP(표5[[#This Row],[종목]],표2[],2,FALSE)</f>
        <v>컴퓨터활용능력</v>
      </c>
    </row>
    <row r="296" spans="1:11" x14ac:dyDescent="0.3">
      <c r="A296" s="4">
        <v>295</v>
      </c>
      <c r="B296" s="4">
        <v>22</v>
      </c>
      <c r="C296" s="4">
        <v>3</v>
      </c>
      <c r="D296" s="4">
        <v>112</v>
      </c>
      <c r="E296" s="4">
        <v>20</v>
      </c>
      <c r="F296" s="5">
        <v>44372</v>
      </c>
      <c r="G296" s="5">
        <v>44379</v>
      </c>
      <c r="H296" s="5">
        <v>44379</v>
      </c>
      <c r="I296" s="4">
        <v>60</v>
      </c>
      <c r="J296" s="4" t="s">
        <v>198</v>
      </c>
      <c r="K296" s="5" t="str">
        <f>VLOOKUP(표5[[#This Row],[종목]],표2[],2,FALSE)</f>
        <v>컴퓨터활용능력</v>
      </c>
    </row>
    <row r="297" spans="1:11" x14ac:dyDescent="0.3">
      <c r="A297" s="4">
        <v>296</v>
      </c>
      <c r="B297" s="4">
        <v>23</v>
      </c>
      <c r="C297" s="4">
        <v>3</v>
      </c>
      <c r="D297" s="4">
        <v>112</v>
      </c>
      <c r="E297" s="4">
        <v>20</v>
      </c>
      <c r="F297" s="5">
        <v>44372</v>
      </c>
      <c r="G297" s="5">
        <v>44379</v>
      </c>
      <c r="H297" s="5">
        <v>44379</v>
      </c>
      <c r="I297" s="4">
        <v>50</v>
      </c>
      <c r="J297" s="4" t="s">
        <v>198</v>
      </c>
      <c r="K297" s="5" t="str">
        <f>VLOOKUP(표5[[#This Row],[종목]],표2[],2,FALSE)</f>
        <v>컴퓨터활용능력</v>
      </c>
    </row>
    <row r="298" spans="1:11" x14ac:dyDescent="0.3">
      <c r="A298" s="4">
        <v>297</v>
      </c>
      <c r="B298" s="4">
        <v>24</v>
      </c>
      <c r="C298" s="4">
        <v>3</v>
      </c>
      <c r="D298" s="4">
        <v>112</v>
      </c>
      <c r="E298" s="4">
        <v>20</v>
      </c>
      <c r="F298" s="5">
        <v>44372</v>
      </c>
      <c r="G298" s="5">
        <v>44379</v>
      </c>
      <c r="H298" s="5">
        <v>44379</v>
      </c>
      <c r="I298" s="4">
        <v>0</v>
      </c>
      <c r="J298" s="4" t="s">
        <v>198</v>
      </c>
      <c r="K298" s="5" t="str">
        <f>VLOOKUP(표5[[#This Row],[종목]],표2[],2,FALSE)</f>
        <v>컴퓨터활용능력</v>
      </c>
    </row>
    <row r="299" spans="1:11" x14ac:dyDescent="0.3">
      <c r="A299" s="4">
        <v>298</v>
      </c>
      <c r="B299" s="4">
        <v>9</v>
      </c>
      <c r="C299" s="4">
        <v>5</v>
      </c>
      <c r="D299" s="4">
        <v>105</v>
      </c>
      <c r="E299" s="4">
        <v>19</v>
      </c>
      <c r="F299" s="5">
        <v>44372</v>
      </c>
      <c r="G299" s="5">
        <v>44379</v>
      </c>
      <c r="H299" s="5">
        <v>44380</v>
      </c>
      <c r="I299" s="4">
        <v>40</v>
      </c>
      <c r="J299" s="4" t="s">
        <v>198</v>
      </c>
      <c r="K299" s="5" t="str">
        <f>VLOOKUP(표5[[#This Row],[종목]],표2[],2,FALSE)</f>
        <v>비서</v>
      </c>
    </row>
    <row r="300" spans="1:11" x14ac:dyDescent="0.3">
      <c r="A300" s="4">
        <v>299</v>
      </c>
      <c r="B300" s="4">
        <v>10</v>
      </c>
      <c r="C300" s="4">
        <v>5</v>
      </c>
      <c r="D300" s="4">
        <v>105</v>
      </c>
      <c r="E300" s="4">
        <v>19</v>
      </c>
      <c r="F300" s="5">
        <v>44372</v>
      </c>
      <c r="G300" s="5">
        <v>44379</v>
      </c>
      <c r="H300" s="5">
        <v>44380</v>
      </c>
      <c r="I300" s="4">
        <v>60</v>
      </c>
      <c r="J300" s="4" t="s">
        <v>198</v>
      </c>
      <c r="K300" s="5" t="str">
        <f>VLOOKUP(표5[[#This Row],[종목]],표2[],2,FALSE)</f>
        <v>비서</v>
      </c>
    </row>
    <row r="301" spans="1:11" x14ac:dyDescent="0.3">
      <c r="A301" s="4">
        <v>300</v>
      </c>
      <c r="B301" s="4">
        <v>28</v>
      </c>
      <c r="C301" s="4">
        <v>3</v>
      </c>
      <c r="D301" s="4">
        <v>110</v>
      </c>
      <c r="E301" s="4">
        <v>19</v>
      </c>
      <c r="F301" s="5">
        <v>44372</v>
      </c>
      <c r="G301" s="5">
        <v>44379</v>
      </c>
      <c r="H301" s="5">
        <v>44379</v>
      </c>
      <c r="I301" s="4">
        <v>20</v>
      </c>
      <c r="J301" s="4" t="s">
        <v>198</v>
      </c>
      <c r="K301" s="5" t="str">
        <f>VLOOKUP(표5[[#This Row],[종목]],표2[],2,FALSE)</f>
        <v>컴퓨터활용능력</v>
      </c>
    </row>
    <row r="302" spans="1:11" x14ac:dyDescent="0.3">
      <c r="A302" s="4">
        <v>301</v>
      </c>
      <c r="B302" s="4">
        <v>15</v>
      </c>
      <c r="C302" s="4">
        <v>3</v>
      </c>
      <c r="D302" s="4">
        <v>110</v>
      </c>
      <c r="E302" s="4">
        <v>19</v>
      </c>
      <c r="F302" s="5">
        <v>44372</v>
      </c>
      <c r="G302" s="5">
        <v>44379</v>
      </c>
      <c r="H302" s="5">
        <v>44379</v>
      </c>
      <c r="I302" s="4">
        <v>30</v>
      </c>
      <c r="J302" s="4" t="s">
        <v>198</v>
      </c>
      <c r="K302" s="5" t="str">
        <f>VLOOKUP(표5[[#This Row],[종목]],표2[],2,FALSE)</f>
        <v>컴퓨터활용능력</v>
      </c>
    </row>
    <row r="303" spans="1:11" x14ac:dyDescent="0.3">
      <c r="A303" s="4">
        <v>302</v>
      </c>
      <c r="B303" s="4">
        <v>2</v>
      </c>
      <c r="C303" s="4">
        <v>1</v>
      </c>
      <c r="D303" s="4">
        <v>66</v>
      </c>
      <c r="E303" s="4">
        <v>21</v>
      </c>
      <c r="F303" s="5">
        <v>44373</v>
      </c>
      <c r="G303" s="5">
        <v>44380</v>
      </c>
      <c r="H303" s="5">
        <v>44381</v>
      </c>
      <c r="I303" s="4">
        <v>0</v>
      </c>
      <c r="J303" s="4" t="s">
        <v>198</v>
      </c>
      <c r="K303" s="5" t="str">
        <f>VLOOKUP(표5[[#This Row],[종목]],표2[],2,FALSE)</f>
        <v>워드프로세서</v>
      </c>
    </row>
    <row r="304" spans="1:11" x14ac:dyDescent="0.3">
      <c r="A304" s="4">
        <v>303</v>
      </c>
      <c r="B304" s="4">
        <v>1</v>
      </c>
      <c r="C304" s="4">
        <v>1</v>
      </c>
      <c r="D304" s="4">
        <v>66</v>
      </c>
      <c r="E304" s="4">
        <v>21</v>
      </c>
      <c r="F304" s="5">
        <v>44373</v>
      </c>
      <c r="G304" s="5">
        <v>44380</v>
      </c>
      <c r="H304" s="5">
        <v>44381</v>
      </c>
      <c r="I304" s="4">
        <v>30</v>
      </c>
      <c r="J304" s="4" t="s">
        <v>198</v>
      </c>
      <c r="K304" s="5" t="str">
        <f>VLOOKUP(표5[[#This Row],[종목]],표2[],2,FALSE)</f>
        <v>워드프로세서</v>
      </c>
    </row>
    <row r="305" spans="1:11" x14ac:dyDescent="0.3">
      <c r="A305" s="4">
        <v>304</v>
      </c>
      <c r="B305" s="4">
        <v>3</v>
      </c>
      <c r="C305" s="4">
        <v>1</v>
      </c>
      <c r="D305" s="4">
        <v>66</v>
      </c>
      <c r="E305" s="4">
        <v>21</v>
      </c>
      <c r="F305" s="5">
        <v>44373</v>
      </c>
      <c r="G305" s="5">
        <v>44380</v>
      </c>
      <c r="H305" s="5">
        <v>44381</v>
      </c>
      <c r="I305" s="4">
        <v>50</v>
      </c>
      <c r="J305" s="4" t="s">
        <v>198</v>
      </c>
      <c r="K305" s="5" t="str">
        <f>VLOOKUP(표5[[#This Row],[종목]],표2[],2,FALSE)</f>
        <v>워드프로세서</v>
      </c>
    </row>
    <row r="306" spans="1:11" x14ac:dyDescent="0.3">
      <c r="A306" s="4">
        <v>305</v>
      </c>
      <c r="B306" s="4">
        <v>4</v>
      </c>
      <c r="C306" s="4">
        <v>1</v>
      </c>
      <c r="D306" s="4">
        <v>66</v>
      </c>
      <c r="E306" s="4">
        <v>21</v>
      </c>
      <c r="F306" s="5">
        <v>44373</v>
      </c>
      <c r="G306" s="5">
        <v>44380</v>
      </c>
      <c r="H306" s="5">
        <v>44381</v>
      </c>
      <c r="I306" s="4">
        <v>50</v>
      </c>
      <c r="J306" s="4" t="s">
        <v>198</v>
      </c>
      <c r="K306" s="5" t="str">
        <f>VLOOKUP(표5[[#This Row],[종목]],표2[],2,FALSE)</f>
        <v>워드프로세서</v>
      </c>
    </row>
    <row r="307" spans="1:11" x14ac:dyDescent="0.3">
      <c r="A307" s="4">
        <v>306</v>
      </c>
      <c r="B307" s="4">
        <v>6</v>
      </c>
      <c r="C307" s="4">
        <v>1</v>
      </c>
      <c r="D307" s="4">
        <v>66</v>
      </c>
      <c r="E307" s="4">
        <v>21</v>
      </c>
      <c r="F307" s="5">
        <v>44373</v>
      </c>
      <c r="G307" s="5">
        <v>44380</v>
      </c>
      <c r="H307" s="5">
        <v>44381</v>
      </c>
      <c r="I307" s="4">
        <v>20</v>
      </c>
      <c r="J307" s="4" t="s">
        <v>198</v>
      </c>
      <c r="K307" s="5" t="str">
        <f>VLOOKUP(표5[[#This Row],[종목]],표2[],2,FALSE)</f>
        <v>워드프로세서</v>
      </c>
    </row>
    <row r="308" spans="1:11" x14ac:dyDescent="0.3">
      <c r="A308" s="4">
        <v>307</v>
      </c>
      <c r="B308" s="4">
        <v>9</v>
      </c>
      <c r="C308" s="4">
        <v>1</v>
      </c>
      <c r="D308" s="4">
        <v>66</v>
      </c>
      <c r="E308" s="4">
        <v>21</v>
      </c>
      <c r="F308" s="5">
        <v>44373</v>
      </c>
      <c r="G308" s="5">
        <v>44380</v>
      </c>
      <c r="H308" s="5">
        <v>44381</v>
      </c>
      <c r="I308" s="4">
        <v>50</v>
      </c>
      <c r="J308" s="4" t="s">
        <v>198</v>
      </c>
      <c r="K308" s="5" t="str">
        <f>VLOOKUP(표5[[#This Row],[종목]],표2[],2,FALSE)</f>
        <v>워드프로세서</v>
      </c>
    </row>
    <row r="309" spans="1:11" x14ac:dyDescent="0.3">
      <c r="A309" s="4">
        <v>308</v>
      </c>
      <c r="B309" s="4">
        <v>16</v>
      </c>
      <c r="C309" s="4">
        <v>3</v>
      </c>
      <c r="D309" s="4">
        <v>115</v>
      </c>
      <c r="E309" s="4">
        <v>21</v>
      </c>
      <c r="F309" s="5">
        <v>44373</v>
      </c>
      <c r="G309" s="5">
        <v>44380</v>
      </c>
      <c r="H309" s="5">
        <v>44380</v>
      </c>
      <c r="I309" s="4">
        <v>90</v>
      </c>
      <c r="J309" s="4" t="s">
        <v>199</v>
      </c>
      <c r="K309" s="5" t="str">
        <f>VLOOKUP(표5[[#This Row],[종목]],표2[],2,FALSE)</f>
        <v>컴퓨터활용능력</v>
      </c>
    </row>
    <row r="310" spans="1:11" x14ac:dyDescent="0.3">
      <c r="A310" s="4">
        <v>309</v>
      </c>
      <c r="B310" s="4">
        <v>19</v>
      </c>
      <c r="C310" s="4">
        <v>3</v>
      </c>
      <c r="D310" s="4">
        <v>115</v>
      </c>
      <c r="E310" s="4">
        <v>21</v>
      </c>
      <c r="F310" s="5">
        <v>44373</v>
      </c>
      <c r="G310" s="5">
        <v>44380</v>
      </c>
      <c r="H310" s="5">
        <v>44380</v>
      </c>
      <c r="I310" s="4">
        <v>100</v>
      </c>
      <c r="J310" s="4" t="s">
        <v>199</v>
      </c>
      <c r="K310" s="5" t="str">
        <f>VLOOKUP(표5[[#This Row],[종목]],표2[],2,FALSE)</f>
        <v>컴퓨터활용능력</v>
      </c>
    </row>
    <row r="311" spans="1:11" x14ac:dyDescent="0.3">
      <c r="A311" s="4">
        <v>310</v>
      </c>
      <c r="B311" s="4">
        <v>16</v>
      </c>
      <c r="C311" s="4">
        <v>1</v>
      </c>
      <c r="D311" s="4">
        <v>70</v>
      </c>
      <c r="E311" s="4">
        <v>22</v>
      </c>
      <c r="F311" s="5">
        <v>44374</v>
      </c>
      <c r="G311" s="5">
        <v>44381</v>
      </c>
      <c r="H311" s="5">
        <v>44382</v>
      </c>
      <c r="I311" s="4">
        <v>10</v>
      </c>
      <c r="J311" s="4" t="s">
        <v>198</v>
      </c>
      <c r="K311" s="5" t="str">
        <f>VLOOKUP(표5[[#This Row],[종목]],표2[],2,FALSE)</f>
        <v>워드프로세서</v>
      </c>
    </row>
    <row r="312" spans="1:11" x14ac:dyDescent="0.3">
      <c r="A312" s="4">
        <v>311</v>
      </c>
      <c r="B312" s="4">
        <v>18</v>
      </c>
      <c r="C312" s="4">
        <v>1</v>
      </c>
      <c r="D312" s="4">
        <v>70</v>
      </c>
      <c r="E312" s="4">
        <v>22</v>
      </c>
      <c r="F312" s="5">
        <v>44374</v>
      </c>
      <c r="G312" s="5">
        <v>44381</v>
      </c>
      <c r="H312" s="5">
        <v>44382</v>
      </c>
      <c r="I312" s="4">
        <v>30</v>
      </c>
      <c r="J312" s="4" t="s">
        <v>198</v>
      </c>
      <c r="K312" s="5" t="str">
        <f>VLOOKUP(표5[[#This Row],[종목]],표2[],2,FALSE)</f>
        <v>워드프로세서</v>
      </c>
    </row>
    <row r="313" spans="1:11" x14ac:dyDescent="0.3">
      <c r="A313" s="4">
        <v>312</v>
      </c>
      <c r="B313" s="4">
        <v>23</v>
      </c>
      <c r="C313" s="4">
        <v>1</v>
      </c>
      <c r="D313" s="4">
        <v>70</v>
      </c>
      <c r="E313" s="4">
        <v>22</v>
      </c>
      <c r="F313" s="5">
        <v>44374</v>
      </c>
      <c r="G313" s="5">
        <v>44381</v>
      </c>
      <c r="H313" s="5">
        <v>44382</v>
      </c>
      <c r="I313" s="4">
        <v>50</v>
      </c>
      <c r="J313" s="4" t="s">
        <v>198</v>
      </c>
      <c r="K313" s="5" t="str">
        <f>VLOOKUP(표5[[#This Row],[종목]],표2[],2,FALSE)</f>
        <v>워드프로세서</v>
      </c>
    </row>
    <row r="314" spans="1:11" x14ac:dyDescent="0.3">
      <c r="A314" s="4">
        <v>313</v>
      </c>
      <c r="B314" s="4">
        <v>24</v>
      </c>
      <c r="C314" s="4">
        <v>1</v>
      </c>
      <c r="D314" s="4">
        <v>70</v>
      </c>
      <c r="E314" s="4">
        <v>22</v>
      </c>
      <c r="F314" s="5">
        <v>44374</v>
      </c>
      <c r="G314" s="5">
        <v>44381</v>
      </c>
      <c r="H314" s="5">
        <v>44382</v>
      </c>
      <c r="I314" s="4">
        <v>20</v>
      </c>
      <c r="J314" s="4" t="s">
        <v>198</v>
      </c>
      <c r="K314" s="5" t="str">
        <f>VLOOKUP(표5[[#This Row],[종목]],표2[],2,FALSE)</f>
        <v>워드프로세서</v>
      </c>
    </row>
    <row r="315" spans="1:11" x14ac:dyDescent="0.3">
      <c r="A315" s="4">
        <v>314</v>
      </c>
      <c r="B315" s="4">
        <v>28</v>
      </c>
      <c r="C315" s="4">
        <v>1</v>
      </c>
      <c r="D315" s="4">
        <v>70</v>
      </c>
      <c r="E315" s="4">
        <v>22</v>
      </c>
      <c r="F315" s="5">
        <v>44374</v>
      </c>
      <c r="G315" s="5">
        <v>44381</v>
      </c>
      <c r="H315" s="5">
        <v>44382</v>
      </c>
      <c r="I315" s="4">
        <v>10</v>
      </c>
      <c r="J315" s="4" t="s">
        <v>198</v>
      </c>
      <c r="K315" s="5" t="str">
        <f>VLOOKUP(표5[[#This Row],[종목]],표2[],2,FALSE)</f>
        <v>워드프로세서</v>
      </c>
    </row>
    <row r="316" spans="1:11" x14ac:dyDescent="0.3">
      <c r="A316" s="4">
        <v>315</v>
      </c>
      <c r="B316" s="4">
        <v>22</v>
      </c>
      <c r="C316" s="4">
        <v>1</v>
      </c>
      <c r="D316" s="4">
        <v>70</v>
      </c>
      <c r="E316" s="4">
        <v>22</v>
      </c>
      <c r="F316" s="5">
        <v>44374</v>
      </c>
      <c r="G316" s="5">
        <v>44381</v>
      </c>
      <c r="H316" s="5">
        <v>44382</v>
      </c>
      <c r="I316" s="4">
        <v>40</v>
      </c>
      <c r="J316" s="4" t="s">
        <v>198</v>
      </c>
      <c r="K316" s="5" t="str">
        <f>VLOOKUP(표5[[#This Row],[종목]],표2[],2,FALSE)</f>
        <v>워드프로세서</v>
      </c>
    </row>
    <row r="317" spans="1:11" x14ac:dyDescent="0.3">
      <c r="A317" s="4">
        <v>316</v>
      </c>
      <c r="B317" s="4">
        <v>8</v>
      </c>
      <c r="C317" s="4">
        <v>1</v>
      </c>
      <c r="D317" s="4">
        <v>70</v>
      </c>
      <c r="E317" s="4">
        <v>22</v>
      </c>
      <c r="F317" s="5">
        <v>44374</v>
      </c>
      <c r="G317" s="5">
        <v>44381</v>
      </c>
      <c r="H317" s="5">
        <v>44382</v>
      </c>
      <c r="I317" s="4">
        <v>30</v>
      </c>
      <c r="J317" s="4" t="s">
        <v>198</v>
      </c>
      <c r="K317" s="5" t="str">
        <f>VLOOKUP(표5[[#This Row],[종목]],표2[],2,FALSE)</f>
        <v>워드프로세서</v>
      </c>
    </row>
    <row r="318" spans="1:11" x14ac:dyDescent="0.3">
      <c r="A318" s="4">
        <v>317</v>
      </c>
      <c r="B318" s="4">
        <v>24</v>
      </c>
      <c r="C318" s="4">
        <v>3</v>
      </c>
      <c r="D318" s="4">
        <v>132</v>
      </c>
      <c r="E318" s="4">
        <v>22</v>
      </c>
      <c r="F318" s="5">
        <v>44374</v>
      </c>
      <c r="G318" s="5">
        <v>44381</v>
      </c>
      <c r="H318" s="5">
        <v>44381</v>
      </c>
      <c r="I318" s="4">
        <v>20</v>
      </c>
      <c r="J318" s="4" t="s">
        <v>198</v>
      </c>
      <c r="K318" s="5" t="str">
        <f>VLOOKUP(표5[[#This Row],[종목]],표2[],2,FALSE)</f>
        <v>컴퓨터활용능력</v>
      </c>
    </row>
    <row r="319" spans="1:11" x14ac:dyDescent="0.3">
      <c r="A319" s="4">
        <v>318</v>
      </c>
      <c r="B319" s="4">
        <v>25</v>
      </c>
      <c r="C319" s="4">
        <v>3</v>
      </c>
      <c r="D319" s="4">
        <v>132</v>
      </c>
      <c r="E319" s="4">
        <v>22</v>
      </c>
      <c r="F319" s="5">
        <v>44374</v>
      </c>
      <c r="G319" s="5">
        <v>44381</v>
      </c>
      <c r="H319" s="5">
        <v>44381</v>
      </c>
      <c r="I319" s="4">
        <v>0</v>
      </c>
      <c r="J319" s="4" t="s">
        <v>198</v>
      </c>
      <c r="K319" s="5" t="str">
        <f>VLOOKUP(표5[[#This Row],[종목]],표2[],2,FALSE)</f>
        <v>컴퓨터활용능력</v>
      </c>
    </row>
    <row r="320" spans="1:11" x14ac:dyDescent="0.3">
      <c r="A320" s="4">
        <v>319</v>
      </c>
      <c r="B320" s="4">
        <v>16</v>
      </c>
      <c r="C320" s="4">
        <v>5</v>
      </c>
      <c r="D320" s="4">
        <v>116</v>
      </c>
      <c r="E320" s="4">
        <v>22</v>
      </c>
      <c r="F320" s="5">
        <v>44374</v>
      </c>
      <c r="G320" s="5">
        <v>44381</v>
      </c>
      <c r="H320" s="5">
        <v>44382</v>
      </c>
      <c r="I320" s="4">
        <v>60</v>
      </c>
      <c r="J320" s="4" t="s">
        <v>198</v>
      </c>
      <c r="K320" s="5" t="str">
        <f>VLOOKUP(표5[[#This Row],[종목]],표2[],2,FALSE)</f>
        <v>비서</v>
      </c>
    </row>
    <row r="321" spans="1:11" x14ac:dyDescent="0.3">
      <c r="A321" s="4">
        <v>320</v>
      </c>
      <c r="B321" s="4">
        <v>19</v>
      </c>
      <c r="C321" s="4">
        <v>5</v>
      </c>
      <c r="D321" s="4">
        <v>116</v>
      </c>
      <c r="E321" s="4">
        <v>22</v>
      </c>
      <c r="F321" s="5">
        <v>44374</v>
      </c>
      <c r="G321" s="5">
        <v>44381</v>
      </c>
      <c r="H321" s="5">
        <v>44382</v>
      </c>
      <c r="I321" s="4">
        <v>0</v>
      </c>
      <c r="J321" s="4" t="s">
        <v>198</v>
      </c>
      <c r="K321" s="5" t="str">
        <f>VLOOKUP(표5[[#This Row],[종목]],표2[],2,FALSE)</f>
        <v>비서</v>
      </c>
    </row>
    <row r="322" spans="1:11" x14ac:dyDescent="0.3">
      <c r="A322" s="4">
        <v>321</v>
      </c>
      <c r="B322" s="4">
        <v>9</v>
      </c>
      <c r="C322" s="4">
        <v>3</v>
      </c>
      <c r="D322" s="4">
        <v>132</v>
      </c>
      <c r="E322" s="4">
        <v>22</v>
      </c>
      <c r="F322" s="5">
        <v>44374</v>
      </c>
      <c r="G322" s="5">
        <v>44381</v>
      </c>
      <c r="H322" s="5">
        <v>44381</v>
      </c>
      <c r="I322" s="4">
        <v>0</v>
      </c>
      <c r="J322" s="4" t="s">
        <v>198</v>
      </c>
      <c r="K322" s="5" t="str">
        <f>VLOOKUP(표5[[#This Row],[종목]],표2[],2,FALSE)</f>
        <v>컴퓨터활용능력</v>
      </c>
    </row>
    <row r="323" spans="1:11" x14ac:dyDescent="0.3">
      <c r="A323" s="4">
        <v>322</v>
      </c>
      <c r="B323" s="4">
        <v>10</v>
      </c>
      <c r="C323" s="4">
        <v>3</v>
      </c>
      <c r="D323" s="4">
        <v>132</v>
      </c>
      <c r="E323" s="4">
        <v>22</v>
      </c>
      <c r="F323" s="5">
        <v>44374</v>
      </c>
      <c r="G323" s="5">
        <v>44381</v>
      </c>
      <c r="H323" s="5">
        <v>44381</v>
      </c>
      <c r="I323" s="4">
        <v>10</v>
      </c>
      <c r="J323" s="4" t="s">
        <v>198</v>
      </c>
      <c r="K323" s="5" t="str">
        <f>VLOOKUP(표5[[#This Row],[종목]],표2[],2,FALSE)</f>
        <v>컴퓨터활용능력</v>
      </c>
    </row>
    <row r="324" spans="1:11" x14ac:dyDescent="0.3">
      <c r="A324" s="4">
        <v>323</v>
      </c>
      <c r="B324" s="4">
        <v>12</v>
      </c>
      <c r="C324" s="4">
        <v>4</v>
      </c>
      <c r="D324" s="4">
        <v>136</v>
      </c>
      <c r="E324" s="4">
        <v>22</v>
      </c>
      <c r="F324" s="5">
        <v>44374</v>
      </c>
      <c r="G324" s="5">
        <v>44381</v>
      </c>
      <c r="H324" s="5">
        <v>44382</v>
      </c>
      <c r="I324" s="4">
        <v>40</v>
      </c>
      <c r="J324" s="4" t="s">
        <v>198</v>
      </c>
      <c r="K324" s="5" t="str">
        <f>VLOOKUP(표5[[#This Row],[종목]],표2[],2,FALSE)</f>
        <v>비서</v>
      </c>
    </row>
    <row r="325" spans="1:11" x14ac:dyDescent="0.3">
      <c r="A325" s="4">
        <v>324</v>
      </c>
      <c r="B325" s="4">
        <v>27</v>
      </c>
      <c r="C325" s="4">
        <v>4</v>
      </c>
      <c r="D325" s="4">
        <v>136</v>
      </c>
      <c r="E325" s="4">
        <v>22</v>
      </c>
      <c r="F325" s="5">
        <v>44374</v>
      </c>
      <c r="G325" s="5">
        <v>44381</v>
      </c>
      <c r="H325" s="5">
        <v>44382</v>
      </c>
      <c r="I325" s="4">
        <v>50</v>
      </c>
      <c r="J325" s="4" t="s">
        <v>198</v>
      </c>
      <c r="K325" s="5" t="str">
        <f>VLOOKUP(표5[[#This Row],[종목]],표2[],2,FALSE)</f>
        <v>비서</v>
      </c>
    </row>
    <row r="326" spans="1:11" x14ac:dyDescent="0.3">
      <c r="A326" s="4">
        <v>325</v>
      </c>
      <c r="B326" s="4">
        <v>3</v>
      </c>
      <c r="C326" s="4">
        <v>1</v>
      </c>
      <c r="D326" s="4">
        <v>74</v>
      </c>
      <c r="E326" s="4">
        <v>23</v>
      </c>
      <c r="F326" s="5">
        <v>44376</v>
      </c>
      <c r="G326" s="5">
        <v>44383</v>
      </c>
      <c r="H326" s="5">
        <v>44384</v>
      </c>
      <c r="I326" s="4">
        <v>40</v>
      </c>
      <c r="J326" s="4" t="s">
        <v>198</v>
      </c>
      <c r="K326" s="5" t="str">
        <f>VLOOKUP(표5[[#This Row],[종목]],표2[],2,FALSE)</f>
        <v>워드프로세서</v>
      </c>
    </row>
    <row r="327" spans="1:11" x14ac:dyDescent="0.3">
      <c r="A327" s="4">
        <v>326</v>
      </c>
      <c r="B327" s="4">
        <v>4</v>
      </c>
      <c r="C327" s="4">
        <v>1</v>
      </c>
      <c r="D327" s="4">
        <v>74</v>
      </c>
      <c r="E327" s="4">
        <v>23</v>
      </c>
      <c r="F327" s="5">
        <v>44376</v>
      </c>
      <c r="G327" s="5">
        <v>44383</v>
      </c>
      <c r="H327" s="5">
        <v>44384</v>
      </c>
      <c r="I327" s="4">
        <v>10</v>
      </c>
      <c r="J327" s="4" t="s">
        <v>198</v>
      </c>
      <c r="K327" s="5" t="str">
        <f>VLOOKUP(표5[[#This Row],[종목]],표2[],2,FALSE)</f>
        <v>워드프로세서</v>
      </c>
    </row>
    <row r="328" spans="1:11" x14ac:dyDescent="0.3">
      <c r="A328" s="4">
        <v>342</v>
      </c>
      <c r="B328" s="4">
        <v>7</v>
      </c>
      <c r="C328" s="4">
        <v>1</v>
      </c>
      <c r="D328" s="4">
        <v>79</v>
      </c>
      <c r="E328" s="4">
        <v>25</v>
      </c>
      <c r="F328" s="5">
        <v>44380</v>
      </c>
      <c r="G328" s="5">
        <v>44387</v>
      </c>
      <c r="H328" s="5">
        <v>44388</v>
      </c>
      <c r="I328" s="4">
        <v>50</v>
      </c>
      <c r="J328" s="4" t="s">
        <v>198</v>
      </c>
      <c r="K328" s="5" t="str">
        <f>VLOOKUP(표5[[#This Row],[종목]],표2[],2,FALSE)</f>
        <v>워드프로세서</v>
      </c>
    </row>
    <row r="329" spans="1:11" x14ac:dyDescent="0.3">
      <c r="A329" s="4">
        <v>328</v>
      </c>
      <c r="B329" s="4">
        <v>11</v>
      </c>
      <c r="C329" s="4">
        <v>1</v>
      </c>
      <c r="D329" s="4">
        <v>74</v>
      </c>
      <c r="E329" s="4">
        <v>23</v>
      </c>
      <c r="F329" s="5">
        <v>44376</v>
      </c>
      <c r="G329" s="5">
        <v>44383</v>
      </c>
      <c r="H329" s="5">
        <v>44384</v>
      </c>
      <c r="I329" s="4">
        <v>0</v>
      </c>
      <c r="J329" s="4" t="s">
        <v>198</v>
      </c>
      <c r="K329" s="5" t="str">
        <f>VLOOKUP(표5[[#This Row],[종목]],표2[],2,FALSE)</f>
        <v>워드프로세서</v>
      </c>
    </row>
    <row r="330" spans="1:11" x14ac:dyDescent="0.3">
      <c r="A330" s="4">
        <v>329</v>
      </c>
      <c r="B330" s="4">
        <v>12</v>
      </c>
      <c r="C330" s="4">
        <v>1</v>
      </c>
      <c r="D330" s="4">
        <v>74</v>
      </c>
      <c r="E330" s="4">
        <v>23</v>
      </c>
      <c r="F330" s="5">
        <v>44376</v>
      </c>
      <c r="G330" s="5">
        <v>44383</v>
      </c>
      <c r="H330" s="5">
        <v>44384</v>
      </c>
      <c r="I330" s="4">
        <v>10</v>
      </c>
      <c r="J330" s="4" t="s">
        <v>198</v>
      </c>
      <c r="K330" s="5" t="str">
        <f>VLOOKUP(표5[[#This Row],[종목]],표2[],2,FALSE)</f>
        <v>워드프로세서</v>
      </c>
    </row>
    <row r="331" spans="1:11" x14ac:dyDescent="0.3">
      <c r="A331" s="4">
        <v>330</v>
      </c>
      <c r="B331" s="4">
        <v>3</v>
      </c>
      <c r="C331" s="4">
        <v>3</v>
      </c>
      <c r="D331" s="4">
        <v>133</v>
      </c>
      <c r="E331" s="4">
        <v>23</v>
      </c>
      <c r="F331" s="5">
        <v>44376</v>
      </c>
      <c r="G331" s="5">
        <v>44383</v>
      </c>
      <c r="H331" s="5">
        <v>44383</v>
      </c>
      <c r="I331" s="4">
        <v>20</v>
      </c>
      <c r="J331" s="4" t="s">
        <v>198</v>
      </c>
      <c r="K331" s="5" t="str">
        <f>VLOOKUP(표5[[#This Row],[종목]],표2[],2,FALSE)</f>
        <v>컴퓨터활용능력</v>
      </c>
    </row>
    <row r="332" spans="1:11" x14ac:dyDescent="0.3">
      <c r="A332" s="4">
        <v>331</v>
      </c>
      <c r="B332" s="4">
        <v>4</v>
      </c>
      <c r="C332" s="4">
        <v>3</v>
      </c>
      <c r="D332" s="4">
        <v>133</v>
      </c>
      <c r="E332" s="4">
        <v>23</v>
      </c>
      <c r="F332" s="5">
        <v>44376</v>
      </c>
      <c r="G332" s="5">
        <v>44383</v>
      </c>
      <c r="H332" s="5">
        <v>44383</v>
      </c>
      <c r="I332" s="4">
        <v>60</v>
      </c>
      <c r="J332" s="4" t="s">
        <v>198</v>
      </c>
      <c r="K332" s="5" t="str">
        <f>VLOOKUP(표5[[#This Row],[종목]],표2[],2,FALSE)</f>
        <v>컴퓨터활용능력</v>
      </c>
    </row>
    <row r="333" spans="1:11" x14ac:dyDescent="0.3">
      <c r="A333" s="4">
        <v>332</v>
      </c>
      <c r="B333" s="4">
        <v>4</v>
      </c>
      <c r="C333" s="4">
        <v>1</v>
      </c>
      <c r="D333" s="4">
        <v>78</v>
      </c>
      <c r="E333" s="4">
        <v>24</v>
      </c>
      <c r="F333" s="5">
        <v>44379</v>
      </c>
      <c r="G333" s="5">
        <v>44386</v>
      </c>
      <c r="H333" s="5">
        <v>44387</v>
      </c>
      <c r="I333" s="4">
        <v>10</v>
      </c>
      <c r="J333" s="4" t="s">
        <v>198</v>
      </c>
      <c r="K333" s="5" t="str">
        <f>VLOOKUP(표5[[#This Row],[종목]],표2[],2,FALSE)</f>
        <v>워드프로세서</v>
      </c>
    </row>
    <row r="334" spans="1:11" x14ac:dyDescent="0.3">
      <c r="A334" s="4">
        <v>341</v>
      </c>
      <c r="B334" s="4">
        <v>5</v>
      </c>
      <c r="C334" s="4">
        <v>1</v>
      </c>
      <c r="D334" s="4">
        <v>79</v>
      </c>
      <c r="E334" s="4">
        <v>25</v>
      </c>
      <c r="F334" s="5">
        <v>44380</v>
      </c>
      <c r="G334" s="5">
        <v>44387</v>
      </c>
      <c r="H334" s="5">
        <v>44388</v>
      </c>
      <c r="I334" s="4">
        <v>40</v>
      </c>
      <c r="J334" s="4" t="s">
        <v>198</v>
      </c>
      <c r="K334" s="5" t="str">
        <f>VLOOKUP(표5[[#This Row],[종목]],표2[],2,FALSE)</f>
        <v>워드프로세서</v>
      </c>
    </row>
    <row r="335" spans="1:11" x14ac:dyDescent="0.3">
      <c r="A335" s="4">
        <v>334</v>
      </c>
      <c r="B335" s="4">
        <v>6</v>
      </c>
      <c r="C335" s="4">
        <v>1</v>
      </c>
      <c r="D335" s="4">
        <v>78</v>
      </c>
      <c r="E335" s="4">
        <v>24</v>
      </c>
      <c r="F335" s="5">
        <v>44379</v>
      </c>
      <c r="G335" s="5">
        <v>44386</v>
      </c>
      <c r="H335" s="5">
        <v>44387</v>
      </c>
      <c r="I335" s="4">
        <v>50</v>
      </c>
      <c r="J335" s="4" t="s">
        <v>198</v>
      </c>
      <c r="K335" s="5" t="str">
        <f>VLOOKUP(표5[[#This Row],[종목]],표2[],2,FALSE)</f>
        <v>워드프로세서</v>
      </c>
    </row>
    <row r="336" spans="1:11" x14ac:dyDescent="0.3">
      <c r="A336" s="4">
        <v>335</v>
      </c>
      <c r="B336" s="4">
        <v>8</v>
      </c>
      <c r="C336" s="4">
        <v>1</v>
      </c>
      <c r="D336" s="4">
        <v>78</v>
      </c>
      <c r="E336" s="4">
        <v>24</v>
      </c>
      <c r="F336" s="5">
        <v>44379</v>
      </c>
      <c r="G336" s="5">
        <v>44386</v>
      </c>
      <c r="H336" s="5">
        <v>44387</v>
      </c>
      <c r="I336" s="4">
        <v>20</v>
      </c>
      <c r="J336" s="4" t="s">
        <v>198</v>
      </c>
      <c r="K336" s="5" t="str">
        <f>VLOOKUP(표5[[#This Row],[종목]],표2[],2,FALSE)</f>
        <v>워드프로세서</v>
      </c>
    </row>
    <row r="337" spans="1:11" x14ac:dyDescent="0.3">
      <c r="A337" s="4">
        <v>336</v>
      </c>
      <c r="B337" s="4">
        <v>5</v>
      </c>
      <c r="C337" s="4">
        <v>3</v>
      </c>
      <c r="D337" s="4">
        <v>134</v>
      </c>
      <c r="E337" s="4">
        <v>24</v>
      </c>
      <c r="F337" s="5">
        <v>44379</v>
      </c>
      <c r="G337" s="5">
        <v>44386</v>
      </c>
      <c r="H337" s="5">
        <v>44386</v>
      </c>
      <c r="I337" s="4">
        <v>20</v>
      </c>
      <c r="J337" s="4" t="s">
        <v>198</v>
      </c>
      <c r="K337" s="5" t="str">
        <f>VLOOKUP(표5[[#This Row],[종목]],표2[],2,FALSE)</f>
        <v>컴퓨터활용능력</v>
      </c>
    </row>
    <row r="338" spans="1:11" x14ac:dyDescent="0.3">
      <c r="A338" s="4">
        <v>337</v>
      </c>
      <c r="B338" s="4">
        <v>6</v>
      </c>
      <c r="C338" s="4">
        <v>3</v>
      </c>
      <c r="D338" s="4">
        <v>134</v>
      </c>
      <c r="E338" s="4">
        <v>24</v>
      </c>
      <c r="F338" s="5">
        <v>44379</v>
      </c>
      <c r="G338" s="5">
        <v>44386</v>
      </c>
      <c r="H338" s="5">
        <v>44386</v>
      </c>
      <c r="I338" s="4">
        <v>80</v>
      </c>
      <c r="J338" s="4" t="s">
        <v>199</v>
      </c>
      <c r="K338" s="5" t="str">
        <f>VLOOKUP(표5[[#This Row],[종목]],표2[],2,FALSE)</f>
        <v>컴퓨터활용능력</v>
      </c>
    </row>
    <row r="339" spans="1:11" x14ac:dyDescent="0.3">
      <c r="A339" s="4">
        <v>244</v>
      </c>
      <c r="B339" s="4">
        <v>7</v>
      </c>
      <c r="C339" s="4">
        <v>3</v>
      </c>
      <c r="D339" s="4">
        <v>81</v>
      </c>
      <c r="E339" s="4">
        <v>13</v>
      </c>
      <c r="F339" s="5">
        <v>44366</v>
      </c>
      <c r="G339" s="5">
        <v>44373</v>
      </c>
      <c r="H339" s="5">
        <v>44373</v>
      </c>
      <c r="I339" s="4">
        <v>60</v>
      </c>
      <c r="J339" s="4" t="s">
        <v>198</v>
      </c>
      <c r="K339" s="5" t="str">
        <f>VLOOKUP(표5[[#This Row],[종목]],표2[],2,FALSE)</f>
        <v>컴퓨터활용능력</v>
      </c>
    </row>
    <row r="340" spans="1:11" x14ac:dyDescent="0.3">
      <c r="A340" s="4">
        <v>339</v>
      </c>
      <c r="B340" s="4">
        <v>1</v>
      </c>
      <c r="C340" s="4">
        <v>1</v>
      </c>
      <c r="D340" s="4">
        <v>79</v>
      </c>
      <c r="E340" s="4">
        <v>25</v>
      </c>
      <c r="F340" s="5">
        <v>44380</v>
      </c>
      <c r="G340" s="5">
        <v>44387</v>
      </c>
      <c r="H340" s="5">
        <v>44388</v>
      </c>
      <c r="I340" s="4">
        <v>40</v>
      </c>
      <c r="J340" s="4" t="s">
        <v>198</v>
      </c>
      <c r="K340" s="5" t="str">
        <f>VLOOKUP(표5[[#This Row],[종목]],표2[],2,FALSE)</f>
        <v>워드프로세서</v>
      </c>
    </row>
    <row r="341" spans="1:11" x14ac:dyDescent="0.3">
      <c r="A341" s="4">
        <v>340</v>
      </c>
      <c r="B341" s="4">
        <v>3</v>
      </c>
      <c r="C341" s="4">
        <v>1</v>
      </c>
      <c r="D341" s="4">
        <v>79</v>
      </c>
      <c r="E341" s="4">
        <v>25</v>
      </c>
      <c r="F341" s="5">
        <v>44380</v>
      </c>
      <c r="G341" s="5">
        <v>44387</v>
      </c>
      <c r="H341" s="5">
        <v>44388</v>
      </c>
      <c r="I341" s="4">
        <v>30</v>
      </c>
      <c r="J341" s="4" t="s">
        <v>198</v>
      </c>
      <c r="K341" s="5" t="str">
        <f>VLOOKUP(표5[[#This Row],[종목]],표2[],2,FALSE)</f>
        <v>워드프로세서</v>
      </c>
    </row>
    <row r="342" spans="1:11" x14ac:dyDescent="0.3">
      <c r="A342" s="4">
        <v>400</v>
      </c>
      <c r="B342" s="4">
        <v>5</v>
      </c>
      <c r="C342" s="4">
        <v>1</v>
      </c>
      <c r="D342" s="4">
        <v>109</v>
      </c>
      <c r="E342" s="4">
        <v>30</v>
      </c>
      <c r="F342" s="5">
        <v>44383</v>
      </c>
      <c r="G342" s="5">
        <v>44390</v>
      </c>
      <c r="H342" s="5">
        <v>44391</v>
      </c>
      <c r="I342" s="4">
        <v>10</v>
      </c>
      <c r="J342" s="4" t="s">
        <v>198</v>
      </c>
      <c r="K342" s="5" t="str">
        <f>VLOOKUP(표5[[#This Row],[종목]],표2[],2,FALSE)</f>
        <v>워드프로세서</v>
      </c>
    </row>
    <row r="343" spans="1:11" x14ac:dyDescent="0.3">
      <c r="A343" s="4">
        <v>162</v>
      </c>
      <c r="B343" s="4">
        <v>7</v>
      </c>
      <c r="C343" s="4">
        <v>6</v>
      </c>
      <c r="D343" s="4">
        <v>92</v>
      </c>
      <c r="E343" s="4">
        <v>5</v>
      </c>
      <c r="F343" s="5">
        <v>44350</v>
      </c>
      <c r="G343" s="5">
        <v>44357</v>
      </c>
      <c r="H343" s="5">
        <v>44358</v>
      </c>
      <c r="I343" s="4">
        <v>60</v>
      </c>
      <c r="J343" s="4" t="s">
        <v>198</v>
      </c>
      <c r="K343" s="5" t="str">
        <f>VLOOKUP(표5[[#This Row],[종목]],표2[],2,FALSE)</f>
        <v>비서</v>
      </c>
    </row>
    <row r="344" spans="1:11" x14ac:dyDescent="0.3">
      <c r="A344" s="4">
        <v>343</v>
      </c>
      <c r="B344" s="4">
        <v>10</v>
      </c>
      <c r="C344" s="4">
        <v>1</v>
      </c>
      <c r="D344" s="4">
        <v>122</v>
      </c>
      <c r="E344" s="4">
        <v>36</v>
      </c>
      <c r="F344" s="5">
        <v>44388</v>
      </c>
      <c r="G344" s="5">
        <v>44395</v>
      </c>
      <c r="H344" s="5">
        <v>44396</v>
      </c>
      <c r="I344" s="4">
        <v>100</v>
      </c>
      <c r="J344" s="4" t="s">
        <v>199</v>
      </c>
      <c r="K344" s="5" t="str">
        <f>VLOOKUP(표5[[#This Row],[종목]],표2[],2,FALSE)</f>
        <v>워드프로세서</v>
      </c>
    </row>
    <row r="345" spans="1:11" x14ac:dyDescent="0.3">
      <c r="A345" s="4">
        <v>344</v>
      </c>
      <c r="B345" s="4">
        <v>2</v>
      </c>
      <c r="C345" s="4">
        <v>1</v>
      </c>
      <c r="D345" s="4">
        <v>80</v>
      </c>
      <c r="E345" s="4">
        <v>26</v>
      </c>
      <c r="F345" s="5">
        <v>44380</v>
      </c>
      <c r="G345" s="5">
        <v>44387</v>
      </c>
      <c r="H345" s="5">
        <v>44388</v>
      </c>
      <c r="I345" s="4">
        <v>0</v>
      </c>
      <c r="J345" s="4" t="s">
        <v>198</v>
      </c>
      <c r="K345" s="5" t="str">
        <f>VLOOKUP(표5[[#This Row],[종목]],표2[],2,FALSE)</f>
        <v>워드프로세서</v>
      </c>
    </row>
    <row r="346" spans="1:11" x14ac:dyDescent="0.3">
      <c r="A346" s="4">
        <v>345</v>
      </c>
      <c r="B346" s="4">
        <v>4</v>
      </c>
      <c r="C346" s="4">
        <v>1</v>
      </c>
      <c r="D346" s="4">
        <v>80</v>
      </c>
      <c r="E346" s="4">
        <v>26</v>
      </c>
      <c r="F346" s="5">
        <v>44380</v>
      </c>
      <c r="G346" s="5">
        <v>44387</v>
      </c>
      <c r="H346" s="5">
        <v>44388</v>
      </c>
      <c r="I346" s="4">
        <v>30</v>
      </c>
      <c r="J346" s="4" t="s">
        <v>198</v>
      </c>
      <c r="K346" s="5" t="str">
        <f>VLOOKUP(표5[[#This Row],[종목]],표2[],2,FALSE)</f>
        <v>워드프로세서</v>
      </c>
    </row>
    <row r="347" spans="1:11" x14ac:dyDescent="0.3">
      <c r="A347" s="4">
        <v>346</v>
      </c>
      <c r="B347" s="4">
        <v>6</v>
      </c>
      <c r="C347" s="4">
        <v>1</v>
      </c>
      <c r="D347" s="4">
        <v>80</v>
      </c>
      <c r="E347" s="4">
        <v>26</v>
      </c>
      <c r="F347" s="5">
        <v>44380</v>
      </c>
      <c r="G347" s="5">
        <v>44387</v>
      </c>
      <c r="H347" s="5">
        <v>44388</v>
      </c>
      <c r="I347" s="4">
        <v>50</v>
      </c>
      <c r="J347" s="4" t="s">
        <v>198</v>
      </c>
      <c r="K347" s="5" t="str">
        <f>VLOOKUP(표5[[#This Row],[종목]],표2[],2,FALSE)</f>
        <v>워드프로세서</v>
      </c>
    </row>
    <row r="348" spans="1:11" x14ac:dyDescent="0.3">
      <c r="A348" s="4">
        <v>347</v>
      </c>
      <c r="B348" s="4">
        <v>8</v>
      </c>
      <c r="C348" s="4">
        <v>1</v>
      </c>
      <c r="D348" s="4">
        <v>80</v>
      </c>
      <c r="E348" s="4">
        <v>26</v>
      </c>
      <c r="F348" s="5">
        <v>44380</v>
      </c>
      <c r="G348" s="5">
        <v>44387</v>
      </c>
      <c r="H348" s="5">
        <v>44388</v>
      </c>
      <c r="I348" s="4">
        <v>10</v>
      </c>
      <c r="J348" s="4" t="s">
        <v>198</v>
      </c>
      <c r="K348" s="5" t="str">
        <f>VLOOKUP(표5[[#This Row],[종목]],표2[],2,FALSE)</f>
        <v>워드프로세서</v>
      </c>
    </row>
    <row r="349" spans="1:11" x14ac:dyDescent="0.3">
      <c r="A349" s="4">
        <v>348</v>
      </c>
      <c r="B349" s="4">
        <v>11</v>
      </c>
      <c r="C349" s="4">
        <v>1</v>
      </c>
      <c r="D349" s="4">
        <v>137</v>
      </c>
      <c r="E349" s="4">
        <v>37</v>
      </c>
      <c r="F349" s="5">
        <v>44389</v>
      </c>
      <c r="G349" s="5">
        <v>44396</v>
      </c>
      <c r="H349" s="5">
        <v>44397</v>
      </c>
      <c r="I349" s="4">
        <v>60</v>
      </c>
      <c r="J349" s="4" t="s">
        <v>199</v>
      </c>
      <c r="K349" s="5" t="str">
        <f>VLOOKUP(표5[[#This Row],[종목]],표2[],2,FALSE)</f>
        <v>워드프로세서</v>
      </c>
    </row>
    <row r="350" spans="1:11" x14ac:dyDescent="0.3">
      <c r="A350" s="4">
        <v>349</v>
      </c>
      <c r="B350" s="4">
        <v>9</v>
      </c>
      <c r="C350" s="4">
        <v>1</v>
      </c>
      <c r="D350" s="4">
        <v>79</v>
      </c>
      <c r="E350" s="4">
        <v>25</v>
      </c>
      <c r="F350" s="5">
        <v>44380</v>
      </c>
      <c r="G350" s="5">
        <v>44387</v>
      </c>
      <c r="H350" s="5">
        <v>44388</v>
      </c>
      <c r="I350" s="4">
        <v>40</v>
      </c>
      <c r="J350" s="4" t="s">
        <v>198</v>
      </c>
      <c r="K350" s="5" t="str">
        <f>VLOOKUP(표5[[#This Row],[종목]],표2[],2,FALSE)</f>
        <v>워드프로세서</v>
      </c>
    </row>
    <row r="351" spans="1:11" x14ac:dyDescent="0.3">
      <c r="A351" s="4">
        <v>350</v>
      </c>
      <c r="B351" s="4">
        <v>17</v>
      </c>
      <c r="C351" s="4">
        <v>3</v>
      </c>
      <c r="D351" s="4">
        <v>138</v>
      </c>
      <c r="E351" s="4">
        <v>25</v>
      </c>
      <c r="F351" s="5">
        <v>44380</v>
      </c>
      <c r="G351" s="5">
        <v>44387</v>
      </c>
      <c r="H351" s="5">
        <v>44387</v>
      </c>
      <c r="I351" s="4">
        <v>0</v>
      </c>
      <c r="J351" s="4" t="s">
        <v>198</v>
      </c>
      <c r="K351" s="5" t="str">
        <f>VLOOKUP(표5[[#This Row],[종목]],표2[],2,FALSE)</f>
        <v>컴퓨터활용능력</v>
      </c>
    </row>
    <row r="352" spans="1:11" x14ac:dyDescent="0.3">
      <c r="A352" s="4">
        <v>351</v>
      </c>
      <c r="B352" s="4">
        <v>19</v>
      </c>
      <c r="C352" s="4">
        <v>3</v>
      </c>
      <c r="D352" s="4">
        <v>138</v>
      </c>
      <c r="E352" s="4">
        <v>25</v>
      </c>
      <c r="F352" s="5">
        <v>44380</v>
      </c>
      <c r="G352" s="5">
        <v>44387</v>
      </c>
      <c r="H352" s="5">
        <v>44387</v>
      </c>
      <c r="I352" s="4">
        <v>0</v>
      </c>
      <c r="J352" s="4" t="s">
        <v>198</v>
      </c>
      <c r="K352" s="5" t="str">
        <f>VLOOKUP(표5[[#This Row],[종목]],표2[],2,FALSE)</f>
        <v>컴퓨터활용능력</v>
      </c>
    </row>
    <row r="353" spans="1:11" x14ac:dyDescent="0.3">
      <c r="A353" s="4">
        <v>352</v>
      </c>
      <c r="B353" s="4">
        <v>20</v>
      </c>
      <c r="C353" s="4">
        <v>3</v>
      </c>
      <c r="D353" s="4">
        <v>138</v>
      </c>
      <c r="E353" s="4">
        <v>25</v>
      </c>
      <c r="F353" s="5">
        <v>44380</v>
      </c>
      <c r="G353" s="5">
        <v>44387</v>
      </c>
      <c r="H353" s="5">
        <v>44387</v>
      </c>
      <c r="I353" s="4">
        <v>0</v>
      </c>
      <c r="J353" s="4" t="s">
        <v>198</v>
      </c>
      <c r="K353" s="5" t="str">
        <f>VLOOKUP(표5[[#This Row],[종목]],표2[],2,FALSE)</f>
        <v>컴퓨터활용능력</v>
      </c>
    </row>
    <row r="354" spans="1:11" x14ac:dyDescent="0.3">
      <c r="A354" s="4">
        <v>353</v>
      </c>
      <c r="B354" s="4">
        <v>5</v>
      </c>
      <c r="C354" s="4">
        <v>3</v>
      </c>
      <c r="D354" s="4">
        <v>139</v>
      </c>
      <c r="E354" s="4">
        <v>26</v>
      </c>
      <c r="F354" s="5">
        <v>44380</v>
      </c>
      <c r="G354" s="5">
        <v>44387</v>
      </c>
      <c r="H354" s="5">
        <v>44387</v>
      </c>
      <c r="I354" s="4">
        <v>60</v>
      </c>
      <c r="J354" s="4" t="s">
        <v>198</v>
      </c>
      <c r="K354" s="5" t="str">
        <f>VLOOKUP(표5[[#This Row],[종목]],표2[],2,FALSE)</f>
        <v>컴퓨터활용능력</v>
      </c>
    </row>
    <row r="355" spans="1:11" x14ac:dyDescent="0.3">
      <c r="A355" s="4">
        <v>354</v>
      </c>
      <c r="B355" s="4">
        <v>6</v>
      </c>
      <c r="C355" s="4">
        <v>3</v>
      </c>
      <c r="D355" s="4">
        <v>139</v>
      </c>
      <c r="E355" s="4">
        <v>26</v>
      </c>
      <c r="F355" s="5">
        <v>44380</v>
      </c>
      <c r="G355" s="5">
        <v>44387</v>
      </c>
      <c r="H355" s="5">
        <v>44387</v>
      </c>
      <c r="I355" s="4">
        <v>50</v>
      </c>
      <c r="J355" s="4" t="s">
        <v>198</v>
      </c>
      <c r="K355" s="5" t="str">
        <f>VLOOKUP(표5[[#This Row],[종목]],표2[],2,FALSE)</f>
        <v>컴퓨터활용능력</v>
      </c>
    </row>
    <row r="356" spans="1:11" x14ac:dyDescent="0.3">
      <c r="A356" s="4">
        <v>355</v>
      </c>
      <c r="B356" s="4">
        <v>4</v>
      </c>
      <c r="C356" s="4">
        <v>3</v>
      </c>
      <c r="D356" s="4">
        <v>139</v>
      </c>
      <c r="E356" s="4">
        <v>26</v>
      </c>
      <c r="F356" s="5">
        <v>44380</v>
      </c>
      <c r="G356" s="5">
        <v>44387</v>
      </c>
      <c r="H356" s="5">
        <v>44387</v>
      </c>
      <c r="I356" s="4">
        <v>0</v>
      </c>
      <c r="J356" s="4" t="s">
        <v>198</v>
      </c>
      <c r="K356" s="5" t="str">
        <f>VLOOKUP(표5[[#This Row],[종목]],표2[],2,FALSE)</f>
        <v>컴퓨터활용능력</v>
      </c>
    </row>
    <row r="357" spans="1:11" x14ac:dyDescent="0.3">
      <c r="A357" s="4">
        <v>356</v>
      </c>
      <c r="B357" s="4">
        <v>8</v>
      </c>
      <c r="C357" s="4">
        <v>3</v>
      </c>
      <c r="D357" s="4">
        <v>139</v>
      </c>
      <c r="E357" s="4">
        <v>26</v>
      </c>
      <c r="F357" s="5">
        <v>44380</v>
      </c>
      <c r="G357" s="5">
        <v>44387</v>
      </c>
      <c r="H357" s="5">
        <v>44387</v>
      </c>
      <c r="I357" s="4">
        <v>40</v>
      </c>
      <c r="J357" s="4" t="s">
        <v>198</v>
      </c>
      <c r="K357" s="5" t="str">
        <f>VLOOKUP(표5[[#This Row],[종목]],표2[],2,FALSE)</f>
        <v>컴퓨터활용능력</v>
      </c>
    </row>
    <row r="358" spans="1:11" x14ac:dyDescent="0.3">
      <c r="A358" s="4">
        <v>357</v>
      </c>
      <c r="B358" s="4">
        <v>16</v>
      </c>
      <c r="C358" s="4">
        <v>3</v>
      </c>
      <c r="D358" s="4">
        <v>138</v>
      </c>
      <c r="E358" s="4">
        <v>25</v>
      </c>
      <c r="F358" s="5">
        <v>44380</v>
      </c>
      <c r="G358" s="5">
        <v>44387</v>
      </c>
      <c r="H358" s="5">
        <v>44387</v>
      </c>
      <c r="I358" s="4">
        <v>30</v>
      </c>
      <c r="J358" s="4" t="s">
        <v>198</v>
      </c>
      <c r="K358" s="5" t="str">
        <f>VLOOKUP(표5[[#This Row],[종목]],표2[],2,FALSE)</f>
        <v>컴퓨터활용능력</v>
      </c>
    </row>
    <row r="359" spans="1:11" x14ac:dyDescent="0.3">
      <c r="A359" s="4">
        <v>358</v>
      </c>
      <c r="B359" s="4">
        <v>19</v>
      </c>
      <c r="C359" s="4">
        <v>3</v>
      </c>
      <c r="D359" s="4">
        <v>138</v>
      </c>
      <c r="E359" s="4">
        <v>25</v>
      </c>
      <c r="F359" s="5">
        <v>44380</v>
      </c>
      <c r="G359" s="5">
        <v>44387</v>
      </c>
      <c r="H359" s="5">
        <v>44387</v>
      </c>
      <c r="I359" s="4">
        <v>50</v>
      </c>
      <c r="J359" s="4" t="s">
        <v>198</v>
      </c>
      <c r="K359" s="5" t="str">
        <f>VLOOKUP(표5[[#This Row],[종목]],표2[],2,FALSE)</f>
        <v>컴퓨터활용능력</v>
      </c>
    </row>
    <row r="360" spans="1:11" x14ac:dyDescent="0.3">
      <c r="A360" s="4">
        <v>359</v>
      </c>
      <c r="B360" s="4">
        <v>15</v>
      </c>
      <c r="C360" s="4">
        <v>3</v>
      </c>
      <c r="D360" s="4">
        <v>138</v>
      </c>
      <c r="E360" s="4">
        <v>25</v>
      </c>
      <c r="F360" s="5">
        <v>44380</v>
      </c>
      <c r="G360" s="5">
        <v>44387</v>
      </c>
      <c r="H360" s="5">
        <v>44387</v>
      </c>
      <c r="I360" s="4">
        <v>60</v>
      </c>
      <c r="J360" s="4" t="s">
        <v>198</v>
      </c>
      <c r="K360" s="5" t="str">
        <f>VLOOKUP(표5[[#This Row],[종목]],표2[],2,FALSE)</f>
        <v>컴퓨터활용능력</v>
      </c>
    </row>
    <row r="361" spans="1:11" x14ac:dyDescent="0.3">
      <c r="A361" s="4">
        <v>360</v>
      </c>
      <c r="B361" s="4">
        <v>16</v>
      </c>
      <c r="C361" s="4">
        <v>3</v>
      </c>
      <c r="D361" s="4">
        <v>139</v>
      </c>
      <c r="E361" s="4">
        <v>26</v>
      </c>
      <c r="F361" s="5">
        <v>44380</v>
      </c>
      <c r="G361" s="5">
        <v>44387</v>
      </c>
      <c r="H361" s="5">
        <v>44387</v>
      </c>
      <c r="I361" s="4">
        <v>50</v>
      </c>
      <c r="J361" s="4" t="s">
        <v>198</v>
      </c>
      <c r="K361" s="5" t="str">
        <f>VLOOKUP(표5[[#This Row],[종목]],표2[],2,FALSE)</f>
        <v>컴퓨터활용능력</v>
      </c>
    </row>
    <row r="362" spans="1:11" x14ac:dyDescent="0.3">
      <c r="A362" s="4">
        <v>361</v>
      </c>
      <c r="B362" s="4">
        <v>9</v>
      </c>
      <c r="C362" s="4">
        <v>3</v>
      </c>
      <c r="D362" s="4">
        <v>139</v>
      </c>
      <c r="E362" s="4">
        <v>26</v>
      </c>
      <c r="F362" s="5">
        <v>44380</v>
      </c>
      <c r="G362" s="5">
        <v>44387</v>
      </c>
      <c r="H362" s="5">
        <v>44387</v>
      </c>
      <c r="I362" s="4">
        <v>40</v>
      </c>
      <c r="J362" s="4" t="s">
        <v>198</v>
      </c>
      <c r="K362" s="5" t="str">
        <f>VLOOKUP(표5[[#This Row],[종목]],표2[],2,FALSE)</f>
        <v>컴퓨터활용능력</v>
      </c>
    </row>
    <row r="363" spans="1:11" x14ac:dyDescent="0.3">
      <c r="A363" s="4">
        <v>362</v>
      </c>
      <c r="B363" s="4">
        <v>12</v>
      </c>
      <c r="C363" s="4">
        <v>3</v>
      </c>
      <c r="D363" s="4">
        <v>139</v>
      </c>
      <c r="E363" s="4">
        <v>26</v>
      </c>
      <c r="F363" s="5">
        <v>44380</v>
      </c>
      <c r="G363" s="5">
        <v>44387</v>
      </c>
      <c r="H363" s="5">
        <v>44387</v>
      </c>
      <c r="I363" s="4">
        <v>20</v>
      </c>
      <c r="J363" s="4" t="s">
        <v>198</v>
      </c>
      <c r="K363" s="5" t="str">
        <f>VLOOKUP(표5[[#This Row],[종목]],표2[],2,FALSE)</f>
        <v>컴퓨터활용능력</v>
      </c>
    </row>
    <row r="364" spans="1:11" x14ac:dyDescent="0.3">
      <c r="A364" s="4">
        <v>363</v>
      </c>
      <c r="B364" s="4">
        <v>17</v>
      </c>
      <c r="C364" s="4">
        <v>1</v>
      </c>
      <c r="D364" s="4">
        <v>93</v>
      </c>
      <c r="E364" s="4">
        <v>27</v>
      </c>
      <c r="F364" s="5">
        <v>44381</v>
      </c>
      <c r="G364" s="5">
        <v>44388</v>
      </c>
      <c r="H364" s="5">
        <v>44389</v>
      </c>
      <c r="I364" s="4">
        <v>0</v>
      </c>
      <c r="J364" s="4" t="s">
        <v>198</v>
      </c>
      <c r="K364" s="5" t="str">
        <f>VLOOKUP(표5[[#This Row],[종목]],표2[],2,FALSE)</f>
        <v>워드프로세서</v>
      </c>
    </row>
    <row r="365" spans="1:11" x14ac:dyDescent="0.3">
      <c r="A365" s="4">
        <v>364</v>
      </c>
      <c r="B365" s="4">
        <v>19</v>
      </c>
      <c r="C365" s="4">
        <v>1</v>
      </c>
      <c r="D365" s="4">
        <v>93</v>
      </c>
      <c r="E365" s="4">
        <v>27</v>
      </c>
      <c r="F365" s="5">
        <v>44381</v>
      </c>
      <c r="G365" s="5">
        <v>44388</v>
      </c>
      <c r="H365" s="5">
        <v>44389</v>
      </c>
      <c r="I365" s="4">
        <v>0</v>
      </c>
      <c r="J365" s="4" t="s">
        <v>198</v>
      </c>
      <c r="K365" s="5" t="str">
        <f>VLOOKUP(표5[[#This Row],[종목]],표2[],2,FALSE)</f>
        <v>워드프로세서</v>
      </c>
    </row>
    <row r="366" spans="1:11" x14ac:dyDescent="0.3">
      <c r="A366" s="4">
        <v>365</v>
      </c>
      <c r="B366" s="4">
        <v>26</v>
      </c>
      <c r="C366" s="4">
        <v>1</v>
      </c>
      <c r="D366" s="4">
        <v>93</v>
      </c>
      <c r="E366" s="4">
        <v>27</v>
      </c>
      <c r="F366" s="5">
        <v>44381</v>
      </c>
      <c r="G366" s="5">
        <v>44388</v>
      </c>
      <c r="H366" s="5">
        <v>44389</v>
      </c>
      <c r="I366" s="4">
        <v>10</v>
      </c>
      <c r="J366" s="4" t="s">
        <v>198</v>
      </c>
      <c r="K366" s="5" t="str">
        <f>VLOOKUP(표5[[#This Row],[종목]],표2[],2,FALSE)</f>
        <v>워드프로세서</v>
      </c>
    </row>
    <row r="367" spans="1:11" x14ac:dyDescent="0.3">
      <c r="A367" s="4">
        <v>366</v>
      </c>
      <c r="B367" s="4">
        <v>28</v>
      </c>
      <c r="C367" s="4">
        <v>1</v>
      </c>
      <c r="D367" s="4">
        <v>93</v>
      </c>
      <c r="E367" s="4">
        <v>27</v>
      </c>
      <c r="F367" s="5">
        <v>44381</v>
      </c>
      <c r="G367" s="5">
        <v>44388</v>
      </c>
      <c r="H367" s="5">
        <v>44389</v>
      </c>
      <c r="I367" s="4">
        <v>50</v>
      </c>
      <c r="J367" s="4" t="s">
        <v>198</v>
      </c>
      <c r="K367" s="5" t="str">
        <f>VLOOKUP(표5[[#This Row],[종목]],표2[],2,FALSE)</f>
        <v>워드프로세서</v>
      </c>
    </row>
    <row r="368" spans="1:11" x14ac:dyDescent="0.3">
      <c r="A368" s="4">
        <v>367</v>
      </c>
      <c r="B368" s="4">
        <v>30</v>
      </c>
      <c r="C368" s="4">
        <v>1</v>
      </c>
      <c r="D368" s="4">
        <v>93</v>
      </c>
      <c r="E368" s="4">
        <v>27</v>
      </c>
      <c r="F368" s="5">
        <v>44381</v>
      </c>
      <c r="G368" s="5">
        <v>44388</v>
      </c>
      <c r="H368" s="5">
        <v>44389</v>
      </c>
      <c r="I368" s="4">
        <v>50</v>
      </c>
      <c r="J368" s="4" t="s">
        <v>198</v>
      </c>
      <c r="K368" s="5" t="str">
        <f>VLOOKUP(표5[[#This Row],[종목]],표2[],2,FALSE)</f>
        <v>워드프로세서</v>
      </c>
    </row>
    <row r="369" spans="1:11" x14ac:dyDescent="0.3">
      <c r="A369" s="4">
        <v>368</v>
      </c>
      <c r="B369" s="4">
        <v>2</v>
      </c>
      <c r="C369" s="4">
        <v>1</v>
      </c>
      <c r="D369" s="4">
        <v>94</v>
      </c>
      <c r="E369" s="4">
        <v>28</v>
      </c>
      <c r="F369" s="5">
        <v>44381</v>
      </c>
      <c r="G369" s="5">
        <v>44388</v>
      </c>
      <c r="H369" s="5">
        <v>44389</v>
      </c>
      <c r="I369" s="4">
        <v>0</v>
      </c>
      <c r="J369" s="4" t="s">
        <v>198</v>
      </c>
      <c r="K369" s="5" t="str">
        <f>VLOOKUP(표5[[#This Row],[종목]],표2[],2,FALSE)</f>
        <v>워드프로세서</v>
      </c>
    </row>
    <row r="370" spans="1:11" x14ac:dyDescent="0.3">
      <c r="A370" s="4">
        <v>369</v>
      </c>
      <c r="B370" s="4">
        <v>18</v>
      </c>
      <c r="C370" s="4">
        <v>1</v>
      </c>
      <c r="D370" s="4">
        <v>94</v>
      </c>
      <c r="E370" s="4">
        <v>28</v>
      </c>
      <c r="F370" s="5">
        <v>44381</v>
      </c>
      <c r="G370" s="5">
        <v>44388</v>
      </c>
      <c r="H370" s="5">
        <v>44389</v>
      </c>
      <c r="I370" s="4">
        <v>30</v>
      </c>
      <c r="J370" s="4" t="s">
        <v>198</v>
      </c>
      <c r="K370" s="5" t="str">
        <f>VLOOKUP(표5[[#This Row],[종목]],표2[],2,FALSE)</f>
        <v>워드프로세서</v>
      </c>
    </row>
    <row r="371" spans="1:11" x14ac:dyDescent="0.3">
      <c r="A371" s="4">
        <v>370</v>
      </c>
      <c r="B371" s="4">
        <v>20</v>
      </c>
      <c r="C371" s="4">
        <v>1</v>
      </c>
      <c r="D371" s="4">
        <v>94</v>
      </c>
      <c r="E371" s="4">
        <v>28</v>
      </c>
      <c r="F371" s="5">
        <v>44381</v>
      </c>
      <c r="G371" s="5">
        <v>44388</v>
      </c>
      <c r="H371" s="5">
        <v>44389</v>
      </c>
      <c r="I371" s="4">
        <v>50</v>
      </c>
      <c r="J371" s="4" t="s">
        <v>198</v>
      </c>
      <c r="K371" s="5" t="str">
        <f>VLOOKUP(표5[[#This Row],[종목]],표2[],2,FALSE)</f>
        <v>워드프로세서</v>
      </c>
    </row>
    <row r="372" spans="1:11" x14ac:dyDescent="0.3">
      <c r="A372" s="4">
        <v>371</v>
      </c>
      <c r="B372" s="4">
        <v>22</v>
      </c>
      <c r="C372" s="4">
        <v>1</v>
      </c>
      <c r="D372" s="4">
        <v>94</v>
      </c>
      <c r="E372" s="4">
        <v>28</v>
      </c>
      <c r="F372" s="5">
        <v>44381</v>
      </c>
      <c r="G372" s="5">
        <v>44388</v>
      </c>
      <c r="H372" s="5">
        <v>44389</v>
      </c>
      <c r="I372" s="4">
        <v>20</v>
      </c>
      <c r="J372" s="4" t="s">
        <v>198</v>
      </c>
      <c r="K372" s="5" t="str">
        <f>VLOOKUP(표5[[#This Row],[종목]],표2[],2,FALSE)</f>
        <v>워드프로세서</v>
      </c>
    </row>
    <row r="373" spans="1:11" x14ac:dyDescent="0.3">
      <c r="A373" s="4">
        <v>372</v>
      </c>
      <c r="B373" s="4">
        <v>24</v>
      </c>
      <c r="C373" s="4">
        <v>1</v>
      </c>
      <c r="D373" s="4">
        <v>94</v>
      </c>
      <c r="E373" s="4">
        <v>28</v>
      </c>
      <c r="F373" s="5">
        <v>44381</v>
      </c>
      <c r="G373" s="5">
        <v>44388</v>
      </c>
      <c r="H373" s="5">
        <v>44389</v>
      </c>
      <c r="I373" s="4">
        <v>50</v>
      </c>
      <c r="J373" s="4" t="s">
        <v>198</v>
      </c>
      <c r="K373" s="5" t="str">
        <f>VLOOKUP(표5[[#This Row],[종목]],표2[],2,FALSE)</f>
        <v>워드프로세서</v>
      </c>
    </row>
    <row r="374" spans="1:11" x14ac:dyDescent="0.3">
      <c r="A374" s="4">
        <v>373</v>
      </c>
      <c r="B374" s="4">
        <v>27</v>
      </c>
      <c r="C374" s="4">
        <v>1</v>
      </c>
      <c r="D374" s="4">
        <v>94</v>
      </c>
      <c r="E374" s="4">
        <v>28</v>
      </c>
      <c r="F374" s="5">
        <v>44381</v>
      </c>
      <c r="G374" s="5">
        <v>44388</v>
      </c>
      <c r="H374" s="5">
        <v>44389</v>
      </c>
      <c r="I374" s="4">
        <v>40</v>
      </c>
      <c r="J374" s="4" t="s">
        <v>198</v>
      </c>
      <c r="K374" s="5" t="str">
        <f>VLOOKUP(표5[[#This Row],[종목]],표2[],2,FALSE)</f>
        <v>워드프로세서</v>
      </c>
    </row>
    <row r="375" spans="1:11" x14ac:dyDescent="0.3">
      <c r="A375" s="4">
        <v>374</v>
      </c>
      <c r="B375" s="4">
        <v>29</v>
      </c>
      <c r="C375" s="4">
        <v>1</v>
      </c>
      <c r="D375" s="4">
        <v>94</v>
      </c>
      <c r="E375" s="4">
        <v>28</v>
      </c>
      <c r="F375" s="5">
        <v>44381</v>
      </c>
      <c r="G375" s="5">
        <v>44388</v>
      </c>
      <c r="H375" s="5">
        <v>44389</v>
      </c>
      <c r="I375" s="4">
        <v>20</v>
      </c>
      <c r="J375" s="4" t="s">
        <v>198</v>
      </c>
      <c r="K375" s="5" t="str">
        <f>VLOOKUP(표5[[#This Row],[종목]],표2[],2,FALSE)</f>
        <v>워드프로세서</v>
      </c>
    </row>
    <row r="376" spans="1:11" x14ac:dyDescent="0.3">
      <c r="A376" s="4">
        <v>375</v>
      </c>
      <c r="B376" s="4">
        <v>6</v>
      </c>
      <c r="C376" s="4">
        <v>1</v>
      </c>
      <c r="D376" s="4">
        <v>94</v>
      </c>
      <c r="E376" s="4">
        <v>28</v>
      </c>
      <c r="F376" s="5">
        <v>44381</v>
      </c>
      <c r="G376" s="5">
        <v>44388</v>
      </c>
      <c r="H376" s="5">
        <v>44389</v>
      </c>
      <c r="I376" s="4">
        <v>40</v>
      </c>
      <c r="J376" s="4" t="s">
        <v>198</v>
      </c>
      <c r="K376" s="5" t="str">
        <f>VLOOKUP(표5[[#This Row],[종목]],표2[],2,FALSE)</f>
        <v>워드프로세서</v>
      </c>
    </row>
    <row r="377" spans="1:11" x14ac:dyDescent="0.3">
      <c r="A377" s="4">
        <v>376</v>
      </c>
      <c r="B377" s="4">
        <v>1</v>
      </c>
      <c r="C377" s="4">
        <v>1</v>
      </c>
      <c r="D377" s="4">
        <v>94</v>
      </c>
      <c r="E377" s="4">
        <v>28</v>
      </c>
      <c r="F377" s="5">
        <v>44381</v>
      </c>
      <c r="G377" s="5">
        <v>44388</v>
      </c>
      <c r="H377" s="5">
        <v>44389</v>
      </c>
      <c r="I377" s="4">
        <v>10</v>
      </c>
      <c r="J377" s="4" t="s">
        <v>198</v>
      </c>
      <c r="K377" s="5" t="str">
        <f>VLOOKUP(표5[[#This Row],[종목]],표2[],2,FALSE)</f>
        <v>워드프로세서</v>
      </c>
    </row>
    <row r="378" spans="1:11" x14ac:dyDescent="0.3">
      <c r="A378" s="4">
        <v>377</v>
      </c>
      <c r="B378" s="4">
        <v>2</v>
      </c>
      <c r="C378" s="4">
        <v>1</v>
      </c>
      <c r="D378" s="4">
        <v>101</v>
      </c>
      <c r="E378" s="4">
        <v>29</v>
      </c>
      <c r="F378" s="5">
        <v>44381</v>
      </c>
      <c r="G378" s="5">
        <v>44388</v>
      </c>
      <c r="H378" s="5">
        <v>44389</v>
      </c>
      <c r="I378" s="4">
        <v>20</v>
      </c>
      <c r="J378" s="4" t="s">
        <v>198</v>
      </c>
      <c r="K378" s="5" t="str">
        <f>VLOOKUP(표5[[#This Row],[종목]],표2[],2,FALSE)</f>
        <v>워드프로세서</v>
      </c>
    </row>
    <row r="379" spans="1:11" x14ac:dyDescent="0.3">
      <c r="A379" s="4">
        <v>378</v>
      </c>
      <c r="B379" s="4">
        <v>23</v>
      </c>
      <c r="C379" s="4">
        <v>1</v>
      </c>
      <c r="D379" s="4">
        <v>101</v>
      </c>
      <c r="E379" s="4">
        <v>29</v>
      </c>
      <c r="F379" s="5">
        <v>44381</v>
      </c>
      <c r="G379" s="5">
        <v>44388</v>
      </c>
      <c r="H379" s="5">
        <v>44389</v>
      </c>
      <c r="I379" s="4">
        <v>40</v>
      </c>
      <c r="J379" s="4" t="s">
        <v>198</v>
      </c>
      <c r="K379" s="5" t="str">
        <f>VLOOKUP(표5[[#This Row],[종목]],표2[],2,FALSE)</f>
        <v>워드프로세서</v>
      </c>
    </row>
    <row r="380" spans="1:11" x14ac:dyDescent="0.3">
      <c r="A380" s="4">
        <v>379</v>
      </c>
      <c r="B380" s="4">
        <v>20</v>
      </c>
      <c r="C380" s="4">
        <v>1</v>
      </c>
      <c r="D380" s="4">
        <v>101</v>
      </c>
      <c r="E380" s="4">
        <v>29</v>
      </c>
      <c r="F380" s="5">
        <v>44381</v>
      </c>
      <c r="G380" s="5">
        <v>44388</v>
      </c>
      <c r="H380" s="5">
        <v>44389</v>
      </c>
      <c r="I380" s="4">
        <v>30</v>
      </c>
      <c r="J380" s="4" t="s">
        <v>198</v>
      </c>
      <c r="K380" s="5" t="str">
        <f>VLOOKUP(표5[[#This Row],[종목]],표2[],2,FALSE)</f>
        <v>워드프로세서</v>
      </c>
    </row>
    <row r="381" spans="1:11" x14ac:dyDescent="0.3">
      <c r="A381" s="4">
        <v>380</v>
      </c>
      <c r="B381" s="4">
        <v>30</v>
      </c>
      <c r="C381" s="4">
        <v>1</v>
      </c>
      <c r="D381" s="4">
        <v>101</v>
      </c>
      <c r="E381" s="4">
        <v>29</v>
      </c>
      <c r="F381" s="5">
        <v>44381</v>
      </c>
      <c r="G381" s="5">
        <v>44388</v>
      </c>
      <c r="H381" s="5">
        <v>44389</v>
      </c>
      <c r="I381" s="4">
        <v>0</v>
      </c>
      <c r="J381" s="4" t="s">
        <v>198</v>
      </c>
      <c r="K381" s="5" t="str">
        <f>VLOOKUP(표5[[#This Row],[종목]],표2[],2,FALSE)</f>
        <v>워드프로세서</v>
      </c>
    </row>
    <row r="382" spans="1:11" x14ac:dyDescent="0.3">
      <c r="A382" s="4">
        <v>381</v>
      </c>
      <c r="B382" s="4">
        <v>27</v>
      </c>
      <c r="C382" s="4">
        <v>1</v>
      </c>
      <c r="D382" s="4">
        <v>101</v>
      </c>
      <c r="E382" s="4">
        <v>29</v>
      </c>
      <c r="F382" s="5">
        <v>44381</v>
      </c>
      <c r="G382" s="5">
        <v>44388</v>
      </c>
      <c r="H382" s="5">
        <v>44389</v>
      </c>
      <c r="I382" s="4">
        <v>0</v>
      </c>
      <c r="J382" s="4" t="s">
        <v>198</v>
      </c>
      <c r="K382" s="5" t="str">
        <f>VLOOKUP(표5[[#This Row],[종목]],표2[],2,FALSE)</f>
        <v>워드프로세서</v>
      </c>
    </row>
    <row r="383" spans="1:11" x14ac:dyDescent="0.3">
      <c r="A383" s="4">
        <v>382</v>
      </c>
      <c r="B383" s="4">
        <v>17</v>
      </c>
      <c r="C383" s="4">
        <v>1</v>
      </c>
      <c r="D383" s="4">
        <v>101</v>
      </c>
      <c r="E383" s="4">
        <v>29</v>
      </c>
      <c r="F383" s="5">
        <v>44381</v>
      </c>
      <c r="G383" s="5">
        <v>44388</v>
      </c>
      <c r="H383" s="5">
        <v>44389</v>
      </c>
      <c r="I383" s="4">
        <v>20</v>
      </c>
      <c r="J383" s="4" t="s">
        <v>198</v>
      </c>
      <c r="K383" s="5" t="str">
        <f>VLOOKUP(표5[[#This Row],[종목]],표2[],2,FALSE)</f>
        <v>워드프로세서</v>
      </c>
    </row>
    <row r="384" spans="1:11" x14ac:dyDescent="0.3">
      <c r="A384" s="4">
        <v>383</v>
      </c>
      <c r="B384" s="4">
        <v>14</v>
      </c>
      <c r="C384" s="4">
        <v>1</v>
      </c>
      <c r="D384" s="4">
        <v>101</v>
      </c>
      <c r="E384" s="4">
        <v>29</v>
      </c>
      <c r="F384" s="5">
        <v>44381</v>
      </c>
      <c r="G384" s="5">
        <v>44388</v>
      </c>
      <c r="H384" s="5">
        <v>44389</v>
      </c>
      <c r="I384" s="4">
        <v>10</v>
      </c>
      <c r="J384" s="4" t="s">
        <v>198</v>
      </c>
      <c r="K384" s="5" t="str">
        <f>VLOOKUP(표5[[#This Row],[종목]],표2[],2,FALSE)</f>
        <v>워드프로세서</v>
      </c>
    </row>
    <row r="385" spans="1:11" x14ac:dyDescent="0.3">
      <c r="A385" s="4">
        <v>384</v>
      </c>
      <c r="B385" s="4">
        <v>10</v>
      </c>
      <c r="C385" s="4">
        <v>1</v>
      </c>
      <c r="D385" s="4">
        <v>101</v>
      </c>
      <c r="E385" s="4">
        <v>29</v>
      </c>
      <c r="F385" s="5">
        <v>44381</v>
      </c>
      <c r="G385" s="5">
        <v>44388</v>
      </c>
      <c r="H385" s="5">
        <v>44389</v>
      </c>
      <c r="I385" s="4">
        <v>30</v>
      </c>
      <c r="J385" s="4" t="s">
        <v>198</v>
      </c>
      <c r="K385" s="5" t="str">
        <f>VLOOKUP(표5[[#This Row],[종목]],표2[],2,FALSE)</f>
        <v>워드프로세서</v>
      </c>
    </row>
    <row r="386" spans="1:11" x14ac:dyDescent="0.3">
      <c r="A386" s="4">
        <v>385</v>
      </c>
      <c r="B386" s="4">
        <v>9</v>
      </c>
      <c r="C386" s="4">
        <v>3</v>
      </c>
      <c r="D386" s="4">
        <v>142</v>
      </c>
      <c r="E386" s="4">
        <v>27</v>
      </c>
      <c r="F386" s="5">
        <v>44381</v>
      </c>
      <c r="G386" s="5">
        <v>44388</v>
      </c>
      <c r="H386" s="5">
        <v>44388</v>
      </c>
      <c r="I386" s="4">
        <v>90</v>
      </c>
      <c r="J386" s="4" t="s">
        <v>199</v>
      </c>
      <c r="K386" s="5" t="str">
        <f>VLOOKUP(표5[[#This Row],[종목]],표2[],2,FALSE)</f>
        <v>컴퓨터활용능력</v>
      </c>
    </row>
    <row r="387" spans="1:11" x14ac:dyDescent="0.3">
      <c r="A387" s="4">
        <v>386</v>
      </c>
      <c r="B387" s="4">
        <v>10</v>
      </c>
      <c r="C387" s="4">
        <v>3</v>
      </c>
      <c r="D387" s="4">
        <v>142</v>
      </c>
      <c r="E387" s="4">
        <v>27</v>
      </c>
      <c r="F387" s="5">
        <v>44381</v>
      </c>
      <c r="G387" s="5">
        <v>44388</v>
      </c>
      <c r="H387" s="5">
        <v>44388</v>
      </c>
      <c r="I387" s="4">
        <v>70</v>
      </c>
      <c r="J387" s="4" t="s">
        <v>199</v>
      </c>
      <c r="K387" s="5" t="str">
        <f>VLOOKUP(표5[[#This Row],[종목]],표2[],2,FALSE)</f>
        <v>컴퓨터활용능력</v>
      </c>
    </row>
    <row r="388" spans="1:11" x14ac:dyDescent="0.3">
      <c r="A388" s="4">
        <v>387</v>
      </c>
      <c r="B388" s="4">
        <v>17</v>
      </c>
      <c r="C388" s="4">
        <v>3</v>
      </c>
      <c r="D388" s="4">
        <v>142</v>
      </c>
      <c r="E388" s="4">
        <v>27</v>
      </c>
      <c r="F388" s="5">
        <v>44381</v>
      </c>
      <c r="G388" s="5">
        <v>44388</v>
      </c>
      <c r="H388" s="5">
        <v>44388</v>
      </c>
      <c r="I388" s="4">
        <v>50</v>
      </c>
      <c r="J388" s="4" t="s">
        <v>198</v>
      </c>
      <c r="K388" s="5" t="str">
        <f>VLOOKUP(표5[[#This Row],[종목]],표2[],2,FALSE)</f>
        <v>컴퓨터활용능력</v>
      </c>
    </row>
    <row r="389" spans="1:11" x14ac:dyDescent="0.3">
      <c r="A389" s="4">
        <v>388</v>
      </c>
      <c r="B389" s="4">
        <v>18</v>
      </c>
      <c r="C389" s="4">
        <v>3</v>
      </c>
      <c r="D389" s="4">
        <v>142</v>
      </c>
      <c r="E389" s="4">
        <v>27</v>
      </c>
      <c r="F389" s="5">
        <v>44381</v>
      </c>
      <c r="G389" s="5">
        <v>44388</v>
      </c>
      <c r="H389" s="5">
        <v>44388</v>
      </c>
      <c r="I389" s="4">
        <v>30</v>
      </c>
      <c r="J389" s="4" t="s">
        <v>198</v>
      </c>
      <c r="K389" s="5" t="str">
        <f>VLOOKUP(표5[[#This Row],[종목]],표2[],2,FALSE)</f>
        <v>컴퓨터활용능력</v>
      </c>
    </row>
    <row r="390" spans="1:11" x14ac:dyDescent="0.3">
      <c r="A390" s="4">
        <v>389</v>
      </c>
      <c r="B390" s="4">
        <v>8</v>
      </c>
      <c r="C390" s="4">
        <v>3</v>
      </c>
      <c r="D390" s="4">
        <v>154</v>
      </c>
      <c r="E390" s="4">
        <v>28</v>
      </c>
      <c r="F390" s="5">
        <v>44381</v>
      </c>
      <c r="G390" s="5">
        <v>44388</v>
      </c>
      <c r="H390" s="5">
        <v>44388</v>
      </c>
      <c r="I390" s="4">
        <v>0</v>
      </c>
      <c r="J390" s="4" t="s">
        <v>198</v>
      </c>
      <c r="K390" s="5" t="str">
        <f>VLOOKUP(표5[[#This Row],[종목]],표2[],2,FALSE)</f>
        <v>컴퓨터활용능력</v>
      </c>
    </row>
    <row r="391" spans="1:11" x14ac:dyDescent="0.3">
      <c r="A391" s="4">
        <v>390</v>
      </c>
      <c r="B391" s="4">
        <v>9</v>
      </c>
      <c r="C391" s="4">
        <v>3</v>
      </c>
      <c r="D391" s="4">
        <v>154</v>
      </c>
      <c r="E391" s="4">
        <v>28</v>
      </c>
      <c r="F391" s="5">
        <v>44381</v>
      </c>
      <c r="G391" s="5">
        <v>44388</v>
      </c>
      <c r="H391" s="5">
        <v>44388</v>
      </c>
      <c r="I391" s="4">
        <v>10</v>
      </c>
      <c r="J391" s="4" t="s">
        <v>198</v>
      </c>
      <c r="K391" s="5" t="str">
        <f>VLOOKUP(표5[[#This Row],[종목]],표2[],2,FALSE)</f>
        <v>컴퓨터활용능력</v>
      </c>
    </row>
    <row r="392" spans="1:11" x14ac:dyDescent="0.3">
      <c r="A392" s="4">
        <v>391</v>
      </c>
      <c r="B392" s="4">
        <v>15</v>
      </c>
      <c r="C392" s="4">
        <v>3</v>
      </c>
      <c r="D392" s="4">
        <v>154</v>
      </c>
      <c r="E392" s="4">
        <v>28</v>
      </c>
      <c r="F392" s="5">
        <v>44381</v>
      </c>
      <c r="G392" s="5">
        <v>44388</v>
      </c>
      <c r="H392" s="5">
        <v>44388</v>
      </c>
      <c r="I392" s="4">
        <v>50</v>
      </c>
      <c r="J392" s="4" t="s">
        <v>198</v>
      </c>
      <c r="K392" s="5" t="str">
        <f>VLOOKUP(표5[[#This Row],[종목]],표2[],2,FALSE)</f>
        <v>컴퓨터활용능력</v>
      </c>
    </row>
    <row r="393" spans="1:11" x14ac:dyDescent="0.3">
      <c r="A393" s="4">
        <v>392</v>
      </c>
      <c r="B393" s="4">
        <v>16</v>
      </c>
      <c r="C393" s="4">
        <v>3</v>
      </c>
      <c r="D393" s="4">
        <v>154</v>
      </c>
      <c r="E393" s="4">
        <v>28</v>
      </c>
      <c r="F393" s="5">
        <v>44381</v>
      </c>
      <c r="G393" s="5">
        <v>44388</v>
      </c>
      <c r="H393" s="5">
        <v>44388</v>
      </c>
      <c r="I393" s="4">
        <v>40</v>
      </c>
      <c r="J393" s="4" t="s">
        <v>198</v>
      </c>
      <c r="K393" s="5" t="str">
        <f>VLOOKUP(표5[[#This Row],[종목]],표2[],2,FALSE)</f>
        <v>컴퓨터활용능력</v>
      </c>
    </row>
    <row r="394" spans="1:11" x14ac:dyDescent="0.3">
      <c r="A394" s="4">
        <v>393</v>
      </c>
      <c r="B394" s="4">
        <v>13</v>
      </c>
      <c r="C394" s="4">
        <v>3</v>
      </c>
      <c r="D394" s="4">
        <v>155</v>
      </c>
      <c r="E394" s="4">
        <v>29</v>
      </c>
      <c r="F394" s="5">
        <v>44381</v>
      </c>
      <c r="G394" s="5">
        <v>44388</v>
      </c>
      <c r="H394" s="5">
        <v>44388</v>
      </c>
      <c r="I394" s="4">
        <v>20</v>
      </c>
      <c r="J394" s="4" t="s">
        <v>198</v>
      </c>
      <c r="K394" s="5" t="str">
        <f>VLOOKUP(표5[[#This Row],[종목]],표2[],2,FALSE)</f>
        <v>컴퓨터활용능력</v>
      </c>
    </row>
    <row r="395" spans="1:11" x14ac:dyDescent="0.3">
      <c r="A395" s="4">
        <v>394</v>
      </c>
      <c r="B395" s="4">
        <v>14</v>
      </c>
      <c r="C395" s="4">
        <v>3</v>
      </c>
      <c r="D395" s="4">
        <v>155</v>
      </c>
      <c r="E395" s="4">
        <v>29</v>
      </c>
      <c r="F395" s="5">
        <v>44381</v>
      </c>
      <c r="G395" s="5">
        <v>44388</v>
      </c>
      <c r="H395" s="5">
        <v>44388</v>
      </c>
      <c r="I395" s="4">
        <v>50</v>
      </c>
      <c r="J395" s="4" t="s">
        <v>198</v>
      </c>
      <c r="K395" s="5" t="str">
        <f>VLOOKUP(표5[[#This Row],[종목]],표2[],2,FALSE)</f>
        <v>컴퓨터활용능력</v>
      </c>
    </row>
    <row r="396" spans="1:11" x14ac:dyDescent="0.3">
      <c r="A396" s="4">
        <v>395</v>
      </c>
      <c r="B396" s="4">
        <v>15</v>
      </c>
      <c r="C396" s="4">
        <v>3</v>
      </c>
      <c r="D396" s="4">
        <v>155</v>
      </c>
      <c r="E396" s="4">
        <v>29</v>
      </c>
      <c r="F396" s="5">
        <v>44381</v>
      </c>
      <c r="G396" s="5">
        <v>44388</v>
      </c>
      <c r="H396" s="5">
        <v>44388</v>
      </c>
      <c r="I396" s="4">
        <v>60</v>
      </c>
      <c r="J396" s="4" t="s">
        <v>198</v>
      </c>
      <c r="K396" s="5" t="str">
        <f>VLOOKUP(표5[[#This Row],[종목]],표2[],2,FALSE)</f>
        <v>컴퓨터활용능력</v>
      </c>
    </row>
    <row r="397" spans="1:11" x14ac:dyDescent="0.3">
      <c r="A397" s="4">
        <v>396</v>
      </c>
      <c r="B397" s="4">
        <v>12</v>
      </c>
      <c r="C397" s="4">
        <v>1</v>
      </c>
      <c r="D397" s="4">
        <v>94</v>
      </c>
      <c r="E397" s="4">
        <v>28</v>
      </c>
      <c r="F397" s="5">
        <v>44381</v>
      </c>
      <c r="G397" s="5">
        <v>44388</v>
      </c>
      <c r="H397" s="5">
        <v>44389</v>
      </c>
      <c r="I397" s="4">
        <v>30</v>
      </c>
      <c r="J397" s="4" t="s">
        <v>198</v>
      </c>
      <c r="K397" s="5" t="str">
        <f>VLOOKUP(표5[[#This Row],[종목]],표2[],2,FALSE)</f>
        <v>워드프로세서</v>
      </c>
    </row>
    <row r="398" spans="1:11" x14ac:dyDescent="0.3">
      <c r="A398" s="4">
        <v>397</v>
      </c>
      <c r="B398" s="4">
        <v>4</v>
      </c>
      <c r="C398" s="4">
        <v>1</v>
      </c>
      <c r="D398" s="4">
        <v>109</v>
      </c>
      <c r="E398" s="4">
        <v>30</v>
      </c>
      <c r="F398" s="5">
        <v>44383</v>
      </c>
      <c r="G398" s="5">
        <v>44390</v>
      </c>
      <c r="H398" s="5">
        <v>44391</v>
      </c>
      <c r="I398" s="4">
        <v>20</v>
      </c>
      <c r="J398" s="4" t="s">
        <v>198</v>
      </c>
      <c r="K398" s="5" t="str">
        <f>VLOOKUP(표5[[#This Row],[종목]],표2[],2,FALSE)</f>
        <v>워드프로세서</v>
      </c>
    </row>
    <row r="399" spans="1:11" x14ac:dyDescent="0.3">
      <c r="A399" s="4">
        <v>398</v>
      </c>
      <c r="B399" s="4">
        <v>29</v>
      </c>
      <c r="C399" s="4">
        <v>1</v>
      </c>
      <c r="D399" s="4">
        <v>109</v>
      </c>
      <c r="E399" s="4">
        <v>30</v>
      </c>
      <c r="F399" s="5">
        <v>44383</v>
      </c>
      <c r="G399" s="5">
        <v>44390</v>
      </c>
      <c r="H399" s="5">
        <v>44391</v>
      </c>
      <c r="I399" s="4">
        <v>0</v>
      </c>
      <c r="J399" s="4" t="s">
        <v>198</v>
      </c>
      <c r="K399" s="5" t="str">
        <f>VLOOKUP(표5[[#This Row],[종목]],표2[],2,FALSE)</f>
        <v>워드프로세서</v>
      </c>
    </row>
    <row r="400" spans="1:11" x14ac:dyDescent="0.3">
      <c r="A400" s="4">
        <v>399</v>
      </c>
      <c r="B400" s="4">
        <v>26</v>
      </c>
      <c r="C400" s="4">
        <v>1</v>
      </c>
      <c r="D400" s="4">
        <v>109</v>
      </c>
      <c r="E400" s="4">
        <v>30</v>
      </c>
      <c r="F400" s="5">
        <v>44383</v>
      </c>
      <c r="G400" s="5">
        <v>44390</v>
      </c>
      <c r="H400" s="5">
        <v>44391</v>
      </c>
      <c r="I400" s="4">
        <v>0</v>
      </c>
      <c r="J400" s="4" t="s">
        <v>198</v>
      </c>
      <c r="K400" s="5" t="str">
        <f>VLOOKUP(표5[[#This Row],[종목]],표2[],2,FALSE)</f>
        <v>워드프로세서</v>
      </c>
    </row>
    <row r="401" spans="1:11" x14ac:dyDescent="0.3">
      <c r="A401" s="4">
        <v>420</v>
      </c>
      <c r="B401" s="4">
        <v>5</v>
      </c>
      <c r="C401" s="4">
        <v>1</v>
      </c>
      <c r="D401" s="4">
        <v>114</v>
      </c>
      <c r="E401" s="4">
        <v>32</v>
      </c>
      <c r="F401" s="5">
        <v>44383</v>
      </c>
      <c r="G401" s="5">
        <v>44390</v>
      </c>
      <c r="H401" s="5">
        <v>44391</v>
      </c>
      <c r="I401" s="4">
        <v>0</v>
      </c>
      <c r="J401" s="4" t="s">
        <v>198</v>
      </c>
      <c r="K401" s="5" t="str">
        <f>VLOOKUP(표5[[#This Row],[종목]],표2[],2,FALSE)</f>
        <v>워드프로세서</v>
      </c>
    </row>
    <row r="402" spans="1:11" x14ac:dyDescent="0.3">
      <c r="A402" s="4">
        <v>401</v>
      </c>
      <c r="B402" s="4">
        <v>21</v>
      </c>
      <c r="C402" s="4">
        <v>1</v>
      </c>
      <c r="D402" s="4">
        <v>109</v>
      </c>
      <c r="E402" s="4">
        <v>30</v>
      </c>
      <c r="F402" s="5">
        <v>44383</v>
      </c>
      <c r="G402" s="5">
        <v>44390</v>
      </c>
      <c r="H402" s="5">
        <v>44391</v>
      </c>
      <c r="I402" s="4">
        <v>10</v>
      </c>
      <c r="J402" s="4" t="s">
        <v>198</v>
      </c>
      <c r="K402" s="5" t="str">
        <f>VLOOKUP(표5[[#This Row],[종목]],표2[],2,FALSE)</f>
        <v>워드프로세서</v>
      </c>
    </row>
    <row r="403" spans="1:11" x14ac:dyDescent="0.3">
      <c r="A403" s="4">
        <v>402</v>
      </c>
      <c r="B403" s="4">
        <v>19</v>
      </c>
      <c r="C403" s="4">
        <v>1</v>
      </c>
      <c r="D403" s="4">
        <v>109</v>
      </c>
      <c r="E403" s="4">
        <v>30</v>
      </c>
      <c r="F403" s="5">
        <v>44383</v>
      </c>
      <c r="G403" s="5">
        <v>44390</v>
      </c>
      <c r="H403" s="5">
        <v>44391</v>
      </c>
      <c r="I403" s="4">
        <v>30</v>
      </c>
      <c r="J403" s="4" t="s">
        <v>198</v>
      </c>
      <c r="K403" s="5" t="str">
        <f>VLOOKUP(표5[[#This Row],[종목]],표2[],2,FALSE)</f>
        <v>워드프로세서</v>
      </c>
    </row>
    <row r="404" spans="1:11" x14ac:dyDescent="0.3">
      <c r="A404" s="4">
        <v>403</v>
      </c>
      <c r="B404" s="4">
        <v>12</v>
      </c>
      <c r="C404" s="4">
        <v>1</v>
      </c>
      <c r="D404" s="4">
        <v>109</v>
      </c>
      <c r="E404" s="4">
        <v>30</v>
      </c>
      <c r="F404" s="5">
        <v>44383</v>
      </c>
      <c r="G404" s="5">
        <v>44390</v>
      </c>
      <c r="H404" s="5">
        <v>44391</v>
      </c>
      <c r="I404" s="4">
        <v>20</v>
      </c>
      <c r="J404" s="4" t="s">
        <v>198</v>
      </c>
      <c r="K404" s="5" t="str">
        <f>VLOOKUP(표5[[#This Row],[종목]],표2[],2,FALSE)</f>
        <v>워드프로세서</v>
      </c>
    </row>
    <row r="405" spans="1:11" x14ac:dyDescent="0.3">
      <c r="A405" s="4">
        <v>404</v>
      </c>
      <c r="B405" s="4">
        <v>9</v>
      </c>
      <c r="C405" s="4">
        <v>1</v>
      </c>
      <c r="D405" s="4">
        <v>109</v>
      </c>
      <c r="E405" s="4">
        <v>30</v>
      </c>
      <c r="F405" s="5">
        <v>44383</v>
      </c>
      <c r="G405" s="5">
        <v>44390</v>
      </c>
      <c r="H405" s="5">
        <v>44391</v>
      </c>
      <c r="I405" s="4">
        <v>0</v>
      </c>
      <c r="J405" s="4" t="s">
        <v>198</v>
      </c>
      <c r="K405" s="5" t="str">
        <f>VLOOKUP(표5[[#This Row],[종목]],표2[],2,FALSE)</f>
        <v>워드프로세서</v>
      </c>
    </row>
    <row r="406" spans="1:11" x14ac:dyDescent="0.3">
      <c r="A406" s="4">
        <v>405</v>
      </c>
      <c r="B406" s="4">
        <v>15</v>
      </c>
      <c r="C406" s="4">
        <v>1</v>
      </c>
      <c r="D406" s="4">
        <v>113</v>
      </c>
      <c r="E406" s="4">
        <v>31</v>
      </c>
      <c r="F406" s="5">
        <v>44383</v>
      </c>
      <c r="G406" s="5">
        <v>44390</v>
      </c>
      <c r="H406" s="5">
        <v>44391</v>
      </c>
      <c r="I406" s="4">
        <v>0</v>
      </c>
      <c r="J406" s="4" t="s">
        <v>198</v>
      </c>
      <c r="K406" s="5" t="str">
        <f>VLOOKUP(표5[[#This Row],[종목]],표2[],2,FALSE)</f>
        <v>워드프로세서</v>
      </c>
    </row>
    <row r="407" spans="1:11" x14ac:dyDescent="0.3">
      <c r="A407" s="4">
        <v>406</v>
      </c>
      <c r="B407" s="4">
        <v>28</v>
      </c>
      <c r="C407" s="4">
        <v>1</v>
      </c>
      <c r="D407" s="4">
        <v>113</v>
      </c>
      <c r="E407" s="4">
        <v>31</v>
      </c>
      <c r="F407" s="5">
        <v>44383</v>
      </c>
      <c r="G407" s="5">
        <v>44390</v>
      </c>
      <c r="H407" s="5">
        <v>44391</v>
      </c>
      <c r="I407" s="4">
        <v>30</v>
      </c>
      <c r="J407" s="4" t="s">
        <v>198</v>
      </c>
      <c r="K407" s="5" t="str">
        <f>VLOOKUP(표5[[#This Row],[종목]],표2[],2,FALSE)</f>
        <v>워드프로세서</v>
      </c>
    </row>
    <row r="408" spans="1:11" x14ac:dyDescent="0.3">
      <c r="A408" s="4">
        <v>407</v>
      </c>
      <c r="B408" s="4">
        <v>25</v>
      </c>
      <c r="C408" s="4">
        <v>1</v>
      </c>
      <c r="D408" s="4">
        <v>113</v>
      </c>
      <c r="E408" s="4">
        <v>31</v>
      </c>
      <c r="F408" s="5">
        <v>44383</v>
      </c>
      <c r="G408" s="5">
        <v>44390</v>
      </c>
      <c r="H408" s="5">
        <v>44391</v>
      </c>
      <c r="I408" s="4">
        <v>20</v>
      </c>
      <c r="J408" s="4" t="s">
        <v>198</v>
      </c>
      <c r="K408" s="5" t="str">
        <f>VLOOKUP(표5[[#This Row],[종목]],표2[],2,FALSE)</f>
        <v>워드프로세서</v>
      </c>
    </row>
    <row r="409" spans="1:11" x14ac:dyDescent="0.3">
      <c r="A409" s="4">
        <v>408</v>
      </c>
      <c r="B409" s="4">
        <v>24</v>
      </c>
      <c r="C409" s="4">
        <v>1</v>
      </c>
      <c r="D409" s="4">
        <v>113</v>
      </c>
      <c r="E409" s="4">
        <v>31</v>
      </c>
      <c r="F409" s="5">
        <v>44383</v>
      </c>
      <c r="G409" s="5">
        <v>44390</v>
      </c>
      <c r="H409" s="5">
        <v>44391</v>
      </c>
      <c r="I409" s="4">
        <v>40</v>
      </c>
      <c r="J409" s="4" t="s">
        <v>198</v>
      </c>
      <c r="K409" s="5" t="str">
        <f>VLOOKUP(표5[[#This Row],[종목]],표2[],2,FALSE)</f>
        <v>워드프로세서</v>
      </c>
    </row>
    <row r="410" spans="1:11" x14ac:dyDescent="0.3">
      <c r="A410" s="4">
        <v>409</v>
      </c>
      <c r="B410" s="4">
        <v>22</v>
      </c>
      <c r="C410" s="4">
        <v>1</v>
      </c>
      <c r="D410" s="4">
        <v>113</v>
      </c>
      <c r="E410" s="4">
        <v>31</v>
      </c>
      <c r="F410" s="5">
        <v>44383</v>
      </c>
      <c r="G410" s="5">
        <v>44390</v>
      </c>
      <c r="H410" s="5">
        <v>44391</v>
      </c>
      <c r="I410" s="4">
        <v>20</v>
      </c>
      <c r="J410" s="4" t="s">
        <v>198</v>
      </c>
      <c r="K410" s="5" t="str">
        <f>VLOOKUP(표5[[#This Row],[종목]],표2[],2,FALSE)</f>
        <v>워드프로세서</v>
      </c>
    </row>
    <row r="411" spans="1:11" x14ac:dyDescent="0.3">
      <c r="A411" s="4">
        <v>410</v>
      </c>
      <c r="B411" s="4">
        <v>13</v>
      </c>
      <c r="C411" s="4">
        <v>1</v>
      </c>
      <c r="D411" s="4">
        <v>113</v>
      </c>
      <c r="E411" s="4">
        <v>31</v>
      </c>
      <c r="F411" s="5">
        <v>44383</v>
      </c>
      <c r="G411" s="5">
        <v>44390</v>
      </c>
      <c r="H411" s="5">
        <v>44391</v>
      </c>
      <c r="I411" s="4">
        <v>30</v>
      </c>
      <c r="J411" s="4" t="s">
        <v>198</v>
      </c>
      <c r="K411" s="5" t="str">
        <f>VLOOKUP(표5[[#This Row],[종목]],표2[],2,FALSE)</f>
        <v>워드프로세서</v>
      </c>
    </row>
    <row r="412" spans="1:11" x14ac:dyDescent="0.3">
      <c r="A412" s="4">
        <v>411</v>
      </c>
      <c r="B412" s="4">
        <v>18</v>
      </c>
      <c r="C412" s="4">
        <v>1</v>
      </c>
      <c r="D412" s="4">
        <v>113</v>
      </c>
      <c r="E412" s="4">
        <v>31</v>
      </c>
      <c r="F412" s="5">
        <v>44383</v>
      </c>
      <c r="G412" s="5">
        <v>44390</v>
      </c>
      <c r="H412" s="5">
        <v>44391</v>
      </c>
      <c r="I412" s="4">
        <v>50</v>
      </c>
      <c r="J412" s="4" t="s">
        <v>198</v>
      </c>
      <c r="K412" s="5" t="str">
        <f>VLOOKUP(표5[[#This Row],[종목]],표2[],2,FALSE)</f>
        <v>워드프로세서</v>
      </c>
    </row>
    <row r="413" spans="1:11" x14ac:dyDescent="0.3">
      <c r="A413" s="4">
        <v>412</v>
      </c>
      <c r="B413" s="4">
        <v>6</v>
      </c>
      <c r="C413" s="4">
        <v>1</v>
      </c>
      <c r="D413" s="4">
        <v>113</v>
      </c>
      <c r="E413" s="4">
        <v>31</v>
      </c>
      <c r="F413" s="5">
        <v>44383</v>
      </c>
      <c r="G413" s="5">
        <v>44390</v>
      </c>
      <c r="H413" s="5">
        <v>44391</v>
      </c>
      <c r="I413" s="4">
        <v>30</v>
      </c>
      <c r="J413" s="4" t="s">
        <v>198</v>
      </c>
      <c r="K413" s="5" t="str">
        <f>VLOOKUP(표5[[#This Row],[종목]],표2[],2,FALSE)</f>
        <v>워드프로세서</v>
      </c>
    </row>
    <row r="414" spans="1:11" x14ac:dyDescent="0.3">
      <c r="A414" s="4">
        <v>413</v>
      </c>
      <c r="B414" s="4">
        <v>8</v>
      </c>
      <c r="C414" s="4">
        <v>1</v>
      </c>
      <c r="D414" s="4">
        <v>113</v>
      </c>
      <c r="E414" s="4">
        <v>31</v>
      </c>
      <c r="F414" s="5">
        <v>44383</v>
      </c>
      <c r="G414" s="5">
        <v>44390</v>
      </c>
      <c r="H414" s="5">
        <v>44391</v>
      </c>
      <c r="I414" s="4">
        <v>20</v>
      </c>
      <c r="J414" s="4" t="s">
        <v>198</v>
      </c>
      <c r="K414" s="5" t="str">
        <f>VLOOKUP(표5[[#This Row],[종목]],표2[],2,FALSE)</f>
        <v>워드프로세서</v>
      </c>
    </row>
    <row r="415" spans="1:11" x14ac:dyDescent="0.3">
      <c r="A415" s="4">
        <v>414</v>
      </c>
      <c r="B415" s="4">
        <v>13</v>
      </c>
      <c r="C415" s="4">
        <v>1</v>
      </c>
      <c r="D415" s="4">
        <v>114</v>
      </c>
      <c r="E415" s="4">
        <v>32</v>
      </c>
      <c r="F415" s="5">
        <v>44383</v>
      </c>
      <c r="G415" s="5">
        <v>44390</v>
      </c>
      <c r="H415" s="5">
        <v>44391</v>
      </c>
      <c r="I415" s="4">
        <v>30</v>
      </c>
      <c r="J415" s="4" t="s">
        <v>198</v>
      </c>
      <c r="K415" s="5" t="str">
        <f>VLOOKUP(표5[[#This Row],[종목]],표2[],2,FALSE)</f>
        <v>워드프로세서</v>
      </c>
    </row>
    <row r="416" spans="1:11" x14ac:dyDescent="0.3">
      <c r="A416" s="4">
        <v>415</v>
      </c>
      <c r="B416" s="4">
        <v>2</v>
      </c>
      <c r="C416" s="4">
        <v>1</v>
      </c>
      <c r="D416" s="4">
        <v>114</v>
      </c>
      <c r="E416" s="4">
        <v>32</v>
      </c>
      <c r="F416" s="5">
        <v>44383</v>
      </c>
      <c r="G416" s="5">
        <v>44390</v>
      </c>
      <c r="H416" s="5">
        <v>44391</v>
      </c>
      <c r="I416" s="4">
        <v>50</v>
      </c>
      <c r="J416" s="4" t="s">
        <v>198</v>
      </c>
      <c r="K416" s="5" t="str">
        <f>VLOOKUP(표5[[#This Row],[종목]],표2[],2,FALSE)</f>
        <v>워드프로세서</v>
      </c>
    </row>
    <row r="417" spans="1:11" x14ac:dyDescent="0.3">
      <c r="A417" s="4">
        <v>416</v>
      </c>
      <c r="B417" s="4">
        <v>30</v>
      </c>
      <c r="C417" s="4">
        <v>1</v>
      </c>
      <c r="D417" s="4">
        <v>114</v>
      </c>
      <c r="E417" s="4">
        <v>32</v>
      </c>
      <c r="F417" s="5">
        <v>44383</v>
      </c>
      <c r="G417" s="5">
        <v>44390</v>
      </c>
      <c r="H417" s="5">
        <v>44391</v>
      </c>
      <c r="I417" s="4">
        <v>20</v>
      </c>
      <c r="J417" s="4" t="s">
        <v>198</v>
      </c>
      <c r="K417" s="5" t="str">
        <f>VLOOKUP(표5[[#This Row],[종목]],표2[],2,FALSE)</f>
        <v>워드프로세서</v>
      </c>
    </row>
    <row r="418" spans="1:11" x14ac:dyDescent="0.3">
      <c r="A418" s="4">
        <v>417</v>
      </c>
      <c r="B418" s="4">
        <v>26</v>
      </c>
      <c r="C418" s="4">
        <v>1</v>
      </c>
      <c r="D418" s="4">
        <v>114</v>
      </c>
      <c r="E418" s="4">
        <v>32</v>
      </c>
      <c r="F418" s="5">
        <v>44383</v>
      </c>
      <c r="G418" s="5">
        <v>44390</v>
      </c>
      <c r="H418" s="5">
        <v>44391</v>
      </c>
      <c r="I418" s="4">
        <v>50</v>
      </c>
      <c r="J418" s="4" t="s">
        <v>198</v>
      </c>
      <c r="K418" s="5" t="str">
        <f>VLOOKUP(표5[[#This Row],[종목]],표2[],2,FALSE)</f>
        <v>워드프로세서</v>
      </c>
    </row>
    <row r="419" spans="1:11" x14ac:dyDescent="0.3">
      <c r="A419" s="4">
        <v>418</v>
      </c>
      <c r="B419" s="4">
        <v>17</v>
      </c>
      <c r="C419" s="4">
        <v>1</v>
      </c>
      <c r="D419" s="4">
        <v>114</v>
      </c>
      <c r="E419" s="4">
        <v>32</v>
      </c>
      <c r="F419" s="5">
        <v>44383</v>
      </c>
      <c r="G419" s="5">
        <v>44390</v>
      </c>
      <c r="H419" s="5">
        <v>44391</v>
      </c>
      <c r="I419" s="4">
        <v>40</v>
      </c>
      <c r="J419" s="4" t="s">
        <v>198</v>
      </c>
      <c r="K419" s="5" t="str">
        <f>VLOOKUP(표5[[#This Row],[종목]],표2[],2,FALSE)</f>
        <v>워드프로세서</v>
      </c>
    </row>
    <row r="420" spans="1:11" x14ac:dyDescent="0.3">
      <c r="A420" s="4">
        <v>419</v>
      </c>
      <c r="B420" s="4">
        <v>23</v>
      </c>
      <c r="C420" s="4">
        <v>1</v>
      </c>
      <c r="D420" s="4">
        <v>114</v>
      </c>
      <c r="E420" s="4">
        <v>32</v>
      </c>
      <c r="F420" s="5">
        <v>44383</v>
      </c>
      <c r="G420" s="5">
        <v>44390</v>
      </c>
      <c r="H420" s="5">
        <v>44391</v>
      </c>
      <c r="I420" s="4">
        <v>10</v>
      </c>
      <c r="J420" s="4" t="s">
        <v>198</v>
      </c>
      <c r="K420" s="5" t="str">
        <f>VLOOKUP(표5[[#This Row],[종목]],표2[],2,FALSE)</f>
        <v>워드프로세서</v>
      </c>
    </row>
    <row r="421" spans="1:11" x14ac:dyDescent="0.3">
      <c r="A421" s="4">
        <v>459</v>
      </c>
      <c r="B421" s="4">
        <v>5</v>
      </c>
      <c r="C421" s="4">
        <v>1</v>
      </c>
      <c r="D421" s="4">
        <v>137</v>
      </c>
      <c r="E421" s="4">
        <v>37</v>
      </c>
      <c r="F421" s="5">
        <v>44389</v>
      </c>
      <c r="G421" s="5">
        <v>44396</v>
      </c>
      <c r="H421" s="5">
        <v>44397</v>
      </c>
      <c r="I421" s="4">
        <v>10</v>
      </c>
      <c r="J421" s="4" t="s">
        <v>198</v>
      </c>
      <c r="K421" s="5" t="str">
        <f>VLOOKUP(표5[[#This Row],[종목]],표2[],2,FALSE)</f>
        <v>워드프로세서</v>
      </c>
    </row>
    <row r="422" spans="1:11" x14ac:dyDescent="0.3">
      <c r="A422" s="4">
        <v>421</v>
      </c>
      <c r="B422" s="4">
        <v>9</v>
      </c>
      <c r="C422" s="4">
        <v>1</v>
      </c>
      <c r="D422" s="4">
        <v>114</v>
      </c>
      <c r="E422" s="4">
        <v>32</v>
      </c>
      <c r="F422" s="5">
        <v>44383</v>
      </c>
      <c r="G422" s="5">
        <v>44390</v>
      </c>
      <c r="H422" s="5">
        <v>44391</v>
      </c>
      <c r="I422" s="4">
        <v>10</v>
      </c>
      <c r="J422" s="4" t="s">
        <v>198</v>
      </c>
      <c r="K422" s="5" t="str">
        <f>VLOOKUP(표5[[#This Row],[종목]],표2[],2,FALSE)</f>
        <v>워드프로세서</v>
      </c>
    </row>
    <row r="423" spans="1:11" x14ac:dyDescent="0.3">
      <c r="A423" s="4">
        <v>422</v>
      </c>
      <c r="B423" s="4">
        <v>1</v>
      </c>
      <c r="C423" s="4">
        <v>1</v>
      </c>
      <c r="D423" s="4">
        <v>114</v>
      </c>
      <c r="E423" s="4">
        <v>32</v>
      </c>
      <c r="F423" s="5">
        <v>44383</v>
      </c>
      <c r="G423" s="5">
        <v>44390</v>
      </c>
      <c r="H423" s="5">
        <v>44391</v>
      </c>
      <c r="I423" s="4">
        <v>20</v>
      </c>
      <c r="J423" s="4" t="s">
        <v>198</v>
      </c>
      <c r="K423" s="5" t="str">
        <f>VLOOKUP(표5[[#This Row],[종목]],표2[],2,FALSE)</f>
        <v>워드프로세서</v>
      </c>
    </row>
    <row r="424" spans="1:11" x14ac:dyDescent="0.3">
      <c r="A424" s="4">
        <v>423</v>
      </c>
      <c r="B424" s="4">
        <v>17</v>
      </c>
      <c r="C424" s="4">
        <v>3</v>
      </c>
      <c r="D424" s="4">
        <v>156</v>
      </c>
      <c r="E424" s="4">
        <v>30</v>
      </c>
      <c r="F424" s="5">
        <v>44383</v>
      </c>
      <c r="G424" s="5">
        <v>44390</v>
      </c>
      <c r="H424" s="5">
        <v>44390</v>
      </c>
      <c r="I424" s="4">
        <v>20</v>
      </c>
      <c r="J424" s="4" t="s">
        <v>198</v>
      </c>
      <c r="K424" s="5" t="str">
        <f>VLOOKUP(표5[[#This Row],[종목]],표2[],2,FALSE)</f>
        <v>컴퓨터활용능력</v>
      </c>
    </row>
    <row r="425" spans="1:11" x14ac:dyDescent="0.3">
      <c r="A425" s="4">
        <v>424</v>
      </c>
      <c r="B425" s="4">
        <v>18</v>
      </c>
      <c r="C425" s="4">
        <v>3</v>
      </c>
      <c r="D425" s="4">
        <v>156</v>
      </c>
      <c r="E425" s="4">
        <v>30</v>
      </c>
      <c r="F425" s="5">
        <v>44383</v>
      </c>
      <c r="G425" s="5">
        <v>44390</v>
      </c>
      <c r="H425" s="5">
        <v>44390</v>
      </c>
      <c r="I425" s="4">
        <v>50</v>
      </c>
      <c r="J425" s="4" t="s">
        <v>198</v>
      </c>
      <c r="K425" s="5" t="str">
        <f>VLOOKUP(표5[[#This Row],[종목]],표2[],2,FALSE)</f>
        <v>컴퓨터활용능력</v>
      </c>
    </row>
    <row r="426" spans="1:11" x14ac:dyDescent="0.3">
      <c r="A426" s="4">
        <v>425</v>
      </c>
      <c r="B426" s="4">
        <v>19</v>
      </c>
      <c r="C426" s="4">
        <v>3</v>
      </c>
      <c r="D426" s="4">
        <v>156</v>
      </c>
      <c r="E426" s="4">
        <v>30</v>
      </c>
      <c r="F426" s="5">
        <v>44383</v>
      </c>
      <c r="G426" s="5">
        <v>44390</v>
      </c>
      <c r="H426" s="5">
        <v>44390</v>
      </c>
      <c r="I426" s="4">
        <v>10</v>
      </c>
      <c r="J426" s="4" t="s">
        <v>198</v>
      </c>
      <c r="K426" s="5" t="str">
        <f>VLOOKUP(표5[[#This Row],[종목]],표2[],2,FALSE)</f>
        <v>컴퓨터활용능력</v>
      </c>
    </row>
    <row r="427" spans="1:11" x14ac:dyDescent="0.3">
      <c r="A427" s="4">
        <v>426</v>
      </c>
      <c r="B427" s="4">
        <v>20</v>
      </c>
      <c r="C427" s="4">
        <v>3</v>
      </c>
      <c r="D427" s="4">
        <v>156</v>
      </c>
      <c r="E427" s="4">
        <v>30</v>
      </c>
      <c r="F427" s="5">
        <v>44383</v>
      </c>
      <c r="G427" s="5">
        <v>44390</v>
      </c>
      <c r="H427" s="5">
        <v>44390</v>
      </c>
      <c r="I427" s="4">
        <v>30</v>
      </c>
      <c r="J427" s="4" t="s">
        <v>198</v>
      </c>
      <c r="K427" s="5" t="str">
        <f>VLOOKUP(표5[[#This Row],[종목]],표2[],2,FALSE)</f>
        <v>컴퓨터활용능력</v>
      </c>
    </row>
    <row r="428" spans="1:11" x14ac:dyDescent="0.3">
      <c r="A428" s="4">
        <v>427</v>
      </c>
      <c r="B428" s="4">
        <v>1</v>
      </c>
      <c r="C428" s="4">
        <v>1</v>
      </c>
      <c r="D428" s="4">
        <v>117</v>
      </c>
      <c r="E428" s="4">
        <v>33</v>
      </c>
      <c r="F428" s="5">
        <v>44384</v>
      </c>
      <c r="G428" s="5">
        <v>44391</v>
      </c>
      <c r="H428" s="5">
        <v>44392</v>
      </c>
      <c r="I428" s="4">
        <v>30</v>
      </c>
      <c r="J428" s="4" t="s">
        <v>198</v>
      </c>
      <c r="K428" s="5" t="str">
        <f>VLOOKUP(표5[[#This Row],[종목]],표2[],2,FALSE)</f>
        <v>워드프로세서</v>
      </c>
    </row>
    <row r="429" spans="1:11" x14ac:dyDescent="0.3">
      <c r="A429" s="4">
        <v>428</v>
      </c>
      <c r="B429" s="4">
        <v>2</v>
      </c>
      <c r="C429" s="4">
        <v>1</v>
      </c>
      <c r="D429" s="4">
        <v>117</v>
      </c>
      <c r="E429" s="4">
        <v>33</v>
      </c>
      <c r="F429" s="5">
        <v>44384</v>
      </c>
      <c r="G429" s="5">
        <v>44391</v>
      </c>
      <c r="H429" s="5">
        <v>44392</v>
      </c>
      <c r="I429" s="4">
        <v>40</v>
      </c>
      <c r="J429" s="4" t="s">
        <v>198</v>
      </c>
      <c r="K429" s="5" t="str">
        <f>VLOOKUP(표5[[#This Row],[종목]],표2[],2,FALSE)</f>
        <v>워드프로세서</v>
      </c>
    </row>
    <row r="430" spans="1:11" x14ac:dyDescent="0.3">
      <c r="A430" s="4">
        <v>429</v>
      </c>
      <c r="B430" s="4">
        <v>4</v>
      </c>
      <c r="C430" s="4">
        <v>1</v>
      </c>
      <c r="D430" s="4">
        <v>117</v>
      </c>
      <c r="E430" s="4">
        <v>33</v>
      </c>
      <c r="F430" s="5">
        <v>44384</v>
      </c>
      <c r="G430" s="5">
        <v>44391</v>
      </c>
      <c r="H430" s="5">
        <v>44392</v>
      </c>
      <c r="I430" s="4">
        <v>0</v>
      </c>
      <c r="J430" s="4" t="s">
        <v>198</v>
      </c>
      <c r="K430" s="5" t="str">
        <f>VLOOKUP(표5[[#This Row],[종목]],표2[],2,FALSE)</f>
        <v>워드프로세서</v>
      </c>
    </row>
    <row r="431" spans="1:11" x14ac:dyDescent="0.3">
      <c r="A431" s="4">
        <v>430</v>
      </c>
      <c r="B431" s="4">
        <v>6</v>
      </c>
      <c r="C431" s="4">
        <v>1</v>
      </c>
      <c r="D431" s="4">
        <v>117</v>
      </c>
      <c r="E431" s="4">
        <v>33</v>
      </c>
      <c r="F431" s="5">
        <v>44384</v>
      </c>
      <c r="G431" s="5">
        <v>44391</v>
      </c>
      <c r="H431" s="5">
        <v>44392</v>
      </c>
      <c r="I431" s="4">
        <v>20</v>
      </c>
      <c r="J431" s="4" t="s">
        <v>198</v>
      </c>
      <c r="K431" s="5" t="str">
        <f>VLOOKUP(표5[[#This Row],[종목]],표2[],2,FALSE)</f>
        <v>워드프로세서</v>
      </c>
    </row>
    <row r="432" spans="1:11" x14ac:dyDescent="0.3">
      <c r="A432" s="4">
        <v>509</v>
      </c>
      <c r="B432" s="4">
        <v>7</v>
      </c>
      <c r="C432" s="4">
        <v>1</v>
      </c>
      <c r="D432" s="4">
        <v>113</v>
      </c>
      <c r="E432" s="4">
        <v>31</v>
      </c>
      <c r="F432" s="5">
        <v>44383</v>
      </c>
      <c r="G432" s="5">
        <v>44390</v>
      </c>
      <c r="H432" s="5">
        <v>44391</v>
      </c>
      <c r="I432" s="4">
        <v>0</v>
      </c>
      <c r="J432" s="4" t="s">
        <v>198</v>
      </c>
      <c r="K432" s="5" t="str">
        <f>VLOOKUP(표5[[#This Row],[종목]],표2[],2,FALSE)</f>
        <v>워드프로세서</v>
      </c>
    </row>
    <row r="433" spans="1:11" x14ac:dyDescent="0.3">
      <c r="A433" s="4">
        <v>432</v>
      </c>
      <c r="B433" s="4">
        <v>10</v>
      </c>
      <c r="C433" s="4">
        <v>1</v>
      </c>
      <c r="D433" s="4">
        <v>117</v>
      </c>
      <c r="E433" s="4">
        <v>33</v>
      </c>
      <c r="F433" s="5">
        <v>44384</v>
      </c>
      <c r="G433" s="5">
        <v>44391</v>
      </c>
      <c r="H433" s="5">
        <v>44392</v>
      </c>
      <c r="I433" s="4">
        <v>50</v>
      </c>
      <c r="J433" s="4" t="s">
        <v>198</v>
      </c>
      <c r="K433" s="5" t="str">
        <f>VLOOKUP(표5[[#This Row],[종목]],표2[],2,FALSE)</f>
        <v>워드프로세서</v>
      </c>
    </row>
    <row r="434" spans="1:11" x14ac:dyDescent="0.3">
      <c r="A434" s="4">
        <v>433</v>
      </c>
      <c r="B434" s="4">
        <v>14</v>
      </c>
      <c r="C434" s="4">
        <v>1</v>
      </c>
      <c r="D434" s="4">
        <v>117</v>
      </c>
      <c r="E434" s="4">
        <v>33</v>
      </c>
      <c r="F434" s="5">
        <v>44384</v>
      </c>
      <c r="G434" s="5">
        <v>44391</v>
      </c>
      <c r="H434" s="5">
        <v>44392</v>
      </c>
      <c r="I434" s="4">
        <v>20</v>
      </c>
      <c r="J434" s="4" t="s">
        <v>198</v>
      </c>
      <c r="K434" s="5" t="str">
        <f>VLOOKUP(표5[[#This Row],[종목]],표2[],2,FALSE)</f>
        <v>워드프로세서</v>
      </c>
    </row>
    <row r="435" spans="1:11" x14ac:dyDescent="0.3">
      <c r="A435" s="4">
        <v>434</v>
      </c>
      <c r="B435" s="4">
        <v>15</v>
      </c>
      <c r="C435" s="4">
        <v>1</v>
      </c>
      <c r="D435" s="4">
        <v>120</v>
      </c>
      <c r="E435" s="4">
        <v>34</v>
      </c>
      <c r="F435" s="5">
        <v>44386</v>
      </c>
      <c r="G435" s="5">
        <v>44393</v>
      </c>
      <c r="H435" s="5">
        <v>44394</v>
      </c>
      <c r="I435" s="4">
        <v>0</v>
      </c>
      <c r="J435" s="4" t="s">
        <v>198</v>
      </c>
      <c r="K435" s="5" t="str">
        <f>VLOOKUP(표5[[#This Row],[종목]],표2[],2,FALSE)</f>
        <v>워드프로세서</v>
      </c>
    </row>
    <row r="436" spans="1:11" x14ac:dyDescent="0.3">
      <c r="A436" s="4">
        <v>435</v>
      </c>
      <c r="B436" s="4">
        <v>3</v>
      </c>
      <c r="C436" s="4">
        <v>1</v>
      </c>
      <c r="D436" s="4">
        <v>120</v>
      </c>
      <c r="E436" s="4">
        <v>34</v>
      </c>
      <c r="F436" s="5">
        <v>44386</v>
      </c>
      <c r="G436" s="5">
        <v>44393</v>
      </c>
      <c r="H436" s="5">
        <v>44394</v>
      </c>
      <c r="I436" s="4">
        <v>40</v>
      </c>
      <c r="J436" s="4" t="s">
        <v>198</v>
      </c>
      <c r="K436" s="5" t="str">
        <f>VLOOKUP(표5[[#This Row],[종목]],표2[],2,FALSE)</f>
        <v>워드프로세서</v>
      </c>
    </row>
    <row r="437" spans="1:11" x14ac:dyDescent="0.3">
      <c r="A437" s="4">
        <v>436</v>
      </c>
      <c r="B437" s="4">
        <v>28</v>
      </c>
      <c r="C437" s="4">
        <v>1</v>
      </c>
      <c r="D437" s="4">
        <v>120</v>
      </c>
      <c r="E437" s="4">
        <v>34</v>
      </c>
      <c r="F437" s="5">
        <v>44386</v>
      </c>
      <c r="G437" s="5">
        <v>44393</v>
      </c>
      <c r="H437" s="5">
        <v>44394</v>
      </c>
      <c r="I437" s="4">
        <v>20</v>
      </c>
      <c r="J437" s="4" t="s">
        <v>198</v>
      </c>
      <c r="K437" s="5" t="str">
        <f>VLOOKUP(표5[[#This Row],[종목]],표2[],2,FALSE)</f>
        <v>워드프로세서</v>
      </c>
    </row>
    <row r="438" spans="1:11" x14ac:dyDescent="0.3">
      <c r="A438" s="4">
        <v>437</v>
      </c>
      <c r="B438" s="4">
        <v>14</v>
      </c>
      <c r="C438" s="4">
        <v>1</v>
      </c>
      <c r="D438" s="4">
        <v>46</v>
      </c>
      <c r="E438" s="4">
        <v>17</v>
      </c>
      <c r="F438" s="5">
        <v>44368</v>
      </c>
      <c r="G438" s="5">
        <v>44375</v>
      </c>
      <c r="H438" s="5">
        <v>44376</v>
      </c>
      <c r="I438" s="4">
        <v>30</v>
      </c>
      <c r="J438" s="4" t="s">
        <v>198</v>
      </c>
      <c r="K438" s="5" t="str">
        <f>VLOOKUP(표5[[#This Row],[종목]],표2[],2,FALSE)</f>
        <v>워드프로세서</v>
      </c>
    </row>
    <row r="439" spans="1:11" x14ac:dyDescent="0.3">
      <c r="A439" s="4">
        <v>438</v>
      </c>
      <c r="B439" s="4">
        <v>19</v>
      </c>
      <c r="C439" s="4">
        <v>1</v>
      </c>
      <c r="D439" s="4">
        <v>120</v>
      </c>
      <c r="E439" s="4">
        <v>34</v>
      </c>
      <c r="F439" s="5">
        <v>44386</v>
      </c>
      <c r="G439" s="5">
        <v>44393</v>
      </c>
      <c r="H439" s="5">
        <v>44394</v>
      </c>
      <c r="I439" s="4">
        <v>30</v>
      </c>
      <c r="J439" s="4" t="s">
        <v>198</v>
      </c>
      <c r="K439" s="5" t="str">
        <f>VLOOKUP(표5[[#This Row],[종목]],표2[],2,FALSE)</f>
        <v>워드프로세서</v>
      </c>
    </row>
    <row r="440" spans="1:11" x14ac:dyDescent="0.3">
      <c r="A440" s="4">
        <v>439</v>
      </c>
      <c r="B440" s="4">
        <v>11</v>
      </c>
      <c r="C440" s="4">
        <v>1</v>
      </c>
      <c r="D440" s="4">
        <v>120</v>
      </c>
      <c r="E440" s="4">
        <v>34</v>
      </c>
      <c r="F440" s="5">
        <v>44386</v>
      </c>
      <c r="G440" s="5">
        <v>44393</v>
      </c>
      <c r="H440" s="5">
        <v>44394</v>
      </c>
      <c r="I440" s="4">
        <v>30</v>
      </c>
      <c r="J440" s="4" t="s">
        <v>198</v>
      </c>
      <c r="K440" s="5" t="str">
        <f>VLOOKUP(표5[[#This Row],[종목]],표2[],2,FALSE)</f>
        <v>워드프로세서</v>
      </c>
    </row>
    <row r="441" spans="1:11" x14ac:dyDescent="0.3">
      <c r="A441" s="4">
        <v>440</v>
      </c>
      <c r="B441" s="4">
        <v>8</v>
      </c>
      <c r="C441" s="4">
        <v>1</v>
      </c>
      <c r="D441" s="4">
        <v>120</v>
      </c>
      <c r="E441" s="4">
        <v>34</v>
      </c>
      <c r="F441" s="5">
        <v>44386</v>
      </c>
      <c r="G441" s="5">
        <v>44393</v>
      </c>
      <c r="H441" s="5">
        <v>44394</v>
      </c>
      <c r="I441" s="4">
        <v>20</v>
      </c>
      <c r="J441" s="4" t="s">
        <v>198</v>
      </c>
      <c r="K441" s="5" t="str">
        <f>VLOOKUP(표5[[#This Row],[종목]],표2[],2,FALSE)</f>
        <v>워드프로세서</v>
      </c>
    </row>
    <row r="442" spans="1:11" x14ac:dyDescent="0.3">
      <c r="A442" s="4">
        <v>441</v>
      </c>
      <c r="B442" s="4">
        <v>21</v>
      </c>
      <c r="C442" s="4">
        <v>1</v>
      </c>
      <c r="D442" s="4">
        <v>120</v>
      </c>
      <c r="E442" s="4">
        <v>34</v>
      </c>
      <c r="F442" s="5">
        <v>44386</v>
      </c>
      <c r="G442" s="5">
        <v>44393</v>
      </c>
      <c r="H442" s="5">
        <v>44394</v>
      </c>
      <c r="I442" s="4">
        <v>40</v>
      </c>
      <c r="J442" s="4" t="s">
        <v>198</v>
      </c>
      <c r="K442" s="5" t="str">
        <f>VLOOKUP(표5[[#This Row],[종목]],표2[],2,FALSE)</f>
        <v>워드프로세서</v>
      </c>
    </row>
    <row r="443" spans="1:11" x14ac:dyDescent="0.3">
      <c r="A443" s="4">
        <v>442</v>
      </c>
      <c r="B443" s="4">
        <v>12</v>
      </c>
      <c r="C443" s="4">
        <v>1</v>
      </c>
      <c r="D443" s="4">
        <v>121</v>
      </c>
      <c r="E443" s="4">
        <v>35</v>
      </c>
      <c r="F443" s="5">
        <v>44387</v>
      </c>
      <c r="G443" s="5">
        <v>44394</v>
      </c>
      <c r="H443" s="5">
        <v>44395</v>
      </c>
      <c r="I443" s="4">
        <v>30</v>
      </c>
      <c r="J443" s="4" t="s">
        <v>198</v>
      </c>
      <c r="K443" s="5" t="str">
        <f>VLOOKUP(표5[[#This Row],[종목]],표2[],2,FALSE)</f>
        <v>워드프로세서</v>
      </c>
    </row>
    <row r="444" spans="1:11" x14ac:dyDescent="0.3">
      <c r="A444" s="4">
        <v>443</v>
      </c>
      <c r="B444" s="4">
        <v>16</v>
      </c>
      <c r="C444" s="4">
        <v>1</v>
      </c>
      <c r="D444" s="4">
        <v>121</v>
      </c>
      <c r="E444" s="4">
        <v>35</v>
      </c>
      <c r="F444" s="5">
        <v>44387</v>
      </c>
      <c r="G444" s="5">
        <v>44394</v>
      </c>
      <c r="H444" s="5">
        <v>44395</v>
      </c>
      <c r="I444" s="4">
        <v>10</v>
      </c>
      <c r="J444" s="4" t="s">
        <v>198</v>
      </c>
      <c r="K444" s="5" t="str">
        <f>VLOOKUP(표5[[#This Row],[종목]],표2[],2,FALSE)</f>
        <v>워드프로세서</v>
      </c>
    </row>
    <row r="445" spans="1:11" x14ac:dyDescent="0.3">
      <c r="A445" s="4">
        <v>444</v>
      </c>
      <c r="B445" s="4">
        <v>27</v>
      </c>
      <c r="C445" s="4">
        <v>1</v>
      </c>
      <c r="D445" s="4">
        <v>121</v>
      </c>
      <c r="E445" s="4">
        <v>35</v>
      </c>
      <c r="F445" s="5">
        <v>44387</v>
      </c>
      <c r="G445" s="5">
        <v>44394</v>
      </c>
      <c r="H445" s="5">
        <v>44395</v>
      </c>
      <c r="I445" s="4">
        <v>20</v>
      </c>
      <c r="J445" s="4" t="s">
        <v>198</v>
      </c>
      <c r="K445" s="5" t="str">
        <f>VLOOKUP(표5[[#This Row],[종목]],표2[],2,FALSE)</f>
        <v>워드프로세서</v>
      </c>
    </row>
    <row r="446" spans="1:11" x14ac:dyDescent="0.3">
      <c r="A446" s="4">
        <v>445</v>
      </c>
      <c r="B446" s="4">
        <v>4</v>
      </c>
      <c r="C446" s="4">
        <v>1</v>
      </c>
      <c r="D446" s="4">
        <v>121</v>
      </c>
      <c r="E446" s="4">
        <v>35</v>
      </c>
      <c r="F446" s="5">
        <v>44387</v>
      </c>
      <c r="G446" s="5">
        <v>44394</v>
      </c>
      <c r="H446" s="5">
        <v>44395</v>
      </c>
      <c r="I446" s="4">
        <v>40</v>
      </c>
      <c r="J446" s="4" t="s">
        <v>198</v>
      </c>
      <c r="K446" s="5" t="str">
        <f>VLOOKUP(표5[[#This Row],[종목]],표2[],2,FALSE)</f>
        <v>워드프로세서</v>
      </c>
    </row>
    <row r="447" spans="1:11" x14ac:dyDescent="0.3">
      <c r="A447" s="4">
        <v>446</v>
      </c>
      <c r="B447" s="4">
        <v>20</v>
      </c>
      <c r="C447" s="4">
        <v>1</v>
      </c>
      <c r="D447" s="4">
        <v>121</v>
      </c>
      <c r="E447" s="4">
        <v>35</v>
      </c>
      <c r="F447" s="5">
        <v>44387</v>
      </c>
      <c r="G447" s="5">
        <v>44394</v>
      </c>
      <c r="H447" s="5">
        <v>44395</v>
      </c>
      <c r="I447" s="4">
        <v>50</v>
      </c>
      <c r="J447" s="4" t="s">
        <v>198</v>
      </c>
      <c r="K447" s="5" t="str">
        <f>VLOOKUP(표5[[#This Row],[종목]],표2[],2,FALSE)</f>
        <v>워드프로세서</v>
      </c>
    </row>
    <row r="448" spans="1:11" x14ac:dyDescent="0.3">
      <c r="A448" s="4">
        <v>447</v>
      </c>
      <c r="B448" s="4">
        <v>6</v>
      </c>
      <c r="C448" s="4">
        <v>1</v>
      </c>
      <c r="D448" s="4">
        <v>121</v>
      </c>
      <c r="E448" s="4">
        <v>35</v>
      </c>
      <c r="F448" s="5">
        <v>44387</v>
      </c>
      <c r="G448" s="5">
        <v>44394</v>
      </c>
      <c r="H448" s="5">
        <v>44395</v>
      </c>
      <c r="I448" s="4">
        <v>20</v>
      </c>
      <c r="J448" s="4" t="s">
        <v>198</v>
      </c>
      <c r="K448" s="5" t="str">
        <f>VLOOKUP(표5[[#This Row],[종목]],표2[],2,FALSE)</f>
        <v>워드프로세서</v>
      </c>
    </row>
    <row r="449" spans="1:11" x14ac:dyDescent="0.3">
      <c r="A449" s="4">
        <v>448</v>
      </c>
      <c r="B449" s="4">
        <v>8</v>
      </c>
      <c r="C449" s="4">
        <v>1</v>
      </c>
      <c r="D449" s="4">
        <v>121</v>
      </c>
      <c r="E449" s="4">
        <v>35</v>
      </c>
      <c r="F449" s="5">
        <v>44387</v>
      </c>
      <c r="G449" s="5">
        <v>44394</v>
      </c>
      <c r="H449" s="5">
        <v>44395</v>
      </c>
      <c r="I449" s="4">
        <v>40</v>
      </c>
      <c r="J449" s="4" t="s">
        <v>198</v>
      </c>
      <c r="K449" s="5" t="str">
        <f>VLOOKUP(표5[[#This Row],[종목]],표2[],2,FALSE)</f>
        <v>워드프로세서</v>
      </c>
    </row>
    <row r="450" spans="1:11" x14ac:dyDescent="0.3">
      <c r="A450" s="4">
        <v>449</v>
      </c>
      <c r="B450" s="4">
        <v>1</v>
      </c>
      <c r="C450" s="4">
        <v>1</v>
      </c>
      <c r="D450" s="4">
        <v>121</v>
      </c>
      <c r="E450" s="4">
        <v>35</v>
      </c>
      <c r="F450" s="5">
        <v>44387</v>
      </c>
      <c r="G450" s="5">
        <v>44394</v>
      </c>
      <c r="H450" s="5">
        <v>44395</v>
      </c>
      <c r="I450" s="4">
        <v>40</v>
      </c>
      <c r="J450" s="4" t="s">
        <v>198</v>
      </c>
      <c r="K450" s="5" t="str">
        <f>VLOOKUP(표5[[#This Row],[종목]],표2[],2,FALSE)</f>
        <v>워드프로세서</v>
      </c>
    </row>
    <row r="451" spans="1:11" x14ac:dyDescent="0.3">
      <c r="A451" s="4">
        <v>450</v>
      </c>
      <c r="B451" s="4">
        <v>13</v>
      </c>
      <c r="C451" s="4">
        <v>1</v>
      </c>
      <c r="D451" s="4">
        <v>122</v>
      </c>
      <c r="E451" s="4">
        <v>36</v>
      </c>
      <c r="F451" s="5">
        <v>44388</v>
      </c>
      <c r="G451" s="5">
        <v>44395</v>
      </c>
      <c r="H451" s="5">
        <v>44396</v>
      </c>
      <c r="I451" s="4">
        <v>30</v>
      </c>
      <c r="J451" s="4" t="s">
        <v>198</v>
      </c>
      <c r="K451" s="5" t="str">
        <f>VLOOKUP(표5[[#This Row],[종목]],표2[],2,FALSE)</f>
        <v>워드프로세서</v>
      </c>
    </row>
    <row r="452" spans="1:11" x14ac:dyDescent="0.3">
      <c r="A452" s="4">
        <v>451</v>
      </c>
      <c r="B452" s="4">
        <v>30</v>
      </c>
      <c r="C452" s="4">
        <v>1</v>
      </c>
      <c r="D452" s="4">
        <v>122</v>
      </c>
      <c r="E452" s="4">
        <v>36</v>
      </c>
      <c r="F452" s="5">
        <v>44388</v>
      </c>
      <c r="G452" s="5">
        <v>44395</v>
      </c>
      <c r="H452" s="5">
        <v>44396</v>
      </c>
      <c r="I452" s="4">
        <v>30</v>
      </c>
      <c r="J452" s="4" t="s">
        <v>198</v>
      </c>
      <c r="K452" s="5" t="str">
        <f>VLOOKUP(표5[[#This Row],[종목]],표2[],2,FALSE)</f>
        <v>워드프로세서</v>
      </c>
    </row>
    <row r="453" spans="1:11" x14ac:dyDescent="0.3">
      <c r="A453" s="4">
        <v>452</v>
      </c>
      <c r="B453" s="4">
        <v>10</v>
      </c>
      <c r="C453" s="4">
        <v>1</v>
      </c>
      <c r="D453" s="4">
        <v>80</v>
      </c>
      <c r="E453" s="4">
        <v>26</v>
      </c>
      <c r="F453" s="5">
        <v>44380</v>
      </c>
      <c r="G453" s="5">
        <v>44387</v>
      </c>
      <c r="H453" s="5">
        <v>44388</v>
      </c>
      <c r="I453" s="4">
        <v>50</v>
      </c>
      <c r="J453" s="4" t="s">
        <v>198</v>
      </c>
      <c r="K453" s="5" t="str">
        <f>VLOOKUP(표5[[#This Row],[종목]],표2[],2,FALSE)</f>
        <v>워드프로세서</v>
      </c>
    </row>
    <row r="454" spans="1:11" x14ac:dyDescent="0.3">
      <c r="A454" s="4">
        <v>453</v>
      </c>
      <c r="B454" s="4">
        <v>11</v>
      </c>
      <c r="C454" s="4">
        <v>1</v>
      </c>
      <c r="D454" s="4">
        <v>79</v>
      </c>
      <c r="E454" s="4">
        <v>25</v>
      </c>
      <c r="F454" s="5">
        <v>44380</v>
      </c>
      <c r="G454" s="5">
        <v>44387</v>
      </c>
      <c r="H454" s="5">
        <v>44388</v>
      </c>
      <c r="I454" s="4">
        <v>0</v>
      </c>
      <c r="J454" s="4" t="s">
        <v>198</v>
      </c>
      <c r="K454" s="5" t="str">
        <f>VLOOKUP(표5[[#This Row],[종목]],표2[],2,FALSE)</f>
        <v>워드프로세서</v>
      </c>
    </row>
    <row r="455" spans="1:11" x14ac:dyDescent="0.3">
      <c r="A455" s="4">
        <v>454</v>
      </c>
      <c r="B455" s="4">
        <v>4</v>
      </c>
      <c r="C455" s="4">
        <v>1</v>
      </c>
      <c r="D455" s="4">
        <v>122</v>
      </c>
      <c r="E455" s="4">
        <v>36</v>
      </c>
      <c r="F455" s="5">
        <v>44388</v>
      </c>
      <c r="G455" s="5">
        <v>44395</v>
      </c>
      <c r="H455" s="5">
        <v>44396</v>
      </c>
      <c r="I455" s="4">
        <v>50</v>
      </c>
      <c r="J455" s="4" t="s">
        <v>198</v>
      </c>
      <c r="K455" s="5" t="str">
        <f>VLOOKUP(표5[[#This Row],[종목]],표2[],2,FALSE)</f>
        <v>워드프로세서</v>
      </c>
    </row>
    <row r="456" spans="1:11" x14ac:dyDescent="0.3">
      <c r="A456" s="4">
        <v>455</v>
      </c>
      <c r="B456" s="4">
        <v>16</v>
      </c>
      <c r="C456" s="4">
        <v>1</v>
      </c>
      <c r="D456" s="4">
        <v>49</v>
      </c>
      <c r="E456" s="4">
        <v>18</v>
      </c>
      <c r="F456" s="5">
        <v>44371</v>
      </c>
      <c r="G456" s="5">
        <v>44378</v>
      </c>
      <c r="H456" s="5">
        <v>44379</v>
      </c>
      <c r="I456" s="4">
        <v>0</v>
      </c>
      <c r="J456" s="4" t="s">
        <v>198</v>
      </c>
      <c r="K456" s="5" t="str">
        <f>VLOOKUP(표5[[#This Row],[종목]],표2[],2,FALSE)</f>
        <v>워드프로세서</v>
      </c>
    </row>
    <row r="457" spans="1:11" x14ac:dyDescent="0.3">
      <c r="A457" s="4">
        <v>456</v>
      </c>
      <c r="B457" s="4">
        <v>14</v>
      </c>
      <c r="C457" s="4">
        <v>1</v>
      </c>
      <c r="D457" s="4">
        <v>137</v>
      </c>
      <c r="E457" s="4">
        <v>37</v>
      </c>
      <c r="F457" s="5">
        <v>44389</v>
      </c>
      <c r="G457" s="5">
        <v>44396</v>
      </c>
      <c r="H457" s="5">
        <v>44397</v>
      </c>
      <c r="I457" s="4">
        <v>20</v>
      </c>
      <c r="J457" s="4" t="s">
        <v>198</v>
      </c>
      <c r="K457" s="5" t="str">
        <f>VLOOKUP(표5[[#This Row],[종목]],표2[],2,FALSE)</f>
        <v>워드프로세서</v>
      </c>
    </row>
    <row r="458" spans="1:11" x14ac:dyDescent="0.3">
      <c r="A458" s="4">
        <v>457</v>
      </c>
      <c r="B458" s="4">
        <v>3</v>
      </c>
      <c r="C458" s="4">
        <v>1</v>
      </c>
      <c r="D458" s="4">
        <v>137</v>
      </c>
      <c r="E458" s="4">
        <v>37</v>
      </c>
      <c r="F458" s="5">
        <v>44389</v>
      </c>
      <c r="G458" s="5">
        <v>44396</v>
      </c>
      <c r="H458" s="5">
        <v>44397</v>
      </c>
      <c r="I458" s="4">
        <v>50</v>
      </c>
      <c r="J458" s="4" t="s">
        <v>198</v>
      </c>
      <c r="K458" s="5" t="str">
        <f>VLOOKUP(표5[[#This Row],[종목]],표2[],2,FALSE)</f>
        <v>워드프로세서</v>
      </c>
    </row>
    <row r="459" spans="1:11" x14ac:dyDescent="0.3">
      <c r="A459" s="4">
        <v>458</v>
      </c>
      <c r="B459" s="4">
        <v>29</v>
      </c>
      <c r="C459" s="4">
        <v>1</v>
      </c>
      <c r="D459" s="4">
        <v>137</v>
      </c>
      <c r="E459" s="4">
        <v>37</v>
      </c>
      <c r="F459" s="5">
        <v>44389</v>
      </c>
      <c r="G459" s="5">
        <v>44396</v>
      </c>
      <c r="H459" s="5">
        <v>44397</v>
      </c>
      <c r="I459" s="4">
        <v>0</v>
      </c>
      <c r="J459" s="4" t="s">
        <v>198</v>
      </c>
      <c r="K459" s="5" t="str">
        <f>VLOOKUP(표5[[#This Row],[종목]],표2[],2,FALSE)</f>
        <v>워드프로세서</v>
      </c>
    </row>
    <row r="460" spans="1:11" x14ac:dyDescent="0.3">
      <c r="A460" s="4">
        <v>153</v>
      </c>
      <c r="B460" s="4">
        <v>5</v>
      </c>
      <c r="C460" s="4">
        <v>1</v>
      </c>
      <c r="D460" s="4">
        <v>151</v>
      </c>
      <c r="E460" s="4">
        <v>39</v>
      </c>
      <c r="F460" s="5">
        <v>44389</v>
      </c>
      <c r="G460" s="5">
        <v>44396</v>
      </c>
      <c r="H460" s="5">
        <v>44397</v>
      </c>
      <c r="I460" s="4">
        <v>70</v>
      </c>
      <c r="J460" s="4" t="s">
        <v>199</v>
      </c>
      <c r="K460" s="5" t="str">
        <f>VLOOKUP(표5[[#This Row],[종목]],표2[],2,FALSE)</f>
        <v>워드프로세서</v>
      </c>
    </row>
    <row r="461" spans="1:11" x14ac:dyDescent="0.3">
      <c r="A461" s="4">
        <v>460</v>
      </c>
      <c r="B461" s="4">
        <v>12</v>
      </c>
      <c r="C461" s="4">
        <v>1</v>
      </c>
      <c r="D461" s="4">
        <v>80</v>
      </c>
      <c r="E461" s="4">
        <v>26</v>
      </c>
      <c r="F461" s="5">
        <v>44380</v>
      </c>
      <c r="G461" s="5">
        <v>44387</v>
      </c>
      <c r="H461" s="5">
        <v>44388</v>
      </c>
      <c r="I461" s="4">
        <v>0</v>
      </c>
      <c r="J461" s="4" t="s">
        <v>198</v>
      </c>
      <c r="K461" s="5" t="str">
        <f>VLOOKUP(표5[[#This Row],[종목]],표2[],2,FALSE)</f>
        <v>워드프로세서</v>
      </c>
    </row>
    <row r="462" spans="1:11" x14ac:dyDescent="0.3">
      <c r="A462" s="4">
        <v>461</v>
      </c>
      <c r="B462" s="4">
        <v>8</v>
      </c>
      <c r="C462" s="4">
        <v>1</v>
      </c>
      <c r="D462" s="4">
        <v>137</v>
      </c>
      <c r="E462" s="4">
        <v>37</v>
      </c>
      <c r="F462" s="5">
        <v>44389</v>
      </c>
      <c r="G462" s="5">
        <v>44396</v>
      </c>
      <c r="H462" s="5">
        <v>44397</v>
      </c>
      <c r="I462" s="4">
        <v>50</v>
      </c>
      <c r="J462" s="4" t="s">
        <v>198</v>
      </c>
      <c r="K462" s="5" t="str">
        <f>VLOOKUP(표5[[#This Row],[종목]],표2[],2,FALSE)</f>
        <v>워드프로세서</v>
      </c>
    </row>
    <row r="463" spans="1:11" x14ac:dyDescent="0.3">
      <c r="A463" s="4">
        <v>462</v>
      </c>
      <c r="B463" s="4">
        <v>17</v>
      </c>
      <c r="C463" s="4">
        <v>1</v>
      </c>
      <c r="D463" s="4">
        <v>137</v>
      </c>
      <c r="E463" s="4">
        <v>37</v>
      </c>
      <c r="F463" s="5">
        <v>44389</v>
      </c>
      <c r="G463" s="5">
        <v>44396</v>
      </c>
      <c r="H463" s="5">
        <v>44397</v>
      </c>
      <c r="I463" s="4">
        <v>80</v>
      </c>
      <c r="J463" s="4" t="s">
        <v>199</v>
      </c>
      <c r="K463" s="5" t="str">
        <f>VLOOKUP(표5[[#This Row],[종목]],표2[],2,FALSE)</f>
        <v>워드프로세서</v>
      </c>
    </row>
    <row r="464" spans="1:11" x14ac:dyDescent="0.3">
      <c r="A464" s="4">
        <v>463</v>
      </c>
      <c r="B464" s="4">
        <v>18</v>
      </c>
      <c r="C464" s="4">
        <v>1</v>
      </c>
      <c r="D464" s="4">
        <v>65</v>
      </c>
      <c r="E464" s="4">
        <v>20</v>
      </c>
      <c r="F464" s="5">
        <v>44372</v>
      </c>
      <c r="G464" s="5">
        <v>44379</v>
      </c>
      <c r="H464" s="5">
        <v>44380</v>
      </c>
      <c r="I464" s="4">
        <v>20</v>
      </c>
      <c r="J464" s="4" t="s">
        <v>198</v>
      </c>
      <c r="K464" s="5" t="str">
        <f>VLOOKUP(표5[[#This Row],[종목]],표2[],2,FALSE)</f>
        <v>워드프로세서</v>
      </c>
    </row>
    <row r="465" spans="1:11" x14ac:dyDescent="0.3">
      <c r="A465" s="4">
        <v>464</v>
      </c>
      <c r="B465" s="4">
        <v>12</v>
      </c>
      <c r="C465" s="4">
        <v>1</v>
      </c>
      <c r="D465" s="4">
        <v>150</v>
      </c>
      <c r="E465" s="4">
        <v>38</v>
      </c>
      <c r="F465" s="5">
        <v>44389</v>
      </c>
      <c r="G465" s="5">
        <v>44396</v>
      </c>
      <c r="H465" s="5">
        <v>44397</v>
      </c>
      <c r="I465" s="4">
        <v>50</v>
      </c>
      <c r="J465" s="4" t="s">
        <v>198</v>
      </c>
      <c r="K465" s="5" t="str">
        <f>VLOOKUP(표5[[#This Row],[종목]],표2[],2,FALSE)</f>
        <v>워드프로세서</v>
      </c>
    </row>
    <row r="466" spans="1:11" x14ac:dyDescent="0.3">
      <c r="A466" s="4">
        <v>465</v>
      </c>
      <c r="B466" s="4">
        <v>15</v>
      </c>
      <c r="C466" s="4">
        <v>1</v>
      </c>
      <c r="D466" s="4">
        <v>150</v>
      </c>
      <c r="E466" s="4">
        <v>38</v>
      </c>
      <c r="F466" s="5">
        <v>44389</v>
      </c>
      <c r="G466" s="5">
        <v>44396</v>
      </c>
      <c r="H466" s="5">
        <v>44397</v>
      </c>
      <c r="I466" s="4">
        <v>0</v>
      </c>
      <c r="J466" s="4" t="s">
        <v>198</v>
      </c>
      <c r="K466" s="5" t="str">
        <f>VLOOKUP(표5[[#This Row],[종목]],표2[],2,FALSE)</f>
        <v>워드프로세서</v>
      </c>
    </row>
    <row r="467" spans="1:11" x14ac:dyDescent="0.3">
      <c r="A467" s="4">
        <v>466</v>
      </c>
      <c r="B467" s="4">
        <v>28</v>
      </c>
      <c r="C467" s="4">
        <v>1</v>
      </c>
      <c r="D467" s="4">
        <v>150</v>
      </c>
      <c r="E467" s="4">
        <v>38</v>
      </c>
      <c r="F467" s="5">
        <v>44389</v>
      </c>
      <c r="G467" s="5">
        <v>44396</v>
      </c>
      <c r="H467" s="5">
        <v>44397</v>
      </c>
      <c r="I467" s="4">
        <v>10</v>
      </c>
      <c r="J467" s="4" t="s">
        <v>198</v>
      </c>
      <c r="K467" s="5" t="str">
        <f>VLOOKUP(표5[[#This Row],[종목]],표2[],2,FALSE)</f>
        <v>워드프로세서</v>
      </c>
    </row>
    <row r="468" spans="1:11" x14ac:dyDescent="0.3">
      <c r="A468" s="4">
        <v>467</v>
      </c>
      <c r="B468" s="4">
        <v>18</v>
      </c>
      <c r="C468" s="4">
        <v>1</v>
      </c>
      <c r="D468" s="4">
        <v>150</v>
      </c>
      <c r="E468" s="4">
        <v>38</v>
      </c>
      <c r="F468" s="5">
        <v>44389</v>
      </c>
      <c r="G468" s="5">
        <v>44396</v>
      </c>
      <c r="H468" s="5">
        <v>44397</v>
      </c>
      <c r="I468" s="4">
        <v>100</v>
      </c>
      <c r="J468" s="4" t="s">
        <v>199</v>
      </c>
      <c r="K468" s="5" t="str">
        <f>VLOOKUP(표5[[#This Row],[종목]],표2[],2,FALSE)</f>
        <v>워드프로세서</v>
      </c>
    </row>
    <row r="469" spans="1:11" x14ac:dyDescent="0.3">
      <c r="A469" s="4">
        <v>468</v>
      </c>
      <c r="B469" s="4">
        <v>6</v>
      </c>
      <c r="C469" s="4">
        <v>1</v>
      </c>
      <c r="D469" s="4">
        <v>150</v>
      </c>
      <c r="E469" s="4">
        <v>38</v>
      </c>
      <c r="F469" s="5">
        <v>44389</v>
      </c>
      <c r="G469" s="5">
        <v>44396</v>
      </c>
      <c r="H469" s="5">
        <v>44397</v>
      </c>
      <c r="I469" s="4">
        <v>30</v>
      </c>
      <c r="J469" s="4" t="s">
        <v>198</v>
      </c>
      <c r="K469" s="5" t="str">
        <f>VLOOKUP(표5[[#This Row],[종목]],표2[],2,FALSE)</f>
        <v>워드프로세서</v>
      </c>
    </row>
    <row r="470" spans="1:11" x14ac:dyDescent="0.3">
      <c r="A470" s="4">
        <v>469</v>
      </c>
      <c r="B470" s="4">
        <v>19</v>
      </c>
      <c r="C470" s="4">
        <v>1</v>
      </c>
      <c r="D470" s="4">
        <v>122</v>
      </c>
      <c r="E470" s="4">
        <v>36</v>
      </c>
      <c r="F470" s="5">
        <v>44388</v>
      </c>
      <c r="G470" s="5">
        <v>44395</v>
      </c>
      <c r="H470" s="5">
        <v>44396</v>
      </c>
      <c r="I470" s="4">
        <v>90</v>
      </c>
      <c r="J470" s="4" t="s">
        <v>199</v>
      </c>
      <c r="K470" s="5" t="str">
        <f>VLOOKUP(표5[[#This Row],[종목]],표2[],2,FALSE)</f>
        <v>워드프로세서</v>
      </c>
    </row>
    <row r="471" spans="1:11" x14ac:dyDescent="0.3">
      <c r="A471" s="4">
        <v>470</v>
      </c>
      <c r="B471" s="4">
        <v>20</v>
      </c>
      <c r="C471" s="4">
        <v>1</v>
      </c>
      <c r="D471" s="4">
        <v>49</v>
      </c>
      <c r="E471" s="4">
        <v>18</v>
      </c>
      <c r="F471" s="5">
        <v>44371</v>
      </c>
      <c r="G471" s="5">
        <v>44378</v>
      </c>
      <c r="H471" s="5">
        <v>44379</v>
      </c>
      <c r="I471" s="4">
        <v>0</v>
      </c>
      <c r="J471" s="4" t="s">
        <v>198</v>
      </c>
      <c r="K471" s="5" t="str">
        <f>VLOOKUP(표5[[#This Row],[종목]],표2[],2,FALSE)</f>
        <v>워드프로세서</v>
      </c>
    </row>
    <row r="472" spans="1:11" x14ac:dyDescent="0.3">
      <c r="A472" s="4">
        <v>471</v>
      </c>
      <c r="B472" s="4">
        <v>20</v>
      </c>
      <c r="C472" s="4">
        <v>1</v>
      </c>
      <c r="D472" s="4">
        <v>137</v>
      </c>
      <c r="E472" s="4">
        <v>37</v>
      </c>
      <c r="F472" s="5">
        <v>44389</v>
      </c>
      <c r="G472" s="5">
        <v>44396</v>
      </c>
      <c r="H472" s="5">
        <v>44397</v>
      </c>
      <c r="I472" s="4">
        <v>50</v>
      </c>
      <c r="J472" s="4" t="s">
        <v>198</v>
      </c>
      <c r="K472" s="5" t="str">
        <f>VLOOKUP(표5[[#This Row],[종목]],표2[],2,FALSE)</f>
        <v>워드프로세서</v>
      </c>
    </row>
    <row r="473" spans="1:11" x14ac:dyDescent="0.3">
      <c r="A473" s="4">
        <v>472</v>
      </c>
      <c r="B473" s="4">
        <v>21</v>
      </c>
      <c r="C473" s="4">
        <v>1</v>
      </c>
      <c r="D473" s="4">
        <v>43</v>
      </c>
      <c r="E473" s="4">
        <v>16</v>
      </c>
      <c r="F473" s="5">
        <v>44368</v>
      </c>
      <c r="G473" s="5">
        <v>44375</v>
      </c>
      <c r="H473" s="5">
        <v>44376</v>
      </c>
      <c r="I473" s="4">
        <v>50</v>
      </c>
      <c r="J473" s="4" t="s">
        <v>198</v>
      </c>
      <c r="K473" s="5" t="str">
        <f>VLOOKUP(표5[[#This Row],[종목]],표2[],2,FALSE)</f>
        <v>워드프로세서</v>
      </c>
    </row>
    <row r="474" spans="1:11" x14ac:dyDescent="0.3">
      <c r="A474" s="4">
        <v>473</v>
      </c>
      <c r="B474" s="4">
        <v>21</v>
      </c>
      <c r="C474" s="4">
        <v>1</v>
      </c>
      <c r="D474" s="4">
        <v>151</v>
      </c>
      <c r="E474" s="4">
        <v>39</v>
      </c>
      <c r="F474" s="5">
        <v>44389</v>
      </c>
      <c r="G474" s="5">
        <v>44396</v>
      </c>
      <c r="H474" s="5">
        <v>44397</v>
      </c>
      <c r="I474" s="4">
        <v>40</v>
      </c>
      <c r="J474" s="4" t="s">
        <v>198</v>
      </c>
      <c r="K474" s="5" t="str">
        <f>VLOOKUP(표5[[#This Row],[종목]],표2[],2,FALSE)</f>
        <v>워드프로세서</v>
      </c>
    </row>
    <row r="475" spans="1:11" x14ac:dyDescent="0.3">
      <c r="A475" s="4">
        <v>474</v>
      </c>
      <c r="B475" s="4">
        <v>22</v>
      </c>
      <c r="C475" s="4">
        <v>1</v>
      </c>
      <c r="D475" s="4">
        <v>49</v>
      </c>
      <c r="E475" s="4">
        <v>18</v>
      </c>
      <c r="F475" s="5">
        <v>44371</v>
      </c>
      <c r="G475" s="5">
        <v>44378</v>
      </c>
      <c r="H475" s="5">
        <v>44379</v>
      </c>
      <c r="I475" s="4">
        <v>0</v>
      </c>
      <c r="J475" s="4" t="s">
        <v>198</v>
      </c>
      <c r="K475" s="5" t="str">
        <f>VLOOKUP(표5[[#This Row],[종목]],표2[],2,FALSE)</f>
        <v>워드프로세서</v>
      </c>
    </row>
    <row r="476" spans="1:11" x14ac:dyDescent="0.3">
      <c r="A476" s="4">
        <v>475</v>
      </c>
      <c r="B476" s="4">
        <v>22</v>
      </c>
      <c r="C476" s="4">
        <v>1</v>
      </c>
      <c r="D476" s="4">
        <v>151</v>
      </c>
      <c r="E476" s="4">
        <v>39</v>
      </c>
      <c r="F476" s="5">
        <v>44389</v>
      </c>
      <c r="G476" s="5">
        <v>44396</v>
      </c>
      <c r="H476" s="5">
        <v>44397</v>
      </c>
      <c r="I476" s="4">
        <v>80</v>
      </c>
      <c r="J476" s="4" t="s">
        <v>199</v>
      </c>
      <c r="K476" s="5" t="str">
        <f>VLOOKUP(표5[[#This Row],[종목]],표2[],2,FALSE)</f>
        <v>워드프로세서</v>
      </c>
    </row>
    <row r="477" spans="1:11" x14ac:dyDescent="0.3">
      <c r="A477" s="4">
        <v>476</v>
      </c>
      <c r="B477" s="4">
        <v>23</v>
      </c>
      <c r="C477" s="4">
        <v>1</v>
      </c>
      <c r="D477" s="4">
        <v>151</v>
      </c>
      <c r="E477" s="4">
        <v>39</v>
      </c>
      <c r="F477" s="5">
        <v>44389</v>
      </c>
      <c r="G477" s="5">
        <v>44396</v>
      </c>
      <c r="H477" s="5">
        <v>44397</v>
      </c>
      <c r="I477" s="4">
        <v>70</v>
      </c>
      <c r="J477" s="4" t="s">
        <v>199</v>
      </c>
      <c r="K477" s="5" t="str">
        <f>VLOOKUP(표5[[#This Row],[종목]],표2[],2,FALSE)</f>
        <v>워드프로세서</v>
      </c>
    </row>
    <row r="478" spans="1:11" x14ac:dyDescent="0.3">
      <c r="A478" s="4">
        <v>477</v>
      </c>
      <c r="B478" s="4">
        <v>24</v>
      </c>
      <c r="C478" s="4">
        <v>1</v>
      </c>
      <c r="D478" s="4">
        <v>120</v>
      </c>
      <c r="E478" s="4">
        <v>34</v>
      </c>
      <c r="F478" s="5">
        <v>44386</v>
      </c>
      <c r="G478" s="5">
        <v>44393</v>
      </c>
      <c r="H478" s="5">
        <v>44394</v>
      </c>
      <c r="I478" s="4">
        <v>10</v>
      </c>
      <c r="J478" s="4" t="s">
        <v>198</v>
      </c>
      <c r="K478" s="5" t="str">
        <f>VLOOKUP(표5[[#This Row],[종목]],표2[],2,FALSE)</f>
        <v>워드프로세서</v>
      </c>
    </row>
    <row r="479" spans="1:11" x14ac:dyDescent="0.3">
      <c r="A479" s="4">
        <v>478</v>
      </c>
      <c r="B479" s="4">
        <v>24</v>
      </c>
      <c r="C479" s="4">
        <v>1</v>
      </c>
      <c r="D479" s="4">
        <v>151</v>
      </c>
      <c r="E479" s="4">
        <v>39</v>
      </c>
      <c r="F479" s="5">
        <v>44389</v>
      </c>
      <c r="G479" s="5">
        <v>44396</v>
      </c>
      <c r="H479" s="5">
        <v>44397</v>
      </c>
      <c r="I479" s="4">
        <v>20</v>
      </c>
      <c r="J479" s="4" t="s">
        <v>198</v>
      </c>
      <c r="K479" s="5" t="str">
        <f>VLOOKUP(표5[[#This Row],[종목]],표2[],2,FALSE)</f>
        <v>워드프로세서</v>
      </c>
    </row>
    <row r="480" spans="1:11" x14ac:dyDescent="0.3">
      <c r="A480" s="4">
        <v>479</v>
      </c>
      <c r="B480" s="4">
        <v>25</v>
      </c>
      <c r="C480" s="4">
        <v>1</v>
      </c>
      <c r="D480" s="4">
        <v>151</v>
      </c>
      <c r="E480" s="4">
        <v>39</v>
      </c>
      <c r="F480" s="5">
        <v>44389</v>
      </c>
      <c r="G480" s="5">
        <v>44396</v>
      </c>
      <c r="H480" s="5">
        <v>44397</v>
      </c>
      <c r="I480" s="4">
        <v>70</v>
      </c>
      <c r="J480" s="4" t="s">
        <v>199</v>
      </c>
      <c r="K480" s="5" t="str">
        <f>VLOOKUP(표5[[#This Row],[종목]],표2[],2,FALSE)</f>
        <v>워드프로세서</v>
      </c>
    </row>
    <row r="481" spans="1:11" x14ac:dyDescent="0.3">
      <c r="A481" s="4">
        <v>480</v>
      </c>
      <c r="B481" s="4">
        <v>28</v>
      </c>
      <c r="C481" s="4">
        <v>1</v>
      </c>
      <c r="D481" s="4">
        <v>137</v>
      </c>
      <c r="E481" s="4">
        <v>37</v>
      </c>
      <c r="F481" s="5">
        <v>44389</v>
      </c>
      <c r="G481" s="5">
        <v>44396</v>
      </c>
      <c r="H481" s="5">
        <v>44397</v>
      </c>
      <c r="I481" s="4">
        <v>60</v>
      </c>
      <c r="J481" s="4" t="s">
        <v>199</v>
      </c>
      <c r="K481" s="5" t="str">
        <f>VLOOKUP(표5[[#This Row],[종목]],표2[],2,FALSE)</f>
        <v>워드프로세서</v>
      </c>
    </row>
    <row r="482" spans="1:11" x14ac:dyDescent="0.3">
      <c r="A482" s="4">
        <v>481</v>
      </c>
      <c r="B482" s="4">
        <v>30</v>
      </c>
      <c r="C482" s="4">
        <v>1</v>
      </c>
      <c r="D482" s="4">
        <v>17</v>
      </c>
      <c r="E482" s="4">
        <v>11</v>
      </c>
      <c r="F482" s="5">
        <v>44365</v>
      </c>
      <c r="G482" s="5">
        <v>44372</v>
      </c>
      <c r="H482" s="5">
        <v>44373</v>
      </c>
      <c r="I482" s="4">
        <v>0</v>
      </c>
      <c r="J482" s="4" t="s">
        <v>198</v>
      </c>
      <c r="K482" s="5" t="str">
        <f>VLOOKUP(표5[[#This Row],[종목]],표2[],2,FALSE)</f>
        <v>워드프로세서</v>
      </c>
    </row>
    <row r="483" spans="1:11" x14ac:dyDescent="0.3">
      <c r="A483" s="4">
        <v>482</v>
      </c>
      <c r="B483" s="4">
        <v>15</v>
      </c>
      <c r="C483" s="4">
        <v>1</v>
      </c>
      <c r="D483" s="4">
        <v>137</v>
      </c>
      <c r="E483" s="4">
        <v>37</v>
      </c>
      <c r="F483" s="5">
        <v>44389</v>
      </c>
      <c r="G483" s="5">
        <v>44396</v>
      </c>
      <c r="H483" s="5">
        <v>44397</v>
      </c>
      <c r="I483" s="4">
        <v>40</v>
      </c>
      <c r="J483" s="4" t="s">
        <v>198</v>
      </c>
      <c r="K483" s="5" t="str">
        <f>VLOOKUP(표5[[#This Row],[종목]],표2[],2,FALSE)</f>
        <v>워드프로세서</v>
      </c>
    </row>
    <row r="484" spans="1:11" x14ac:dyDescent="0.3">
      <c r="A484" s="4">
        <v>431</v>
      </c>
      <c r="B484" s="4">
        <v>7</v>
      </c>
      <c r="C484" s="4">
        <v>1</v>
      </c>
      <c r="D484" s="4">
        <v>117</v>
      </c>
      <c r="E484" s="4">
        <v>33</v>
      </c>
      <c r="F484" s="5">
        <v>44384</v>
      </c>
      <c r="G484" s="5">
        <v>44391</v>
      </c>
      <c r="H484" s="5">
        <v>44392</v>
      </c>
      <c r="I484" s="4">
        <v>30</v>
      </c>
      <c r="J484" s="4" t="s">
        <v>198</v>
      </c>
      <c r="K484" s="5" t="str">
        <f>VLOOKUP(표5[[#This Row],[종목]],표2[],2,FALSE)</f>
        <v>워드프로세서</v>
      </c>
    </row>
    <row r="485" spans="1:11" x14ac:dyDescent="0.3">
      <c r="A485" s="4">
        <v>484</v>
      </c>
      <c r="B485" s="4">
        <v>20</v>
      </c>
      <c r="C485" s="4">
        <v>1</v>
      </c>
      <c r="D485" s="4">
        <v>65</v>
      </c>
      <c r="E485" s="4">
        <v>20</v>
      </c>
      <c r="F485" s="5">
        <v>44372</v>
      </c>
      <c r="G485" s="5">
        <v>44379</v>
      </c>
      <c r="H485" s="5">
        <v>44380</v>
      </c>
      <c r="I485" s="4">
        <v>40</v>
      </c>
      <c r="J485" s="4" t="s">
        <v>198</v>
      </c>
      <c r="K485" s="5" t="str">
        <f>VLOOKUP(표5[[#This Row],[종목]],표2[],2,FALSE)</f>
        <v>워드프로세서</v>
      </c>
    </row>
    <row r="486" spans="1:11" x14ac:dyDescent="0.3">
      <c r="A486" s="4">
        <v>485</v>
      </c>
      <c r="B486" s="4">
        <v>24</v>
      </c>
      <c r="C486" s="4">
        <v>1</v>
      </c>
      <c r="D486" s="4">
        <v>65</v>
      </c>
      <c r="E486" s="4">
        <v>20</v>
      </c>
      <c r="F486" s="5">
        <v>44372</v>
      </c>
      <c r="G486" s="5">
        <v>44379</v>
      </c>
      <c r="H486" s="5">
        <v>44380</v>
      </c>
      <c r="I486" s="4">
        <v>30</v>
      </c>
      <c r="J486" s="4" t="s">
        <v>198</v>
      </c>
      <c r="K486" s="5" t="str">
        <f>VLOOKUP(표5[[#This Row],[종목]],표2[],2,FALSE)</f>
        <v>워드프로세서</v>
      </c>
    </row>
    <row r="487" spans="1:11" x14ac:dyDescent="0.3">
      <c r="A487" s="4">
        <v>486</v>
      </c>
      <c r="B487" s="4">
        <v>27</v>
      </c>
      <c r="C487" s="4">
        <v>1</v>
      </c>
      <c r="D487" s="4">
        <v>66</v>
      </c>
      <c r="E487" s="4">
        <v>21</v>
      </c>
      <c r="F487" s="5">
        <v>44373</v>
      </c>
      <c r="G487" s="5">
        <v>44380</v>
      </c>
      <c r="H487" s="5">
        <v>44381</v>
      </c>
      <c r="I487" s="4">
        <v>10</v>
      </c>
      <c r="J487" s="4" t="s">
        <v>198</v>
      </c>
      <c r="K487" s="5" t="str">
        <f>VLOOKUP(표5[[#This Row],[종목]],표2[],2,FALSE)</f>
        <v>워드프로세서</v>
      </c>
    </row>
    <row r="488" spans="1:11" x14ac:dyDescent="0.3">
      <c r="A488" s="4">
        <v>487</v>
      </c>
      <c r="B488" s="4">
        <v>29</v>
      </c>
      <c r="C488" s="4">
        <v>1</v>
      </c>
      <c r="D488" s="4">
        <v>66</v>
      </c>
      <c r="E488" s="4">
        <v>21</v>
      </c>
      <c r="F488" s="5">
        <v>44373</v>
      </c>
      <c r="G488" s="5">
        <v>44380</v>
      </c>
      <c r="H488" s="5">
        <v>44381</v>
      </c>
      <c r="I488" s="4">
        <v>40</v>
      </c>
      <c r="J488" s="4" t="s">
        <v>198</v>
      </c>
      <c r="K488" s="5" t="str">
        <f>VLOOKUP(표5[[#This Row],[종목]],표2[],2,FALSE)</f>
        <v>워드프로세서</v>
      </c>
    </row>
    <row r="489" spans="1:11" x14ac:dyDescent="0.3">
      <c r="A489" s="4">
        <v>488</v>
      </c>
      <c r="B489" s="4">
        <v>21</v>
      </c>
      <c r="C489" s="4">
        <v>1</v>
      </c>
      <c r="D489" s="4">
        <v>66</v>
      </c>
      <c r="E489" s="4">
        <v>21</v>
      </c>
      <c r="F489" s="5">
        <v>44373</v>
      </c>
      <c r="G489" s="5">
        <v>44380</v>
      </c>
      <c r="H489" s="5">
        <v>44381</v>
      </c>
      <c r="I489" s="4">
        <v>30</v>
      </c>
      <c r="J489" s="4" t="s">
        <v>198</v>
      </c>
      <c r="K489" s="5" t="str">
        <f>VLOOKUP(표5[[#This Row],[종목]],표2[],2,FALSE)</f>
        <v>워드프로세서</v>
      </c>
    </row>
    <row r="490" spans="1:11" x14ac:dyDescent="0.3">
      <c r="A490" s="4">
        <v>489</v>
      </c>
      <c r="B490" s="4">
        <v>20</v>
      </c>
      <c r="C490" s="4">
        <v>1</v>
      </c>
      <c r="D490" s="4">
        <v>66</v>
      </c>
      <c r="E490" s="4">
        <v>21</v>
      </c>
      <c r="F490" s="5">
        <v>44373</v>
      </c>
      <c r="G490" s="5">
        <v>44380</v>
      </c>
      <c r="H490" s="5">
        <v>44381</v>
      </c>
      <c r="I490" s="4">
        <v>50</v>
      </c>
      <c r="J490" s="4" t="s">
        <v>198</v>
      </c>
      <c r="K490" s="5" t="str">
        <f>VLOOKUP(표5[[#This Row],[종목]],표2[],2,FALSE)</f>
        <v>워드프로세서</v>
      </c>
    </row>
    <row r="491" spans="1:11" x14ac:dyDescent="0.3">
      <c r="A491" s="4">
        <v>490</v>
      </c>
      <c r="B491" s="4">
        <v>14</v>
      </c>
      <c r="C491" s="4">
        <v>1</v>
      </c>
      <c r="D491" s="4">
        <v>74</v>
      </c>
      <c r="E491" s="4">
        <v>23</v>
      </c>
      <c r="F491" s="5">
        <v>44376</v>
      </c>
      <c r="G491" s="5">
        <v>44383</v>
      </c>
      <c r="H491" s="5">
        <v>44384</v>
      </c>
      <c r="I491" s="4">
        <v>40</v>
      </c>
      <c r="J491" s="4" t="s">
        <v>198</v>
      </c>
      <c r="K491" s="5" t="str">
        <f>VLOOKUP(표5[[#This Row],[종목]],표2[],2,FALSE)</f>
        <v>워드프로세서</v>
      </c>
    </row>
    <row r="492" spans="1:11" x14ac:dyDescent="0.3">
      <c r="A492" s="4">
        <v>491</v>
      </c>
      <c r="B492" s="4">
        <v>15</v>
      </c>
      <c r="C492" s="4">
        <v>1</v>
      </c>
      <c r="D492" s="4">
        <v>74</v>
      </c>
      <c r="E492" s="4">
        <v>23</v>
      </c>
      <c r="F492" s="5">
        <v>44376</v>
      </c>
      <c r="G492" s="5">
        <v>44383</v>
      </c>
      <c r="H492" s="5">
        <v>44384</v>
      </c>
      <c r="I492" s="4">
        <v>10</v>
      </c>
      <c r="J492" s="4" t="s">
        <v>198</v>
      </c>
      <c r="K492" s="5" t="str">
        <f>VLOOKUP(표5[[#This Row],[종목]],표2[],2,FALSE)</f>
        <v>워드프로세서</v>
      </c>
    </row>
    <row r="493" spans="1:11" x14ac:dyDescent="0.3">
      <c r="A493" s="4">
        <v>492</v>
      </c>
      <c r="B493" s="4">
        <v>20</v>
      </c>
      <c r="C493" s="4">
        <v>1</v>
      </c>
      <c r="D493" s="4">
        <v>74</v>
      </c>
      <c r="E493" s="4">
        <v>23</v>
      </c>
      <c r="F493" s="5">
        <v>44376</v>
      </c>
      <c r="G493" s="5">
        <v>44383</v>
      </c>
      <c r="H493" s="5">
        <v>44384</v>
      </c>
      <c r="I493" s="4">
        <v>40</v>
      </c>
      <c r="J493" s="4" t="s">
        <v>198</v>
      </c>
      <c r="K493" s="5" t="str">
        <f>VLOOKUP(표5[[#This Row],[종목]],표2[],2,FALSE)</f>
        <v>워드프로세서</v>
      </c>
    </row>
    <row r="494" spans="1:11" x14ac:dyDescent="0.3">
      <c r="A494" s="4">
        <v>493</v>
      </c>
      <c r="B494" s="4">
        <v>21</v>
      </c>
      <c r="C494" s="4">
        <v>1</v>
      </c>
      <c r="D494" s="4">
        <v>74</v>
      </c>
      <c r="E494" s="4">
        <v>23</v>
      </c>
      <c r="F494" s="5">
        <v>44376</v>
      </c>
      <c r="G494" s="5">
        <v>44383</v>
      </c>
      <c r="H494" s="5">
        <v>44384</v>
      </c>
      <c r="I494" s="4">
        <v>30</v>
      </c>
      <c r="J494" s="4" t="s">
        <v>198</v>
      </c>
      <c r="K494" s="5" t="str">
        <f>VLOOKUP(표5[[#This Row],[종목]],표2[],2,FALSE)</f>
        <v>워드프로세서</v>
      </c>
    </row>
    <row r="495" spans="1:11" x14ac:dyDescent="0.3">
      <c r="A495" s="4">
        <v>494</v>
      </c>
      <c r="B495" s="4">
        <v>24</v>
      </c>
      <c r="C495" s="4">
        <v>1</v>
      </c>
      <c r="D495" s="4">
        <v>74</v>
      </c>
      <c r="E495" s="4">
        <v>23</v>
      </c>
      <c r="F495" s="5">
        <v>44376</v>
      </c>
      <c r="G495" s="5">
        <v>44383</v>
      </c>
      <c r="H495" s="5">
        <v>44384</v>
      </c>
      <c r="I495" s="4">
        <v>50</v>
      </c>
      <c r="J495" s="4" t="s">
        <v>198</v>
      </c>
      <c r="K495" s="5" t="str">
        <f>VLOOKUP(표5[[#This Row],[종목]],표2[],2,FALSE)</f>
        <v>워드프로세서</v>
      </c>
    </row>
    <row r="496" spans="1:11" x14ac:dyDescent="0.3">
      <c r="A496" s="4">
        <v>495</v>
      </c>
      <c r="B496" s="4">
        <v>15</v>
      </c>
      <c r="C496" s="4">
        <v>1</v>
      </c>
      <c r="D496" s="4">
        <v>78</v>
      </c>
      <c r="E496" s="4">
        <v>24</v>
      </c>
      <c r="F496" s="5">
        <v>44379</v>
      </c>
      <c r="G496" s="5">
        <v>44386</v>
      </c>
      <c r="H496" s="5">
        <v>44387</v>
      </c>
      <c r="I496" s="4">
        <v>20</v>
      </c>
      <c r="J496" s="4" t="s">
        <v>198</v>
      </c>
      <c r="K496" s="5" t="str">
        <f>VLOOKUP(표5[[#This Row],[종목]],표2[],2,FALSE)</f>
        <v>워드프로세서</v>
      </c>
    </row>
    <row r="497" spans="1:11" x14ac:dyDescent="0.3">
      <c r="A497" s="4">
        <v>496</v>
      </c>
      <c r="B497" s="4">
        <v>18</v>
      </c>
      <c r="C497" s="4">
        <v>1</v>
      </c>
      <c r="D497" s="4">
        <v>78</v>
      </c>
      <c r="E497" s="4">
        <v>24</v>
      </c>
      <c r="F497" s="5">
        <v>44379</v>
      </c>
      <c r="G497" s="5">
        <v>44386</v>
      </c>
      <c r="H497" s="5">
        <v>44387</v>
      </c>
      <c r="I497" s="4">
        <v>10</v>
      </c>
      <c r="J497" s="4" t="s">
        <v>198</v>
      </c>
      <c r="K497" s="5" t="str">
        <f>VLOOKUP(표5[[#This Row],[종목]],표2[],2,FALSE)</f>
        <v>워드프로세서</v>
      </c>
    </row>
    <row r="498" spans="1:11" x14ac:dyDescent="0.3">
      <c r="A498" s="4">
        <v>497</v>
      </c>
      <c r="B498" s="4">
        <v>19</v>
      </c>
      <c r="C498" s="4">
        <v>1</v>
      </c>
      <c r="D498" s="4">
        <v>78</v>
      </c>
      <c r="E498" s="4">
        <v>24</v>
      </c>
      <c r="F498" s="5">
        <v>44379</v>
      </c>
      <c r="G498" s="5">
        <v>44386</v>
      </c>
      <c r="H498" s="5">
        <v>44387</v>
      </c>
      <c r="I498" s="4">
        <v>20</v>
      </c>
      <c r="J498" s="4" t="s">
        <v>198</v>
      </c>
      <c r="K498" s="5" t="str">
        <f>VLOOKUP(표5[[#This Row],[종목]],표2[],2,FALSE)</f>
        <v>워드프로세서</v>
      </c>
    </row>
    <row r="499" spans="1:11" x14ac:dyDescent="0.3">
      <c r="A499" s="4">
        <v>498</v>
      </c>
      <c r="B499" s="4">
        <v>20</v>
      </c>
      <c r="C499" s="4">
        <v>1</v>
      </c>
      <c r="D499" s="4">
        <v>78</v>
      </c>
      <c r="E499" s="4">
        <v>24</v>
      </c>
      <c r="F499" s="5">
        <v>44379</v>
      </c>
      <c r="G499" s="5">
        <v>44386</v>
      </c>
      <c r="H499" s="5">
        <v>44387</v>
      </c>
      <c r="I499" s="4">
        <v>10</v>
      </c>
      <c r="J499" s="4" t="s">
        <v>198</v>
      </c>
      <c r="K499" s="5" t="str">
        <f>VLOOKUP(표5[[#This Row],[종목]],표2[],2,FALSE)</f>
        <v>워드프로세서</v>
      </c>
    </row>
    <row r="500" spans="1:11" x14ac:dyDescent="0.3">
      <c r="A500" s="4">
        <v>499</v>
      </c>
      <c r="B500" s="4">
        <v>27</v>
      </c>
      <c r="C500" s="4">
        <v>1</v>
      </c>
      <c r="D500" s="4">
        <v>78</v>
      </c>
      <c r="E500" s="4">
        <v>24</v>
      </c>
      <c r="F500" s="5">
        <v>44379</v>
      </c>
      <c r="G500" s="5">
        <v>44386</v>
      </c>
      <c r="H500" s="5">
        <v>44387</v>
      </c>
      <c r="I500" s="4">
        <v>50</v>
      </c>
      <c r="J500" s="4" t="s">
        <v>198</v>
      </c>
      <c r="K500" s="5" t="str">
        <f>VLOOKUP(표5[[#This Row],[종목]],표2[],2,FALSE)</f>
        <v>워드프로세서</v>
      </c>
    </row>
    <row r="501" spans="1:11" x14ac:dyDescent="0.3">
      <c r="A501" s="4">
        <v>500</v>
      </c>
      <c r="B501" s="4">
        <v>29</v>
      </c>
      <c r="C501" s="4">
        <v>1</v>
      </c>
      <c r="D501" s="4">
        <v>78</v>
      </c>
      <c r="E501" s="4">
        <v>24</v>
      </c>
      <c r="F501" s="5">
        <v>44379</v>
      </c>
      <c r="G501" s="5">
        <v>44386</v>
      </c>
      <c r="H501" s="5">
        <v>44387</v>
      </c>
      <c r="I501" s="4">
        <v>30</v>
      </c>
      <c r="J501" s="4" t="s">
        <v>198</v>
      </c>
      <c r="K501" s="5" t="str">
        <f>VLOOKUP(표5[[#This Row],[종목]],표2[],2,FALSE)</f>
        <v>워드프로세서</v>
      </c>
    </row>
    <row r="502" spans="1:11" x14ac:dyDescent="0.3">
      <c r="A502" s="4">
        <v>501</v>
      </c>
      <c r="B502" s="4">
        <v>12</v>
      </c>
      <c r="C502" s="4">
        <v>1</v>
      </c>
      <c r="D502" s="4">
        <v>79</v>
      </c>
      <c r="E502" s="4">
        <v>25</v>
      </c>
      <c r="F502" s="5">
        <v>44380</v>
      </c>
      <c r="G502" s="5">
        <v>44387</v>
      </c>
      <c r="H502" s="5">
        <v>44388</v>
      </c>
      <c r="I502" s="4">
        <v>50</v>
      </c>
      <c r="J502" s="4" t="s">
        <v>198</v>
      </c>
      <c r="K502" s="5" t="str">
        <f>VLOOKUP(표5[[#This Row],[종목]],표2[],2,FALSE)</f>
        <v>워드프로세서</v>
      </c>
    </row>
    <row r="503" spans="1:11" x14ac:dyDescent="0.3">
      <c r="A503" s="4">
        <v>502</v>
      </c>
      <c r="B503" s="4">
        <v>13</v>
      </c>
      <c r="C503" s="4">
        <v>1</v>
      </c>
      <c r="D503" s="4">
        <v>79</v>
      </c>
      <c r="E503" s="4">
        <v>25</v>
      </c>
      <c r="F503" s="5">
        <v>44380</v>
      </c>
      <c r="G503" s="5">
        <v>44387</v>
      </c>
      <c r="H503" s="5">
        <v>44388</v>
      </c>
      <c r="I503" s="4">
        <v>90</v>
      </c>
      <c r="J503" s="4" t="s">
        <v>199</v>
      </c>
      <c r="K503" s="5" t="str">
        <f>VLOOKUP(표5[[#This Row],[종목]],표2[],2,FALSE)</f>
        <v>워드프로세서</v>
      </c>
    </row>
    <row r="504" spans="1:11" x14ac:dyDescent="0.3">
      <c r="A504" s="4">
        <v>503</v>
      </c>
      <c r="B504" s="4">
        <v>15</v>
      </c>
      <c r="C504" s="4">
        <v>1</v>
      </c>
      <c r="D504" s="4">
        <v>79</v>
      </c>
      <c r="E504" s="4">
        <v>25</v>
      </c>
      <c r="F504" s="5">
        <v>44380</v>
      </c>
      <c r="G504" s="5">
        <v>44387</v>
      </c>
      <c r="H504" s="5">
        <v>44388</v>
      </c>
      <c r="I504" s="4">
        <v>70</v>
      </c>
      <c r="J504" s="4" t="s">
        <v>199</v>
      </c>
      <c r="K504" s="5" t="str">
        <f>VLOOKUP(표5[[#This Row],[종목]],표2[],2,FALSE)</f>
        <v>워드프로세서</v>
      </c>
    </row>
    <row r="505" spans="1:11" x14ac:dyDescent="0.3">
      <c r="A505" s="4">
        <v>504</v>
      </c>
      <c r="B505" s="4">
        <v>20</v>
      </c>
      <c r="C505" s="4">
        <v>1</v>
      </c>
      <c r="D505" s="4">
        <v>79</v>
      </c>
      <c r="E505" s="4">
        <v>25</v>
      </c>
      <c r="F505" s="5">
        <v>44380</v>
      </c>
      <c r="G505" s="5">
        <v>44387</v>
      </c>
      <c r="H505" s="5">
        <v>44388</v>
      </c>
      <c r="I505" s="4">
        <v>20</v>
      </c>
      <c r="J505" s="4" t="s">
        <v>198</v>
      </c>
      <c r="K505" s="5" t="str">
        <f>VLOOKUP(표5[[#This Row],[종목]],표2[],2,FALSE)</f>
        <v>워드프로세서</v>
      </c>
    </row>
    <row r="506" spans="1:11" x14ac:dyDescent="0.3">
      <c r="A506" s="4">
        <v>505</v>
      </c>
      <c r="B506" s="4">
        <v>14</v>
      </c>
      <c r="C506" s="4">
        <v>1</v>
      </c>
      <c r="D506" s="4">
        <v>80</v>
      </c>
      <c r="E506" s="4">
        <v>26</v>
      </c>
      <c r="F506" s="5">
        <v>44380</v>
      </c>
      <c r="G506" s="5">
        <v>44387</v>
      </c>
      <c r="H506" s="5">
        <v>44388</v>
      </c>
      <c r="I506" s="4">
        <v>20</v>
      </c>
      <c r="J506" s="4" t="s">
        <v>198</v>
      </c>
      <c r="K506" s="5" t="str">
        <f>VLOOKUP(표5[[#This Row],[종목]],표2[],2,FALSE)</f>
        <v>워드프로세서</v>
      </c>
    </row>
    <row r="507" spans="1:11" x14ac:dyDescent="0.3">
      <c r="A507" s="4">
        <v>506</v>
      </c>
      <c r="B507" s="4">
        <v>16</v>
      </c>
      <c r="C507" s="4">
        <v>1</v>
      </c>
      <c r="D507" s="4">
        <v>80</v>
      </c>
      <c r="E507" s="4">
        <v>26</v>
      </c>
      <c r="F507" s="5">
        <v>44380</v>
      </c>
      <c r="G507" s="5">
        <v>44387</v>
      </c>
      <c r="H507" s="5">
        <v>44388</v>
      </c>
      <c r="I507" s="4">
        <v>60</v>
      </c>
      <c r="J507" s="4" t="s">
        <v>199</v>
      </c>
      <c r="K507" s="5" t="str">
        <f>VLOOKUP(표5[[#This Row],[종목]],표2[],2,FALSE)</f>
        <v>워드프로세서</v>
      </c>
    </row>
    <row r="508" spans="1:11" x14ac:dyDescent="0.3">
      <c r="A508" s="4">
        <v>507</v>
      </c>
      <c r="B508" s="4">
        <v>20</v>
      </c>
      <c r="C508" s="4">
        <v>1</v>
      </c>
      <c r="D508" s="4">
        <v>80</v>
      </c>
      <c r="E508" s="4">
        <v>26</v>
      </c>
      <c r="F508" s="5">
        <v>44380</v>
      </c>
      <c r="G508" s="5">
        <v>44387</v>
      </c>
      <c r="H508" s="5">
        <v>44388</v>
      </c>
      <c r="I508" s="4">
        <v>30</v>
      </c>
      <c r="J508" s="4" t="s">
        <v>198</v>
      </c>
      <c r="K508" s="5" t="str">
        <f>VLOOKUP(표5[[#This Row],[종목]],표2[],2,FALSE)</f>
        <v>워드프로세서</v>
      </c>
    </row>
    <row r="509" spans="1:11" x14ac:dyDescent="0.3">
      <c r="A509" s="4">
        <v>508</v>
      </c>
      <c r="B509" s="4">
        <v>24</v>
      </c>
      <c r="C509" s="4">
        <v>1</v>
      </c>
      <c r="D509" s="4">
        <v>80</v>
      </c>
      <c r="E509" s="4">
        <v>26</v>
      </c>
      <c r="F509" s="5">
        <v>44380</v>
      </c>
      <c r="G509" s="5">
        <v>44387</v>
      </c>
      <c r="H509" s="5">
        <v>44388</v>
      </c>
      <c r="I509" s="4">
        <v>20</v>
      </c>
      <c r="J509" s="4" t="s">
        <v>198</v>
      </c>
      <c r="K509" s="5" t="str">
        <f>VLOOKUP(표5[[#This Row],[종목]],표2[],2,FALSE)</f>
        <v>워드프로세서</v>
      </c>
    </row>
    <row r="510" spans="1:11" x14ac:dyDescent="0.3">
      <c r="A510" s="4">
        <v>513</v>
      </c>
      <c r="B510" s="4">
        <v>7</v>
      </c>
      <c r="C510" s="4">
        <v>1</v>
      </c>
      <c r="D510" s="4">
        <v>121</v>
      </c>
      <c r="E510" s="4">
        <v>35</v>
      </c>
      <c r="F510" s="5">
        <v>44387</v>
      </c>
      <c r="G510" s="5">
        <v>44394</v>
      </c>
      <c r="H510" s="5">
        <v>44395</v>
      </c>
      <c r="I510" s="4">
        <v>30</v>
      </c>
      <c r="J510" s="4" t="s">
        <v>198</v>
      </c>
      <c r="K510" s="5" t="str">
        <f>VLOOKUP(표5[[#This Row],[종목]],표2[],2,FALSE)</f>
        <v>워드프로세서</v>
      </c>
    </row>
    <row r="511" spans="1:11" x14ac:dyDescent="0.3">
      <c r="A511" s="4">
        <v>510</v>
      </c>
      <c r="B511" s="4">
        <v>18</v>
      </c>
      <c r="C511" s="4">
        <v>1</v>
      </c>
      <c r="D511" s="4">
        <v>117</v>
      </c>
      <c r="E511" s="4">
        <v>33</v>
      </c>
      <c r="F511" s="5">
        <v>44384</v>
      </c>
      <c r="G511" s="5">
        <v>44391</v>
      </c>
      <c r="H511" s="5">
        <v>44392</v>
      </c>
      <c r="I511" s="4">
        <v>0</v>
      </c>
      <c r="J511" s="4" t="s">
        <v>198</v>
      </c>
      <c r="K511" s="5" t="str">
        <f>VLOOKUP(표5[[#This Row],[종목]],표2[],2,FALSE)</f>
        <v>워드프로세서</v>
      </c>
    </row>
    <row r="512" spans="1:11" x14ac:dyDescent="0.3">
      <c r="A512" s="4">
        <v>511</v>
      </c>
      <c r="B512" s="4">
        <v>22</v>
      </c>
      <c r="C512" s="4">
        <v>1</v>
      </c>
      <c r="D512" s="4">
        <v>117</v>
      </c>
      <c r="E512" s="4">
        <v>33</v>
      </c>
      <c r="F512" s="5">
        <v>44384</v>
      </c>
      <c r="G512" s="5">
        <v>44391</v>
      </c>
      <c r="H512" s="5">
        <v>44392</v>
      </c>
      <c r="I512" s="4">
        <v>40</v>
      </c>
      <c r="J512" s="4" t="s">
        <v>198</v>
      </c>
      <c r="K512" s="5" t="str">
        <f>VLOOKUP(표5[[#This Row],[종목]],표2[],2,FALSE)</f>
        <v>워드프로세서</v>
      </c>
    </row>
    <row r="513" spans="1:11" x14ac:dyDescent="0.3">
      <c r="A513" s="4">
        <v>512</v>
      </c>
      <c r="B513" s="4">
        <v>29</v>
      </c>
      <c r="C513" s="4">
        <v>1</v>
      </c>
      <c r="D513" s="4">
        <v>117</v>
      </c>
      <c r="E513" s="4">
        <v>33</v>
      </c>
      <c r="F513" s="5">
        <v>44384</v>
      </c>
      <c r="G513" s="5">
        <v>44391</v>
      </c>
      <c r="H513" s="5">
        <v>44392</v>
      </c>
      <c r="I513" s="4">
        <v>10</v>
      </c>
      <c r="J513" s="4" t="s">
        <v>198</v>
      </c>
      <c r="K513" s="5" t="str">
        <f>VLOOKUP(표5[[#This Row],[종목]],표2[],2,FALSE)</f>
        <v>워드프로세서</v>
      </c>
    </row>
    <row r="514" spans="1:11" x14ac:dyDescent="0.3">
      <c r="A514" s="4">
        <v>515</v>
      </c>
      <c r="B514" s="4">
        <v>7</v>
      </c>
      <c r="C514" s="4">
        <v>1</v>
      </c>
      <c r="D514" s="4">
        <v>122</v>
      </c>
      <c r="E514" s="4">
        <v>36</v>
      </c>
      <c r="F514" s="5">
        <v>44388</v>
      </c>
      <c r="G514" s="5">
        <v>44395</v>
      </c>
      <c r="H514" s="5">
        <v>44396</v>
      </c>
      <c r="I514" s="4">
        <v>30</v>
      </c>
      <c r="J514" s="4" t="s">
        <v>198</v>
      </c>
      <c r="K514" s="5" t="str">
        <f>VLOOKUP(표5[[#This Row],[종목]],표2[],2,FALSE)</f>
        <v>워드프로세서</v>
      </c>
    </row>
    <row r="515" spans="1:11" x14ac:dyDescent="0.3">
      <c r="A515" s="4">
        <v>514</v>
      </c>
      <c r="B515" s="4">
        <v>12</v>
      </c>
      <c r="C515" s="4">
        <v>1</v>
      </c>
      <c r="D515" s="4">
        <v>121</v>
      </c>
      <c r="E515" s="4">
        <v>35</v>
      </c>
      <c r="F515" s="5">
        <v>44387</v>
      </c>
      <c r="G515" s="5">
        <v>44394</v>
      </c>
      <c r="H515" s="5">
        <v>44395</v>
      </c>
      <c r="I515" s="4">
        <v>50</v>
      </c>
      <c r="J515" s="4" t="s">
        <v>198</v>
      </c>
      <c r="K515" s="5" t="str">
        <f>VLOOKUP(표5[[#This Row],[종목]],표2[],2,FALSE)</f>
        <v>워드프로세서</v>
      </c>
    </row>
    <row r="516" spans="1:11" x14ac:dyDescent="0.3">
      <c r="A516" s="4">
        <v>338</v>
      </c>
      <c r="B516" s="4">
        <v>7</v>
      </c>
      <c r="C516" s="4">
        <v>3</v>
      </c>
      <c r="D516" s="4">
        <v>134</v>
      </c>
      <c r="E516" s="4">
        <v>24</v>
      </c>
      <c r="F516" s="5">
        <v>44379</v>
      </c>
      <c r="G516" s="5">
        <v>44386</v>
      </c>
      <c r="H516" s="5">
        <v>44386</v>
      </c>
      <c r="I516" s="4">
        <v>80</v>
      </c>
      <c r="J516" s="4" t="s">
        <v>199</v>
      </c>
      <c r="K516" s="5" t="str">
        <f>VLOOKUP(표5[[#This Row],[종목]],표2[],2,FALSE)</f>
        <v>컴퓨터활용능력</v>
      </c>
    </row>
    <row r="517" spans="1:11" x14ac:dyDescent="0.3">
      <c r="A517" s="4">
        <v>516</v>
      </c>
      <c r="B517" s="4">
        <v>12</v>
      </c>
      <c r="C517" s="4">
        <v>1</v>
      </c>
      <c r="D517" s="4">
        <v>122</v>
      </c>
      <c r="E517" s="4">
        <v>36</v>
      </c>
      <c r="F517" s="5">
        <v>44388</v>
      </c>
      <c r="G517" s="5">
        <v>44395</v>
      </c>
      <c r="H517" s="5">
        <v>44396</v>
      </c>
      <c r="I517" s="4">
        <v>10</v>
      </c>
      <c r="J517" s="4" t="s">
        <v>198</v>
      </c>
      <c r="K517" s="5" t="str">
        <f>VLOOKUP(표5[[#This Row],[종목]],표2[],2,FALSE)</f>
        <v>워드프로세서</v>
      </c>
    </row>
    <row r="518" spans="1:11" x14ac:dyDescent="0.3">
      <c r="A518" s="4">
        <v>517</v>
      </c>
      <c r="B518" s="4">
        <v>20</v>
      </c>
      <c r="C518" s="4">
        <v>1</v>
      </c>
      <c r="D518" s="4">
        <v>122</v>
      </c>
      <c r="E518" s="4">
        <v>36</v>
      </c>
      <c r="F518" s="5">
        <v>44388</v>
      </c>
      <c r="G518" s="5">
        <v>44395</v>
      </c>
      <c r="H518" s="5">
        <v>44396</v>
      </c>
      <c r="I518" s="4">
        <v>40</v>
      </c>
      <c r="J518" s="4" t="s">
        <v>198</v>
      </c>
      <c r="K518" s="5" t="str">
        <f>VLOOKUP(표5[[#This Row],[종목]],표2[],2,FALSE)</f>
        <v>워드프로세서</v>
      </c>
    </row>
    <row r="519" spans="1:11" x14ac:dyDescent="0.3">
      <c r="A519" s="4">
        <v>518</v>
      </c>
      <c r="B519" s="4">
        <v>24</v>
      </c>
      <c r="C519" s="4">
        <v>1</v>
      </c>
      <c r="D519" s="4">
        <v>122</v>
      </c>
      <c r="E519" s="4">
        <v>36</v>
      </c>
      <c r="F519" s="5">
        <v>44388</v>
      </c>
      <c r="G519" s="5">
        <v>44395</v>
      </c>
      <c r="H519" s="5">
        <v>44396</v>
      </c>
      <c r="I519" s="4">
        <v>30</v>
      </c>
      <c r="J519" s="4" t="s">
        <v>198</v>
      </c>
      <c r="K519" s="5" t="str">
        <f>VLOOKUP(표5[[#This Row],[종목]],표2[],2,FALSE)</f>
        <v>워드프로세서</v>
      </c>
    </row>
    <row r="520" spans="1:11" x14ac:dyDescent="0.3">
      <c r="A520" s="4">
        <v>519</v>
      </c>
      <c r="B520" s="4">
        <v>7</v>
      </c>
      <c r="C520" s="4">
        <v>1</v>
      </c>
      <c r="D520" s="4">
        <v>150</v>
      </c>
      <c r="E520" s="4">
        <v>38</v>
      </c>
      <c r="F520" s="5">
        <v>44389</v>
      </c>
      <c r="G520" s="5">
        <v>44396</v>
      </c>
      <c r="H520" s="5">
        <v>44397</v>
      </c>
      <c r="I520" s="4">
        <v>90</v>
      </c>
      <c r="J520" s="4" t="s">
        <v>199</v>
      </c>
      <c r="K520" s="5" t="str">
        <f>VLOOKUP(표5[[#This Row],[종목]],표2[],2,FALSE)</f>
        <v>워드프로세서</v>
      </c>
    </row>
    <row r="521" spans="1:11" x14ac:dyDescent="0.3">
      <c r="A521" s="4">
        <v>520</v>
      </c>
      <c r="B521" s="4">
        <v>29</v>
      </c>
      <c r="C521" s="4">
        <v>1</v>
      </c>
      <c r="D521" s="4">
        <v>150</v>
      </c>
      <c r="E521" s="4">
        <v>38</v>
      </c>
      <c r="F521" s="5">
        <v>44389</v>
      </c>
      <c r="G521" s="5">
        <v>44396</v>
      </c>
      <c r="H521" s="5">
        <v>44397</v>
      </c>
      <c r="I521" s="4">
        <v>40</v>
      </c>
      <c r="J521" s="4" t="s">
        <v>198</v>
      </c>
      <c r="K521" s="5" t="str">
        <f>VLOOKUP(표5[[#This Row],[종목]],표2[],2,FALSE)</f>
        <v>워드프로세서</v>
      </c>
    </row>
    <row r="522" spans="1:11" x14ac:dyDescent="0.3">
      <c r="A522" s="4">
        <v>521</v>
      </c>
      <c r="B522" s="4">
        <v>1</v>
      </c>
      <c r="C522" s="4">
        <v>3</v>
      </c>
      <c r="D522" s="4">
        <v>1</v>
      </c>
      <c r="E522" s="4">
        <v>1</v>
      </c>
      <c r="F522" s="5">
        <v>44443</v>
      </c>
      <c r="G522" s="5" t="s">
        <v>1523</v>
      </c>
      <c r="H522" s="5" t="s">
        <v>1523</v>
      </c>
      <c r="K522" s="5" t="str">
        <f>VLOOKUP(표5[[#This Row],[종목]],표2[],2,FALSE)</f>
        <v>컴퓨터활용능력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E3:AD72"/>
  <sheetViews>
    <sheetView zoomScale="70" zoomScaleNormal="70" workbookViewId="0">
      <selection activeCell="P39" sqref="P39"/>
    </sheetView>
  </sheetViews>
  <sheetFormatPr defaultRowHeight="16.5" x14ac:dyDescent="0.3"/>
  <cols>
    <col min="1" max="22" width="9" style="1"/>
    <col min="23" max="23" width="15.25" style="1" bestFit="1" customWidth="1"/>
    <col min="24" max="24" width="12.75" style="1" bestFit="1" customWidth="1"/>
    <col min="25" max="25" width="5.625" style="1" bestFit="1" customWidth="1"/>
    <col min="26" max="26" width="7.5" style="1" bestFit="1" customWidth="1"/>
    <col min="27" max="29" width="2.875" style="1" customWidth="1"/>
    <col min="30" max="30" width="7.375" style="1" customWidth="1"/>
    <col min="31" max="16384" width="9" style="1"/>
  </cols>
  <sheetData>
    <row r="3" spans="5:30" x14ac:dyDescent="0.3">
      <c r="W3" s="21" t="s">
        <v>161</v>
      </c>
      <c r="X3" t="s">
        <v>1497</v>
      </c>
    </row>
    <row r="5" spans="5:30" x14ac:dyDescent="0.3">
      <c r="W5" s="21" t="s">
        <v>1498</v>
      </c>
      <c r="X5" t="s">
        <v>1494</v>
      </c>
      <c r="Y5"/>
      <c r="Z5"/>
      <c r="AA5"/>
      <c r="AB5"/>
      <c r="AC5"/>
      <c r="AD5"/>
    </row>
    <row r="6" spans="5:30" x14ac:dyDescent="0.3">
      <c r="E6" s="1">
        <v>1</v>
      </c>
      <c r="W6" s="8" t="s">
        <v>198</v>
      </c>
      <c r="X6" s="20">
        <v>476</v>
      </c>
      <c r="Y6"/>
      <c r="Z6"/>
      <c r="AA6"/>
      <c r="AB6"/>
      <c r="AC6"/>
      <c r="AD6"/>
    </row>
    <row r="7" spans="5:30" x14ac:dyDescent="0.3">
      <c r="W7" s="8" t="s">
        <v>199</v>
      </c>
      <c r="X7" s="20">
        <v>44</v>
      </c>
      <c r="Y7"/>
      <c r="Z7"/>
      <c r="AA7"/>
      <c r="AB7"/>
      <c r="AC7"/>
      <c r="AD7"/>
    </row>
    <row r="8" spans="5:30" x14ac:dyDescent="0.3">
      <c r="W8" s="8" t="s">
        <v>1496</v>
      </c>
      <c r="X8" s="20">
        <v>520</v>
      </c>
      <c r="Y8"/>
    </row>
    <row r="9" spans="5:30" x14ac:dyDescent="0.3">
      <c r="W9"/>
      <c r="X9"/>
      <c r="Y9"/>
    </row>
    <row r="10" spans="5:30" x14ac:dyDescent="0.3">
      <c r="W10"/>
      <c r="X10"/>
      <c r="Y10"/>
    </row>
    <row r="11" spans="5:30" x14ac:dyDescent="0.3">
      <c r="W11"/>
      <c r="X11"/>
      <c r="Y11"/>
    </row>
    <row r="12" spans="5:30" x14ac:dyDescent="0.3">
      <c r="W12"/>
      <c r="X12"/>
      <c r="Y12"/>
    </row>
    <row r="13" spans="5:30" x14ac:dyDescent="0.3">
      <c r="W13"/>
      <c r="X13"/>
      <c r="Y13"/>
    </row>
    <row r="14" spans="5:30" x14ac:dyDescent="0.3">
      <c r="W14"/>
      <c r="X14"/>
      <c r="Y14"/>
    </row>
    <row r="15" spans="5:30" x14ac:dyDescent="0.3">
      <c r="W15"/>
      <c r="X15"/>
      <c r="Y15"/>
    </row>
    <row r="16" spans="5:30" x14ac:dyDescent="0.3">
      <c r="W16"/>
      <c r="X16"/>
      <c r="Y16"/>
    </row>
    <row r="17" spans="23:26" x14ac:dyDescent="0.3">
      <c r="W17"/>
      <c r="X17"/>
      <c r="Y17"/>
    </row>
    <row r="18" spans="23:26" x14ac:dyDescent="0.3">
      <c r="W18"/>
      <c r="X18"/>
      <c r="Y18"/>
    </row>
    <row r="19" spans="23:26" x14ac:dyDescent="0.3">
      <c r="W19"/>
      <c r="X19"/>
      <c r="Y19"/>
    </row>
    <row r="20" spans="23:26" x14ac:dyDescent="0.3">
      <c r="W20"/>
      <c r="X20"/>
      <c r="Y20"/>
    </row>
    <row r="21" spans="23:26" x14ac:dyDescent="0.3">
      <c r="W21"/>
      <c r="X21"/>
      <c r="Y21"/>
    </row>
    <row r="22" spans="23:26" x14ac:dyDescent="0.3">
      <c r="W22"/>
      <c r="X22"/>
      <c r="Y22"/>
    </row>
    <row r="29" spans="23:26" x14ac:dyDescent="0.3">
      <c r="W29" s="21" t="s">
        <v>161</v>
      </c>
      <c r="X29" t="s">
        <v>1497</v>
      </c>
    </row>
    <row r="31" spans="23:26" x14ac:dyDescent="0.3">
      <c r="W31" s="21" t="s">
        <v>1494</v>
      </c>
      <c r="X31" s="21" t="s">
        <v>1495</v>
      </c>
      <c r="Y31"/>
      <c r="Z31"/>
    </row>
    <row r="32" spans="23:26" x14ac:dyDescent="0.3">
      <c r="W32" s="21" t="s">
        <v>1498</v>
      </c>
      <c r="X32" t="s">
        <v>198</v>
      </c>
      <c r="Y32" t="s">
        <v>199</v>
      </c>
      <c r="Z32" t="s">
        <v>1496</v>
      </c>
    </row>
    <row r="33" spans="23:26" x14ac:dyDescent="0.3">
      <c r="W33" s="8">
        <v>1</v>
      </c>
      <c r="X33" s="20">
        <v>61</v>
      </c>
      <c r="Y33" s="20">
        <v>1</v>
      </c>
      <c r="Z33" s="20">
        <v>62</v>
      </c>
    </row>
    <row r="34" spans="23:26" x14ac:dyDescent="0.3">
      <c r="W34" s="8">
        <v>2</v>
      </c>
      <c r="X34" s="20">
        <v>9</v>
      </c>
      <c r="Y34" s="20"/>
      <c r="Z34" s="20">
        <v>9</v>
      </c>
    </row>
    <row r="35" spans="23:26" x14ac:dyDescent="0.3">
      <c r="W35" s="8">
        <v>3</v>
      </c>
      <c r="X35" s="20">
        <v>10</v>
      </c>
      <c r="Y35" s="20"/>
      <c r="Z35" s="20">
        <v>10</v>
      </c>
    </row>
    <row r="36" spans="23:26" x14ac:dyDescent="0.3">
      <c r="W36" s="8">
        <v>4</v>
      </c>
      <c r="X36" s="20">
        <v>13</v>
      </c>
      <c r="Y36" s="20"/>
      <c r="Z36" s="20">
        <v>13</v>
      </c>
    </row>
    <row r="37" spans="23:26" x14ac:dyDescent="0.3">
      <c r="W37" s="8">
        <v>5</v>
      </c>
      <c r="X37" s="20">
        <v>6</v>
      </c>
      <c r="Y37" s="20"/>
      <c r="Z37" s="20">
        <v>6</v>
      </c>
    </row>
    <row r="38" spans="23:26" x14ac:dyDescent="0.3">
      <c r="W38" s="8" t="s">
        <v>1496</v>
      </c>
      <c r="X38" s="20">
        <v>99</v>
      </c>
      <c r="Y38" s="20">
        <v>1</v>
      </c>
      <c r="Z38" s="20">
        <v>100</v>
      </c>
    </row>
    <row r="39" spans="23:26" x14ac:dyDescent="0.3">
      <c r="W39"/>
      <c r="X39"/>
      <c r="Y39"/>
      <c r="Z39"/>
    </row>
    <row r="40" spans="23:26" x14ac:dyDescent="0.3">
      <c r="W40"/>
      <c r="X40"/>
      <c r="Y40"/>
      <c r="Z40"/>
    </row>
    <row r="41" spans="23:26" x14ac:dyDescent="0.3">
      <c r="W41"/>
      <c r="X41"/>
      <c r="Y41"/>
      <c r="Z41"/>
    </row>
    <row r="42" spans="23:26" x14ac:dyDescent="0.3">
      <c r="W42"/>
      <c r="X42"/>
      <c r="Y42"/>
      <c r="Z42"/>
    </row>
    <row r="43" spans="23:26" x14ac:dyDescent="0.3">
      <c r="W43"/>
      <c r="X43"/>
      <c r="Y43"/>
      <c r="Z43"/>
    </row>
    <row r="44" spans="23:26" x14ac:dyDescent="0.3">
      <c r="W44"/>
      <c r="X44"/>
      <c r="Y44"/>
      <c r="Z44"/>
    </row>
    <row r="45" spans="23:26" x14ac:dyDescent="0.3">
      <c r="W45"/>
      <c r="X45"/>
      <c r="Y45"/>
      <c r="Z45"/>
    </row>
    <row r="46" spans="23:26" x14ac:dyDescent="0.3">
      <c r="W46"/>
      <c r="X46"/>
      <c r="Y46"/>
      <c r="Z46"/>
    </row>
    <row r="47" spans="23:26" x14ac:dyDescent="0.3">
      <c r="W47"/>
      <c r="X47"/>
      <c r="Y47"/>
      <c r="Z47"/>
    </row>
    <row r="48" spans="23:26" x14ac:dyDescent="0.3">
      <c r="W48"/>
      <c r="X48"/>
      <c r="Y48"/>
      <c r="Z48"/>
    </row>
    <row r="49" spans="23:26" x14ac:dyDescent="0.3">
      <c r="W49"/>
      <c r="X49"/>
      <c r="Y49"/>
      <c r="Z49"/>
    </row>
    <row r="50" spans="23:26" x14ac:dyDescent="0.3">
      <c r="W50"/>
      <c r="X50"/>
      <c r="Y50"/>
      <c r="Z50"/>
    </row>
    <row r="51" spans="23:26" x14ac:dyDescent="0.3">
      <c r="W51"/>
      <c r="X51"/>
      <c r="Y51"/>
      <c r="Z51"/>
    </row>
    <row r="52" spans="23:26" x14ac:dyDescent="0.3">
      <c r="W52"/>
      <c r="X52"/>
      <c r="Y52"/>
      <c r="Z52"/>
    </row>
    <row r="53" spans="23:26" x14ac:dyDescent="0.3">
      <c r="W53"/>
      <c r="X53"/>
      <c r="Y53"/>
      <c r="Z53"/>
    </row>
    <row r="54" spans="23:26" x14ac:dyDescent="0.3">
      <c r="W54"/>
      <c r="X54"/>
      <c r="Y54"/>
      <c r="Z54"/>
    </row>
    <row r="55" spans="23:26" x14ac:dyDescent="0.3">
      <c r="W55"/>
      <c r="X55"/>
      <c r="Y55"/>
      <c r="Z55"/>
    </row>
    <row r="56" spans="23:26" x14ac:dyDescent="0.3">
      <c r="W56"/>
      <c r="X56"/>
      <c r="Y56"/>
      <c r="Z56"/>
    </row>
    <row r="57" spans="23:26" x14ac:dyDescent="0.3">
      <c r="W57"/>
      <c r="X57"/>
      <c r="Y57"/>
      <c r="Z57"/>
    </row>
    <row r="58" spans="23:26" x14ac:dyDescent="0.3">
      <c r="W58"/>
      <c r="X58"/>
      <c r="Y58"/>
      <c r="Z58"/>
    </row>
    <row r="59" spans="23:26" x14ac:dyDescent="0.3">
      <c r="W59"/>
      <c r="X59"/>
      <c r="Y59"/>
      <c r="Z59"/>
    </row>
    <row r="60" spans="23:26" x14ac:dyDescent="0.3">
      <c r="W60"/>
      <c r="X60"/>
      <c r="Y60"/>
      <c r="Z60"/>
    </row>
    <row r="61" spans="23:26" x14ac:dyDescent="0.3">
      <c r="W61"/>
      <c r="X61"/>
      <c r="Y61"/>
      <c r="Z61"/>
    </row>
    <row r="62" spans="23:26" x14ac:dyDescent="0.3">
      <c r="W62"/>
      <c r="X62"/>
      <c r="Y62"/>
      <c r="Z62"/>
    </row>
    <row r="63" spans="23:26" x14ac:dyDescent="0.3">
      <c r="W63"/>
      <c r="X63"/>
      <c r="Y63"/>
      <c r="Z63"/>
    </row>
    <row r="64" spans="23:26" x14ac:dyDescent="0.3">
      <c r="W64"/>
      <c r="X64"/>
      <c r="Y64"/>
      <c r="Z64"/>
    </row>
    <row r="65" spans="23:26" x14ac:dyDescent="0.3">
      <c r="W65"/>
      <c r="X65"/>
      <c r="Y65"/>
      <c r="Z65"/>
    </row>
    <row r="66" spans="23:26" x14ac:dyDescent="0.3">
      <c r="W66"/>
      <c r="X66"/>
      <c r="Y66"/>
      <c r="Z66"/>
    </row>
    <row r="67" spans="23:26" x14ac:dyDescent="0.3">
      <c r="W67"/>
      <c r="X67"/>
      <c r="Y67"/>
      <c r="Z67"/>
    </row>
    <row r="68" spans="23:26" x14ac:dyDescent="0.3">
      <c r="W68"/>
      <c r="X68"/>
      <c r="Y68"/>
      <c r="Z68"/>
    </row>
    <row r="69" spans="23:26" x14ac:dyDescent="0.3">
      <c r="W69"/>
      <c r="X69"/>
      <c r="Y69"/>
      <c r="Z69"/>
    </row>
    <row r="70" spans="23:26" x14ac:dyDescent="0.3">
      <c r="W70"/>
      <c r="X70"/>
      <c r="Y70"/>
      <c r="Z70"/>
    </row>
    <row r="71" spans="23:26" x14ac:dyDescent="0.3">
      <c r="W71"/>
      <c r="X71"/>
      <c r="Y71"/>
      <c r="Z71"/>
    </row>
    <row r="72" spans="23:26" x14ac:dyDescent="0.3">
      <c r="W72"/>
      <c r="X72"/>
      <c r="Y72"/>
      <c r="Z72"/>
    </row>
  </sheetData>
  <phoneticPr fontId="1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Scroll Bar 1">
              <controlPr defaultSize="0" autoPict="0" macro="[0]!차트스크롤">
                <anchor moveWithCells="1">
                  <from>
                    <xdr:col>5</xdr:col>
                    <xdr:colOff>57150</xdr:colOff>
                    <xdr:row>32</xdr:row>
                    <xdr:rowOff>9525</xdr:rowOff>
                  </from>
                  <to>
                    <xdr:col>11</xdr:col>
                    <xdr:colOff>533400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Drop Down 2">
              <controlPr defaultSize="0" autoLine="0" autoPict="0" macro="[0]!Sheet6.드롭다운_Change">
                <anchor moveWithCells="1">
                  <from>
                    <xdr:col>5</xdr:col>
                    <xdr:colOff>95250</xdr:colOff>
                    <xdr:row>1</xdr:row>
                    <xdr:rowOff>152400</xdr:rowOff>
                  </from>
                  <to>
                    <xdr:col>8</xdr:col>
                    <xdr:colOff>361950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58"/>
  <sheetViews>
    <sheetView topLeftCell="A232" zoomScale="85" zoomScaleNormal="85" workbookViewId="0">
      <selection activeCell="C261" sqref="C261:C262"/>
    </sheetView>
  </sheetViews>
  <sheetFormatPr defaultRowHeight="16.5" x14ac:dyDescent="0.3"/>
  <cols>
    <col min="3" max="3" width="137.625" style="8" customWidth="1"/>
  </cols>
  <sheetData>
    <row r="1" spans="1:4" x14ac:dyDescent="0.3">
      <c r="A1" s="10" t="s">
        <v>1</v>
      </c>
      <c r="B1" s="10" t="s">
        <v>161</v>
      </c>
      <c r="C1" s="10" t="s">
        <v>200</v>
      </c>
      <c r="D1" s="11" t="s">
        <v>201</v>
      </c>
    </row>
    <row r="2" spans="1:4" x14ac:dyDescent="0.3">
      <c r="A2" s="12">
        <v>1</v>
      </c>
      <c r="B2" s="12">
        <v>1</v>
      </c>
      <c r="C2" s="22" t="s">
        <v>202</v>
      </c>
      <c r="D2" s="16">
        <v>1</v>
      </c>
    </row>
    <row r="3" spans="1:4" x14ac:dyDescent="0.3">
      <c r="A3" s="12">
        <v>2</v>
      </c>
      <c r="B3" s="12">
        <v>1</v>
      </c>
      <c r="C3" s="22" t="s">
        <v>203</v>
      </c>
      <c r="D3" s="16">
        <v>4</v>
      </c>
    </row>
    <row r="4" spans="1:4" x14ac:dyDescent="0.3">
      <c r="A4" s="12">
        <v>3</v>
      </c>
      <c r="B4" s="12">
        <v>1</v>
      </c>
      <c r="C4" s="22" t="s">
        <v>204</v>
      </c>
      <c r="D4" s="16">
        <v>2</v>
      </c>
    </row>
    <row r="5" spans="1:4" x14ac:dyDescent="0.3">
      <c r="A5" s="12">
        <v>4</v>
      </c>
      <c r="B5" s="12">
        <v>1</v>
      </c>
      <c r="C5" s="22" t="s">
        <v>205</v>
      </c>
      <c r="D5" s="16">
        <v>1</v>
      </c>
    </row>
    <row r="6" spans="1:4" x14ac:dyDescent="0.3">
      <c r="A6" s="12">
        <v>5</v>
      </c>
      <c r="B6" s="12">
        <v>1</v>
      </c>
      <c r="C6" s="22" t="s">
        <v>206</v>
      </c>
      <c r="D6" s="16">
        <v>3</v>
      </c>
    </row>
    <row r="7" spans="1:4" x14ac:dyDescent="0.3">
      <c r="A7" s="12">
        <v>6</v>
      </c>
      <c r="B7" s="12">
        <v>1</v>
      </c>
      <c r="C7" s="22" t="s">
        <v>207</v>
      </c>
      <c r="D7" s="16">
        <v>4</v>
      </c>
    </row>
    <row r="8" spans="1:4" x14ac:dyDescent="0.3">
      <c r="A8" s="12">
        <v>7</v>
      </c>
      <c r="B8" s="12">
        <v>1</v>
      </c>
      <c r="C8" s="22" t="s">
        <v>208</v>
      </c>
      <c r="D8" s="16">
        <v>3</v>
      </c>
    </row>
    <row r="9" spans="1:4" x14ac:dyDescent="0.3">
      <c r="A9" s="12">
        <v>8</v>
      </c>
      <c r="B9" s="12">
        <v>1</v>
      </c>
      <c r="C9" s="22" t="s">
        <v>209</v>
      </c>
      <c r="D9" s="16">
        <v>1</v>
      </c>
    </row>
    <row r="10" spans="1:4" x14ac:dyDescent="0.3">
      <c r="A10" s="12">
        <v>9</v>
      </c>
      <c r="B10" s="12">
        <v>1</v>
      </c>
      <c r="C10" s="22" t="s">
        <v>210</v>
      </c>
      <c r="D10" s="16">
        <v>1</v>
      </c>
    </row>
    <row r="11" spans="1:4" x14ac:dyDescent="0.3">
      <c r="A11" s="12">
        <v>10</v>
      </c>
      <c r="B11" s="12">
        <v>1</v>
      </c>
      <c r="C11" s="22" t="s">
        <v>211</v>
      </c>
      <c r="D11" s="16">
        <v>4</v>
      </c>
    </row>
    <row r="12" spans="1:4" x14ac:dyDescent="0.3">
      <c r="A12" s="12">
        <v>11</v>
      </c>
      <c r="B12" s="12">
        <v>1</v>
      </c>
      <c r="C12" s="22" t="s">
        <v>212</v>
      </c>
      <c r="D12" s="16">
        <v>2</v>
      </c>
    </row>
    <row r="13" spans="1:4" x14ac:dyDescent="0.3">
      <c r="A13" s="12">
        <v>12</v>
      </c>
      <c r="B13" s="12">
        <v>1</v>
      </c>
      <c r="C13" s="22" t="s">
        <v>213</v>
      </c>
      <c r="D13" s="16">
        <v>1</v>
      </c>
    </row>
    <row r="14" spans="1:4" x14ac:dyDescent="0.3">
      <c r="A14" s="12">
        <v>13</v>
      </c>
      <c r="B14" s="12">
        <v>1</v>
      </c>
      <c r="C14" s="22" t="s">
        <v>214</v>
      </c>
      <c r="D14" s="16">
        <v>1</v>
      </c>
    </row>
    <row r="15" spans="1:4" x14ac:dyDescent="0.3">
      <c r="A15" s="12">
        <v>14</v>
      </c>
      <c r="B15" s="12">
        <v>1</v>
      </c>
      <c r="C15" s="22" t="s">
        <v>215</v>
      </c>
      <c r="D15" s="16">
        <v>4</v>
      </c>
    </row>
    <row r="16" spans="1:4" x14ac:dyDescent="0.3">
      <c r="A16" s="12">
        <v>15</v>
      </c>
      <c r="B16" s="12">
        <v>1</v>
      </c>
      <c r="C16" s="22" t="s">
        <v>216</v>
      </c>
      <c r="D16" s="16">
        <v>3</v>
      </c>
    </row>
    <row r="17" spans="1:4" x14ac:dyDescent="0.3">
      <c r="A17" s="12">
        <v>16</v>
      </c>
      <c r="B17" s="12">
        <v>1</v>
      </c>
      <c r="C17" s="22" t="s">
        <v>217</v>
      </c>
      <c r="D17" s="16">
        <v>4</v>
      </c>
    </row>
    <row r="18" spans="1:4" x14ac:dyDescent="0.3">
      <c r="A18" s="12">
        <v>17</v>
      </c>
      <c r="B18" s="12">
        <v>1</v>
      </c>
      <c r="C18" s="22" t="s">
        <v>218</v>
      </c>
      <c r="D18" s="16">
        <v>3</v>
      </c>
    </row>
    <row r="19" spans="1:4" x14ac:dyDescent="0.3">
      <c r="A19" s="12">
        <v>18</v>
      </c>
      <c r="B19" s="12">
        <v>1</v>
      </c>
      <c r="C19" s="22" t="s">
        <v>219</v>
      </c>
      <c r="D19" s="16">
        <v>4</v>
      </c>
    </row>
    <row r="20" spans="1:4" x14ac:dyDescent="0.3">
      <c r="A20" s="12">
        <v>19</v>
      </c>
      <c r="B20" s="12">
        <v>1</v>
      </c>
      <c r="C20" s="22" t="s">
        <v>220</v>
      </c>
      <c r="D20" s="16">
        <v>4</v>
      </c>
    </row>
    <row r="21" spans="1:4" x14ac:dyDescent="0.3">
      <c r="A21" s="12">
        <v>20</v>
      </c>
      <c r="B21" s="12">
        <v>1</v>
      </c>
      <c r="C21" s="22" t="s">
        <v>221</v>
      </c>
      <c r="D21" s="16">
        <v>1</v>
      </c>
    </row>
    <row r="22" spans="1:4" x14ac:dyDescent="0.3">
      <c r="A22" s="12">
        <v>21</v>
      </c>
      <c r="B22" s="12">
        <v>1</v>
      </c>
      <c r="C22" s="22" t="s">
        <v>222</v>
      </c>
      <c r="D22" s="16">
        <v>2</v>
      </c>
    </row>
    <row r="23" spans="1:4" x14ac:dyDescent="0.3">
      <c r="A23" s="12">
        <v>22</v>
      </c>
      <c r="B23" s="12">
        <v>1</v>
      </c>
      <c r="C23" s="22" t="s">
        <v>223</v>
      </c>
      <c r="D23" s="16">
        <v>4</v>
      </c>
    </row>
    <row r="24" spans="1:4" x14ac:dyDescent="0.3">
      <c r="A24" s="12">
        <v>23</v>
      </c>
      <c r="B24" s="12">
        <v>1</v>
      </c>
      <c r="C24" s="22" t="s">
        <v>224</v>
      </c>
      <c r="D24" s="16">
        <v>4</v>
      </c>
    </row>
    <row r="25" spans="1:4" x14ac:dyDescent="0.3">
      <c r="A25" s="12">
        <v>24</v>
      </c>
      <c r="B25" s="12">
        <v>1</v>
      </c>
      <c r="C25" s="22" t="s">
        <v>225</v>
      </c>
      <c r="D25" s="16">
        <v>3</v>
      </c>
    </row>
    <row r="26" spans="1:4" x14ac:dyDescent="0.3">
      <c r="A26" s="12">
        <v>25</v>
      </c>
      <c r="B26" s="12">
        <v>1</v>
      </c>
      <c r="C26" s="22" t="s">
        <v>226</v>
      </c>
      <c r="D26" s="16">
        <v>4</v>
      </c>
    </row>
    <row r="27" spans="1:4" x14ac:dyDescent="0.3">
      <c r="A27" s="12">
        <v>26</v>
      </c>
      <c r="B27" s="12">
        <v>1</v>
      </c>
      <c r="C27" s="22" t="s">
        <v>227</v>
      </c>
      <c r="D27" s="16">
        <v>2</v>
      </c>
    </row>
    <row r="28" spans="1:4" x14ac:dyDescent="0.3">
      <c r="A28" s="12">
        <v>27</v>
      </c>
      <c r="B28" s="12">
        <v>1</v>
      </c>
      <c r="C28" s="22" t="s">
        <v>228</v>
      </c>
      <c r="D28" s="16">
        <v>3</v>
      </c>
    </row>
    <row r="29" spans="1:4" x14ac:dyDescent="0.3">
      <c r="A29" s="12">
        <v>28</v>
      </c>
      <c r="B29" s="12">
        <v>1</v>
      </c>
      <c r="C29" s="22" t="s">
        <v>229</v>
      </c>
      <c r="D29" s="16">
        <v>4</v>
      </c>
    </row>
    <row r="30" spans="1:4" x14ac:dyDescent="0.3">
      <c r="A30" s="12">
        <v>29</v>
      </c>
      <c r="B30" s="12">
        <v>1</v>
      </c>
      <c r="C30" s="22" t="s">
        <v>230</v>
      </c>
      <c r="D30" s="16">
        <v>4</v>
      </c>
    </row>
    <row r="31" spans="1:4" x14ac:dyDescent="0.3">
      <c r="A31" s="12">
        <v>30</v>
      </c>
      <c r="B31" s="12">
        <v>1</v>
      </c>
      <c r="C31" s="22" t="s">
        <v>231</v>
      </c>
      <c r="D31" s="16">
        <v>2</v>
      </c>
    </row>
    <row r="32" spans="1:4" x14ac:dyDescent="0.3">
      <c r="A32" s="12">
        <v>31</v>
      </c>
      <c r="B32" s="12">
        <v>1</v>
      </c>
      <c r="C32" s="22" t="s">
        <v>232</v>
      </c>
      <c r="D32" s="16">
        <v>1</v>
      </c>
    </row>
    <row r="33" spans="1:4" x14ac:dyDescent="0.3">
      <c r="A33" s="12">
        <v>32</v>
      </c>
      <c r="B33" s="12">
        <v>1</v>
      </c>
      <c r="C33" s="22" t="s">
        <v>233</v>
      </c>
      <c r="D33" s="16">
        <v>1</v>
      </c>
    </row>
    <row r="34" spans="1:4" x14ac:dyDescent="0.3">
      <c r="A34" s="12">
        <v>33</v>
      </c>
      <c r="B34" s="12">
        <v>1</v>
      </c>
      <c r="C34" s="22" t="s">
        <v>234</v>
      </c>
      <c r="D34" s="16">
        <v>4</v>
      </c>
    </row>
    <row r="35" spans="1:4" x14ac:dyDescent="0.3">
      <c r="A35" s="12">
        <v>34</v>
      </c>
      <c r="B35" s="12">
        <v>1</v>
      </c>
      <c r="C35" s="22" t="s">
        <v>235</v>
      </c>
      <c r="D35" s="16">
        <v>4</v>
      </c>
    </row>
    <row r="36" spans="1:4" x14ac:dyDescent="0.3">
      <c r="A36" s="12">
        <v>35</v>
      </c>
      <c r="B36" s="12">
        <v>1</v>
      </c>
      <c r="C36" s="22" t="s">
        <v>236</v>
      </c>
      <c r="D36" s="16">
        <v>1</v>
      </c>
    </row>
    <row r="37" spans="1:4" x14ac:dyDescent="0.3">
      <c r="A37" s="12">
        <v>36</v>
      </c>
      <c r="B37" s="12">
        <v>1</v>
      </c>
      <c r="C37" s="22" t="s">
        <v>237</v>
      </c>
      <c r="D37" s="16">
        <v>4</v>
      </c>
    </row>
    <row r="38" spans="1:4" x14ac:dyDescent="0.3">
      <c r="A38" s="12">
        <v>37</v>
      </c>
      <c r="B38" s="12">
        <v>1</v>
      </c>
      <c r="C38" s="22" t="s">
        <v>238</v>
      </c>
      <c r="D38" s="16">
        <v>2</v>
      </c>
    </row>
    <row r="39" spans="1:4" x14ac:dyDescent="0.3">
      <c r="A39" s="12">
        <v>38</v>
      </c>
      <c r="B39" s="12">
        <v>1</v>
      </c>
      <c r="C39" s="22" t="s">
        <v>239</v>
      </c>
      <c r="D39" s="16">
        <v>1</v>
      </c>
    </row>
    <row r="40" spans="1:4" x14ac:dyDescent="0.3">
      <c r="A40" s="12">
        <v>39</v>
      </c>
      <c r="B40" s="12">
        <v>1</v>
      </c>
      <c r="C40" s="22" t="s">
        <v>240</v>
      </c>
      <c r="D40" s="16">
        <v>2</v>
      </c>
    </row>
    <row r="41" spans="1:4" x14ac:dyDescent="0.3">
      <c r="A41" s="12">
        <v>40</v>
      </c>
      <c r="B41" s="12">
        <v>1</v>
      </c>
      <c r="C41" s="22" t="s">
        <v>241</v>
      </c>
      <c r="D41" s="16">
        <v>4</v>
      </c>
    </row>
    <row r="42" spans="1:4" x14ac:dyDescent="0.3">
      <c r="A42" s="12">
        <v>41</v>
      </c>
      <c r="B42" s="12">
        <v>1</v>
      </c>
      <c r="C42" s="22" t="s">
        <v>242</v>
      </c>
      <c r="D42" s="16">
        <v>1</v>
      </c>
    </row>
    <row r="43" spans="1:4" x14ac:dyDescent="0.3">
      <c r="A43" s="12">
        <v>42</v>
      </c>
      <c r="B43" s="12">
        <v>1</v>
      </c>
      <c r="C43" s="22" t="s">
        <v>243</v>
      </c>
      <c r="D43" s="16">
        <v>2</v>
      </c>
    </row>
    <row r="44" spans="1:4" x14ac:dyDescent="0.3">
      <c r="A44" s="12">
        <v>43</v>
      </c>
      <c r="B44" s="12">
        <v>1</v>
      </c>
      <c r="C44" s="22" t="s">
        <v>244</v>
      </c>
      <c r="D44" s="16">
        <v>4</v>
      </c>
    </row>
    <row r="45" spans="1:4" x14ac:dyDescent="0.3">
      <c r="A45" s="12">
        <v>44</v>
      </c>
      <c r="B45" s="12">
        <v>1</v>
      </c>
      <c r="C45" s="22" t="s">
        <v>245</v>
      </c>
      <c r="D45" s="16">
        <v>3</v>
      </c>
    </row>
    <row r="46" spans="1:4" x14ac:dyDescent="0.3">
      <c r="A46" s="12">
        <v>45</v>
      </c>
      <c r="B46" s="12">
        <v>1</v>
      </c>
      <c r="C46" s="22" t="s">
        <v>246</v>
      </c>
      <c r="D46" s="16">
        <v>1</v>
      </c>
    </row>
    <row r="47" spans="1:4" x14ac:dyDescent="0.3">
      <c r="A47" s="12">
        <v>46</v>
      </c>
      <c r="B47" s="12">
        <v>1</v>
      </c>
      <c r="C47" s="22" t="s">
        <v>247</v>
      </c>
      <c r="D47" s="16">
        <v>2</v>
      </c>
    </row>
    <row r="48" spans="1:4" x14ac:dyDescent="0.3">
      <c r="A48" s="12">
        <v>47</v>
      </c>
      <c r="B48" s="12">
        <v>1</v>
      </c>
      <c r="C48" s="22" t="s">
        <v>248</v>
      </c>
      <c r="D48" s="16">
        <v>2</v>
      </c>
    </row>
    <row r="49" spans="1:4" x14ac:dyDescent="0.3">
      <c r="A49" s="12">
        <v>48</v>
      </c>
      <c r="B49" s="12">
        <v>1</v>
      </c>
      <c r="C49" s="22" t="s">
        <v>249</v>
      </c>
      <c r="D49" s="16">
        <v>3</v>
      </c>
    </row>
    <row r="50" spans="1:4" x14ac:dyDescent="0.3">
      <c r="A50" s="12">
        <v>49</v>
      </c>
      <c r="B50" s="12">
        <v>1</v>
      </c>
      <c r="C50" s="22" t="s">
        <v>250</v>
      </c>
      <c r="D50" s="16">
        <v>1</v>
      </c>
    </row>
    <row r="51" spans="1:4" x14ac:dyDescent="0.3">
      <c r="A51" s="12">
        <v>50</v>
      </c>
      <c r="B51" s="12">
        <v>1</v>
      </c>
      <c r="C51" s="22" t="s">
        <v>251</v>
      </c>
      <c r="D51" s="16">
        <v>4</v>
      </c>
    </row>
    <row r="52" spans="1:4" x14ac:dyDescent="0.3">
      <c r="A52" s="12">
        <v>51</v>
      </c>
      <c r="B52" s="12">
        <v>1</v>
      </c>
      <c r="C52" s="22" t="s">
        <v>252</v>
      </c>
      <c r="D52" s="16">
        <v>3</v>
      </c>
    </row>
    <row r="53" spans="1:4" x14ac:dyDescent="0.3">
      <c r="A53" s="12">
        <v>52</v>
      </c>
      <c r="B53" s="12">
        <v>1</v>
      </c>
      <c r="C53" s="22" t="s">
        <v>253</v>
      </c>
      <c r="D53" s="16">
        <v>1</v>
      </c>
    </row>
    <row r="54" spans="1:4" x14ac:dyDescent="0.3">
      <c r="A54" s="12">
        <v>53</v>
      </c>
      <c r="B54" s="12">
        <v>1</v>
      </c>
      <c r="C54" s="22" t="s">
        <v>254</v>
      </c>
      <c r="D54" s="16">
        <v>3</v>
      </c>
    </row>
    <row r="55" spans="1:4" x14ac:dyDescent="0.3">
      <c r="A55" s="12">
        <v>54</v>
      </c>
      <c r="B55" s="12">
        <v>2</v>
      </c>
      <c r="C55" s="22" t="s">
        <v>255</v>
      </c>
      <c r="D55" s="16">
        <v>4</v>
      </c>
    </row>
    <row r="56" spans="1:4" x14ac:dyDescent="0.3">
      <c r="A56" s="12">
        <v>55</v>
      </c>
      <c r="B56" s="12">
        <v>2</v>
      </c>
      <c r="C56" s="22" t="s">
        <v>256</v>
      </c>
      <c r="D56" s="16">
        <v>4</v>
      </c>
    </row>
    <row r="57" spans="1:4" x14ac:dyDescent="0.3">
      <c r="A57" s="12">
        <v>56</v>
      </c>
      <c r="B57" s="12">
        <v>2</v>
      </c>
      <c r="C57" s="22" t="s">
        <v>257</v>
      </c>
      <c r="D57" s="16">
        <v>1</v>
      </c>
    </row>
    <row r="58" spans="1:4" x14ac:dyDescent="0.3">
      <c r="A58" s="12">
        <v>57</v>
      </c>
      <c r="B58" s="12">
        <v>2</v>
      </c>
      <c r="C58" s="22" t="s">
        <v>258</v>
      </c>
      <c r="D58" s="16">
        <v>3</v>
      </c>
    </row>
    <row r="59" spans="1:4" x14ac:dyDescent="0.3">
      <c r="A59" s="12">
        <v>58</v>
      </c>
      <c r="B59" s="12">
        <v>2</v>
      </c>
      <c r="C59" s="22" t="s">
        <v>259</v>
      </c>
      <c r="D59" s="16">
        <v>4</v>
      </c>
    </row>
    <row r="60" spans="1:4" x14ac:dyDescent="0.3">
      <c r="A60" s="12">
        <v>59</v>
      </c>
      <c r="B60" s="12">
        <v>2</v>
      </c>
      <c r="C60" s="22" t="s">
        <v>260</v>
      </c>
      <c r="D60" s="16">
        <v>3</v>
      </c>
    </row>
    <row r="61" spans="1:4" x14ac:dyDescent="0.3">
      <c r="A61" s="12">
        <v>60</v>
      </c>
      <c r="B61" s="12">
        <v>2</v>
      </c>
      <c r="C61" s="22" t="s">
        <v>261</v>
      </c>
      <c r="D61" s="16">
        <v>3</v>
      </c>
    </row>
    <row r="62" spans="1:4" x14ac:dyDescent="0.3">
      <c r="A62" s="12">
        <v>61</v>
      </c>
      <c r="B62" s="12">
        <v>2</v>
      </c>
      <c r="C62" s="22" t="s">
        <v>262</v>
      </c>
      <c r="D62" s="16">
        <v>3</v>
      </c>
    </row>
    <row r="63" spans="1:4" x14ac:dyDescent="0.3">
      <c r="A63" s="12">
        <v>62</v>
      </c>
      <c r="B63" s="12">
        <v>2</v>
      </c>
      <c r="C63" s="22" t="s">
        <v>263</v>
      </c>
      <c r="D63" s="16">
        <v>2</v>
      </c>
    </row>
    <row r="64" spans="1:4" x14ac:dyDescent="0.3">
      <c r="A64" s="12">
        <v>63</v>
      </c>
      <c r="B64" s="12">
        <v>2</v>
      </c>
      <c r="C64" s="22" t="s">
        <v>264</v>
      </c>
      <c r="D64" s="16">
        <v>4</v>
      </c>
    </row>
    <row r="65" spans="1:4" x14ac:dyDescent="0.3">
      <c r="A65" s="12">
        <v>64</v>
      </c>
      <c r="B65" s="12">
        <v>2</v>
      </c>
      <c r="C65" s="22" t="s">
        <v>265</v>
      </c>
      <c r="D65" s="16">
        <v>4</v>
      </c>
    </row>
    <row r="66" spans="1:4" x14ac:dyDescent="0.3">
      <c r="A66" s="12">
        <v>65</v>
      </c>
      <c r="B66" s="12">
        <v>2</v>
      </c>
      <c r="C66" s="22" t="s">
        <v>266</v>
      </c>
      <c r="D66" s="16">
        <v>2</v>
      </c>
    </row>
    <row r="67" spans="1:4" x14ac:dyDescent="0.3">
      <c r="A67" s="12">
        <v>66</v>
      </c>
      <c r="B67" s="12">
        <v>2</v>
      </c>
      <c r="C67" s="22" t="s">
        <v>267</v>
      </c>
      <c r="D67" s="16">
        <v>2</v>
      </c>
    </row>
    <row r="68" spans="1:4" x14ac:dyDescent="0.3">
      <c r="A68" s="12">
        <v>67</v>
      </c>
      <c r="B68" s="12">
        <v>2</v>
      </c>
      <c r="C68" s="22" t="s">
        <v>268</v>
      </c>
      <c r="D68" s="16">
        <v>4</v>
      </c>
    </row>
    <row r="69" spans="1:4" x14ac:dyDescent="0.3">
      <c r="A69" s="12">
        <v>68</v>
      </c>
      <c r="B69" s="12">
        <v>2</v>
      </c>
      <c r="C69" s="22" t="s">
        <v>269</v>
      </c>
      <c r="D69" s="16">
        <v>4</v>
      </c>
    </row>
    <row r="70" spans="1:4" x14ac:dyDescent="0.3">
      <c r="A70" s="12">
        <v>69</v>
      </c>
      <c r="B70" s="12">
        <v>2</v>
      </c>
      <c r="C70" s="22" t="s">
        <v>270</v>
      </c>
      <c r="D70" s="16">
        <v>2</v>
      </c>
    </row>
    <row r="71" spans="1:4" x14ac:dyDescent="0.3">
      <c r="A71" s="12">
        <v>70</v>
      </c>
      <c r="B71" s="12">
        <v>2</v>
      </c>
      <c r="C71" s="22" t="s">
        <v>271</v>
      </c>
      <c r="D71" s="16">
        <v>3</v>
      </c>
    </row>
    <row r="72" spans="1:4" x14ac:dyDescent="0.3">
      <c r="A72" s="12">
        <v>71</v>
      </c>
      <c r="B72" s="12">
        <v>2</v>
      </c>
      <c r="C72" s="22" t="s">
        <v>272</v>
      </c>
      <c r="D72" s="16">
        <v>4</v>
      </c>
    </row>
    <row r="73" spans="1:4" x14ac:dyDescent="0.3">
      <c r="A73" s="12">
        <v>72</v>
      </c>
      <c r="B73" s="12">
        <v>2</v>
      </c>
      <c r="C73" s="22" t="s">
        <v>273</v>
      </c>
      <c r="D73" s="16">
        <v>1</v>
      </c>
    </row>
    <row r="74" spans="1:4" x14ac:dyDescent="0.3">
      <c r="A74" s="12">
        <v>73</v>
      </c>
      <c r="B74" s="12">
        <v>2</v>
      </c>
      <c r="C74" s="22" t="s">
        <v>274</v>
      </c>
      <c r="D74" s="16">
        <v>3</v>
      </c>
    </row>
    <row r="75" spans="1:4" x14ac:dyDescent="0.3">
      <c r="A75" s="12">
        <v>74</v>
      </c>
      <c r="B75" s="12">
        <v>2</v>
      </c>
      <c r="C75" s="22" t="s">
        <v>275</v>
      </c>
      <c r="D75" s="16">
        <v>1</v>
      </c>
    </row>
    <row r="76" spans="1:4" x14ac:dyDescent="0.3">
      <c r="A76" s="12">
        <v>75</v>
      </c>
      <c r="B76" s="12">
        <v>2</v>
      </c>
      <c r="C76" s="22" t="s">
        <v>276</v>
      </c>
      <c r="D76" s="16">
        <v>4</v>
      </c>
    </row>
    <row r="77" spans="1:4" x14ac:dyDescent="0.3">
      <c r="A77" s="12">
        <v>76</v>
      </c>
      <c r="B77" s="12">
        <v>2</v>
      </c>
      <c r="C77" s="22" t="s">
        <v>277</v>
      </c>
      <c r="D77" s="16">
        <v>1</v>
      </c>
    </row>
    <row r="78" spans="1:4" x14ac:dyDescent="0.3">
      <c r="A78" s="12">
        <v>77</v>
      </c>
      <c r="B78" s="12">
        <v>2</v>
      </c>
      <c r="C78" s="22" t="s">
        <v>278</v>
      </c>
      <c r="D78" s="16">
        <v>1</v>
      </c>
    </row>
    <row r="79" spans="1:4" x14ac:dyDescent="0.3">
      <c r="A79" s="12">
        <v>78</v>
      </c>
      <c r="B79" s="12">
        <v>2</v>
      </c>
      <c r="C79" s="22" t="s">
        <v>279</v>
      </c>
      <c r="D79" s="16">
        <v>4</v>
      </c>
    </row>
    <row r="80" spans="1:4" x14ac:dyDescent="0.3">
      <c r="A80" s="12">
        <v>79</v>
      </c>
      <c r="B80" s="12">
        <v>2</v>
      </c>
      <c r="C80" s="22" t="s">
        <v>280</v>
      </c>
      <c r="D80" s="16">
        <v>2</v>
      </c>
    </row>
    <row r="81" spans="1:4" x14ac:dyDescent="0.3">
      <c r="A81" s="12">
        <v>80</v>
      </c>
      <c r="B81" s="12">
        <v>2</v>
      </c>
      <c r="C81" s="22" t="s">
        <v>281</v>
      </c>
      <c r="D81" s="16">
        <v>4</v>
      </c>
    </row>
    <row r="82" spans="1:4" x14ac:dyDescent="0.3">
      <c r="A82" s="12">
        <v>81</v>
      </c>
      <c r="B82" s="12">
        <v>2</v>
      </c>
      <c r="C82" s="22" t="s">
        <v>282</v>
      </c>
      <c r="D82" s="16">
        <v>4</v>
      </c>
    </row>
    <row r="83" spans="1:4" x14ac:dyDescent="0.3">
      <c r="A83" s="12">
        <v>82</v>
      </c>
      <c r="B83" s="12">
        <v>2</v>
      </c>
      <c r="C83" s="22" t="s">
        <v>283</v>
      </c>
      <c r="D83" s="16">
        <v>4</v>
      </c>
    </row>
    <row r="84" spans="1:4" x14ac:dyDescent="0.3">
      <c r="A84" s="12">
        <v>83</v>
      </c>
      <c r="B84" s="12">
        <v>2</v>
      </c>
      <c r="C84" s="22" t="s">
        <v>284</v>
      </c>
      <c r="D84" s="16">
        <v>4</v>
      </c>
    </row>
    <row r="85" spans="1:4" x14ac:dyDescent="0.3">
      <c r="A85" s="12">
        <v>84</v>
      </c>
      <c r="B85" s="12">
        <v>2</v>
      </c>
      <c r="C85" s="22" t="s">
        <v>285</v>
      </c>
      <c r="D85" s="16">
        <v>4</v>
      </c>
    </row>
    <row r="86" spans="1:4" x14ac:dyDescent="0.3">
      <c r="A86" s="12">
        <v>85</v>
      </c>
      <c r="B86" s="12">
        <v>2</v>
      </c>
      <c r="C86" s="22" t="s">
        <v>286</v>
      </c>
      <c r="D86" s="16">
        <v>2</v>
      </c>
    </row>
    <row r="87" spans="1:4" x14ac:dyDescent="0.3">
      <c r="A87" s="12">
        <v>86</v>
      </c>
      <c r="B87" s="12">
        <v>2</v>
      </c>
      <c r="C87" s="22" t="s">
        <v>287</v>
      </c>
      <c r="D87" s="16">
        <v>4</v>
      </c>
    </row>
    <row r="88" spans="1:4" x14ac:dyDescent="0.3">
      <c r="A88" s="12">
        <v>87</v>
      </c>
      <c r="B88" s="12">
        <v>2</v>
      </c>
      <c r="C88" s="22" t="s">
        <v>288</v>
      </c>
      <c r="D88" s="16">
        <v>2</v>
      </c>
    </row>
    <row r="89" spans="1:4" x14ac:dyDescent="0.3">
      <c r="A89" s="12">
        <v>88</v>
      </c>
      <c r="B89" s="12">
        <v>2</v>
      </c>
      <c r="C89" s="22" t="s">
        <v>289</v>
      </c>
      <c r="D89" s="16">
        <v>4</v>
      </c>
    </row>
    <row r="90" spans="1:4" x14ac:dyDescent="0.3">
      <c r="A90" s="12">
        <v>89</v>
      </c>
      <c r="B90" s="12">
        <v>2</v>
      </c>
      <c r="C90" s="22" t="s">
        <v>290</v>
      </c>
      <c r="D90" s="16">
        <v>4</v>
      </c>
    </row>
    <row r="91" spans="1:4" x14ac:dyDescent="0.3">
      <c r="A91" s="12">
        <v>90</v>
      </c>
      <c r="B91" s="12">
        <v>2</v>
      </c>
      <c r="C91" s="22" t="s">
        <v>291</v>
      </c>
      <c r="D91" s="16">
        <v>1</v>
      </c>
    </row>
    <row r="92" spans="1:4" x14ac:dyDescent="0.3">
      <c r="A92" s="12">
        <v>91</v>
      </c>
      <c r="B92" s="12">
        <v>2</v>
      </c>
      <c r="C92" s="22" t="s">
        <v>292</v>
      </c>
      <c r="D92" s="16">
        <v>2</v>
      </c>
    </row>
    <row r="93" spans="1:4" x14ac:dyDescent="0.3">
      <c r="A93" s="12">
        <v>92</v>
      </c>
      <c r="B93" s="12">
        <v>2</v>
      </c>
      <c r="C93" s="22" t="s">
        <v>293</v>
      </c>
      <c r="D93" s="16">
        <v>2</v>
      </c>
    </row>
    <row r="94" spans="1:4" x14ac:dyDescent="0.3">
      <c r="A94" s="12">
        <v>93</v>
      </c>
      <c r="B94" s="12">
        <v>2</v>
      </c>
      <c r="C94" s="22" t="s">
        <v>294</v>
      </c>
      <c r="D94" s="16">
        <v>3</v>
      </c>
    </row>
    <row r="95" spans="1:4" x14ac:dyDescent="0.3">
      <c r="A95" s="12">
        <v>94</v>
      </c>
      <c r="B95" s="12">
        <v>2</v>
      </c>
      <c r="C95" s="22" t="s">
        <v>295</v>
      </c>
      <c r="D95" s="16">
        <v>3</v>
      </c>
    </row>
    <row r="96" spans="1:4" x14ac:dyDescent="0.3">
      <c r="A96" s="12">
        <v>95</v>
      </c>
      <c r="B96" s="12">
        <v>2</v>
      </c>
      <c r="C96" s="22" t="s">
        <v>296</v>
      </c>
      <c r="D96" s="16">
        <v>1</v>
      </c>
    </row>
    <row r="97" spans="1:4" x14ac:dyDescent="0.3">
      <c r="A97" s="12">
        <v>96</v>
      </c>
      <c r="B97" s="12">
        <v>2</v>
      </c>
      <c r="C97" s="22" t="s">
        <v>297</v>
      </c>
      <c r="D97" s="16">
        <v>4</v>
      </c>
    </row>
    <row r="98" spans="1:4" x14ac:dyDescent="0.3">
      <c r="A98" s="12">
        <v>97</v>
      </c>
      <c r="B98" s="12">
        <v>2</v>
      </c>
      <c r="C98" s="22" t="s">
        <v>298</v>
      </c>
      <c r="D98" s="16">
        <v>3</v>
      </c>
    </row>
    <row r="99" spans="1:4" x14ac:dyDescent="0.3">
      <c r="A99" s="12">
        <v>98</v>
      </c>
      <c r="B99" s="12">
        <v>2</v>
      </c>
      <c r="C99" s="22" t="s">
        <v>299</v>
      </c>
      <c r="D99" s="16">
        <v>1</v>
      </c>
    </row>
    <row r="100" spans="1:4" x14ac:dyDescent="0.3">
      <c r="A100" s="12">
        <v>99</v>
      </c>
      <c r="B100" s="12">
        <v>2</v>
      </c>
      <c r="C100" s="22" t="s">
        <v>300</v>
      </c>
      <c r="D100" s="16">
        <v>4</v>
      </c>
    </row>
    <row r="101" spans="1:4" x14ac:dyDescent="0.3">
      <c r="A101" s="12">
        <v>100</v>
      </c>
      <c r="B101" s="12">
        <v>3</v>
      </c>
      <c r="C101" s="22" t="s">
        <v>301</v>
      </c>
      <c r="D101" s="16">
        <v>4</v>
      </c>
    </row>
    <row r="102" spans="1:4" x14ac:dyDescent="0.3">
      <c r="A102" s="12">
        <v>101</v>
      </c>
      <c r="B102" s="12">
        <v>3</v>
      </c>
      <c r="C102" s="22" t="s">
        <v>302</v>
      </c>
      <c r="D102" s="16">
        <v>3</v>
      </c>
    </row>
    <row r="103" spans="1:4" x14ac:dyDescent="0.3">
      <c r="A103" s="12">
        <v>102</v>
      </c>
      <c r="B103" s="12">
        <v>3</v>
      </c>
      <c r="C103" s="22" t="s">
        <v>303</v>
      </c>
      <c r="D103" s="16">
        <v>2</v>
      </c>
    </row>
    <row r="104" spans="1:4" x14ac:dyDescent="0.3">
      <c r="A104" s="12">
        <v>103</v>
      </c>
      <c r="B104" s="12">
        <v>3</v>
      </c>
      <c r="C104" s="22" t="s">
        <v>304</v>
      </c>
      <c r="D104" s="16">
        <v>3</v>
      </c>
    </row>
    <row r="105" spans="1:4" x14ac:dyDescent="0.3">
      <c r="A105" s="12">
        <v>104</v>
      </c>
      <c r="B105" s="12">
        <v>3</v>
      </c>
      <c r="C105" s="22" t="s">
        <v>305</v>
      </c>
      <c r="D105" s="16">
        <v>3</v>
      </c>
    </row>
    <row r="106" spans="1:4" x14ac:dyDescent="0.3">
      <c r="A106" s="12">
        <v>105</v>
      </c>
      <c r="B106" s="12">
        <v>3</v>
      </c>
      <c r="C106" s="22" t="s">
        <v>306</v>
      </c>
      <c r="D106" s="16">
        <v>1</v>
      </c>
    </row>
    <row r="107" spans="1:4" x14ac:dyDescent="0.3">
      <c r="A107" s="12">
        <v>106</v>
      </c>
      <c r="B107" s="12">
        <v>3</v>
      </c>
      <c r="C107" s="22" t="s">
        <v>307</v>
      </c>
      <c r="D107" s="16">
        <v>1</v>
      </c>
    </row>
    <row r="108" spans="1:4" x14ac:dyDescent="0.3">
      <c r="A108" s="12">
        <v>107</v>
      </c>
      <c r="B108" s="12">
        <v>3</v>
      </c>
      <c r="C108" s="22" t="s">
        <v>308</v>
      </c>
      <c r="D108" s="16">
        <v>3</v>
      </c>
    </row>
    <row r="109" spans="1:4" x14ac:dyDescent="0.3">
      <c r="A109" s="12">
        <v>108</v>
      </c>
      <c r="B109" s="12">
        <v>3</v>
      </c>
      <c r="C109" s="22" t="s">
        <v>309</v>
      </c>
      <c r="D109" s="16">
        <v>4</v>
      </c>
    </row>
    <row r="110" spans="1:4" x14ac:dyDescent="0.3">
      <c r="A110" s="12">
        <v>109</v>
      </c>
      <c r="B110" s="12">
        <v>3</v>
      </c>
      <c r="C110" s="22" t="s">
        <v>310</v>
      </c>
      <c r="D110" s="16">
        <v>2</v>
      </c>
    </row>
    <row r="111" spans="1:4" x14ac:dyDescent="0.3">
      <c r="A111" s="12">
        <v>110</v>
      </c>
      <c r="B111" s="12">
        <v>3</v>
      </c>
      <c r="C111" s="22" t="s">
        <v>311</v>
      </c>
      <c r="D111" s="16">
        <v>2</v>
      </c>
    </row>
    <row r="112" spans="1:4" x14ac:dyDescent="0.3">
      <c r="A112" s="12">
        <v>111</v>
      </c>
      <c r="B112" s="12">
        <v>3</v>
      </c>
      <c r="C112" s="22" t="s">
        <v>312</v>
      </c>
      <c r="D112" s="16">
        <v>1</v>
      </c>
    </row>
    <row r="113" spans="1:4" x14ac:dyDescent="0.3">
      <c r="A113" s="12">
        <v>112</v>
      </c>
      <c r="B113" s="12">
        <v>3</v>
      </c>
      <c r="C113" s="22" t="s">
        <v>313</v>
      </c>
      <c r="D113" s="16">
        <v>1</v>
      </c>
    </row>
    <row r="114" spans="1:4" x14ac:dyDescent="0.3">
      <c r="A114" s="12">
        <v>113</v>
      </c>
      <c r="B114" s="12">
        <v>3</v>
      </c>
      <c r="C114" s="22" t="s">
        <v>314</v>
      </c>
      <c r="D114" s="16">
        <v>2</v>
      </c>
    </row>
    <row r="115" spans="1:4" x14ac:dyDescent="0.3">
      <c r="A115" s="12">
        <v>114</v>
      </c>
      <c r="B115" s="12">
        <v>3</v>
      </c>
      <c r="C115" s="22" t="s">
        <v>242</v>
      </c>
      <c r="D115" s="16">
        <v>4</v>
      </c>
    </row>
    <row r="116" spans="1:4" x14ac:dyDescent="0.3">
      <c r="A116" s="12">
        <v>115</v>
      </c>
      <c r="B116" s="12">
        <v>3</v>
      </c>
      <c r="C116" s="22" t="s">
        <v>315</v>
      </c>
      <c r="D116" s="16">
        <v>3</v>
      </c>
    </row>
    <row r="117" spans="1:4" x14ac:dyDescent="0.3">
      <c r="A117" s="12">
        <v>116</v>
      </c>
      <c r="B117" s="12">
        <v>3</v>
      </c>
      <c r="C117" s="22" t="s">
        <v>316</v>
      </c>
      <c r="D117" s="16">
        <v>1</v>
      </c>
    </row>
    <row r="118" spans="1:4" x14ac:dyDescent="0.3">
      <c r="A118" s="12">
        <v>117</v>
      </c>
      <c r="B118" s="12">
        <v>3</v>
      </c>
      <c r="C118" s="22" t="s">
        <v>317</v>
      </c>
      <c r="D118" s="16">
        <v>2</v>
      </c>
    </row>
    <row r="119" spans="1:4" x14ac:dyDescent="0.3">
      <c r="A119" s="12">
        <v>118</v>
      </c>
      <c r="B119" s="12">
        <v>3</v>
      </c>
      <c r="C119" s="22" t="s">
        <v>318</v>
      </c>
      <c r="D119" s="16">
        <v>2</v>
      </c>
    </row>
    <row r="120" spans="1:4" x14ac:dyDescent="0.3">
      <c r="A120" s="12">
        <v>119</v>
      </c>
      <c r="B120" s="12">
        <v>3</v>
      </c>
      <c r="C120" s="22" t="s">
        <v>319</v>
      </c>
      <c r="D120" s="16">
        <v>2</v>
      </c>
    </row>
    <row r="121" spans="1:4" x14ac:dyDescent="0.3">
      <c r="A121" s="12">
        <v>120</v>
      </c>
      <c r="B121" s="12">
        <v>3</v>
      </c>
      <c r="C121" s="22" t="s">
        <v>320</v>
      </c>
      <c r="D121" s="16">
        <v>2</v>
      </c>
    </row>
    <row r="122" spans="1:4" x14ac:dyDescent="0.3">
      <c r="A122" s="12">
        <v>121</v>
      </c>
      <c r="B122" s="12">
        <v>3</v>
      </c>
      <c r="C122" s="22" t="s">
        <v>321</v>
      </c>
      <c r="D122" s="16">
        <v>2</v>
      </c>
    </row>
    <row r="123" spans="1:4" x14ac:dyDescent="0.3">
      <c r="A123" s="12">
        <v>122</v>
      </c>
      <c r="B123" s="12">
        <v>3</v>
      </c>
      <c r="C123" s="22" t="s">
        <v>322</v>
      </c>
      <c r="D123" s="16">
        <v>4</v>
      </c>
    </row>
    <row r="124" spans="1:4" x14ac:dyDescent="0.3">
      <c r="A124" s="12">
        <v>123</v>
      </c>
      <c r="B124" s="12">
        <v>3</v>
      </c>
      <c r="C124" s="22" t="s">
        <v>323</v>
      </c>
      <c r="D124" s="16">
        <v>2</v>
      </c>
    </row>
    <row r="125" spans="1:4" x14ac:dyDescent="0.3">
      <c r="A125" s="12">
        <v>124</v>
      </c>
      <c r="B125" s="12">
        <v>4</v>
      </c>
      <c r="C125" s="22" t="s">
        <v>324</v>
      </c>
      <c r="D125" s="16">
        <v>2</v>
      </c>
    </row>
    <row r="126" spans="1:4" x14ac:dyDescent="0.3">
      <c r="A126" s="12">
        <v>125</v>
      </c>
      <c r="B126" s="12">
        <v>4</v>
      </c>
      <c r="C126" s="22" t="s">
        <v>325</v>
      </c>
      <c r="D126" s="16">
        <v>4</v>
      </c>
    </row>
    <row r="127" spans="1:4" x14ac:dyDescent="0.3">
      <c r="A127" s="12">
        <v>126</v>
      </c>
      <c r="B127" s="12">
        <v>4</v>
      </c>
      <c r="C127" s="22" t="s">
        <v>326</v>
      </c>
      <c r="D127" s="16">
        <v>3</v>
      </c>
    </row>
    <row r="128" spans="1:4" x14ac:dyDescent="0.3">
      <c r="A128" s="12">
        <v>127</v>
      </c>
      <c r="B128" s="12">
        <v>4</v>
      </c>
      <c r="C128" s="22" t="s">
        <v>327</v>
      </c>
      <c r="D128" s="16">
        <v>2</v>
      </c>
    </row>
    <row r="129" spans="1:4" x14ac:dyDescent="0.3">
      <c r="A129" s="12">
        <v>128</v>
      </c>
      <c r="B129" s="12">
        <v>4</v>
      </c>
      <c r="C129" s="22" t="s">
        <v>328</v>
      </c>
      <c r="D129" s="16">
        <v>4</v>
      </c>
    </row>
    <row r="130" spans="1:4" x14ac:dyDescent="0.3">
      <c r="A130" s="12">
        <v>129</v>
      </c>
      <c r="B130" s="12">
        <v>4</v>
      </c>
      <c r="C130" s="22" t="s">
        <v>329</v>
      </c>
      <c r="D130" s="16">
        <v>1</v>
      </c>
    </row>
    <row r="131" spans="1:4" x14ac:dyDescent="0.3">
      <c r="A131" s="12">
        <v>130</v>
      </c>
      <c r="B131" s="12">
        <v>4</v>
      </c>
      <c r="C131" s="22" t="s">
        <v>330</v>
      </c>
      <c r="D131" s="16">
        <v>4</v>
      </c>
    </row>
    <row r="132" spans="1:4" x14ac:dyDescent="0.3">
      <c r="A132" s="12">
        <v>131</v>
      </c>
      <c r="B132" s="12">
        <v>4</v>
      </c>
      <c r="C132" s="22" t="s">
        <v>331</v>
      </c>
      <c r="D132" s="16">
        <v>4</v>
      </c>
    </row>
    <row r="133" spans="1:4" x14ac:dyDescent="0.3">
      <c r="A133" s="12">
        <v>132</v>
      </c>
      <c r="B133" s="12">
        <v>4</v>
      </c>
      <c r="C133" s="22" t="s">
        <v>332</v>
      </c>
      <c r="D133" s="16">
        <v>3</v>
      </c>
    </row>
    <row r="134" spans="1:4" x14ac:dyDescent="0.3">
      <c r="A134" s="12">
        <v>133</v>
      </c>
      <c r="B134" s="12">
        <v>4</v>
      </c>
      <c r="C134" s="22" t="s">
        <v>333</v>
      </c>
      <c r="D134" s="16">
        <v>4</v>
      </c>
    </row>
    <row r="135" spans="1:4" x14ac:dyDescent="0.3">
      <c r="A135" s="12">
        <v>134</v>
      </c>
      <c r="B135" s="12">
        <v>4</v>
      </c>
      <c r="C135" s="22" t="s">
        <v>334</v>
      </c>
      <c r="D135" s="16">
        <v>4</v>
      </c>
    </row>
    <row r="136" spans="1:4" x14ac:dyDescent="0.3">
      <c r="A136" s="12">
        <v>135</v>
      </c>
      <c r="B136" s="12">
        <v>4</v>
      </c>
      <c r="C136" s="22" t="s">
        <v>335</v>
      </c>
      <c r="D136" s="16">
        <v>3</v>
      </c>
    </row>
    <row r="137" spans="1:4" x14ac:dyDescent="0.3">
      <c r="A137" s="12">
        <v>136</v>
      </c>
      <c r="B137" s="12">
        <v>4</v>
      </c>
      <c r="C137" s="22" t="s">
        <v>336</v>
      </c>
      <c r="D137" s="16">
        <v>1</v>
      </c>
    </row>
    <row r="138" spans="1:4" x14ac:dyDescent="0.3">
      <c r="A138" s="12">
        <v>137</v>
      </c>
      <c r="B138" s="12">
        <v>4</v>
      </c>
      <c r="C138" s="22" t="s">
        <v>337</v>
      </c>
      <c r="D138" s="16">
        <v>4</v>
      </c>
    </row>
    <row r="139" spans="1:4" x14ac:dyDescent="0.3">
      <c r="A139" s="12">
        <v>138</v>
      </c>
      <c r="B139" s="12">
        <v>4</v>
      </c>
      <c r="C139" s="22" t="s">
        <v>338</v>
      </c>
      <c r="D139" s="16">
        <v>1</v>
      </c>
    </row>
    <row r="140" spans="1:4" x14ac:dyDescent="0.3">
      <c r="A140" s="12">
        <v>139</v>
      </c>
      <c r="B140" s="12">
        <v>4</v>
      </c>
      <c r="C140" s="22" t="s">
        <v>339</v>
      </c>
      <c r="D140" s="16">
        <v>2</v>
      </c>
    </row>
    <row r="141" spans="1:4" x14ac:dyDescent="0.3">
      <c r="A141" s="12">
        <v>140</v>
      </c>
      <c r="B141" s="12">
        <v>4</v>
      </c>
      <c r="C141" s="22" t="s">
        <v>340</v>
      </c>
      <c r="D141" s="16">
        <v>4</v>
      </c>
    </row>
    <row r="142" spans="1:4" x14ac:dyDescent="0.3">
      <c r="A142" s="12">
        <v>141</v>
      </c>
      <c r="B142" s="12">
        <v>4</v>
      </c>
      <c r="C142" s="22" t="s">
        <v>341</v>
      </c>
      <c r="D142" s="16">
        <v>1</v>
      </c>
    </row>
    <row r="143" spans="1:4" x14ac:dyDescent="0.3">
      <c r="A143" s="12">
        <v>142</v>
      </c>
      <c r="B143" s="12">
        <v>4</v>
      </c>
      <c r="C143" s="22" t="s">
        <v>342</v>
      </c>
      <c r="D143" s="16">
        <v>1</v>
      </c>
    </row>
    <row r="144" spans="1:4" x14ac:dyDescent="0.3">
      <c r="A144" s="12">
        <v>143</v>
      </c>
      <c r="B144" s="12">
        <v>4</v>
      </c>
      <c r="C144" s="22" t="s">
        <v>343</v>
      </c>
      <c r="D144" s="16">
        <v>4</v>
      </c>
    </row>
    <row r="145" spans="1:4" x14ac:dyDescent="0.3">
      <c r="A145" s="12">
        <v>144</v>
      </c>
      <c r="B145" s="12">
        <v>4</v>
      </c>
      <c r="C145" s="22" t="s">
        <v>344</v>
      </c>
      <c r="D145" s="16">
        <v>3</v>
      </c>
    </row>
    <row r="146" spans="1:4" x14ac:dyDescent="0.3">
      <c r="A146" s="12">
        <v>145</v>
      </c>
      <c r="B146" s="12">
        <v>4</v>
      </c>
      <c r="C146" s="22" t="s">
        <v>345</v>
      </c>
      <c r="D146" s="16">
        <v>1</v>
      </c>
    </row>
    <row r="147" spans="1:4" x14ac:dyDescent="0.3">
      <c r="A147" s="12">
        <v>146</v>
      </c>
      <c r="B147" s="12">
        <v>4</v>
      </c>
      <c r="C147" s="22" t="s">
        <v>346</v>
      </c>
      <c r="D147" s="16">
        <v>3</v>
      </c>
    </row>
    <row r="148" spans="1:4" x14ac:dyDescent="0.3">
      <c r="A148" s="12">
        <v>147</v>
      </c>
      <c r="B148" s="12">
        <v>4</v>
      </c>
      <c r="C148" s="22" t="s">
        <v>347</v>
      </c>
      <c r="D148" s="16">
        <v>2</v>
      </c>
    </row>
    <row r="149" spans="1:4" x14ac:dyDescent="0.3">
      <c r="A149" s="12">
        <v>148</v>
      </c>
      <c r="B149" s="12">
        <v>4</v>
      </c>
      <c r="C149" s="22" t="s">
        <v>348</v>
      </c>
      <c r="D149" s="16">
        <v>1</v>
      </c>
    </row>
    <row r="150" spans="1:4" x14ac:dyDescent="0.3">
      <c r="A150" s="12">
        <v>149</v>
      </c>
      <c r="B150" s="12">
        <v>4</v>
      </c>
      <c r="C150" s="22" t="s">
        <v>349</v>
      </c>
      <c r="D150" s="16">
        <v>2</v>
      </c>
    </row>
    <row r="151" spans="1:4" x14ac:dyDescent="0.3">
      <c r="A151" s="12">
        <v>150</v>
      </c>
      <c r="B151" s="12">
        <v>4</v>
      </c>
      <c r="C151" s="22" t="s">
        <v>350</v>
      </c>
      <c r="D151" s="16">
        <v>3</v>
      </c>
    </row>
    <row r="152" spans="1:4" x14ac:dyDescent="0.3">
      <c r="A152" s="12">
        <v>151</v>
      </c>
      <c r="B152" s="12">
        <v>4</v>
      </c>
      <c r="C152" s="22" t="s">
        <v>351</v>
      </c>
      <c r="D152" s="16">
        <v>3</v>
      </c>
    </row>
    <row r="153" spans="1:4" x14ac:dyDescent="0.3">
      <c r="A153" s="12">
        <v>152</v>
      </c>
      <c r="B153" s="12">
        <v>4</v>
      </c>
      <c r="C153" s="22" t="s">
        <v>352</v>
      </c>
      <c r="D153" s="16">
        <v>2</v>
      </c>
    </row>
    <row r="154" spans="1:4" x14ac:dyDescent="0.3">
      <c r="A154" s="12">
        <v>153</v>
      </c>
      <c r="B154" s="12">
        <v>4</v>
      </c>
      <c r="C154" s="22" t="s">
        <v>353</v>
      </c>
      <c r="D154" s="16">
        <v>3</v>
      </c>
    </row>
    <row r="155" spans="1:4" x14ac:dyDescent="0.3">
      <c r="A155" s="12">
        <v>154</v>
      </c>
      <c r="B155" s="12">
        <v>4</v>
      </c>
      <c r="C155" s="22" t="s">
        <v>354</v>
      </c>
      <c r="D155" s="16">
        <v>3</v>
      </c>
    </row>
    <row r="156" spans="1:4" x14ac:dyDescent="0.3">
      <c r="A156" s="12">
        <v>155</v>
      </c>
      <c r="B156" s="12">
        <v>4</v>
      </c>
      <c r="C156" s="22" t="s">
        <v>355</v>
      </c>
      <c r="D156" s="16">
        <v>1</v>
      </c>
    </row>
    <row r="157" spans="1:4" x14ac:dyDescent="0.3">
      <c r="A157" s="12">
        <v>156</v>
      </c>
      <c r="B157" s="12">
        <v>4</v>
      </c>
      <c r="C157" s="22" t="s">
        <v>356</v>
      </c>
      <c r="D157" s="16">
        <v>4</v>
      </c>
    </row>
    <row r="158" spans="1:4" x14ac:dyDescent="0.3">
      <c r="A158" s="12">
        <v>157</v>
      </c>
      <c r="B158" s="12">
        <v>4</v>
      </c>
      <c r="C158" s="22" t="s">
        <v>357</v>
      </c>
      <c r="D158" s="16">
        <v>2</v>
      </c>
    </row>
    <row r="159" spans="1:4" x14ac:dyDescent="0.3">
      <c r="A159" s="12">
        <v>158</v>
      </c>
      <c r="B159" s="12">
        <v>4</v>
      </c>
      <c r="C159" s="22" t="s">
        <v>358</v>
      </c>
      <c r="D159" s="16">
        <v>3</v>
      </c>
    </row>
    <row r="160" spans="1:4" x14ac:dyDescent="0.3">
      <c r="A160" s="12">
        <v>159</v>
      </c>
      <c r="B160" s="12">
        <v>4</v>
      </c>
      <c r="C160" s="22" t="s">
        <v>359</v>
      </c>
      <c r="D160" s="16">
        <v>1</v>
      </c>
    </row>
    <row r="161" spans="1:4" x14ac:dyDescent="0.3">
      <c r="A161" s="12">
        <v>160</v>
      </c>
      <c r="B161" s="12">
        <v>4</v>
      </c>
      <c r="C161" s="22" t="s">
        <v>360</v>
      </c>
      <c r="D161" s="16">
        <v>1</v>
      </c>
    </row>
    <row r="162" spans="1:4" x14ac:dyDescent="0.3">
      <c r="A162" s="12">
        <v>161</v>
      </c>
      <c r="B162" s="12">
        <v>4</v>
      </c>
      <c r="C162" s="22" t="s">
        <v>361</v>
      </c>
      <c r="D162" s="16">
        <v>1</v>
      </c>
    </row>
    <row r="163" spans="1:4" x14ac:dyDescent="0.3">
      <c r="A163" s="12">
        <v>162</v>
      </c>
      <c r="B163" s="12">
        <v>4</v>
      </c>
      <c r="C163" s="22" t="s">
        <v>362</v>
      </c>
      <c r="D163" s="16">
        <v>3</v>
      </c>
    </row>
    <row r="164" spans="1:4" x14ac:dyDescent="0.3">
      <c r="A164" s="12">
        <v>163</v>
      </c>
      <c r="B164" s="12">
        <v>4</v>
      </c>
      <c r="C164" s="22" t="s">
        <v>363</v>
      </c>
      <c r="D164" s="16">
        <v>2</v>
      </c>
    </row>
    <row r="165" spans="1:4" x14ac:dyDescent="0.3">
      <c r="A165" s="12">
        <v>164</v>
      </c>
      <c r="B165" s="12">
        <v>4</v>
      </c>
      <c r="C165" s="22" t="s">
        <v>364</v>
      </c>
      <c r="D165" s="16">
        <v>3</v>
      </c>
    </row>
    <row r="166" spans="1:4" x14ac:dyDescent="0.3">
      <c r="A166" s="12">
        <v>165</v>
      </c>
      <c r="B166" s="12">
        <v>4</v>
      </c>
      <c r="C166" s="22" t="s">
        <v>365</v>
      </c>
      <c r="D166" s="16">
        <v>4</v>
      </c>
    </row>
    <row r="167" spans="1:4" x14ac:dyDescent="0.3">
      <c r="A167" s="12">
        <v>166</v>
      </c>
      <c r="B167" s="12">
        <v>4</v>
      </c>
      <c r="C167" s="22" t="s">
        <v>366</v>
      </c>
      <c r="D167" s="16">
        <v>3</v>
      </c>
    </row>
    <row r="168" spans="1:4" x14ac:dyDescent="0.3">
      <c r="A168" s="12">
        <v>167</v>
      </c>
      <c r="B168" s="12">
        <v>4</v>
      </c>
      <c r="C168" s="22" t="s">
        <v>367</v>
      </c>
      <c r="D168" s="16">
        <v>3</v>
      </c>
    </row>
    <row r="169" spans="1:4" x14ac:dyDescent="0.3">
      <c r="A169" s="12">
        <v>168</v>
      </c>
      <c r="B169" s="12">
        <v>5</v>
      </c>
      <c r="C169" s="22" t="s">
        <v>368</v>
      </c>
      <c r="D169" s="16">
        <v>3</v>
      </c>
    </row>
    <row r="170" spans="1:4" x14ac:dyDescent="0.3">
      <c r="A170" s="12">
        <v>169</v>
      </c>
      <c r="B170" s="12">
        <v>5</v>
      </c>
      <c r="C170" s="22" t="s">
        <v>369</v>
      </c>
      <c r="D170" s="16">
        <v>3</v>
      </c>
    </row>
    <row r="171" spans="1:4" x14ac:dyDescent="0.3">
      <c r="A171" s="12">
        <v>170</v>
      </c>
      <c r="B171" s="12">
        <v>5</v>
      </c>
      <c r="C171" s="22" t="s">
        <v>370</v>
      </c>
      <c r="D171" s="16">
        <v>3</v>
      </c>
    </row>
    <row r="172" spans="1:4" x14ac:dyDescent="0.3">
      <c r="A172" s="12">
        <v>171</v>
      </c>
      <c r="B172" s="12">
        <v>5</v>
      </c>
      <c r="C172" s="22" t="s">
        <v>371</v>
      </c>
      <c r="D172" s="16">
        <v>1</v>
      </c>
    </row>
    <row r="173" spans="1:4" x14ac:dyDescent="0.3">
      <c r="A173" s="12">
        <v>172</v>
      </c>
      <c r="B173" s="12">
        <v>5</v>
      </c>
      <c r="C173" s="22" t="s">
        <v>372</v>
      </c>
      <c r="D173" s="16">
        <v>4</v>
      </c>
    </row>
    <row r="174" spans="1:4" x14ac:dyDescent="0.3">
      <c r="A174" s="12">
        <v>173</v>
      </c>
      <c r="B174" s="12">
        <v>5</v>
      </c>
      <c r="C174" s="22" t="s">
        <v>373</v>
      </c>
      <c r="D174" s="16">
        <v>4</v>
      </c>
    </row>
    <row r="175" spans="1:4" x14ac:dyDescent="0.3">
      <c r="A175" s="12">
        <v>174</v>
      </c>
      <c r="B175" s="12">
        <v>5</v>
      </c>
      <c r="C175" s="22" t="s">
        <v>374</v>
      </c>
      <c r="D175" s="16">
        <v>3</v>
      </c>
    </row>
    <row r="176" spans="1:4" x14ac:dyDescent="0.3">
      <c r="A176" s="12">
        <v>175</v>
      </c>
      <c r="B176" s="12">
        <v>5</v>
      </c>
      <c r="C176" s="22" t="s">
        <v>375</v>
      </c>
      <c r="D176" s="16">
        <v>3</v>
      </c>
    </row>
    <row r="177" spans="1:4" x14ac:dyDescent="0.3">
      <c r="A177" s="12">
        <v>176</v>
      </c>
      <c r="B177" s="12">
        <v>5</v>
      </c>
      <c r="C177" s="22" t="s">
        <v>376</v>
      </c>
      <c r="D177" s="16">
        <v>3</v>
      </c>
    </row>
    <row r="178" spans="1:4" x14ac:dyDescent="0.3">
      <c r="A178" s="12">
        <v>177</v>
      </c>
      <c r="B178" s="12">
        <v>5</v>
      </c>
      <c r="C178" s="22" t="s">
        <v>377</v>
      </c>
      <c r="D178" s="16">
        <v>3</v>
      </c>
    </row>
    <row r="179" spans="1:4" x14ac:dyDescent="0.3">
      <c r="A179" s="12">
        <v>178</v>
      </c>
      <c r="B179" s="12">
        <v>5</v>
      </c>
      <c r="C179" s="22" t="s">
        <v>378</v>
      </c>
      <c r="D179" s="16">
        <v>4</v>
      </c>
    </row>
    <row r="180" spans="1:4" x14ac:dyDescent="0.3">
      <c r="A180" s="12">
        <v>179</v>
      </c>
      <c r="B180" s="12">
        <v>5</v>
      </c>
      <c r="C180" s="22" t="s">
        <v>379</v>
      </c>
      <c r="D180" s="16">
        <v>2</v>
      </c>
    </row>
    <row r="181" spans="1:4" x14ac:dyDescent="0.3">
      <c r="A181" s="12">
        <v>180</v>
      </c>
      <c r="B181" s="12">
        <v>5</v>
      </c>
      <c r="C181" s="22" t="s">
        <v>380</v>
      </c>
      <c r="D181" s="16">
        <v>3</v>
      </c>
    </row>
    <row r="182" spans="1:4" x14ac:dyDescent="0.3">
      <c r="A182" s="12">
        <v>181</v>
      </c>
      <c r="B182" s="12">
        <v>5</v>
      </c>
      <c r="C182" s="22" t="s">
        <v>381</v>
      </c>
      <c r="D182" s="16">
        <v>3</v>
      </c>
    </row>
    <row r="183" spans="1:4" x14ac:dyDescent="0.3">
      <c r="A183" s="12">
        <v>182</v>
      </c>
      <c r="B183" s="12">
        <v>5</v>
      </c>
      <c r="C183" s="22" t="s">
        <v>382</v>
      </c>
      <c r="D183" s="16">
        <v>3</v>
      </c>
    </row>
    <row r="184" spans="1:4" x14ac:dyDescent="0.3">
      <c r="A184" s="12">
        <v>183</v>
      </c>
      <c r="B184" s="12">
        <v>5</v>
      </c>
      <c r="C184" s="22" t="s">
        <v>383</v>
      </c>
      <c r="D184" s="16">
        <v>3</v>
      </c>
    </row>
    <row r="185" spans="1:4" x14ac:dyDescent="0.3">
      <c r="A185" s="12">
        <v>184</v>
      </c>
      <c r="B185" s="12">
        <v>5</v>
      </c>
      <c r="C185" s="22" t="s">
        <v>384</v>
      </c>
      <c r="D185" s="16">
        <v>2</v>
      </c>
    </row>
    <row r="186" spans="1:4" x14ac:dyDescent="0.3">
      <c r="A186" s="12">
        <v>185</v>
      </c>
      <c r="B186" s="12">
        <v>5</v>
      </c>
      <c r="C186" s="22" t="s">
        <v>385</v>
      </c>
      <c r="D186" s="16">
        <v>1</v>
      </c>
    </row>
    <row r="187" spans="1:4" x14ac:dyDescent="0.3">
      <c r="A187" s="12">
        <v>186</v>
      </c>
      <c r="B187" s="12">
        <v>5</v>
      </c>
      <c r="C187" s="22" t="s">
        <v>386</v>
      </c>
      <c r="D187" s="16">
        <v>4</v>
      </c>
    </row>
    <row r="188" spans="1:4" x14ac:dyDescent="0.3">
      <c r="A188" s="12">
        <v>187</v>
      </c>
      <c r="B188" s="12">
        <v>5</v>
      </c>
      <c r="C188" s="22" t="s">
        <v>387</v>
      </c>
      <c r="D188" s="16">
        <v>2</v>
      </c>
    </row>
    <row r="189" spans="1:4" x14ac:dyDescent="0.3">
      <c r="A189" s="12">
        <v>188</v>
      </c>
      <c r="B189" s="12">
        <v>5</v>
      </c>
      <c r="C189" s="22" t="s">
        <v>388</v>
      </c>
      <c r="D189" s="16">
        <v>2</v>
      </c>
    </row>
    <row r="190" spans="1:4" x14ac:dyDescent="0.3">
      <c r="A190" s="12">
        <v>189</v>
      </c>
      <c r="B190" s="12">
        <v>5</v>
      </c>
      <c r="C190" s="22" t="s">
        <v>389</v>
      </c>
      <c r="D190" s="16">
        <v>4</v>
      </c>
    </row>
    <row r="191" spans="1:4" x14ac:dyDescent="0.3">
      <c r="A191" s="12">
        <v>190</v>
      </c>
      <c r="B191" s="12">
        <v>5</v>
      </c>
      <c r="C191" s="22" t="s">
        <v>390</v>
      </c>
      <c r="D191" s="16">
        <v>4</v>
      </c>
    </row>
    <row r="192" spans="1:4" x14ac:dyDescent="0.3">
      <c r="A192" s="12">
        <v>191</v>
      </c>
      <c r="B192" s="12">
        <v>5</v>
      </c>
      <c r="C192" s="22" t="s">
        <v>391</v>
      </c>
      <c r="D192" s="16">
        <v>4</v>
      </c>
    </row>
    <row r="193" spans="1:4" x14ac:dyDescent="0.3">
      <c r="A193" s="12">
        <v>192</v>
      </c>
      <c r="B193" s="12">
        <v>5</v>
      </c>
      <c r="C193" s="22" t="s">
        <v>392</v>
      </c>
      <c r="D193" s="16">
        <v>1</v>
      </c>
    </row>
    <row r="194" spans="1:4" x14ac:dyDescent="0.3">
      <c r="A194" s="12">
        <v>193</v>
      </c>
      <c r="B194" s="12">
        <v>5</v>
      </c>
      <c r="C194" s="22" t="s">
        <v>393</v>
      </c>
      <c r="D194" s="16">
        <v>4</v>
      </c>
    </row>
    <row r="195" spans="1:4" x14ac:dyDescent="0.3">
      <c r="A195" s="12">
        <v>194</v>
      </c>
      <c r="B195" s="12">
        <v>5</v>
      </c>
      <c r="C195" s="22" t="s">
        <v>394</v>
      </c>
      <c r="D195" s="16">
        <v>2</v>
      </c>
    </row>
    <row r="196" spans="1:4" x14ac:dyDescent="0.3">
      <c r="A196" s="12">
        <v>195</v>
      </c>
      <c r="B196" s="12">
        <v>5</v>
      </c>
      <c r="C196" s="22" t="s">
        <v>395</v>
      </c>
      <c r="D196" s="16">
        <v>3</v>
      </c>
    </row>
    <row r="197" spans="1:4" x14ac:dyDescent="0.3">
      <c r="A197" s="12">
        <v>196</v>
      </c>
      <c r="B197" s="12">
        <v>5</v>
      </c>
      <c r="C197" s="22" t="s">
        <v>396</v>
      </c>
      <c r="D197" s="16">
        <v>3</v>
      </c>
    </row>
    <row r="198" spans="1:4" x14ac:dyDescent="0.3">
      <c r="A198" s="12">
        <v>197</v>
      </c>
      <c r="B198" s="12">
        <v>5</v>
      </c>
      <c r="C198" s="22" t="s">
        <v>397</v>
      </c>
      <c r="D198" s="16">
        <v>3</v>
      </c>
    </row>
    <row r="199" spans="1:4" x14ac:dyDescent="0.3">
      <c r="A199" s="12">
        <v>198</v>
      </c>
      <c r="B199" s="12">
        <v>5</v>
      </c>
      <c r="C199" s="22" t="s">
        <v>398</v>
      </c>
      <c r="D199" s="16">
        <v>4</v>
      </c>
    </row>
    <row r="200" spans="1:4" x14ac:dyDescent="0.3">
      <c r="A200" s="12">
        <v>199</v>
      </c>
      <c r="B200" s="12">
        <v>5</v>
      </c>
      <c r="C200" s="22" t="s">
        <v>399</v>
      </c>
      <c r="D200" s="16">
        <v>2</v>
      </c>
    </row>
    <row r="201" spans="1:4" x14ac:dyDescent="0.3">
      <c r="A201" s="12">
        <v>200</v>
      </c>
      <c r="B201" s="12">
        <v>5</v>
      </c>
      <c r="C201" s="22" t="s">
        <v>400</v>
      </c>
      <c r="D201" s="16">
        <v>3</v>
      </c>
    </row>
    <row r="202" spans="1:4" x14ac:dyDescent="0.3">
      <c r="A202" s="12">
        <v>201</v>
      </c>
      <c r="B202" s="12">
        <v>5</v>
      </c>
      <c r="C202" s="22" t="s">
        <v>401</v>
      </c>
      <c r="D202" s="16">
        <v>3</v>
      </c>
    </row>
    <row r="203" spans="1:4" x14ac:dyDescent="0.3">
      <c r="A203" s="12">
        <v>202</v>
      </c>
      <c r="B203" s="12">
        <v>5</v>
      </c>
      <c r="C203" s="22" t="s">
        <v>402</v>
      </c>
      <c r="D203" s="16">
        <v>2</v>
      </c>
    </row>
    <row r="204" spans="1:4" x14ac:dyDescent="0.3">
      <c r="A204" s="12">
        <v>203</v>
      </c>
      <c r="B204" s="12">
        <v>5</v>
      </c>
      <c r="C204" s="22" t="s">
        <v>403</v>
      </c>
      <c r="D204" s="16">
        <v>4</v>
      </c>
    </row>
    <row r="205" spans="1:4" x14ac:dyDescent="0.3">
      <c r="A205" s="12">
        <v>204</v>
      </c>
      <c r="B205" s="12">
        <v>5</v>
      </c>
      <c r="C205" s="22" t="s">
        <v>404</v>
      </c>
      <c r="D205" s="16">
        <v>1</v>
      </c>
    </row>
    <row r="206" spans="1:4" x14ac:dyDescent="0.3">
      <c r="A206" s="12">
        <v>205</v>
      </c>
      <c r="B206" s="12">
        <v>5</v>
      </c>
      <c r="C206" s="22" t="s">
        <v>405</v>
      </c>
      <c r="D206" s="16">
        <v>3</v>
      </c>
    </row>
    <row r="207" spans="1:4" x14ac:dyDescent="0.3">
      <c r="A207" s="12">
        <v>206</v>
      </c>
      <c r="B207" s="12">
        <v>5</v>
      </c>
      <c r="C207" s="22" t="s">
        <v>406</v>
      </c>
      <c r="D207" s="16">
        <v>2</v>
      </c>
    </row>
    <row r="208" spans="1:4" x14ac:dyDescent="0.3">
      <c r="A208" s="12">
        <v>207</v>
      </c>
      <c r="B208" s="12">
        <v>5</v>
      </c>
      <c r="C208" s="22" t="s">
        <v>407</v>
      </c>
      <c r="D208" s="16">
        <v>2</v>
      </c>
    </row>
    <row r="209" spans="1:4" x14ac:dyDescent="0.3">
      <c r="A209" s="12">
        <v>208</v>
      </c>
      <c r="B209" s="12">
        <v>5</v>
      </c>
      <c r="C209" s="22" t="s">
        <v>408</v>
      </c>
      <c r="D209" s="16">
        <v>4</v>
      </c>
    </row>
    <row r="210" spans="1:4" x14ac:dyDescent="0.3">
      <c r="A210" s="12">
        <v>209</v>
      </c>
      <c r="B210" s="12">
        <v>5</v>
      </c>
      <c r="C210" s="22" t="s">
        <v>409</v>
      </c>
      <c r="D210" s="16">
        <v>1</v>
      </c>
    </row>
    <row r="211" spans="1:4" x14ac:dyDescent="0.3">
      <c r="A211" s="12">
        <v>210</v>
      </c>
      <c r="B211" s="12">
        <v>5</v>
      </c>
      <c r="C211" s="22" t="s">
        <v>410</v>
      </c>
      <c r="D211" s="16">
        <v>4</v>
      </c>
    </row>
    <row r="212" spans="1:4" x14ac:dyDescent="0.3">
      <c r="A212" s="12">
        <v>211</v>
      </c>
      <c r="B212" s="12">
        <v>5</v>
      </c>
      <c r="C212" s="22" t="s">
        <v>411</v>
      </c>
      <c r="D212" s="16">
        <v>2</v>
      </c>
    </row>
    <row r="213" spans="1:4" x14ac:dyDescent="0.3">
      <c r="A213" s="12">
        <v>212</v>
      </c>
      <c r="B213" s="12">
        <v>5</v>
      </c>
      <c r="C213" s="22" t="s">
        <v>412</v>
      </c>
      <c r="D213" s="16">
        <v>2</v>
      </c>
    </row>
    <row r="214" spans="1:4" x14ac:dyDescent="0.3">
      <c r="A214" s="12">
        <v>213</v>
      </c>
      <c r="B214" s="12">
        <v>5</v>
      </c>
      <c r="C214" s="22" t="s">
        <v>413</v>
      </c>
      <c r="D214" s="16">
        <v>2</v>
      </c>
    </row>
    <row r="215" spans="1:4" x14ac:dyDescent="0.3">
      <c r="A215" s="12">
        <v>214</v>
      </c>
      <c r="B215" s="12">
        <v>5</v>
      </c>
      <c r="C215" s="22" t="s">
        <v>414</v>
      </c>
      <c r="D215" s="16">
        <v>4</v>
      </c>
    </row>
    <row r="216" spans="1:4" x14ac:dyDescent="0.3">
      <c r="A216" s="12">
        <v>215</v>
      </c>
      <c r="B216" s="12">
        <v>6</v>
      </c>
      <c r="C216" s="22" t="s">
        <v>415</v>
      </c>
      <c r="D216" s="16">
        <v>2</v>
      </c>
    </row>
    <row r="217" spans="1:4" x14ac:dyDescent="0.3">
      <c r="A217" s="12">
        <v>216</v>
      </c>
      <c r="B217" s="12">
        <v>6</v>
      </c>
      <c r="C217" s="22" t="s">
        <v>416</v>
      </c>
      <c r="D217" s="16">
        <v>3</v>
      </c>
    </row>
    <row r="218" spans="1:4" x14ac:dyDescent="0.3">
      <c r="A218" s="12">
        <v>217</v>
      </c>
      <c r="B218" s="12">
        <v>6</v>
      </c>
      <c r="C218" s="22" t="s">
        <v>417</v>
      </c>
      <c r="D218" s="16">
        <v>4</v>
      </c>
    </row>
    <row r="219" spans="1:4" x14ac:dyDescent="0.3">
      <c r="A219" s="12">
        <v>218</v>
      </c>
      <c r="B219" s="12">
        <v>6</v>
      </c>
      <c r="C219" s="22" t="s">
        <v>418</v>
      </c>
      <c r="D219" s="16">
        <v>4</v>
      </c>
    </row>
    <row r="220" spans="1:4" x14ac:dyDescent="0.3">
      <c r="A220" s="12">
        <v>219</v>
      </c>
      <c r="B220" s="12">
        <v>6</v>
      </c>
      <c r="C220" s="22" t="s">
        <v>419</v>
      </c>
      <c r="D220" s="16">
        <v>2</v>
      </c>
    </row>
    <row r="221" spans="1:4" x14ac:dyDescent="0.3">
      <c r="A221" s="12">
        <v>220</v>
      </c>
      <c r="B221" s="12">
        <v>6</v>
      </c>
      <c r="C221" s="22" t="s">
        <v>420</v>
      </c>
      <c r="D221" s="16">
        <v>4</v>
      </c>
    </row>
    <row r="222" spans="1:4" x14ac:dyDescent="0.3">
      <c r="A222" s="12">
        <v>221</v>
      </c>
      <c r="B222" s="12">
        <v>6</v>
      </c>
      <c r="C222" s="22" t="s">
        <v>421</v>
      </c>
      <c r="D222" s="16">
        <v>4</v>
      </c>
    </row>
    <row r="223" spans="1:4" x14ac:dyDescent="0.3">
      <c r="A223" s="12">
        <v>222</v>
      </c>
      <c r="B223" s="12">
        <v>6</v>
      </c>
      <c r="C223" s="22" t="s">
        <v>422</v>
      </c>
      <c r="D223" s="16">
        <v>2</v>
      </c>
    </row>
    <row r="224" spans="1:4" x14ac:dyDescent="0.3">
      <c r="A224" s="12">
        <v>223</v>
      </c>
      <c r="B224" s="12">
        <v>6</v>
      </c>
      <c r="C224" s="22" t="s">
        <v>423</v>
      </c>
      <c r="D224" s="16">
        <v>4</v>
      </c>
    </row>
    <row r="225" spans="1:4" x14ac:dyDescent="0.3">
      <c r="A225" s="12">
        <v>224</v>
      </c>
      <c r="B225" s="12">
        <v>6</v>
      </c>
      <c r="C225" s="22" t="s">
        <v>424</v>
      </c>
      <c r="D225" s="16">
        <v>3</v>
      </c>
    </row>
    <row r="226" spans="1:4" x14ac:dyDescent="0.3">
      <c r="A226" s="12">
        <v>225</v>
      </c>
      <c r="B226" s="12">
        <v>6</v>
      </c>
      <c r="C226" s="22" t="s">
        <v>425</v>
      </c>
      <c r="D226" s="16">
        <v>1</v>
      </c>
    </row>
    <row r="227" spans="1:4" x14ac:dyDescent="0.3">
      <c r="A227" s="12">
        <v>226</v>
      </c>
      <c r="B227" s="12">
        <v>6</v>
      </c>
      <c r="C227" s="22" t="s">
        <v>426</v>
      </c>
      <c r="D227" s="16">
        <v>4</v>
      </c>
    </row>
    <row r="228" spans="1:4" x14ac:dyDescent="0.3">
      <c r="A228" s="12">
        <v>227</v>
      </c>
      <c r="B228" s="12">
        <v>6</v>
      </c>
      <c r="C228" s="22" t="s">
        <v>427</v>
      </c>
      <c r="D228" s="16">
        <v>2</v>
      </c>
    </row>
    <row r="229" spans="1:4" x14ac:dyDescent="0.3">
      <c r="A229" s="12">
        <v>228</v>
      </c>
      <c r="B229" s="12">
        <v>6</v>
      </c>
      <c r="C229" s="22" t="s">
        <v>428</v>
      </c>
      <c r="D229" s="16">
        <v>4</v>
      </c>
    </row>
    <row r="230" spans="1:4" x14ac:dyDescent="0.3">
      <c r="A230" s="12">
        <v>229</v>
      </c>
      <c r="B230" s="12">
        <v>6</v>
      </c>
      <c r="C230" s="22" t="s">
        <v>429</v>
      </c>
      <c r="D230" s="16">
        <v>2</v>
      </c>
    </row>
    <row r="231" spans="1:4" x14ac:dyDescent="0.3">
      <c r="A231" s="12">
        <v>230</v>
      </c>
      <c r="B231" s="12">
        <v>6</v>
      </c>
      <c r="C231" s="22" t="s">
        <v>430</v>
      </c>
      <c r="D231" s="16">
        <v>2</v>
      </c>
    </row>
    <row r="232" spans="1:4" x14ac:dyDescent="0.3">
      <c r="A232" s="12">
        <v>231</v>
      </c>
      <c r="B232" s="12">
        <v>6</v>
      </c>
      <c r="C232" s="22" t="s">
        <v>431</v>
      </c>
      <c r="D232" s="16">
        <v>4</v>
      </c>
    </row>
    <row r="233" spans="1:4" x14ac:dyDescent="0.3">
      <c r="A233" s="12">
        <v>232</v>
      </c>
      <c r="B233" s="12">
        <v>6</v>
      </c>
      <c r="C233" s="22" t="s">
        <v>432</v>
      </c>
      <c r="D233" s="16">
        <v>3</v>
      </c>
    </row>
    <row r="234" spans="1:4" x14ac:dyDescent="0.3">
      <c r="A234" s="12">
        <v>233</v>
      </c>
      <c r="B234" s="12">
        <v>6</v>
      </c>
      <c r="C234" s="22" t="s">
        <v>433</v>
      </c>
      <c r="D234" s="16">
        <v>4</v>
      </c>
    </row>
    <row r="235" spans="1:4" x14ac:dyDescent="0.3">
      <c r="A235" s="12">
        <v>234</v>
      </c>
      <c r="B235" s="12">
        <v>6</v>
      </c>
      <c r="C235" s="22" t="s">
        <v>434</v>
      </c>
      <c r="D235" s="16">
        <v>4</v>
      </c>
    </row>
    <row r="236" spans="1:4" x14ac:dyDescent="0.3">
      <c r="A236" s="12">
        <v>235</v>
      </c>
      <c r="B236" s="12">
        <v>6</v>
      </c>
      <c r="C236" s="22" t="s">
        <v>435</v>
      </c>
      <c r="D236" s="16">
        <v>3</v>
      </c>
    </row>
    <row r="237" spans="1:4" x14ac:dyDescent="0.3">
      <c r="A237" s="12">
        <v>236</v>
      </c>
      <c r="B237" s="12">
        <v>6</v>
      </c>
      <c r="C237" s="22" t="s">
        <v>436</v>
      </c>
      <c r="D237" s="16">
        <v>2</v>
      </c>
    </row>
    <row r="238" spans="1:4" x14ac:dyDescent="0.3">
      <c r="A238" s="12">
        <v>237</v>
      </c>
      <c r="B238" s="12">
        <v>6</v>
      </c>
      <c r="C238" s="22" t="s">
        <v>437</v>
      </c>
      <c r="D238" s="16">
        <v>4</v>
      </c>
    </row>
    <row r="239" spans="1:4" x14ac:dyDescent="0.3">
      <c r="A239" s="12">
        <v>238</v>
      </c>
      <c r="B239" s="12">
        <v>6</v>
      </c>
      <c r="C239" s="22" t="s">
        <v>438</v>
      </c>
      <c r="D239" s="16">
        <v>4</v>
      </c>
    </row>
    <row r="240" spans="1:4" x14ac:dyDescent="0.3">
      <c r="A240" s="12">
        <v>239</v>
      </c>
      <c r="B240" s="12">
        <v>6</v>
      </c>
      <c r="C240" s="22" t="s">
        <v>439</v>
      </c>
      <c r="D240" s="16">
        <v>3</v>
      </c>
    </row>
    <row r="241" spans="1:4" x14ac:dyDescent="0.3">
      <c r="A241" s="12">
        <v>240</v>
      </c>
      <c r="B241" s="12">
        <v>6</v>
      </c>
      <c r="C241" s="22" t="s">
        <v>440</v>
      </c>
      <c r="D241" s="16">
        <v>2</v>
      </c>
    </row>
    <row r="242" spans="1:4" x14ac:dyDescent="0.3">
      <c r="A242" s="12">
        <v>241</v>
      </c>
      <c r="B242" s="12">
        <v>6</v>
      </c>
      <c r="C242" s="22" t="s">
        <v>441</v>
      </c>
      <c r="D242" s="16">
        <v>2</v>
      </c>
    </row>
    <row r="243" spans="1:4" x14ac:dyDescent="0.3">
      <c r="A243" s="12">
        <v>242</v>
      </c>
      <c r="B243" s="12">
        <v>6</v>
      </c>
      <c r="C243" s="22" t="s">
        <v>442</v>
      </c>
      <c r="D243" s="16">
        <v>3</v>
      </c>
    </row>
    <row r="244" spans="1:4" x14ac:dyDescent="0.3">
      <c r="A244" s="12">
        <v>243</v>
      </c>
      <c r="B244" s="12">
        <v>6</v>
      </c>
      <c r="C244" s="22" t="s">
        <v>443</v>
      </c>
      <c r="D244" s="16">
        <v>4</v>
      </c>
    </row>
    <row r="245" spans="1:4" x14ac:dyDescent="0.3">
      <c r="A245" s="12">
        <v>244</v>
      </c>
      <c r="B245" s="12">
        <v>6</v>
      </c>
      <c r="C245" s="22" t="s">
        <v>444</v>
      </c>
      <c r="D245" s="16">
        <v>3</v>
      </c>
    </row>
    <row r="246" spans="1:4" x14ac:dyDescent="0.3">
      <c r="A246" s="12">
        <v>245</v>
      </c>
      <c r="B246" s="12">
        <v>6</v>
      </c>
      <c r="C246" s="22" t="s">
        <v>445</v>
      </c>
      <c r="D246" s="16">
        <v>3</v>
      </c>
    </row>
    <row r="247" spans="1:4" x14ac:dyDescent="0.3">
      <c r="A247" s="12">
        <v>246</v>
      </c>
      <c r="B247" s="12">
        <v>6</v>
      </c>
      <c r="C247" s="22" t="s">
        <v>446</v>
      </c>
      <c r="D247" s="16">
        <v>3</v>
      </c>
    </row>
    <row r="248" spans="1:4" x14ac:dyDescent="0.3">
      <c r="A248" s="12">
        <v>247</v>
      </c>
      <c r="B248" s="12">
        <v>6</v>
      </c>
      <c r="C248" s="22" t="s">
        <v>447</v>
      </c>
      <c r="D248" s="16">
        <v>1</v>
      </c>
    </row>
    <row r="249" spans="1:4" x14ac:dyDescent="0.3">
      <c r="A249" s="12">
        <v>248</v>
      </c>
      <c r="B249" s="12">
        <v>6</v>
      </c>
      <c r="C249" s="22" t="s">
        <v>448</v>
      </c>
      <c r="D249" s="16">
        <v>2</v>
      </c>
    </row>
    <row r="250" spans="1:4" x14ac:dyDescent="0.3">
      <c r="A250" s="12">
        <v>249</v>
      </c>
      <c r="B250" s="12">
        <v>6</v>
      </c>
      <c r="C250" s="22" t="s">
        <v>449</v>
      </c>
      <c r="D250" s="16">
        <v>2</v>
      </c>
    </row>
    <row r="251" spans="1:4" x14ac:dyDescent="0.3">
      <c r="A251" s="12">
        <v>250</v>
      </c>
      <c r="B251" s="12">
        <v>6</v>
      </c>
      <c r="C251" s="22" t="s">
        <v>450</v>
      </c>
      <c r="D251" s="16">
        <v>1</v>
      </c>
    </row>
    <row r="252" spans="1:4" x14ac:dyDescent="0.3">
      <c r="A252" s="12">
        <v>251</v>
      </c>
      <c r="B252" s="12">
        <v>6</v>
      </c>
      <c r="C252" s="22" t="s">
        <v>451</v>
      </c>
      <c r="D252" s="16">
        <v>4</v>
      </c>
    </row>
    <row r="253" spans="1:4" x14ac:dyDescent="0.3">
      <c r="A253" s="12">
        <v>252</v>
      </c>
      <c r="B253" s="12">
        <v>6</v>
      </c>
      <c r="C253" s="22" t="s">
        <v>452</v>
      </c>
      <c r="D253" s="16">
        <v>4</v>
      </c>
    </row>
    <row r="254" spans="1:4" x14ac:dyDescent="0.3">
      <c r="A254" s="12">
        <v>253</v>
      </c>
      <c r="B254" s="12">
        <v>6</v>
      </c>
      <c r="C254" s="22" t="s">
        <v>453</v>
      </c>
      <c r="D254" s="16">
        <v>4</v>
      </c>
    </row>
    <row r="255" spans="1:4" x14ac:dyDescent="0.3">
      <c r="A255" s="12">
        <v>254</v>
      </c>
      <c r="B255" s="12">
        <v>6</v>
      </c>
      <c r="C255" s="22" t="s">
        <v>454</v>
      </c>
      <c r="D255" s="16">
        <v>3</v>
      </c>
    </row>
    <row r="256" spans="1:4" x14ac:dyDescent="0.3">
      <c r="A256" s="12">
        <v>255</v>
      </c>
      <c r="B256" s="12">
        <v>6</v>
      </c>
      <c r="C256" s="22" t="s">
        <v>455</v>
      </c>
      <c r="D256" s="16">
        <v>4</v>
      </c>
    </row>
    <row r="257" spans="1:4" x14ac:dyDescent="0.3">
      <c r="A257" s="12">
        <v>256</v>
      </c>
      <c r="B257" s="12">
        <v>6</v>
      </c>
      <c r="C257" s="22" t="s">
        <v>456</v>
      </c>
      <c r="D257" s="16">
        <v>4</v>
      </c>
    </row>
    <row r="258" spans="1:4" x14ac:dyDescent="0.3">
      <c r="A258" s="17">
        <v>257</v>
      </c>
      <c r="B258" s="17">
        <v>6</v>
      </c>
      <c r="C258" s="23" t="s">
        <v>457</v>
      </c>
      <c r="D258" s="6">
        <v>4</v>
      </c>
    </row>
  </sheetData>
  <phoneticPr fontId="1" type="noConversion"/>
  <conditionalFormatting sqref="A2:D1048576">
    <cfRule type="expression" dxfId="14" priority="1">
      <formula>$A2 &lt;&gt; 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58"/>
  <sheetViews>
    <sheetView topLeftCell="A225" zoomScale="85" zoomScaleNormal="85" workbookViewId="0">
      <selection activeCell="D262" sqref="D262"/>
    </sheetView>
  </sheetViews>
  <sheetFormatPr defaultRowHeight="16.5" x14ac:dyDescent="0.3"/>
  <cols>
    <col min="1" max="1" width="10.25" style="4" customWidth="1"/>
    <col min="2" max="5" width="27" style="8" customWidth="1"/>
  </cols>
  <sheetData>
    <row r="1" spans="1:5" x14ac:dyDescent="0.3">
      <c r="A1" s="4" t="s">
        <v>458</v>
      </c>
      <c r="B1" s="4" t="s">
        <v>459</v>
      </c>
      <c r="C1" s="4" t="s">
        <v>460</v>
      </c>
      <c r="D1" s="4" t="s">
        <v>461</v>
      </c>
      <c r="E1" s="4" t="s">
        <v>462</v>
      </c>
    </row>
    <row r="2" spans="1:5" x14ac:dyDescent="0.3">
      <c r="A2" s="4">
        <v>1</v>
      </c>
      <c r="B2" s="8" t="s">
        <v>463</v>
      </c>
      <c r="C2" s="8" t="s">
        <v>464</v>
      </c>
      <c r="D2" s="8" t="s">
        <v>465</v>
      </c>
      <c r="E2" s="8" t="s">
        <v>466</v>
      </c>
    </row>
    <row r="3" spans="1:5" x14ac:dyDescent="0.3">
      <c r="A3" s="4">
        <v>2</v>
      </c>
      <c r="B3" s="8" t="s">
        <v>467</v>
      </c>
      <c r="C3" s="8" t="s">
        <v>468</v>
      </c>
      <c r="D3" s="8" t="s">
        <v>469</v>
      </c>
      <c r="E3" s="8" t="s">
        <v>470</v>
      </c>
    </row>
    <row r="4" spans="1:5" x14ac:dyDescent="0.3">
      <c r="A4" s="4">
        <v>3</v>
      </c>
      <c r="B4" s="8" t="s">
        <v>471</v>
      </c>
      <c r="C4" s="8" t="s">
        <v>472</v>
      </c>
      <c r="D4" s="8" t="s">
        <v>473</v>
      </c>
      <c r="E4" s="8" t="s">
        <v>474</v>
      </c>
    </row>
    <row r="5" spans="1:5" x14ac:dyDescent="0.3">
      <c r="A5" s="4">
        <v>4</v>
      </c>
      <c r="B5" s="8" t="s">
        <v>475</v>
      </c>
      <c r="C5" s="8" t="s">
        <v>476</v>
      </c>
      <c r="D5" s="8" t="s">
        <v>477</v>
      </c>
      <c r="E5" s="8" t="s">
        <v>478</v>
      </c>
    </row>
    <row r="6" spans="1:5" x14ac:dyDescent="0.3">
      <c r="A6" s="4">
        <v>5</v>
      </c>
      <c r="B6" s="8" t="s">
        <v>479</v>
      </c>
      <c r="C6" s="8" t="s">
        <v>480</v>
      </c>
      <c r="D6" s="8" t="s">
        <v>481</v>
      </c>
      <c r="E6" s="8" t="s">
        <v>482</v>
      </c>
    </row>
    <row r="7" spans="1:5" x14ac:dyDescent="0.3">
      <c r="A7" s="4">
        <v>6</v>
      </c>
      <c r="B7" s="8" t="s">
        <v>483</v>
      </c>
      <c r="C7" s="8" t="s">
        <v>484</v>
      </c>
      <c r="D7" s="8" t="s">
        <v>485</v>
      </c>
      <c r="E7" s="8" t="s">
        <v>486</v>
      </c>
    </row>
    <row r="8" spans="1:5" x14ac:dyDescent="0.3">
      <c r="A8" s="4">
        <v>7</v>
      </c>
      <c r="B8" s="8" t="s">
        <v>487</v>
      </c>
      <c r="C8" s="8" t="s">
        <v>488</v>
      </c>
      <c r="D8" s="8" t="s">
        <v>489</v>
      </c>
      <c r="E8" s="8" t="s">
        <v>490</v>
      </c>
    </row>
    <row r="9" spans="1:5" x14ac:dyDescent="0.3">
      <c r="A9" s="4">
        <v>8</v>
      </c>
      <c r="B9" s="8" t="s">
        <v>491</v>
      </c>
      <c r="C9" s="8" t="s">
        <v>492</v>
      </c>
      <c r="D9" s="8" t="s">
        <v>493</v>
      </c>
      <c r="E9" s="8" t="s">
        <v>494</v>
      </c>
    </row>
    <row r="10" spans="1:5" x14ac:dyDescent="0.3">
      <c r="A10" s="4">
        <v>9</v>
      </c>
      <c r="B10" s="8" t="s">
        <v>495</v>
      </c>
      <c r="C10" s="8" t="s">
        <v>496</v>
      </c>
      <c r="D10" s="8" t="s">
        <v>497</v>
      </c>
      <c r="E10" s="8" t="s">
        <v>498</v>
      </c>
    </row>
    <row r="11" spans="1:5" x14ac:dyDescent="0.3">
      <c r="A11" s="4">
        <v>10</v>
      </c>
      <c r="B11" s="8" t="s">
        <v>499</v>
      </c>
      <c r="C11" s="8" t="s">
        <v>500</v>
      </c>
      <c r="D11" s="8" t="s">
        <v>501</v>
      </c>
      <c r="E11" s="8" t="s">
        <v>502</v>
      </c>
    </row>
    <row r="12" spans="1:5" x14ac:dyDescent="0.3">
      <c r="A12" s="4">
        <v>11</v>
      </c>
      <c r="B12" s="8" t="s">
        <v>503</v>
      </c>
      <c r="C12" s="8" t="s">
        <v>504</v>
      </c>
      <c r="D12" s="8" t="s">
        <v>505</v>
      </c>
      <c r="E12" s="8" t="s">
        <v>506</v>
      </c>
    </row>
    <row r="13" spans="1:5" x14ac:dyDescent="0.3">
      <c r="A13" s="4">
        <v>12</v>
      </c>
      <c r="B13" s="8" t="s">
        <v>507</v>
      </c>
      <c r="C13" s="8" t="s">
        <v>508</v>
      </c>
      <c r="D13" s="8" t="s">
        <v>509</v>
      </c>
      <c r="E13" s="8" t="s">
        <v>510</v>
      </c>
    </row>
    <row r="14" spans="1:5" x14ac:dyDescent="0.3">
      <c r="A14" s="4">
        <v>13</v>
      </c>
      <c r="B14" s="8" t="s">
        <v>511</v>
      </c>
      <c r="C14" s="8" t="s">
        <v>512</v>
      </c>
      <c r="D14" s="8" t="s">
        <v>513</v>
      </c>
      <c r="E14" s="8" t="s">
        <v>514</v>
      </c>
    </row>
    <row r="15" spans="1:5" x14ac:dyDescent="0.3">
      <c r="A15" s="4">
        <v>14</v>
      </c>
      <c r="B15" s="8" t="s">
        <v>515</v>
      </c>
      <c r="C15" s="8" t="s">
        <v>516</v>
      </c>
      <c r="D15" s="8" t="s">
        <v>517</v>
      </c>
      <c r="E15" s="8" t="s">
        <v>518</v>
      </c>
    </row>
    <row r="16" spans="1:5" x14ac:dyDescent="0.3">
      <c r="A16" s="4">
        <v>15</v>
      </c>
      <c r="B16" s="8" t="s">
        <v>519</v>
      </c>
      <c r="C16" s="8" t="s">
        <v>520</v>
      </c>
      <c r="D16" s="8" t="s">
        <v>521</v>
      </c>
      <c r="E16" s="8" t="s">
        <v>522</v>
      </c>
    </row>
    <row r="17" spans="1:5" x14ac:dyDescent="0.3">
      <c r="A17" s="4">
        <v>16</v>
      </c>
      <c r="B17" s="8" t="s">
        <v>523</v>
      </c>
      <c r="C17" s="8" t="s">
        <v>524</v>
      </c>
      <c r="D17" s="8" t="s">
        <v>525</v>
      </c>
      <c r="E17" s="8" t="s">
        <v>526</v>
      </c>
    </row>
    <row r="18" spans="1:5" x14ac:dyDescent="0.3">
      <c r="A18" s="4">
        <v>17</v>
      </c>
      <c r="B18" s="8" t="s">
        <v>527</v>
      </c>
      <c r="C18" s="8" t="s">
        <v>528</v>
      </c>
      <c r="D18" s="8" t="s">
        <v>529</v>
      </c>
      <c r="E18" s="8" t="s">
        <v>530</v>
      </c>
    </row>
    <row r="19" spans="1:5" x14ac:dyDescent="0.3">
      <c r="A19" s="4">
        <v>18</v>
      </c>
      <c r="B19" s="8" t="s">
        <v>531</v>
      </c>
      <c r="C19" s="8" t="s">
        <v>532</v>
      </c>
      <c r="D19" s="8" t="s">
        <v>533</v>
      </c>
      <c r="E19" s="8" t="s">
        <v>534</v>
      </c>
    </row>
    <row r="20" spans="1:5" x14ac:dyDescent="0.3">
      <c r="A20" s="4">
        <v>19</v>
      </c>
      <c r="B20" s="8" t="s">
        <v>535</v>
      </c>
      <c r="C20" s="8" t="s">
        <v>536</v>
      </c>
      <c r="D20" s="8" t="s">
        <v>537</v>
      </c>
      <c r="E20" s="8" t="s">
        <v>538</v>
      </c>
    </row>
    <row r="21" spans="1:5" x14ac:dyDescent="0.3">
      <c r="A21" s="4">
        <v>20</v>
      </c>
      <c r="B21" s="8" t="s">
        <v>539</v>
      </c>
      <c r="C21" s="8" t="s">
        <v>540</v>
      </c>
      <c r="D21" s="8" t="s">
        <v>541</v>
      </c>
      <c r="E21" s="8" t="s">
        <v>542</v>
      </c>
    </row>
    <row r="22" spans="1:5" x14ac:dyDescent="0.3">
      <c r="A22" s="4">
        <v>21</v>
      </c>
      <c r="B22" s="8" t="s">
        <v>543</v>
      </c>
      <c r="C22" s="8" t="s">
        <v>544</v>
      </c>
      <c r="D22" s="8" t="s">
        <v>545</v>
      </c>
      <c r="E22" s="8" t="s">
        <v>546</v>
      </c>
    </row>
    <row r="23" spans="1:5" x14ac:dyDescent="0.3">
      <c r="A23" s="4">
        <v>22</v>
      </c>
      <c r="B23" s="8" t="s">
        <v>547</v>
      </c>
      <c r="C23" s="8" t="s">
        <v>548</v>
      </c>
      <c r="D23" s="8" t="s">
        <v>549</v>
      </c>
      <c r="E23" s="8" t="s">
        <v>550</v>
      </c>
    </row>
    <row r="24" spans="1:5" x14ac:dyDescent="0.3">
      <c r="A24" s="4">
        <v>23</v>
      </c>
      <c r="B24" s="8" t="s">
        <v>551</v>
      </c>
      <c r="C24" s="8" t="s">
        <v>552</v>
      </c>
      <c r="D24" s="8" t="s">
        <v>553</v>
      </c>
      <c r="E24" s="8" t="s">
        <v>554</v>
      </c>
    </row>
    <row r="25" spans="1:5" x14ac:dyDescent="0.3">
      <c r="A25" s="4">
        <v>24</v>
      </c>
      <c r="B25" s="8" t="s">
        <v>555</v>
      </c>
      <c r="C25" s="8" t="s">
        <v>556</v>
      </c>
      <c r="D25" s="8" t="s">
        <v>557</v>
      </c>
      <c r="E25" s="8" t="s">
        <v>558</v>
      </c>
    </row>
    <row r="26" spans="1:5" x14ac:dyDescent="0.3">
      <c r="A26" s="4">
        <v>25</v>
      </c>
      <c r="B26" s="8" t="s">
        <v>559</v>
      </c>
      <c r="C26" s="8" t="s">
        <v>560</v>
      </c>
      <c r="D26" s="8" t="s">
        <v>561</v>
      </c>
      <c r="E26" s="8" t="s">
        <v>562</v>
      </c>
    </row>
    <row r="27" spans="1:5" x14ac:dyDescent="0.3">
      <c r="A27" s="4">
        <v>26</v>
      </c>
      <c r="B27" s="8" t="s">
        <v>563</v>
      </c>
      <c r="C27" s="8" t="s">
        <v>564</v>
      </c>
      <c r="D27" s="8" t="s">
        <v>565</v>
      </c>
      <c r="E27" s="8" t="s">
        <v>566</v>
      </c>
    </row>
    <row r="28" spans="1:5" x14ac:dyDescent="0.3">
      <c r="A28" s="4">
        <v>27</v>
      </c>
      <c r="B28" s="8" t="s">
        <v>567</v>
      </c>
      <c r="C28" s="8" t="s">
        <v>568</v>
      </c>
      <c r="D28" s="8" t="s">
        <v>569</v>
      </c>
      <c r="E28" s="8" t="s">
        <v>570</v>
      </c>
    </row>
    <row r="29" spans="1:5" x14ac:dyDescent="0.3">
      <c r="A29" s="4">
        <v>28</v>
      </c>
      <c r="B29" s="8" t="s">
        <v>571</v>
      </c>
      <c r="C29" s="8" t="s">
        <v>572</v>
      </c>
      <c r="D29" s="8" t="s">
        <v>573</v>
      </c>
      <c r="E29" s="8" t="s">
        <v>574</v>
      </c>
    </row>
    <row r="30" spans="1:5" x14ac:dyDescent="0.3">
      <c r="A30" s="4">
        <v>29</v>
      </c>
      <c r="B30" s="8" t="s">
        <v>575</v>
      </c>
      <c r="C30" s="8" t="s">
        <v>576</v>
      </c>
      <c r="D30" s="8" t="s">
        <v>577</v>
      </c>
      <c r="E30" s="8" t="s">
        <v>578</v>
      </c>
    </row>
    <row r="31" spans="1:5" x14ac:dyDescent="0.3">
      <c r="A31" s="4">
        <v>30</v>
      </c>
      <c r="B31" s="8" t="s">
        <v>579</v>
      </c>
      <c r="C31" s="8" t="s">
        <v>580</v>
      </c>
      <c r="D31" s="8" t="s">
        <v>581</v>
      </c>
      <c r="E31" s="8" t="s">
        <v>582</v>
      </c>
    </row>
    <row r="32" spans="1:5" x14ac:dyDescent="0.3">
      <c r="A32" s="4">
        <v>31</v>
      </c>
      <c r="B32" s="8" t="s">
        <v>583</v>
      </c>
      <c r="C32" s="8" t="s">
        <v>584</v>
      </c>
      <c r="D32" s="8" t="s">
        <v>585</v>
      </c>
      <c r="E32" s="8" t="s">
        <v>586</v>
      </c>
    </row>
    <row r="33" spans="1:5" x14ac:dyDescent="0.3">
      <c r="A33" s="4">
        <v>32</v>
      </c>
      <c r="B33" s="8" t="s">
        <v>587</v>
      </c>
      <c r="C33" s="8" t="s">
        <v>588</v>
      </c>
      <c r="D33" s="8" t="s">
        <v>589</v>
      </c>
      <c r="E33" s="8" t="s">
        <v>590</v>
      </c>
    </row>
    <row r="34" spans="1:5" x14ac:dyDescent="0.3">
      <c r="A34" s="4">
        <v>33</v>
      </c>
      <c r="B34" s="8" t="s">
        <v>591</v>
      </c>
      <c r="C34" s="8" t="s">
        <v>592</v>
      </c>
      <c r="D34" s="8" t="s">
        <v>593</v>
      </c>
      <c r="E34" s="8" t="s">
        <v>594</v>
      </c>
    </row>
    <row r="35" spans="1:5" x14ac:dyDescent="0.3">
      <c r="A35" s="4">
        <v>34</v>
      </c>
      <c r="B35" s="8" t="s">
        <v>595</v>
      </c>
      <c r="C35" s="8" t="s">
        <v>596</v>
      </c>
      <c r="D35" s="8" t="s">
        <v>597</v>
      </c>
      <c r="E35" s="8" t="s">
        <v>598</v>
      </c>
    </row>
    <row r="36" spans="1:5" x14ac:dyDescent="0.3">
      <c r="A36" s="4">
        <v>35</v>
      </c>
      <c r="B36" s="8" t="s">
        <v>599</v>
      </c>
      <c r="C36" s="8" t="s">
        <v>600</v>
      </c>
      <c r="D36" s="8" t="s">
        <v>601</v>
      </c>
      <c r="E36" s="8" t="s">
        <v>602</v>
      </c>
    </row>
    <row r="37" spans="1:5" x14ac:dyDescent="0.3">
      <c r="A37" s="4">
        <v>36</v>
      </c>
      <c r="B37" s="8" t="s">
        <v>603</v>
      </c>
      <c r="C37" s="8" t="s">
        <v>604</v>
      </c>
      <c r="D37" s="8" t="s">
        <v>605</v>
      </c>
      <c r="E37" s="8" t="s">
        <v>606</v>
      </c>
    </row>
    <row r="38" spans="1:5" x14ac:dyDescent="0.3">
      <c r="A38" s="4">
        <v>37</v>
      </c>
      <c r="B38" s="8" t="s">
        <v>607</v>
      </c>
      <c r="C38" s="8" t="s">
        <v>608</v>
      </c>
      <c r="D38" s="8" t="s">
        <v>609</v>
      </c>
      <c r="E38" s="8" t="s">
        <v>610</v>
      </c>
    </row>
    <row r="39" spans="1:5" x14ac:dyDescent="0.3">
      <c r="A39" s="4">
        <v>38</v>
      </c>
      <c r="B39" s="8" t="s">
        <v>611</v>
      </c>
      <c r="C39" s="8" t="s">
        <v>612</v>
      </c>
      <c r="D39" s="8" t="s">
        <v>613</v>
      </c>
      <c r="E39" s="8" t="s">
        <v>614</v>
      </c>
    </row>
    <row r="40" spans="1:5" x14ac:dyDescent="0.3">
      <c r="A40" s="4">
        <v>39</v>
      </c>
      <c r="B40" s="8" t="s">
        <v>615</v>
      </c>
      <c r="C40" s="8" t="s">
        <v>616</v>
      </c>
      <c r="D40" s="8" t="s">
        <v>617</v>
      </c>
      <c r="E40" s="8" t="s">
        <v>618</v>
      </c>
    </row>
    <row r="41" spans="1:5" x14ac:dyDescent="0.3">
      <c r="A41" s="4">
        <v>40</v>
      </c>
      <c r="B41" s="8" t="s">
        <v>619</v>
      </c>
      <c r="C41" s="8" t="s">
        <v>620</v>
      </c>
      <c r="D41" s="8" t="s">
        <v>621</v>
      </c>
      <c r="E41" s="8" t="s">
        <v>622</v>
      </c>
    </row>
    <row r="42" spans="1:5" x14ac:dyDescent="0.3">
      <c r="A42" s="4">
        <v>41</v>
      </c>
      <c r="B42" s="8" t="s">
        <v>623</v>
      </c>
      <c r="C42" s="8" t="s">
        <v>624</v>
      </c>
      <c r="D42" s="8" t="s">
        <v>625</v>
      </c>
      <c r="E42" s="8" t="s">
        <v>626</v>
      </c>
    </row>
    <row r="43" spans="1:5" x14ac:dyDescent="0.3">
      <c r="A43" s="4">
        <v>42</v>
      </c>
      <c r="B43" s="8" t="s">
        <v>627</v>
      </c>
      <c r="C43" s="8" t="s">
        <v>628</v>
      </c>
      <c r="D43" s="8" t="s">
        <v>629</v>
      </c>
      <c r="E43" s="8" t="s">
        <v>630</v>
      </c>
    </row>
    <row r="44" spans="1:5" x14ac:dyDescent="0.3">
      <c r="A44" s="4">
        <v>43</v>
      </c>
      <c r="B44" s="8" t="s">
        <v>631</v>
      </c>
      <c r="C44" s="8" t="s">
        <v>632</v>
      </c>
      <c r="D44" s="8" t="s">
        <v>633</v>
      </c>
      <c r="E44" s="8" t="s">
        <v>634</v>
      </c>
    </row>
    <row r="45" spans="1:5" x14ac:dyDescent="0.3">
      <c r="A45" s="4">
        <v>44</v>
      </c>
      <c r="B45" s="8" t="s">
        <v>635</v>
      </c>
      <c r="C45" s="8" t="s">
        <v>636</v>
      </c>
      <c r="D45" s="8" t="s">
        <v>637</v>
      </c>
      <c r="E45" s="8" t="s">
        <v>638</v>
      </c>
    </row>
    <row r="46" spans="1:5" x14ac:dyDescent="0.3">
      <c r="A46" s="4">
        <v>45</v>
      </c>
      <c r="B46" s="8" t="s">
        <v>639</v>
      </c>
      <c r="C46" s="8" t="s">
        <v>640</v>
      </c>
      <c r="D46" s="8" t="s">
        <v>641</v>
      </c>
      <c r="E46" s="8" t="s">
        <v>642</v>
      </c>
    </row>
    <row r="47" spans="1:5" x14ac:dyDescent="0.3">
      <c r="A47" s="4">
        <v>46</v>
      </c>
      <c r="B47" s="8" t="s">
        <v>643</v>
      </c>
      <c r="C47" s="8" t="s">
        <v>644</v>
      </c>
      <c r="D47" s="8" t="s">
        <v>645</v>
      </c>
      <c r="E47" s="8" t="s">
        <v>646</v>
      </c>
    </row>
    <row r="48" spans="1:5" x14ac:dyDescent="0.3">
      <c r="A48" s="4">
        <v>47</v>
      </c>
      <c r="B48" s="8" t="s">
        <v>647</v>
      </c>
      <c r="C48" s="8" t="s">
        <v>648</v>
      </c>
      <c r="D48" s="8" t="s">
        <v>649</v>
      </c>
      <c r="E48" s="8" t="s">
        <v>650</v>
      </c>
    </row>
    <row r="49" spans="1:5" x14ac:dyDescent="0.3">
      <c r="A49" s="4">
        <v>48</v>
      </c>
      <c r="B49" s="8" t="s">
        <v>651</v>
      </c>
      <c r="C49" s="8" t="s">
        <v>652</v>
      </c>
      <c r="D49" s="8" t="s">
        <v>653</v>
      </c>
      <c r="E49" s="8" t="s">
        <v>654</v>
      </c>
    </row>
    <row r="50" spans="1:5" x14ac:dyDescent="0.3">
      <c r="A50" s="4">
        <v>49</v>
      </c>
      <c r="B50" s="8" t="s">
        <v>655</v>
      </c>
      <c r="C50" s="8" t="s">
        <v>656</v>
      </c>
      <c r="D50" s="8" t="s">
        <v>657</v>
      </c>
      <c r="E50" s="8" t="s">
        <v>658</v>
      </c>
    </row>
    <row r="51" spans="1:5" x14ac:dyDescent="0.3">
      <c r="A51" s="4">
        <v>50</v>
      </c>
      <c r="B51" s="8" t="s">
        <v>659</v>
      </c>
      <c r="C51" s="8" t="s">
        <v>660</v>
      </c>
      <c r="D51" s="8" t="s">
        <v>661</v>
      </c>
      <c r="E51" s="8" t="s">
        <v>662</v>
      </c>
    </row>
    <row r="52" spans="1:5" x14ac:dyDescent="0.3">
      <c r="A52" s="4">
        <v>51</v>
      </c>
      <c r="B52" s="8" t="s">
        <v>663</v>
      </c>
      <c r="C52" s="8" t="s">
        <v>664</v>
      </c>
      <c r="D52" s="8" t="s">
        <v>665</v>
      </c>
      <c r="E52" s="8" t="s">
        <v>666</v>
      </c>
    </row>
    <row r="53" spans="1:5" x14ac:dyDescent="0.3">
      <c r="A53" s="4">
        <v>52</v>
      </c>
      <c r="B53" s="8" t="s">
        <v>667</v>
      </c>
      <c r="C53" s="8" t="s">
        <v>668</v>
      </c>
      <c r="D53" s="8" t="s">
        <v>669</v>
      </c>
      <c r="E53" s="8" t="s">
        <v>670</v>
      </c>
    </row>
    <row r="54" spans="1:5" x14ac:dyDescent="0.3">
      <c r="A54" s="4">
        <v>53</v>
      </c>
      <c r="B54" s="8" t="s">
        <v>671</v>
      </c>
      <c r="C54" s="8" t="s">
        <v>672</v>
      </c>
      <c r="D54" s="8" t="s">
        <v>673</v>
      </c>
      <c r="E54" s="8" t="s">
        <v>674</v>
      </c>
    </row>
    <row r="55" spans="1:5" x14ac:dyDescent="0.3">
      <c r="A55" s="4">
        <v>54</v>
      </c>
      <c r="B55" s="8" t="s">
        <v>675</v>
      </c>
      <c r="C55" s="8" t="s">
        <v>676</v>
      </c>
      <c r="D55" s="8" t="s">
        <v>677</v>
      </c>
      <c r="E55" s="8" t="s">
        <v>678</v>
      </c>
    </row>
    <row r="56" spans="1:5" x14ac:dyDescent="0.3">
      <c r="A56" s="4">
        <v>55</v>
      </c>
      <c r="B56" s="8" t="s">
        <v>679</v>
      </c>
      <c r="C56" s="8" t="s">
        <v>680</v>
      </c>
      <c r="D56" s="8" t="s">
        <v>681</v>
      </c>
      <c r="E56" s="8" t="s">
        <v>682</v>
      </c>
    </row>
    <row r="57" spans="1:5" x14ac:dyDescent="0.3">
      <c r="A57" s="4">
        <v>56</v>
      </c>
      <c r="B57" s="8" t="s">
        <v>683</v>
      </c>
      <c r="C57" s="8" t="s">
        <v>684</v>
      </c>
      <c r="D57" s="8" t="s">
        <v>685</v>
      </c>
      <c r="E57" s="8" t="s">
        <v>686</v>
      </c>
    </row>
    <row r="58" spans="1:5" x14ac:dyDescent="0.3">
      <c r="A58" s="4">
        <v>57</v>
      </c>
      <c r="B58" s="8" t="s">
        <v>687</v>
      </c>
      <c r="C58" s="8" t="s">
        <v>688</v>
      </c>
      <c r="D58" s="8" t="s">
        <v>689</v>
      </c>
      <c r="E58" s="8" t="s">
        <v>690</v>
      </c>
    </row>
    <row r="59" spans="1:5" x14ac:dyDescent="0.3">
      <c r="A59" s="4">
        <v>58</v>
      </c>
      <c r="B59" s="8" t="s">
        <v>691</v>
      </c>
      <c r="C59" s="8" t="s">
        <v>692</v>
      </c>
      <c r="D59" s="8" t="s">
        <v>693</v>
      </c>
      <c r="E59" s="8" t="s">
        <v>694</v>
      </c>
    </row>
    <row r="60" spans="1:5" x14ac:dyDescent="0.3">
      <c r="A60" s="4">
        <v>59</v>
      </c>
      <c r="B60" s="8" t="s">
        <v>695</v>
      </c>
      <c r="C60" s="8" t="s">
        <v>696</v>
      </c>
      <c r="D60" s="8" t="s">
        <v>697</v>
      </c>
      <c r="E60" s="8" t="s">
        <v>698</v>
      </c>
    </row>
    <row r="61" spans="1:5" x14ac:dyDescent="0.3">
      <c r="A61" s="4">
        <v>60</v>
      </c>
      <c r="B61" s="8" t="s">
        <v>699</v>
      </c>
      <c r="C61" s="8" t="s">
        <v>700</v>
      </c>
      <c r="D61" s="8" t="s">
        <v>701</v>
      </c>
      <c r="E61" s="8" t="s">
        <v>702</v>
      </c>
    </row>
    <row r="62" spans="1:5" x14ac:dyDescent="0.3">
      <c r="A62" s="4">
        <v>61</v>
      </c>
      <c r="B62" s="8" t="s">
        <v>703</v>
      </c>
      <c r="C62" s="8" t="s">
        <v>704</v>
      </c>
      <c r="D62" s="8" t="s">
        <v>705</v>
      </c>
      <c r="E62" s="8" t="s">
        <v>706</v>
      </c>
    </row>
    <row r="63" spans="1:5" x14ac:dyDescent="0.3">
      <c r="A63" s="4">
        <v>62</v>
      </c>
      <c r="B63" s="8" t="s">
        <v>707</v>
      </c>
      <c r="C63" s="8" t="s">
        <v>708</v>
      </c>
      <c r="D63" s="8" t="s">
        <v>709</v>
      </c>
      <c r="E63" s="8" t="s">
        <v>710</v>
      </c>
    </row>
    <row r="64" spans="1:5" x14ac:dyDescent="0.3">
      <c r="A64" s="4">
        <v>63</v>
      </c>
      <c r="B64" s="8" t="s">
        <v>711</v>
      </c>
      <c r="C64" s="8" t="s">
        <v>712</v>
      </c>
      <c r="D64" s="8" t="s">
        <v>713</v>
      </c>
      <c r="E64" s="8" t="s">
        <v>714</v>
      </c>
    </row>
    <row r="65" spans="1:5" x14ac:dyDescent="0.3">
      <c r="A65" s="4">
        <v>64</v>
      </c>
      <c r="B65" s="8" t="s">
        <v>715</v>
      </c>
      <c r="C65" s="8" t="s">
        <v>716</v>
      </c>
      <c r="D65" s="8" t="s">
        <v>717</v>
      </c>
      <c r="E65" s="8" t="s">
        <v>718</v>
      </c>
    </row>
    <row r="66" spans="1:5" x14ac:dyDescent="0.3">
      <c r="A66" s="4">
        <v>65</v>
      </c>
      <c r="B66" s="8" t="s">
        <v>719</v>
      </c>
      <c r="C66" s="8" t="s">
        <v>720</v>
      </c>
      <c r="D66" s="8" t="s">
        <v>721</v>
      </c>
      <c r="E66" s="8" t="s">
        <v>722</v>
      </c>
    </row>
    <row r="67" spans="1:5" x14ac:dyDescent="0.3">
      <c r="A67" s="4">
        <v>66</v>
      </c>
      <c r="B67" s="8" t="s">
        <v>723</v>
      </c>
      <c r="C67" s="8" t="s">
        <v>724</v>
      </c>
      <c r="D67" s="8" t="s">
        <v>725</v>
      </c>
      <c r="E67" s="8" t="s">
        <v>726</v>
      </c>
    </row>
    <row r="68" spans="1:5" x14ac:dyDescent="0.3">
      <c r="A68" s="4">
        <v>67</v>
      </c>
      <c r="B68" s="8" t="s">
        <v>727</v>
      </c>
      <c r="C68" s="8" t="s">
        <v>728</v>
      </c>
      <c r="D68" s="8" t="s">
        <v>729</v>
      </c>
      <c r="E68" s="8" t="s">
        <v>730</v>
      </c>
    </row>
    <row r="69" spans="1:5" x14ac:dyDescent="0.3">
      <c r="A69" s="4">
        <v>68</v>
      </c>
      <c r="B69" s="8" t="s">
        <v>731</v>
      </c>
      <c r="C69" s="8" t="s">
        <v>732</v>
      </c>
      <c r="D69" s="8" t="s">
        <v>733</v>
      </c>
      <c r="E69" s="8" t="s">
        <v>734</v>
      </c>
    </row>
    <row r="70" spans="1:5" x14ac:dyDescent="0.3">
      <c r="A70" s="4">
        <v>69</v>
      </c>
      <c r="B70" s="8" t="s">
        <v>735</v>
      </c>
      <c r="C70" s="8" t="s">
        <v>736</v>
      </c>
      <c r="D70" s="8" t="s">
        <v>737</v>
      </c>
      <c r="E70" s="8" t="s">
        <v>738</v>
      </c>
    </row>
    <row r="71" spans="1:5" x14ac:dyDescent="0.3">
      <c r="A71" s="4">
        <v>70</v>
      </c>
      <c r="B71" s="8" t="s">
        <v>739</v>
      </c>
      <c r="C71" s="8" t="s">
        <v>740</v>
      </c>
      <c r="D71" s="8" t="s">
        <v>741</v>
      </c>
      <c r="E71" s="8" t="s">
        <v>742</v>
      </c>
    </row>
    <row r="72" spans="1:5" x14ac:dyDescent="0.3">
      <c r="A72" s="4">
        <v>71</v>
      </c>
      <c r="B72" s="8" t="s">
        <v>743</v>
      </c>
      <c r="C72" s="8" t="s">
        <v>744</v>
      </c>
      <c r="D72" s="8" t="s">
        <v>745</v>
      </c>
      <c r="E72" s="8" t="s">
        <v>746</v>
      </c>
    </row>
    <row r="73" spans="1:5" x14ac:dyDescent="0.3">
      <c r="A73" s="4">
        <v>72</v>
      </c>
      <c r="B73" s="8" t="s">
        <v>747</v>
      </c>
      <c r="C73" s="8" t="s">
        <v>748</v>
      </c>
      <c r="D73" s="8" t="s">
        <v>749</v>
      </c>
      <c r="E73" s="8" t="s">
        <v>750</v>
      </c>
    </row>
    <row r="74" spans="1:5" x14ac:dyDescent="0.3">
      <c r="A74" s="4">
        <v>73</v>
      </c>
      <c r="B74" s="8" t="s">
        <v>751</v>
      </c>
      <c r="C74" s="8" t="s">
        <v>752</v>
      </c>
      <c r="D74" s="8" t="s">
        <v>753</v>
      </c>
      <c r="E74" s="8" t="s">
        <v>754</v>
      </c>
    </row>
    <row r="75" spans="1:5" x14ac:dyDescent="0.3">
      <c r="A75" s="4">
        <v>74</v>
      </c>
      <c r="B75" s="8" t="s">
        <v>755</v>
      </c>
      <c r="C75" s="8" t="s">
        <v>756</v>
      </c>
      <c r="D75" s="8" t="s">
        <v>757</v>
      </c>
      <c r="E75" s="8" t="s">
        <v>758</v>
      </c>
    </row>
    <row r="76" spans="1:5" x14ac:dyDescent="0.3">
      <c r="A76" s="4">
        <v>75</v>
      </c>
      <c r="B76" s="8" t="s">
        <v>759</v>
      </c>
      <c r="C76" s="8" t="s">
        <v>760</v>
      </c>
      <c r="D76" s="8" t="s">
        <v>761</v>
      </c>
      <c r="E76" s="8" t="s">
        <v>762</v>
      </c>
    </row>
    <row r="77" spans="1:5" x14ac:dyDescent="0.3">
      <c r="A77" s="4">
        <v>76</v>
      </c>
      <c r="B77" s="8" t="s">
        <v>763</v>
      </c>
      <c r="C77" s="8" t="s">
        <v>764</v>
      </c>
      <c r="D77" s="8" t="s">
        <v>765</v>
      </c>
      <c r="E77" s="8" t="s">
        <v>766</v>
      </c>
    </row>
    <row r="78" spans="1:5" x14ac:dyDescent="0.3">
      <c r="A78" s="4">
        <v>77</v>
      </c>
      <c r="B78" s="8" t="s">
        <v>767</v>
      </c>
      <c r="C78" s="8" t="s">
        <v>768</v>
      </c>
      <c r="D78" s="8" t="s">
        <v>769</v>
      </c>
      <c r="E78" s="8" t="s">
        <v>770</v>
      </c>
    </row>
    <row r="79" spans="1:5" x14ac:dyDescent="0.3">
      <c r="A79" s="4">
        <v>78</v>
      </c>
      <c r="B79" s="8" t="s">
        <v>771</v>
      </c>
      <c r="C79" s="8" t="s">
        <v>772</v>
      </c>
      <c r="D79" s="8" t="s">
        <v>773</v>
      </c>
      <c r="E79" s="8" t="s">
        <v>774</v>
      </c>
    </row>
    <row r="80" spans="1:5" x14ac:dyDescent="0.3">
      <c r="A80" s="4">
        <v>79</v>
      </c>
      <c r="B80" s="8" t="s">
        <v>775</v>
      </c>
      <c r="C80" s="8" t="s">
        <v>776</v>
      </c>
      <c r="D80" s="8" t="s">
        <v>777</v>
      </c>
      <c r="E80" s="8" t="s">
        <v>778</v>
      </c>
    </row>
    <row r="81" spans="1:5" x14ac:dyDescent="0.3">
      <c r="A81" s="4">
        <v>80</v>
      </c>
      <c r="B81" s="8" t="s">
        <v>779</v>
      </c>
      <c r="C81" s="8" t="s">
        <v>780</v>
      </c>
      <c r="D81" s="8" t="s">
        <v>781</v>
      </c>
      <c r="E81" s="8" t="s">
        <v>782</v>
      </c>
    </row>
    <row r="82" spans="1:5" x14ac:dyDescent="0.3">
      <c r="A82" s="4">
        <v>81</v>
      </c>
      <c r="B82" s="8" t="s">
        <v>783</v>
      </c>
      <c r="C82" s="8" t="s">
        <v>784</v>
      </c>
      <c r="D82" s="8" t="s">
        <v>785</v>
      </c>
      <c r="E82" s="8" t="s">
        <v>786</v>
      </c>
    </row>
    <row r="83" spans="1:5" x14ac:dyDescent="0.3">
      <c r="A83" s="4">
        <v>82</v>
      </c>
      <c r="B83" s="8" t="s">
        <v>787</v>
      </c>
      <c r="C83" s="8" t="s">
        <v>788</v>
      </c>
      <c r="D83" s="8" t="s">
        <v>789</v>
      </c>
      <c r="E83" s="8" t="s">
        <v>790</v>
      </c>
    </row>
    <row r="84" spans="1:5" x14ac:dyDescent="0.3">
      <c r="A84" s="4">
        <v>83</v>
      </c>
      <c r="B84" s="8" t="s">
        <v>791</v>
      </c>
      <c r="C84" s="8" t="s">
        <v>792</v>
      </c>
      <c r="D84" s="8" t="s">
        <v>793</v>
      </c>
      <c r="E84" s="8" t="s">
        <v>794</v>
      </c>
    </row>
    <row r="85" spans="1:5" x14ac:dyDescent="0.3">
      <c r="A85" s="4">
        <v>84</v>
      </c>
      <c r="B85" s="8" t="s">
        <v>795</v>
      </c>
      <c r="C85" s="8" t="s">
        <v>796</v>
      </c>
      <c r="D85" s="8" t="s">
        <v>797</v>
      </c>
      <c r="E85" s="8" t="s">
        <v>798</v>
      </c>
    </row>
    <row r="86" spans="1:5" x14ac:dyDescent="0.3">
      <c r="A86" s="4">
        <v>85</v>
      </c>
      <c r="B86" s="8" t="s">
        <v>799</v>
      </c>
      <c r="C86" s="8" t="s">
        <v>800</v>
      </c>
      <c r="D86" s="8" t="s">
        <v>801</v>
      </c>
      <c r="E86" s="8" t="s">
        <v>802</v>
      </c>
    </row>
    <row r="87" spans="1:5" x14ac:dyDescent="0.3">
      <c r="A87" s="4">
        <v>86</v>
      </c>
      <c r="B87" s="8" t="s">
        <v>803</v>
      </c>
      <c r="C87" s="8" t="s">
        <v>804</v>
      </c>
      <c r="D87" s="8" t="s">
        <v>805</v>
      </c>
      <c r="E87" s="8" t="s">
        <v>806</v>
      </c>
    </row>
    <row r="88" spans="1:5" x14ac:dyDescent="0.3">
      <c r="A88" s="4">
        <v>87</v>
      </c>
      <c r="B88" s="8" t="s">
        <v>807</v>
      </c>
      <c r="C88" s="8" t="s">
        <v>808</v>
      </c>
      <c r="D88" s="8" t="s">
        <v>809</v>
      </c>
      <c r="E88" s="8" t="s">
        <v>810</v>
      </c>
    </row>
    <row r="89" spans="1:5" x14ac:dyDescent="0.3">
      <c r="A89" s="4">
        <v>88</v>
      </c>
      <c r="B89" s="8" t="s">
        <v>811</v>
      </c>
      <c r="C89" s="8" t="s">
        <v>812</v>
      </c>
      <c r="D89" s="8" t="s">
        <v>813</v>
      </c>
      <c r="E89" s="8" t="s">
        <v>814</v>
      </c>
    </row>
    <row r="90" spans="1:5" x14ac:dyDescent="0.3">
      <c r="A90" s="4">
        <v>89</v>
      </c>
      <c r="B90" s="8" t="s">
        <v>815</v>
      </c>
      <c r="C90" s="8" t="s">
        <v>816</v>
      </c>
      <c r="D90" s="8" t="s">
        <v>817</v>
      </c>
      <c r="E90" s="8" t="s">
        <v>818</v>
      </c>
    </row>
    <row r="91" spans="1:5" x14ac:dyDescent="0.3">
      <c r="A91" s="4">
        <v>90</v>
      </c>
      <c r="B91" s="8" t="s">
        <v>819</v>
      </c>
      <c r="C91" s="8" t="s">
        <v>820</v>
      </c>
      <c r="D91" s="8" t="s">
        <v>821</v>
      </c>
      <c r="E91" s="8" t="s">
        <v>822</v>
      </c>
    </row>
    <row r="92" spans="1:5" x14ac:dyDescent="0.3">
      <c r="A92" s="4">
        <v>91</v>
      </c>
      <c r="B92" s="8" t="s">
        <v>823</v>
      </c>
      <c r="C92" s="8" t="s">
        <v>824</v>
      </c>
      <c r="D92" s="8" t="s">
        <v>825</v>
      </c>
      <c r="E92" s="8" t="s">
        <v>826</v>
      </c>
    </row>
    <row r="93" spans="1:5" x14ac:dyDescent="0.3">
      <c r="A93" s="4">
        <v>92</v>
      </c>
      <c r="B93" s="8" t="s">
        <v>827</v>
      </c>
      <c r="C93" s="8" t="s">
        <v>828</v>
      </c>
      <c r="D93" s="8" t="s">
        <v>829</v>
      </c>
      <c r="E93" s="8" t="s">
        <v>830</v>
      </c>
    </row>
    <row r="94" spans="1:5" x14ac:dyDescent="0.3">
      <c r="A94" s="4">
        <v>93</v>
      </c>
      <c r="B94" s="8" t="s">
        <v>831</v>
      </c>
      <c r="C94" s="8" t="s">
        <v>832</v>
      </c>
      <c r="D94" s="8" t="s">
        <v>833</v>
      </c>
      <c r="E94" s="8" t="s">
        <v>834</v>
      </c>
    </row>
    <row r="95" spans="1:5" x14ac:dyDescent="0.3">
      <c r="A95" s="4">
        <v>94</v>
      </c>
      <c r="B95" s="8" t="s">
        <v>835</v>
      </c>
      <c r="C95" s="8" t="s">
        <v>836</v>
      </c>
      <c r="D95" s="8" t="s">
        <v>837</v>
      </c>
      <c r="E95" s="8" t="s">
        <v>838</v>
      </c>
    </row>
    <row r="96" spans="1:5" x14ac:dyDescent="0.3">
      <c r="A96" s="4">
        <v>95</v>
      </c>
      <c r="B96" s="8" t="s">
        <v>839</v>
      </c>
      <c r="C96" s="8" t="s">
        <v>840</v>
      </c>
      <c r="D96" s="8" t="s">
        <v>841</v>
      </c>
      <c r="E96" s="8" t="s">
        <v>842</v>
      </c>
    </row>
    <row r="97" spans="1:5" x14ac:dyDescent="0.3">
      <c r="A97" s="4">
        <v>96</v>
      </c>
      <c r="B97" s="8" t="s">
        <v>843</v>
      </c>
      <c r="C97" s="8" t="s">
        <v>844</v>
      </c>
      <c r="D97" s="8" t="s">
        <v>845</v>
      </c>
      <c r="E97" s="8" t="s">
        <v>846</v>
      </c>
    </row>
    <row r="98" spans="1:5" x14ac:dyDescent="0.3">
      <c r="A98" s="4">
        <v>97</v>
      </c>
      <c r="B98" s="8" t="s">
        <v>847</v>
      </c>
      <c r="C98" s="8" t="s">
        <v>848</v>
      </c>
      <c r="D98" s="8" t="s">
        <v>849</v>
      </c>
      <c r="E98" s="8" t="s">
        <v>850</v>
      </c>
    </row>
    <row r="99" spans="1:5" x14ac:dyDescent="0.3">
      <c r="A99" s="4">
        <v>98</v>
      </c>
      <c r="B99" s="8" t="s">
        <v>851</v>
      </c>
      <c r="C99" s="8" t="s">
        <v>852</v>
      </c>
      <c r="D99" s="8" t="s">
        <v>853</v>
      </c>
      <c r="E99" s="8" t="s">
        <v>854</v>
      </c>
    </row>
    <row r="100" spans="1:5" x14ac:dyDescent="0.3">
      <c r="A100" s="4">
        <v>99</v>
      </c>
      <c r="B100" s="8" t="s">
        <v>855</v>
      </c>
      <c r="C100" s="8" t="s">
        <v>856</v>
      </c>
      <c r="D100" s="8" t="s">
        <v>857</v>
      </c>
      <c r="E100" s="8" t="s">
        <v>858</v>
      </c>
    </row>
    <row r="101" spans="1:5" x14ac:dyDescent="0.3">
      <c r="A101" s="4">
        <v>100</v>
      </c>
      <c r="B101" s="8" t="s">
        <v>859</v>
      </c>
      <c r="C101" s="8" t="s">
        <v>860</v>
      </c>
      <c r="D101" s="8" t="s">
        <v>861</v>
      </c>
      <c r="E101" s="8" t="s">
        <v>862</v>
      </c>
    </row>
    <row r="102" spans="1:5" x14ac:dyDescent="0.3">
      <c r="A102" s="4">
        <v>101</v>
      </c>
      <c r="B102" s="8" t="s">
        <v>863</v>
      </c>
      <c r="C102" s="8" t="s">
        <v>864</v>
      </c>
      <c r="D102" s="8" t="s">
        <v>865</v>
      </c>
      <c r="E102" s="8" t="s">
        <v>866</v>
      </c>
    </row>
    <row r="103" spans="1:5" x14ac:dyDescent="0.3">
      <c r="A103" s="4">
        <v>102</v>
      </c>
      <c r="B103" s="8" t="s">
        <v>867</v>
      </c>
      <c r="C103" s="8" t="s">
        <v>868</v>
      </c>
      <c r="D103" s="8" t="s">
        <v>869</v>
      </c>
      <c r="E103" s="8" t="s">
        <v>870</v>
      </c>
    </row>
    <row r="104" spans="1:5" x14ac:dyDescent="0.3">
      <c r="A104" s="4">
        <v>103</v>
      </c>
      <c r="B104" s="8" t="s">
        <v>871</v>
      </c>
      <c r="C104" s="8" t="s">
        <v>872</v>
      </c>
      <c r="D104" s="8" t="s">
        <v>873</v>
      </c>
      <c r="E104" s="8" t="s">
        <v>874</v>
      </c>
    </row>
    <row r="105" spans="1:5" x14ac:dyDescent="0.3">
      <c r="A105" s="4">
        <v>104</v>
      </c>
      <c r="B105" s="8" t="s">
        <v>875</v>
      </c>
      <c r="C105" s="8" t="s">
        <v>876</v>
      </c>
      <c r="D105" s="8" t="s">
        <v>877</v>
      </c>
      <c r="E105" s="8" t="s">
        <v>878</v>
      </c>
    </row>
    <row r="106" spans="1:5" x14ac:dyDescent="0.3">
      <c r="A106" s="4">
        <v>105</v>
      </c>
      <c r="B106" s="8" t="s">
        <v>879</v>
      </c>
      <c r="C106" s="8" t="s">
        <v>880</v>
      </c>
      <c r="D106" s="8" t="s">
        <v>881</v>
      </c>
      <c r="E106" s="8" t="s">
        <v>882</v>
      </c>
    </row>
    <row r="107" spans="1:5" x14ac:dyDescent="0.3">
      <c r="A107" s="4">
        <v>106</v>
      </c>
      <c r="B107" s="8" t="s">
        <v>883</v>
      </c>
      <c r="C107" s="8" t="s">
        <v>884</v>
      </c>
      <c r="D107" s="8" t="s">
        <v>885</v>
      </c>
      <c r="E107" s="8" t="s">
        <v>886</v>
      </c>
    </row>
    <row r="108" spans="1:5" x14ac:dyDescent="0.3">
      <c r="A108" s="4">
        <v>107</v>
      </c>
      <c r="B108" s="8" t="s">
        <v>887</v>
      </c>
      <c r="C108" s="8" t="s">
        <v>888</v>
      </c>
      <c r="D108" s="8" t="s">
        <v>889</v>
      </c>
      <c r="E108" s="8" t="s">
        <v>890</v>
      </c>
    </row>
    <row r="109" spans="1:5" x14ac:dyDescent="0.3">
      <c r="A109" s="4">
        <v>108</v>
      </c>
      <c r="B109" s="8" t="s">
        <v>891</v>
      </c>
      <c r="C109" s="8" t="s">
        <v>892</v>
      </c>
      <c r="D109" s="8" t="s">
        <v>893</v>
      </c>
      <c r="E109" s="8" t="s">
        <v>894</v>
      </c>
    </row>
    <row r="110" spans="1:5" x14ac:dyDescent="0.3">
      <c r="A110" s="4">
        <v>109</v>
      </c>
      <c r="B110" s="8" t="s">
        <v>895</v>
      </c>
      <c r="C110" s="8" t="s">
        <v>896</v>
      </c>
      <c r="D110" s="8" t="s">
        <v>897</v>
      </c>
      <c r="E110" s="8" t="s">
        <v>898</v>
      </c>
    </row>
    <row r="111" spans="1:5" x14ac:dyDescent="0.3">
      <c r="A111" s="4">
        <v>110</v>
      </c>
      <c r="B111" s="8" t="s">
        <v>899</v>
      </c>
      <c r="C111" s="8" t="s">
        <v>900</v>
      </c>
      <c r="D111" s="8" t="s">
        <v>901</v>
      </c>
      <c r="E111" s="8" t="s">
        <v>902</v>
      </c>
    </row>
    <row r="112" spans="1:5" x14ac:dyDescent="0.3">
      <c r="A112" s="4">
        <v>111</v>
      </c>
      <c r="B112" s="8" t="s">
        <v>903</v>
      </c>
      <c r="C112" s="8" t="s">
        <v>904</v>
      </c>
      <c r="D112" s="8" t="s">
        <v>905</v>
      </c>
      <c r="E112" s="8" t="s">
        <v>906</v>
      </c>
    </row>
    <row r="113" spans="1:5" x14ac:dyDescent="0.3">
      <c r="A113" s="4">
        <v>112</v>
      </c>
      <c r="B113" s="8" t="s">
        <v>907</v>
      </c>
      <c r="C113" s="8" t="s">
        <v>908</v>
      </c>
      <c r="D113" s="8" t="s">
        <v>909</v>
      </c>
      <c r="E113" s="8" t="s">
        <v>910</v>
      </c>
    </row>
    <row r="114" spans="1:5" x14ac:dyDescent="0.3">
      <c r="A114" s="4">
        <v>113</v>
      </c>
      <c r="B114" s="8" t="s">
        <v>911</v>
      </c>
      <c r="C114" s="8" t="s">
        <v>912</v>
      </c>
      <c r="D114" s="8" t="s">
        <v>913</v>
      </c>
      <c r="E114" s="8" t="s">
        <v>914</v>
      </c>
    </row>
    <row r="115" spans="1:5" x14ac:dyDescent="0.3">
      <c r="A115" s="4">
        <v>114</v>
      </c>
      <c r="B115" s="8" t="s">
        <v>915</v>
      </c>
      <c r="C115" s="8" t="s">
        <v>916</v>
      </c>
      <c r="D115" s="8" t="s">
        <v>917</v>
      </c>
      <c r="E115" s="8" t="s">
        <v>918</v>
      </c>
    </row>
    <row r="116" spans="1:5" x14ac:dyDescent="0.3">
      <c r="A116" s="4">
        <v>115</v>
      </c>
      <c r="B116" s="8" t="s">
        <v>919</v>
      </c>
      <c r="C116" s="8" t="s">
        <v>920</v>
      </c>
      <c r="D116" s="8" t="s">
        <v>921</v>
      </c>
      <c r="E116" s="8" t="s">
        <v>922</v>
      </c>
    </row>
    <row r="117" spans="1:5" x14ac:dyDescent="0.3">
      <c r="A117" s="4">
        <v>116</v>
      </c>
      <c r="B117" s="8" t="s">
        <v>923</v>
      </c>
      <c r="C117" s="8" t="s">
        <v>924</v>
      </c>
      <c r="D117" s="8" t="s">
        <v>925</v>
      </c>
      <c r="E117" s="8" t="s">
        <v>926</v>
      </c>
    </row>
    <row r="118" spans="1:5" x14ac:dyDescent="0.3">
      <c r="A118" s="4">
        <v>117</v>
      </c>
      <c r="B118" s="8" t="s">
        <v>927</v>
      </c>
      <c r="C118" s="8" t="s">
        <v>928</v>
      </c>
      <c r="D118" s="8" t="s">
        <v>929</v>
      </c>
      <c r="E118" s="8" t="s">
        <v>930</v>
      </c>
    </row>
    <row r="119" spans="1:5" x14ac:dyDescent="0.3">
      <c r="A119" s="4">
        <v>118</v>
      </c>
      <c r="B119" s="8" t="s">
        <v>931</v>
      </c>
      <c r="C119" s="8" t="s">
        <v>932</v>
      </c>
      <c r="D119" s="8" t="s">
        <v>933</v>
      </c>
      <c r="E119" s="8" t="s">
        <v>934</v>
      </c>
    </row>
    <row r="120" spans="1:5" x14ac:dyDescent="0.3">
      <c r="A120" s="4">
        <v>119</v>
      </c>
      <c r="B120" s="8" t="s">
        <v>935</v>
      </c>
      <c r="C120" s="8" t="s">
        <v>936</v>
      </c>
      <c r="D120" s="8" t="s">
        <v>937</v>
      </c>
      <c r="E120" s="8" t="s">
        <v>938</v>
      </c>
    </row>
    <row r="121" spans="1:5" x14ac:dyDescent="0.3">
      <c r="A121" s="4">
        <v>120</v>
      </c>
      <c r="B121" s="8" t="s">
        <v>939</v>
      </c>
      <c r="C121" s="8" t="s">
        <v>940</v>
      </c>
      <c r="D121" s="8" t="s">
        <v>941</v>
      </c>
      <c r="E121" s="8" t="s">
        <v>942</v>
      </c>
    </row>
    <row r="122" spans="1:5" x14ac:dyDescent="0.3">
      <c r="A122" s="4">
        <v>121</v>
      </c>
      <c r="B122" s="8" t="s">
        <v>943</v>
      </c>
      <c r="C122" s="8" t="s">
        <v>944</v>
      </c>
      <c r="D122" s="8" t="s">
        <v>945</v>
      </c>
      <c r="E122" s="8" t="s">
        <v>946</v>
      </c>
    </row>
    <row r="123" spans="1:5" x14ac:dyDescent="0.3">
      <c r="A123" s="4">
        <v>122</v>
      </c>
      <c r="B123" s="8" t="s">
        <v>947</v>
      </c>
      <c r="C123" s="8" t="s">
        <v>948</v>
      </c>
      <c r="D123" s="8" t="s">
        <v>949</v>
      </c>
      <c r="E123" s="8" t="s">
        <v>950</v>
      </c>
    </row>
    <row r="124" spans="1:5" x14ac:dyDescent="0.3">
      <c r="A124" s="4">
        <v>123</v>
      </c>
      <c r="B124" s="8" t="s">
        <v>951</v>
      </c>
      <c r="C124" s="8" t="s">
        <v>952</v>
      </c>
      <c r="D124" s="8" t="s">
        <v>953</v>
      </c>
      <c r="E124" s="8" t="s">
        <v>954</v>
      </c>
    </row>
    <row r="125" spans="1:5" x14ac:dyDescent="0.3">
      <c r="A125" s="4">
        <v>124</v>
      </c>
      <c r="B125" s="8" t="s">
        <v>955</v>
      </c>
      <c r="C125" s="8" t="s">
        <v>956</v>
      </c>
      <c r="D125" s="8" t="s">
        <v>957</v>
      </c>
      <c r="E125" s="8" t="s">
        <v>958</v>
      </c>
    </row>
    <row r="126" spans="1:5" x14ac:dyDescent="0.3">
      <c r="A126" s="4">
        <v>125</v>
      </c>
      <c r="B126" s="8" t="s">
        <v>959</v>
      </c>
      <c r="C126" s="8" t="s">
        <v>960</v>
      </c>
      <c r="D126" s="8" t="s">
        <v>961</v>
      </c>
      <c r="E126" s="8" t="s">
        <v>962</v>
      </c>
    </row>
    <row r="127" spans="1:5" x14ac:dyDescent="0.3">
      <c r="A127" s="4">
        <v>126</v>
      </c>
      <c r="B127" s="8" t="s">
        <v>963</v>
      </c>
      <c r="C127" s="8" t="s">
        <v>964</v>
      </c>
      <c r="D127" s="8" t="s">
        <v>965</v>
      </c>
      <c r="E127" s="8" t="s">
        <v>966</v>
      </c>
    </row>
    <row r="128" spans="1:5" x14ac:dyDescent="0.3">
      <c r="A128" s="4">
        <v>127</v>
      </c>
      <c r="B128" s="8" t="s">
        <v>967</v>
      </c>
      <c r="C128" s="8" t="s">
        <v>968</v>
      </c>
      <c r="D128" s="8" t="s">
        <v>969</v>
      </c>
      <c r="E128" s="8" t="s">
        <v>970</v>
      </c>
    </row>
    <row r="129" spans="1:5" x14ac:dyDescent="0.3">
      <c r="A129" s="4">
        <v>128</v>
      </c>
      <c r="B129" s="8" t="s">
        <v>971</v>
      </c>
      <c r="C129" s="8" t="s">
        <v>972</v>
      </c>
      <c r="D129" s="8" t="s">
        <v>973</v>
      </c>
      <c r="E129" s="8" t="s">
        <v>974</v>
      </c>
    </row>
    <row r="130" spans="1:5" x14ac:dyDescent="0.3">
      <c r="A130" s="4">
        <v>129</v>
      </c>
      <c r="B130" s="8" t="s">
        <v>975</v>
      </c>
      <c r="C130" s="8" t="s">
        <v>976</v>
      </c>
      <c r="D130" s="8" t="s">
        <v>977</v>
      </c>
      <c r="E130" s="8" t="s">
        <v>978</v>
      </c>
    </row>
    <row r="131" spans="1:5" x14ac:dyDescent="0.3">
      <c r="A131" s="4">
        <v>130</v>
      </c>
      <c r="B131" s="8" t="s">
        <v>979</v>
      </c>
      <c r="C131" s="8" t="s">
        <v>980</v>
      </c>
      <c r="D131" s="8" t="s">
        <v>981</v>
      </c>
      <c r="E131" s="8" t="s">
        <v>982</v>
      </c>
    </row>
    <row r="132" spans="1:5" x14ac:dyDescent="0.3">
      <c r="A132" s="4">
        <v>131</v>
      </c>
      <c r="B132" s="8" t="s">
        <v>983</v>
      </c>
      <c r="C132" s="8" t="s">
        <v>984</v>
      </c>
      <c r="D132" s="8" t="s">
        <v>985</v>
      </c>
      <c r="E132" s="8" t="s">
        <v>986</v>
      </c>
    </row>
    <row r="133" spans="1:5" x14ac:dyDescent="0.3">
      <c r="A133" s="4">
        <v>132</v>
      </c>
      <c r="B133" s="8" t="s">
        <v>987</v>
      </c>
      <c r="C133" s="8" t="s">
        <v>988</v>
      </c>
      <c r="D133" s="8" t="s">
        <v>989</v>
      </c>
      <c r="E133" s="8" t="s">
        <v>990</v>
      </c>
    </row>
    <row r="134" spans="1:5" x14ac:dyDescent="0.3">
      <c r="A134" s="4">
        <v>133</v>
      </c>
      <c r="B134" s="8" t="s">
        <v>991</v>
      </c>
      <c r="C134" s="8" t="s">
        <v>992</v>
      </c>
      <c r="D134" s="8" t="s">
        <v>993</v>
      </c>
      <c r="E134" s="8" t="s">
        <v>994</v>
      </c>
    </row>
    <row r="135" spans="1:5" x14ac:dyDescent="0.3">
      <c r="A135" s="4">
        <v>134</v>
      </c>
      <c r="B135" s="8" t="s">
        <v>995</v>
      </c>
      <c r="C135" s="8" t="s">
        <v>996</v>
      </c>
      <c r="D135" s="8" t="s">
        <v>997</v>
      </c>
      <c r="E135" s="8" t="s">
        <v>998</v>
      </c>
    </row>
    <row r="136" spans="1:5" x14ac:dyDescent="0.3">
      <c r="A136" s="4">
        <v>135</v>
      </c>
      <c r="B136" s="8" t="s">
        <v>999</v>
      </c>
      <c r="C136" s="8" t="s">
        <v>1000</v>
      </c>
      <c r="D136" s="8" t="s">
        <v>1001</v>
      </c>
      <c r="E136" s="8" t="s">
        <v>1002</v>
      </c>
    </row>
    <row r="137" spans="1:5" x14ac:dyDescent="0.3">
      <c r="A137" s="4">
        <v>136</v>
      </c>
      <c r="B137" s="8" t="s">
        <v>1003</v>
      </c>
      <c r="C137" s="8" t="s">
        <v>1004</v>
      </c>
      <c r="D137" s="8" t="s">
        <v>1005</v>
      </c>
      <c r="E137" s="8" t="s">
        <v>1006</v>
      </c>
    </row>
    <row r="138" spans="1:5" x14ac:dyDescent="0.3">
      <c r="A138" s="4">
        <v>137</v>
      </c>
      <c r="B138" s="8" t="s">
        <v>1007</v>
      </c>
      <c r="C138" s="8" t="s">
        <v>1008</v>
      </c>
      <c r="D138" s="8" t="s">
        <v>1009</v>
      </c>
      <c r="E138" s="8" t="s">
        <v>1010</v>
      </c>
    </row>
    <row r="139" spans="1:5" x14ac:dyDescent="0.3">
      <c r="A139" s="4">
        <v>138</v>
      </c>
      <c r="B139" s="8" t="s">
        <v>1011</v>
      </c>
      <c r="C139" s="8" t="s">
        <v>1012</v>
      </c>
      <c r="D139" s="8" t="s">
        <v>1013</v>
      </c>
      <c r="E139" s="8" t="s">
        <v>1014</v>
      </c>
    </row>
    <row r="140" spans="1:5" x14ac:dyDescent="0.3">
      <c r="A140" s="4">
        <v>139</v>
      </c>
      <c r="B140" s="8" t="s">
        <v>1015</v>
      </c>
      <c r="C140" s="8" t="s">
        <v>1016</v>
      </c>
      <c r="D140" s="8" t="s">
        <v>1017</v>
      </c>
      <c r="E140" s="8" t="s">
        <v>1018</v>
      </c>
    </row>
    <row r="141" spans="1:5" x14ac:dyDescent="0.3">
      <c r="A141" s="4">
        <v>140</v>
      </c>
      <c r="B141" s="8" t="s">
        <v>1019</v>
      </c>
      <c r="C141" s="8" t="s">
        <v>1020</v>
      </c>
      <c r="D141" s="8" t="s">
        <v>1021</v>
      </c>
      <c r="E141" s="8" t="s">
        <v>1022</v>
      </c>
    </row>
    <row r="142" spans="1:5" x14ac:dyDescent="0.3">
      <c r="A142" s="4">
        <v>141</v>
      </c>
      <c r="B142" s="8" t="s">
        <v>1023</v>
      </c>
      <c r="C142" s="8" t="s">
        <v>1024</v>
      </c>
      <c r="D142" s="8" t="s">
        <v>1025</v>
      </c>
      <c r="E142" s="8" t="s">
        <v>1026</v>
      </c>
    </row>
    <row r="143" spans="1:5" x14ac:dyDescent="0.3">
      <c r="A143" s="4">
        <v>142</v>
      </c>
      <c r="B143" s="8" t="s">
        <v>1027</v>
      </c>
      <c r="C143" s="8" t="s">
        <v>1028</v>
      </c>
      <c r="D143" s="8" t="s">
        <v>1029</v>
      </c>
      <c r="E143" s="8" t="s">
        <v>1030</v>
      </c>
    </row>
    <row r="144" spans="1:5" x14ac:dyDescent="0.3">
      <c r="A144" s="4">
        <v>143</v>
      </c>
      <c r="B144" s="8" t="s">
        <v>1031</v>
      </c>
      <c r="C144" s="8" t="s">
        <v>1032</v>
      </c>
      <c r="D144" s="8" t="s">
        <v>1033</v>
      </c>
      <c r="E144" s="8" t="s">
        <v>1034</v>
      </c>
    </row>
    <row r="145" spans="1:5" x14ac:dyDescent="0.3">
      <c r="A145" s="4">
        <v>144</v>
      </c>
      <c r="B145" s="8" t="s">
        <v>1035</v>
      </c>
      <c r="C145" s="8" t="s">
        <v>1036</v>
      </c>
      <c r="D145" s="8" t="s">
        <v>1037</v>
      </c>
      <c r="E145" s="8" t="s">
        <v>1038</v>
      </c>
    </row>
    <row r="146" spans="1:5" x14ac:dyDescent="0.3">
      <c r="A146" s="4">
        <v>145</v>
      </c>
      <c r="B146" s="8" t="s">
        <v>1039</v>
      </c>
      <c r="C146" s="8" t="s">
        <v>1040</v>
      </c>
      <c r="D146" s="8" t="s">
        <v>1041</v>
      </c>
      <c r="E146" s="8" t="s">
        <v>1042</v>
      </c>
    </row>
    <row r="147" spans="1:5" x14ac:dyDescent="0.3">
      <c r="A147" s="4">
        <v>146</v>
      </c>
      <c r="B147" s="8" t="s">
        <v>1043</v>
      </c>
      <c r="C147" s="8" t="s">
        <v>1044</v>
      </c>
      <c r="D147" s="8" t="s">
        <v>1045</v>
      </c>
      <c r="E147" s="8" t="s">
        <v>1046</v>
      </c>
    </row>
    <row r="148" spans="1:5" x14ac:dyDescent="0.3">
      <c r="A148" s="4">
        <v>147</v>
      </c>
      <c r="B148" s="8" t="s">
        <v>1047</v>
      </c>
      <c r="C148" s="8" t="s">
        <v>1048</v>
      </c>
      <c r="D148" s="8" t="s">
        <v>1049</v>
      </c>
      <c r="E148" s="8" t="s">
        <v>1050</v>
      </c>
    </row>
    <row r="149" spans="1:5" x14ac:dyDescent="0.3">
      <c r="A149" s="4">
        <v>148</v>
      </c>
      <c r="B149" s="8" t="s">
        <v>1051</v>
      </c>
      <c r="C149" s="8" t="s">
        <v>1052</v>
      </c>
      <c r="D149" s="8" t="s">
        <v>1053</v>
      </c>
      <c r="E149" s="8" t="s">
        <v>1054</v>
      </c>
    </row>
    <row r="150" spans="1:5" x14ac:dyDescent="0.3">
      <c r="A150" s="4">
        <v>149</v>
      </c>
      <c r="B150" s="8" t="s">
        <v>1055</v>
      </c>
      <c r="C150" s="8" t="s">
        <v>1056</v>
      </c>
      <c r="D150" s="8" t="s">
        <v>1057</v>
      </c>
      <c r="E150" s="8" t="s">
        <v>1058</v>
      </c>
    </row>
    <row r="151" spans="1:5" x14ac:dyDescent="0.3">
      <c r="A151" s="4">
        <v>150</v>
      </c>
      <c r="B151" s="8" t="s">
        <v>1059</v>
      </c>
      <c r="C151" s="8" t="s">
        <v>1060</v>
      </c>
      <c r="D151" s="8" t="s">
        <v>1061</v>
      </c>
      <c r="E151" s="8" t="s">
        <v>1062</v>
      </c>
    </row>
    <row r="152" spans="1:5" x14ac:dyDescent="0.3">
      <c r="A152" s="4">
        <v>151</v>
      </c>
      <c r="B152" s="8" t="s">
        <v>1063</v>
      </c>
      <c r="C152" s="8" t="s">
        <v>1064</v>
      </c>
      <c r="D152" s="8" t="s">
        <v>1065</v>
      </c>
      <c r="E152" s="8" t="s">
        <v>1066</v>
      </c>
    </row>
    <row r="153" spans="1:5" x14ac:dyDescent="0.3">
      <c r="A153" s="4">
        <v>152</v>
      </c>
      <c r="B153" s="8" t="s">
        <v>1067</v>
      </c>
      <c r="C153" s="8" t="s">
        <v>1068</v>
      </c>
      <c r="D153" s="8" t="s">
        <v>1069</v>
      </c>
      <c r="E153" s="8" t="s">
        <v>1070</v>
      </c>
    </row>
    <row r="154" spans="1:5" x14ac:dyDescent="0.3">
      <c r="A154" s="4">
        <v>153</v>
      </c>
      <c r="B154" s="8" t="s">
        <v>1071</v>
      </c>
      <c r="C154" s="8" t="s">
        <v>1072</v>
      </c>
      <c r="D154" s="8" t="s">
        <v>1073</v>
      </c>
      <c r="E154" s="8" t="s">
        <v>1074</v>
      </c>
    </row>
    <row r="155" spans="1:5" x14ac:dyDescent="0.3">
      <c r="A155" s="4">
        <v>154</v>
      </c>
      <c r="B155" s="8" t="s">
        <v>1075</v>
      </c>
      <c r="C155" s="8" t="s">
        <v>1076</v>
      </c>
      <c r="D155" s="8" t="s">
        <v>1077</v>
      </c>
      <c r="E155" s="8" t="s">
        <v>1078</v>
      </c>
    </row>
    <row r="156" spans="1:5" x14ac:dyDescent="0.3">
      <c r="A156" s="4">
        <v>155</v>
      </c>
      <c r="B156" s="8" t="s">
        <v>1079</v>
      </c>
      <c r="C156" s="8" t="s">
        <v>1080</v>
      </c>
      <c r="D156" s="8" t="s">
        <v>1081</v>
      </c>
      <c r="E156" s="8" t="s">
        <v>1082</v>
      </c>
    </row>
    <row r="157" spans="1:5" x14ac:dyDescent="0.3">
      <c r="A157" s="4">
        <v>156</v>
      </c>
      <c r="B157" s="8" t="s">
        <v>1083</v>
      </c>
      <c r="C157" s="8" t="s">
        <v>1084</v>
      </c>
      <c r="D157" s="8" t="s">
        <v>1085</v>
      </c>
      <c r="E157" s="8" t="s">
        <v>1086</v>
      </c>
    </row>
    <row r="158" spans="1:5" x14ac:dyDescent="0.3">
      <c r="A158" s="4">
        <v>157</v>
      </c>
      <c r="B158" s="8" t="s">
        <v>1087</v>
      </c>
      <c r="C158" s="8" t="s">
        <v>1088</v>
      </c>
      <c r="D158" s="8" t="s">
        <v>1089</v>
      </c>
      <c r="E158" s="8" t="s">
        <v>1090</v>
      </c>
    </row>
    <row r="159" spans="1:5" x14ac:dyDescent="0.3">
      <c r="A159" s="4">
        <v>158</v>
      </c>
      <c r="B159" s="8" t="s">
        <v>1091</v>
      </c>
      <c r="C159" s="8" t="s">
        <v>1092</v>
      </c>
      <c r="D159" s="8" t="s">
        <v>1093</v>
      </c>
      <c r="E159" s="8" t="s">
        <v>1094</v>
      </c>
    </row>
    <row r="160" spans="1:5" x14ac:dyDescent="0.3">
      <c r="A160" s="4">
        <v>159</v>
      </c>
      <c r="B160" s="8" t="s">
        <v>1095</v>
      </c>
      <c r="C160" s="8" t="s">
        <v>1096</v>
      </c>
      <c r="D160" s="8" t="s">
        <v>1097</v>
      </c>
      <c r="E160" s="8" t="s">
        <v>1098</v>
      </c>
    </row>
    <row r="161" spans="1:5" x14ac:dyDescent="0.3">
      <c r="A161" s="4">
        <v>160</v>
      </c>
      <c r="B161" s="8" t="s">
        <v>1099</v>
      </c>
      <c r="C161" s="8" t="s">
        <v>1100</v>
      </c>
      <c r="D161" s="8" t="s">
        <v>1101</v>
      </c>
      <c r="E161" s="8" t="s">
        <v>1102</v>
      </c>
    </row>
    <row r="162" spans="1:5" x14ac:dyDescent="0.3">
      <c r="A162" s="4">
        <v>161</v>
      </c>
      <c r="B162" s="8" t="s">
        <v>1103</v>
      </c>
      <c r="C162" s="8" t="s">
        <v>1104</v>
      </c>
      <c r="D162" s="8" t="s">
        <v>1105</v>
      </c>
      <c r="E162" s="8" t="s">
        <v>1106</v>
      </c>
    </row>
    <row r="163" spans="1:5" x14ac:dyDescent="0.3">
      <c r="A163" s="4">
        <v>162</v>
      </c>
      <c r="B163" s="8" t="s">
        <v>1107</v>
      </c>
      <c r="C163" s="8" t="s">
        <v>1108</v>
      </c>
      <c r="D163" s="8" t="s">
        <v>1109</v>
      </c>
      <c r="E163" s="8" t="s">
        <v>1110</v>
      </c>
    </row>
    <row r="164" spans="1:5" x14ac:dyDescent="0.3">
      <c r="A164" s="4">
        <v>163</v>
      </c>
      <c r="B164" s="8" t="s">
        <v>1111</v>
      </c>
      <c r="C164" s="8" t="s">
        <v>1112</v>
      </c>
      <c r="D164" s="8" t="s">
        <v>1113</v>
      </c>
      <c r="E164" s="8" t="s">
        <v>1114</v>
      </c>
    </row>
    <row r="165" spans="1:5" x14ac:dyDescent="0.3">
      <c r="A165" s="4">
        <v>164</v>
      </c>
      <c r="B165" s="8" t="s">
        <v>1115</v>
      </c>
      <c r="C165" s="8" t="s">
        <v>1116</v>
      </c>
      <c r="D165" s="8" t="s">
        <v>1117</v>
      </c>
      <c r="E165" s="8" t="s">
        <v>1118</v>
      </c>
    </row>
    <row r="166" spans="1:5" x14ac:dyDescent="0.3">
      <c r="A166" s="4">
        <v>165</v>
      </c>
      <c r="B166" s="8" t="s">
        <v>1119</v>
      </c>
      <c r="C166" s="8" t="s">
        <v>1120</v>
      </c>
      <c r="D166" s="8" t="s">
        <v>1121</v>
      </c>
      <c r="E166" s="8" t="s">
        <v>1122</v>
      </c>
    </row>
    <row r="167" spans="1:5" x14ac:dyDescent="0.3">
      <c r="A167" s="4">
        <v>166</v>
      </c>
      <c r="B167" s="8" t="s">
        <v>1123</v>
      </c>
      <c r="C167" s="8" t="s">
        <v>1124</v>
      </c>
      <c r="D167" s="8" t="s">
        <v>1125</v>
      </c>
      <c r="E167" s="8" t="s">
        <v>1126</v>
      </c>
    </row>
    <row r="168" spans="1:5" x14ac:dyDescent="0.3">
      <c r="A168" s="4">
        <v>167</v>
      </c>
      <c r="B168" s="8" t="s">
        <v>1127</v>
      </c>
      <c r="C168" s="8" t="s">
        <v>1128</v>
      </c>
      <c r="D168" s="8" t="s">
        <v>1129</v>
      </c>
      <c r="E168" s="8" t="s">
        <v>1130</v>
      </c>
    </row>
    <row r="169" spans="1:5" x14ac:dyDescent="0.3">
      <c r="A169" s="4">
        <v>168</v>
      </c>
      <c r="B169" s="8" t="s">
        <v>1131</v>
      </c>
      <c r="C169" s="8" t="s">
        <v>1132</v>
      </c>
      <c r="D169" s="8" t="s">
        <v>1133</v>
      </c>
      <c r="E169" s="8" t="s">
        <v>1134</v>
      </c>
    </row>
    <row r="170" spans="1:5" x14ac:dyDescent="0.3">
      <c r="A170" s="4">
        <v>169</v>
      </c>
      <c r="B170" s="8" t="s">
        <v>1135</v>
      </c>
      <c r="C170" s="8" t="s">
        <v>1136</v>
      </c>
      <c r="D170" s="8" t="s">
        <v>1137</v>
      </c>
      <c r="E170" s="8" t="s">
        <v>1138</v>
      </c>
    </row>
    <row r="171" spans="1:5" x14ac:dyDescent="0.3">
      <c r="A171" s="4">
        <v>170</v>
      </c>
      <c r="B171" s="8" t="s">
        <v>1139</v>
      </c>
      <c r="C171" s="8" t="s">
        <v>1140</v>
      </c>
      <c r="D171" s="8" t="s">
        <v>1141</v>
      </c>
      <c r="E171" s="8" t="s">
        <v>1142</v>
      </c>
    </row>
    <row r="172" spans="1:5" x14ac:dyDescent="0.3">
      <c r="A172" s="4">
        <v>171</v>
      </c>
      <c r="B172" s="8" t="s">
        <v>1143</v>
      </c>
      <c r="C172" s="8" t="s">
        <v>1144</v>
      </c>
      <c r="D172" s="8" t="s">
        <v>1145</v>
      </c>
      <c r="E172" s="8" t="s">
        <v>1146</v>
      </c>
    </row>
    <row r="173" spans="1:5" x14ac:dyDescent="0.3">
      <c r="A173" s="4">
        <v>172</v>
      </c>
      <c r="B173" s="8" t="s">
        <v>1147</v>
      </c>
      <c r="C173" s="8" t="s">
        <v>1148</v>
      </c>
      <c r="D173" s="8" t="s">
        <v>1149</v>
      </c>
      <c r="E173" s="8" t="s">
        <v>1150</v>
      </c>
    </row>
    <row r="174" spans="1:5" x14ac:dyDescent="0.3">
      <c r="A174" s="4">
        <v>173</v>
      </c>
      <c r="B174" s="8" t="s">
        <v>1151</v>
      </c>
      <c r="C174" s="8" t="s">
        <v>1152</v>
      </c>
      <c r="D174" s="8" t="s">
        <v>1153</v>
      </c>
      <c r="E174" s="8" t="s">
        <v>1154</v>
      </c>
    </row>
    <row r="175" spans="1:5" x14ac:dyDescent="0.3">
      <c r="A175" s="4">
        <v>174</v>
      </c>
      <c r="B175" s="8" t="s">
        <v>1155</v>
      </c>
      <c r="C175" s="8" t="s">
        <v>1156</v>
      </c>
      <c r="D175" s="8" t="s">
        <v>1157</v>
      </c>
      <c r="E175" s="8" t="s">
        <v>1158</v>
      </c>
    </row>
    <row r="176" spans="1:5" x14ac:dyDescent="0.3">
      <c r="A176" s="4">
        <v>175</v>
      </c>
      <c r="B176" s="8" t="s">
        <v>1159</v>
      </c>
      <c r="C176" s="8" t="s">
        <v>1160</v>
      </c>
      <c r="D176" s="8" t="s">
        <v>1161</v>
      </c>
      <c r="E176" s="8" t="s">
        <v>1162</v>
      </c>
    </row>
    <row r="177" spans="1:5" x14ac:dyDescent="0.3">
      <c r="A177" s="4">
        <v>176</v>
      </c>
      <c r="B177" s="8" t="s">
        <v>1163</v>
      </c>
      <c r="C177" s="8" t="s">
        <v>1164</v>
      </c>
      <c r="D177" s="8" t="s">
        <v>1165</v>
      </c>
      <c r="E177" s="8" t="s">
        <v>1166</v>
      </c>
    </row>
    <row r="178" spans="1:5" x14ac:dyDescent="0.3">
      <c r="A178" s="4">
        <v>177</v>
      </c>
      <c r="B178" s="8" t="s">
        <v>1167</v>
      </c>
      <c r="C178" s="8" t="s">
        <v>1168</v>
      </c>
      <c r="D178" s="8" t="s">
        <v>1169</v>
      </c>
      <c r="E178" s="8" t="s">
        <v>1170</v>
      </c>
    </row>
    <row r="179" spans="1:5" x14ac:dyDescent="0.3">
      <c r="A179" s="4">
        <v>178</v>
      </c>
      <c r="B179" s="8" t="s">
        <v>1171</v>
      </c>
      <c r="C179" s="8" t="s">
        <v>1172</v>
      </c>
      <c r="D179" s="8" t="s">
        <v>1173</v>
      </c>
      <c r="E179" s="8" t="s">
        <v>1174</v>
      </c>
    </row>
    <row r="180" spans="1:5" x14ac:dyDescent="0.3">
      <c r="A180" s="4">
        <v>179</v>
      </c>
      <c r="B180" s="8" t="s">
        <v>1175</v>
      </c>
      <c r="C180" s="8" t="s">
        <v>1176</v>
      </c>
      <c r="D180" s="8" t="s">
        <v>1177</v>
      </c>
      <c r="E180" s="8" t="s">
        <v>1178</v>
      </c>
    </row>
    <row r="181" spans="1:5" x14ac:dyDescent="0.3">
      <c r="A181" s="4">
        <v>180</v>
      </c>
      <c r="B181" s="8" t="s">
        <v>1179</v>
      </c>
      <c r="C181" s="8" t="s">
        <v>1180</v>
      </c>
      <c r="D181" s="8" t="s">
        <v>1181</v>
      </c>
      <c r="E181" s="8" t="s">
        <v>1182</v>
      </c>
    </row>
    <row r="182" spans="1:5" x14ac:dyDescent="0.3">
      <c r="A182" s="4">
        <v>181</v>
      </c>
      <c r="B182" s="8" t="s">
        <v>1183</v>
      </c>
      <c r="C182" s="8" t="s">
        <v>1184</v>
      </c>
      <c r="D182" s="8" t="s">
        <v>1185</v>
      </c>
      <c r="E182" s="8" t="s">
        <v>1186</v>
      </c>
    </row>
    <row r="183" spans="1:5" x14ac:dyDescent="0.3">
      <c r="A183" s="4">
        <v>182</v>
      </c>
      <c r="B183" s="8" t="s">
        <v>1187</v>
      </c>
      <c r="C183" s="8" t="s">
        <v>1188</v>
      </c>
      <c r="D183" s="8" t="s">
        <v>1189</v>
      </c>
      <c r="E183" s="8" t="s">
        <v>1190</v>
      </c>
    </row>
    <row r="184" spans="1:5" x14ac:dyDescent="0.3">
      <c r="A184" s="4">
        <v>183</v>
      </c>
      <c r="B184" s="8" t="s">
        <v>1191</v>
      </c>
      <c r="C184" s="8" t="s">
        <v>1192</v>
      </c>
      <c r="D184" s="8" t="s">
        <v>1193</v>
      </c>
      <c r="E184" s="8" t="s">
        <v>1194</v>
      </c>
    </row>
    <row r="185" spans="1:5" x14ac:dyDescent="0.3">
      <c r="A185" s="4">
        <v>184</v>
      </c>
      <c r="B185" s="8" t="s">
        <v>1195</v>
      </c>
      <c r="C185" s="8" t="s">
        <v>1196</v>
      </c>
      <c r="D185" s="8" t="s">
        <v>1197</v>
      </c>
      <c r="E185" s="8" t="s">
        <v>1198</v>
      </c>
    </row>
    <row r="186" spans="1:5" x14ac:dyDescent="0.3">
      <c r="A186" s="4">
        <v>185</v>
      </c>
      <c r="B186" s="8" t="s">
        <v>1199</v>
      </c>
      <c r="C186" s="8" t="s">
        <v>1200</v>
      </c>
      <c r="D186" s="8" t="s">
        <v>1201</v>
      </c>
      <c r="E186" s="8" t="s">
        <v>1202</v>
      </c>
    </row>
    <row r="187" spans="1:5" x14ac:dyDescent="0.3">
      <c r="A187" s="4">
        <v>186</v>
      </c>
      <c r="B187" s="8" t="s">
        <v>1203</v>
      </c>
      <c r="C187" s="8" t="s">
        <v>1204</v>
      </c>
      <c r="D187" s="8" t="s">
        <v>1205</v>
      </c>
      <c r="E187" s="8" t="s">
        <v>1206</v>
      </c>
    </row>
    <row r="188" spans="1:5" x14ac:dyDescent="0.3">
      <c r="A188" s="4">
        <v>187</v>
      </c>
      <c r="B188" s="8" t="s">
        <v>1207</v>
      </c>
      <c r="C188" s="8" t="s">
        <v>1208</v>
      </c>
      <c r="D188" s="8" t="s">
        <v>1209</v>
      </c>
      <c r="E188" s="8" t="s">
        <v>1210</v>
      </c>
    </row>
    <row r="189" spans="1:5" x14ac:dyDescent="0.3">
      <c r="A189" s="4">
        <v>188</v>
      </c>
      <c r="B189" s="8" t="s">
        <v>1211</v>
      </c>
      <c r="C189" s="8" t="s">
        <v>1212</v>
      </c>
      <c r="D189" s="8" t="s">
        <v>1213</v>
      </c>
      <c r="E189" s="8" t="s">
        <v>1214</v>
      </c>
    </row>
    <row r="190" spans="1:5" x14ac:dyDescent="0.3">
      <c r="A190" s="4">
        <v>189</v>
      </c>
      <c r="B190" s="8" t="s">
        <v>1215</v>
      </c>
      <c r="C190" s="8" t="s">
        <v>1216</v>
      </c>
      <c r="D190" s="8" t="s">
        <v>1217</v>
      </c>
      <c r="E190" s="8" t="s">
        <v>1218</v>
      </c>
    </row>
    <row r="191" spans="1:5" x14ac:dyDescent="0.3">
      <c r="A191" s="4">
        <v>190</v>
      </c>
      <c r="B191" s="8" t="s">
        <v>1219</v>
      </c>
      <c r="C191" s="8" t="s">
        <v>1220</v>
      </c>
      <c r="D191" s="8" t="s">
        <v>1221</v>
      </c>
      <c r="E191" s="8" t="s">
        <v>1222</v>
      </c>
    </row>
    <row r="192" spans="1:5" x14ac:dyDescent="0.3">
      <c r="A192" s="4">
        <v>191</v>
      </c>
      <c r="B192" s="8" t="s">
        <v>1223</v>
      </c>
      <c r="C192" s="8" t="s">
        <v>1224</v>
      </c>
      <c r="D192" s="8" t="s">
        <v>1225</v>
      </c>
      <c r="E192" s="8" t="s">
        <v>1226</v>
      </c>
    </row>
    <row r="193" spans="1:5" x14ac:dyDescent="0.3">
      <c r="A193" s="4">
        <v>192</v>
      </c>
      <c r="B193" s="8" t="s">
        <v>1227</v>
      </c>
      <c r="C193" s="8" t="s">
        <v>1228</v>
      </c>
      <c r="D193" s="8" t="s">
        <v>1229</v>
      </c>
      <c r="E193" s="8" t="s">
        <v>1230</v>
      </c>
    </row>
    <row r="194" spans="1:5" x14ac:dyDescent="0.3">
      <c r="A194" s="4">
        <v>193</v>
      </c>
      <c r="B194" s="8" t="s">
        <v>1231</v>
      </c>
      <c r="C194" s="8" t="s">
        <v>1232</v>
      </c>
      <c r="D194" s="8" t="s">
        <v>1233</v>
      </c>
      <c r="E194" s="8" t="s">
        <v>1234</v>
      </c>
    </row>
    <row r="195" spans="1:5" x14ac:dyDescent="0.3">
      <c r="A195" s="4">
        <v>194</v>
      </c>
      <c r="B195" s="8" t="s">
        <v>1235</v>
      </c>
      <c r="C195" s="8" t="s">
        <v>1236</v>
      </c>
      <c r="D195" s="8" t="s">
        <v>1237</v>
      </c>
      <c r="E195" s="8" t="s">
        <v>1238</v>
      </c>
    </row>
    <row r="196" spans="1:5" x14ac:dyDescent="0.3">
      <c r="A196" s="4">
        <v>195</v>
      </c>
      <c r="B196" s="8" t="s">
        <v>1239</v>
      </c>
      <c r="C196" s="8" t="s">
        <v>1240</v>
      </c>
      <c r="D196" s="8" t="s">
        <v>1241</v>
      </c>
      <c r="E196" s="8" t="s">
        <v>1242</v>
      </c>
    </row>
    <row r="197" spans="1:5" x14ac:dyDescent="0.3">
      <c r="A197" s="4">
        <v>196</v>
      </c>
      <c r="B197" s="8" t="s">
        <v>1243</v>
      </c>
      <c r="C197" s="8" t="s">
        <v>1244</v>
      </c>
      <c r="D197" s="8" t="s">
        <v>1245</v>
      </c>
      <c r="E197" s="8" t="s">
        <v>1246</v>
      </c>
    </row>
    <row r="198" spans="1:5" x14ac:dyDescent="0.3">
      <c r="A198" s="4">
        <v>197</v>
      </c>
      <c r="B198" s="8" t="s">
        <v>1247</v>
      </c>
      <c r="C198" s="8" t="s">
        <v>1248</v>
      </c>
      <c r="D198" s="8" t="s">
        <v>1249</v>
      </c>
      <c r="E198" s="8" t="s">
        <v>1250</v>
      </c>
    </row>
    <row r="199" spans="1:5" x14ac:dyDescent="0.3">
      <c r="A199" s="4">
        <v>198</v>
      </c>
      <c r="B199" s="8" t="s">
        <v>1251</v>
      </c>
      <c r="C199" s="8" t="s">
        <v>1252</v>
      </c>
      <c r="D199" s="8" t="s">
        <v>1253</v>
      </c>
      <c r="E199" s="8" t="s">
        <v>1254</v>
      </c>
    </row>
    <row r="200" spans="1:5" x14ac:dyDescent="0.3">
      <c r="A200" s="4">
        <v>199</v>
      </c>
      <c r="B200" s="8" t="s">
        <v>1255</v>
      </c>
      <c r="C200" s="8" t="s">
        <v>1256</v>
      </c>
      <c r="D200" s="8" t="s">
        <v>1257</v>
      </c>
      <c r="E200" s="8" t="s">
        <v>1258</v>
      </c>
    </row>
    <row r="201" spans="1:5" x14ac:dyDescent="0.3">
      <c r="A201" s="4">
        <v>200</v>
      </c>
      <c r="B201" s="8" t="s">
        <v>1259</v>
      </c>
      <c r="C201" s="8" t="s">
        <v>1260</v>
      </c>
      <c r="D201" s="8" t="s">
        <v>1261</v>
      </c>
      <c r="E201" s="8" t="s">
        <v>1262</v>
      </c>
    </row>
    <row r="202" spans="1:5" x14ac:dyDescent="0.3">
      <c r="A202" s="4">
        <v>201</v>
      </c>
      <c r="B202" s="8" t="s">
        <v>1263</v>
      </c>
      <c r="C202" s="8" t="s">
        <v>1264</v>
      </c>
      <c r="D202" s="8" t="s">
        <v>1265</v>
      </c>
      <c r="E202" s="8" t="s">
        <v>1266</v>
      </c>
    </row>
    <row r="203" spans="1:5" x14ac:dyDescent="0.3">
      <c r="A203" s="4">
        <v>202</v>
      </c>
      <c r="B203" s="8" t="s">
        <v>1267</v>
      </c>
      <c r="C203" s="8" t="s">
        <v>1268</v>
      </c>
      <c r="D203" s="8" t="s">
        <v>1269</v>
      </c>
      <c r="E203" s="8" t="s">
        <v>1270</v>
      </c>
    </row>
    <row r="204" spans="1:5" x14ac:dyDescent="0.3">
      <c r="A204" s="4">
        <v>203</v>
      </c>
      <c r="B204" s="8" t="s">
        <v>1271</v>
      </c>
      <c r="C204" s="8" t="s">
        <v>1272</v>
      </c>
      <c r="D204" s="8" t="s">
        <v>1273</v>
      </c>
      <c r="E204" s="8" t="s">
        <v>1274</v>
      </c>
    </row>
    <row r="205" spans="1:5" x14ac:dyDescent="0.3">
      <c r="A205" s="4">
        <v>204</v>
      </c>
      <c r="B205" s="8" t="s">
        <v>1275</v>
      </c>
      <c r="C205" s="8" t="s">
        <v>1276</v>
      </c>
      <c r="D205" s="8" t="s">
        <v>1277</v>
      </c>
      <c r="E205" s="8" t="s">
        <v>1278</v>
      </c>
    </row>
    <row r="206" spans="1:5" x14ac:dyDescent="0.3">
      <c r="A206" s="4">
        <v>205</v>
      </c>
      <c r="B206" s="8" t="s">
        <v>1279</v>
      </c>
      <c r="C206" s="8" t="s">
        <v>1280</v>
      </c>
      <c r="D206" s="8" t="s">
        <v>1281</v>
      </c>
      <c r="E206" s="8" t="s">
        <v>1282</v>
      </c>
    </row>
    <row r="207" spans="1:5" x14ac:dyDescent="0.3">
      <c r="A207" s="4">
        <v>206</v>
      </c>
      <c r="B207" s="8" t="s">
        <v>1283</v>
      </c>
      <c r="C207" s="8" t="s">
        <v>1284</v>
      </c>
      <c r="D207" s="8" t="s">
        <v>1285</v>
      </c>
      <c r="E207" s="8" t="s">
        <v>1286</v>
      </c>
    </row>
    <row r="208" spans="1:5" x14ac:dyDescent="0.3">
      <c r="A208" s="4">
        <v>207</v>
      </c>
      <c r="B208" s="8" t="s">
        <v>1287</v>
      </c>
      <c r="C208" s="8" t="s">
        <v>1288</v>
      </c>
      <c r="D208" s="8" t="s">
        <v>1289</v>
      </c>
      <c r="E208" s="8" t="s">
        <v>1290</v>
      </c>
    </row>
    <row r="209" spans="1:5" x14ac:dyDescent="0.3">
      <c r="A209" s="4">
        <v>208</v>
      </c>
      <c r="B209" s="8" t="s">
        <v>1291</v>
      </c>
      <c r="C209" s="8" t="s">
        <v>1292</v>
      </c>
      <c r="D209" s="8" t="s">
        <v>1293</v>
      </c>
      <c r="E209" s="8" t="s">
        <v>1294</v>
      </c>
    </row>
    <row r="210" spans="1:5" x14ac:dyDescent="0.3">
      <c r="A210" s="4">
        <v>209</v>
      </c>
      <c r="B210" s="8" t="s">
        <v>1295</v>
      </c>
      <c r="C210" s="8" t="s">
        <v>1296</v>
      </c>
      <c r="D210" s="8" t="s">
        <v>1297</v>
      </c>
      <c r="E210" s="8" t="s">
        <v>1298</v>
      </c>
    </row>
    <row r="211" spans="1:5" x14ac:dyDescent="0.3">
      <c r="A211" s="4">
        <v>210</v>
      </c>
      <c r="B211" s="8" t="s">
        <v>1299</v>
      </c>
      <c r="C211" s="8" t="s">
        <v>1300</v>
      </c>
      <c r="D211" s="8" t="s">
        <v>1301</v>
      </c>
      <c r="E211" s="8" t="s">
        <v>1302</v>
      </c>
    </row>
    <row r="212" spans="1:5" x14ac:dyDescent="0.3">
      <c r="A212" s="4">
        <v>211</v>
      </c>
      <c r="B212" s="8" t="s">
        <v>1303</v>
      </c>
      <c r="C212" s="8" t="s">
        <v>1304</v>
      </c>
      <c r="D212" s="8" t="s">
        <v>1305</v>
      </c>
      <c r="E212" s="8" t="s">
        <v>1306</v>
      </c>
    </row>
    <row r="213" spans="1:5" x14ac:dyDescent="0.3">
      <c r="A213" s="4">
        <v>212</v>
      </c>
      <c r="B213" s="8" t="s">
        <v>1307</v>
      </c>
      <c r="C213" s="8" t="s">
        <v>1308</v>
      </c>
      <c r="D213" s="8" t="s">
        <v>1309</v>
      </c>
      <c r="E213" s="8" t="s">
        <v>1310</v>
      </c>
    </row>
    <row r="214" spans="1:5" x14ac:dyDescent="0.3">
      <c r="A214" s="4">
        <v>213</v>
      </c>
      <c r="B214" s="8" t="s">
        <v>1311</v>
      </c>
      <c r="C214" s="8" t="s">
        <v>1312</v>
      </c>
      <c r="D214" s="8" t="s">
        <v>1313</v>
      </c>
      <c r="E214" s="8" t="s">
        <v>1314</v>
      </c>
    </row>
    <row r="215" spans="1:5" x14ac:dyDescent="0.3">
      <c r="A215" s="4">
        <v>214</v>
      </c>
      <c r="B215" s="8" t="s">
        <v>1315</v>
      </c>
      <c r="C215" s="8" t="s">
        <v>1316</v>
      </c>
      <c r="D215" s="8" t="s">
        <v>1317</v>
      </c>
      <c r="E215" s="8" t="s">
        <v>1318</v>
      </c>
    </row>
    <row r="216" spans="1:5" x14ac:dyDescent="0.3">
      <c r="A216" s="4">
        <v>215</v>
      </c>
      <c r="B216" s="8" t="s">
        <v>1319</v>
      </c>
      <c r="C216" s="8" t="s">
        <v>1320</v>
      </c>
      <c r="D216" s="8" t="s">
        <v>1321</v>
      </c>
      <c r="E216" s="8" t="s">
        <v>1322</v>
      </c>
    </row>
    <row r="217" spans="1:5" x14ac:dyDescent="0.3">
      <c r="A217" s="4">
        <v>216</v>
      </c>
      <c r="B217" s="8" t="s">
        <v>1323</v>
      </c>
      <c r="C217" s="8" t="s">
        <v>1324</v>
      </c>
      <c r="D217" s="8" t="s">
        <v>1325</v>
      </c>
      <c r="E217" s="8" t="s">
        <v>1326</v>
      </c>
    </row>
    <row r="218" spans="1:5" x14ac:dyDescent="0.3">
      <c r="A218" s="4">
        <v>217</v>
      </c>
      <c r="B218" s="8" t="s">
        <v>1327</v>
      </c>
      <c r="C218" s="8" t="s">
        <v>1328</v>
      </c>
      <c r="D218" s="8" t="s">
        <v>1329</v>
      </c>
      <c r="E218" s="8" t="s">
        <v>1330</v>
      </c>
    </row>
    <row r="219" spans="1:5" x14ac:dyDescent="0.3">
      <c r="A219" s="4">
        <v>218</v>
      </c>
      <c r="B219" s="8" t="s">
        <v>1331</v>
      </c>
      <c r="C219" s="8" t="s">
        <v>1332</v>
      </c>
      <c r="D219" s="8" t="s">
        <v>1333</v>
      </c>
      <c r="E219" s="8" t="s">
        <v>1334</v>
      </c>
    </row>
    <row r="220" spans="1:5" x14ac:dyDescent="0.3">
      <c r="A220" s="4">
        <v>219</v>
      </c>
      <c r="B220" s="8" t="s">
        <v>1335</v>
      </c>
      <c r="C220" s="8" t="s">
        <v>1336</v>
      </c>
      <c r="D220" s="8" t="s">
        <v>1337</v>
      </c>
      <c r="E220" s="8" t="s">
        <v>1338</v>
      </c>
    </row>
    <row r="221" spans="1:5" x14ac:dyDescent="0.3">
      <c r="A221" s="4">
        <v>220</v>
      </c>
      <c r="B221" s="8" t="s">
        <v>1339</v>
      </c>
      <c r="C221" s="8" t="s">
        <v>1340</v>
      </c>
      <c r="D221" s="8" t="s">
        <v>1341</v>
      </c>
      <c r="E221" s="8" t="s">
        <v>1342</v>
      </c>
    </row>
    <row r="222" spans="1:5" x14ac:dyDescent="0.3">
      <c r="A222" s="4">
        <v>221</v>
      </c>
      <c r="B222" s="8" t="s">
        <v>1343</v>
      </c>
      <c r="C222" s="8" t="s">
        <v>1344</v>
      </c>
      <c r="D222" s="8" t="s">
        <v>1345</v>
      </c>
      <c r="E222" s="8" t="s">
        <v>1346</v>
      </c>
    </row>
    <row r="223" spans="1:5" x14ac:dyDescent="0.3">
      <c r="A223" s="4">
        <v>222</v>
      </c>
      <c r="B223" s="8" t="s">
        <v>1347</v>
      </c>
      <c r="C223" s="8" t="s">
        <v>1348</v>
      </c>
      <c r="D223" s="8" t="s">
        <v>1349</v>
      </c>
      <c r="E223" s="8" t="s">
        <v>1350</v>
      </c>
    </row>
    <row r="224" spans="1:5" x14ac:dyDescent="0.3">
      <c r="A224" s="4">
        <v>223</v>
      </c>
      <c r="B224" s="8" t="s">
        <v>1351</v>
      </c>
      <c r="C224" s="8" t="s">
        <v>1352</v>
      </c>
      <c r="D224" s="8" t="s">
        <v>1353</v>
      </c>
      <c r="E224" s="8" t="s">
        <v>1354</v>
      </c>
    </row>
    <row r="225" spans="1:5" x14ac:dyDescent="0.3">
      <c r="A225" s="4">
        <v>224</v>
      </c>
      <c r="B225" s="8" t="s">
        <v>1355</v>
      </c>
      <c r="C225" s="8" t="s">
        <v>1356</v>
      </c>
      <c r="D225" s="8" t="s">
        <v>1357</v>
      </c>
      <c r="E225" s="8" t="s">
        <v>1358</v>
      </c>
    </row>
    <row r="226" spans="1:5" x14ac:dyDescent="0.3">
      <c r="A226" s="4">
        <v>225</v>
      </c>
      <c r="B226" s="8" t="s">
        <v>1359</v>
      </c>
      <c r="C226" s="8" t="s">
        <v>1360</v>
      </c>
      <c r="D226" s="8" t="s">
        <v>1361</v>
      </c>
      <c r="E226" s="8" t="s">
        <v>1362</v>
      </c>
    </row>
    <row r="227" spans="1:5" x14ac:dyDescent="0.3">
      <c r="A227" s="4">
        <v>226</v>
      </c>
      <c r="B227" s="8" t="s">
        <v>1363</v>
      </c>
      <c r="C227" s="8" t="s">
        <v>1364</v>
      </c>
      <c r="D227" s="8" t="s">
        <v>1365</v>
      </c>
      <c r="E227" s="8" t="s">
        <v>1366</v>
      </c>
    </row>
    <row r="228" spans="1:5" x14ac:dyDescent="0.3">
      <c r="A228" s="4">
        <v>227</v>
      </c>
      <c r="B228" s="8" t="s">
        <v>1367</v>
      </c>
      <c r="C228" s="8" t="s">
        <v>1368</v>
      </c>
      <c r="D228" s="8" t="s">
        <v>1369</v>
      </c>
      <c r="E228" s="8" t="s">
        <v>1370</v>
      </c>
    </row>
    <row r="229" spans="1:5" x14ac:dyDescent="0.3">
      <c r="A229" s="4">
        <v>228</v>
      </c>
      <c r="B229" s="8" t="s">
        <v>1371</v>
      </c>
      <c r="C229" s="8" t="s">
        <v>1372</v>
      </c>
      <c r="D229" s="8" t="s">
        <v>1373</v>
      </c>
      <c r="E229" s="8" t="s">
        <v>1374</v>
      </c>
    </row>
    <row r="230" spans="1:5" x14ac:dyDescent="0.3">
      <c r="A230" s="4">
        <v>229</v>
      </c>
      <c r="B230" s="8" t="s">
        <v>1375</v>
      </c>
      <c r="C230" s="8" t="s">
        <v>1376</v>
      </c>
      <c r="D230" s="8" t="s">
        <v>1377</v>
      </c>
      <c r="E230" s="8" t="s">
        <v>1378</v>
      </c>
    </row>
    <row r="231" spans="1:5" x14ac:dyDescent="0.3">
      <c r="A231" s="4">
        <v>230</v>
      </c>
      <c r="B231" s="8" t="s">
        <v>1379</v>
      </c>
      <c r="C231" s="8" t="s">
        <v>1380</v>
      </c>
      <c r="D231" s="8" t="s">
        <v>1381</v>
      </c>
      <c r="E231" s="8" t="s">
        <v>1382</v>
      </c>
    </row>
    <row r="232" spans="1:5" x14ac:dyDescent="0.3">
      <c r="A232" s="4">
        <v>231</v>
      </c>
      <c r="B232" s="8" t="s">
        <v>1383</v>
      </c>
      <c r="C232" s="8" t="s">
        <v>1384</v>
      </c>
      <c r="D232" s="8" t="s">
        <v>1385</v>
      </c>
      <c r="E232" s="8" t="s">
        <v>1386</v>
      </c>
    </row>
    <row r="233" spans="1:5" x14ac:dyDescent="0.3">
      <c r="A233" s="4">
        <v>232</v>
      </c>
      <c r="B233" s="8" t="s">
        <v>1387</v>
      </c>
      <c r="C233" s="8" t="s">
        <v>1388</v>
      </c>
      <c r="D233" s="8" t="s">
        <v>1389</v>
      </c>
      <c r="E233" s="8" t="s">
        <v>1390</v>
      </c>
    </row>
    <row r="234" spans="1:5" x14ac:dyDescent="0.3">
      <c r="A234" s="4">
        <v>233</v>
      </c>
      <c r="B234" s="8" t="s">
        <v>1391</v>
      </c>
      <c r="C234" s="8" t="s">
        <v>1392</v>
      </c>
      <c r="D234" s="8" t="s">
        <v>1393</v>
      </c>
      <c r="E234" s="8" t="s">
        <v>1394</v>
      </c>
    </row>
    <row r="235" spans="1:5" x14ac:dyDescent="0.3">
      <c r="A235" s="4">
        <v>234</v>
      </c>
      <c r="B235" s="8" t="s">
        <v>1395</v>
      </c>
      <c r="C235" s="8" t="s">
        <v>1396</v>
      </c>
      <c r="D235" s="8" t="s">
        <v>1397</v>
      </c>
      <c r="E235" s="8" t="s">
        <v>1398</v>
      </c>
    </row>
    <row r="236" spans="1:5" x14ac:dyDescent="0.3">
      <c r="A236" s="4">
        <v>235</v>
      </c>
      <c r="B236" s="8" t="s">
        <v>1399</v>
      </c>
      <c r="C236" s="8" t="s">
        <v>1400</v>
      </c>
      <c r="D236" s="8" t="s">
        <v>1401</v>
      </c>
      <c r="E236" s="8" t="s">
        <v>1402</v>
      </c>
    </row>
    <row r="237" spans="1:5" x14ac:dyDescent="0.3">
      <c r="A237" s="4">
        <v>236</v>
      </c>
      <c r="B237" s="8" t="s">
        <v>1403</v>
      </c>
      <c r="C237" s="8" t="s">
        <v>1404</v>
      </c>
      <c r="D237" s="8" t="s">
        <v>1405</v>
      </c>
      <c r="E237" s="8" t="s">
        <v>1406</v>
      </c>
    </row>
    <row r="238" spans="1:5" x14ac:dyDescent="0.3">
      <c r="A238" s="4">
        <v>237</v>
      </c>
      <c r="B238" s="8" t="s">
        <v>1407</v>
      </c>
      <c r="C238" s="8" t="s">
        <v>1408</v>
      </c>
      <c r="D238" s="8" t="s">
        <v>1409</v>
      </c>
      <c r="E238" s="8" t="s">
        <v>1410</v>
      </c>
    </row>
    <row r="239" spans="1:5" x14ac:dyDescent="0.3">
      <c r="A239" s="4">
        <v>238</v>
      </c>
      <c r="B239" s="8" t="s">
        <v>1411</v>
      </c>
      <c r="C239" s="8" t="s">
        <v>1412</v>
      </c>
      <c r="D239" s="8" t="s">
        <v>1413</v>
      </c>
      <c r="E239" s="8" t="s">
        <v>1414</v>
      </c>
    </row>
    <row r="240" spans="1:5" x14ac:dyDescent="0.3">
      <c r="A240" s="4">
        <v>239</v>
      </c>
      <c r="B240" s="8" t="s">
        <v>1415</v>
      </c>
      <c r="C240" s="8" t="s">
        <v>1416</v>
      </c>
      <c r="D240" s="8" t="s">
        <v>1417</v>
      </c>
      <c r="E240" s="8" t="s">
        <v>1418</v>
      </c>
    </row>
    <row r="241" spans="1:5" x14ac:dyDescent="0.3">
      <c r="A241" s="4">
        <v>240</v>
      </c>
      <c r="B241" s="8" t="s">
        <v>1419</v>
      </c>
      <c r="C241" s="8" t="s">
        <v>1420</v>
      </c>
      <c r="D241" s="9">
        <v>43909</v>
      </c>
      <c r="E241" s="8" t="s">
        <v>1421</v>
      </c>
    </row>
    <row r="242" spans="1:5" x14ac:dyDescent="0.3">
      <c r="A242" s="4">
        <v>241</v>
      </c>
      <c r="B242" s="8" t="s">
        <v>1422</v>
      </c>
      <c r="C242" s="8" t="s">
        <v>1423</v>
      </c>
      <c r="D242" s="8" t="s">
        <v>1424</v>
      </c>
      <c r="E242" s="8" t="s">
        <v>1425</v>
      </c>
    </row>
    <row r="243" spans="1:5" x14ac:dyDescent="0.3">
      <c r="A243" s="4">
        <v>242</v>
      </c>
      <c r="B243" s="8" t="s">
        <v>1426</v>
      </c>
      <c r="C243" s="8" t="s">
        <v>1427</v>
      </c>
      <c r="D243" s="8" t="s">
        <v>1428</v>
      </c>
      <c r="E243" s="8" t="s">
        <v>1429</v>
      </c>
    </row>
    <row r="244" spans="1:5" x14ac:dyDescent="0.3">
      <c r="A244" s="4">
        <v>243</v>
      </c>
      <c r="B244" s="8" t="s">
        <v>1430</v>
      </c>
      <c r="C244" s="8" t="s">
        <v>1431</v>
      </c>
      <c r="D244" s="8" t="s">
        <v>1432</v>
      </c>
      <c r="E244" s="8" t="s">
        <v>1433</v>
      </c>
    </row>
    <row r="245" spans="1:5" x14ac:dyDescent="0.3">
      <c r="A245" s="4">
        <v>244</v>
      </c>
      <c r="B245" s="8" t="s">
        <v>1434</v>
      </c>
      <c r="C245" s="8" t="s">
        <v>1435</v>
      </c>
      <c r="D245" s="8" t="s">
        <v>1436</v>
      </c>
      <c r="E245" s="8" t="s">
        <v>1437</v>
      </c>
    </row>
    <row r="246" spans="1:5" x14ac:dyDescent="0.3">
      <c r="A246" s="4">
        <v>245</v>
      </c>
      <c r="B246" s="8" t="s">
        <v>1438</v>
      </c>
      <c r="C246" s="8" t="s">
        <v>1439</v>
      </c>
      <c r="D246" s="8" t="s">
        <v>1440</v>
      </c>
      <c r="E246" s="8" t="s">
        <v>1441</v>
      </c>
    </row>
    <row r="247" spans="1:5" x14ac:dyDescent="0.3">
      <c r="A247" s="4">
        <v>246</v>
      </c>
      <c r="B247" s="8" t="s">
        <v>1442</v>
      </c>
      <c r="C247" s="8" t="s">
        <v>1443</v>
      </c>
      <c r="D247" s="8" t="s">
        <v>1444</v>
      </c>
      <c r="E247" s="8" t="s">
        <v>1445</v>
      </c>
    </row>
    <row r="248" spans="1:5" x14ac:dyDescent="0.3">
      <c r="A248" s="4">
        <v>247</v>
      </c>
      <c r="B248" s="8" t="s">
        <v>1446</v>
      </c>
      <c r="C248" s="8" t="s">
        <v>1447</v>
      </c>
      <c r="D248" s="8" t="s">
        <v>1448</v>
      </c>
      <c r="E248" s="8" t="s">
        <v>1449</v>
      </c>
    </row>
    <row r="249" spans="1:5" x14ac:dyDescent="0.3">
      <c r="A249" s="4">
        <v>248</v>
      </c>
      <c r="B249" s="8" t="s">
        <v>1450</v>
      </c>
      <c r="C249" s="8" t="s">
        <v>1451</v>
      </c>
      <c r="D249" s="8" t="s">
        <v>1452</v>
      </c>
      <c r="E249" s="8" t="s">
        <v>1453</v>
      </c>
    </row>
    <row r="250" spans="1:5" x14ac:dyDescent="0.3">
      <c r="A250" s="4">
        <v>249</v>
      </c>
      <c r="B250" s="8" t="s">
        <v>1454</v>
      </c>
      <c r="C250" s="8" t="s">
        <v>1455</v>
      </c>
      <c r="D250" s="8" t="s">
        <v>1456</v>
      </c>
      <c r="E250" s="8" t="s">
        <v>1457</v>
      </c>
    </row>
    <row r="251" spans="1:5" x14ac:dyDescent="0.3">
      <c r="A251" s="4">
        <v>250</v>
      </c>
      <c r="B251" s="8" t="s">
        <v>1458</v>
      </c>
      <c r="C251" s="8" t="s">
        <v>1459</v>
      </c>
      <c r="D251" s="8" t="s">
        <v>1460</v>
      </c>
      <c r="E251" s="8" t="s">
        <v>1461</v>
      </c>
    </row>
    <row r="252" spans="1:5" x14ac:dyDescent="0.3">
      <c r="A252" s="4">
        <v>251</v>
      </c>
      <c r="B252" s="8" t="s">
        <v>1462</v>
      </c>
      <c r="C252" s="8" t="s">
        <v>1463</v>
      </c>
      <c r="D252" s="8" t="s">
        <v>1464</v>
      </c>
      <c r="E252" s="8" t="s">
        <v>1465</v>
      </c>
    </row>
    <row r="253" spans="1:5" x14ac:dyDescent="0.3">
      <c r="A253" s="4">
        <v>252</v>
      </c>
      <c r="B253" s="8" t="s">
        <v>1466</v>
      </c>
      <c r="C253" s="8" t="s">
        <v>1467</v>
      </c>
      <c r="D253" s="8" t="s">
        <v>1468</v>
      </c>
      <c r="E253" s="8" t="s">
        <v>1469</v>
      </c>
    </row>
    <row r="254" spans="1:5" x14ac:dyDescent="0.3">
      <c r="A254" s="4">
        <v>253</v>
      </c>
      <c r="B254" s="8" t="s">
        <v>1470</v>
      </c>
      <c r="C254" s="8" t="s">
        <v>1471</v>
      </c>
      <c r="D254" s="8" t="s">
        <v>1472</v>
      </c>
      <c r="E254" s="8" t="s">
        <v>1473</v>
      </c>
    </row>
    <row r="255" spans="1:5" x14ac:dyDescent="0.3">
      <c r="A255" s="4">
        <v>254</v>
      </c>
      <c r="B255" s="8" t="s">
        <v>1474</v>
      </c>
      <c r="C255" s="8" t="s">
        <v>1475</v>
      </c>
      <c r="D255" s="8" t="s">
        <v>1476</v>
      </c>
      <c r="E255" s="8" t="s">
        <v>1477</v>
      </c>
    </row>
    <row r="256" spans="1:5" x14ac:dyDescent="0.3">
      <c r="A256" s="4">
        <v>255</v>
      </c>
      <c r="B256" s="8" t="s">
        <v>1478</v>
      </c>
      <c r="C256" s="8" t="s">
        <v>1479</v>
      </c>
      <c r="D256" s="8" t="s">
        <v>1480</v>
      </c>
      <c r="E256" s="8" t="s">
        <v>1481</v>
      </c>
    </row>
    <row r="257" spans="1:5" x14ac:dyDescent="0.3">
      <c r="A257" s="4">
        <v>256</v>
      </c>
      <c r="B257" s="8" t="s">
        <v>1482</v>
      </c>
      <c r="C257" s="8" t="s">
        <v>1483</v>
      </c>
      <c r="D257" s="8" t="s">
        <v>1484</v>
      </c>
      <c r="E257" s="8" t="s">
        <v>1485</v>
      </c>
    </row>
    <row r="258" spans="1:5" x14ac:dyDescent="0.3">
      <c r="A258" s="4">
        <v>257</v>
      </c>
      <c r="B258" s="8" t="s">
        <v>1486</v>
      </c>
      <c r="C258" s="8" t="s">
        <v>1487</v>
      </c>
      <c r="D258" s="8" t="s">
        <v>1488</v>
      </c>
      <c r="E258" s="8" t="s">
        <v>1489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E13:L32"/>
  <sheetViews>
    <sheetView zoomScale="85" zoomScaleNormal="85" workbookViewId="0">
      <selection activeCell="L21" sqref="L21"/>
    </sheetView>
  </sheetViews>
  <sheetFormatPr defaultRowHeight="16.5" x14ac:dyDescent="0.3"/>
  <cols>
    <col min="1" max="5" width="9" style="1"/>
    <col min="6" max="7" width="18.25" style="24" customWidth="1"/>
    <col min="8" max="8" width="9.25" style="29" bestFit="1" customWidth="1"/>
    <col min="9" max="9" width="18.25" style="24" customWidth="1"/>
    <col min="10" max="11" width="9" style="1"/>
    <col min="12" max="12" width="11.125" style="1" bestFit="1" customWidth="1"/>
    <col min="13" max="16384" width="9" style="1"/>
  </cols>
  <sheetData>
    <row r="13" spans="12:12" x14ac:dyDescent="0.3">
      <c r="L13" s="26"/>
    </row>
    <row r="18" spans="5:12" x14ac:dyDescent="0.3">
      <c r="L18" s="30"/>
    </row>
    <row r="21" spans="5:12" ht="24.75" customHeight="1" x14ac:dyDescent="0.3">
      <c r="F21" s="25" t="s">
        <v>1500</v>
      </c>
      <c r="G21" s="28" t="s">
        <v>1501</v>
      </c>
      <c r="H21" s="28" t="s">
        <v>1502</v>
      </c>
      <c r="I21" s="25" t="s">
        <v>1503</v>
      </c>
    </row>
    <row r="22" spans="5:12" x14ac:dyDescent="0.3">
      <c r="E22" s="26"/>
      <c r="F22" s="24" t="s">
        <v>1517</v>
      </c>
      <c r="G22" s="27">
        <v>44473</v>
      </c>
      <c r="H22" s="29">
        <v>9</v>
      </c>
      <c r="I22" s="27">
        <v>44482</v>
      </c>
    </row>
    <row r="23" spans="5:12" x14ac:dyDescent="0.3">
      <c r="E23" s="26"/>
      <c r="F23" s="24" t="s">
        <v>1517</v>
      </c>
      <c r="G23" s="27">
        <v>44475</v>
      </c>
      <c r="H23" s="29">
        <v>11</v>
      </c>
      <c r="I23" s="27">
        <v>44484</v>
      </c>
    </row>
    <row r="24" spans="5:12" x14ac:dyDescent="0.3">
      <c r="E24" s="26"/>
      <c r="F24" s="24" t="s">
        <v>1517</v>
      </c>
      <c r="G24" s="27">
        <v>44477</v>
      </c>
      <c r="H24" s="29">
        <v>13</v>
      </c>
      <c r="I24" s="27">
        <v>44486</v>
      </c>
    </row>
    <row r="25" spans="5:12" x14ac:dyDescent="0.3">
      <c r="E25" s="26"/>
      <c r="F25" s="24" t="s">
        <v>1517</v>
      </c>
      <c r="G25" s="27">
        <v>44480</v>
      </c>
      <c r="H25" s="29">
        <v>16</v>
      </c>
      <c r="I25" s="27">
        <v>44489</v>
      </c>
    </row>
    <row r="26" spans="5:12" x14ac:dyDescent="0.3">
      <c r="E26" s="26"/>
      <c r="F26" s="24" t="s">
        <v>1518</v>
      </c>
      <c r="G26" s="27">
        <v>44483</v>
      </c>
      <c r="H26" s="29">
        <v>19</v>
      </c>
      <c r="I26" s="27">
        <v>44492</v>
      </c>
    </row>
    <row r="27" spans="5:12" x14ac:dyDescent="0.3">
      <c r="E27" s="26"/>
      <c r="F27" s="24" t="s">
        <v>1518</v>
      </c>
      <c r="G27" s="27">
        <v>44485</v>
      </c>
      <c r="H27" s="29">
        <v>21</v>
      </c>
      <c r="I27" s="27">
        <v>44494</v>
      </c>
    </row>
    <row r="28" spans="5:12" x14ac:dyDescent="0.3">
      <c r="E28" s="26"/>
      <c r="F28" s="24" t="s">
        <v>1518</v>
      </c>
      <c r="G28" s="27">
        <v>44488</v>
      </c>
      <c r="H28" s="29">
        <v>24</v>
      </c>
      <c r="I28" s="27">
        <v>44497</v>
      </c>
    </row>
    <row r="29" spans="5:12" x14ac:dyDescent="0.3">
      <c r="E29" s="26"/>
      <c r="F29" s="24" t="s">
        <v>1519</v>
      </c>
      <c r="G29" s="27">
        <v>44488</v>
      </c>
      <c r="H29" s="29">
        <v>20</v>
      </c>
      <c r="I29" s="27">
        <v>44493</v>
      </c>
    </row>
    <row r="30" spans="5:12" x14ac:dyDescent="0.3">
      <c r="E30" s="26"/>
      <c r="F30" s="24" t="s">
        <v>1519</v>
      </c>
      <c r="G30" s="27">
        <v>44489</v>
      </c>
      <c r="H30" s="29">
        <v>21</v>
      </c>
      <c r="I30" s="27">
        <v>44494</v>
      </c>
    </row>
    <row r="31" spans="5:12" x14ac:dyDescent="0.3">
      <c r="E31" s="26"/>
      <c r="F31" s="24" t="s">
        <v>1504</v>
      </c>
      <c r="G31" s="27">
        <v>44489</v>
      </c>
      <c r="H31" s="29">
        <v>26</v>
      </c>
      <c r="I31" s="27">
        <v>44499</v>
      </c>
    </row>
    <row r="32" spans="5:12" x14ac:dyDescent="0.3">
      <c r="E32" s="26"/>
      <c r="F32" s="24" t="s">
        <v>1518</v>
      </c>
      <c r="G32" s="27">
        <v>44489</v>
      </c>
      <c r="H32" s="29">
        <v>25</v>
      </c>
      <c r="I32" s="27">
        <v>44498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19"/>
  <sheetViews>
    <sheetView zoomScale="70" zoomScaleNormal="70" workbookViewId="0">
      <selection activeCell="I8" sqref="I8"/>
    </sheetView>
  </sheetViews>
  <sheetFormatPr defaultRowHeight="16.5" x14ac:dyDescent="0.3"/>
  <cols>
    <col min="2" max="2" width="7.125" bestFit="1" customWidth="1"/>
    <col min="3" max="3" width="6" bestFit="1" customWidth="1"/>
    <col min="4" max="4" width="8.125" bestFit="1" customWidth="1"/>
    <col min="5" max="5" width="27" bestFit="1" customWidth="1"/>
    <col min="6" max="6" width="14.375" bestFit="1" customWidth="1"/>
    <col min="7" max="7" width="3.375" bestFit="1" customWidth="1"/>
    <col min="9" max="9" width="22.75" bestFit="1" customWidth="1"/>
    <col min="10" max="10" width="21.875" bestFit="1" customWidth="1"/>
    <col min="14" max="14" width="11.625" bestFit="1" customWidth="1"/>
  </cols>
  <sheetData>
    <row r="1" spans="1:18" x14ac:dyDescent="0.3">
      <c r="B1" t="str">
        <f>IFERROR(IF(유저번호 = -1, "관리자", VLOOKUP(유저번호,표1[],2,FALSE)), "")</f>
        <v/>
      </c>
      <c r="C1" t="e">
        <f>VLOOKUP(유저번호,표1[],3,FALSE)</f>
        <v>#N/A</v>
      </c>
      <c r="D1" t="e">
        <f>VLOOKUP(유저번호,표1[],4,FALSE)</f>
        <v>#N/A</v>
      </c>
      <c r="E1" t="e">
        <f>VLOOKUP(유저번호,표1[],5,FALSE)</f>
        <v>#N/A</v>
      </c>
      <c r="F1" t="e">
        <f>VLOOKUP(유저번호,표1[],6,FALSE)</f>
        <v>#N/A</v>
      </c>
      <c r="G1" t="e">
        <f>VLOOKUP(유저번호,표1[],7,FALSE)</f>
        <v>#N/A</v>
      </c>
      <c r="H1" s="4" t="e">
        <f>TEXT(VLOOKUP(유저번호,표1[],8,FALSE), "yymmdd")</f>
        <v>#N/A</v>
      </c>
      <c r="J1" t="s">
        <v>1509</v>
      </c>
      <c r="K1" t="s">
        <v>1510</v>
      </c>
      <c r="M1" s="43" t="s">
        <v>1510</v>
      </c>
      <c r="N1" s="43" t="s">
        <v>190</v>
      </c>
      <c r="O1" s="43" t="s">
        <v>196</v>
      </c>
      <c r="P1" s="43" t="s">
        <v>197</v>
      </c>
      <c r="R1" s="47"/>
    </row>
    <row r="2" spans="1:18" x14ac:dyDescent="0.3">
      <c r="A2" t="str">
        <f>IF(AND(유저번호&lt;&gt;"", 유저번호&lt;&gt;-1),"유저",IF(유저번호=-1,"관리자",""))</f>
        <v/>
      </c>
      <c r="J2">
        <v>1</v>
      </c>
      <c r="M2" s="4">
        <v>2</v>
      </c>
      <c r="N2" s="5">
        <v>44333</v>
      </c>
      <c r="O2" s="4">
        <v>20</v>
      </c>
      <c r="P2" s="4" t="s">
        <v>198</v>
      </c>
    </row>
    <row r="3" spans="1:18" x14ac:dyDescent="0.3">
      <c r="M3" s="4">
        <v>3</v>
      </c>
      <c r="N3" s="5">
        <v>44333</v>
      </c>
      <c r="O3" s="4">
        <v>50</v>
      </c>
      <c r="P3" s="4" t="s">
        <v>198</v>
      </c>
    </row>
    <row r="4" spans="1:18" x14ac:dyDescent="0.3">
      <c r="L4">
        <v>6</v>
      </c>
      <c r="M4" s="4">
        <v>1</v>
      </c>
      <c r="N4" s="5">
        <v>44396</v>
      </c>
      <c r="O4" s="4">
        <v>100</v>
      </c>
      <c r="P4" s="4" t="s">
        <v>199</v>
      </c>
    </row>
    <row r="5" spans="1:18" x14ac:dyDescent="0.3">
      <c r="M5" s="4">
        <v>3</v>
      </c>
      <c r="N5" s="5">
        <v>44333</v>
      </c>
      <c r="O5" s="4">
        <v>30</v>
      </c>
      <c r="P5" s="4" t="s">
        <v>198</v>
      </c>
    </row>
    <row r="6" spans="1:18" x14ac:dyDescent="0.3">
      <c r="M6" s="4">
        <v>6</v>
      </c>
      <c r="N6" s="5">
        <v>44333</v>
      </c>
      <c r="O6" s="4">
        <v>50</v>
      </c>
      <c r="P6" s="4" t="s">
        <v>198</v>
      </c>
    </row>
    <row r="7" spans="1:18" x14ac:dyDescent="0.3">
      <c r="M7" s="4">
        <v>6</v>
      </c>
      <c r="N7" s="5">
        <v>44333</v>
      </c>
      <c r="O7" s="4">
        <v>20</v>
      </c>
      <c r="P7" s="4" t="s">
        <v>198</v>
      </c>
    </row>
    <row r="8" spans="1:18" ht="107.25" x14ac:dyDescent="0.3">
      <c r="A8" s="2" t="s">
        <v>0</v>
      </c>
      <c r="D8" s="33"/>
      <c r="E8" s="38" t="s">
        <v>1506</v>
      </c>
      <c r="F8" t="str">
        <f>IF(B1 &lt;&gt; "", B1 &amp; "님", "")</f>
        <v/>
      </c>
      <c r="I8" s="36"/>
      <c r="J8" s="35"/>
      <c r="M8" s="4">
        <v>6</v>
      </c>
      <c r="N8" s="5">
        <v>44340</v>
      </c>
      <c r="O8" s="4">
        <v>30</v>
      </c>
      <c r="P8" s="4" t="s">
        <v>198</v>
      </c>
    </row>
    <row r="9" spans="1:18" ht="38.25" x14ac:dyDescent="0.3">
      <c r="I9" s="34"/>
      <c r="J9" s="34"/>
      <c r="M9" s="4">
        <v>1</v>
      </c>
      <c r="N9" s="5">
        <v>44375</v>
      </c>
      <c r="O9" s="4">
        <v>10</v>
      </c>
      <c r="P9" s="4" t="s">
        <v>198</v>
      </c>
    </row>
    <row r="10" spans="1:18" x14ac:dyDescent="0.3">
      <c r="M10" s="4">
        <v>3</v>
      </c>
      <c r="N10" s="5">
        <v>44349</v>
      </c>
      <c r="O10" s="4">
        <v>50</v>
      </c>
      <c r="P10" s="4" t="s">
        <v>198</v>
      </c>
    </row>
    <row r="11" spans="1:18" x14ac:dyDescent="0.3">
      <c r="M11" s="4">
        <v>3</v>
      </c>
      <c r="N11" s="5">
        <v>44370</v>
      </c>
      <c r="O11" s="4">
        <v>40</v>
      </c>
      <c r="P11" s="4" t="s">
        <v>198</v>
      </c>
    </row>
    <row r="12" spans="1:18" x14ac:dyDescent="0.3">
      <c r="M12" s="4">
        <v>6</v>
      </c>
      <c r="N12" s="5">
        <v>44370</v>
      </c>
      <c r="O12" s="4">
        <v>90</v>
      </c>
      <c r="P12" s="4" t="s">
        <v>199</v>
      </c>
    </row>
    <row r="13" spans="1:18" x14ac:dyDescent="0.3">
      <c r="M13" s="4">
        <v>1</v>
      </c>
      <c r="N13" s="5">
        <v>44380</v>
      </c>
      <c r="O13" s="4">
        <v>30</v>
      </c>
      <c r="P13" s="4" t="s">
        <v>198</v>
      </c>
    </row>
    <row r="14" spans="1:18" x14ac:dyDescent="0.3">
      <c r="M14" s="4">
        <v>1</v>
      </c>
      <c r="N14" s="5">
        <v>44387</v>
      </c>
      <c r="O14" s="4">
        <v>40</v>
      </c>
      <c r="P14" s="4" t="s">
        <v>198</v>
      </c>
    </row>
    <row r="15" spans="1:18" x14ac:dyDescent="0.3">
      <c r="M15" s="4">
        <v>1</v>
      </c>
      <c r="N15" s="5">
        <v>44388</v>
      </c>
      <c r="O15" s="4">
        <v>10</v>
      </c>
      <c r="P15" s="4" t="s">
        <v>198</v>
      </c>
    </row>
    <row r="16" spans="1:18" x14ac:dyDescent="0.3">
      <c r="M16" s="4">
        <v>1</v>
      </c>
      <c r="N16" s="5">
        <v>44390</v>
      </c>
      <c r="O16" s="4">
        <v>20</v>
      </c>
      <c r="P16" s="4" t="s">
        <v>198</v>
      </c>
    </row>
    <row r="17" spans="13:16" x14ac:dyDescent="0.3">
      <c r="M17" s="4">
        <v>1</v>
      </c>
      <c r="N17" s="5">
        <v>44391</v>
      </c>
      <c r="O17" s="4">
        <v>30</v>
      </c>
      <c r="P17" s="4" t="s">
        <v>198</v>
      </c>
    </row>
    <row r="18" spans="13:16" x14ac:dyDescent="0.3">
      <c r="M18" s="4">
        <v>1</v>
      </c>
      <c r="N18" s="5">
        <v>44394</v>
      </c>
      <c r="O18" s="4">
        <v>40</v>
      </c>
      <c r="P18" s="4" t="s">
        <v>198</v>
      </c>
    </row>
    <row r="19" spans="13:16" x14ac:dyDescent="0.3">
      <c r="M19" s="4">
        <v>3</v>
      </c>
      <c r="N19" s="5" t="s">
        <v>1523</v>
      </c>
      <c r="O19" s="4"/>
      <c r="P19" s="4"/>
    </row>
  </sheetData>
  <phoneticPr fontId="1" type="noConversion"/>
  <conditionalFormatting sqref="M1:P1">
    <cfRule type="expression" dxfId="0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14</vt:i4>
      </vt:variant>
    </vt:vector>
  </HeadingPairs>
  <TitlesOfParts>
    <vt:vector size="24" baseType="lpstr">
      <vt:lpstr>메인</vt:lpstr>
      <vt:lpstr>회원</vt:lpstr>
      <vt:lpstr>자격증정보</vt:lpstr>
      <vt:lpstr>시험일정</vt:lpstr>
      <vt:lpstr>접수내역</vt:lpstr>
      <vt:lpstr>합격률</vt:lpstr>
      <vt:lpstr>시험문제</vt:lpstr>
      <vt:lpstr>보기</vt:lpstr>
      <vt:lpstr>일정보기</vt:lpstr>
      <vt:lpstr>데이터</vt:lpstr>
      <vt:lpstr>데이터!Criteria</vt:lpstr>
      <vt:lpstr>시험일정!Criteria</vt:lpstr>
      <vt:lpstr>데이터!Extract</vt:lpstr>
      <vt:lpstr>시험일정!Extract</vt:lpstr>
      <vt:lpstr>달력</vt:lpstr>
      <vt:lpstr>색깔</vt:lpstr>
      <vt:lpstr>유저명</vt:lpstr>
      <vt:lpstr>유저번호</vt:lpstr>
      <vt:lpstr>전화번호</vt:lpstr>
      <vt:lpstr>접수비</vt:lpstr>
      <vt:lpstr>접수수수료</vt:lpstr>
      <vt:lpstr>종목번호</vt:lpstr>
      <vt:lpstr>주민등록번호</vt:lpstr>
      <vt:lpstr>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2021-09-03T00:46:22Z</dcterms:created>
  <dcterms:modified xsi:type="dcterms:W3CDTF">2021-09-16T12:26:31Z</dcterms:modified>
</cp:coreProperties>
</file>